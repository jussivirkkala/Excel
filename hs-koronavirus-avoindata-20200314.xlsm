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si\OneDrive\Projects\Covid-2019\Excel\"/>
    </mc:Choice>
  </mc:AlternateContent>
  <xr:revisionPtr revIDLastSave="0" documentId="13_ncr:1_{06A21CE9-E06C-405F-A73B-B7A8A17BE070}" xr6:coauthVersionLast="45" xr6:coauthVersionMax="45" xr10:uidLastSave="{00000000-0000-0000-0000-000000000000}"/>
  <bookViews>
    <workbookView xWindow="840" yWindow="-103" windowWidth="21206" windowHeight="12549" xr2:uid="{82C78EB1-05E2-4CA6-8C68-96C547AF1CC6}"/>
  </bookViews>
  <sheets>
    <sheet name="Sheet1" sheetId="1" r:id="rId1"/>
  </sheets>
  <definedNames>
    <definedName name="_xlnm._FilterDatabase" localSheetId="0" hidden="1">Sheet1!$A$15:$F$171</definedName>
    <definedName name="aika">Sheet1!$F$16:$F$1000000</definedName>
    <definedName name="Id">Sheet1!$A$16:$A$1000000</definedName>
    <definedName name="Paivitetty">Sheet1!$F$3</definedName>
    <definedName name="Tapauksia">Sheet1!$E$3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" l="1"/>
  <c r="H16" i="1" l="1"/>
  <c r="I16" i="1" s="1"/>
  <c r="H17" i="1" l="1"/>
  <c r="I17" i="1" s="1"/>
  <c r="J16" i="1" l="1"/>
  <c r="H18" i="1"/>
  <c r="I18" i="1" s="1"/>
  <c r="J17" i="1" l="1"/>
  <c r="H19" i="1"/>
  <c r="I19" i="1" s="1"/>
  <c r="J18" i="1" l="1"/>
  <c r="H20" i="1"/>
  <c r="I20" i="1" s="1"/>
  <c r="J19" i="1" l="1"/>
  <c r="H21" i="1"/>
  <c r="I21" i="1" s="1"/>
  <c r="J20" i="1" l="1"/>
  <c r="H22" i="1"/>
  <c r="I22" i="1" s="1"/>
  <c r="J21" i="1" l="1"/>
  <c r="H23" i="1"/>
  <c r="I23" i="1" s="1"/>
  <c r="H24" i="1" l="1"/>
  <c r="I24" i="1" s="1"/>
  <c r="H25" i="1" l="1"/>
  <c r="I25" i="1" s="1"/>
  <c r="J22" i="1"/>
  <c r="J24" i="1" l="1"/>
  <c r="H26" i="1"/>
  <c r="I26" i="1" s="1"/>
  <c r="J23" i="1"/>
  <c r="H27" i="1" l="1"/>
  <c r="I27" i="1" s="1"/>
  <c r="J25" i="1"/>
  <c r="H28" i="1" l="1"/>
  <c r="I28" i="1" s="1"/>
  <c r="H29" i="1" l="1"/>
  <c r="I29" i="1" s="1"/>
  <c r="J26" i="1"/>
  <c r="J28" i="1" l="1"/>
  <c r="J27" i="1"/>
</calcChain>
</file>

<file path=xl/sharedStrings.xml><?xml version="1.0" encoding="utf-8"?>
<sst xmlns="http://schemas.openxmlformats.org/spreadsheetml/2006/main" count="565" uniqueCount="67">
  <si>
    <t>Lappi</t>
  </si>
  <si>
    <t>HUS</t>
  </si>
  <si>
    <t>Kanta-Häme</t>
  </si>
  <si>
    <t>Pirkanmaa</t>
  </si>
  <si>
    <t>Etelä-Karjala</t>
  </si>
  <si>
    <t>Pohjois-Pohjanmaa</t>
  </si>
  <si>
    <t>Pohjois-Savo</t>
  </si>
  <si>
    <t>Varsinais-Suomi</t>
  </si>
  <si>
    <t>Keski-Suomi</t>
  </si>
  <si>
    <t>Pohjois-Karjala</t>
  </si>
  <si>
    <t>Etelä-Pohjanmaa</t>
  </si>
  <si>
    <t>Satakunta</t>
  </si>
  <si>
    <t>2020-01-29T11:00:00.000Z</t>
  </si>
  <si>
    <t>2020-02-26T11:00:00.000Z</t>
  </si>
  <si>
    <t>2020-03-01T11:00:00.000Z</t>
  </si>
  <si>
    <t>2020-02-28T11:00:00.000Z</t>
  </si>
  <si>
    <t>2020-03-02T11:00:00.000Z</t>
  </si>
  <si>
    <t>2020-03-05T09:00:00.000Z</t>
  </si>
  <si>
    <t>2020-03-06T08:50:00.000Z</t>
  </si>
  <si>
    <t>2020-03-07T08:50:00.000Z</t>
  </si>
  <si>
    <t>2020-03-08T08:30:00.000Z</t>
  </si>
  <si>
    <t>2020-03-08T08:50:00.000Z</t>
  </si>
  <si>
    <t>2020-03-08T09:00:00.000Z</t>
  </si>
  <si>
    <t>2020-03-08T15:45:00.000Z</t>
  </si>
  <si>
    <t>2020-03-09T09:00:00.000Z</t>
  </si>
  <si>
    <t>2020-03-09T13:00:00.000Z</t>
  </si>
  <si>
    <t>2020-03-10T07:15:00.000Z</t>
  </si>
  <si>
    <t>2020-03-10T08:30:00.000Z</t>
  </si>
  <si>
    <t>2020-03-10T10:30:00.000Z</t>
  </si>
  <si>
    <t>2020-03-11T09:00:00.000Z</t>
  </si>
  <si>
    <t>2020-03-11T09:15:00.000Z</t>
  </si>
  <si>
    <t>2020-03-11T09:20:00.000Z</t>
  </si>
  <si>
    <t>2020-03-11T10:55:00.000Z</t>
  </si>
  <si>
    <t>2020-03-11T11:45:00.000Z</t>
  </si>
  <si>
    <t>2020-03-11T17:00:00.000Z</t>
  </si>
  <si>
    <t>2020-03-11T20:00:00.000Z</t>
  </si>
  <si>
    <t>2020-03-12T08:35:00.000Z</t>
  </si>
  <si>
    <t>2020-03-12T08:45:00.000Z</t>
  </si>
  <si>
    <t>2020-03-12T09:15:00.000Z</t>
  </si>
  <si>
    <t>2020-03-12T11:45:00.000Z</t>
  </si>
  <si>
    <t>2020-03-12T20:05:00.000Z</t>
  </si>
  <si>
    <t>2020-03-12T20:15:00.000Z</t>
  </si>
  <si>
    <t>CHN</t>
  </si>
  <si>
    <t>unknown</t>
  </si>
  <si>
    <t>ITA</t>
  </si>
  <si>
    <t>FIN</t>
  </si>
  <si>
    <t>related to earlier</t>
  </si>
  <si>
    <t>IRN</t>
  </si>
  <si>
    <t>AUT</t>
  </si>
  <si>
    <t>Tapauksia</t>
  </si>
  <si>
    <t>Id</t>
  </si>
  <si>
    <t>date</t>
  </si>
  <si>
    <t>healthCareDistrict</t>
  </si>
  <si>
    <t>infectionSourceCountry</t>
  </si>
  <si>
    <t>infectionSource</t>
  </si>
  <si>
    <t>https://twitter.com/jussivirkkala</t>
  </si>
  <si>
    <t>https://github.com/HS-Datadesk/koronavirus-avoindata</t>
  </si>
  <si>
    <t>https://github.com/jussivirkkala/excel/</t>
  </si>
  <si>
    <t>2020-03-13T07:20:00.000Z</t>
  </si>
  <si>
    <t>2020-03-13T08:55:00.000Z</t>
  </si>
  <si>
    <t>2020-03-13T09:30:00.000Z</t>
  </si>
  <si>
    <t>Vaasa</t>
  </si>
  <si>
    <t>Päivä</t>
  </si>
  <si>
    <t>Uusia</t>
  </si>
  <si>
    <t>Vain sarakkeet A-F riviltä 16 lähtien päivitetään JSON haun ID perusteella</t>
  </si>
  <si>
    <t>Hakee HS datasta Korona tapaukset. Tietojen hakuun makrot ovat oltava sallittu. Makrot eivät toimi puhelimessa, iPad, Chromebook?</t>
  </si>
  <si>
    <t>aika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</si>
</sst>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yy;@"/>
    <numFmt numFmtId="165" formatCode="d/m\ hh:mm"/>
  </numFmts>
  <fonts count="3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 applyAlignment="1">
      <alignment vertical="center"/>
    </xf>
    <xf numFmtId="0" fontId="2" fillId="0" borderId="0" xfId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Sheet1!$J$15</c:f>
              <c:strCache>
                <c:ptCount val="1"/>
                <c:pt idx="0">
                  <c:v>Uusia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Sheet1!$H$16:$H$29</c:f>
              <c:numCache>
                <c:formatCode>d/m/yyyy;@</c:formatCode>
                <c:ptCount val="14"/>
                <c:pt idx="0">
                  <c:v>43904</c:v>
                </c:pt>
                <c:pt idx="1">
                  <c:v>43903</c:v>
                </c:pt>
                <c:pt idx="2">
                  <c:v>43902</c:v>
                </c:pt>
                <c:pt idx="3">
                  <c:v>43901</c:v>
                </c:pt>
                <c:pt idx="4">
                  <c:v>43900</c:v>
                </c:pt>
                <c:pt idx="5">
                  <c:v>43899</c:v>
                </c:pt>
                <c:pt idx="6">
                  <c:v>43898</c:v>
                </c:pt>
                <c:pt idx="7">
                  <c:v>43897</c:v>
                </c:pt>
                <c:pt idx="8">
                  <c:v>43896</c:v>
                </c:pt>
                <c:pt idx="9">
                  <c:v>43895</c:v>
                </c:pt>
                <c:pt idx="10">
                  <c:v>43894</c:v>
                </c:pt>
                <c:pt idx="11">
                  <c:v>43893</c:v>
                </c:pt>
                <c:pt idx="12">
                  <c:v>43892</c:v>
                </c:pt>
                <c:pt idx="13">
                  <c:v>43891</c:v>
                </c:pt>
              </c:numCache>
            </c:numRef>
          </c:cat>
          <c:val>
            <c:numRef>
              <c:f>Sheet1!$J$16:$J$29</c:f>
              <c:numCache>
                <c:formatCode>General</c:formatCode>
                <c:ptCount val="14"/>
                <c:pt idx="0">
                  <c:v>0</c:v>
                </c:pt>
                <c:pt idx="1">
                  <c:v>44</c:v>
                </c:pt>
                <c:pt idx="2">
                  <c:v>46</c:v>
                </c:pt>
                <c:pt idx="3">
                  <c:v>25</c:v>
                </c:pt>
                <c:pt idx="4">
                  <c:v>7</c:v>
                </c:pt>
                <c:pt idx="5">
                  <c:v>9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8-467A-A58D-C2D18F38C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0642560"/>
        <c:axId val="480647152"/>
      </c:barChart>
      <c:dateAx>
        <c:axId val="480642560"/>
        <c:scaling>
          <c:orientation val="maxMin"/>
        </c:scaling>
        <c:delete val="0"/>
        <c:axPos val="b"/>
        <c:numFmt formatCode="d/m/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7152"/>
        <c:crosses val="autoZero"/>
        <c:auto val="1"/>
        <c:lblOffset val="100"/>
        <c:baseTimeUnit val="days"/>
      </c:dateAx>
      <c:valAx>
        <c:axId val="480647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976993</xdr:colOff>
      <xdr:row>0</xdr:row>
      <xdr:rowOff>103413</xdr:rowOff>
    </xdr:from>
    <xdr:to>
      <xdr:col>13</xdr:col>
      <xdr:colOff>604158</xdr:colOff>
      <xdr:row>12</xdr:row>
      <xdr:rowOff>108856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A7A691-98D1-469A-853D-6CBD07C821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jussivirkkala/excel/" TargetMode="External"/><Relationship Id="rId2" Type="http://schemas.openxmlformats.org/officeDocument/2006/relationships/hyperlink" Target="https://github.com/HS-Datadesk/koronavirus-avoindata" TargetMode="External"/><Relationship Id="rId1" Type="http://schemas.openxmlformats.org/officeDocument/2006/relationships/hyperlink" Target="https://twitter.com/jussivirkkala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F48C-E45F-4CC9-BCBF-EA577CECB1AD}">
  <sheetPr codeName="Sheet1"/>
  <dimension ref="A2:J171"/>
  <sheetViews>
    <sheetView tabSelected="1" workbookViewId="0">
      <selection activeCell="A7" sqref="A7"/>
    </sheetView>
  </sheetViews>
  <sheetFormatPr defaultRowHeight="14.6"/>
  <cols>
    <col min="2" max="2" width="22.84375" bestFit="1" customWidth="1"/>
    <col min="3" max="3" width="17.15234375" bestFit="1" customWidth="1"/>
    <col min="4" max="4" width="6.07421875" customWidth="1"/>
    <col min="5" max="5" width="15.3046875" style="3" bestFit="1" customWidth="1"/>
    <col min="6" max="6" width="14" style="5" bestFit="1" customWidth="1"/>
    <col min="8" max="8" width="13" style="4" bestFit="1" customWidth="1"/>
    <col min="12" max="12" width="14" bestFit="1" customWidth="1"/>
  </cols>
  <sheetData>
    <row r="2" spans="1:10">
      <c r="A2" s="7" t="s">
        <v>65</v>
      </c>
      <c r="B2" s="7"/>
      <c r="C2" s="7"/>
      <c r="E2" s="3" t="s">
        <v>49</v>
      </c>
    </row>
    <row r="3" spans="1:10">
      <c r="A3" s="7"/>
      <c r="B3" s="7"/>
      <c r="C3" s="7"/>
      <c r="E3">
        <f>COUNT(Id)</f>
        <v>155</v>
      </c>
    </row>
    <row r="4" spans="1:10">
      <c r="A4" s="7"/>
      <c r="B4" s="7"/>
      <c r="C4" s="7"/>
    </row>
    <row r="5" spans="1:10">
      <c r="A5" s="7"/>
      <c r="B5" s="7"/>
      <c r="C5" s="7"/>
    </row>
    <row r="6" spans="1:10">
      <c r="A6" s="7"/>
      <c r="B6" s="7"/>
      <c r="C6" s="7"/>
    </row>
    <row r="9" spans="1:10">
      <c r="A9" s="2" t="s">
        <v>56</v>
      </c>
    </row>
    <row r="10" spans="1:10">
      <c r="A10" s="2" t="s">
        <v>57</v>
      </c>
    </row>
    <row r="11" spans="1:10">
      <c r="A11" s="2" t="s">
        <v>55</v>
      </c>
    </row>
    <row r="13" spans="1:10">
      <c r="A13" t="s">
        <v>64</v>
      </c>
    </row>
    <row r="14" spans="1:10">
      <c r="E14"/>
    </row>
    <row r="15" spans="1:10">
      <c r="A15" t="s">
        <v>50</v>
      </c>
      <c r="B15" s="1" t="s">
        <v>51</v>
      </c>
      <c r="C15" s="1" t="s">
        <v>52</v>
      </c>
      <c r="D15" s="1" t="s">
        <v>53</v>
      </c>
      <c r="E15" s="1" t="s">
        <v>54</v>
      </c>
      <c r="F15" s="6" t="s">
        <v>66</v>
      </c>
      <c r="H15" s="4" t="s">
        <v>62</v>
      </c>
      <c r="I15" t="s">
        <v>49</v>
      </c>
      <c r="J15" t="s">
        <v>63</v>
      </c>
    </row>
    <row r="16" spans="1:10">
      <c r="A16">
        <v>1</v>
      </c>
      <c r="B16" t="s">
        <v>12</v>
      </c>
      <c r="C16" t="s">
        <v>0</v>
      </c>
      <c r="D16" t="s">
        <v>42</v>
      </c>
      <c r="E16" s="3" t="s">
        <v>43</v>
      </c>
      <c r="F16" s="5">
        <v>43859.458333333336</v>
      </c>
      <c r="H16" s="4">
        <f ca="1">FLOOR(NOW(),1)</f>
        <v>43904</v>
      </c>
      <c r="I16">
        <f ca="1">COUNTIF(aika,"&lt;"&amp;(H16+1))</f>
        <v>155</v>
      </c>
      <c r="J16">
        <f ca="1">I16-I17</f>
        <v>0</v>
      </c>
    </row>
    <row r="17" spans="1:10">
      <c r="A17">
        <v>2</v>
      </c>
      <c r="B17" t="s">
        <v>13</v>
      </c>
      <c r="C17" t="s">
        <v>1</v>
      </c>
      <c r="D17" t="s">
        <v>44</v>
      </c>
      <c r="E17" s="3" t="s">
        <v>43</v>
      </c>
      <c r="F17" s="5">
        <v>43887.458333333336</v>
      </c>
      <c r="H17" s="4">
        <f t="shared" ref="H17:H29" ca="1" si="0">H16-1</f>
        <v>43903</v>
      </c>
      <c r="I17">
        <f ca="1">COUNTIF(aika,"&lt;"&amp;(H17+1))</f>
        <v>155</v>
      </c>
      <c r="J17">
        <f t="shared" ref="J17:J28" ca="1" si="1">I17-I18</f>
        <v>44</v>
      </c>
    </row>
    <row r="18" spans="1:10">
      <c r="A18">
        <v>3</v>
      </c>
      <c r="B18" t="s">
        <v>14</v>
      </c>
      <c r="C18" t="s">
        <v>1</v>
      </c>
      <c r="D18" t="s">
        <v>45</v>
      </c>
      <c r="E18" s="3">
        <v>2</v>
      </c>
      <c r="F18" s="5">
        <v>43891.458333333336</v>
      </c>
      <c r="H18" s="4">
        <f t="shared" ca="1" si="0"/>
        <v>43902</v>
      </c>
      <c r="I18">
        <f ca="1">COUNTIF(aika,"&lt;"&amp;(H18+1))</f>
        <v>111</v>
      </c>
      <c r="J18">
        <f t="shared" ca="1" si="1"/>
        <v>46</v>
      </c>
    </row>
    <row r="19" spans="1:10">
      <c r="A19">
        <v>4</v>
      </c>
      <c r="B19" t="s">
        <v>15</v>
      </c>
      <c r="C19" t="s">
        <v>1</v>
      </c>
      <c r="D19" t="s">
        <v>44</v>
      </c>
      <c r="E19" s="3" t="s">
        <v>43</v>
      </c>
      <c r="F19" s="5">
        <v>43889.458333333336</v>
      </c>
      <c r="H19" s="4">
        <f t="shared" ca="1" si="0"/>
        <v>43901</v>
      </c>
      <c r="I19">
        <f ca="1">COUNTIF(aika,"&lt;"&amp;(H19+1))</f>
        <v>65</v>
      </c>
      <c r="J19">
        <f t="shared" ca="1" si="1"/>
        <v>25</v>
      </c>
    </row>
    <row r="20" spans="1:10">
      <c r="A20">
        <v>5</v>
      </c>
      <c r="B20" t="s">
        <v>14</v>
      </c>
      <c r="C20" t="s">
        <v>1</v>
      </c>
      <c r="D20" t="s">
        <v>45</v>
      </c>
      <c r="E20" s="3">
        <v>4</v>
      </c>
      <c r="F20" s="5">
        <v>43891.458333333336</v>
      </c>
      <c r="H20" s="4">
        <f t="shared" ca="1" si="0"/>
        <v>43900</v>
      </c>
      <c r="I20">
        <f ca="1">COUNTIF(aika,"&lt;"&amp;(H20+1))</f>
        <v>40</v>
      </c>
      <c r="J20">
        <f t="shared" ca="1" si="1"/>
        <v>7</v>
      </c>
    </row>
    <row r="21" spans="1:10">
      <c r="A21">
        <v>6</v>
      </c>
      <c r="B21" t="s">
        <v>14</v>
      </c>
      <c r="C21" t="s">
        <v>1</v>
      </c>
      <c r="D21" t="s">
        <v>45</v>
      </c>
      <c r="E21" s="3">
        <v>4</v>
      </c>
      <c r="F21" s="5">
        <v>43891.458333333336</v>
      </c>
      <c r="H21" s="4">
        <f t="shared" ca="1" si="0"/>
        <v>43899</v>
      </c>
      <c r="I21">
        <f ca="1">COUNTIF(aika,"&lt;"&amp;(H21+1))</f>
        <v>33</v>
      </c>
      <c r="J21">
        <f t="shared" ca="1" si="1"/>
        <v>9</v>
      </c>
    </row>
    <row r="22" spans="1:10">
      <c r="A22">
        <v>7</v>
      </c>
      <c r="B22" t="s">
        <v>16</v>
      </c>
      <c r="C22" t="s">
        <v>1</v>
      </c>
      <c r="D22" t="s">
        <v>45</v>
      </c>
      <c r="E22" s="3">
        <v>4</v>
      </c>
      <c r="F22" s="5">
        <v>43892.458333333336</v>
      </c>
      <c r="H22" s="4">
        <f t="shared" ca="1" si="0"/>
        <v>43898</v>
      </c>
      <c r="I22">
        <f ca="1">COUNTIF(aika,"&lt;"&amp;(H22+1))</f>
        <v>24</v>
      </c>
      <c r="J22">
        <f t="shared" ca="1" si="1"/>
        <v>5</v>
      </c>
    </row>
    <row r="23" spans="1:10">
      <c r="A23">
        <v>8</v>
      </c>
      <c r="B23" t="s">
        <v>17</v>
      </c>
      <c r="C23" t="s">
        <v>2</v>
      </c>
      <c r="D23" t="s">
        <v>44</v>
      </c>
      <c r="E23" s="3" t="s">
        <v>43</v>
      </c>
      <c r="F23" s="5">
        <v>43895.375</v>
      </c>
      <c r="H23" s="4">
        <f t="shared" ca="1" si="0"/>
        <v>43897</v>
      </c>
      <c r="I23">
        <f ca="1">COUNTIF(aika,"&lt;"&amp;(H23+1))</f>
        <v>19</v>
      </c>
      <c r="J23">
        <f t="shared" ca="1" si="1"/>
        <v>4</v>
      </c>
    </row>
    <row r="24" spans="1:10">
      <c r="A24">
        <v>9</v>
      </c>
      <c r="B24" t="s">
        <v>17</v>
      </c>
      <c r="C24" t="s">
        <v>3</v>
      </c>
      <c r="D24" t="s">
        <v>44</v>
      </c>
      <c r="E24" s="3" t="s">
        <v>43</v>
      </c>
      <c r="F24" s="5">
        <v>43895.375</v>
      </c>
      <c r="H24" s="4">
        <f t="shared" ca="1" si="0"/>
        <v>43896</v>
      </c>
      <c r="I24">
        <f ca="1">COUNTIF(aika,"&lt;"&amp;(H24+1))</f>
        <v>15</v>
      </c>
      <c r="J24">
        <f t="shared" ca="1" si="1"/>
        <v>3</v>
      </c>
    </row>
    <row r="25" spans="1:10">
      <c r="A25">
        <v>10</v>
      </c>
      <c r="B25" t="s">
        <v>17</v>
      </c>
      <c r="C25" t="s">
        <v>1</v>
      </c>
      <c r="D25" t="s">
        <v>45</v>
      </c>
      <c r="E25" s="3" t="s">
        <v>46</v>
      </c>
      <c r="F25" s="5">
        <v>43895.375</v>
      </c>
      <c r="H25" s="4">
        <f t="shared" ca="1" si="0"/>
        <v>43895</v>
      </c>
      <c r="I25">
        <f ca="1">COUNTIF(aika,"&lt;"&amp;(H25+1))</f>
        <v>12</v>
      </c>
      <c r="J25">
        <f t="shared" ca="1" si="1"/>
        <v>5</v>
      </c>
    </row>
    <row r="26" spans="1:10">
      <c r="A26">
        <v>11</v>
      </c>
      <c r="B26" t="s">
        <v>17</v>
      </c>
      <c r="C26" t="s">
        <v>1</v>
      </c>
      <c r="D26" t="s">
        <v>44</v>
      </c>
      <c r="E26" s="3" t="s">
        <v>43</v>
      </c>
      <c r="F26" s="5">
        <v>43895.375</v>
      </c>
      <c r="H26" s="4">
        <f t="shared" ca="1" si="0"/>
        <v>43894</v>
      </c>
      <c r="I26">
        <f ca="1">COUNTIF(aika,"&lt;"&amp;(H26+1))</f>
        <v>7</v>
      </c>
      <c r="J26">
        <f t="shared" ca="1" si="1"/>
        <v>0</v>
      </c>
    </row>
    <row r="27" spans="1:10">
      <c r="A27">
        <v>12</v>
      </c>
      <c r="B27" t="s">
        <v>17</v>
      </c>
      <c r="C27" t="s">
        <v>1</v>
      </c>
      <c r="D27" t="s">
        <v>44</v>
      </c>
      <c r="E27" s="3" t="s">
        <v>43</v>
      </c>
      <c r="F27" s="5">
        <v>43895.375</v>
      </c>
      <c r="H27" s="4">
        <f t="shared" ca="1" si="0"/>
        <v>43893</v>
      </c>
      <c r="I27">
        <f ca="1">COUNTIF(aika,"&lt;"&amp;(H27+1))</f>
        <v>7</v>
      </c>
      <c r="J27">
        <f t="shared" ca="1" si="1"/>
        <v>0</v>
      </c>
    </row>
    <row r="28" spans="1:10">
      <c r="A28">
        <v>13</v>
      </c>
      <c r="B28" t="s">
        <v>18</v>
      </c>
      <c r="C28" t="s">
        <v>1</v>
      </c>
      <c r="D28" t="s">
        <v>44</v>
      </c>
      <c r="E28" s="3" t="s">
        <v>43</v>
      </c>
      <c r="F28" s="5">
        <v>43896.368055555555</v>
      </c>
      <c r="H28" s="4">
        <f t="shared" ca="1" si="0"/>
        <v>43892</v>
      </c>
      <c r="I28">
        <f ca="1">COUNTIF(aika,"&lt;"&amp;(H28+1))</f>
        <v>7</v>
      </c>
      <c r="J28">
        <f t="shared" ca="1" si="1"/>
        <v>1</v>
      </c>
    </row>
    <row r="29" spans="1:10">
      <c r="A29">
        <v>14</v>
      </c>
      <c r="B29" t="s">
        <v>18</v>
      </c>
      <c r="C29" t="s">
        <v>4</v>
      </c>
      <c r="D29" t="s">
        <v>44</v>
      </c>
      <c r="E29" s="3" t="s">
        <v>43</v>
      </c>
      <c r="F29" s="5">
        <v>43896.368055555555</v>
      </c>
      <c r="H29" s="4">
        <f t="shared" ca="1" si="0"/>
        <v>43891</v>
      </c>
      <c r="I29">
        <f ca="1">COUNTIF(aika,"&lt;"&amp;(H29+1))</f>
        <v>6</v>
      </c>
    </row>
    <row r="30" spans="1:10">
      <c r="A30">
        <v>15</v>
      </c>
      <c r="B30" t="s">
        <v>18</v>
      </c>
      <c r="C30" t="s">
        <v>5</v>
      </c>
      <c r="D30" t="s">
        <v>47</v>
      </c>
      <c r="E30" s="3" t="s">
        <v>43</v>
      </c>
      <c r="F30" s="5">
        <v>43896.368055555555</v>
      </c>
    </row>
    <row r="31" spans="1:10">
      <c r="A31">
        <v>16</v>
      </c>
      <c r="B31" t="s">
        <v>19</v>
      </c>
      <c r="C31" t="s">
        <v>3</v>
      </c>
      <c r="D31" t="s">
        <v>44</v>
      </c>
      <c r="E31" s="3" t="s">
        <v>43</v>
      </c>
      <c r="F31" s="5">
        <v>43897.368055555555</v>
      </c>
    </row>
    <row r="32" spans="1:10">
      <c r="A32">
        <v>17</v>
      </c>
      <c r="B32" t="s">
        <v>19</v>
      </c>
      <c r="C32" t="s">
        <v>3</v>
      </c>
      <c r="D32" t="s">
        <v>44</v>
      </c>
      <c r="E32" s="3" t="s">
        <v>43</v>
      </c>
      <c r="F32" s="5">
        <v>43897.368055555555</v>
      </c>
    </row>
    <row r="33" spans="1:6">
      <c r="A33">
        <v>18</v>
      </c>
      <c r="B33" t="s">
        <v>19</v>
      </c>
      <c r="C33" t="s">
        <v>1</v>
      </c>
      <c r="D33" t="s">
        <v>44</v>
      </c>
      <c r="E33" s="3" t="s">
        <v>43</v>
      </c>
      <c r="F33" s="5">
        <v>43897.368055555555</v>
      </c>
    </row>
    <row r="34" spans="1:6">
      <c r="A34">
        <v>19</v>
      </c>
      <c r="B34" t="s">
        <v>19</v>
      </c>
      <c r="C34" t="s">
        <v>1</v>
      </c>
      <c r="D34" t="s">
        <v>44</v>
      </c>
      <c r="E34" s="3" t="s">
        <v>43</v>
      </c>
      <c r="F34" s="5">
        <v>43897.368055555555</v>
      </c>
    </row>
    <row r="35" spans="1:6">
      <c r="A35">
        <v>20</v>
      </c>
      <c r="B35" t="s">
        <v>20</v>
      </c>
      <c r="C35" t="s">
        <v>3</v>
      </c>
      <c r="D35" t="s">
        <v>44</v>
      </c>
      <c r="E35" s="3" t="s">
        <v>43</v>
      </c>
      <c r="F35" s="5">
        <v>43898.354166666664</v>
      </c>
    </row>
    <row r="36" spans="1:6">
      <c r="A36">
        <v>21</v>
      </c>
      <c r="B36" t="s">
        <v>21</v>
      </c>
      <c r="C36" t="s">
        <v>1</v>
      </c>
      <c r="D36" t="s">
        <v>44</v>
      </c>
      <c r="E36" s="3" t="s">
        <v>43</v>
      </c>
      <c r="F36" s="5">
        <v>43898.368055555555</v>
      </c>
    </row>
    <row r="37" spans="1:6">
      <c r="A37">
        <v>22</v>
      </c>
      <c r="B37" t="s">
        <v>21</v>
      </c>
      <c r="C37" t="s">
        <v>1</v>
      </c>
      <c r="D37" t="s">
        <v>45</v>
      </c>
      <c r="E37" s="3">
        <v>21</v>
      </c>
      <c r="F37" s="5">
        <v>43898.368055555555</v>
      </c>
    </row>
    <row r="38" spans="1:6">
      <c r="A38">
        <v>23</v>
      </c>
      <c r="B38" t="s">
        <v>22</v>
      </c>
      <c r="C38" t="s">
        <v>6</v>
      </c>
      <c r="D38" t="s">
        <v>44</v>
      </c>
      <c r="E38" s="3" t="s">
        <v>43</v>
      </c>
      <c r="F38" s="5">
        <v>43898.375</v>
      </c>
    </row>
    <row r="39" spans="1:6">
      <c r="A39">
        <v>24</v>
      </c>
      <c r="B39" t="s">
        <v>23</v>
      </c>
      <c r="C39" t="s">
        <v>7</v>
      </c>
      <c r="D39" t="s">
        <v>44</v>
      </c>
      <c r="E39" s="3" t="s">
        <v>43</v>
      </c>
      <c r="F39" s="5">
        <v>43898.65625</v>
      </c>
    </row>
    <row r="40" spans="1:6">
      <c r="A40">
        <v>25</v>
      </c>
      <c r="B40" t="s">
        <v>24</v>
      </c>
      <c r="C40" t="s">
        <v>1</v>
      </c>
      <c r="D40" t="s">
        <v>44</v>
      </c>
      <c r="E40" s="3" t="s">
        <v>43</v>
      </c>
      <c r="F40" s="5">
        <v>43899.375</v>
      </c>
    </row>
    <row r="41" spans="1:6">
      <c r="A41">
        <v>26</v>
      </c>
      <c r="B41" t="s">
        <v>24</v>
      </c>
      <c r="C41" t="s">
        <v>1</v>
      </c>
      <c r="D41" t="s">
        <v>44</v>
      </c>
      <c r="E41" s="3" t="s">
        <v>43</v>
      </c>
      <c r="F41" s="5">
        <v>43899.375</v>
      </c>
    </row>
    <row r="42" spans="1:6">
      <c r="A42">
        <v>27</v>
      </c>
      <c r="B42" t="s">
        <v>24</v>
      </c>
      <c r="C42" t="s">
        <v>1</v>
      </c>
      <c r="D42" t="s">
        <v>45</v>
      </c>
      <c r="E42" s="3" t="s">
        <v>46</v>
      </c>
      <c r="F42" s="5">
        <v>43899.375</v>
      </c>
    </row>
    <row r="43" spans="1:6">
      <c r="A43">
        <v>28</v>
      </c>
      <c r="B43" t="s">
        <v>24</v>
      </c>
      <c r="C43" t="s">
        <v>1</v>
      </c>
      <c r="D43" t="s">
        <v>45</v>
      </c>
      <c r="E43" s="3" t="s">
        <v>46</v>
      </c>
      <c r="F43" s="5">
        <v>43899.375</v>
      </c>
    </row>
    <row r="44" spans="1:6">
      <c r="A44">
        <v>29</v>
      </c>
      <c r="B44" t="s">
        <v>24</v>
      </c>
      <c r="C44" t="s">
        <v>3</v>
      </c>
      <c r="D44" t="s">
        <v>44</v>
      </c>
      <c r="E44" s="3" t="s">
        <v>43</v>
      </c>
      <c r="F44" s="5">
        <v>43899.375</v>
      </c>
    </row>
    <row r="45" spans="1:6">
      <c r="A45">
        <v>30</v>
      </c>
      <c r="B45" t="s">
        <v>24</v>
      </c>
      <c r="C45" t="s">
        <v>2</v>
      </c>
      <c r="D45" t="s">
        <v>44</v>
      </c>
      <c r="E45" s="3" t="s">
        <v>43</v>
      </c>
      <c r="F45" s="5">
        <v>43899.375</v>
      </c>
    </row>
    <row r="46" spans="1:6">
      <c r="A46">
        <v>31</v>
      </c>
      <c r="B46" t="s">
        <v>25</v>
      </c>
      <c r="C46" t="s">
        <v>8</v>
      </c>
      <c r="D46" t="s">
        <v>44</v>
      </c>
      <c r="E46" s="3" t="s">
        <v>43</v>
      </c>
      <c r="F46" s="5">
        <v>43899.541666666664</v>
      </c>
    </row>
    <row r="47" spans="1:6">
      <c r="A47">
        <v>32</v>
      </c>
      <c r="B47" t="s">
        <v>25</v>
      </c>
      <c r="C47" t="s">
        <v>8</v>
      </c>
      <c r="D47" t="s">
        <v>45</v>
      </c>
      <c r="E47" s="3">
        <v>31</v>
      </c>
      <c r="F47" s="5">
        <v>43899.541666666664</v>
      </c>
    </row>
    <row r="48" spans="1:6">
      <c r="A48">
        <v>33</v>
      </c>
      <c r="B48" t="s">
        <v>25</v>
      </c>
      <c r="C48" t="s">
        <v>8</v>
      </c>
      <c r="D48" t="s">
        <v>45</v>
      </c>
      <c r="E48" s="3">
        <v>31</v>
      </c>
      <c r="F48" s="5">
        <v>43899.541666666664</v>
      </c>
    </row>
    <row r="49" spans="1:6">
      <c r="A49">
        <v>34</v>
      </c>
      <c r="B49" t="s">
        <v>26</v>
      </c>
      <c r="C49" t="s">
        <v>6</v>
      </c>
      <c r="D49" t="s">
        <v>44</v>
      </c>
      <c r="E49" s="3" t="s">
        <v>43</v>
      </c>
      <c r="F49" s="5">
        <v>43900.302083333336</v>
      </c>
    </row>
    <row r="50" spans="1:6">
      <c r="A50">
        <v>35</v>
      </c>
      <c r="B50" t="s">
        <v>27</v>
      </c>
      <c r="C50" t="s">
        <v>1</v>
      </c>
      <c r="D50" t="s">
        <v>44</v>
      </c>
      <c r="E50" s="3" t="s">
        <v>43</v>
      </c>
      <c r="F50" s="5">
        <v>43900.354166666664</v>
      </c>
    </row>
    <row r="51" spans="1:6">
      <c r="A51">
        <v>36</v>
      </c>
      <c r="B51" t="s">
        <v>27</v>
      </c>
      <c r="C51" t="s">
        <v>1</v>
      </c>
      <c r="D51" t="s">
        <v>44</v>
      </c>
      <c r="E51" s="3" t="s">
        <v>43</v>
      </c>
      <c r="F51" s="5">
        <v>43900.354166666664</v>
      </c>
    </row>
    <row r="52" spans="1:6">
      <c r="A52">
        <v>37</v>
      </c>
      <c r="B52" t="s">
        <v>27</v>
      </c>
      <c r="C52" t="s">
        <v>1</v>
      </c>
      <c r="D52" t="s">
        <v>45</v>
      </c>
      <c r="E52" s="3" t="s">
        <v>43</v>
      </c>
      <c r="F52" s="5">
        <v>43900.354166666664</v>
      </c>
    </row>
    <row r="53" spans="1:6">
      <c r="A53">
        <v>38</v>
      </c>
      <c r="B53" t="s">
        <v>27</v>
      </c>
      <c r="C53" t="s">
        <v>9</v>
      </c>
      <c r="D53" t="s">
        <v>44</v>
      </c>
      <c r="E53" s="3" t="s">
        <v>43</v>
      </c>
      <c r="F53" s="5">
        <v>43900.354166666664</v>
      </c>
    </row>
    <row r="54" spans="1:6">
      <c r="A54">
        <v>39</v>
      </c>
      <c r="B54" t="s">
        <v>28</v>
      </c>
      <c r="C54" t="s">
        <v>7</v>
      </c>
      <c r="D54" t="s">
        <v>44</v>
      </c>
      <c r="E54" s="3" t="s">
        <v>43</v>
      </c>
      <c r="F54" s="5">
        <v>43900.4375</v>
      </c>
    </row>
    <row r="55" spans="1:6">
      <c r="A55">
        <v>40</v>
      </c>
      <c r="B55" t="s">
        <v>28</v>
      </c>
      <c r="C55" t="s">
        <v>2</v>
      </c>
      <c r="D55" t="s">
        <v>44</v>
      </c>
      <c r="E55" s="3" t="s">
        <v>43</v>
      </c>
      <c r="F55" s="5">
        <v>43900.4375</v>
      </c>
    </row>
    <row r="56" spans="1:6">
      <c r="A56">
        <v>41</v>
      </c>
      <c r="B56" t="s">
        <v>29</v>
      </c>
      <c r="C56" t="s">
        <v>3</v>
      </c>
      <c r="D56" t="s">
        <v>44</v>
      </c>
      <c r="E56" s="3" t="s">
        <v>43</v>
      </c>
      <c r="F56" s="5">
        <v>43901.375</v>
      </c>
    </row>
    <row r="57" spans="1:6">
      <c r="A57">
        <v>42</v>
      </c>
      <c r="B57" t="s">
        <v>29</v>
      </c>
      <c r="C57" t="s">
        <v>3</v>
      </c>
      <c r="D57" t="s">
        <v>44</v>
      </c>
      <c r="E57" s="3" t="s">
        <v>43</v>
      </c>
      <c r="F57" s="5">
        <v>43901.375</v>
      </c>
    </row>
    <row r="58" spans="1:6">
      <c r="A58">
        <v>43</v>
      </c>
      <c r="B58" t="s">
        <v>29</v>
      </c>
      <c r="C58" t="s">
        <v>3</v>
      </c>
      <c r="D58" t="s">
        <v>45</v>
      </c>
      <c r="E58" s="3">
        <v>16</v>
      </c>
      <c r="F58" s="5">
        <v>43901.375</v>
      </c>
    </row>
    <row r="59" spans="1:6">
      <c r="A59">
        <v>44</v>
      </c>
      <c r="B59" t="s">
        <v>29</v>
      </c>
      <c r="C59" t="s">
        <v>2</v>
      </c>
      <c r="D59" t="s">
        <v>45</v>
      </c>
      <c r="E59" s="3">
        <v>30</v>
      </c>
      <c r="F59" s="5">
        <v>43901.375</v>
      </c>
    </row>
    <row r="60" spans="1:6">
      <c r="A60">
        <v>45</v>
      </c>
      <c r="B60" t="s">
        <v>29</v>
      </c>
      <c r="C60" t="s">
        <v>7</v>
      </c>
      <c r="D60" t="s">
        <v>48</v>
      </c>
      <c r="E60" s="3" t="s">
        <v>43</v>
      </c>
      <c r="F60" s="5">
        <v>43901.375</v>
      </c>
    </row>
    <row r="61" spans="1:6">
      <c r="A61">
        <v>46</v>
      </c>
      <c r="B61" t="s">
        <v>30</v>
      </c>
      <c r="C61" t="s">
        <v>1</v>
      </c>
      <c r="E61" s="3" t="s">
        <v>43</v>
      </c>
      <c r="F61" s="5">
        <v>43901.385416666664</v>
      </c>
    </row>
    <row r="62" spans="1:6">
      <c r="A62">
        <v>47</v>
      </c>
      <c r="B62" t="s">
        <v>30</v>
      </c>
      <c r="C62" t="s">
        <v>1</v>
      </c>
      <c r="E62" s="3" t="s">
        <v>43</v>
      </c>
      <c r="F62" s="5">
        <v>43901.385416666664</v>
      </c>
    </row>
    <row r="63" spans="1:6">
      <c r="A63">
        <v>48</v>
      </c>
      <c r="B63" t="s">
        <v>30</v>
      </c>
      <c r="C63" t="s">
        <v>1</v>
      </c>
      <c r="E63" s="3" t="s">
        <v>43</v>
      </c>
      <c r="F63" s="5">
        <v>43901.385416666664</v>
      </c>
    </row>
    <row r="64" spans="1:6">
      <c r="A64">
        <v>49</v>
      </c>
      <c r="B64" t="s">
        <v>30</v>
      </c>
      <c r="C64" t="s">
        <v>1</v>
      </c>
      <c r="E64" s="3" t="s">
        <v>43</v>
      </c>
      <c r="F64" s="5">
        <v>43901.385416666664</v>
      </c>
    </row>
    <row r="65" spans="1:6">
      <c r="A65">
        <v>50</v>
      </c>
      <c r="B65" t="s">
        <v>30</v>
      </c>
      <c r="C65" t="s">
        <v>1</v>
      </c>
      <c r="E65" s="3" t="s">
        <v>43</v>
      </c>
      <c r="F65" s="5">
        <v>43901.385416666664</v>
      </c>
    </row>
    <row r="66" spans="1:6">
      <c r="A66">
        <v>51</v>
      </c>
      <c r="B66" t="s">
        <v>30</v>
      </c>
      <c r="C66" t="s">
        <v>1</v>
      </c>
      <c r="E66" s="3" t="s">
        <v>43</v>
      </c>
      <c r="F66" s="5">
        <v>43901.385416666664</v>
      </c>
    </row>
    <row r="67" spans="1:6">
      <c r="A67">
        <v>52</v>
      </c>
      <c r="B67" t="s">
        <v>30</v>
      </c>
      <c r="C67" t="s">
        <v>1</v>
      </c>
      <c r="E67" s="3" t="s">
        <v>43</v>
      </c>
      <c r="F67" s="5">
        <v>43901.385416666664</v>
      </c>
    </row>
    <row r="68" spans="1:6">
      <c r="A68">
        <v>53</v>
      </c>
      <c r="B68" t="s">
        <v>30</v>
      </c>
      <c r="C68" t="s">
        <v>1</v>
      </c>
      <c r="E68" s="3" t="s">
        <v>43</v>
      </c>
      <c r="F68" s="5">
        <v>43901.385416666664</v>
      </c>
    </row>
    <row r="69" spans="1:6">
      <c r="A69">
        <v>54</v>
      </c>
      <c r="B69" t="s">
        <v>30</v>
      </c>
      <c r="C69" t="s">
        <v>1</v>
      </c>
      <c r="E69" s="3" t="s">
        <v>43</v>
      </c>
      <c r="F69" s="5">
        <v>43901.385416666664</v>
      </c>
    </row>
    <row r="70" spans="1:6">
      <c r="A70">
        <v>55</v>
      </c>
      <c r="B70" t="s">
        <v>30</v>
      </c>
      <c r="C70" t="s">
        <v>1</v>
      </c>
      <c r="E70" s="3" t="s">
        <v>43</v>
      </c>
      <c r="F70" s="5">
        <v>43901.385416666664</v>
      </c>
    </row>
    <row r="71" spans="1:6">
      <c r="A71">
        <v>56</v>
      </c>
      <c r="B71" t="s">
        <v>30</v>
      </c>
      <c r="C71" t="s">
        <v>1</v>
      </c>
      <c r="E71" s="3" t="s">
        <v>43</v>
      </c>
      <c r="F71" s="5">
        <v>43901.385416666664</v>
      </c>
    </row>
    <row r="72" spans="1:6">
      <c r="A72">
        <v>57</v>
      </c>
      <c r="B72" t="s">
        <v>31</v>
      </c>
      <c r="C72" t="s">
        <v>8</v>
      </c>
      <c r="D72" t="s">
        <v>44</v>
      </c>
      <c r="E72" s="3" t="s">
        <v>43</v>
      </c>
      <c r="F72" s="5">
        <v>43901.388888888891</v>
      </c>
    </row>
    <row r="73" spans="1:6">
      <c r="A73">
        <v>58</v>
      </c>
      <c r="B73" t="s">
        <v>32</v>
      </c>
      <c r="C73" t="s">
        <v>4</v>
      </c>
      <c r="D73" t="s">
        <v>45</v>
      </c>
      <c r="E73" s="3" t="s">
        <v>43</v>
      </c>
      <c r="F73" s="5">
        <v>43901.454861111109</v>
      </c>
    </row>
    <row r="74" spans="1:6">
      <c r="A74">
        <v>59</v>
      </c>
      <c r="B74" t="s">
        <v>33</v>
      </c>
      <c r="C74" t="s">
        <v>10</v>
      </c>
      <c r="D74" t="s">
        <v>44</v>
      </c>
      <c r="E74" s="3" t="s">
        <v>43</v>
      </c>
      <c r="F74" s="5">
        <v>43901.489583333336</v>
      </c>
    </row>
    <row r="76" spans="1:6">
      <c r="A76">
        <v>61</v>
      </c>
      <c r="B76" t="s">
        <v>34</v>
      </c>
      <c r="C76" t="s">
        <v>11</v>
      </c>
      <c r="D76" t="s">
        <v>48</v>
      </c>
      <c r="E76" s="3" t="s">
        <v>43</v>
      </c>
      <c r="F76" s="5">
        <v>43901.708333333336</v>
      </c>
    </row>
    <row r="77" spans="1:6">
      <c r="A77">
        <v>62</v>
      </c>
      <c r="B77" t="s">
        <v>34</v>
      </c>
      <c r="C77" t="s">
        <v>11</v>
      </c>
      <c r="D77" t="s">
        <v>48</v>
      </c>
      <c r="E77" s="3" t="s">
        <v>43</v>
      </c>
      <c r="F77" s="5">
        <v>43901.708333333336</v>
      </c>
    </row>
    <row r="78" spans="1:6">
      <c r="A78">
        <v>63</v>
      </c>
      <c r="B78" t="s">
        <v>35</v>
      </c>
      <c r="C78" t="s">
        <v>2</v>
      </c>
      <c r="D78" t="s">
        <v>45</v>
      </c>
      <c r="E78" s="3">
        <v>44</v>
      </c>
      <c r="F78" s="5">
        <v>43901.833333333336</v>
      </c>
    </row>
    <row r="79" spans="1:6">
      <c r="A79">
        <v>64</v>
      </c>
      <c r="B79" t="s">
        <v>35</v>
      </c>
      <c r="C79" t="s">
        <v>2</v>
      </c>
      <c r="D79" t="s">
        <v>45</v>
      </c>
      <c r="E79" s="3">
        <v>44</v>
      </c>
      <c r="F79" s="5">
        <v>43901.833333333336</v>
      </c>
    </row>
    <row r="80" spans="1:6">
      <c r="A80">
        <v>65</v>
      </c>
      <c r="B80" t="s">
        <v>35</v>
      </c>
      <c r="C80" t="s">
        <v>2</v>
      </c>
      <c r="D80" t="s">
        <v>45</v>
      </c>
      <c r="E80" s="3" t="s">
        <v>43</v>
      </c>
      <c r="F80" s="5">
        <v>43901.833333333336</v>
      </c>
    </row>
    <row r="81" spans="1:6">
      <c r="A81">
        <v>66</v>
      </c>
      <c r="B81" t="s">
        <v>35</v>
      </c>
      <c r="C81" t="s">
        <v>2</v>
      </c>
      <c r="D81" t="s">
        <v>45</v>
      </c>
      <c r="E81" s="3" t="s">
        <v>43</v>
      </c>
      <c r="F81" s="5">
        <v>43901.833333333336</v>
      </c>
    </row>
    <row r="82" spans="1:6">
      <c r="A82">
        <v>67</v>
      </c>
      <c r="B82" t="s">
        <v>36</v>
      </c>
      <c r="C82" t="s">
        <v>1</v>
      </c>
      <c r="E82" s="3" t="s">
        <v>43</v>
      </c>
      <c r="F82" s="5">
        <v>43902.357638888891</v>
      </c>
    </row>
    <row r="83" spans="1:6">
      <c r="A83">
        <v>68</v>
      </c>
      <c r="B83" t="s">
        <v>36</v>
      </c>
      <c r="C83" t="s">
        <v>1</v>
      </c>
      <c r="E83" s="3" t="s">
        <v>43</v>
      </c>
      <c r="F83" s="5">
        <v>43902.357638888891</v>
      </c>
    </row>
    <row r="84" spans="1:6">
      <c r="A84">
        <v>69</v>
      </c>
      <c r="B84" t="s">
        <v>36</v>
      </c>
      <c r="C84" t="s">
        <v>1</v>
      </c>
      <c r="E84" s="3" t="s">
        <v>43</v>
      </c>
      <c r="F84" s="5">
        <v>43902.357638888891</v>
      </c>
    </row>
    <row r="85" spans="1:6">
      <c r="A85">
        <v>70</v>
      </c>
      <c r="B85" t="s">
        <v>36</v>
      </c>
      <c r="C85" t="s">
        <v>1</v>
      </c>
      <c r="E85" s="3" t="s">
        <v>43</v>
      </c>
      <c r="F85" s="5">
        <v>43902.357638888891</v>
      </c>
    </row>
    <row r="86" spans="1:6">
      <c r="A86">
        <v>71</v>
      </c>
      <c r="B86" t="s">
        <v>36</v>
      </c>
      <c r="C86" t="s">
        <v>1</v>
      </c>
      <c r="E86" s="3" t="s">
        <v>43</v>
      </c>
      <c r="F86" s="5">
        <v>43902.357638888891</v>
      </c>
    </row>
    <row r="87" spans="1:6">
      <c r="A87">
        <v>72</v>
      </c>
      <c r="B87" t="s">
        <v>36</v>
      </c>
      <c r="C87" t="s">
        <v>1</v>
      </c>
      <c r="E87" s="3" t="s">
        <v>43</v>
      </c>
      <c r="F87" s="5">
        <v>43902.357638888891</v>
      </c>
    </row>
    <row r="88" spans="1:6">
      <c r="A88">
        <v>73</v>
      </c>
      <c r="B88" t="s">
        <v>36</v>
      </c>
      <c r="C88" t="s">
        <v>1</v>
      </c>
      <c r="E88" s="3" t="s">
        <v>43</v>
      </c>
      <c r="F88" s="5">
        <v>43902.357638888891</v>
      </c>
    </row>
    <row r="89" spans="1:6">
      <c r="A89">
        <v>74</v>
      </c>
      <c r="B89" t="s">
        <v>36</v>
      </c>
      <c r="C89" t="s">
        <v>1</v>
      </c>
      <c r="E89" s="3" t="s">
        <v>43</v>
      </c>
      <c r="F89" s="5">
        <v>43902.357638888891</v>
      </c>
    </row>
    <row r="90" spans="1:6">
      <c r="A90">
        <v>75</v>
      </c>
      <c r="B90" t="s">
        <v>36</v>
      </c>
      <c r="C90" t="s">
        <v>1</v>
      </c>
      <c r="E90" s="3" t="s">
        <v>43</v>
      </c>
      <c r="F90" s="5">
        <v>43902.357638888891</v>
      </c>
    </row>
    <row r="91" spans="1:6">
      <c r="A91">
        <v>76</v>
      </c>
      <c r="B91" t="s">
        <v>36</v>
      </c>
      <c r="C91" t="s">
        <v>1</v>
      </c>
      <c r="E91" s="3" t="s">
        <v>43</v>
      </c>
      <c r="F91" s="5">
        <v>43902.357638888891</v>
      </c>
    </row>
    <row r="92" spans="1:6">
      <c r="A92">
        <v>77</v>
      </c>
      <c r="B92" t="s">
        <v>36</v>
      </c>
      <c r="C92" t="s">
        <v>1</v>
      </c>
      <c r="E92" s="3" t="s">
        <v>43</v>
      </c>
      <c r="F92" s="5">
        <v>43902.357638888891</v>
      </c>
    </row>
    <row r="93" spans="1:6">
      <c r="A93">
        <v>78</v>
      </c>
      <c r="B93" t="s">
        <v>36</v>
      </c>
      <c r="C93" t="s">
        <v>1</v>
      </c>
      <c r="E93" s="3" t="s">
        <v>43</v>
      </c>
      <c r="F93" s="5">
        <v>43902.357638888891</v>
      </c>
    </row>
    <row r="94" spans="1:6">
      <c r="A94">
        <v>79</v>
      </c>
      <c r="B94" t="s">
        <v>36</v>
      </c>
      <c r="C94" t="s">
        <v>1</v>
      </c>
      <c r="E94" s="3" t="s">
        <v>43</v>
      </c>
      <c r="F94" s="5">
        <v>43902.357638888891</v>
      </c>
    </row>
    <row r="95" spans="1:6">
      <c r="A95">
        <v>80</v>
      </c>
      <c r="B95" t="s">
        <v>36</v>
      </c>
      <c r="C95" t="s">
        <v>1</v>
      </c>
      <c r="E95" s="3" t="s">
        <v>43</v>
      </c>
      <c r="F95" s="5">
        <v>43902.357638888891</v>
      </c>
    </row>
    <row r="96" spans="1:6">
      <c r="A96">
        <v>81</v>
      </c>
      <c r="B96" t="s">
        <v>37</v>
      </c>
      <c r="C96" t="s">
        <v>3</v>
      </c>
      <c r="D96" t="s">
        <v>48</v>
      </c>
      <c r="E96" s="3" t="s">
        <v>43</v>
      </c>
      <c r="F96" s="5">
        <v>43902.364583333336</v>
      </c>
    </row>
    <row r="97" spans="1:6">
      <c r="A97">
        <v>82</v>
      </c>
      <c r="B97" t="s">
        <v>37</v>
      </c>
      <c r="C97" t="s">
        <v>3</v>
      </c>
      <c r="D97" t="s">
        <v>48</v>
      </c>
      <c r="E97" s="3" t="s">
        <v>43</v>
      </c>
      <c r="F97" s="5">
        <v>43902.364583333336</v>
      </c>
    </row>
    <row r="98" spans="1:6">
      <c r="A98">
        <v>83</v>
      </c>
      <c r="B98" t="s">
        <v>37</v>
      </c>
      <c r="C98" t="s">
        <v>3</v>
      </c>
      <c r="D98" t="s">
        <v>48</v>
      </c>
      <c r="E98" s="3" t="s">
        <v>43</v>
      </c>
      <c r="F98" s="5">
        <v>43902.364583333336</v>
      </c>
    </row>
    <row r="99" spans="1:6">
      <c r="A99">
        <v>84</v>
      </c>
      <c r="B99" t="s">
        <v>37</v>
      </c>
      <c r="C99" t="s">
        <v>3</v>
      </c>
      <c r="D99" t="s">
        <v>48</v>
      </c>
      <c r="E99" s="3" t="s">
        <v>43</v>
      </c>
      <c r="F99" s="5">
        <v>43902.364583333336</v>
      </c>
    </row>
    <row r="100" spans="1:6">
      <c r="A100">
        <v>85</v>
      </c>
      <c r="B100" t="s">
        <v>38</v>
      </c>
      <c r="C100" t="s">
        <v>7</v>
      </c>
      <c r="D100" t="s">
        <v>45</v>
      </c>
      <c r="E100" s="3">
        <v>39</v>
      </c>
      <c r="F100" s="5">
        <v>43902.385416666664</v>
      </c>
    </row>
    <row r="101" spans="1:6">
      <c r="A101">
        <v>86</v>
      </c>
      <c r="B101" t="s">
        <v>38</v>
      </c>
      <c r="C101" t="s">
        <v>7</v>
      </c>
      <c r="D101" t="s">
        <v>48</v>
      </c>
      <c r="E101" s="3" t="s">
        <v>43</v>
      </c>
      <c r="F101" s="5">
        <v>43902.385416666664</v>
      </c>
    </row>
    <row r="102" spans="1:6">
      <c r="A102">
        <v>87</v>
      </c>
      <c r="B102" t="s">
        <v>38</v>
      </c>
      <c r="C102" t="s">
        <v>8</v>
      </c>
      <c r="D102" t="s">
        <v>45</v>
      </c>
      <c r="E102" s="3" t="s">
        <v>43</v>
      </c>
      <c r="F102" s="5">
        <v>43902.385416666664</v>
      </c>
    </row>
    <row r="103" spans="1:6">
      <c r="A103">
        <v>88</v>
      </c>
      <c r="B103" t="s">
        <v>39</v>
      </c>
      <c r="C103" t="s">
        <v>1</v>
      </c>
      <c r="E103" s="3" t="s">
        <v>43</v>
      </c>
      <c r="F103" s="5">
        <v>43902.489583333336</v>
      </c>
    </row>
    <row r="104" spans="1:6">
      <c r="A104">
        <v>89</v>
      </c>
      <c r="B104" t="s">
        <v>39</v>
      </c>
      <c r="C104" t="s">
        <v>1</v>
      </c>
      <c r="E104" s="3" t="s">
        <v>43</v>
      </c>
      <c r="F104" s="5">
        <v>43902.489583333336</v>
      </c>
    </row>
    <row r="105" spans="1:6">
      <c r="A105">
        <v>90</v>
      </c>
      <c r="B105" t="s">
        <v>39</v>
      </c>
      <c r="C105" t="s">
        <v>1</v>
      </c>
      <c r="E105" s="3" t="s">
        <v>43</v>
      </c>
      <c r="F105" s="5">
        <v>43902.489583333336</v>
      </c>
    </row>
    <row r="106" spans="1:6">
      <c r="A106">
        <v>91</v>
      </c>
      <c r="B106" t="s">
        <v>39</v>
      </c>
      <c r="C106" t="s">
        <v>1</v>
      </c>
      <c r="E106" s="3" t="s">
        <v>43</v>
      </c>
      <c r="F106" s="5">
        <v>43902.489583333336</v>
      </c>
    </row>
    <row r="107" spans="1:6">
      <c r="A107">
        <v>92</v>
      </c>
      <c r="B107" t="s">
        <v>39</v>
      </c>
      <c r="C107" t="s">
        <v>5</v>
      </c>
      <c r="D107" t="s">
        <v>48</v>
      </c>
      <c r="E107" s="3" t="s">
        <v>43</v>
      </c>
      <c r="F107" s="5">
        <v>43902.489583333336</v>
      </c>
    </row>
    <row r="108" spans="1:6">
      <c r="A108">
        <v>93</v>
      </c>
      <c r="B108" t="s">
        <v>39</v>
      </c>
      <c r="C108" t="s">
        <v>5</v>
      </c>
      <c r="D108" t="s">
        <v>48</v>
      </c>
      <c r="E108" s="3" t="s">
        <v>43</v>
      </c>
      <c r="F108" s="5">
        <v>43902.489583333336</v>
      </c>
    </row>
    <row r="109" spans="1:6">
      <c r="A109">
        <v>94</v>
      </c>
      <c r="B109" t="s">
        <v>39</v>
      </c>
      <c r="C109" t="s">
        <v>5</v>
      </c>
      <c r="D109" t="s">
        <v>48</v>
      </c>
      <c r="E109" s="3" t="s">
        <v>43</v>
      </c>
      <c r="F109" s="5">
        <v>43902.489583333336</v>
      </c>
    </row>
    <row r="110" spans="1:6">
      <c r="A110">
        <v>95</v>
      </c>
      <c r="B110" t="s">
        <v>39</v>
      </c>
      <c r="C110" t="s">
        <v>5</v>
      </c>
      <c r="D110" t="s">
        <v>48</v>
      </c>
      <c r="E110" s="3" t="s">
        <v>43</v>
      </c>
      <c r="F110" s="5">
        <v>43902.489583333336</v>
      </c>
    </row>
    <row r="111" spans="1:6">
      <c r="A111">
        <v>96</v>
      </c>
      <c r="B111" s="1" t="s">
        <v>39</v>
      </c>
      <c r="C111" s="1" t="s">
        <v>5</v>
      </c>
      <c r="D111" s="1" t="s">
        <v>48</v>
      </c>
      <c r="E111" s="1" t="s">
        <v>43</v>
      </c>
      <c r="F111" s="6">
        <v>43902.489583333336</v>
      </c>
    </row>
    <row r="112" spans="1:6">
      <c r="A112">
        <v>97</v>
      </c>
      <c r="B112" t="s">
        <v>39</v>
      </c>
      <c r="C112" t="s">
        <v>5</v>
      </c>
      <c r="D112" t="s">
        <v>48</v>
      </c>
      <c r="E112" s="3" t="s">
        <v>43</v>
      </c>
      <c r="F112" s="5">
        <v>43902.489583333336</v>
      </c>
    </row>
    <row r="113" spans="1:6">
      <c r="A113">
        <v>98</v>
      </c>
      <c r="B113" t="s">
        <v>39</v>
      </c>
      <c r="C113" t="s">
        <v>5</v>
      </c>
      <c r="D113" t="s">
        <v>48</v>
      </c>
      <c r="E113" s="3" t="s">
        <v>43</v>
      </c>
      <c r="F113" s="5">
        <v>43902.489583333336</v>
      </c>
    </row>
    <row r="114" spans="1:6">
      <c r="A114">
        <v>99</v>
      </c>
      <c r="B114" t="s">
        <v>39</v>
      </c>
      <c r="C114" t="s">
        <v>5</v>
      </c>
      <c r="D114" t="s">
        <v>48</v>
      </c>
      <c r="E114" s="3" t="s">
        <v>43</v>
      </c>
      <c r="F114" s="5">
        <v>43902.489583333336</v>
      </c>
    </row>
    <row r="115" spans="1:6">
      <c r="A115">
        <v>100</v>
      </c>
      <c r="B115" t="s">
        <v>39</v>
      </c>
      <c r="C115" t="s">
        <v>5</v>
      </c>
      <c r="D115" t="s">
        <v>48</v>
      </c>
      <c r="E115" s="3" t="s">
        <v>43</v>
      </c>
      <c r="F115" s="5">
        <v>43902.489583333336</v>
      </c>
    </row>
    <row r="116" spans="1:6">
      <c r="A116">
        <v>101</v>
      </c>
      <c r="B116" t="s">
        <v>39</v>
      </c>
      <c r="C116" t="s">
        <v>5</v>
      </c>
      <c r="D116" t="s">
        <v>48</v>
      </c>
      <c r="E116" s="3" t="s">
        <v>43</v>
      </c>
      <c r="F116" s="5">
        <v>43902.489583333336</v>
      </c>
    </row>
    <row r="117" spans="1:6">
      <c r="A117">
        <v>102</v>
      </c>
      <c r="B117" t="s">
        <v>39</v>
      </c>
      <c r="C117" t="s">
        <v>5</v>
      </c>
      <c r="D117" t="s">
        <v>48</v>
      </c>
      <c r="E117" s="3" t="s">
        <v>43</v>
      </c>
      <c r="F117" s="5">
        <v>43902.489583333336</v>
      </c>
    </row>
    <row r="118" spans="1:6">
      <c r="A118">
        <v>103</v>
      </c>
      <c r="B118" t="s">
        <v>39</v>
      </c>
      <c r="C118" t="s">
        <v>5</v>
      </c>
      <c r="D118" t="s">
        <v>48</v>
      </c>
      <c r="E118" s="3" t="s">
        <v>43</v>
      </c>
      <c r="F118" s="5">
        <v>43902.489583333336</v>
      </c>
    </row>
    <row r="119" spans="1:6">
      <c r="A119">
        <v>104</v>
      </c>
      <c r="B119" t="s">
        <v>39</v>
      </c>
      <c r="C119" t="s">
        <v>5</v>
      </c>
      <c r="D119" t="s">
        <v>48</v>
      </c>
      <c r="E119" s="3" t="s">
        <v>43</v>
      </c>
      <c r="F119" s="5">
        <v>43902.489583333336</v>
      </c>
    </row>
    <row r="120" spans="1:6">
      <c r="A120">
        <v>105</v>
      </c>
      <c r="B120" t="s">
        <v>39</v>
      </c>
      <c r="C120" t="s">
        <v>5</v>
      </c>
      <c r="D120" t="s">
        <v>48</v>
      </c>
      <c r="E120" s="3" t="s">
        <v>43</v>
      </c>
      <c r="F120" s="5">
        <v>43902.489583333336</v>
      </c>
    </row>
    <row r="121" spans="1:6">
      <c r="A121">
        <v>106</v>
      </c>
      <c r="B121" t="s">
        <v>39</v>
      </c>
      <c r="C121" t="s">
        <v>5</v>
      </c>
      <c r="D121" t="s">
        <v>48</v>
      </c>
      <c r="E121" s="3" t="s">
        <v>43</v>
      </c>
      <c r="F121" s="5">
        <v>43902.489583333336</v>
      </c>
    </row>
    <row r="122" spans="1:6">
      <c r="A122">
        <v>107</v>
      </c>
      <c r="B122" t="s">
        <v>39</v>
      </c>
      <c r="C122" t="s">
        <v>5</v>
      </c>
      <c r="D122" t="s">
        <v>48</v>
      </c>
      <c r="E122" s="3" t="s">
        <v>43</v>
      </c>
      <c r="F122" s="5">
        <v>43902.489583333336</v>
      </c>
    </row>
    <row r="123" spans="1:6">
      <c r="A123">
        <v>108</v>
      </c>
      <c r="B123" t="s">
        <v>39</v>
      </c>
      <c r="C123" t="s">
        <v>5</v>
      </c>
      <c r="D123" t="s">
        <v>48</v>
      </c>
      <c r="E123" s="3" t="s">
        <v>43</v>
      </c>
      <c r="F123" s="5">
        <v>43902.489583333336</v>
      </c>
    </row>
    <row r="124" spans="1:6">
      <c r="A124">
        <v>109</v>
      </c>
      <c r="B124" t="s">
        <v>39</v>
      </c>
      <c r="C124" t="s">
        <v>8</v>
      </c>
      <c r="D124" t="s">
        <v>44</v>
      </c>
      <c r="E124" s="3" t="s">
        <v>43</v>
      </c>
      <c r="F124" s="5">
        <v>43902.489583333336</v>
      </c>
    </row>
    <row r="125" spans="1:6">
      <c r="A125">
        <v>110</v>
      </c>
      <c r="B125" t="s">
        <v>39</v>
      </c>
      <c r="C125" t="s">
        <v>10</v>
      </c>
      <c r="E125" s="3" t="s">
        <v>43</v>
      </c>
      <c r="F125" s="5">
        <v>43902.489583333336</v>
      </c>
    </row>
    <row r="126" spans="1:6">
      <c r="A126">
        <v>111</v>
      </c>
      <c r="B126" t="s">
        <v>40</v>
      </c>
      <c r="C126" t="s">
        <v>1</v>
      </c>
      <c r="D126" t="s">
        <v>48</v>
      </c>
      <c r="E126" s="3" t="s">
        <v>43</v>
      </c>
      <c r="F126" s="5">
        <v>43902.836805555555</v>
      </c>
    </row>
    <row r="127" spans="1:6">
      <c r="A127">
        <v>112</v>
      </c>
      <c r="B127" t="s">
        <v>41</v>
      </c>
      <c r="C127" t="s">
        <v>1</v>
      </c>
      <c r="E127" s="3" t="s">
        <v>43</v>
      </c>
      <c r="F127" s="5">
        <v>43902.84375</v>
      </c>
    </row>
    <row r="128" spans="1:6">
      <c r="A128">
        <v>113</v>
      </c>
      <c r="B128" t="s">
        <v>58</v>
      </c>
      <c r="C128" t="s">
        <v>1</v>
      </c>
      <c r="E128" s="3" t="s">
        <v>43</v>
      </c>
      <c r="F128" s="5">
        <v>43903.305555555555</v>
      </c>
    </row>
    <row r="129" spans="1:6">
      <c r="A129">
        <v>114</v>
      </c>
      <c r="B129" t="s">
        <v>58</v>
      </c>
      <c r="C129" t="s">
        <v>1</v>
      </c>
      <c r="E129" s="3" t="s">
        <v>43</v>
      </c>
      <c r="F129" s="5">
        <v>43903.305555555555</v>
      </c>
    </row>
    <row r="130" spans="1:6">
      <c r="A130">
        <v>115</v>
      </c>
      <c r="B130" t="s">
        <v>58</v>
      </c>
      <c r="C130" t="s">
        <v>1</v>
      </c>
      <c r="E130" s="3" t="s">
        <v>43</v>
      </c>
      <c r="F130" s="5">
        <v>43903.305555555555</v>
      </c>
    </row>
    <row r="131" spans="1:6">
      <c r="A131">
        <v>116</v>
      </c>
      <c r="B131" t="s">
        <v>58</v>
      </c>
      <c r="C131" t="s">
        <v>1</v>
      </c>
      <c r="E131" s="3" t="s">
        <v>43</v>
      </c>
      <c r="F131" s="5">
        <v>43903.305555555555</v>
      </c>
    </row>
    <row r="132" spans="1:6">
      <c r="A132">
        <v>117</v>
      </c>
      <c r="B132" t="s">
        <v>58</v>
      </c>
      <c r="C132" t="s">
        <v>1</v>
      </c>
      <c r="E132" s="3" t="s">
        <v>43</v>
      </c>
      <c r="F132" s="5">
        <v>43903.305555555555</v>
      </c>
    </row>
    <row r="133" spans="1:6">
      <c r="A133">
        <v>118</v>
      </c>
      <c r="B133" t="s">
        <v>58</v>
      </c>
      <c r="C133" t="s">
        <v>1</v>
      </c>
      <c r="E133" s="3" t="s">
        <v>43</v>
      </c>
      <c r="F133" s="5">
        <v>43903.305555555555</v>
      </c>
    </row>
    <row r="134" spans="1:6">
      <c r="A134">
        <v>119</v>
      </c>
      <c r="B134" t="s">
        <v>58</v>
      </c>
      <c r="C134" t="s">
        <v>1</v>
      </c>
      <c r="E134" s="3" t="s">
        <v>43</v>
      </c>
      <c r="F134" s="5">
        <v>43903.305555555555</v>
      </c>
    </row>
    <row r="135" spans="1:6">
      <c r="A135">
        <v>120</v>
      </c>
      <c r="B135" t="s">
        <v>58</v>
      </c>
      <c r="C135" t="s">
        <v>1</v>
      </c>
      <c r="E135" s="3" t="s">
        <v>43</v>
      </c>
      <c r="F135" s="5">
        <v>43903.305555555555</v>
      </c>
    </row>
    <row r="136" spans="1:6">
      <c r="A136">
        <v>121</v>
      </c>
      <c r="B136" t="s">
        <v>58</v>
      </c>
      <c r="C136" t="s">
        <v>1</v>
      </c>
      <c r="E136" s="3" t="s">
        <v>43</v>
      </c>
      <c r="F136" s="5">
        <v>43903.305555555555</v>
      </c>
    </row>
    <row r="137" spans="1:6">
      <c r="A137">
        <v>122</v>
      </c>
      <c r="B137" t="s">
        <v>58</v>
      </c>
      <c r="C137" t="s">
        <v>1</v>
      </c>
      <c r="E137" s="3" t="s">
        <v>43</v>
      </c>
      <c r="F137" s="5">
        <v>43903.305555555555</v>
      </c>
    </row>
    <row r="138" spans="1:6">
      <c r="A138">
        <v>123</v>
      </c>
      <c r="B138" t="s">
        <v>58</v>
      </c>
      <c r="C138" t="s">
        <v>1</v>
      </c>
      <c r="E138" s="3" t="s">
        <v>43</v>
      </c>
      <c r="F138" s="5">
        <v>43903.305555555555</v>
      </c>
    </row>
    <row r="139" spans="1:6">
      <c r="A139">
        <v>124</v>
      </c>
      <c r="B139" t="s">
        <v>58</v>
      </c>
      <c r="C139" t="s">
        <v>1</v>
      </c>
      <c r="E139" s="3" t="s">
        <v>43</v>
      </c>
      <c r="F139" s="5">
        <v>43903.305555555555</v>
      </c>
    </row>
    <row r="140" spans="1:6">
      <c r="A140">
        <v>125</v>
      </c>
      <c r="B140" t="s">
        <v>58</v>
      </c>
      <c r="C140" t="s">
        <v>1</v>
      </c>
      <c r="E140" s="3" t="s">
        <v>43</v>
      </c>
      <c r="F140" s="5">
        <v>43903.305555555555</v>
      </c>
    </row>
    <row r="141" spans="1:6">
      <c r="A141">
        <v>126</v>
      </c>
      <c r="B141" t="s">
        <v>58</v>
      </c>
      <c r="C141" t="s">
        <v>1</v>
      </c>
      <c r="E141" s="3" t="s">
        <v>43</v>
      </c>
      <c r="F141" s="5">
        <v>43903.305555555555</v>
      </c>
    </row>
    <row r="142" spans="1:6">
      <c r="A142">
        <v>127</v>
      </c>
      <c r="B142" t="s">
        <v>58</v>
      </c>
      <c r="C142" t="s">
        <v>1</v>
      </c>
      <c r="E142" s="3" t="s">
        <v>43</v>
      </c>
      <c r="F142" s="5">
        <v>43903.305555555555</v>
      </c>
    </row>
    <row r="143" spans="1:6">
      <c r="A143">
        <v>128</v>
      </c>
      <c r="B143" t="s">
        <v>58</v>
      </c>
      <c r="C143" t="s">
        <v>1</v>
      </c>
      <c r="E143" s="3" t="s">
        <v>43</v>
      </c>
      <c r="F143" s="5">
        <v>43903.305555555555</v>
      </c>
    </row>
    <row r="144" spans="1:6">
      <c r="A144">
        <v>129</v>
      </c>
      <c r="B144" t="s">
        <v>58</v>
      </c>
      <c r="C144" t="s">
        <v>1</v>
      </c>
      <c r="E144" s="3" t="s">
        <v>43</v>
      </c>
      <c r="F144" s="5">
        <v>43903.305555555555</v>
      </c>
    </row>
    <row r="145" spans="1:6">
      <c r="A145">
        <v>130</v>
      </c>
      <c r="B145" t="s">
        <v>59</v>
      </c>
      <c r="C145" t="s">
        <v>3</v>
      </c>
      <c r="D145" t="s">
        <v>45</v>
      </c>
      <c r="E145" s="3" t="s">
        <v>43</v>
      </c>
      <c r="F145" s="5">
        <v>43903.371527777781</v>
      </c>
    </row>
    <row r="146" spans="1:6">
      <c r="A146">
        <v>131</v>
      </c>
      <c r="B146" t="s">
        <v>59</v>
      </c>
      <c r="C146" t="s">
        <v>3</v>
      </c>
      <c r="D146" t="s">
        <v>48</v>
      </c>
      <c r="E146" s="3" t="s">
        <v>43</v>
      </c>
      <c r="F146" s="5">
        <v>43903.371527777781</v>
      </c>
    </row>
    <row r="147" spans="1:6">
      <c r="A147">
        <v>132</v>
      </c>
      <c r="B147" t="s">
        <v>59</v>
      </c>
      <c r="C147" t="s">
        <v>3</v>
      </c>
      <c r="D147" t="s">
        <v>48</v>
      </c>
      <c r="E147" s="3" t="s">
        <v>43</v>
      </c>
      <c r="F147" s="5">
        <v>43903.371527777781</v>
      </c>
    </row>
    <row r="148" spans="1:6">
      <c r="A148">
        <v>133</v>
      </c>
      <c r="B148" t="s">
        <v>59</v>
      </c>
      <c r="C148" t="s">
        <v>3</v>
      </c>
      <c r="D148" t="s">
        <v>48</v>
      </c>
      <c r="E148" s="3" t="s">
        <v>43</v>
      </c>
      <c r="F148" s="5">
        <v>43903.371527777781</v>
      </c>
    </row>
    <row r="149" spans="1:6">
      <c r="A149">
        <v>134</v>
      </c>
      <c r="B149" t="s">
        <v>59</v>
      </c>
      <c r="C149" t="s">
        <v>3</v>
      </c>
      <c r="D149" t="s">
        <v>48</v>
      </c>
      <c r="E149" s="3" t="s">
        <v>43</v>
      </c>
      <c r="F149" s="5">
        <v>43903.371527777781</v>
      </c>
    </row>
    <row r="150" spans="1:6">
      <c r="A150">
        <v>135</v>
      </c>
      <c r="B150" t="s">
        <v>59</v>
      </c>
      <c r="C150" t="s">
        <v>7</v>
      </c>
      <c r="D150" t="s">
        <v>48</v>
      </c>
      <c r="E150" s="3" t="s">
        <v>43</v>
      </c>
      <c r="F150" s="5">
        <v>43903.371527777781</v>
      </c>
    </row>
    <row r="151" spans="1:6">
      <c r="A151">
        <v>136</v>
      </c>
      <c r="B151" t="s">
        <v>59</v>
      </c>
      <c r="C151" t="s">
        <v>7</v>
      </c>
      <c r="D151" t="s">
        <v>48</v>
      </c>
      <c r="E151" s="3" t="s">
        <v>43</v>
      </c>
      <c r="F151" s="5">
        <v>43903.371527777781</v>
      </c>
    </row>
    <row r="152" spans="1:6">
      <c r="A152">
        <v>137</v>
      </c>
      <c r="B152" t="s">
        <v>59</v>
      </c>
      <c r="C152" t="s">
        <v>7</v>
      </c>
      <c r="D152" t="s">
        <v>48</v>
      </c>
      <c r="E152" s="3" t="s">
        <v>43</v>
      </c>
      <c r="F152" s="5">
        <v>43903.371527777781</v>
      </c>
    </row>
    <row r="153" spans="1:6">
      <c r="A153">
        <v>138</v>
      </c>
      <c r="B153" t="s">
        <v>59</v>
      </c>
      <c r="C153" t="s">
        <v>7</v>
      </c>
      <c r="D153" t="s">
        <v>48</v>
      </c>
      <c r="E153" s="3" t="s">
        <v>43</v>
      </c>
      <c r="F153" s="5">
        <v>43903.371527777781</v>
      </c>
    </row>
    <row r="154" spans="1:6">
      <c r="A154">
        <v>139</v>
      </c>
      <c r="B154" t="s">
        <v>59</v>
      </c>
      <c r="C154" t="s">
        <v>7</v>
      </c>
      <c r="D154" t="s">
        <v>45</v>
      </c>
      <c r="E154" s="3" t="s">
        <v>43</v>
      </c>
      <c r="F154" s="5">
        <v>43903.371527777781</v>
      </c>
    </row>
    <row r="155" spans="1:6">
      <c r="A155">
        <v>140</v>
      </c>
      <c r="B155" t="s">
        <v>59</v>
      </c>
      <c r="C155" t="s">
        <v>7</v>
      </c>
      <c r="D155" t="s">
        <v>45</v>
      </c>
      <c r="E155" s="3" t="s">
        <v>43</v>
      </c>
      <c r="F155" s="5">
        <v>43903.371527777781</v>
      </c>
    </row>
    <row r="156" spans="1:6">
      <c r="A156">
        <v>141</v>
      </c>
      <c r="B156" t="s">
        <v>59</v>
      </c>
      <c r="C156" t="s">
        <v>7</v>
      </c>
      <c r="D156" t="s">
        <v>45</v>
      </c>
      <c r="E156" s="3" t="s">
        <v>43</v>
      </c>
      <c r="F156" s="5">
        <v>43903.371527777781</v>
      </c>
    </row>
    <row r="157" spans="1:6">
      <c r="A157">
        <v>142</v>
      </c>
      <c r="B157" t="s">
        <v>59</v>
      </c>
      <c r="C157" t="s">
        <v>8</v>
      </c>
      <c r="E157" s="3" t="s">
        <v>43</v>
      </c>
      <c r="F157" s="5">
        <v>43903.371527777781</v>
      </c>
    </row>
    <row r="158" spans="1:6">
      <c r="A158">
        <v>143</v>
      </c>
      <c r="B158" t="s">
        <v>59</v>
      </c>
      <c r="C158" t="s">
        <v>8</v>
      </c>
      <c r="E158" s="3" t="s">
        <v>43</v>
      </c>
      <c r="F158" s="5">
        <v>43903.371527777781</v>
      </c>
    </row>
    <row r="159" spans="1:6">
      <c r="A159">
        <v>144</v>
      </c>
      <c r="B159" t="s">
        <v>59</v>
      </c>
      <c r="C159" t="s">
        <v>8</v>
      </c>
      <c r="E159" s="3" t="s">
        <v>43</v>
      </c>
      <c r="F159" s="5">
        <v>43903.371527777781</v>
      </c>
    </row>
    <row r="160" spans="1:6">
      <c r="A160">
        <v>145</v>
      </c>
      <c r="B160" t="s">
        <v>59</v>
      </c>
      <c r="C160" t="s">
        <v>8</v>
      </c>
      <c r="E160" s="3" t="s">
        <v>43</v>
      </c>
      <c r="F160" s="5">
        <v>43903.371527777781</v>
      </c>
    </row>
    <row r="161" spans="1:6">
      <c r="A161">
        <v>146</v>
      </c>
      <c r="B161" t="s">
        <v>59</v>
      </c>
      <c r="C161" t="s">
        <v>8</v>
      </c>
      <c r="E161" s="3" t="s">
        <v>43</v>
      </c>
      <c r="F161" s="5">
        <v>43903.371527777781</v>
      </c>
    </row>
    <row r="162" spans="1:6">
      <c r="A162">
        <v>147</v>
      </c>
      <c r="B162" t="s">
        <v>59</v>
      </c>
      <c r="C162" t="s">
        <v>8</v>
      </c>
      <c r="E162" s="3" t="s">
        <v>43</v>
      </c>
      <c r="F162" s="5">
        <v>43903.371527777781</v>
      </c>
    </row>
    <row r="163" spans="1:6">
      <c r="A163">
        <v>148</v>
      </c>
      <c r="B163" t="s">
        <v>60</v>
      </c>
      <c r="C163" t="s">
        <v>5</v>
      </c>
      <c r="E163" s="3" t="s">
        <v>43</v>
      </c>
      <c r="F163" s="5">
        <v>43903.395833333336</v>
      </c>
    </row>
    <row r="164" spans="1:6">
      <c r="A164">
        <v>149</v>
      </c>
      <c r="B164" t="s">
        <v>60</v>
      </c>
      <c r="C164" t="s">
        <v>11</v>
      </c>
      <c r="D164" t="s">
        <v>48</v>
      </c>
      <c r="E164" s="3" t="s">
        <v>43</v>
      </c>
      <c r="F164" s="5">
        <v>43903.395833333336</v>
      </c>
    </row>
    <row r="165" spans="1:6">
      <c r="A165">
        <v>150</v>
      </c>
      <c r="B165" t="s">
        <v>60</v>
      </c>
      <c r="C165" t="s">
        <v>11</v>
      </c>
      <c r="D165" t="s">
        <v>44</v>
      </c>
      <c r="E165" s="3" t="s">
        <v>43</v>
      </c>
      <c r="F165" s="5">
        <v>43903.395833333336</v>
      </c>
    </row>
    <row r="166" spans="1:6">
      <c r="A166">
        <v>151</v>
      </c>
      <c r="B166" t="s">
        <v>60</v>
      </c>
      <c r="C166" t="s">
        <v>11</v>
      </c>
      <c r="D166" t="s">
        <v>44</v>
      </c>
      <c r="E166" s="3" t="s">
        <v>43</v>
      </c>
      <c r="F166" s="5">
        <v>43903.395833333336</v>
      </c>
    </row>
    <row r="167" spans="1:6">
      <c r="A167">
        <v>152</v>
      </c>
      <c r="B167" t="s">
        <v>60</v>
      </c>
      <c r="C167" t="s">
        <v>11</v>
      </c>
      <c r="D167" t="s">
        <v>44</v>
      </c>
      <c r="E167" s="3" t="s">
        <v>43</v>
      </c>
      <c r="F167" s="5">
        <v>43903.395833333336</v>
      </c>
    </row>
    <row r="168" spans="1:6">
      <c r="A168">
        <v>153</v>
      </c>
      <c r="B168" t="s">
        <v>60</v>
      </c>
      <c r="C168" t="s">
        <v>11</v>
      </c>
      <c r="D168" t="s">
        <v>44</v>
      </c>
      <c r="E168" s="3" t="s">
        <v>43</v>
      </c>
      <c r="F168" s="5">
        <v>43903.395833333336</v>
      </c>
    </row>
    <row r="169" spans="1:6">
      <c r="A169">
        <v>154</v>
      </c>
      <c r="B169" t="s">
        <v>60</v>
      </c>
      <c r="C169" t="s">
        <v>61</v>
      </c>
      <c r="E169" s="3" t="s">
        <v>43</v>
      </c>
      <c r="F169" s="5">
        <v>43903.395833333336</v>
      </c>
    </row>
    <row r="170" spans="1:6">
      <c r="A170">
        <v>155</v>
      </c>
      <c r="B170" t="s">
        <v>60</v>
      </c>
      <c r="C170" t="s">
        <v>2</v>
      </c>
      <c r="E170" s="3" t="s">
        <v>43</v>
      </c>
      <c r="F170" s="5">
        <v>43903.395833333336</v>
      </c>
    </row>
    <row r="171" spans="1:6">
      <c r="A171">
        <v>156</v>
      </c>
      <c r="B171" t="s">
        <v>60</v>
      </c>
      <c r="C171" t="s">
        <v>2</v>
      </c>
      <c r="E171" s="3" t="s">
        <v>43</v>
      </c>
      <c r="F171" s="5">
        <v>43903.395833333336</v>
      </c>
    </row>
  </sheetData>
  <mergeCells count="1">
    <mergeCell ref="A2:C6"/>
  </mergeCells>
  <hyperlinks>
    <hyperlink ref="A11" r:id="rId1" xr:uid="{F8FA84BD-A594-4E50-8533-EFEB1B4E2616}"/>
    <hyperlink ref="A9" r:id="rId2" xr:uid="{3C641F14-022E-4A09-BCA3-F517507E4420}"/>
    <hyperlink ref="A10" r:id="rId3" xr:uid="{A2A2D222-8F1A-41CF-A12E-D0174C77E917}"/>
  </hyperlinks>
  <pageMargins left="0.7" right="0.7" top="0.75" bottom="0.75" header="0.3" footer="0.3"/>
  <pageSetup paperSize="9" orientation="portrait" horizontalDpi="300" verticalDpi="30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aika</vt:lpstr>
      <vt:lpstr>Id</vt:lpstr>
      <vt:lpstr>Paivitetty</vt:lpstr>
      <vt:lpstr>Tapauksia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Jussi Virkkala</dc:creator>
  <cp:lastModifiedBy>Jussi Virkkala</cp:lastModifiedBy>
  <dcterms:created xsi:type="dcterms:W3CDTF">2020-03-13T08:28:28Z</dcterms:created>
  <dcterms:modified xsi:type="dcterms:W3CDTF">2020-03-14T07:15:56Z</dcterms:modified>
</cp:coreProperties>
</file>