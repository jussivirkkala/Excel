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6B6479EA-6213-4BD1-B7FA-259EA825C5AE}"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D32" i="2" s="1"/>
  <c r="A31" i="2" l="1"/>
</calcChain>
</file>

<file path=xl/sharedStrings.xml><?xml version="1.0" encoding="utf-8"?>
<sst xmlns="http://schemas.openxmlformats.org/spreadsheetml/2006/main" count="639" uniqueCount="335">
  <si>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</si>
  <si>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</si>
  <si>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</si>
  <si>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</si>
  <si>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</si>
  <si>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</si>
  <si>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</si>
  <si>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</si>
  <si>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</si>
  <si>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</si>
  <si>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</si>
  <si>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</si>
  <si>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</si>
  <si>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</si>
  <si>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</si>
  <si>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</si>
  <si>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</si>
  <si>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</si>
  <si>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</si>
  <si>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</si>
  <si>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</si>
  <si>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</si>
  <si>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</si>
  <si>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</si>
  <si>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</si>
  <si>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</si>
  <si>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</si>
  <si>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</si>
  <si>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</si>
  <si>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</si>
  <si>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</si>
  <si>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</si>
  <si>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</si>
  <si>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</si>
  <si>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</si>
  <si>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</si>
  <si>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</si>
  <si>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</si>
  <si>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</si>
  <si>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</si>
  <si>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</si>
  <si>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</si>
  <si>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</si>
  <si>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</si>
  <si>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</si>
  <si>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</si>
  <si>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</si>
  <si>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</si>
  <si>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</si>
  <si>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</si>
  <si>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</si>
  <si>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</si>
  <si>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</si>
  <si>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</si>
  <si>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</si>
  <si>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</si>
  <si>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</si>
  <si>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</si>
  <si>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</si>
  <si>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</si>
  <si>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</si>
  <si>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</si>
  <si>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</si>
  <si>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</si>
  <si>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</si>
  <si>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</si>
  <si>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</si>
  <si>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</si>
  <si>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</si>
  <si>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</si>
  <si>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</si>
  <si>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</si>
  <si>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</si>
  <si>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</si>
  <si>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</si>
  <si>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</si>
  <si>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</si>
  <si>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</si>
  <si>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</si>
  <si>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</si>
  <si>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</si>
  <si>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</si>
  <si>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</si>
  <si>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</si>
  <si>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</si>
  <si>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</si>
  <si>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</si>
  <si>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</si>
  <si>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</si>
  <si>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</si>
  <si>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</si>
  <si>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</si>
  <si>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</si>
  <si>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</si>
  <si>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</si>
  <si>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</si>
  <si>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</si>
  <si>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</si>
  <si>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</si>
  <si>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</si>
  <si>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</si>
  <si>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</si>
  <si>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</si>
  <si>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</si>
  <si>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</si>
  <si>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</si>
  <si>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</si>
  <si>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</si>
  <si>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</si>
  <si>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</si>
  <si>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</si>
  <si>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</si>
  <si>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</si>
  <si>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</si>
  <si>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</si>
  <si>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</si>
  <si>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</si>
  <si>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</si>
  <si>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</si>
  <si>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</si>
  <si>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</si>
  <si>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</si>
  <si>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</si>
  <si>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</si>
  <si>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</si>
  <si>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</si>
  <si>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</si>
  <si>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</si>
  <si>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</si>
  <si>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</si>
  <si>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</si>
  <si>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</si>
  <si>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</si>
  <si>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</si>
  <si>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</si>
  <si>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</si>
  <si>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</si>
  <si>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</si>
  <si>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</si>
  <si>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</si>
  <si>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</si>
  <si>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</si>
  <si>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</si>
  <si>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</si>
  <si>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</si>
  <si>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</si>
  <si>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</si>
  <si>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</si>
  <si>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</si>
  <si>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</si>
  <si>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</si>
  <si>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</si>
  <si>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</si>
  <si>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</si>
  <si>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</si>
  <si>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</si>
  <si>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</si>
  <si>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</si>
  <si>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</si>
  <si>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</si>
  <si>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</si>
  <si>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</si>
  <si>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</si>
  <si>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</si>
  <si>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</si>
  <si>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</si>
  <si>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</si>
  <si>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</si>
  <si>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</si>
  <si>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</si>
  <si>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</si>
  <si>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</si>
  <si>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</si>
  <si>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</si>
  <si>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</si>
  <si>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</si>
  <si>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</si>
  <si>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</si>
  <si>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</si>
  <si>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</si>
  <si>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</si>
  <si>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</si>
  <si>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</si>
  <si>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</si>
  <si>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</si>
  <si>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</si>
  <si>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</si>
  <si>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</si>
  <si>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</si>
  <si>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</si>
  <si>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</si>
  <si>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</si>
  <si>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</si>
  <si>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</si>
  <si>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</si>
  <si>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</si>
  <si>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</si>
  <si>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</si>
  <si>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</si>
  <si>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</si>
  <si>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</si>
  <si>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</si>
  <si>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</si>
  <si>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</si>
  <si>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</si>
  <si>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</si>
  <si>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</si>
  <si>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</si>
  <si>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</si>
  <si>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</si>
  <si>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</si>
  <si>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</si>
  <si>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</si>
  <si>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</si>
  <si>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</si>
  <si>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</si>
  <si>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</si>
  <si>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</si>
  <si>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</si>
  <si>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</si>
  <si>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</si>
  <si>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</si>
  <si>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</si>
  <si>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</si>
  <si>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</si>
  <si>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</si>
  <si>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</si>
  <si>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</si>
  <si>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</si>
  <si>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</si>
  <si>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</si>
  <si>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</si>
  <si>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</si>
  <si>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</si>
  <si>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</si>
  <si>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</si>
  <si>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</si>
  <si>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</si>
  <si>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</si>
  <si>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</si>
  <si>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</si>
  <si>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</si>
  <si>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</si>
  <si>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</si>
  <si>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</si>
  <si>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</si>
  <si>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</si>
  <si>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</si>
  <si>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</si>
  <si>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</si>
  <si>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</si>
  <si>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</si>
  <si>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</si>
  <si>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</si>
  <si>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</si>
  <si>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</si>
  <si>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</si>
  <si>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</si>
  <si>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</si>
  <si>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</si>
  <si>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</si>
  <si>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</si>
  <si>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</si>
  <si>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</si>
  <si>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</si>
  <si>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</si>
  <si>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</si>
  <si>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</si>
  <si>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</si>
  <si>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</si>
  <si>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</si>
  <si>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</si>
  <si>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</si>
  <si>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</si>
  <si>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</si>
  <si>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</si>
  <si>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</si>
  <si>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</si>
  <si>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</si>
  <si>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</si>
  <si>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</si>
  <si>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</si>
  <si>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</si>
  <si>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</si>
  <si>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</si>
  <si>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</si>
  <si>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</si>
  <si>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</si>
  <si>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</si>
  <si>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</si>
  <si>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</si>
  <si>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</si>
  <si>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</si>
  <si>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</si>
  <si>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</si>
  <si>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</si>
  <si>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</si>
  <si>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</si>
  <si>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</si>
  <si>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</si>
  <si>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</si>
  <si>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</si>
  <si>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</si>
  <si>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</si>
  <si>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</si>
  <si>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</si>
  <si>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</si>
  <si>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</si>
  <si>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</si>
  <si>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</si>
  <si>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</si>
  <si>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</si>
  <si>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</si>
  <si>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</si>
  <si>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</si>
  <si>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</si>
  <si>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</si>
  <si>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</si>
  <si>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</si>
  <si>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</si>
  <si>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</si>
  <si>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</si>
  <si>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</si>
  <si>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</si>
  <si>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</si>
  <si>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</si>
  <si>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</si>
  <si>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</si>
  <si>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</si>
  <si>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</si>
  <si>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</si>
  <si>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</si>
  <si>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</si>
  <si>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</si>
  <si>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2020-10-30T10:09:50.520Z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</si>
</sst>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25.10 saakka. Suurin arvo 306, joka 7.10. Uusimpien 5 päivien arvot tulevat viiveellä, joten ne jätetty pois 30.10.</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[0]!Plot</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106</c:v>
                </c:pt>
                <c:pt idx="266">
                  <c:v>117</c:v>
                </c:pt>
                <c:pt idx="267">
                  <c:v>97</c:v>
                </c:pt>
                <c:pt idx="268">
                  <c:v>127</c:v>
                </c:pt>
                <c:pt idx="269">
                  <c:v>73</c:v>
                </c:pt>
                <c:pt idx="270">
                  <c:v>71</c:v>
                </c:pt>
                <c:pt idx="271">
                  <c:v>122</c:v>
                </c:pt>
                <c:pt idx="272">
                  <c:v>135</c:v>
                </c:pt>
                <c:pt idx="273">
                  <c:v>165</c:v>
                </c:pt>
                <c:pt idx="274">
                  <c:v>188</c:v>
                </c:pt>
                <c:pt idx="275">
                  <c:v>189</c:v>
                </c:pt>
                <c:pt idx="276">
                  <c:v>170</c:v>
                </c:pt>
                <c:pt idx="277">
                  <c:v>147</c:v>
                </c:pt>
                <c:pt idx="278">
                  <c:v>290</c:v>
                </c:pt>
                <c:pt idx="279">
                  <c:v>301</c:v>
                </c:pt>
                <c:pt idx="280">
                  <c:v>306</c:v>
                </c:pt>
                <c:pt idx="281">
                  <c:v>260</c:v>
                </c:pt>
                <c:pt idx="282">
                  <c:v>226</c:v>
                </c:pt>
                <c:pt idx="283">
                  <c:v>109</c:v>
                </c:pt>
                <c:pt idx="284">
                  <c:v>130</c:v>
                </c:pt>
                <c:pt idx="285">
                  <c:v>254</c:v>
                </c:pt>
                <c:pt idx="286">
                  <c:v>197</c:v>
                </c:pt>
                <c:pt idx="287">
                  <c:v>200</c:v>
                </c:pt>
                <c:pt idx="288">
                  <c:v>190</c:v>
                </c:pt>
                <c:pt idx="289">
                  <c:v>192</c:v>
                </c:pt>
                <c:pt idx="290">
                  <c:v>100</c:v>
                </c:pt>
                <c:pt idx="291">
                  <c:v>127</c:v>
                </c:pt>
                <c:pt idx="292">
                  <c:v>244</c:v>
                </c:pt>
                <c:pt idx="293">
                  <c:v>161</c:v>
                </c:pt>
                <c:pt idx="294">
                  <c:v>189</c:v>
                </c:pt>
                <c:pt idx="295">
                  <c:v>212</c:v>
                </c:pt>
                <c:pt idx="296">
                  <c:v>192</c:v>
                </c:pt>
                <c:pt idx="297">
                  <c:v>107</c:v>
                </c:pt>
                <c:pt idx="298">
                  <c:v>123</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2071</c:v>
                </c:pt>
                <c:pt idx="1">
                  <c:v>2079</c:v>
                </c:pt>
                <c:pt idx="2">
                  <c:v>2088</c:v>
                </c:pt>
                <c:pt idx="3">
                  <c:v>2026</c:v>
                </c:pt>
                <c:pt idx="4">
                  <c:v>1840</c:v>
                </c:pt>
                <c:pt idx="5">
                  <c:v>1224</c:v>
                </c:pt>
                <c:pt idx="6">
                  <c:v>1236</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44106</c:v>
                </c:pt>
                <c:pt idx="1">
                  <c:v>44107</c:v>
                </c:pt>
                <c:pt idx="2">
                  <c:v>44108</c:v>
                </c:pt>
                <c:pt idx="3">
                  <c:v>44109</c:v>
                </c:pt>
                <c:pt idx="4">
                  <c:v>44110</c:v>
                </c:pt>
                <c:pt idx="5">
                  <c:v>44111</c:v>
                </c:pt>
                <c:pt idx="6">
                  <c:v>44112</c:v>
                </c:pt>
                <c:pt idx="7">
                  <c:v>44113</c:v>
                </c:pt>
                <c:pt idx="8">
                  <c:v>44114</c:v>
                </c:pt>
                <c:pt idx="9">
                  <c:v>44115</c:v>
                </c:pt>
                <c:pt idx="10">
                  <c:v>44116</c:v>
                </c:pt>
                <c:pt idx="11">
                  <c:v>44117</c:v>
                </c:pt>
                <c:pt idx="12">
                  <c:v>44118</c:v>
                </c:pt>
                <c:pt idx="13">
                  <c:v>44119</c:v>
                </c:pt>
                <c:pt idx="14">
                  <c:v>44120</c:v>
                </c:pt>
                <c:pt idx="15">
                  <c:v>44121</c:v>
                </c:pt>
                <c:pt idx="16">
                  <c:v>44122</c:v>
                </c:pt>
                <c:pt idx="17">
                  <c:v>44123</c:v>
                </c:pt>
                <c:pt idx="18">
                  <c:v>44124</c:v>
                </c:pt>
                <c:pt idx="19">
                  <c:v>44125</c:v>
                </c:pt>
                <c:pt idx="20">
                  <c:v>44126</c:v>
                </c:pt>
                <c:pt idx="21">
                  <c:v>44127</c:v>
                </c:pt>
                <c:pt idx="22">
                  <c:v>44128</c:v>
                </c:pt>
                <c:pt idx="23">
                  <c:v>44129</c:v>
                </c:pt>
                <c:pt idx="24">
                  <c:v>44130</c:v>
                </c:pt>
                <c:pt idx="25">
                  <c:v>44131</c:v>
                </c:pt>
                <c:pt idx="26">
                  <c:v>44132</c:v>
                </c:pt>
                <c:pt idx="27">
                  <c:v>44133</c:v>
                </c:pt>
              </c:numCache>
            </c:numRef>
          </c:cat>
          <c:val>
            <c:numRef>
              <c:f>Kuvaajat!$D$37:$D$64</c:f>
              <c:numCache>
                <c:formatCode>General</c:formatCode>
                <c:ptCount val="28"/>
                <c:pt idx="0">
                  <c:v>189</c:v>
                </c:pt>
                <c:pt idx="1">
                  <c:v>170</c:v>
                </c:pt>
                <c:pt idx="2">
                  <c:v>147</c:v>
                </c:pt>
                <c:pt idx="3">
                  <c:v>290</c:v>
                </c:pt>
                <c:pt idx="4">
                  <c:v>301</c:v>
                </c:pt>
                <c:pt idx="5">
                  <c:v>306</c:v>
                </c:pt>
                <c:pt idx="6">
                  <c:v>260</c:v>
                </c:pt>
                <c:pt idx="7">
                  <c:v>226</c:v>
                </c:pt>
                <c:pt idx="8">
                  <c:v>109</c:v>
                </c:pt>
                <c:pt idx="9">
                  <c:v>130</c:v>
                </c:pt>
                <c:pt idx="10">
                  <c:v>254</c:v>
                </c:pt>
                <c:pt idx="11">
                  <c:v>197</c:v>
                </c:pt>
                <c:pt idx="12">
                  <c:v>200</c:v>
                </c:pt>
                <c:pt idx="13">
                  <c:v>190</c:v>
                </c:pt>
                <c:pt idx="14">
                  <c:v>192</c:v>
                </c:pt>
                <c:pt idx="15">
                  <c:v>100</c:v>
                </c:pt>
                <c:pt idx="16">
                  <c:v>127</c:v>
                </c:pt>
                <c:pt idx="17">
                  <c:v>244</c:v>
                </c:pt>
                <c:pt idx="18">
                  <c:v>161</c:v>
                </c:pt>
                <c:pt idx="19">
                  <c:v>189</c:v>
                </c:pt>
                <c:pt idx="20">
                  <c:v>212</c:v>
                </c:pt>
                <c:pt idx="21">
                  <c:v>192</c:v>
                </c:pt>
                <c:pt idx="22">
                  <c:v>107</c:v>
                </c:pt>
                <c:pt idx="23">
                  <c:v>123</c:v>
                </c:pt>
                <c:pt idx="24">
                  <c:v>253</c:v>
                </c:pt>
                <c:pt idx="25">
                  <c:v>216</c:v>
                </c:pt>
                <c:pt idx="26">
                  <c:v>189</c:v>
                </c:pt>
                <c:pt idx="27">
                  <c:v>70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N=15910._x000d_Uusimmat 30.10 lisäykset punaisella n=344.</c:v>
            </c:pt>
          </c:strCache>
        </c:strRef>
      </c:tx>
      <c:layout>
        <c:manualLayout>
          <c:xMode val="edge"/>
          <c:yMode val="edge"/>
          <c:x val="0.65203273159325326"/>
          <c:y val="1.634956867996211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44106</c:v>
                </c:pt>
                <c:pt idx="1">
                  <c:v>44107</c:v>
                </c:pt>
                <c:pt idx="2">
                  <c:v>44108</c:v>
                </c:pt>
                <c:pt idx="3">
                  <c:v>44109</c:v>
                </c:pt>
                <c:pt idx="4">
                  <c:v>44110</c:v>
                </c:pt>
                <c:pt idx="5">
                  <c:v>44111</c:v>
                </c:pt>
                <c:pt idx="6">
                  <c:v>44112</c:v>
                </c:pt>
                <c:pt idx="7">
                  <c:v>44113</c:v>
                </c:pt>
                <c:pt idx="8">
                  <c:v>44114</c:v>
                </c:pt>
                <c:pt idx="9">
                  <c:v>44115</c:v>
                </c:pt>
                <c:pt idx="10">
                  <c:v>44116</c:v>
                </c:pt>
                <c:pt idx="11">
                  <c:v>44117</c:v>
                </c:pt>
                <c:pt idx="12">
                  <c:v>44118</c:v>
                </c:pt>
                <c:pt idx="13">
                  <c:v>44119</c:v>
                </c:pt>
                <c:pt idx="14">
                  <c:v>44120</c:v>
                </c:pt>
                <c:pt idx="15">
                  <c:v>44121</c:v>
                </c:pt>
                <c:pt idx="16">
                  <c:v>44122</c:v>
                </c:pt>
                <c:pt idx="17">
                  <c:v>44123</c:v>
                </c:pt>
                <c:pt idx="18">
                  <c:v>44124</c:v>
                </c:pt>
                <c:pt idx="19">
                  <c:v>44125</c:v>
                </c:pt>
                <c:pt idx="20">
                  <c:v>44126</c:v>
                </c:pt>
                <c:pt idx="21">
                  <c:v>44127</c:v>
                </c:pt>
                <c:pt idx="22">
                  <c:v>44128</c:v>
                </c:pt>
                <c:pt idx="23">
                  <c:v>44129</c:v>
                </c:pt>
                <c:pt idx="24">
                  <c:v>44130</c:v>
                </c:pt>
                <c:pt idx="25">
                  <c:v>44131</c:v>
                </c:pt>
                <c:pt idx="26">
                  <c:v>44132</c:v>
                </c:pt>
                <c:pt idx="27">
                  <c:v>44133</c:v>
                </c:pt>
              </c:numCache>
            </c:numRef>
          </c:cat>
          <c:val>
            <c:numRef>
              <c:f>Kuvaajat!$D$37:$D$64</c:f>
              <c:numCache>
                <c:formatCode>General</c:formatCode>
                <c:ptCount val="28"/>
                <c:pt idx="0">
                  <c:v>189</c:v>
                </c:pt>
                <c:pt idx="1">
                  <c:v>170</c:v>
                </c:pt>
                <c:pt idx="2">
                  <c:v>147</c:v>
                </c:pt>
                <c:pt idx="3">
                  <c:v>290</c:v>
                </c:pt>
                <c:pt idx="4">
                  <c:v>301</c:v>
                </c:pt>
                <c:pt idx="5">
                  <c:v>306</c:v>
                </c:pt>
                <c:pt idx="6">
                  <c:v>260</c:v>
                </c:pt>
                <c:pt idx="7">
                  <c:v>226</c:v>
                </c:pt>
                <c:pt idx="8">
                  <c:v>109</c:v>
                </c:pt>
                <c:pt idx="9">
                  <c:v>130</c:v>
                </c:pt>
                <c:pt idx="10">
                  <c:v>254</c:v>
                </c:pt>
                <c:pt idx="11">
                  <c:v>197</c:v>
                </c:pt>
                <c:pt idx="12">
                  <c:v>200</c:v>
                </c:pt>
                <c:pt idx="13">
                  <c:v>190</c:v>
                </c:pt>
                <c:pt idx="14">
                  <c:v>192</c:v>
                </c:pt>
                <c:pt idx="15">
                  <c:v>100</c:v>
                </c:pt>
                <c:pt idx="16">
                  <c:v>127</c:v>
                </c:pt>
                <c:pt idx="17">
                  <c:v>244</c:v>
                </c:pt>
                <c:pt idx="18">
                  <c:v>161</c:v>
                </c:pt>
                <c:pt idx="19">
                  <c:v>189</c:v>
                </c:pt>
                <c:pt idx="20">
                  <c:v>212</c:v>
                </c:pt>
                <c:pt idx="21">
                  <c:v>192</c:v>
                </c:pt>
                <c:pt idx="22">
                  <c:v>107</c:v>
                </c:pt>
                <c:pt idx="23">
                  <c:v>123</c:v>
                </c:pt>
                <c:pt idx="24">
                  <c:v>253</c:v>
                </c:pt>
                <c:pt idx="25">
                  <c:v>216</c:v>
                </c:pt>
                <c:pt idx="26">
                  <c:v>189</c:v>
                </c:pt>
                <c:pt idx="27">
                  <c:v>70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44106</c:v>
                </c:pt>
                <c:pt idx="1">
                  <c:v>44107</c:v>
                </c:pt>
                <c:pt idx="2">
                  <c:v>44108</c:v>
                </c:pt>
                <c:pt idx="3">
                  <c:v>44109</c:v>
                </c:pt>
                <c:pt idx="4">
                  <c:v>44110</c:v>
                </c:pt>
                <c:pt idx="5">
                  <c:v>44111</c:v>
                </c:pt>
                <c:pt idx="6">
                  <c:v>44112</c:v>
                </c:pt>
                <c:pt idx="7">
                  <c:v>44113</c:v>
                </c:pt>
                <c:pt idx="8">
                  <c:v>44114</c:v>
                </c:pt>
                <c:pt idx="9">
                  <c:v>44115</c:v>
                </c:pt>
                <c:pt idx="10">
                  <c:v>44116</c:v>
                </c:pt>
                <c:pt idx="11">
                  <c:v>44117</c:v>
                </c:pt>
                <c:pt idx="12">
                  <c:v>44118</c:v>
                </c:pt>
                <c:pt idx="13">
                  <c:v>44119</c:v>
                </c:pt>
                <c:pt idx="14">
                  <c:v>44120</c:v>
                </c:pt>
                <c:pt idx="15">
                  <c:v>44121</c:v>
                </c:pt>
                <c:pt idx="16">
                  <c:v>44122</c:v>
                </c:pt>
                <c:pt idx="17">
                  <c:v>44123</c:v>
                </c:pt>
                <c:pt idx="18">
                  <c:v>44124</c:v>
                </c:pt>
                <c:pt idx="19">
                  <c:v>44125</c:v>
                </c:pt>
                <c:pt idx="20">
                  <c:v>44126</c:v>
                </c:pt>
                <c:pt idx="21">
                  <c:v>44127</c:v>
                </c:pt>
                <c:pt idx="22">
                  <c:v>44128</c:v>
                </c:pt>
                <c:pt idx="23">
                  <c:v>44129</c:v>
                </c:pt>
                <c:pt idx="24">
                  <c:v>44130</c:v>
                </c:pt>
                <c:pt idx="25">
                  <c:v>44131</c:v>
                </c:pt>
                <c:pt idx="26">
                  <c:v>44132</c:v>
                </c:pt>
                <c:pt idx="27">
                  <c:v>44133</c:v>
                </c:pt>
              </c:numCache>
            </c:numRef>
          </c:cat>
          <c:val>
            <c:numRef>
              <c:f>Kuvaajat!$E$37:$E$64</c:f>
              <c:numCache>
                <c:formatCode>General</c:formatCode>
                <c:ptCount val="28"/>
                <c:pt idx="0">
                  <c:v>1</c:v>
                </c:pt>
                <c:pt idx="1">
                  <c:v>0</c:v>
                </c:pt>
                <c:pt idx="2">
                  <c:v>0</c:v>
                </c:pt>
                <c:pt idx="3">
                  <c:v>0</c:v>
                </c:pt>
                <c:pt idx="4">
                  <c:v>0</c:v>
                </c:pt>
                <c:pt idx="5">
                  <c:v>0</c:v>
                </c:pt>
                <c:pt idx="6">
                  <c:v>0</c:v>
                </c:pt>
                <c:pt idx="7">
                  <c:v>0</c:v>
                </c:pt>
                <c:pt idx="8">
                  <c:v>0</c:v>
                </c:pt>
                <c:pt idx="9">
                  <c:v>0</c:v>
                </c:pt>
                <c:pt idx="10">
                  <c:v>1</c:v>
                </c:pt>
                <c:pt idx="11">
                  <c:v>0</c:v>
                </c:pt>
                <c:pt idx="12">
                  <c:v>0</c:v>
                </c:pt>
                <c:pt idx="13">
                  <c:v>0</c:v>
                </c:pt>
                <c:pt idx="14">
                  <c:v>0</c:v>
                </c:pt>
                <c:pt idx="15">
                  <c:v>0</c:v>
                </c:pt>
                <c:pt idx="16">
                  <c:v>0</c:v>
                </c:pt>
                <c:pt idx="17">
                  <c:v>2</c:v>
                </c:pt>
                <c:pt idx="18">
                  <c:v>1</c:v>
                </c:pt>
                <c:pt idx="19">
                  <c:v>-1</c:v>
                </c:pt>
                <c:pt idx="20">
                  <c:v>-1</c:v>
                </c:pt>
                <c:pt idx="21">
                  <c:v>-1</c:v>
                </c:pt>
                <c:pt idx="22">
                  <c:v>-1</c:v>
                </c:pt>
                <c:pt idx="23">
                  <c:v>2</c:v>
                </c:pt>
                <c:pt idx="24">
                  <c:v>31</c:v>
                </c:pt>
                <c:pt idx="25">
                  <c:v>77</c:v>
                </c:pt>
                <c:pt idx="26">
                  <c:v>157</c:v>
                </c:pt>
                <c:pt idx="27">
                  <c:v>70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05"/>
  <sheetViews>
    <sheetView workbookViewId="0">
      <pane ySplit="1" topLeftCell="A2" activePane="bottomLeft" state="frozen"/>
      <selection pane="bottomLeft" activeCell="I5" sqref="I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15910</v>
      </c>
      <c r="I1" s="8">
        <v>44134.508379629631</v>
      </c>
      <c r="J1" s="7">
        <f>MAX(Id)</f>
        <v>306</v>
      </c>
      <c r="K1" s="16">
        <f>VLOOKUP(J1,A:F,6,FALSE)</f>
        <v>44111.625</v>
      </c>
      <c r="L1" s="7" t="str">
        <f>"Päivittäisiä Korona tapauksia vuoden 2020 alusta lähtien "&amp;TEXT(MAX(F:F)-5,"p.kk")&amp;" saakka. Suurin arvo "&amp;J1&amp;", joka "&amp;TEXT(K1,"p.kk")&amp;". Uusimpien 5 päivien arvot tulevat viiveellä, joten ne jätetty pois "&amp;TEXT(MAX(F:F),"p.kk")&amp;"."</f>
        <v>Päivittäisiä Korona tapauksia vuoden 2020 alusta lähtien 25.10 saakka. Suurin arvo 306, joka 7.10. Uusimpien 5 päivien arvot tulevat viiveellä, joten ne jätetty pois 30.10.</v>
      </c>
      <c r="M1" s="7">
        <f>COUNTA(Id)-2-5</f>
        <v>298</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2071</v>
      </c>
    </row>
    <row r="31" spans="1:11">
      <c r="A31">
        <v>0</v>
      </c>
      <c r="B31" t="s">
        <v>263</v>
      </c>
      <c r="C31" t="s">
        <v>8</v>
      </c>
      <c r="E31" s="3">
        <f t="shared" si="0"/>
        <v>4</v>
      </c>
      <c r="F31" s="5">
        <v>43860.625</v>
      </c>
      <c r="I31">
        <v>2</v>
      </c>
      <c r="J31" t="s">
        <v>303</v>
      </c>
      <c r="K31">
        <f t="shared" si="1"/>
        <v>2079</v>
      </c>
    </row>
    <row r="32" spans="1:11">
      <c r="A32">
        <v>0</v>
      </c>
      <c r="B32" t="s">
        <v>264</v>
      </c>
      <c r="C32" t="s">
        <v>8</v>
      </c>
      <c r="E32" s="3">
        <f t="shared" si="0"/>
        <v>5</v>
      </c>
      <c r="F32" s="5">
        <v>43861.625</v>
      </c>
      <c r="I32">
        <v>3</v>
      </c>
      <c r="J32" t="s">
        <v>304</v>
      </c>
      <c r="K32">
        <f t="shared" si="1"/>
        <v>2088</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1840</v>
      </c>
    </row>
    <row r="35" spans="1:11">
      <c r="A35">
        <v>0</v>
      </c>
      <c r="B35" t="s">
        <v>267</v>
      </c>
      <c r="C35" t="s">
        <v>8</v>
      </c>
      <c r="E35" s="3">
        <f t="shared" si="0"/>
        <v>1</v>
      </c>
      <c r="F35" s="5">
        <v>43864.625</v>
      </c>
      <c r="I35">
        <v>6</v>
      </c>
      <c r="J35" t="s">
        <v>307</v>
      </c>
      <c r="K35">
        <f t="shared" si="1"/>
        <v>1224</v>
      </c>
    </row>
    <row r="36" spans="1:11">
      <c r="A36">
        <v>0</v>
      </c>
      <c r="B36" t="s">
        <v>268</v>
      </c>
      <c r="C36" t="s">
        <v>8</v>
      </c>
      <c r="E36" s="3">
        <f t="shared" si="0"/>
        <v>2</v>
      </c>
      <c r="F36" s="5">
        <v>43865.625</v>
      </c>
      <c r="I36">
        <v>7</v>
      </c>
      <c r="J36" t="s">
        <v>308</v>
      </c>
      <c r="K36">
        <f t="shared" si="1"/>
        <v>1236</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74</v>
      </c>
      <c r="B265" t="s">
        <v>218</v>
      </c>
      <c r="C265" t="s">
        <v>8</v>
      </c>
      <c r="E265" s="3">
        <f t="shared" si="5"/>
        <v>7</v>
      </c>
      <c r="F265" s="5">
        <v>44094.625</v>
      </c>
    </row>
    <row r="266" spans="1:6">
      <c r="A266">
        <v>120</v>
      </c>
      <c r="B266" t="s">
        <v>219</v>
      </c>
      <c r="C266" t="s">
        <v>8</v>
      </c>
      <c r="E266" s="3">
        <f t="shared" si="5"/>
        <v>1</v>
      </c>
      <c r="F266" s="5">
        <v>44095.625</v>
      </c>
    </row>
    <row r="267" spans="1:6">
      <c r="A267">
        <v>106</v>
      </c>
      <c r="B267" t="s">
        <v>220</v>
      </c>
      <c r="C267" t="s">
        <v>8</v>
      </c>
      <c r="E267" s="3">
        <f t="shared" si="5"/>
        <v>2</v>
      </c>
      <c r="F267" s="5">
        <v>44096.625</v>
      </c>
    </row>
    <row r="268" spans="1:6">
      <c r="A268">
        <v>117</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135</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189</v>
      </c>
      <c r="B277" t="s">
        <v>232</v>
      </c>
      <c r="C277" t="s">
        <v>8</v>
      </c>
      <c r="E277" s="3">
        <f t="shared" si="5"/>
        <v>5</v>
      </c>
      <c r="F277" s="5">
        <v>44106.625</v>
      </c>
    </row>
    <row r="278" spans="1:6">
      <c r="A278">
        <v>170</v>
      </c>
      <c r="B278" t="s">
        <v>234</v>
      </c>
      <c r="C278" t="s">
        <v>8</v>
      </c>
      <c r="E278" s="3">
        <f t="shared" si="5"/>
        <v>6</v>
      </c>
      <c r="F278" s="5">
        <v>44107.625</v>
      </c>
    </row>
    <row r="279" spans="1:6">
      <c r="A279">
        <v>147</v>
      </c>
      <c r="B279" t="s">
        <v>293</v>
      </c>
      <c r="C279" t="s">
        <v>8</v>
      </c>
      <c r="E279" s="3">
        <f t="shared" si="5"/>
        <v>7</v>
      </c>
      <c r="F279" s="5">
        <v>44108.625</v>
      </c>
    </row>
    <row r="280" spans="1:6">
      <c r="A280">
        <v>290</v>
      </c>
      <c r="B280" t="s">
        <v>294</v>
      </c>
      <c r="C280" t="s">
        <v>8</v>
      </c>
      <c r="E280" s="3">
        <f t="shared" si="5"/>
        <v>1</v>
      </c>
      <c r="F280" s="5">
        <v>44109.625</v>
      </c>
    </row>
    <row r="281" spans="1:6">
      <c r="A281">
        <v>301</v>
      </c>
      <c r="B281" t="s">
        <v>295</v>
      </c>
      <c r="C281" t="s">
        <v>8</v>
      </c>
      <c r="E281" s="3">
        <f t="shared" si="5"/>
        <v>2</v>
      </c>
      <c r="F281" s="5">
        <v>44110.625</v>
      </c>
    </row>
    <row r="282" spans="1:6">
      <c r="A282">
        <v>306</v>
      </c>
      <c r="B282" t="s">
        <v>296</v>
      </c>
      <c r="C282" t="s">
        <v>8</v>
      </c>
      <c r="E282" s="3">
        <f t="shared" si="5"/>
        <v>3</v>
      </c>
      <c r="F282" s="5">
        <v>44111.625</v>
      </c>
    </row>
    <row r="283" spans="1:6">
      <c r="A283">
        <v>260</v>
      </c>
      <c r="B283" t="s">
        <v>297</v>
      </c>
      <c r="C283" t="s">
        <v>8</v>
      </c>
      <c r="E283" s="3">
        <f t="shared" si="5"/>
        <v>4</v>
      </c>
      <c r="F283" s="5">
        <v>44112.625</v>
      </c>
    </row>
    <row r="284" spans="1:6">
      <c r="A284">
        <v>226</v>
      </c>
      <c r="B284" t="s">
        <v>298</v>
      </c>
      <c r="C284" t="s">
        <v>8</v>
      </c>
      <c r="E284" s="3">
        <f t="shared" si="5"/>
        <v>5</v>
      </c>
      <c r="F284" s="5">
        <v>44113.625</v>
      </c>
    </row>
    <row r="285" spans="1:6">
      <c r="A285">
        <v>109</v>
      </c>
      <c r="B285" t="s">
        <v>310</v>
      </c>
      <c r="C285" t="s">
        <v>8</v>
      </c>
      <c r="E285" s="3">
        <f t="shared" si="5"/>
        <v>6</v>
      </c>
      <c r="F285" s="5">
        <v>44114.625</v>
      </c>
    </row>
    <row r="286" spans="1:6">
      <c r="A286">
        <v>130</v>
      </c>
      <c r="B286" t="s">
        <v>311</v>
      </c>
      <c r="C286" t="s">
        <v>8</v>
      </c>
      <c r="F286" s="5">
        <v>44115.625</v>
      </c>
    </row>
    <row r="287" spans="1:6">
      <c r="A287">
        <v>254</v>
      </c>
      <c r="B287" t="s">
        <v>315</v>
      </c>
      <c r="C287" t="s">
        <v>8</v>
      </c>
      <c r="F287" s="5">
        <v>44116.625</v>
      </c>
    </row>
    <row r="288" spans="1:6">
      <c r="A288">
        <v>197</v>
      </c>
      <c r="B288" t="s">
        <v>316</v>
      </c>
      <c r="C288" t="s">
        <v>8</v>
      </c>
      <c r="F288" s="5">
        <v>44117.625</v>
      </c>
    </row>
    <row r="289" spans="1:6">
      <c r="A289">
        <v>200</v>
      </c>
      <c r="B289" t="s">
        <v>317</v>
      </c>
      <c r="C289" t="s">
        <v>8</v>
      </c>
      <c r="F289" s="5">
        <v>44118.625</v>
      </c>
    </row>
    <row r="290" spans="1:6">
      <c r="A290">
        <v>190</v>
      </c>
      <c r="B290" t="s">
        <v>318</v>
      </c>
      <c r="C290" t="s">
        <v>8</v>
      </c>
      <c r="F290" s="5">
        <v>44119.625</v>
      </c>
    </row>
    <row r="291" spans="1:6">
      <c r="A291">
        <v>192</v>
      </c>
      <c r="B291" t="s">
        <v>319</v>
      </c>
      <c r="C291" t="s">
        <v>8</v>
      </c>
      <c r="F291" s="5">
        <v>44120.625</v>
      </c>
    </row>
    <row r="292" spans="1:6">
      <c r="A292">
        <v>100</v>
      </c>
      <c r="B292" t="s">
        <v>320</v>
      </c>
      <c r="C292" t="s">
        <v>8</v>
      </c>
      <c r="F292" s="5">
        <v>44121.625</v>
      </c>
    </row>
    <row r="293" spans="1:6">
      <c r="A293">
        <v>127</v>
      </c>
      <c r="B293" t="s">
        <v>321</v>
      </c>
      <c r="C293" t="s">
        <v>8</v>
      </c>
      <c r="F293" s="5">
        <v>44122.625</v>
      </c>
    </row>
    <row r="294" spans="1:6">
      <c r="A294">
        <v>244</v>
      </c>
      <c r="B294" t="s">
        <v>322</v>
      </c>
      <c r="C294" t="s">
        <v>8</v>
      </c>
      <c r="F294" s="5">
        <v>44123.625</v>
      </c>
    </row>
    <row r="295" spans="1:6">
      <c r="A295">
        <v>161</v>
      </c>
      <c r="B295" t="s">
        <v>323</v>
      </c>
      <c r="C295" t="s">
        <v>8</v>
      </c>
      <c r="F295" s="5">
        <v>44124.625</v>
      </c>
    </row>
    <row r="296" spans="1:6">
      <c r="A296">
        <v>189</v>
      </c>
      <c r="B296" t="s">
        <v>324</v>
      </c>
      <c r="C296" t="s">
        <v>8</v>
      </c>
      <c r="F296" s="5">
        <v>44125.625</v>
      </c>
    </row>
    <row r="297" spans="1:6">
      <c r="A297">
        <v>212</v>
      </c>
      <c r="B297" t="s">
        <v>325</v>
      </c>
      <c r="C297" t="s">
        <v>8</v>
      </c>
      <c r="F297" s="5">
        <v>44126.625</v>
      </c>
    </row>
    <row r="298" spans="1:6">
      <c r="A298">
        <v>192</v>
      </c>
      <c r="B298" t="s">
        <v>326</v>
      </c>
      <c r="C298" t="s">
        <v>8</v>
      </c>
      <c r="F298" s="5">
        <v>44127.625</v>
      </c>
    </row>
    <row r="299" spans="1:6">
      <c r="A299">
        <v>107</v>
      </c>
      <c r="B299" t="s">
        <v>327</v>
      </c>
      <c r="C299" t="s">
        <v>8</v>
      </c>
      <c r="F299" s="5">
        <v>44128.625</v>
      </c>
    </row>
    <row r="300" spans="1:6">
      <c r="A300">
        <v>123</v>
      </c>
      <c r="B300" t="s">
        <v>328</v>
      </c>
      <c r="C300" t="s">
        <v>8</v>
      </c>
      <c r="F300" s="5">
        <v>44129.625</v>
      </c>
    </row>
    <row r="301" spans="1:6">
      <c r="A301">
        <v>253</v>
      </c>
      <c r="B301" t="s">
        <v>330</v>
      </c>
      <c r="C301" t="s">
        <v>8</v>
      </c>
      <c r="F301" s="5">
        <v>44130.625</v>
      </c>
    </row>
    <row r="302" spans="1:6">
      <c r="A302">
        <v>216</v>
      </c>
      <c r="B302" t="s">
        <v>331</v>
      </c>
      <c r="C302" t="s">
        <v>8</v>
      </c>
      <c r="F302" s="5">
        <v>44131.625</v>
      </c>
    </row>
    <row r="303" spans="1:6">
      <c r="A303">
        <v>189</v>
      </c>
      <c r="B303" t="s">
        <v>332</v>
      </c>
      <c r="C303" t="s">
        <v>8</v>
      </c>
      <c r="F303" s="5">
        <v>44132.625</v>
      </c>
    </row>
    <row r="304" spans="1:6">
      <c r="A304">
        <v>70</v>
      </c>
      <c r="B304" t="s">
        <v>333</v>
      </c>
      <c r="C304" t="s">
        <v>8</v>
      </c>
      <c r="F304" s="5">
        <v>44133.625</v>
      </c>
    </row>
    <row r="305" spans="1:6">
      <c r="A305">
        <v>0</v>
      </c>
      <c r="B305" t="s">
        <v>334</v>
      </c>
      <c r="C305" t="s">
        <v>8</v>
      </c>
      <c r="F305" s="5">
        <v>44134.423495370371</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CC67"/>
  <sheetViews>
    <sheetView tabSelected="1" topLeftCell="A4" zoomScale="85" zoomScaleNormal="85" workbookViewId="0">
      <selection activeCell="M10" sqref="M10"/>
    </sheetView>
  </sheetViews>
  <sheetFormatPr defaultRowHeight="14.6"/>
  <cols>
    <col min="2" max="2" width="10.07421875" customWidth="1"/>
    <col min="3" max="3" width="10.84375" bestFit="1" customWidth="1"/>
    <col min="11" max="11" width="9.23046875" style="4"/>
    <col min="13" max="13" width="12.15234375" style="17" customWidth="1"/>
    <col min="16" max="16" width="9.84375" style="17" customWidth="1"/>
    <col min="19" max="19" width="9.84375" style="17" customWidth="1"/>
    <col min="22" max="22" width="12.15234375" style="17" customWidth="1"/>
    <col min="25" max="25" width="12.15234375" style="17" customWidth="1"/>
    <col min="28" max="28" width="12.15234375" style="17" customWidth="1"/>
    <col min="31" max="31" width="12.15234375" style="17" customWidth="1"/>
    <col min="34" max="34" width="12.15234375" style="17" customWidth="1"/>
    <col min="37" max="37" width="12.15234375" style="17" customWidth="1"/>
    <col min="40" max="40" width="12.15234375" style="17" customWidth="1"/>
    <col min="43" max="43" width="9.23046875" style="17"/>
    <col min="46" max="46" width="9.23046875" style="17"/>
    <col min="49" max="49" width="9.23046875" style="17"/>
    <col min="52" max="52" width="9.23046875" style="17"/>
    <col min="55" max="55" width="9.23046875" style="17"/>
    <col min="58" max="58" width="9.23046875" style="17"/>
    <col min="61" max="61" width="9.23046875" style="17"/>
    <col min="64" max="64" width="9.23046875" style="17"/>
    <col min="67" max="67" width="9.23046875" style="17"/>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7"/>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row>
    <row r="29" spans="1:32">
      <c r="B29" s="4"/>
    </row>
    <row r="30" spans="1:32">
      <c r="B30" s="4"/>
    </row>
    <row r="31" spans="1:32">
      <c r="A31" t="str">
        <f ca="1">"Uusia COVID-19 tapauksia "&amp;TEXT(MAX(M:M),"p.kk")&amp;" n="&amp;(C65-N65)&amp;D32&amp;". Yhteensä N="&amp;C64&amp;". Edelliset 7 päivää "&amp;G58&amp;" (päivittyy), "&amp;G51&amp;" (muutos "&amp;H51&amp;"), "&amp;G44&amp;" ("&amp;H44&amp;") ja "&amp;G37&amp;" https://github.com/jussivirkkala/excel/tree/master/hs-koronavirus-avoindata"</f>
        <v>Uusia COVID-19 tapauksia 30.10 n=344 (joista vanhoja yli 28 päivän takaisia kirjauksia 6). Yhteensä N=15910. Edelliset 7 päivää 1150 (päivittyy), 1225 (muutos -6 %), 1306 (-21 %) ja 1663 https://github.com/jussivirkkala/excel/tree/master/hs-koronavirus-avoindata</v>
      </c>
      <c r="B31" s="4"/>
    </row>
    <row r="32" spans="1:32">
      <c r="B32" s="4"/>
      <c r="D32" t="str">
        <f ca="1">IF((C65-N65-E35)&lt;&gt;0," (joista vanhoja yli 28 päivän takaisia kirjauksia "&amp;(C65-N65-E35)&amp;")","")</f>
        <v xml:space="preserve"> (joista vanhoja yli 28 päivän takaisia kirjauksia 6)</v>
      </c>
    </row>
    <row r="33" spans="1:81">
      <c r="A33" t="str">
        <f ca="1">"Kirjattuja COVID-19 tapauksia N="&amp;C65&amp;"."&amp;CHAR(13)&amp;"Uusimmat "&amp;TEXT(MAX(M:M),"p.kk")&amp;" lisäykset punaisella n="&amp;L65&amp;"."</f>
        <v>Kirjattuja COVID-19 tapauksia N=15910._x000D_Uusimmat 30.10 lisäykset punaisella n=344.</v>
      </c>
      <c r="B33" s="4"/>
    </row>
    <row r="34" spans="1:81">
      <c r="B34" s="4"/>
    </row>
    <row r="35" spans="1:81">
      <c r="B35" s="4" t="s">
        <v>5</v>
      </c>
      <c r="C35" t="s">
        <v>0</v>
      </c>
      <c r="D35" t="s">
        <v>6</v>
      </c>
      <c r="E35">
        <f ca="1">SUM(E37:E65)</f>
        <v>338</v>
      </c>
      <c r="F35" t="s">
        <v>228</v>
      </c>
      <c r="M35" s="17" t="s">
        <v>312</v>
      </c>
      <c r="P35" s="17" t="s">
        <v>313</v>
      </c>
      <c r="S35" s="17" t="s">
        <v>314</v>
      </c>
    </row>
    <row r="36" spans="1:81">
      <c r="A36" t="str">
        <f ca="1">IF(WEEKDAY(B36,2)=1,"Ma","")</f>
        <v/>
      </c>
      <c r="B36" s="4">
        <f ca="1">B37-1</f>
        <v>44105</v>
      </c>
      <c r="C36" s="11">
        <f t="shared" ref="C36:C65" ca="1" si="0">SUMIF(aika,"&lt;"&amp;(B36+1),Id)</f>
        <v>10566</v>
      </c>
    </row>
    <row r="37" spans="1:81" s="10" customFormat="1">
      <c r="A37" t="str">
        <f t="shared" ref="A37:A60" ca="1" si="1">IF(WEEKDAY(B37,2)=1,"Ma","")</f>
        <v/>
      </c>
      <c r="B37" s="9">
        <f t="shared" ref="B37:B62" ca="1" si="2">B38-1</f>
        <v>44106</v>
      </c>
      <c r="C37" s="10">
        <f t="shared" ca="1" si="0"/>
        <v>10755</v>
      </c>
      <c r="D37" s="10">
        <f t="shared" ref="D37" ca="1" si="3">C37-C36</f>
        <v>189</v>
      </c>
      <c r="E37" s="10">
        <f t="shared" ref="E37:E64" ca="1" si="4">_xlfn.IFNA(D37-F37,"")</f>
        <v>1</v>
      </c>
      <c r="F37" s="10">
        <f ca="1">VLOOKUP(B37,Previous,3,FALSE)</f>
        <v>188</v>
      </c>
      <c r="G37" s="10">
        <f ca="1">SUM(D37:D43)</f>
        <v>1663</v>
      </c>
      <c r="I37" s="10">
        <f ca="1">SUM(D37:D50)</f>
        <v>2969</v>
      </c>
      <c r="K37" s="14"/>
      <c r="M37" s="18">
        <v>44106</v>
      </c>
      <c r="N37" s="10">
        <v>10748</v>
      </c>
      <c r="O37" s="10">
        <v>188</v>
      </c>
      <c r="P37" s="18">
        <v>44106</v>
      </c>
      <c r="Q37" s="10">
        <v>10748</v>
      </c>
      <c r="R37" s="10">
        <v>188</v>
      </c>
      <c r="S37" s="18">
        <v>44085</v>
      </c>
      <c r="T37" s="10">
        <v>8688</v>
      </c>
      <c r="U37" s="10">
        <v>57</v>
      </c>
      <c r="V37" s="18">
        <v>44086</v>
      </c>
      <c r="W37" s="10">
        <v>8730</v>
      </c>
      <c r="X37" s="10">
        <v>41</v>
      </c>
      <c r="Y37" s="18">
        <v>44087</v>
      </c>
      <c r="Z37" s="10">
        <v>8776</v>
      </c>
      <c r="AA37" s="10">
        <v>46</v>
      </c>
      <c r="AB37" s="18">
        <v>44088</v>
      </c>
      <c r="AC37" s="10">
        <v>8835</v>
      </c>
      <c r="AD37" s="10">
        <v>59</v>
      </c>
      <c r="AE37" s="18">
        <v>44089</v>
      </c>
      <c r="AF37" s="10">
        <v>8888</v>
      </c>
      <c r="AG37" s="10">
        <v>53</v>
      </c>
      <c r="AH37" s="18">
        <v>44090</v>
      </c>
      <c r="AI37" s="10">
        <v>8946</v>
      </c>
      <c r="AJ37" s="10">
        <v>57</v>
      </c>
      <c r="AK37" s="18">
        <v>44091</v>
      </c>
      <c r="AL37" s="10">
        <v>9030</v>
      </c>
      <c r="AM37" s="10">
        <v>85</v>
      </c>
      <c r="AN37" s="18">
        <v>44092</v>
      </c>
      <c r="AO37" s="10">
        <v>9106</v>
      </c>
      <c r="AP37" s="10">
        <v>76</v>
      </c>
      <c r="AQ37" s="18">
        <v>44093</v>
      </c>
      <c r="AR37" s="10">
        <v>9167</v>
      </c>
      <c r="AS37" s="10">
        <v>61</v>
      </c>
      <c r="AT37" s="18">
        <v>44094</v>
      </c>
      <c r="AU37" s="10">
        <v>9240</v>
      </c>
      <c r="AV37" s="10">
        <v>73</v>
      </c>
      <c r="AW37" s="18">
        <v>44095</v>
      </c>
      <c r="AX37" s="10">
        <v>9360</v>
      </c>
      <c r="AY37" s="10">
        <v>119</v>
      </c>
      <c r="AZ37" s="18">
        <v>44096</v>
      </c>
      <c r="BA37" s="10">
        <v>9464</v>
      </c>
      <c r="BB37" s="10">
        <v>104</v>
      </c>
      <c r="BC37" s="18">
        <v>44097</v>
      </c>
      <c r="BD37" s="10">
        <v>9582</v>
      </c>
      <c r="BE37" s="10">
        <v>118</v>
      </c>
      <c r="BF37" s="18">
        <v>44098</v>
      </c>
      <c r="BG37" s="10">
        <v>9677</v>
      </c>
      <c r="BH37" s="10">
        <v>97</v>
      </c>
      <c r="BI37" s="18">
        <v>44099</v>
      </c>
      <c r="BJ37" s="10">
        <v>9806</v>
      </c>
      <c r="BK37" s="10">
        <v>127</v>
      </c>
      <c r="BL37" s="18">
        <v>44100</v>
      </c>
      <c r="BM37" s="10">
        <v>9879</v>
      </c>
      <c r="BN37" s="10">
        <v>73</v>
      </c>
      <c r="BO37" s="18">
        <v>44101</v>
      </c>
      <c r="BP37" s="10">
        <v>9950</v>
      </c>
      <c r="BQ37" s="10">
        <v>71</v>
      </c>
      <c r="BR37" s="10">
        <v>44102</v>
      </c>
      <c r="BS37" s="10">
        <v>10073</v>
      </c>
      <c r="BT37" s="10">
        <v>122</v>
      </c>
      <c r="BU37" s="10">
        <v>44104</v>
      </c>
      <c r="BV37" s="10">
        <v>10371</v>
      </c>
      <c r="BW37" s="10">
        <v>165</v>
      </c>
      <c r="BX37" s="10">
        <v>44105</v>
      </c>
      <c r="BY37" s="10">
        <v>10560</v>
      </c>
      <c r="BZ37" s="10">
        <v>188</v>
      </c>
      <c r="CA37" s="10">
        <v>44106</v>
      </c>
      <c r="CB37" s="10">
        <v>10748</v>
      </c>
      <c r="CC37" s="10">
        <v>188</v>
      </c>
    </row>
    <row r="38" spans="1:81">
      <c r="A38" t="str">
        <f t="shared" ca="1" si="1"/>
        <v/>
      </c>
      <c r="B38" s="4">
        <f t="shared" ca="1" si="2"/>
        <v>44107</v>
      </c>
      <c r="C38" s="11">
        <f t="shared" ca="1" si="0"/>
        <v>10925</v>
      </c>
      <c r="D38">
        <f t="shared" ref="D38" ca="1" si="5">C38-C37</f>
        <v>170</v>
      </c>
      <c r="E38" s="11">
        <f t="shared" ca="1" si="4"/>
        <v>0</v>
      </c>
      <c r="F38" s="11">
        <f t="shared" ref="F38:F65" ca="1" si="6">VLOOKUP(B38,Previous,3,FALSE)</f>
        <v>170</v>
      </c>
      <c r="K38" s="3"/>
      <c r="M38" s="17">
        <v>44107</v>
      </c>
      <c r="N38">
        <v>10918</v>
      </c>
      <c r="O38">
        <v>170</v>
      </c>
      <c r="P38" s="17">
        <v>44107</v>
      </c>
      <c r="Q38">
        <v>10918</v>
      </c>
      <c r="R38">
        <v>170</v>
      </c>
      <c r="S38" s="17">
        <v>44086</v>
      </c>
      <c r="T38">
        <v>8729</v>
      </c>
      <c r="U38">
        <v>41</v>
      </c>
      <c r="V38" s="17">
        <v>44087</v>
      </c>
      <c r="W38">
        <v>8776</v>
      </c>
      <c r="X38">
        <v>46</v>
      </c>
      <c r="Y38" s="17">
        <v>44088</v>
      </c>
      <c r="Z38">
        <v>8836</v>
      </c>
      <c r="AA38">
        <v>59</v>
      </c>
      <c r="AB38" s="17">
        <v>44089</v>
      </c>
      <c r="AC38">
        <v>8888</v>
      </c>
      <c r="AD38">
        <v>53</v>
      </c>
      <c r="AE38" s="17">
        <v>44090</v>
      </c>
      <c r="AF38">
        <v>8945</v>
      </c>
      <c r="AG38">
        <v>57</v>
      </c>
      <c r="AH38" s="17">
        <v>44091</v>
      </c>
      <c r="AI38">
        <v>9031</v>
      </c>
      <c r="AJ38">
        <v>85</v>
      </c>
      <c r="AK38" s="17">
        <v>44092</v>
      </c>
      <c r="AL38">
        <v>9106</v>
      </c>
      <c r="AM38">
        <v>76</v>
      </c>
      <c r="AN38" s="17">
        <v>44093</v>
      </c>
      <c r="AO38">
        <v>9167</v>
      </c>
      <c r="AP38">
        <v>61</v>
      </c>
      <c r="AQ38" s="17">
        <v>44094</v>
      </c>
      <c r="AR38">
        <v>9240</v>
      </c>
      <c r="AS38">
        <v>73</v>
      </c>
      <c r="AT38" s="17">
        <v>44095</v>
      </c>
      <c r="AU38">
        <v>9359</v>
      </c>
      <c r="AV38">
        <v>119</v>
      </c>
      <c r="AW38" s="17">
        <v>44096</v>
      </c>
      <c r="AX38">
        <v>9464</v>
      </c>
      <c r="AY38">
        <v>104</v>
      </c>
      <c r="AZ38" s="17">
        <v>44097</v>
      </c>
      <c r="BA38">
        <v>9582</v>
      </c>
      <c r="BB38">
        <v>118</v>
      </c>
      <c r="BC38" s="17">
        <v>44098</v>
      </c>
      <c r="BD38">
        <v>9679</v>
      </c>
      <c r="BE38">
        <v>97</v>
      </c>
      <c r="BF38" s="17">
        <v>44099</v>
      </c>
      <c r="BG38">
        <v>9804</v>
      </c>
      <c r="BH38">
        <v>127</v>
      </c>
      <c r="BI38" s="17">
        <v>44100</v>
      </c>
      <c r="BJ38">
        <v>9879</v>
      </c>
      <c r="BK38">
        <v>73</v>
      </c>
      <c r="BL38" s="17">
        <v>44101</v>
      </c>
      <c r="BM38">
        <v>9950</v>
      </c>
      <c r="BN38">
        <v>71</v>
      </c>
      <c r="BO38" s="17">
        <v>44102</v>
      </c>
      <c r="BP38">
        <v>10072</v>
      </c>
      <c r="BQ38">
        <v>122</v>
      </c>
      <c r="BR38">
        <v>44103</v>
      </c>
      <c r="BS38">
        <v>10206</v>
      </c>
      <c r="BT38">
        <v>133</v>
      </c>
      <c r="BU38">
        <v>44105</v>
      </c>
      <c r="BV38">
        <v>10559</v>
      </c>
      <c r="BW38">
        <v>188</v>
      </c>
      <c r="BX38">
        <v>44106</v>
      </c>
      <c r="BY38">
        <v>10748</v>
      </c>
      <c r="BZ38">
        <v>188</v>
      </c>
      <c r="CA38">
        <v>44107</v>
      </c>
      <c r="CB38">
        <v>10918</v>
      </c>
      <c r="CC38">
        <v>170</v>
      </c>
    </row>
    <row r="39" spans="1:81">
      <c r="A39" t="str">
        <f t="shared" ca="1" si="1"/>
        <v/>
      </c>
      <c r="B39" s="4">
        <f t="shared" ca="1" si="2"/>
        <v>44108</v>
      </c>
      <c r="C39" s="11">
        <f t="shared" ca="1" si="0"/>
        <v>11072</v>
      </c>
      <c r="D39">
        <f t="shared" ref="D39" ca="1" si="7">C39-C38</f>
        <v>147</v>
      </c>
      <c r="E39" s="11">
        <f t="shared" ca="1" si="4"/>
        <v>0</v>
      </c>
      <c r="F39" s="11">
        <f t="shared" ca="1" si="6"/>
        <v>147</v>
      </c>
      <c r="K39" s="3"/>
      <c r="M39" s="17">
        <v>44108</v>
      </c>
      <c r="N39">
        <v>11065</v>
      </c>
      <c r="O39">
        <v>147</v>
      </c>
      <c r="P39" s="17">
        <v>44108</v>
      </c>
      <c r="Q39">
        <v>11065</v>
      </c>
      <c r="R39">
        <v>147</v>
      </c>
      <c r="S39" s="17">
        <v>44087</v>
      </c>
      <c r="T39">
        <v>8775</v>
      </c>
      <c r="U39">
        <v>46</v>
      </c>
      <c r="V39" s="17">
        <v>44088</v>
      </c>
      <c r="W39">
        <v>8835</v>
      </c>
      <c r="X39">
        <v>59</v>
      </c>
      <c r="Y39" s="17">
        <v>44089</v>
      </c>
      <c r="Z39">
        <v>8889</v>
      </c>
      <c r="AA39">
        <v>53</v>
      </c>
      <c r="AB39" s="17">
        <v>44090</v>
      </c>
      <c r="AC39">
        <v>8945</v>
      </c>
      <c r="AD39">
        <v>57</v>
      </c>
      <c r="AE39" s="17">
        <v>44091</v>
      </c>
      <c r="AF39">
        <v>9030</v>
      </c>
      <c r="AG39">
        <v>85</v>
      </c>
      <c r="AH39" s="17">
        <v>44092</v>
      </c>
      <c r="AI39">
        <v>9107</v>
      </c>
      <c r="AJ39">
        <v>76</v>
      </c>
      <c r="AK39" s="17">
        <v>44093</v>
      </c>
      <c r="AL39">
        <v>9167</v>
      </c>
      <c r="AM39">
        <v>61</v>
      </c>
      <c r="AN39" s="17">
        <v>44094</v>
      </c>
      <c r="AO39">
        <v>9240</v>
      </c>
      <c r="AP39">
        <v>73</v>
      </c>
      <c r="AQ39" s="17">
        <v>44095</v>
      </c>
      <c r="AR39">
        <v>9359</v>
      </c>
      <c r="AS39">
        <v>119</v>
      </c>
      <c r="AT39" s="17">
        <v>44096</v>
      </c>
      <c r="AU39">
        <v>9464</v>
      </c>
      <c r="AV39">
        <v>105</v>
      </c>
      <c r="AW39" s="17">
        <v>44097</v>
      </c>
      <c r="AX39">
        <v>9582</v>
      </c>
      <c r="AY39">
        <v>118</v>
      </c>
      <c r="AZ39" s="17">
        <v>44098</v>
      </c>
      <c r="BA39">
        <v>9679</v>
      </c>
      <c r="BB39">
        <v>97</v>
      </c>
      <c r="BC39" s="17">
        <v>44099</v>
      </c>
      <c r="BD39">
        <v>9806</v>
      </c>
      <c r="BE39">
        <v>127</v>
      </c>
      <c r="BF39" s="17">
        <v>44100</v>
      </c>
      <c r="BG39">
        <v>9877</v>
      </c>
      <c r="BH39">
        <v>73</v>
      </c>
      <c r="BI39" s="17">
        <v>44101</v>
      </c>
      <c r="BJ39">
        <v>9950</v>
      </c>
      <c r="BK39">
        <v>71</v>
      </c>
      <c r="BL39" s="17">
        <v>44102</v>
      </c>
      <c r="BM39">
        <v>10072</v>
      </c>
      <c r="BN39">
        <v>122</v>
      </c>
      <c r="BO39" s="17">
        <v>44103</v>
      </c>
      <c r="BP39">
        <v>10205</v>
      </c>
      <c r="BQ39">
        <v>133</v>
      </c>
      <c r="BR39">
        <v>44104</v>
      </c>
      <c r="BS39">
        <v>10371</v>
      </c>
      <c r="BT39">
        <v>165</v>
      </c>
      <c r="BU39">
        <v>44106</v>
      </c>
      <c r="BV39">
        <v>10747</v>
      </c>
      <c r="BW39">
        <v>188</v>
      </c>
      <c r="BX39">
        <v>44107</v>
      </c>
      <c r="BY39">
        <v>10918</v>
      </c>
      <c r="BZ39">
        <v>170</v>
      </c>
      <c r="CA39">
        <v>44108</v>
      </c>
      <c r="CB39">
        <v>11065</v>
      </c>
      <c r="CC39">
        <v>147</v>
      </c>
    </row>
    <row r="40" spans="1:81">
      <c r="A40" t="str">
        <f t="shared" ca="1" si="1"/>
        <v>Ma</v>
      </c>
      <c r="B40" s="4">
        <f t="shared" ca="1" si="2"/>
        <v>44109</v>
      </c>
      <c r="C40" s="11">
        <f t="shared" ca="1" si="0"/>
        <v>11362</v>
      </c>
      <c r="D40">
        <f t="shared" ref="D40" ca="1" si="8">C40-C39</f>
        <v>290</v>
      </c>
      <c r="E40" s="11">
        <f t="shared" ca="1" si="4"/>
        <v>0</v>
      </c>
      <c r="F40" s="11">
        <f t="shared" ca="1" si="6"/>
        <v>290</v>
      </c>
      <c r="K40" s="3"/>
      <c r="M40" s="17">
        <v>44109</v>
      </c>
      <c r="N40">
        <v>11355</v>
      </c>
      <c r="O40">
        <v>290</v>
      </c>
      <c r="P40" s="17">
        <v>44109</v>
      </c>
      <c r="Q40">
        <v>11355</v>
      </c>
      <c r="R40">
        <v>290</v>
      </c>
      <c r="S40" s="17">
        <v>44088</v>
      </c>
      <c r="T40">
        <v>8834</v>
      </c>
      <c r="U40">
        <v>59</v>
      </c>
      <c r="V40" s="17">
        <v>44089</v>
      </c>
      <c r="W40">
        <v>8888</v>
      </c>
      <c r="X40">
        <v>53</v>
      </c>
      <c r="Y40" s="17">
        <v>44090</v>
      </c>
      <c r="Z40">
        <v>8946</v>
      </c>
      <c r="AA40">
        <v>57</v>
      </c>
      <c r="AB40" s="17">
        <v>44091</v>
      </c>
      <c r="AC40">
        <v>9030</v>
      </c>
      <c r="AD40">
        <v>85</v>
      </c>
      <c r="AE40" s="17">
        <v>44092</v>
      </c>
      <c r="AF40">
        <v>9106</v>
      </c>
      <c r="AG40">
        <v>76</v>
      </c>
      <c r="AH40" s="17">
        <v>44093</v>
      </c>
      <c r="AI40">
        <v>9168</v>
      </c>
      <c r="AJ40">
        <v>61</v>
      </c>
      <c r="AK40" s="17">
        <v>44094</v>
      </c>
      <c r="AL40">
        <v>9240</v>
      </c>
      <c r="AM40">
        <v>73</v>
      </c>
      <c r="AN40" s="17">
        <v>44095</v>
      </c>
      <c r="AO40">
        <v>9359</v>
      </c>
      <c r="AP40">
        <v>119</v>
      </c>
      <c r="AQ40" s="17">
        <v>44096</v>
      </c>
      <c r="AR40">
        <v>9464</v>
      </c>
      <c r="AS40">
        <v>105</v>
      </c>
      <c r="AT40" s="17">
        <v>44097</v>
      </c>
      <c r="AU40">
        <v>9582</v>
      </c>
      <c r="AV40">
        <v>118</v>
      </c>
      <c r="AW40" s="17">
        <v>44098</v>
      </c>
      <c r="AX40">
        <v>9679</v>
      </c>
      <c r="AY40">
        <v>97</v>
      </c>
      <c r="AZ40" s="17">
        <v>44099</v>
      </c>
      <c r="BA40">
        <v>9806</v>
      </c>
      <c r="BB40">
        <v>127</v>
      </c>
      <c r="BC40" s="17">
        <v>44100</v>
      </c>
      <c r="BD40">
        <v>9879</v>
      </c>
      <c r="BE40">
        <v>73</v>
      </c>
      <c r="BF40" s="17">
        <v>44101</v>
      </c>
      <c r="BG40">
        <v>9948</v>
      </c>
      <c r="BH40">
        <v>71</v>
      </c>
      <c r="BI40" s="17">
        <v>44102</v>
      </c>
      <c r="BJ40">
        <v>10072</v>
      </c>
      <c r="BK40">
        <v>122</v>
      </c>
      <c r="BL40" s="17">
        <v>44103</v>
      </c>
      <c r="BM40">
        <v>10205</v>
      </c>
      <c r="BN40">
        <v>133</v>
      </c>
      <c r="BO40" s="17">
        <v>44104</v>
      </c>
      <c r="BP40">
        <v>10370</v>
      </c>
      <c r="BQ40">
        <v>165</v>
      </c>
      <c r="BR40">
        <v>44105</v>
      </c>
      <c r="BS40">
        <v>10559</v>
      </c>
      <c r="BT40">
        <v>188</v>
      </c>
      <c r="BU40">
        <v>44107</v>
      </c>
      <c r="BV40">
        <v>10916</v>
      </c>
      <c r="BW40">
        <v>169</v>
      </c>
      <c r="BX40">
        <v>44108</v>
      </c>
      <c r="BY40">
        <v>11065</v>
      </c>
      <c r="BZ40">
        <v>147</v>
      </c>
      <c r="CA40">
        <v>44109</v>
      </c>
      <c r="CB40">
        <v>11355</v>
      </c>
      <c r="CC40">
        <v>290</v>
      </c>
    </row>
    <row r="41" spans="1:81">
      <c r="A41" t="str">
        <f t="shared" ca="1" si="1"/>
        <v/>
      </c>
      <c r="B41" s="4">
        <f t="shared" ca="1" si="2"/>
        <v>44110</v>
      </c>
      <c r="C41" s="11">
        <f t="shared" ca="1" si="0"/>
        <v>11663</v>
      </c>
      <c r="D41">
        <f t="shared" ref="D41" ca="1" si="9">C41-C40</f>
        <v>301</v>
      </c>
      <c r="E41" s="11">
        <f t="shared" ca="1" si="4"/>
        <v>0</v>
      </c>
      <c r="F41" s="11">
        <f t="shared" ca="1" si="6"/>
        <v>301</v>
      </c>
      <c r="K41" s="3"/>
      <c r="M41" s="17">
        <v>44110</v>
      </c>
      <c r="N41">
        <v>11656</v>
      </c>
      <c r="O41">
        <v>301</v>
      </c>
      <c r="P41" s="17">
        <v>44110</v>
      </c>
      <c r="Q41">
        <v>11656</v>
      </c>
      <c r="R41">
        <v>301</v>
      </c>
      <c r="S41" s="17">
        <v>44089</v>
      </c>
      <c r="T41">
        <v>8887</v>
      </c>
      <c r="U41">
        <v>53</v>
      </c>
      <c r="V41" s="17">
        <v>44090</v>
      </c>
      <c r="W41">
        <v>8945</v>
      </c>
      <c r="X41">
        <v>57</v>
      </c>
      <c r="Y41" s="17">
        <v>44091</v>
      </c>
      <c r="Z41">
        <v>9031</v>
      </c>
      <c r="AA41">
        <v>85</v>
      </c>
      <c r="AB41" s="17">
        <v>44092</v>
      </c>
      <c r="AC41">
        <v>9106</v>
      </c>
      <c r="AD41">
        <v>76</v>
      </c>
      <c r="AE41" s="17">
        <v>44093</v>
      </c>
      <c r="AF41">
        <v>9167</v>
      </c>
      <c r="AG41">
        <v>61</v>
      </c>
      <c r="AH41" s="17">
        <v>44094</v>
      </c>
      <c r="AI41">
        <v>9241</v>
      </c>
      <c r="AJ41">
        <v>73</v>
      </c>
      <c r="AK41" s="17">
        <v>44095</v>
      </c>
      <c r="AL41">
        <v>9359</v>
      </c>
      <c r="AM41">
        <v>119</v>
      </c>
      <c r="AN41" s="17">
        <v>44096</v>
      </c>
      <c r="AO41">
        <v>9464</v>
      </c>
      <c r="AP41">
        <v>105</v>
      </c>
      <c r="AQ41" s="17">
        <v>44097</v>
      </c>
      <c r="AR41">
        <v>9582</v>
      </c>
      <c r="AS41">
        <v>118</v>
      </c>
      <c r="AT41" s="17">
        <v>44098</v>
      </c>
      <c r="AU41">
        <v>9679</v>
      </c>
      <c r="AV41">
        <v>97</v>
      </c>
      <c r="AW41" s="17">
        <v>44099</v>
      </c>
      <c r="AX41">
        <v>9806</v>
      </c>
      <c r="AY41">
        <v>127</v>
      </c>
      <c r="AZ41" s="17">
        <v>44100</v>
      </c>
      <c r="BA41">
        <v>9879</v>
      </c>
      <c r="BB41">
        <v>73</v>
      </c>
      <c r="BC41" s="17">
        <v>44101</v>
      </c>
      <c r="BD41">
        <v>9950</v>
      </c>
      <c r="BE41">
        <v>71</v>
      </c>
      <c r="BF41" s="17">
        <v>44102</v>
      </c>
      <c r="BG41">
        <v>10070</v>
      </c>
      <c r="BH41">
        <v>122</v>
      </c>
      <c r="BI41" s="17">
        <v>44103</v>
      </c>
      <c r="BJ41">
        <v>10205</v>
      </c>
      <c r="BK41">
        <v>133</v>
      </c>
      <c r="BL41" s="17">
        <v>44104</v>
      </c>
      <c r="BM41">
        <v>10371</v>
      </c>
      <c r="BN41">
        <v>166</v>
      </c>
      <c r="BO41" s="17">
        <v>44105</v>
      </c>
      <c r="BP41">
        <v>10558</v>
      </c>
      <c r="BQ41">
        <v>188</v>
      </c>
      <c r="BR41">
        <v>44106</v>
      </c>
      <c r="BS41">
        <v>10747</v>
      </c>
      <c r="BT41">
        <v>188</v>
      </c>
      <c r="BU41">
        <v>44108</v>
      </c>
      <c r="BV41">
        <v>11063</v>
      </c>
      <c r="BW41">
        <v>147</v>
      </c>
      <c r="BX41">
        <v>44109</v>
      </c>
      <c r="BY41">
        <v>11354</v>
      </c>
      <c r="BZ41">
        <v>289</v>
      </c>
      <c r="CA41">
        <v>44110</v>
      </c>
      <c r="CB41">
        <v>11656</v>
      </c>
      <c r="CC41">
        <v>301</v>
      </c>
    </row>
    <row r="42" spans="1:81">
      <c r="A42" t="str">
        <f t="shared" ca="1" si="1"/>
        <v/>
      </c>
      <c r="B42" s="4">
        <f t="shared" ca="1" si="2"/>
        <v>44111</v>
      </c>
      <c r="C42" s="11">
        <f t="shared" ca="1" si="0"/>
        <v>11969</v>
      </c>
      <c r="D42">
        <f t="shared" ref="D42" ca="1" si="10">C42-C41</f>
        <v>306</v>
      </c>
      <c r="E42" s="11">
        <f t="shared" ca="1" si="4"/>
        <v>0</v>
      </c>
      <c r="F42" s="11">
        <f t="shared" ca="1" si="6"/>
        <v>306</v>
      </c>
      <c r="K42" s="3"/>
      <c r="M42" s="17">
        <v>44111</v>
      </c>
      <c r="N42">
        <v>11962</v>
      </c>
      <c r="O42">
        <v>306</v>
      </c>
      <c r="P42" s="17">
        <v>44111</v>
      </c>
      <c r="Q42">
        <v>11962</v>
      </c>
      <c r="R42">
        <v>306</v>
      </c>
      <c r="S42" s="17">
        <v>44090</v>
      </c>
      <c r="T42">
        <v>8944</v>
      </c>
      <c r="U42">
        <v>57</v>
      </c>
      <c r="V42" s="17">
        <v>44091</v>
      </c>
      <c r="W42">
        <v>9030</v>
      </c>
      <c r="X42">
        <v>85</v>
      </c>
      <c r="Y42" s="17">
        <v>44092</v>
      </c>
      <c r="Z42">
        <v>9107</v>
      </c>
      <c r="AA42">
        <v>76</v>
      </c>
      <c r="AB42" s="17">
        <v>44093</v>
      </c>
      <c r="AC42">
        <v>9167</v>
      </c>
      <c r="AD42">
        <v>61</v>
      </c>
      <c r="AE42" s="17">
        <v>44094</v>
      </c>
      <c r="AF42">
        <v>9240</v>
      </c>
      <c r="AG42">
        <v>73</v>
      </c>
      <c r="AH42" s="17">
        <v>44095</v>
      </c>
      <c r="AI42">
        <v>9360</v>
      </c>
      <c r="AJ42">
        <v>119</v>
      </c>
      <c r="AK42" s="17">
        <v>44096</v>
      </c>
      <c r="AL42">
        <v>9464</v>
      </c>
      <c r="AM42">
        <v>105</v>
      </c>
      <c r="AN42" s="17">
        <v>44097</v>
      </c>
      <c r="AO42">
        <v>9582</v>
      </c>
      <c r="AP42">
        <v>118</v>
      </c>
      <c r="AQ42" s="17">
        <v>44098</v>
      </c>
      <c r="AR42">
        <v>9679</v>
      </c>
      <c r="AS42">
        <v>97</v>
      </c>
      <c r="AT42" s="17">
        <v>44099</v>
      </c>
      <c r="AU42">
        <v>9806</v>
      </c>
      <c r="AV42">
        <v>127</v>
      </c>
      <c r="AW42" s="17">
        <v>44100</v>
      </c>
      <c r="AX42">
        <v>9879</v>
      </c>
      <c r="AY42">
        <v>73</v>
      </c>
      <c r="AZ42" s="17">
        <v>44101</v>
      </c>
      <c r="BA42">
        <v>9950</v>
      </c>
      <c r="BB42">
        <v>71</v>
      </c>
      <c r="BC42" s="17">
        <v>44102</v>
      </c>
      <c r="BD42">
        <v>10072</v>
      </c>
      <c r="BE42">
        <v>122</v>
      </c>
      <c r="BF42" s="17">
        <v>44103</v>
      </c>
      <c r="BG42">
        <v>10203</v>
      </c>
      <c r="BH42">
        <v>133</v>
      </c>
      <c r="BI42" s="17">
        <v>44104</v>
      </c>
      <c r="BJ42">
        <v>10370</v>
      </c>
      <c r="BK42">
        <v>165</v>
      </c>
      <c r="BL42" s="17">
        <v>44105</v>
      </c>
      <c r="BM42">
        <v>10559</v>
      </c>
      <c r="BN42">
        <v>188</v>
      </c>
      <c r="BO42" s="17">
        <v>44106</v>
      </c>
      <c r="BP42">
        <v>10746</v>
      </c>
      <c r="BQ42">
        <v>188</v>
      </c>
      <c r="BR42">
        <v>44107</v>
      </c>
      <c r="BS42">
        <v>10916</v>
      </c>
      <c r="BT42">
        <v>169</v>
      </c>
      <c r="BU42">
        <v>44109</v>
      </c>
      <c r="BV42">
        <v>11352</v>
      </c>
      <c r="BW42">
        <v>289</v>
      </c>
      <c r="BX42">
        <v>44110</v>
      </c>
      <c r="BY42">
        <v>11653</v>
      </c>
      <c r="BZ42">
        <v>299</v>
      </c>
      <c r="CA42">
        <v>44111</v>
      </c>
      <c r="CB42">
        <v>11962</v>
      </c>
      <c r="CC42">
        <v>306</v>
      </c>
    </row>
    <row r="43" spans="1:81">
      <c r="A43" t="str">
        <f t="shared" ca="1" si="1"/>
        <v/>
      </c>
      <c r="B43" s="4">
        <f t="shared" ca="1" si="2"/>
        <v>44112</v>
      </c>
      <c r="C43" s="11">
        <f t="shared" ca="1" si="0"/>
        <v>12229</v>
      </c>
      <c r="D43">
        <f t="shared" ref="D43" ca="1" si="11">C43-C42</f>
        <v>260</v>
      </c>
      <c r="E43" s="11">
        <f t="shared" ca="1" si="4"/>
        <v>0</v>
      </c>
      <c r="F43" s="11">
        <f t="shared" ca="1" si="6"/>
        <v>260</v>
      </c>
      <c r="G43" s="10"/>
      <c r="K43" s="3"/>
      <c r="M43" s="17">
        <v>44112</v>
      </c>
      <c r="N43">
        <v>12222</v>
      </c>
      <c r="O43">
        <v>260</v>
      </c>
      <c r="P43" s="17">
        <v>44112</v>
      </c>
      <c r="Q43">
        <v>12222</v>
      </c>
      <c r="R43">
        <v>260</v>
      </c>
      <c r="S43" s="17">
        <v>44091</v>
      </c>
      <c r="T43">
        <v>9029</v>
      </c>
      <c r="U43">
        <v>85</v>
      </c>
      <c r="V43" s="17">
        <v>44092</v>
      </c>
      <c r="W43">
        <v>9106</v>
      </c>
      <c r="X43">
        <v>76</v>
      </c>
      <c r="Y43" s="17">
        <v>44093</v>
      </c>
      <c r="Z43">
        <v>9168</v>
      </c>
      <c r="AA43">
        <v>61</v>
      </c>
      <c r="AB43" s="17">
        <v>44094</v>
      </c>
      <c r="AC43">
        <v>9240</v>
      </c>
      <c r="AD43">
        <v>73</v>
      </c>
      <c r="AE43" s="17">
        <v>44095</v>
      </c>
      <c r="AF43">
        <v>9359</v>
      </c>
      <c r="AG43">
        <v>119</v>
      </c>
      <c r="AH43" s="17">
        <v>44096</v>
      </c>
      <c r="AI43">
        <v>9465</v>
      </c>
      <c r="AJ43">
        <v>105</v>
      </c>
      <c r="AK43" s="17">
        <v>44097</v>
      </c>
      <c r="AL43">
        <v>9582</v>
      </c>
      <c r="AM43">
        <v>118</v>
      </c>
      <c r="AN43" s="17">
        <v>44098</v>
      </c>
      <c r="AO43">
        <v>9679</v>
      </c>
      <c r="AP43">
        <v>97</v>
      </c>
      <c r="AQ43" s="17">
        <v>44099</v>
      </c>
      <c r="AR43">
        <v>9806</v>
      </c>
      <c r="AS43">
        <v>127</v>
      </c>
      <c r="AT43" s="17">
        <v>44100</v>
      </c>
      <c r="AU43">
        <v>9879</v>
      </c>
      <c r="AV43">
        <v>73</v>
      </c>
      <c r="AW43" s="17">
        <v>44101</v>
      </c>
      <c r="AX43">
        <v>9950</v>
      </c>
      <c r="AY43">
        <v>71</v>
      </c>
      <c r="AZ43" s="17">
        <v>44102</v>
      </c>
      <c r="BA43">
        <v>10072</v>
      </c>
      <c r="BB43">
        <v>122</v>
      </c>
      <c r="BC43" s="17">
        <v>44103</v>
      </c>
      <c r="BD43">
        <v>10205</v>
      </c>
      <c r="BE43">
        <v>133</v>
      </c>
      <c r="BF43" s="17">
        <v>44104</v>
      </c>
      <c r="BG43">
        <v>10368</v>
      </c>
      <c r="BH43">
        <v>165</v>
      </c>
      <c r="BI43" s="17">
        <v>44105</v>
      </c>
      <c r="BJ43">
        <v>10558</v>
      </c>
      <c r="BK43">
        <v>188</v>
      </c>
      <c r="BL43" s="17">
        <v>44106</v>
      </c>
      <c r="BM43">
        <v>10747</v>
      </c>
      <c r="BN43">
        <v>188</v>
      </c>
      <c r="BO43" s="17">
        <v>44107</v>
      </c>
      <c r="BP43">
        <v>10915</v>
      </c>
      <c r="BQ43">
        <v>169</v>
      </c>
      <c r="BR43">
        <v>44108</v>
      </c>
      <c r="BS43">
        <v>11063</v>
      </c>
      <c r="BT43">
        <v>147</v>
      </c>
      <c r="BU43">
        <v>44110</v>
      </c>
      <c r="BV43">
        <v>11651</v>
      </c>
      <c r="BW43">
        <v>299</v>
      </c>
      <c r="BX43">
        <v>44111</v>
      </c>
      <c r="BY43">
        <v>11959</v>
      </c>
      <c r="BZ43">
        <v>306</v>
      </c>
      <c r="CA43">
        <v>44112</v>
      </c>
      <c r="CB43">
        <v>12222</v>
      </c>
      <c r="CC43">
        <v>260</v>
      </c>
    </row>
    <row r="44" spans="1:81" s="10" customFormat="1">
      <c r="A44" t="str">
        <f t="shared" ca="1" si="1"/>
        <v/>
      </c>
      <c r="B44" s="9">
        <f t="shared" ca="1" si="2"/>
        <v>44113</v>
      </c>
      <c r="C44" s="10">
        <f t="shared" ca="1" si="0"/>
        <v>12455</v>
      </c>
      <c r="D44" s="10">
        <f t="shared" ref="D44" ca="1" si="12">C44-C43</f>
        <v>226</v>
      </c>
      <c r="E44" s="10">
        <f t="shared" ca="1" si="4"/>
        <v>0</v>
      </c>
      <c r="F44" s="10">
        <f t="shared" ca="1" si="6"/>
        <v>226</v>
      </c>
      <c r="G44" s="10">
        <f ca="1">SUM(D44:D50)</f>
        <v>1306</v>
      </c>
      <c r="H44" s="10" t="str">
        <f ca="1">TEXT(G44/G37-1,"0 %")</f>
        <v>-21 %</v>
      </c>
      <c r="I44" s="10">
        <f ca="1">SUM(D44:D57)</f>
        <v>2531</v>
      </c>
      <c r="K44" s="14"/>
      <c r="L44"/>
      <c r="M44" s="18">
        <v>44113</v>
      </c>
      <c r="N44" s="10">
        <v>12448</v>
      </c>
      <c r="O44" s="10">
        <v>226</v>
      </c>
      <c r="P44" s="18">
        <v>44113</v>
      </c>
      <c r="Q44" s="10">
        <v>12448</v>
      </c>
      <c r="R44" s="10">
        <v>226</v>
      </c>
      <c r="S44" s="18">
        <v>44092</v>
      </c>
      <c r="T44" s="10">
        <v>9105</v>
      </c>
      <c r="U44" s="10">
        <v>76</v>
      </c>
      <c r="V44" s="18">
        <v>44093</v>
      </c>
      <c r="W44" s="10">
        <v>9167</v>
      </c>
      <c r="X44" s="10">
        <v>61</v>
      </c>
      <c r="Y44" s="18">
        <v>44094</v>
      </c>
      <c r="Z44" s="10">
        <v>9241</v>
      </c>
      <c r="AA44" s="10">
        <v>73</v>
      </c>
      <c r="AB44" s="18">
        <v>44095</v>
      </c>
      <c r="AC44" s="10">
        <v>9359</v>
      </c>
      <c r="AD44" s="10">
        <v>119</v>
      </c>
      <c r="AE44" s="18">
        <v>44096</v>
      </c>
      <c r="AF44" s="10">
        <v>9464</v>
      </c>
      <c r="AG44" s="10">
        <v>105</v>
      </c>
      <c r="AH44" s="18">
        <v>44097</v>
      </c>
      <c r="AI44" s="10">
        <v>9583</v>
      </c>
      <c r="AJ44" s="10">
        <v>118</v>
      </c>
      <c r="AK44" s="18">
        <v>44098</v>
      </c>
      <c r="AL44" s="10">
        <v>9679</v>
      </c>
      <c r="AM44" s="10">
        <v>97</v>
      </c>
      <c r="AN44" s="18">
        <v>44099</v>
      </c>
      <c r="AO44" s="10">
        <v>9806</v>
      </c>
      <c r="AP44" s="10">
        <v>127</v>
      </c>
      <c r="AQ44" s="18">
        <v>44100</v>
      </c>
      <c r="AR44" s="10">
        <v>9879</v>
      </c>
      <c r="AS44" s="10">
        <v>73</v>
      </c>
      <c r="AT44" s="18">
        <v>44101</v>
      </c>
      <c r="AU44" s="10">
        <v>9950</v>
      </c>
      <c r="AV44" s="10">
        <v>71</v>
      </c>
      <c r="AW44" s="18">
        <v>44102</v>
      </c>
      <c r="AX44" s="10">
        <v>10072</v>
      </c>
      <c r="AY44" s="10">
        <v>122</v>
      </c>
      <c r="AZ44" s="18">
        <v>44103</v>
      </c>
      <c r="BA44" s="10">
        <v>10205</v>
      </c>
      <c r="BB44" s="10">
        <v>133</v>
      </c>
      <c r="BC44" s="18">
        <v>44104</v>
      </c>
      <c r="BD44" s="10">
        <v>10370</v>
      </c>
      <c r="BE44" s="10">
        <v>165</v>
      </c>
      <c r="BF44" s="18">
        <v>44105</v>
      </c>
      <c r="BG44" s="10">
        <v>10556</v>
      </c>
      <c r="BH44" s="10">
        <v>188</v>
      </c>
      <c r="BI44" s="18">
        <v>44106</v>
      </c>
      <c r="BJ44" s="10">
        <v>10746</v>
      </c>
      <c r="BK44" s="10">
        <v>188</v>
      </c>
      <c r="BL44" s="18">
        <v>44107</v>
      </c>
      <c r="BM44" s="10">
        <v>10916</v>
      </c>
      <c r="BN44" s="10">
        <v>169</v>
      </c>
      <c r="BO44" s="18">
        <v>44108</v>
      </c>
      <c r="BP44" s="10">
        <v>11062</v>
      </c>
      <c r="BQ44" s="10">
        <v>147</v>
      </c>
      <c r="BR44" s="10">
        <v>44109</v>
      </c>
      <c r="BS44" s="10">
        <v>11352</v>
      </c>
      <c r="BT44" s="10">
        <v>289</v>
      </c>
      <c r="BU44" s="10">
        <v>44111</v>
      </c>
      <c r="BV44" s="10">
        <v>11957</v>
      </c>
      <c r="BW44" s="10">
        <v>306</v>
      </c>
      <c r="BX44" s="10">
        <v>44112</v>
      </c>
      <c r="BY44" s="10">
        <v>12219</v>
      </c>
      <c r="BZ44" s="10">
        <v>260</v>
      </c>
      <c r="CA44" s="10">
        <v>44113</v>
      </c>
      <c r="CB44" s="10">
        <v>12448</v>
      </c>
      <c r="CC44" s="10">
        <v>226</v>
      </c>
    </row>
    <row r="45" spans="1:81">
      <c r="A45" t="str">
        <f t="shared" ca="1" si="1"/>
        <v/>
      </c>
      <c r="B45" s="4">
        <f t="shared" ca="1" si="2"/>
        <v>44114</v>
      </c>
      <c r="C45" s="11">
        <f t="shared" ca="1" si="0"/>
        <v>12564</v>
      </c>
      <c r="D45">
        <f t="shared" ref="D45" ca="1" si="13">C45-C44</f>
        <v>109</v>
      </c>
      <c r="E45" s="11">
        <f t="shared" ca="1" si="4"/>
        <v>0</v>
      </c>
      <c r="F45" s="11">
        <f t="shared" ca="1" si="6"/>
        <v>109</v>
      </c>
      <c r="K45" s="3"/>
      <c r="M45" s="17">
        <v>44114</v>
      </c>
      <c r="N45">
        <v>12557</v>
      </c>
      <c r="O45">
        <v>109</v>
      </c>
      <c r="P45" s="17">
        <v>44114</v>
      </c>
      <c r="Q45">
        <v>12557</v>
      </c>
      <c r="R45">
        <v>109</v>
      </c>
      <c r="S45" s="17">
        <v>44093</v>
      </c>
      <c r="T45">
        <v>9166</v>
      </c>
      <c r="U45">
        <v>61</v>
      </c>
      <c r="V45" s="17">
        <v>44094</v>
      </c>
      <c r="W45">
        <v>9240</v>
      </c>
      <c r="X45">
        <v>73</v>
      </c>
      <c r="Y45" s="17">
        <v>44095</v>
      </c>
      <c r="Z45">
        <v>9360</v>
      </c>
      <c r="AA45">
        <v>119</v>
      </c>
      <c r="AB45" s="17">
        <v>44096</v>
      </c>
      <c r="AC45">
        <v>9464</v>
      </c>
      <c r="AD45">
        <v>105</v>
      </c>
      <c r="AE45" s="17">
        <v>44097</v>
      </c>
      <c r="AF45">
        <v>9582</v>
      </c>
      <c r="AG45">
        <v>118</v>
      </c>
      <c r="AH45" s="17">
        <v>44098</v>
      </c>
      <c r="AI45">
        <v>9680</v>
      </c>
      <c r="AJ45">
        <v>97</v>
      </c>
      <c r="AK45" s="17">
        <v>44099</v>
      </c>
      <c r="AL45">
        <v>9806</v>
      </c>
      <c r="AM45">
        <v>127</v>
      </c>
      <c r="AN45" s="17">
        <v>44100</v>
      </c>
      <c r="AO45">
        <v>9880</v>
      </c>
      <c r="AP45">
        <v>74</v>
      </c>
      <c r="AQ45" s="17">
        <v>44101</v>
      </c>
      <c r="AR45">
        <v>9950</v>
      </c>
      <c r="AS45">
        <v>71</v>
      </c>
      <c r="AT45" s="17">
        <v>44102</v>
      </c>
      <c r="AU45">
        <v>10072</v>
      </c>
      <c r="AV45">
        <v>122</v>
      </c>
      <c r="AW45" s="17">
        <v>44103</v>
      </c>
      <c r="AX45">
        <v>10205</v>
      </c>
      <c r="AY45">
        <v>133</v>
      </c>
      <c r="AZ45" s="17">
        <v>44104</v>
      </c>
      <c r="BA45">
        <v>10370</v>
      </c>
      <c r="BB45">
        <v>165</v>
      </c>
      <c r="BC45" s="17">
        <v>44105</v>
      </c>
      <c r="BD45">
        <v>10558</v>
      </c>
      <c r="BE45">
        <v>188</v>
      </c>
      <c r="BF45" s="17">
        <v>44106</v>
      </c>
      <c r="BG45">
        <v>10744</v>
      </c>
      <c r="BH45">
        <v>188</v>
      </c>
      <c r="BI45" s="17">
        <v>44107</v>
      </c>
      <c r="BJ45">
        <v>10915</v>
      </c>
      <c r="BK45">
        <v>169</v>
      </c>
      <c r="BL45" s="17">
        <v>44108</v>
      </c>
      <c r="BM45">
        <v>11063</v>
      </c>
      <c r="BN45">
        <v>147</v>
      </c>
      <c r="BO45" s="17">
        <v>44109</v>
      </c>
      <c r="BP45">
        <v>11351</v>
      </c>
      <c r="BQ45">
        <v>289</v>
      </c>
      <c r="BR45">
        <v>44110</v>
      </c>
      <c r="BS45">
        <v>11651</v>
      </c>
      <c r="BT45">
        <v>299</v>
      </c>
      <c r="BU45">
        <v>44112</v>
      </c>
      <c r="BV45">
        <v>12217</v>
      </c>
      <c r="BW45">
        <v>260</v>
      </c>
      <c r="BX45">
        <v>44113</v>
      </c>
      <c r="BY45">
        <v>12445</v>
      </c>
      <c r="BZ45">
        <v>226</v>
      </c>
      <c r="CA45">
        <v>44114</v>
      </c>
      <c r="CB45">
        <v>12557</v>
      </c>
      <c r="CC45">
        <v>109</v>
      </c>
    </row>
    <row r="46" spans="1:81">
      <c r="A46" t="str">
        <f t="shared" ca="1" si="1"/>
        <v/>
      </c>
      <c r="B46" s="4">
        <f t="shared" ca="1" si="2"/>
        <v>44115</v>
      </c>
      <c r="C46" s="11">
        <f t="shared" ca="1" si="0"/>
        <v>12694</v>
      </c>
      <c r="D46">
        <f t="shared" ref="D46" ca="1" si="14">C46-C45</f>
        <v>130</v>
      </c>
      <c r="E46" s="11">
        <f t="shared" ca="1" si="4"/>
        <v>0</v>
      </c>
      <c r="F46" s="11">
        <f t="shared" ca="1" si="6"/>
        <v>130</v>
      </c>
      <c r="K46" s="3"/>
      <c r="M46" s="17">
        <v>44115</v>
      </c>
      <c r="N46">
        <v>12687</v>
      </c>
      <c r="O46">
        <v>130</v>
      </c>
      <c r="P46" s="17">
        <v>44115</v>
      </c>
      <c r="Q46">
        <v>12687</v>
      </c>
      <c r="R46">
        <v>130</v>
      </c>
      <c r="S46" s="17">
        <v>44094</v>
      </c>
      <c r="T46">
        <v>9239</v>
      </c>
      <c r="U46">
        <v>73</v>
      </c>
      <c r="V46" s="17">
        <v>44095</v>
      </c>
      <c r="W46">
        <v>9359</v>
      </c>
      <c r="X46">
        <v>119</v>
      </c>
      <c r="Y46" s="17">
        <v>44096</v>
      </c>
      <c r="Z46">
        <v>9465</v>
      </c>
      <c r="AA46">
        <v>105</v>
      </c>
      <c r="AB46" s="17">
        <v>44097</v>
      </c>
      <c r="AC46">
        <v>9582</v>
      </c>
      <c r="AD46">
        <v>118</v>
      </c>
      <c r="AE46" s="17">
        <v>44098</v>
      </c>
      <c r="AF46">
        <v>9680</v>
      </c>
      <c r="AG46">
        <v>98</v>
      </c>
      <c r="AH46" s="17">
        <v>44099</v>
      </c>
      <c r="AI46">
        <v>9807</v>
      </c>
      <c r="AJ46">
        <v>127</v>
      </c>
      <c r="AK46" s="17">
        <v>44100</v>
      </c>
      <c r="AL46">
        <v>9880</v>
      </c>
      <c r="AM46">
        <v>74</v>
      </c>
      <c r="AN46" s="17">
        <v>44101</v>
      </c>
      <c r="AO46">
        <v>9951</v>
      </c>
      <c r="AP46">
        <v>71</v>
      </c>
      <c r="AQ46" s="17">
        <v>44102</v>
      </c>
      <c r="AR46">
        <v>10072</v>
      </c>
      <c r="AS46">
        <v>122</v>
      </c>
      <c r="AT46" s="17">
        <v>44103</v>
      </c>
      <c r="AU46">
        <v>10206</v>
      </c>
      <c r="AV46">
        <v>134</v>
      </c>
      <c r="AW46" s="17">
        <v>44104</v>
      </c>
      <c r="AX46">
        <v>10370</v>
      </c>
      <c r="AY46">
        <v>165</v>
      </c>
      <c r="AZ46" s="17">
        <v>44105</v>
      </c>
      <c r="BA46">
        <v>10558</v>
      </c>
      <c r="BB46">
        <v>188</v>
      </c>
      <c r="BC46" s="17">
        <v>44106</v>
      </c>
      <c r="BD46">
        <v>10745</v>
      </c>
      <c r="BE46">
        <v>187</v>
      </c>
      <c r="BF46" s="17">
        <v>44107</v>
      </c>
      <c r="BG46">
        <v>10913</v>
      </c>
      <c r="BH46">
        <v>169</v>
      </c>
      <c r="BI46" s="17">
        <v>44108</v>
      </c>
      <c r="BJ46">
        <v>11062</v>
      </c>
      <c r="BK46">
        <v>147</v>
      </c>
      <c r="BL46" s="17">
        <v>44109</v>
      </c>
      <c r="BM46">
        <v>11352</v>
      </c>
      <c r="BN46">
        <v>289</v>
      </c>
      <c r="BO46" s="17">
        <v>44110</v>
      </c>
      <c r="BP46">
        <v>11650</v>
      </c>
      <c r="BQ46">
        <v>299</v>
      </c>
      <c r="BR46">
        <v>44111</v>
      </c>
      <c r="BS46">
        <v>11957</v>
      </c>
      <c r="BT46">
        <v>306</v>
      </c>
      <c r="BU46">
        <v>44113</v>
      </c>
      <c r="BV46">
        <v>12443</v>
      </c>
      <c r="BW46">
        <v>226</v>
      </c>
      <c r="BX46">
        <v>44114</v>
      </c>
      <c r="BY46">
        <v>12554</v>
      </c>
      <c r="BZ46">
        <v>109</v>
      </c>
      <c r="CA46">
        <v>44115</v>
      </c>
      <c r="CB46">
        <v>12687</v>
      </c>
      <c r="CC46">
        <v>130</v>
      </c>
    </row>
    <row r="47" spans="1:81">
      <c r="A47" t="str">
        <f t="shared" ca="1" si="1"/>
        <v>Ma</v>
      </c>
      <c r="B47" s="4">
        <f t="shared" ca="1" si="2"/>
        <v>44116</v>
      </c>
      <c r="C47" s="11">
        <f t="shared" ca="1" si="0"/>
        <v>12948</v>
      </c>
      <c r="D47">
        <f t="shared" ref="D47" ca="1" si="15">C47-C46</f>
        <v>254</v>
      </c>
      <c r="E47" s="11">
        <f t="shared" ca="1" si="4"/>
        <v>1</v>
      </c>
      <c r="F47" s="11">
        <f t="shared" ca="1" si="6"/>
        <v>253</v>
      </c>
      <c r="K47" s="3"/>
      <c r="M47" s="17">
        <v>44116</v>
      </c>
      <c r="N47">
        <v>12940</v>
      </c>
      <c r="O47">
        <v>253</v>
      </c>
      <c r="P47" s="17">
        <v>44116</v>
      </c>
      <c r="Q47">
        <v>12940</v>
      </c>
      <c r="R47">
        <v>253</v>
      </c>
      <c r="S47" s="17">
        <v>44095</v>
      </c>
      <c r="T47">
        <v>9358</v>
      </c>
      <c r="U47">
        <v>119</v>
      </c>
      <c r="V47" s="17">
        <v>44096</v>
      </c>
      <c r="W47">
        <v>9464</v>
      </c>
      <c r="X47">
        <v>105</v>
      </c>
      <c r="Y47" s="17">
        <v>44097</v>
      </c>
      <c r="Z47">
        <v>9583</v>
      </c>
      <c r="AA47">
        <v>118</v>
      </c>
      <c r="AB47" s="17">
        <v>44098</v>
      </c>
      <c r="AC47">
        <v>9680</v>
      </c>
      <c r="AD47">
        <v>98</v>
      </c>
      <c r="AE47" s="17">
        <v>44099</v>
      </c>
      <c r="AF47">
        <v>9807</v>
      </c>
      <c r="AG47">
        <v>127</v>
      </c>
      <c r="AH47" s="17">
        <v>44100</v>
      </c>
      <c r="AI47">
        <v>9881</v>
      </c>
      <c r="AJ47">
        <v>74</v>
      </c>
      <c r="AK47" s="17">
        <v>44101</v>
      </c>
      <c r="AL47">
        <v>9951</v>
      </c>
      <c r="AM47">
        <v>71</v>
      </c>
      <c r="AN47" s="17">
        <v>44102</v>
      </c>
      <c r="AO47">
        <v>10073</v>
      </c>
      <c r="AP47">
        <v>122</v>
      </c>
      <c r="AQ47" s="17">
        <v>44103</v>
      </c>
      <c r="AR47">
        <v>10207</v>
      </c>
      <c r="AS47">
        <v>135</v>
      </c>
      <c r="AT47" s="17">
        <v>44104</v>
      </c>
      <c r="AU47">
        <v>10371</v>
      </c>
      <c r="AV47">
        <v>165</v>
      </c>
      <c r="AW47" s="17">
        <v>44105</v>
      </c>
      <c r="AX47">
        <v>10558</v>
      </c>
      <c r="AY47">
        <v>188</v>
      </c>
      <c r="AZ47" s="17">
        <v>44106</v>
      </c>
      <c r="BA47">
        <v>10745</v>
      </c>
      <c r="BB47">
        <v>187</v>
      </c>
      <c r="BC47" s="17">
        <v>44107</v>
      </c>
      <c r="BD47">
        <v>10914</v>
      </c>
      <c r="BE47">
        <v>169</v>
      </c>
      <c r="BF47" s="17">
        <v>44108</v>
      </c>
      <c r="BG47">
        <v>11060</v>
      </c>
      <c r="BH47">
        <v>147</v>
      </c>
      <c r="BI47" s="17">
        <v>44109</v>
      </c>
      <c r="BJ47">
        <v>11351</v>
      </c>
      <c r="BK47">
        <v>289</v>
      </c>
      <c r="BL47" s="17">
        <v>44110</v>
      </c>
      <c r="BM47">
        <v>11651</v>
      </c>
      <c r="BN47">
        <v>299</v>
      </c>
      <c r="BO47" s="17">
        <v>44111</v>
      </c>
      <c r="BP47">
        <v>11956</v>
      </c>
      <c r="BQ47">
        <v>306</v>
      </c>
      <c r="BR47">
        <v>44112</v>
      </c>
      <c r="BS47">
        <v>12217</v>
      </c>
      <c r="BT47">
        <v>260</v>
      </c>
      <c r="BU47">
        <v>44114</v>
      </c>
      <c r="BV47">
        <v>12552</v>
      </c>
      <c r="BW47">
        <v>109</v>
      </c>
      <c r="BX47">
        <v>44115</v>
      </c>
      <c r="BY47">
        <v>12684</v>
      </c>
      <c r="BZ47">
        <v>130</v>
      </c>
      <c r="CA47">
        <v>44116</v>
      </c>
      <c r="CB47">
        <v>12940</v>
      </c>
      <c r="CC47">
        <v>253</v>
      </c>
    </row>
    <row r="48" spans="1:81">
      <c r="A48" t="str">
        <f t="shared" ca="1" si="1"/>
        <v/>
      </c>
      <c r="B48" s="4">
        <f t="shared" ca="1" si="2"/>
        <v>44117</v>
      </c>
      <c r="C48" s="11">
        <f t="shared" ca="1" si="0"/>
        <v>13145</v>
      </c>
      <c r="D48">
        <f t="shared" ref="D48" ca="1" si="16">C48-C47</f>
        <v>197</v>
      </c>
      <c r="E48" s="11">
        <f t="shared" ca="1" si="4"/>
        <v>0</v>
      </c>
      <c r="F48" s="11">
        <f t="shared" ca="1" si="6"/>
        <v>197</v>
      </c>
      <c r="K48" s="3"/>
      <c r="M48" s="17">
        <v>44117</v>
      </c>
      <c r="N48">
        <v>13137</v>
      </c>
      <c r="O48">
        <v>197</v>
      </c>
      <c r="P48" s="17">
        <v>44117</v>
      </c>
      <c r="Q48">
        <v>13137</v>
      </c>
      <c r="R48">
        <v>197</v>
      </c>
      <c r="S48" s="17">
        <v>44096</v>
      </c>
      <c r="T48">
        <v>9463</v>
      </c>
      <c r="U48">
        <v>105</v>
      </c>
      <c r="V48" s="17">
        <v>44097</v>
      </c>
      <c r="W48">
        <v>9582</v>
      </c>
      <c r="X48">
        <v>118</v>
      </c>
      <c r="Y48" s="17">
        <v>44098</v>
      </c>
      <c r="Z48">
        <v>9681</v>
      </c>
      <c r="AA48">
        <v>98</v>
      </c>
      <c r="AB48" s="17">
        <v>44099</v>
      </c>
      <c r="AC48">
        <v>9807</v>
      </c>
      <c r="AD48">
        <v>127</v>
      </c>
      <c r="AE48" s="17">
        <v>44100</v>
      </c>
      <c r="AF48">
        <v>9880</v>
      </c>
      <c r="AG48">
        <v>73</v>
      </c>
      <c r="AH48" s="17">
        <v>44101</v>
      </c>
      <c r="AI48">
        <v>9952</v>
      </c>
      <c r="AJ48">
        <v>71</v>
      </c>
      <c r="AK48" s="17">
        <v>44102</v>
      </c>
      <c r="AL48">
        <v>10073</v>
      </c>
      <c r="AM48">
        <v>122</v>
      </c>
      <c r="AN48" s="17">
        <v>44103</v>
      </c>
      <c r="AO48">
        <v>10208</v>
      </c>
      <c r="AP48">
        <v>135</v>
      </c>
      <c r="AQ48" s="17">
        <v>44104</v>
      </c>
      <c r="AR48">
        <v>10373</v>
      </c>
      <c r="AS48">
        <v>166</v>
      </c>
      <c r="AT48" s="17">
        <v>44105</v>
      </c>
      <c r="AU48">
        <v>10559</v>
      </c>
      <c r="AV48">
        <v>188</v>
      </c>
      <c r="AW48" s="17">
        <v>44106</v>
      </c>
      <c r="AX48">
        <v>10745</v>
      </c>
      <c r="AY48">
        <v>187</v>
      </c>
      <c r="AZ48" s="17">
        <v>44107</v>
      </c>
      <c r="BA48">
        <v>10914</v>
      </c>
      <c r="BB48">
        <v>169</v>
      </c>
      <c r="BC48" s="17">
        <v>44108</v>
      </c>
      <c r="BD48">
        <v>11061</v>
      </c>
      <c r="BE48">
        <v>147</v>
      </c>
      <c r="BF48" s="17">
        <v>44109</v>
      </c>
      <c r="BG48">
        <v>11349</v>
      </c>
      <c r="BH48">
        <v>289</v>
      </c>
      <c r="BI48" s="17">
        <v>44110</v>
      </c>
      <c r="BJ48">
        <v>11650</v>
      </c>
      <c r="BK48">
        <v>299</v>
      </c>
      <c r="BL48" s="17">
        <v>44111</v>
      </c>
      <c r="BM48">
        <v>11957</v>
      </c>
      <c r="BN48">
        <v>306</v>
      </c>
      <c r="BO48" s="17">
        <v>44112</v>
      </c>
      <c r="BP48">
        <v>12216</v>
      </c>
      <c r="BQ48">
        <v>260</v>
      </c>
      <c r="BR48">
        <v>44113</v>
      </c>
      <c r="BS48">
        <v>12443</v>
      </c>
      <c r="BT48">
        <v>226</v>
      </c>
      <c r="BU48">
        <v>44115</v>
      </c>
      <c r="BV48">
        <v>12682</v>
      </c>
      <c r="BW48">
        <v>130</v>
      </c>
      <c r="BX48">
        <v>44116</v>
      </c>
      <c r="BY48">
        <v>12936</v>
      </c>
      <c r="BZ48">
        <v>252</v>
      </c>
      <c r="CA48">
        <v>44117</v>
      </c>
      <c r="CB48">
        <v>13137</v>
      </c>
      <c r="CC48">
        <v>197</v>
      </c>
    </row>
    <row r="49" spans="1:81">
      <c r="A49" t="str">
        <f t="shared" ca="1" si="1"/>
        <v/>
      </c>
      <c r="B49" s="4">
        <f t="shared" ca="1" si="2"/>
        <v>44118</v>
      </c>
      <c r="C49" s="11">
        <f t="shared" ca="1" si="0"/>
        <v>13345</v>
      </c>
      <c r="D49">
        <f t="shared" ref="D49" ca="1" si="17">C49-C48</f>
        <v>200</v>
      </c>
      <c r="E49" s="11">
        <f t="shared" ca="1" si="4"/>
        <v>0</v>
      </c>
      <c r="F49" s="11">
        <f t="shared" ca="1" si="6"/>
        <v>200</v>
      </c>
      <c r="K49" s="3"/>
      <c r="M49" s="17">
        <v>44118</v>
      </c>
      <c r="N49">
        <v>13337</v>
      </c>
      <c r="O49">
        <v>200</v>
      </c>
      <c r="P49" s="17">
        <v>44118</v>
      </c>
      <c r="Q49">
        <v>13337</v>
      </c>
      <c r="R49">
        <v>200</v>
      </c>
      <c r="S49" s="17">
        <v>44097</v>
      </c>
      <c r="T49">
        <v>9581</v>
      </c>
      <c r="U49">
        <v>118</v>
      </c>
      <c r="V49" s="17">
        <v>44098</v>
      </c>
      <c r="W49">
        <v>9680</v>
      </c>
      <c r="X49">
        <v>98</v>
      </c>
      <c r="Y49" s="17">
        <v>44099</v>
      </c>
      <c r="Z49">
        <v>9808</v>
      </c>
      <c r="AA49">
        <v>127</v>
      </c>
      <c r="AB49" s="17">
        <v>44100</v>
      </c>
      <c r="AC49">
        <v>9880</v>
      </c>
      <c r="AD49">
        <v>73</v>
      </c>
      <c r="AE49" s="17">
        <v>44101</v>
      </c>
      <c r="AF49">
        <v>9950</v>
      </c>
      <c r="AG49">
        <v>70</v>
      </c>
      <c r="AH49" s="17">
        <v>44102</v>
      </c>
      <c r="AI49">
        <v>10075</v>
      </c>
      <c r="AJ49">
        <v>123</v>
      </c>
      <c r="AK49" s="17">
        <v>44103</v>
      </c>
      <c r="AL49">
        <v>10208</v>
      </c>
      <c r="AM49">
        <v>135</v>
      </c>
      <c r="AN49" s="17">
        <v>44104</v>
      </c>
      <c r="AO49">
        <v>10374</v>
      </c>
      <c r="AP49">
        <v>166</v>
      </c>
      <c r="AQ49" s="17">
        <v>44105</v>
      </c>
      <c r="AR49">
        <v>10561</v>
      </c>
      <c r="AS49">
        <v>188</v>
      </c>
      <c r="AT49" s="17">
        <v>44106</v>
      </c>
      <c r="AU49">
        <v>10746</v>
      </c>
      <c r="AV49">
        <v>187</v>
      </c>
      <c r="AW49" s="17">
        <v>44107</v>
      </c>
      <c r="AX49">
        <v>10914</v>
      </c>
      <c r="AY49">
        <v>169</v>
      </c>
      <c r="AZ49" s="17">
        <v>44108</v>
      </c>
      <c r="BA49">
        <v>11061</v>
      </c>
      <c r="BB49">
        <v>147</v>
      </c>
      <c r="BC49" s="17">
        <v>44109</v>
      </c>
      <c r="BD49">
        <v>11350</v>
      </c>
      <c r="BE49">
        <v>289</v>
      </c>
      <c r="BF49" s="17">
        <v>44110</v>
      </c>
      <c r="BG49">
        <v>11648</v>
      </c>
      <c r="BH49">
        <v>299</v>
      </c>
      <c r="BI49" s="17">
        <v>44111</v>
      </c>
      <c r="BJ49">
        <v>11956</v>
      </c>
      <c r="BK49">
        <v>306</v>
      </c>
      <c r="BL49" s="17">
        <v>44112</v>
      </c>
      <c r="BM49">
        <v>12217</v>
      </c>
      <c r="BN49">
        <v>260</v>
      </c>
      <c r="BO49" s="17">
        <v>44113</v>
      </c>
      <c r="BP49">
        <v>12442</v>
      </c>
      <c r="BQ49">
        <v>226</v>
      </c>
      <c r="BR49">
        <v>44114</v>
      </c>
      <c r="BS49">
        <v>12552</v>
      </c>
      <c r="BT49">
        <v>109</v>
      </c>
      <c r="BU49">
        <v>44116</v>
      </c>
      <c r="BV49">
        <v>12934</v>
      </c>
      <c r="BW49">
        <v>252</v>
      </c>
      <c r="BX49">
        <v>44117</v>
      </c>
      <c r="BY49">
        <v>13133</v>
      </c>
      <c r="BZ49">
        <v>197</v>
      </c>
      <c r="CA49">
        <v>44118</v>
      </c>
      <c r="CB49">
        <v>13337</v>
      </c>
      <c r="CC49">
        <v>200</v>
      </c>
    </row>
    <row r="50" spans="1:81">
      <c r="A50" t="str">
        <f t="shared" ca="1" si="1"/>
        <v/>
      </c>
      <c r="B50" s="4">
        <f t="shared" ca="1" si="2"/>
        <v>44119</v>
      </c>
      <c r="C50" s="11">
        <f t="shared" ca="1" si="0"/>
        <v>13535</v>
      </c>
      <c r="D50">
        <f t="shared" ref="D50" ca="1" si="18">C50-C49</f>
        <v>190</v>
      </c>
      <c r="E50" s="11">
        <f t="shared" ca="1" si="4"/>
        <v>0</v>
      </c>
      <c r="F50" s="11">
        <f ca="1">VLOOKUP(B50,Previous,3,FALSE)</f>
        <v>190</v>
      </c>
      <c r="K50" s="3"/>
      <c r="M50" s="17">
        <v>44119</v>
      </c>
      <c r="N50">
        <v>13527</v>
      </c>
      <c r="O50">
        <v>190</v>
      </c>
      <c r="P50" s="17">
        <v>44119</v>
      </c>
      <c r="Q50">
        <v>13527</v>
      </c>
      <c r="R50">
        <v>190</v>
      </c>
      <c r="S50" s="17">
        <v>44098</v>
      </c>
      <c r="T50">
        <v>9679</v>
      </c>
      <c r="U50">
        <v>98</v>
      </c>
      <c r="V50" s="17">
        <v>44099</v>
      </c>
      <c r="W50">
        <v>9805</v>
      </c>
      <c r="X50">
        <v>125</v>
      </c>
      <c r="Y50" s="17">
        <v>44100</v>
      </c>
      <c r="Z50">
        <v>9881</v>
      </c>
      <c r="AA50">
        <v>73</v>
      </c>
      <c r="AB50" s="17">
        <v>44101</v>
      </c>
      <c r="AC50">
        <v>9950</v>
      </c>
      <c r="AD50">
        <v>70</v>
      </c>
      <c r="AE50" s="17">
        <v>44102</v>
      </c>
      <c r="AF50">
        <v>10074</v>
      </c>
      <c r="AG50">
        <v>124</v>
      </c>
      <c r="AH50" s="17">
        <v>44103</v>
      </c>
      <c r="AI50">
        <v>10210</v>
      </c>
      <c r="AJ50">
        <v>135</v>
      </c>
      <c r="AK50" s="17">
        <v>44104</v>
      </c>
      <c r="AL50">
        <v>10374</v>
      </c>
      <c r="AM50">
        <v>166</v>
      </c>
      <c r="AN50" s="17">
        <v>44105</v>
      </c>
      <c r="AO50">
        <v>10562</v>
      </c>
      <c r="AP50">
        <v>188</v>
      </c>
      <c r="AQ50" s="17">
        <v>44106</v>
      </c>
      <c r="AR50">
        <v>10748</v>
      </c>
      <c r="AS50">
        <v>187</v>
      </c>
      <c r="AT50" s="17">
        <v>44107</v>
      </c>
      <c r="AU50">
        <v>10915</v>
      </c>
      <c r="AV50">
        <v>169</v>
      </c>
      <c r="AW50" s="17">
        <v>44108</v>
      </c>
      <c r="AX50">
        <v>11061</v>
      </c>
      <c r="AY50">
        <v>147</v>
      </c>
      <c r="AZ50" s="17">
        <v>44109</v>
      </c>
      <c r="BA50">
        <v>11347</v>
      </c>
      <c r="BB50">
        <v>286</v>
      </c>
      <c r="BC50" s="17">
        <v>44110</v>
      </c>
      <c r="BD50">
        <v>11649</v>
      </c>
      <c r="BE50">
        <v>299</v>
      </c>
      <c r="BF50" s="17">
        <v>44111</v>
      </c>
      <c r="BG50">
        <v>11954</v>
      </c>
      <c r="BH50">
        <v>306</v>
      </c>
      <c r="BI50" s="17">
        <v>44112</v>
      </c>
      <c r="BJ50">
        <v>12216</v>
      </c>
      <c r="BK50">
        <v>260</v>
      </c>
      <c r="BL50" s="17">
        <v>44113</v>
      </c>
      <c r="BM50">
        <v>12443</v>
      </c>
      <c r="BN50">
        <v>226</v>
      </c>
      <c r="BO50" s="17">
        <v>44114</v>
      </c>
      <c r="BP50">
        <v>12551</v>
      </c>
      <c r="BQ50">
        <v>109</v>
      </c>
      <c r="BR50">
        <v>44115</v>
      </c>
      <c r="BS50">
        <v>12682</v>
      </c>
      <c r="BT50">
        <v>130</v>
      </c>
      <c r="BU50">
        <v>44117</v>
      </c>
      <c r="BV50">
        <v>13132</v>
      </c>
      <c r="BW50">
        <v>198</v>
      </c>
      <c r="BX50">
        <v>44118</v>
      </c>
      <c r="BY50">
        <v>13333</v>
      </c>
      <c r="BZ50">
        <v>200</v>
      </c>
      <c r="CA50">
        <v>44119</v>
      </c>
      <c r="CB50">
        <v>13527</v>
      </c>
      <c r="CC50">
        <v>190</v>
      </c>
    </row>
    <row r="51" spans="1:81" s="10" customFormat="1">
      <c r="A51" t="str">
        <f t="shared" ca="1" si="1"/>
        <v/>
      </c>
      <c r="B51" s="9">
        <f t="shared" ca="1" si="2"/>
        <v>44120</v>
      </c>
      <c r="C51" s="10">
        <f t="shared" ca="1" si="0"/>
        <v>13727</v>
      </c>
      <c r="D51" s="10">
        <f t="shared" ref="D51" ca="1" si="19">C51-C50</f>
        <v>192</v>
      </c>
      <c r="E51" s="10">
        <f t="shared" ca="1" si="4"/>
        <v>0</v>
      </c>
      <c r="F51" s="10">
        <f t="shared" ca="1" si="6"/>
        <v>192</v>
      </c>
      <c r="G51" s="10">
        <f ca="1">SUM(D51:D57)</f>
        <v>1225</v>
      </c>
      <c r="H51" s="10" t="str">
        <f ca="1">TEXT(G51/G44-1,"0 %")</f>
        <v>-6 %</v>
      </c>
      <c r="I51" s="10">
        <f ca="1">SUM(D51:D64)</f>
        <v>2375</v>
      </c>
      <c r="K51" s="14"/>
      <c r="L51"/>
      <c r="M51" s="18">
        <v>44120</v>
      </c>
      <c r="N51" s="10">
        <v>13719</v>
      </c>
      <c r="O51" s="10">
        <v>192</v>
      </c>
      <c r="P51" s="18">
        <v>44120</v>
      </c>
      <c r="Q51" s="10">
        <v>13719</v>
      </c>
      <c r="R51" s="10">
        <v>192</v>
      </c>
      <c r="S51" s="18">
        <v>44099</v>
      </c>
      <c r="T51" s="10">
        <v>9804</v>
      </c>
      <c r="U51" s="10">
        <v>125</v>
      </c>
      <c r="V51" s="18">
        <v>44100</v>
      </c>
      <c r="W51" s="10">
        <v>9878</v>
      </c>
      <c r="X51" s="10">
        <v>73</v>
      </c>
      <c r="Y51" s="18">
        <v>44101</v>
      </c>
      <c r="Z51" s="10">
        <v>9951</v>
      </c>
      <c r="AA51" s="10">
        <v>70</v>
      </c>
      <c r="AB51" s="18">
        <v>44102</v>
      </c>
      <c r="AC51" s="10">
        <v>10074</v>
      </c>
      <c r="AD51" s="10">
        <v>124</v>
      </c>
      <c r="AE51" s="18">
        <v>44103</v>
      </c>
      <c r="AF51" s="10">
        <v>10209</v>
      </c>
      <c r="AG51" s="10">
        <v>135</v>
      </c>
      <c r="AH51" s="18">
        <v>44104</v>
      </c>
      <c r="AI51" s="10">
        <v>10379</v>
      </c>
      <c r="AJ51" s="10">
        <v>169</v>
      </c>
      <c r="AK51" s="18">
        <v>44105</v>
      </c>
      <c r="AL51" s="10">
        <v>10562</v>
      </c>
      <c r="AM51" s="10">
        <v>188</v>
      </c>
      <c r="AN51" s="18">
        <v>44106</v>
      </c>
      <c r="AO51" s="10">
        <v>10749</v>
      </c>
      <c r="AP51" s="10">
        <v>187</v>
      </c>
      <c r="AQ51" s="18">
        <v>44107</v>
      </c>
      <c r="AR51" s="10">
        <v>10917</v>
      </c>
      <c r="AS51" s="10">
        <v>169</v>
      </c>
      <c r="AT51" s="18">
        <v>44108</v>
      </c>
      <c r="AU51" s="10">
        <v>11062</v>
      </c>
      <c r="AV51" s="10">
        <v>147</v>
      </c>
      <c r="AW51" s="18">
        <v>44109</v>
      </c>
      <c r="AX51" s="10">
        <v>11347</v>
      </c>
      <c r="AY51" s="10">
        <v>286</v>
      </c>
      <c r="AZ51" s="18">
        <v>44110</v>
      </c>
      <c r="BA51" s="10">
        <v>11646</v>
      </c>
      <c r="BB51" s="10">
        <v>299</v>
      </c>
      <c r="BC51" s="18">
        <v>44111</v>
      </c>
      <c r="BD51" s="10">
        <v>11958</v>
      </c>
      <c r="BE51" s="10">
        <v>309</v>
      </c>
      <c r="BF51" s="18">
        <v>44112</v>
      </c>
      <c r="BG51" s="10">
        <v>12214</v>
      </c>
      <c r="BH51" s="10">
        <v>260</v>
      </c>
      <c r="BI51" s="18">
        <v>44113</v>
      </c>
      <c r="BJ51" s="10">
        <v>12442</v>
      </c>
      <c r="BK51" s="10">
        <v>226</v>
      </c>
      <c r="BL51" s="18">
        <v>44114</v>
      </c>
      <c r="BM51" s="10">
        <v>12552</v>
      </c>
      <c r="BN51" s="10">
        <v>109</v>
      </c>
      <c r="BO51" s="18">
        <v>44115</v>
      </c>
      <c r="BP51" s="10">
        <v>12681</v>
      </c>
      <c r="BQ51" s="10">
        <v>130</v>
      </c>
      <c r="BR51" s="10">
        <v>44116</v>
      </c>
      <c r="BS51" s="10">
        <v>12934</v>
      </c>
      <c r="BT51" s="10">
        <v>252</v>
      </c>
      <c r="BU51" s="10">
        <v>44118</v>
      </c>
      <c r="BV51" s="10">
        <v>13334</v>
      </c>
      <c r="BW51" s="10">
        <v>202</v>
      </c>
      <c r="BX51" s="10">
        <v>44119</v>
      </c>
      <c r="BY51" s="10">
        <v>13522</v>
      </c>
      <c r="BZ51" s="10">
        <v>189</v>
      </c>
      <c r="CA51" s="10">
        <v>44120</v>
      </c>
      <c r="CB51" s="10">
        <v>13719</v>
      </c>
      <c r="CC51" s="10">
        <v>192</v>
      </c>
    </row>
    <row r="52" spans="1:81">
      <c r="A52" t="str">
        <f t="shared" ca="1" si="1"/>
        <v/>
      </c>
      <c r="B52" s="4">
        <f t="shared" ca="1" si="2"/>
        <v>44121</v>
      </c>
      <c r="C52" s="11">
        <f t="shared" ca="1" si="0"/>
        <v>13827</v>
      </c>
      <c r="D52">
        <f t="shared" ref="D52:D63" ca="1" si="20">C52-C51</f>
        <v>100</v>
      </c>
      <c r="E52" s="11">
        <f t="shared" ca="1" si="4"/>
        <v>0</v>
      </c>
      <c r="F52" s="11">
        <f t="shared" ca="1" si="6"/>
        <v>100</v>
      </c>
      <c r="G52" s="10"/>
      <c r="K52" s="3"/>
      <c r="M52" s="17">
        <v>44121</v>
      </c>
      <c r="N52">
        <v>13819</v>
      </c>
      <c r="O52">
        <v>100</v>
      </c>
      <c r="P52" s="17">
        <v>44121</v>
      </c>
      <c r="Q52">
        <v>13819</v>
      </c>
      <c r="R52">
        <v>100</v>
      </c>
      <c r="S52" s="17">
        <v>44100</v>
      </c>
      <c r="T52">
        <v>9877</v>
      </c>
      <c r="U52">
        <v>73</v>
      </c>
      <c r="V52" s="17">
        <v>44101</v>
      </c>
      <c r="W52">
        <v>9947</v>
      </c>
      <c r="X52">
        <v>69</v>
      </c>
      <c r="Y52" s="17">
        <v>44102</v>
      </c>
      <c r="Z52">
        <v>10075</v>
      </c>
      <c r="AA52">
        <v>124</v>
      </c>
      <c r="AB52" s="17">
        <v>44103</v>
      </c>
      <c r="AC52">
        <v>10209</v>
      </c>
      <c r="AD52">
        <v>135</v>
      </c>
      <c r="AE52" s="17">
        <v>44104</v>
      </c>
      <c r="AF52">
        <v>10376</v>
      </c>
      <c r="AG52">
        <v>167</v>
      </c>
      <c r="AH52" s="17">
        <v>44105</v>
      </c>
      <c r="AI52">
        <v>10571</v>
      </c>
      <c r="AJ52">
        <v>192</v>
      </c>
      <c r="AK52" s="17">
        <v>44106</v>
      </c>
      <c r="AL52">
        <v>10749</v>
      </c>
      <c r="AM52">
        <v>187</v>
      </c>
      <c r="AN52" s="17">
        <v>44107</v>
      </c>
      <c r="AO52">
        <v>10918</v>
      </c>
      <c r="AP52">
        <v>169</v>
      </c>
      <c r="AQ52" s="17">
        <v>44108</v>
      </c>
      <c r="AR52">
        <v>11064</v>
      </c>
      <c r="AS52">
        <v>147</v>
      </c>
      <c r="AT52" s="17">
        <v>44109</v>
      </c>
      <c r="AU52">
        <v>11349</v>
      </c>
      <c r="AV52">
        <v>287</v>
      </c>
      <c r="AW52" s="17">
        <v>44110</v>
      </c>
      <c r="AX52">
        <v>11646</v>
      </c>
      <c r="AY52">
        <v>299</v>
      </c>
      <c r="AZ52" s="17">
        <v>44111</v>
      </c>
      <c r="BA52">
        <v>11954</v>
      </c>
      <c r="BB52">
        <v>308</v>
      </c>
      <c r="BC52" s="17">
        <v>44112</v>
      </c>
      <c r="BD52">
        <v>12219</v>
      </c>
      <c r="BE52">
        <v>261</v>
      </c>
      <c r="BF52" s="17">
        <v>44113</v>
      </c>
      <c r="BG52">
        <v>12440</v>
      </c>
      <c r="BH52">
        <v>226</v>
      </c>
      <c r="BI52" s="17">
        <v>44114</v>
      </c>
      <c r="BJ52">
        <v>12551</v>
      </c>
      <c r="BK52">
        <v>109</v>
      </c>
      <c r="BL52" s="17">
        <v>44115</v>
      </c>
      <c r="BM52">
        <v>12682</v>
      </c>
      <c r="BN52">
        <v>130</v>
      </c>
      <c r="BO52" s="17">
        <v>44116</v>
      </c>
      <c r="BP52">
        <v>12933</v>
      </c>
      <c r="BQ52">
        <v>252</v>
      </c>
      <c r="BR52">
        <v>44117</v>
      </c>
      <c r="BS52">
        <v>13131</v>
      </c>
      <c r="BT52">
        <v>197</v>
      </c>
      <c r="BU52">
        <v>44119</v>
      </c>
      <c r="BV52">
        <v>13524</v>
      </c>
      <c r="BW52">
        <v>190</v>
      </c>
      <c r="BX52">
        <v>44120</v>
      </c>
      <c r="BY52">
        <v>13714</v>
      </c>
      <c r="BZ52">
        <v>192</v>
      </c>
      <c r="CA52">
        <v>44121</v>
      </c>
      <c r="CB52">
        <v>13819</v>
      </c>
      <c r="CC52">
        <v>100</v>
      </c>
    </row>
    <row r="53" spans="1:81">
      <c r="A53" t="str">
        <f t="shared" ca="1" si="1"/>
        <v/>
      </c>
      <c r="B53" s="4">
        <f t="shared" ca="1" si="2"/>
        <v>44122</v>
      </c>
      <c r="C53" s="11">
        <f t="shared" ca="1" si="0"/>
        <v>13954</v>
      </c>
      <c r="D53">
        <f t="shared" ca="1" si="20"/>
        <v>127</v>
      </c>
      <c r="E53" s="11">
        <f t="shared" ca="1" si="4"/>
        <v>0</v>
      </c>
      <c r="F53" s="11">
        <f t="shared" ca="1" si="6"/>
        <v>127</v>
      </c>
      <c r="J53" s="13"/>
      <c r="K53" s="3"/>
      <c r="M53" s="17">
        <v>44122</v>
      </c>
      <c r="N53">
        <v>13946</v>
      </c>
      <c r="O53">
        <v>127</v>
      </c>
      <c r="P53" s="17">
        <v>44122</v>
      </c>
      <c r="Q53">
        <v>13946</v>
      </c>
      <c r="R53">
        <v>127</v>
      </c>
      <c r="S53" s="17">
        <v>44101</v>
      </c>
      <c r="T53">
        <v>9946</v>
      </c>
      <c r="U53">
        <v>69</v>
      </c>
      <c r="V53" s="17">
        <v>44102</v>
      </c>
      <c r="W53">
        <v>10070</v>
      </c>
      <c r="X53">
        <v>123</v>
      </c>
      <c r="Y53" s="17">
        <v>44103</v>
      </c>
      <c r="Z53">
        <v>10210</v>
      </c>
      <c r="AA53">
        <v>135</v>
      </c>
      <c r="AB53" s="17">
        <v>44104</v>
      </c>
      <c r="AC53">
        <v>10376</v>
      </c>
      <c r="AD53">
        <v>167</v>
      </c>
      <c r="AE53" s="17">
        <v>44105</v>
      </c>
      <c r="AF53">
        <v>10568</v>
      </c>
      <c r="AG53">
        <v>192</v>
      </c>
      <c r="AH53" s="17">
        <v>44106</v>
      </c>
      <c r="AI53">
        <v>10760</v>
      </c>
      <c r="AJ53">
        <v>189</v>
      </c>
      <c r="AK53" s="17">
        <v>44107</v>
      </c>
      <c r="AL53">
        <v>10918</v>
      </c>
      <c r="AM53">
        <v>169</v>
      </c>
      <c r="AN53" s="17">
        <v>44108</v>
      </c>
      <c r="AO53">
        <v>11065</v>
      </c>
      <c r="AP53">
        <v>147</v>
      </c>
      <c r="AQ53" s="17">
        <v>44109</v>
      </c>
      <c r="AR53">
        <v>11351</v>
      </c>
      <c r="AS53">
        <v>287</v>
      </c>
      <c r="AT53" s="17">
        <v>44110</v>
      </c>
      <c r="AU53">
        <v>11648</v>
      </c>
      <c r="AV53">
        <v>299</v>
      </c>
      <c r="AW53" s="17">
        <v>44111</v>
      </c>
      <c r="AX53">
        <v>11954</v>
      </c>
      <c r="AY53">
        <v>308</v>
      </c>
      <c r="AZ53" s="17">
        <v>44112</v>
      </c>
      <c r="BA53">
        <v>12215</v>
      </c>
      <c r="BB53">
        <v>261</v>
      </c>
      <c r="BC53" s="17">
        <v>44113</v>
      </c>
      <c r="BD53">
        <v>12446</v>
      </c>
      <c r="BE53">
        <v>227</v>
      </c>
      <c r="BF53" s="17">
        <v>44114</v>
      </c>
      <c r="BG53">
        <v>12549</v>
      </c>
      <c r="BH53">
        <v>109</v>
      </c>
      <c r="BI53" s="17">
        <v>44115</v>
      </c>
      <c r="BJ53">
        <v>12681</v>
      </c>
      <c r="BK53">
        <v>130</v>
      </c>
      <c r="BL53" s="17">
        <v>44116</v>
      </c>
      <c r="BM53">
        <v>12934</v>
      </c>
      <c r="BN53">
        <v>252</v>
      </c>
      <c r="BO53" s="17">
        <v>44117</v>
      </c>
      <c r="BP53">
        <v>13133</v>
      </c>
      <c r="BQ53">
        <v>200</v>
      </c>
      <c r="BR53">
        <v>44118</v>
      </c>
      <c r="BS53">
        <v>13333</v>
      </c>
      <c r="BT53">
        <v>202</v>
      </c>
      <c r="BU53">
        <v>44120</v>
      </c>
      <c r="BV53">
        <v>13717</v>
      </c>
      <c r="BW53">
        <v>193</v>
      </c>
      <c r="BX53">
        <v>44121</v>
      </c>
      <c r="BY53">
        <v>13814</v>
      </c>
      <c r="BZ53">
        <v>100</v>
      </c>
      <c r="CA53">
        <v>44122</v>
      </c>
      <c r="CB53">
        <v>13946</v>
      </c>
      <c r="CC53">
        <v>127</v>
      </c>
    </row>
    <row r="54" spans="1:81">
      <c r="A54" t="str">
        <f t="shared" ca="1" si="1"/>
        <v>Ma</v>
      </c>
      <c r="B54" s="4">
        <f t="shared" ca="1" si="2"/>
        <v>44123</v>
      </c>
      <c r="C54" s="11">
        <f t="shared" ca="1" si="0"/>
        <v>14198</v>
      </c>
      <c r="D54">
        <f t="shared" ca="1" si="20"/>
        <v>244</v>
      </c>
      <c r="E54" s="11">
        <f t="shared" ca="1" si="4"/>
        <v>2</v>
      </c>
      <c r="F54" s="11">
        <f t="shared" ca="1" si="6"/>
        <v>242</v>
      </c>
      <c r="J54" s="13"/>
      <c r="K54" s="3"/>
      <c r="M54" s="17">
        <v>44123</v>
      </c>
      <c r="N54">
        <v>14188</v>
      </c>
      <c r="O54">
        <v>242</v>
      </c>
      <c r="P54" s="17">
        <v>44123</v>
      </c>
      <c r="Q54">
        <v>14188</v>
      </c>
      <c r="R54">
        <v>242</v>
      </c>
      <c r="S54" s="17">
        <v>44102</v>
      </c>
      <c r="T54">
        <v>10069</v>
      </c>
      <c r="U54">
        <v>123</v>
      </c>
      <c r="V54" s="17">
        <v>44103</v>
      </c>
      <c r="W54">
        <v>10205</v>
      </c>
      <c r="X54">
        <v>135</v>
      </c>
      <c r="Y54" s="17">
        <v>44104</v>
      </c>
      <c r="Z54">
        <v>10378</v>
      </c>
      <c r="AA54">
        <v>168</v>
      </c>
      <c r="AB54" s="17">
        <v>44105</v>
      </c>
      <c r="AC54">
        <v>10567</v>
      </c>
      <c r="AD54">
        <v>191</v>
      </c>
      <c r="AE54" s="17">
        <v>44106</v>
      </c>
      <c r="AF54">
        <v>10758</v>
      </c>
      <c r="AG54">
        <v>190</v>
      </c>
      <c r="AH54" s="17">
        <v>44107</v>
      </c>
      <c r="AI54">
        <v>10932</v>
      </c>
      <c r="AJ54">
        <v>172</v>
      </c>
      <c r="AK54" s="17">
        <v>44108</v>
      </c>
      <c r="AL54">
        <v>11065</v>
      </c>
      <c r="AM54">
        <v>147</v>
      </c>
      <c r="AN54" s="17">
        <v>44109</v>
      </c>
      <c r="AO54">
        <v>11353</v>
      </c>
      <c r="AP54">
        <v>288</v>
      </c>
      <c r="AQ54" s="17">
        <v>44110</v>
      </c>
      <c r="AR54">
        <v>11650</v>
      </c>
      <c r="AS54">
        <v>299</v>
      </c>
      <c r="AT54" s="17">
        <v>44111</v>
      </c>
      <c r="AU54">
        <v>11956</v>
      </c>
      <c r="AV54">
        <v>308</v>
      </c>
      <c r="AW54" s="17">
        <v>44112</v>
      </c>
      <c r="AX54">
        <v>12216</v>
      </c>
      <c r="AY54">
        <v>262</v>
      </c>
      <c r="AZ54" s="17">
        <v>44113</v>
      </c>
      <c r="BA54">
        <v>12443</v>
      </c>
      <c r="BB54">
        <v>228</v>
      </c>
      <c r="BC54" s="17">
        <v>44114</v>
      </c>
      <c r="BD54">
        <v>12559</v>
      </c>
      <c r="BE54">
        <v>113</v>
      </c>
      <c r="BF54" s="17">
        <v>44115</v>
      </c>
      <c r="BG54">
        <v>12679</v>
      </c>
      <c r="BH54">
        <v>130</v>
      </c>
      <c r="BI54" s="17">
        <v>44116</v>
      </c>
      <c r="BJ54">
        <v>12934</v>
      </c>
      <c r="BK54">
        <v>253</v>
      </c>
      <c r="BL54" s="17">
        <v>44117</v>
      </c>
      <c r="BM54">
        <v>13131</v>
      </c>
      <c r="BN54">
        <v>197</v>
      </c>
      <c r="BO54" s="17">
        <v>44118</v>
      </c>
      <c r="BP54">
        <v>13333</v>
      </c>
      <c r="BQ54">
        <v>200</v>
      </c>
      <c r="BR54">
        <v>44119</v>
      </c>
      <c r="BS54">
        <v>13523</v>
      </c>
      <c r="BT54">
        <v>190</v>
      </c>
      <c r="BU54">
        <v>44121</v>
      </c>
      <c r="BV54">
        <v>13818</v>
      </c>
      <c r="BW54">
        <v>101</v>
      </c>
      <c r="BX54">
        <v>44122</v>
      </c>
      <c r="BY54">
        <v>13941</v>
      </c>
      <c r="BZ54">
        <v>127</v>
      </c>
      <c r="CA54">
        <v>44123</v>
      </c>
      <c r="CB54">
        <v>14188</v>
      </c>
      <c r="CC54">
        <v>242</v>
      </c>
    </row>
    <row r="55" spans="1:81">
      <c r="A55" t="str">
        <f t="shared" ca="1" si="1"/>
        <v/>
      </c>
      <c r="B55" s="4">
        <f t="shared" ca="1" si="2"/>
        <v>44124</v>
      </c>
      <c r="C55" s="11">
        <f t="shared" ca="1" si="0"/>
        <v>14359</v>
      </c>
      <c r="D55">
        <f t="shared" ca="1" si="20"/>
        <v>161</v>
      </c>
      <c r="E55" s="11">
        <f t="shared" ca="1" si="4"/>
        <v>1</v>
      </c>
      <c r="F55" s="11">
        <f t="shared" ca="1" si="6"/>
        <v>160</v>
      </c>
      <c r="J55" s="13"/>
      <c r="K55" s="3"/>
      <c r="M55" s="17">
        <v>44124</v>
      </c>
      <c r="N55">
        <v>14348</v>
      </c>
      <c r="O55">
        <v>160</v>
      </c>
      <c r="P55" s="17">
        <v>44124</v>
      </c>
      <c r="Q55">
        <v>14348</v>
      </c>
      <c r="R55">
        <v>160</v>
      </c>
      <c r="S55" s="17">
        <v>44103</v>
      </c>
      <c r="T55">
        <v>10205</v>
      </c>
      <c r="U55">
        <v>136</v>
      </c>
      <c r="V55" s="17">
        <v>44104</v>
      </c>
      <c r="W55">
        <v>10372</v>
      </c>
      <c r="X55">
        <v>167</v>
      </c>
      <c r="Y55" s="17">
        <v>44105</v>
      </c>
      <c r="Z55">
        <v>10569</v>
      </c>
      <c r="AA55">
        <v>191</v>
      </c>
      <c r="AB55" s="17">
        <v>44106</v>
      </c>
      <c r="AC55">
        <v>10758</v>
      </c>
      <c r="AD55">
        <v>191</v>
      </c>
      <c r="AE55" s="17">
        <v>44107</v>
      </c>
      <c r="AF55">
        <v>10930</v>
      </c>
      <c r="AG55">
        <v>172</v>
      </c>
      <c r="AH55" s="17">
        <v>44108</v>
      </c>
      <c r="AI55">
        <v>11080</v>
      </c>
      <c r="AJ55">
        <v>148</v>
      </c>
      <c r="AK55" s="17">
        <v>44109</v>
      </c>
      <c r="AL55">
        <v>11352</v>
      </c>
      <c r="AM55">
        <v>287</v>
      </c>
      <c r="AN55" s="17">
        <v>44110</v>
      </c>
      <c r="AO55">
        <v>11653</v>
      </c>
      <c r="AP55">
        <v>300</v>
      </c>
      <c r="AQ55" s="17">
        <v>44111</v>
      </c>
      <c r="AR55">
        <v>11958</v>
      </c>
      <c r="AS55">
        <v>308</v>
      </c>
      <c r="AT55" s="17">
        <v>44112</v>
      </c>
      <c r="AU55">
        <v>12217</v>
      </c>
      <c r="AV55">
        <v>261</v>
      </c>
      <c r="AW55" s="17">
        <v>44113</v>
      </c>
      <c r="AX55">
        <v>12443</v>
      </c>
      <c r="AY55">
        <v>227</v>
      </c>
      <c r="AZ55" s="17">
        <v>44114</v>
      </c>
      <c r="BA55">
        <v>12555</v>
      </c>
      <c r="BB55">
        <v>112</v>
      </c>
      <c r="BC55" s="17">
        <v>44115</v>
      </c>
      <c r="BD55">
        <v>12691</v>
      </c>
      <c r="BE55">
        <v>132</v>
      </c>
      <c r="BF55" s="17">
        <v>44116</v>
      </c>
      <c r="BG55">
        <v>12931</v>
      </c>
      <c r="BH55">
        <v>252</v>
      </c>
      <c r="BI55" s="17">
        <v>44117</v>
      </c>
      <c r="BJ55">
        <v>13131</v>
      </c>
      <c r="BK55">
        <v>197</v>
      </c>
      <c r="BL55" s="17">
        <v>44118</v>
      </c>
      <c r="BM55">
        <v>13332</v>
      </c>
      <c r="BN55">
        <v>201</v>
      </c>
      <c r="BO55" s="17">
        <v>44119</v>
      </c>
      <c r="BP55">
        <v>13523</v>
      </c>
      <c r="BQ55">
        <v>190</v>
      </c>
      <c r="BR55">
        <v>44120</v>
      </c>
      <c r="BS55">
        <v>13714</v>
      </c>
      <c r="BT55">
        <v>191</v>
      </c>
      <c r="BU55">
        <v>44122</v>
      </c>
      <c r="BV55">
        <v>13945</v>
      </c>
      <c r="BW55">
        <v>127</v>
      </c>
      <c r="BX55">
        <v>44123</v>
      </c>
      <c r="BY55">
        <v>14183</v>
      </c>
      <c r="BZ55">
        <v>242</v>
      </c>
      <c r="CA55">
        <v>44124</v>
      </c>
      <c r="CB55">
        <v>14348</v>
      </c>
      <c r="CC55">
        <v>160</v>
      </c>
    </row>
    <row r="56" spans="1:81">
      <c r="A56" t="str">
        <f t="shared" ca="1" si="1"/>
        <v/>
      </c>
      <c r="B56" s="4">
        <f t="shared" ca="1" si="2"/>
        <v>44125</v>
      </c>
      <c r="C56" s="11">
        <f t="shared" ca="1" si="0"/>
        <v>14548</v>
      </c>
      <c r="D56">
        <f t="shared" ca="1" si="20"/>
        <v>189</v>
      </c>
      <c r="E56" s="11">
        <f t="shared" ca="1" si="4"/>
        <v>-1</v>
      </c>
      <c r="F56" s="11">
        <f t="shared" ca="1" si="6"/>
        <v>190</v>
      </c>
      <c r="J56" s="13"/>
      <c r="K56" s="3"/>
      <c r="M56" s="17">
        <v>44125</v>
      </c>
      <c r="N56">
        <v>14538</v>
      </c>
      <c r="O56">
        <v>190</v>
      </c>
      <c r="P56" s="17">
        <v>44125</v>
      </c>
      <c r="Q56">
        <v>14538</v>
      </c>
      <c r="R56">
        <v>190</v>
      </c>
      <c r="S56" s="17">
        <v>44104</v>
      </c>
      <c r="T56">
        <v>10371</v>
      </c>
      <c r="U56">
        <v>166</v>
      </c>
      <c r="V56" s="17">
        <v>44105</v>
      </c>
      <c r="W56">
        <v>10560</v>
      </c>
      <c r="X56">
        <v>188</v>
      </c>
      <c r="Y56" s="17">
        <v>44106</v>
      </c>
      <c r="Z56">
        <v>10761</v>
      </c>
      <c r="AA56">
        <v>192</v>
      </c>
      <c r="AB56" s="17">
        <v>44107</v>
      </c>
      <c r="AC56">
        <v>10935</v>
      </c>
      <c r="AD56">
        <v>177</v>
      </c>
      <c r="AE56" s="17">
        <v>44108</v>
      </c>
      <c r="AF56">
        <v>11077</v>
      </c>
      <c r="AG56">
        <v>147</v>
      </c>
      <c r="AH56" s="17">
        <v>44109</v>
      </c>
      <c r="AI56">
        <v>11356</v>
      </c>
      <c r="AJ56">
        <v>276</v>
      </c>
      <c r="AK56" s="17">
        <v>44110</v>
      </c>
      <c r="AL56">
        <v>11652</v>
      </c>
      <c r="AM56">
        <v>300</v>
      </c>
      <c r="AN56" s="17">
        <v>44111</v>
      </c>
      <c r="AO56">
        <v>11956</v>
      </c>
      <c r="AP56">
        <v>303</v>
      </c>
      <c r="AQ56" s="17">
        <v>44112</v>
      </c>
      <c r="AR56">
        <v>12217</v>
      </c>
      <c r="AS56">
        <v>259</v>
      </c>
      <c r="AT56" s="17">
        <v>44113</v>
      </c>
      <c r="AU56">
        <v>12445</v>
      </c>
      <c r="AV56">
        <v>228</v>
      </c>
      <c r="AW56" s="17">
        <v>44114</v>
      </c>
      <c r="AX56">
        <v>12555</v>
      </c>
      <c r="AY56">
        <v>112</v>
      </c>
      <c r="AZ56" s="17">
        <v>44115</v>
      </c>
      <c r="BA56">
        <v>12685</v>
      </c>
      <c r="BB56">
        <v>130</v>
      </c>
      <c r="BC56" s="17">
        <v>44116</v>
      </c>
      <c r="BD56">
        <v>12929</v>
      </c>
      <c r="BE56">
        <v>238</v>
      </c>
      <c r="BF56" s="17">
        <v>44117</v>
      </c>
      <c r="BG56">
        <v>13128</v>
      </c>
      <c r="BH56">
        <v>197</v>
      </c>
      <c r="BI56" s="17">
        <v>44118</v>
      </c>
      <c r="BJ56">
        <v>13332</v>
      </c>
      <c r="BK56">
        <v>201</v>
      </c>
      <c r="BL56" s="17">
        <v>44119</v>
      </c>
      <c r="BM56">
        <v>13520</v>
      </c>
      <c r="BN56">
        <v>188</v>
      </c>
      <c r="BO56" s="17">
        <v>44120</v>
      </c>
      <c r="BP56">
        <v>13716</v>
      </c>
      <c r="BQ56">
        <v>193</v>
      </c>
      <c r="BR56">
        <v>44121</v>
      </c>
      <c r="BS56">
        <v>13814</v>
      </c>
      <c r="BT56">
        <v>100</v>
      </c>
      <c r="BU56">
        <v>44123</v>
      </c>
      <c r="BV56">
        <v>14187</v>
      </c>
      <c r="BW56">
        <v>242</v>
      </c>
      <c r="BX56">
        <v>44124</v>
      </c>
      <c r="BY56">
        <v>14342</v>
      </c>
      <c r="BZ56">
        <v>159</v>
      </c>
      <c r="CA56">
        <v>44125</v>
      </c>
      <c r="CB56">
        <v>14538</v>
      </c>
      <c r="CC56">
        <v>190</v>
      </c>
    </row>
    <row r="57" spans="1:81">
      <c r="A57" t="str">
        <f ca="1">IF(WEEKDAY(B57,2)=1,"Ma","")</f>
        <v/>
      </c>
      <c r="B57" s="4">
        <f t="shared" ca="1" si="2"/>
        <v>44126</v>
      </c>
      <c r="C57" s="11">
        <f t="shared" ca="1" si="0"/>
        <v>14760</v>
      </c>
      <c r="D57">
        <f t="shared" ca="1" si="20"/>
        <v>212</v>
      </c>
      <c r="E57" s="11">
        <f t="shared" ca="1" si="4"/>
        <v>-1</v>
      </c>
      <c r="F57" s="11">
        <f t="shared" ca="1" si="6"/>
        <v>213</v>
      </c>
      <c r="J57" s="13"/>
      <c r="K57" s="3"/>
      <c r="M57" s="17">
        <v>44126</v>
      </c>
      <c r="N57">
        <v>14751</v>
      </c>
      <c r="O57">
        <v>213</v>
      </c>
      <c r="P57" s="17">
        <v>44126</v>
      </c>
      <c r="Q57">
        <v>14751</v>
      </c>
      <c r="R57">
        <v>213</v>
      </c>
      <c r="S57" s="17">
        <v>44105</v>
      </c>
      <c r="T57">
        <v>10558</v>
      </c>
      <c r="U57">
        <v>187</v>
      </c>
      <c r="V57" s="17">
        <v>44106</v>
      </c>
      <c r="W57">
        <v>10748</v>
      </c>
      <c r="X57">
        <v>188</v>
      </c>
      <c r="Y57" s="17">
        <v>44107</v>
      </c>
      <c r="Z57">
        <v>10939</v>
      </c>
      <c r="AA57">
        <v>178</v>
      </c>
      <c r="AB57" s="17">
        <v>44108</v>
      </c>
      <c r="AC57">
        <v>11083</v>
      </c>
      <c r="AD57">
        <v>148</v>
      </c>
      <c r="AE57" s="17">
        <v>44109</v>
      </c>
      <c r="AF57">
        <v>11354</v>
      </c>
      <c r="AG57">
        <v>277</v>
      </c>
      <c r="AH57" s="17">
        <v>44110</v>
      </c>
      <c r="AI57">
        <v>11655</v>
      </c>
      <c r="AJ57">
        <v>299</v>
      </c>
      <c r="AK57" s="17">
        <v>44111</v>
      </c>
      <c r="AL57">
        <v>11955</v>
      </c>
      <c r="AM57">
        <v>303</v>
      </c>
      <c r="AN57" s="17">
        <v>44112</v>
      </c>
      <c r="AO57">
        <v>12217</v>
      </c>
      <c r="AP57">
        <v>261</v>
      </c>
      <c r="AQ57" s="17">
        <v>44113</v>
      </c>
      <c r="AR57">
        <v>12438</v>
      </c>
      <c r="AS57">
        <v>221</v>
      </c>
      <c r="AT57" s="17">
        <v>44114</v>
      </c>
      <c r="AU57">
        <v>12558</v>
      </c>
      <c r="AV57">
        <v>113</v>
      </c>
      <c r="AW57" s="17">
        <v>44115</v>
      </c>
      <c r="AX57">
        <v>12685</v>
      </c>
      <c r="AY57">
        <v>130</v>
      </c>
      <c r="AZ57" s="17">
        <v>44116</v>
      </c>
      <c r="BA57">
        <v>12893</v>
      </c>
      <c r="BB57">
        <v>208</v>
      </c>
      <c r="BC57" s="17">
        <v>44117</v>
      </c>
      <c r="BD57">
        <v>13117</v>
      </c>
      <c r="BE57">
        <v>188</v>
      </c>
      <c r="BF57" s="17">
        <v>44118</v>
      </c>
      <c r="BG57">
        <v>13328</v>
      </c>
      <c r="BH57">
        <v>200</v>
      </c>
      <c r="BI57" s="17">
        <v>44119</v>
      </c>
      <c r="BJ57">
        <v>13520</v>
      </c>
      <c r="BK57">
        <v>188</v>
      </c>
      <c r="BL57" s="17">
        <v>44120</v>
      </c>
      <c r="BM57">
        <v>13712</v>
      </c>
      <c r="BN57">
        <v>192</v>
      </c>
      <c r="BO57" s="17">
        <v>44121</v>
      </c>
      <c r="BP57">
        <v>13818</v>
      </c>
      <c r="BQ57">
        <v>102</v>
      </c>
      <c r="BR57">
        <v>44122</v>
      </c>
      <c r="BS57">
        <v>13941</v>
      </c>
      <c r="BT57">
        <v>127</v>
      </c>
      <c r="BU57">
        <v>44124</v>
      </c>
      <c r="BV57">
        <v>14350</v>
      </c>
      <c r="BW57">
        <v>163</v>
      </c>
      <c r="BX57">
        <v>44125</v>
      </c>
      <c r="BY57">
        <v>14532</v>
      </c>
      <c r="BZ57">
        <v>190</v>
      </c>
      <c r="CA57">
        <v>44126</v>
      </c>
      <c r="CB57">
        <v>14751</v>
      </c>
      <c r="CC57">
        <v>213</v>
      </c>
    </row>
    <row r="58" spans="1:81" s="10" customFormat="1">
      <c r="A58" t="str">
        <f t="shared" ca="1" si="1"/>
        <v/>
      </c>
      <c r="B58" s="9">
        <f t="shared" ca="1" si="2"/>
        <v>44127</v>
      </c>
      <c r="C58" s="10">
        <f t="shared" ca="1" si="0"/>
        <v>14952</v>
      </c>
      <c r="D58" s="10">
        <f t="shared" ca="1" si="20"/>
        <v>192</v>
      </c>
      <c r="E58" s="10">
        <f t="shared" ca="1" si="4"/>
        <v>-1</v>
      </c>
      <c r="F58" s="10">
        <f t="shared" ca="1" si="6"/>
        <v>193</v>
      </c>
      <c r="G58" s="10">
        <f ca="1">SUM(D58:D64)</f>
        <v>1150</v>
      </c>
      <c r="J58" s="15"/>
      <c r="K58" s="14"/>
      <c r="L58"/>
      <c r="M58" s="18">
        <v>44127</v>
      </c>
      <c r="N58" s="10">
        <v>14944</v>
      </c>
      <c r="O58" s="10">
        <v>193</v>
      </c>
      <c r="P58" s="18">
        <v>44127</v>
      </c>
      <c r="Q58" s="10">
        <v>14944</v>
      </c>
      <c r="R58" s="10">
        <v>193</v>
      </c>
      <c r="S58" s="18">
        <v>44106</v>
      </c>
      <c r="T58" s="10">
        <v>10747</v>
      </c>
      <c r="U58" s="10">
        <v>189</v>
      </c>
      <c r="V58" s="18">
        <v>44107</v>
      </c>
      <c r="W58" s="10">
        <v>10920</v>
      </c>
      <c r="X58" s="10">
        <v>172</v>
      </c>
      <c r="Y58" s="18">
        <v>44108</v>
      </c>
      <c r="Z58" s="10">
        <v>11091</v>
      </c>
      <c r="AA58" s="10">
        <v>152</v>
      </c>
      <c r="AB58" s="18">
        <v>44109</v>
      </c>
      <c r="AC58" s="10">
        <v>11355</v>
      </c>
      <c r="AD58" s="10">
        <v>272</v>
      </c>
      <c r="AE58" s="18">
        <v>44110</v>
      </c>
      <c r="AF58" s="10">
        <v>11616</v>
      </c>
      <c r="AG58" s="10">
        <v>262</v>
      </c>
      <c r="AH58" s="18">
        <v>44111</v>
      </c>
      <c r="AI58" s="10">
        <v>11959</v>
      </c>
      <c r="AJ58" s="10">
        <v>304</v>
      </c>
      <c r="AK58" s="18">
        <v>44112</v>
      </c>
      <c r="AL58" s="10">
        <v>12215</v>
      </c>
      <c r="AM58" s="10">
        <v>260</v>
      </c>
      <c r="AN58" s="18">
        <v>44113</v>
      </c>
      <c r="AO58" s="10">
        <v>12435</v>
      </c>
      <c r="AP58" s="10">
        <v>218</v>
      </c>
      <c r="AQ58" s="18">
        <v>44114</v>
      </c>
      <c r="AR58" s="10">
        <v>12545</v>
      </c>
      <c r="AS58" s="10">
        <v>107</v>
      </c>
      <c r="AT58" s="18">
        <v>44115</v>
      </c>
      <c r="AU58" s="10">
        <v>12689</v>
      </c>
      <c r="AV58" s="10">
        <v>131</v>
      </c>
      <c r="AW58" s="18">
        <v>44116</v>
      </c>
      <c r="AX58" s="10">
        <v>12894</v>
      </c>
      <c r="AY58" s="10">
        <v>209</v>
      </c>
      <c r="AZ58" s="18">
        <v>44117</v>
      </c>
      <c r="BA58" s="10">
        <v>13045</v>
      </c>
      <c r="BB58" s="10">
        <v>152</v>
      </c>
      <c r="BC58" s="18">
        <v>44118</v>
      </c>
      <c r="BD58" s="10">
        <v>13313</v>
      </c>
      <c r="BE58" s="10">
        <v>196</v>
      </c>
      <c r="BF58" s="18">
        <v>44119</v>
      </c>
      <c r="BG58" s="10">
        <v>13514</v>
      </c>
      <c r="BH58" s="10">
        <v>186</v>
      </c>
      <c r="BI58" s="18">
        <v>44120</v>
      </c>
      <c r="BJ58" s="10">
        <v>13711</v>
      </c>
      <c r="BK58" s="10">
        <v>191</v>
      </c>
      <c r="BL58" s="18">
        <v>44121</v>
      </c>
      <c r="BM58" s="10">
        <v>13813</v>
      </c>
      <c r="BN58" s="10">
        <v>101</v>
      </c>
      <c r="BO58" s="18">
        <v>44122</v>
      </c>
      <c r="BP58" s="10">
        <v>13947</v>
      </c>
      <c r="BQ58" s="10">
        <v>129</v>
      </c>
      <c r="BR58" s="10">
        <v>44123</v>
      </c>
      <c r="BS58" s="10">
        <v>14185</v>
      </c>
      <c r="BT58" s="10">
        <v>244</v>
      </c>
      <c r="BU58" s="10">
        <v>44125</v>
      </c>
      <c r="BV58" s="10">
        <v>14522</v>
      </c>
      <c r="BW58" s="10">
        <v>172</v>
      </c>
      <c r="BX58" s="10">
        <v>44126</v>
      </c>
      <c r="BY58" s="10">
        <v>14744</v>
      </c>
      <c r="BZ58" s="10">
        <v>212</v>
      </c>
      <c r="CA58" s="10">
        <v>44127</v>
      </c>
      <c r="CB58" s="10">
        <v>14944</v>
      </c>
      <c r="CC58" s="10">
        <v>193</v>
      </c>
    </row>
    <row r="59" spans="1:81">
      <c r="A59" t="str">
        <f t="shared" ca="1" si="1"/>
        <v/>
      </c>
      <c r="B59" s="4">
        <f t="shared" ca="1" si="2"/>
        <v>44128</v>
      </c>
      <c r="C59" s="11">
        <f t="shared" ca="1" si="0"/>
        <v>15059</v>
      </c>
      <c r="D59">
        <f t="shared" ca="1" si="20"/>
        <v>107</v>
      </c>
      <c r="E59" s="11">
        <f t="shared" ca="1" si="4"/>
        <v>-1</v>
      </c>
      <c r="F59" s="11">
        <f t="shared" ca="1" si="6"/>
        <v>108</v>
      </c>
      <c r="H59" s="10"/>
      <c r="J59" s="13"/>
      <c r="K59" s="3"/>
      <c r="M59" s="17">
        <v>44128</v>
      </c>
      <c r="N59">
        <v>15052</v>
      </c>
      <c r="O59">
        <v>108</v>
      </c>
      <c r="P59" s="17">
        <v>44128</v>
      </c>
      <c r="Q59">
        <v>15052</v>
      </c>
      <c r="R59">
        <v>108</v>
      </c>
      <c r="S59" s="17">
        <v>44107</v>
      </c>
      <c r="T59">
        <v>10917</v>
      </c>
      <c r="U59">
        <v>170</v>
      </c>
      <c r="V59" s="17">
        <v>44108</v>
      </c>
      <c r="W59">
        <v>11067</v>
      </c>
      <c r="X59">
        <v>147</v>
      </c>
      <c r="Y59" s="17">
        <v>44109</v>
      </c>
      <c r="Z59">
        <v>11363</v>
      </c>
      <c r="AA59">
        <v>272</v>
      </c>
      <c r="AB59" s="17">
        <v>44110</v>
      </c>
      <c r="AC59">
        <v>11613</v>
      </c>
      <c r="AD59">
        <v>258</v>
      </c>
      <c r="AE59" s="17">
        <v>44111</v>
      </c>
      <c r="AF59">
        <v>11861</v>
      </c>
      <c r="AG59">
        <v>245</v>
      </c>
      <c r="AH59" s="17">
        <v>44112</v>
      </c>
      <c r="AI59">
        <v>12196</v>
      </c>
      <c r="AJ59">
        <v>237</v>
      </c>
      <c r="AK59" s="17">
        <v>44113</v>
      </c>
      <c r="AL59">
        <v>12418</v>
      </c>
      <c r="AM59">
        <v>203</v>
      </c>
      <c r="AN59" s="17">
        <v>44114</v>
      </c>
      <c r="AO59">
        <v>12544</v>
      </c>
      <c r="AP59">
        <v>109</v>
      </c>
      <c r="AQ59" s="17">
        <v>44115</v>
      </c>
      <c r="AR59">
        <v>12674</v>
      </c>
      <c r="AS59">
        <v>129</v>
      </c>
      <c r="AT59" s="17">
        <v>44116</v>
      </c>
      <c r="AU59">
        <v>12897</v>
      </c>
      <c r="AV59">
        <v>208</v>
      </c>
      <c r="AW59" s="17">
        <v>44117</v>
      </c>
      <c r="AX59">
        <v>13045</v>
      </c>
      <c r="AY59">
        <v>151</v>
      </c>
      <c r="AZ59" s="17">
        <v>44118</v>
      </c>
      <c r="BA59">
        <v>13197</v>
      </c>
      <c r="BB59">
        <v>152</v>
      </c>
      <c r="BC59" s="17">
        <v>44119</v>
      </c>
      <c r="BD59">
        <v>13494</v>
      </c>
      <c r="BE59">
        <v>181</v>
      </c>
      <c r="BF59" s="17">
        <v>44120</v>
      </c>
      <c r="BG59">
        <v>13700</v>
      </c>
      <c r="BH59">
        <v>186</v>
      </c>
      <c r="BI59" s="17">
        <v>44121</v>
      </c>
      <c r="BJ59">
        <v>13809</v>
      </c>
      <c r="BK59">
        <v>98</v>
      </c>
      <c r="BL59" s="17">
        <v>44122</v>
      </c>
      <c r="BM59">
        <v>13943</v>
      </c>
      <c r="BN59">
        <v>130</v>
      </c>
      <c r="BO59" s="17">
        <v>44123</v>
      </c>
      <c r="BP59">
        <v>14195</v>
      </c>
      <c r="BQ59">
        <v>248</v>
      </c>
      <c r="BR59">
        <v>44124</v>
      </c>
      <c r="BS59">
        <v>14350</v>
      </c>
      <c r="BT59">
        <v>165</v>
      </c>
      <c r="BU59">
        <v>44126</v>
      </c>
      <c r="BV59">
        <v>14697</v>
      </c>
      <c r="BW59">
        <v>175</v>
      </c>
      <c r="BX59">
        <v>44127</v>
      </c>
      <c r="BY59">
        <v>14935</v>
      </c>
      <c r="BZ59">
        <v>191</v>
      </c>
      <c r="CA59">
        <v>44128</v>
      </c>
      <c r="CB59">
        <v>15052</v>
      </c>
      <c r="CC59">
        <v>108</v>
      </c>
    </row>
    <row r="60" spans="1:81">
      <c r="A60" t="str">
        <f t="shared" ca="1" si="1"/>
        <v/>
      </c>
      <c r="B60" s="4">
        <f t="shared" ca="1" si="2"/>
        <v>44129</v>
      </c>
      <c r="C60" s="11">
        <f t="shared" ca="1" si="0"/>
        <v>15182</v>
      </c>
      <c r="D60">
        <f t="shared" ca="1" si="20"/>
        <v>123</v>
      </c>
      <c r="E60" s="11">
        <f t="shared" ca="1" si="4"/>
        <v>2</v>
      </c>
      <c r="F60" s="11">
        <f t="shared" ca="1" si="6"/>
        <v>121</v>
      </c>
      <c r="J60" s="4"/>
      <c r="K60" s="3"/>
      <c r="M60" s="17">
        <v>44129</v>
      </c>
      <c r="N60">
        <v>15173</v>
      </c>
      <c r="O60">
        <v>121</v>
      </c>
      <c r="P60" s="17">
        <v>44129</v>
      </c>
      <c r="Q60">
        <v>15173</v>
      </c>
      <c r="R60">
        <v>121</v>
      </c>
      <c r="S60" s="17">
        <v>44108</v>
      </c>
      <c r="T60">
        <v>11061</v>
      </c>
      <c r="U60">
        <v>144</v>
      </c>
      <c r="V60" s="17">
        <v>44109</v>
      </c>
      <c r="W60">
        <v>11308</v>
      </c>
      <c r="X60">
        <v>241</v>
      </c>
      <c r="Y60" s="17">
        <v>44110</v>
      </c>
      <c r="Z60">
        <v>11605</v>
      </c>
      <c r="AA60">
        <v>242</v>
      </c>
      <c r="AB60" s="17">
        <v>44111</v>
      </c>
      <c r="AC60">
        <v>11808</v>
      </c>
      <c r="AD60">
        <v>195</v>
      </c>
      <c r="AE60" s="17">
        <v>44112</v>
      </c>
      <c r="AF60">
        <v>12039</v>
      </c>
      <c r="AG60">
        <v>178</v>
      </c>
      <c r="AH60" s="17">
        <v>44113</v>
      </c>
      <c r="AI60">
        <v>12374</v>
      </c>
      <c r="AJ60">
        <v>178</v>
      </c>
      <c r="AK60" s="17">
        <v>44114</v>
      </c>
      <c r="AL60">
        <v>12513</v>
      </c>
      <c r="AM60">
        <v>95</v>
      </c>
      <c r="AN60" s="17">
        <v>44115</v>
      </c>
      <c r="AO60">
        <v>12670</v>
      </c>
      <c r="AP60">
        <v>126</v>
      </c>
      <c r="AQ60" s="17">
        <v>44116</v>
      </c>
      <c r="AR60">
        <v>12878</v>
      </c>
      <c r="AS60">
        <v>204</v>
      </c>
      <c r="AT60" s="17">
        <v>44117</v>
      </c>
      <c r="AU60">
        <v>13046</v>
      </c>
      <c r="AV60">
        <v>149</v>
      </c>
      <c r="AW60" s="17">
        <v>44118</v>
      </c>
      <c r="AX60">
        <v>13197</v>
      </c>
      <c r="AY60">
        <v>152</v>
      </c>
      <c r="AZ60" s="17">
        <v>44119</v>
      </c>
      <c r="BA60">
        <v>13333</v>
      </c>
      <c r="BB60">
        <v>136</v>
      </c>
      <c r="BC60" s="17">
        <v>44120</v>
      </c>
      <c r="BD60">
        <v>13670</v>
      </c>
      <c r="BE60">
        <v>176</v>
      </c>
      <c r="BF60" s="17">
        <v>44121</v>
      </c>
      <c r="BG60">
        <v>13796</v>
      </c>
      <c r="BH60">
        <v>96</v>
      </c>
      <c r="BI60" s="17">
        <v>44122</v>
      </c>
      <c r="BJ60">
        <v>13937</v>
      </c>
      <c r="BK60">
        <v>128</v>
      </c>
      <c r="BL60" s="17">
        <v>44123</v>
      </c>
      <c r="BM60">
        <v>14181</v>
      </c>
      <c r="BN60">
        <v>238</v>
      </c>
      <c r="BO60" s="17">
        <v>44124</v>
      </c>
      <c r="BP60">
        <v>14356</v>
      </c>
      <c r="BQ60">
        <v>161</v>
      </c>
      <c r="BR60">
        <v>44125</v>
      </c>
      <c r="BS60">
        <v>14520</v>
      </c>
      <c r="BT60">
        <v>170</v>
      </c>
      <c r="BU60">
        <v>44127</v>
      </c>
      <c r="BV60">
        <v>14852</v>
      </c>
      <c r="BW60">
        <v>155</v>
      </c>
      <c r="BX60">
        <v>44128</v>
      </c>
      <c r="BY60">
        <v>15041</v>
      </c>
      <c r="BZ60">
        <v>106</v>
      </c>
      <c r="CA60">
        <v>44129</v>
      </c>
      <c r="CB60">
        <v>15173</v>
      </c>
      <c r="CC60">
        <v>121</v>
      </c>
    </row>
    <row r="61" spans="1:81">
      <c r="A61" t="str">
        <f t="shared" ref="A61:A64" ca="1" si="21">IF(WEEKDAY(B61,2)=1,"Ma","")</f>
        <v>Ma</v>
      </c>
      <c r="B61" s="4">
        <f t="shared" ca="1" si="2"/>
        <v>44130</v>
      </c>
      <c r="C61" s="11">
        <f t="shared" ca="1" si="0"/>
        <v>15435</v>
      </c>
      <c r="D61">
        <f t="shared" ca="1" si="20"/>
        <v>253</v>
      </c>
      <c r="E61" s="11">
        <f t="shared" ca="1" si="4"/>
        <v>31</v>
      </c>
      <c r="F61" s="11">
        <f t="shared" ca="1" si="6"/>
        <v>222</v>
      </c>
      <c r="J61" s="4"/>
      <c r="K61" s="3"/>
      <c r="M61" s="17">
        <v>44130</v>
      </c>
      <c r="N61">
        <v>15395</v>
      </c>
      <c r="O61">
        <v>222</v>
      </c>
      <c r="P61" s="17">
        <v>44130</v>
      </c>
      <c r="Q61">
        <v>15395</v>
      </c>
      <c r="R61">
        <v>222</v>
      </c>
      <c r="S61" s="17">
        <v>44109</v>
      </c>
      <c r="T61">
        <v>11250</v>
      </c>
      <c r="U61">
        <v>189</v>
      </c>
      <c r="V61" s="17">
        <v>44110</v>
      </c>
      <c r="W61">
        <v>11499</v>
      </c>
      <c r="X61">
        <v>191</v>
      </c>
      <c r="Y61" s="17">
        <v>44111</v>
      </c>
      <c r="Z61">
        <v>11779</v>
      </c>
      <c r="AA61">
        <v>174</v>
      </c>
      <c r="AB61" s="17">
        <v>44112</v>
      </c>
      <c r="AC61">
        <v>11954</v>
      </c>
      <c r="AD61">
        <v>146</v>
      </c>
      <c r="AE61" s="17">
        <v>44113</v>
      </c>
      <c r="AF61">
        <v>12160</v>
      </c>
      <c r="AG61">
        <v>121</v>
      </c>
      <c r="AH61" s="17">
        <v>44114</v>
      </c>
      <c r="AI61">
        <v>12432</v>
      </c>
      <c r="AJ61">
        <v>58</v>
      </c>
      <c r="AK61" s="17">
        <v>44115</v>
      </c>
      <c r="AL61">
        <v>12603</v>
      </c>
      <c r="AM61">
        <v>90</v>
      </c>
      <c r="AN61" s="17">
        <v>44116</v>
      </c>
      <c r="AO61">
        <v>12844</v>
      </c>
      <c r="AP61">
        <v>174</v>
      </c>
      <c r="AQ61" s="17">
        <v>44117</v>
      </c>
      <c r="AR61">
        <v>13023</v>
      </c>
      <c r="AS61">
        <v>145</v>
      </c>
      <c r="AT61" s="17">
        <v>44118</v>
      </c>
      <c r="AU61">
        <v>13186</v>
      </c>
      <c r="AV61">
        <v>140</v>
      </c>
      <c r="AW61" s="17">
        <v>44119</v>
      </c>
      <c r="AX61">
        <v>13316</v>
      </c>
      <c r="AY61">
        <v>119</v>
      </c>
      <c r="AZ61" s="17">
        <v>44120</v>
      </c>
      <c r="BA61">
        <v>13472</v>
      </c>
      <c r="BB61">
        <v>139</v>
      </c>
      <c r="BC61" s="17">
        <v>44121</v>
      </c>
      <c r="BD61">
        <v>13747</v>
      </c>
      <c r="BE61">
        <v>77</v>
      </c>
      <c r="BF61" s="17">
        <v>44122</v>
      </c>
      <c r="BG61">
        <v>13912</v>
      </c>
      <c r="BH61">
        <v>116</v>
      </c>
      <c r="BI61" s="17">
        <v>44123</v>
      </c>
      <c r="BJ61">
        <v>14148</v>
      </c>
      <c r="BK61">
        <v>211</v>
      </c>
      <c r="BL61" s="17">
        <v>44124</v>
      </c>
      <c r="BM61">
        <v>14322</v>
      </c>
      <c r="BN61">
        <v>141</v>
      </c>
      <c r="BO61" s="17">
        <v>44125</v>
      </c>
      <c r="BP61">
        <v>14510</v>
      </c>
      <c r="BQ61">
        <v>154</v>
      </c>
      <c r="BR61">
        <v>44126</v>
      </c>
      <c r="BS61">
        <v>14691</v>
      </c>
      <c r="BT61">
        <v>171</v>
      </c>
      <c r="BU61">
        <v>44128</v>
      </c>
      <c r="BV61">
        <v>14925</v>
      </c>
      <c r="BW61">
        <v>73</v>
      </c>
      <c r="BX61">
        <v>44129</v>
      </c>
      <c r="BY61">
        <v>15162</v>
      </c>
      <c r="BZ61">
        <v>121</v>
      </c>
      <c r="CA61">
        <v>44130</v>
      </c>
      <c r="CB61">
        <v>15395</v>
      </c>
      <c r="CC61">
        <v>222</v>
      </c>
    </row>
    <row r="62" spans="1:81">
      <c r="A62" t="str">
        <f t="shared" ca="1" si="21"/>
        <v/>
      </c>
      <c r="B62" s="4">
        <f t="shared" ca="1" si="2"/>
        <v>44131</v>
      </c>
      <c r="C62" s="11">
        <f t="shared" ca="1" si="0"/>
        <v>15651</v>
      </c>
      <c r="D62">
        <f t="shared" ca="1" si="20"/>
        <v>216</v>
      </c>
      <c r="E62" s="11">
        <f t="shared" ca="1" si="4"/>
        <v>77</v>
      </c>
      <c r="F62" s="11">
        <f t="shared" ca="1" si="6"/>
        <v>139</v>
      </c>
      <c r="J62" s="4"/>
      <c r="K62" s="3"/>
      <c r="M62" s="17">
        <v>44131</v>
      </c>
      <c r="N62">
        <v>15534</v>
      </c>
      <c r="O62">
        <v>139</v>
      </c>
      <c r="P62" s="17">
        <v>44131</v>
      </c>
      <c r="Q62">
        <v>15534</v>
      </c>
      <c r="R62">
        <v>139</v>
      </c>
      <c r="S62" s="17">
        <v>44110</v>
      </c>
      <c r="T62">
        <v>11340</v>
      </c>
      <c r="U62">
        <v>90</v>
      </c>
      <c r="V62" s="17">
        <v>44111</v>
      </c>
      <c r="W62">
        <v>11574</v>
      </c>
      <c r="X62">
        <v>75</v>
      </c>
      <c r="Y62" s="17">
        <v>44112</v>
      </c>
      <c r="Z62">
        <v>11831</v>
      </c>
      <c r="AA62">
        <v>52</v>
      </c>
      <c r="AB62" s="17">
        <v>44113</v>
      </c>
      <c r="AC62">
        <v>11993</v>
      </c>
      <c r="AD62">
        <v>39</v>
      </c>
      <c r="AE62" s="17">
        <v>44114</v>
      </c>
      <c r="AF62">
        <v>12203</v>
      </c>
      <c r="AG62">
        <v>43</v>
      </c>
      <c r="AH62" s="17">
        <v>44115</v>
      </c>
      <c r="AI62">
        <v>12472</v>
      </c>
      <c r="AJ62">
        <v>40</v>
      </c>
      <c r="AK62" s="17">
        <v>44116</v>
      </c>
      <c r="AL62">
        <v>12691</v>
      </c>
      <c r="AM62">
        <v>88</v>
      </c>
      <c r="AN62" s="17">
        <v>44117</v>
      </c>
      <c r="AO62">
        <v>12922</v>
      </c>
      <c r="AP62">
        <v>78</v>
      </c>
      <c r="AQ62" s="17">
        <v>44118</v>
      </c>
      <c r="AR62">
        <v>13116</v>
      </c>
      <c r="AS62">
        <v>93</v>
      </c>
      <c r="AT62" s="17">
        <v>44119</v>
      </c>
      <c r="AU62">
        <v>13261</v>
      </c>
      <c r="AV62">
        <v>75</v>
      </c>
      <c r="AW62" s="17">
        <v>44120</v>
      </c>
      <c r="AX62">
        <v>13413</v>
      </c>
      <c r="AY62">
        <v>97</v>
      </c>
      <c r="AZ62" s="17">
        <v>44121</v>
      </c>
      <c r="BA62">
        <v>13527</v>
      </c>
      <c r="BB62">
        <v>55</v>
      </c>
      <c r="BC62" s="17">
        <v>44122</v>
      </c>
      <c r="BD62">
        <v>13835</v>
      </c>
      <c r="BE62">
        <v>88</v>
      </c>
      <c r="BF62" s="17">
        <v>44123</v>
      </c>
      <c r="BG62">
        <v>14054</v>
      </c>
      <c r="BH62">
        <v>142</v>
      </c>
      <c r="BI62" s="17">
        <v>44124</v>
      </c>
      <c r="BJ62">
        <v>14236</v>
      </c>
      <c r="BK62">
        <v>88</v>
      </c>
      <c r="BL62" s="17">
        <v>44125</v>
      </c>
      <c r="BM62">
        <v>14450</v>
      </c>
      <c r="BN62">
        <v>128</v>
      </c>
      <c r="BO62" s="17">
        <v>44126</v>
      </c>
      <c r="BP62">
        <v>14609</v>
      </c>
      <c r="BQ62">
        <v>99</v>
      </c>
      <c r="BR62">
        <v>44127</v>
      </c>
      <c r="BS62">
        <v>14823</v>
      </c>
      <c r="BT62">
        <v>132</v>
      </c>
      <c r="BU62">
        <v>44129</v>
      </c>
      <c r="BV62">
        <v>14970</v>
      </c>
      <c r="BW62">
        <v>45</v>
      </c>
      <c r="BX62">
        <v>44130</v>
      </c>
      <c r="BY62">
        <v>15336</v>
      </c>
      <c r="BZ62">
        <v>174</v>
      </c>
      <c r="CA62">
        <v>44131</v>
      </c>
      <c r="CB62">
        <v>15534</v>
      </c>
      <c r="CC62">
        <v>139</v>
      </c>
    </row>
    <row r="63" spans="1:81">
      <c r="A63" t="str">
        <f t="shared" ca="1" si="21"/>
        <v/>
      </c>
      <c r="B63" s="4">
        <f ca="1">B64-1</f>
        <v>44132</v>
      </c>
      <c r="C63" s="11">
        <f t="shared" ca="1" si="0"/>
        <v>15840</v>
      </c>
      <c r="D63">
        <f t="shared" ca="1" si="20"/>
        <v>189</v>
      </c>
      <c r="E63" s="11">
        <f t="shared" ca="1" si="4"/>
        <v>157</v>
      </c>
      <c r="F63" s="11">
        <f t="shared" ca="1" si="6"/>
        <v>32</v>
      </c>
      <c r="J63" s="4"/>
      <c r="K63" s="3"/>
      <c r="M63" s="17">
        <v>44132</v>
      </c>
      <c r="N63">
        <v>15566</v>
      </c>
      <c r="O63">
        <v>32</v>
      </c>
      <c r="P63" s="17">
        <v>44132</v>
      </c>
      <c r="Q63">
        <v>15566</v>
      </c>
      <c r="R63">
        <v>32</v>
      </c>
      <c r="S63" s="17">
        <v>44111</v>
      </c>
      <c r="T63">
        <v>11345</v>
      </c>
      <c r="U63">
        <v>5</v>
      </c>
      <c r="V63" s="17">
        <v>44112</v>
      </c>
      <c r="W63">
        <v>11580</v>
      </c>
      <c r="X63">
        <v>6</v>
      </c>
      <c r="Y63" s="17">
        <v>44113</v>
      </c>
      <c r="Z63">
        <v>11849</v>
      </c>
      <c r="AA63">
        <v>18</v>
      </c>
      <c r="AB63" s="17">
        <v>44114</v>
      </c>
      <c r="AC63">
        <v>11998</v>
      </c>
      <c r="AD63">
        <v>5</v>
      </c>
      <c r="AE63" s="17">
        <v>44115</v>
      </c>
      <c r="AF63">
        <v>12212</v>
      </c>
      <c r="AG63">
        <v>9</v>
      </c>
      <c r="AH63" s="17">
        <v>44116</v>
      </c>
      <c r="AI63">
        <v>12499</v>
      </c>
      <c r="AJ63">
        <v>27</v>
      </c>
      <c r="AK63" s="17">
        <v>44117</v>
      </c>
      <c r="AL63">
        <v>12703</v>
      </c>
      <c r="AM63">
        <v>12</v>
      </c>
      <c r="AN63" s="17">
        <v>44118</v>
      </c>
      <c r="AO63">
        <v>12944</v>
      </c>
      <c r="AP63">
        <v>22</v>
      </c>
      <c r="AQ63" s="17">
        <v>44119</v>
      </c>
      <c r="AR63">
        <v>13133</v>
      </c>
      <c r="AS63">
        <v>17</v>
      </c>
      <c r="AT63" s="17">
        <v>44120</v>
      </c>
      <c r="AU63">
        <v>13293</v>
      </c>
      <c r="AV63">
        <v>32</v>
      </c>
      <c r="AW63" s="17">
        <v>44121</v>
      </c>
      <c r="AX63">
        <v>13424</v>
      </c>
      <c r="AY63">
        <v>11</v>
      </c>
      <c r="AZ63" s="17">
        <v>44122</v>
      </c>
      <c r="BA63">
        <v>13555</v>
      </c>
      <c r="BB63">
        <v>28</v>
      </c>
      <c r="BC63" s="17">
        <v>44123</v>
      </c>
      <c r="BD63">
        <v>13849</v>
      </c>
      <c r="BE63">
        <v>14</v>
      </c>
      <c r="BF63" s="17">
        <v>44124</v>
      </c>
      <c r="BG63">
        <v>14071</v>
      </c>
      <c r="BH63">
        <v>17</v>
      </c>
      <c r="BI63" s="17">
        <v>44125</v>
      </c>
      <c r="BJ63">
        <v>14255</v>
      </c>
      <c r="BK63">
        <v>19</v>
      </c>
      <c r="BL63" s="17">
        <v>44126</v>
      </c>
      <c r="BM63">
        <v>14474</v>
      </c>
      <c r="BN63">
        <v>24</v>
      </c>
      <c r="BO63" s="17">
        <v>44127</v>
      </c>
      <c r="BP63">
        <v>14652</v>
      </c>
      <c r="BQ63">
        <v>43</v>
      </c>
      <c r="BR63">
        <v>44128</v>
      </c>
      <c r="BS63">
        <v>14848</v>
      </c>
      <c r="BT63">
        <v>25</v>
      </c>
      <c r="BU63">
        <v>44130</v>
      </c>
      <c r="BV63">
        <v>14970</v>
      </c>
      <c r="BW63">
        <v>0</v>
      </c>
      <c r="BX63">
        <v>44131</v>
      </c>
      <c r="BY63">
        <v>15378</v>
      </c>
      <c r="BZ63">
        <v>42</v>
      </c>
      <c r="CA63">
        <v>44132</v>
      </c>
      <c r="CB63">
        <v>15566</v>
      </c>
      <c r="CC63">
        <v>32</v>
      </c>
    </row>
    <row r="64" spans="1:81" s="10" customFormat="1">
      <c r="A64" t="str">
        <f t="shared" ca="1" si="21"/>
        <v/>
      </c>
      <c r="B64" s="9">
        <f ca="1">B65-1</f>
        <v>44133</v>
      </c>
      <c r="C64" s="10">
        <f t="shared" ca="1" si="0"/>
        <v>15910</v>
      </c>
      <c r="D64" s="10">
        <f ca="1">C64-C63</f>
        <v>70</v>
      </c>
      <c r="E64" s="10">
        <f t="shared" ca="1" si="4"/>
        <v>70</v>
      </c>
      <c r="F64" s="10">
        <f t="shared" ca="1" si="6"/>
        <v>0</v>
      </c>
      <c r="J64" s="9"/>
      <c r="K64" s="14"/>
      <c r="M64" s="18">
        <v>44133</v>
      </c>
      <c r="N64" s="10">
        <v>15566</v>
      </c>
      <c r="O64" s="10">
        <v>0</v>
      </c>
      <c r="P64" s="18">
        <v>44133</v>
      </c>
      <c r="Q64" s="10">
        <v>15566</v>
      </c>
      <c r="R64" s="10">
        <v>0</v>
      </c>
      <c r="S64" s="18">
        <v>44112</v>
      </c>
      <c r="T64" s="10">
        <v>11345</v>
      </c>
      <c r="U64" s="10">
        <v>0</v>
      </c>
      <c r="V64" s="18">
        <v>44113</v>
      </c>
      <c r="W64" s="10">
        <v>11580</v>
      </c>
      <c r="X64" s="10">
        <v>0</v>
      </c>
      <c r="Y64" s="18">
        <v>44114</v>
      </c>
      <c r="Z64" s="10">
        <v>11849</v>
      </c>
      <c r="AA64" s="10">
        <v>0</v>
      </c>
      <c r="AB64" s="18">
        <v>44115</v>
      </c>
      <c r="AC64" s="10">
        <v>11998</v>
      </c>
      <c r="AD64" s="10">
        <v>0</v>
      </c>
      <c r="AE64" s="18">
        <v>44116</v>
      </c>
      <c r="AF64" s="10">
        <v>12212</v>
      </c>
      <c r="AG64" s="10">
        <v>0</v>
      </c>
      <c r="AH64" s="18">
        <v>44117</v>
      </c>
      <c r="AI64" s="10">
        <v>12499</v>
      </c>
      <c r="AJ64" s="10">
        <v>0</v>
      </c>
      <c r="AK64" s="18">
        <v>44118</v>
      </c>
      <c r="AL64" s="10">
        <v>12703</v>
      </c>
      <c r="AM64" s="10">
        <v>0</v>
      </c>
      <c r="AN64" s="18">
        <v>44119</v>
      </c>
      <c r="AO64" s="10">
        <v>12944</v>
      </c>
      <c r="AP64" s="10">
        <v>0</v>
      </c>
      <c r="AQ64" s="18">
        <v>44120</v>
      </c>
      <c r="AR64" s="10">
        <v>13133</v>
      </c>
      <c r="AS64" s="10">
        <v>0</v>
      </c>
      <c r="AT64" s="18">
        <v>44121</v>
      </c>
      <c r="AU64" s="10">
        <v>13293</v>
      </c>
      <c r="AV64" s="10">
        <v>0</v>
      </c>
      <c r="AW64" s="18">
        <v>44122</v>
      </c>
      <c r="AX64" s="10">
        <v>13424</v>
      </c>
      <c r="AY64" s="10">
        <v>0</v>
      </c>
      <c r="AZ64" s="18">
        <v>44123</v>
      </c>
      <c r="BA64" s="10">
        <v>13555</v>
      </c>
      <c r="BB64" s="10">
        <v>0</v>
      </c>
      <c r="BC64" s="18">
        <v>44124</v>
      </c>
      <c r="BD64" s="10">
        <v>13849</v>
      </c>
      <c r="BE64" s="10">
        <v>0</v>
      </c>
      <c r="BF64" s="18">
        <v>44125</v>
      </c>
      <c r="BG64" s="10">
        <v>14071</v>
      </c>
      <c r="BH64" s="10">
        <v>0</v>
      </c>
      <c r="BI64" s="18">
        <v>44126</v>
      </c>
      <c r="BJ64" s="10">
        <v>14255</v>
      </c>
      <c r="BK64" s="10">
        <v>0</v>
      </c>
      <c r="BL64" s="18">
        <v>44127</v>
      </c>
      <c r="BM64" s="10">
        <v>14474</v>
      </c>
      <c r="BN64" s="10">
        <v>0</v>
      </c>
      <c r="BO64" s="18">
        <v>44128</v>
      </c>
      <c r="BP64" s="10">
        <v>14652</v>
      </c>
      <c r="BQ64" s="10">
        <v>0</v>
      </c>
      <c r="BR64" s="10">
        <v>44129</v>
      </c>
      <c r="BS64" s="10">
        <v>14848</v>
      </c>
      <c r="BT64" s="10">
        <v>0</v>
      </c>
      <c r="BU64" s="10">
        <v>44131</v>
      </c>
      <c r="BV64" s="10">
        <v>14970</v>
      </c>
      <c r="BW64" s="10">
        <v>0</v>
      </c>
      <c r="BX64" s="10">
        <v>44132</v>
      </c>
      <c r="BY64" s="10">
        <v>15378</v>
      </c>
      <c r="BZ64" s="10">
        <v>0</v>
      </c>
      <c r="CA64" s="10">
        <v>44133</v>
      </c>
      <c r="CB64" s="10">
        <v>15566</v>
      </c>
      <c r="CC64" s="10">
        <v>0</v>
      </c>
    </row>
    <row r="65" spans="1:81">
      <c r="A65" t="str">
        <f ca="1">IF(WEEKDAY(B65,2)=1,"Ma","")</f>
        <v/>
      </c>
      <c r="B65" s="12">
        <f ca="1">FLOOR(NOW(),1)</f>
        <v>44134</v>
      </c>
      <c r="C65" s="11">
        <f t="shared" ca="1" si="0"/>
        <v>15910</v>
      </c>
      <c r="D65" s="11">
        <f ca="1">C65-C64</f>
        <v>0</v>
      </c>
      <c r="E65" s="11">
        <f ca="1">_xlfn.IFNA(D65-F65,"")</f>
        <v>0</v>
      </c>
      <c r="F65" s="11">
        <f t="shared" ca="1" si="6"/>
        <v>0</v>
      </c>
      <c r="K65" t="s">
        <v>309</v>
      </c>
      <c r="L65">
        <f ca="1">C65-N65</f>
        <v>344</v>
      </c>
      <c r="M65" s="17">
        <v>44134</v>
      </c>
      <c r="N65">
        <v>15566</v>
      </c>
      <c r="O65">
        <v>0</v>
      </c>
      <c r="P65" s="17">
        <v>44134</v>
      </c>
      <c r="Q65">
        <v>15566</v>
      </c>
      <c r="R65">
        <v>0</v>
      </c>
      <c r="S65" s="17">
        <v>44113</v>
      </c>
      <c r="T65">
        <v>11345</v>
      </c>
      <c r="U65">
        <v>0</v>
      </c>
      <c r="V65" s="17">
        <v>44114</v>
      </c>
      <c r="W65">
        <v>11580</v>
      </c>
      <c r="X65">
        <v>0</v>
      </c>
      <c r="Y65" s="17">
        <v>44115</v>
      </c>
      <c r="Z65">
        <v>11849</v>
      </c>
      <c r="AA65">
        <v>0</v>
      </c>
      <c r="AB65" s="17">
        <v>44116</v>
      </c>
      <c r="AC65">
        <v>11998</v>
      </c>
      <c r="AD65">
        <v>0</v>
      </c>
      <c r="AE65" s="17">
        <v>44117</v>
      </c>
      <c r="AF65">
        <v>12212</v>
      </c>
      <c r="AG65">
        <v>0</v>
      </c>
      <c r="AH65" s="17">
        <v>44118</v>
      </c>
      <c r="AI65">
        <v>12499</v>
      </c>
      <c r="AJ65">
        <v>0</v>
      </c>
      <c r="AK65" s="17">
        <v>44119</v>
      </c>
      <c r="AL65">
        <v>12703</v>
      </c>
      <c r="AM65">
        <v>0</v>
      </c>
      <c r="AN65" s="17">
        <v>44120</v>
      </c>
      <c r="AO65">
        <v>12944</v>
      </c>
      <c r="AP65">
        <v>0</v>
      </c>
      <c r="AQ65" s="17">
        <v>44121</v>
      </c>
      <c r="AR65">
        <v>13133</v>
      </c>
      <c r="AS65">
        <v>0</v>
      </c>
      <c r="AT65" s="17">
        <v>44122</v>
      </c>
      <c r="AU65">
        <v>13293</v>
      </c>
      <c r="AV65">
        <v>0</v>
      </c>
      <c r="AW65" s="17">
        <v>44123</v>
      </c>
      <c r="AX65">
        <v>13424</v>
      </c>
      <c r="AY65">
        <v>0</v>
      </c>
      <c r="AZ65" s="17">
        <v>44124</v>
      </c>
      <c r="BA65">
        <v>13555</v>
      </c>
      <c r="BB65">
        <v>0</v>
      </c>
      <c r="BC65" s="17">
        <v>44125</v>
      </c>
      <c r="BD65">
        <v>13849</v>
      </c>
      <c r="BE65">
        <v>0</v>
      </c>
      <c r="BF65" s="17">
        <v>44126</v>
      </c>
      <c r="BG65">
        <v>14071</v>
      </c>
      <c r="BH65">
        <v>0</v>
      </c>
      <c r="BI65" s="17">
        <v>44127</v>
      </c>
      <c r="BJ65">
        <v>14255</v>
      </c>
      <c r="BK65">
        <v>0</v>
      </c>
      <c r="BL65" s="17">
        <v>44128</v>
      </c>
      <c r="BM65">
        <v>14474</v>
      </c>
      <c r="BN65">
        <v>0</v>
      </c>
      <c r="BO65" s="17">
        <v>44129</v>
      </c>
      <c r="BP65">
        <v>14652</v>
      </c>
      <c r="BQ65">
        <v>0</v>
      </c>
      <c r="BR65">
        <v>44130</v>
      </c>
      <c r="BS65">
        <v>14848</v>
      </c>
      <c r="BT65">
        <v>0</v>
      </c>
      <c r="BU65">
        <v>44132</v>
      </c>
      <c r="BV65">
        <v>14970</v>
      </c>
      <c r="BW65">
        <v>0</v>
      </c>
      <c r="BX65">
        <v>44133</v>
      </c>
      <c r="BY65">
        <v>15378</v>
      </c>
      <c r="BZ65">
        <v>0</v>
      </c>
      <c r="CA65">
        <v>44134</v>
      </c>
      <c r="CB65">
        <v>15566</v>
      </c>
      <c r="CC65">
        <v>0</v>
      </c>
    </row>
    <row r="67" spans="1:81">
      <c r="A67">
        <v>1</v>
      </c>
      <c r="B67">
        <v>2</v>
      </c>
      <c r="C67">
        <v>3</v>
      </c>
      <c r="D67">
        <v>4</v>
      </c>
      <c r="E67">
        <v>5</v>
      </c>
      <c r="F67">
        <v>6</v>
      </c>
      <c r="G67">
        <v>7</v>
      </c>
      <c r="H67">
        <v>8</v>
      </c>
      <c r="I67">
        <v>9</v>
      </c>
      <c r="J67">
        <v>10</v>
      </c>
      <c r="K67">
        <v>11</v>
      </c>
      <c r="L67">
        <v>12</v>
      </c>
      <c r="M67"/>
      <c r="P67"/>
      <c r="R67" t="s">
        <v>329</v>
      </c>
      <c r="S67">
        <f>W65-T65</f>
        <v>235</v>
      </c>
      <c r="U67" s="17"/>
      <c r="V67">
        <f>Z65-W65</f>
        <v>269</v>
      </c>
      <c r="X67" s="17"/>
      <c r="Y67">
        <f>AC65-Z65</f>
        <v>149</v>
      </c>
      <c r="AA67" s="17"/>
      <c r="AB67" s="10">
        <f>AF65-AC65</f>
        <v>214</v>
      </c>
      <c r="AD67" s="17"/>
      <c r="AE67">
        <f>AI65-AF65</f>
        <v>287</v>
      </c>
      <c r="AG67" s="17"/>
      <c r="AH67">
        <f>AL65-AI65</f>
        <v>204</v>
      </c>
      <c r="AJ67" s="17"/>
      <c r="AK67">
        <f>AO65-AL65</f>
        <v>241</v>
      </c>
      <c r="AM67" s="17"/>
      <c r="AN67">
        <f>AR65-AO65</f>
        <v>189</v>
      </c>
      <c r="AP67" s="17"/>
      <c r="AQ67">
        <f>AU65-AR65</f>
        <v>160</v>
      </c>
      <c r="AS67" s="17"/>
      <c r="AT67">
        <f>AX65-AU65</f>
        <v>131</v>
      </c>
      <c r="AV67" s="17"/>
      <c r="AW67" s="10">
        <f>BA65-AX65</f>
        <v>131</v>
      </c>
      <c r="AY67" s="17"/>
      <c r="AZ67">
        <f>BD65-BA65</f>
        <v>294</v>
      </c>
      <c r="BB67" s="17"/>
      <c r="BC67">
        <f>BG65-BD65</f>
        <v>222</v>
      </c>
      <c r="BF67">
        <f>BJ65-BG65</f>
        <v>184</v>
      </c>
      <c r="BH67" s="17"/>
      <c r="BI67">
        <f>BM65-BJ65</f>
        <v>219</v>
      </c>
      <c r="BK67" s="17"/>
      <c r="BL67">
        <f>BP65-BM65</f>
        <v>178</v>
      </c>
      <c r="BU67" s="1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2020-10-30T10:37:04Z</dcterms:modified>
</cp:coreProperties>
</file>