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6B16B3B1-2EF7-4ED2-BFA3-BBBCC8A90662}" xr6:coauthVersionLast="45" xr6:coauthVersionMax="45" xr10:uidLastSave="{00000000-0000-0000-0000-000000000000}"/>
  <bookViews>
    <workbookView xWindow="831" yWindow="-103" windowWidth="21215" windowHeight="12549"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X67" i="2" l="1"/>
  <c r="EU67" i="2"/>
  <c r="ER67" i="2"/>
  <c r="EO67" i="2"/>
  <c r="EL67" i="2"/>
  <c r="EI67" i="2"/>
  <c r="EF67" i="2"/>
  <c r="EC67" i="2"/>
  <c r="DZ67" i="2"/>
  <c r="DW67" i="2"/>
  <c r="DT67" i="2"/>
  <c r="DQ67" i="2"/>
  <c r="DN67" i="2"/>
  <c r="DK67" i="2"/>
  <c r="DH67" i="2"/>
  <c r="DE67" i="2"/>
  <c r="DB67" i="2"/>
  <c r="CY67" i="2"/>
  <c r="CV67" i="2"/>
  <c r="CS67" i="2"/>
  <c r="CP67" i="2"/>
  <c r="CM67" i="2"/>
  <c r="CJ67" i="2"/>
  <c r="H323" i="1" l="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M1" i="1" l="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G253" i="1" l="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CG67" i="2" l="1"/>
  <c r="CD67" i="2"/>
  <c r="CA67" i="2"/>
  <c r="BX67" i="2"/>
  <c r="BU67" i="2"/>
  <c r="BR67" i="2"/>
  <c r="BO67" i="2"/>
  <c r="BL67" i="2" l="1"/>
  <c r="BI67" i="2"/>
  <c r="AT67" i="2"/>
  <c r="BC67" i="2" l="1"/>
  <c r="BF67" i="2"/>
  <c r="AZ67" i="2"/>
  <c r="AW67" i="2" l="1"/>
  <c r="AQ67" i="2" l="1"/>
  <c r="AN67" i="2"/>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4"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B54" i="2"/>
  <c r="A54" i="2" s="1"/>
  <c r="E56" i="2" l="1"/>
  <c r="F54" i="2"/>
  <c r="C54" i="2"/>
  <c r="D55" i="2" s="1"/>
  <c r="B53" i="2"/>
  <c r="A53" i="2" s="1"/>
  <c r="E55" i="2" l="1"/>
  <c r="J55" i="2"/>
  <c r="F53" i="2"/>
  <c r="C53" i="2"/>
  <c r="D54" i="2" s="1"/>
  <c r="B52" i="2"/>
  <c r="A52" i="2" s="1"/>
  <c r="E54" i="2" l="1"/>
  <c r="F52" i="2"/>
  <c r="C52" i="2"/>
  <c r="D53" i="2" s="1"/>
  <c r="E53" i="2" s="1"/>
  <c r="B51" i="2"/>
  <c r="A51" i="2" s="1"/>
  <c r="F51" i="2" l="1"/>
  <c r="C51" i="2"/>
  <c r="D52" i="2" s="1"/>
  <c r="E52" i="2" s="1"/>
  <c r="B50" i="2"/>
  <c r="A50" i="2" s="1"/>
  <c r="F50" i="2" l="1"/>
  <c r="C50" i="2"/>
  <c r="D51" i="2" s="1"/>
  <c r="G51" i="2" s="1"/>
  <c r="H58" i="2" s="1"/>
  <c r="B49" i="2"/>
  <c r="A49" i="2" s="1"/>
  <c r="E51" i="2" l="1"/>
  <c r="I51" i="2"/>
  <c r="F49" i="2"/>
  <c r="C49" i="2"/>
  <c r="D50" i="2" s="1"/>
  <c r="E50" i="2" s="1"/>
  <c r="B48" i="2"/>
  <c r="A48" i="2" s="1"/>
  <c r="F48" i="2" l="1"/>
  <c r="C48" i="2"/>
  <c r="D49" i="2" s="1"/>
  <c r="E49" i="2" s="1"/>
  <c r="B47" i="2"/>
  <c r="A47" i="2" s="1"/>
  <c r="F47" i="2" l="1"/>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E35" i="2" s="1"/>
  <c r="P28" i="2" s="1"/>
  <c r="G37" i="2"/>
  <c r="H44" i="2" s="1"/>
  <c r="A32" i="2" l="1"/>
  <c r="A31" i="2"/>
</calcChain>
</file>

<file path=xl/sharedStrings.xml><?xml version="1.0" encoding="utf-8"?>
<sst xmlns="http://schemas.openxmlformats.org/spreadsheetml/2006/main" count="692" uniqueCount="362">
  <si>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</si>
  <si>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</si>
  <si>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</si>
  <si>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</si>
  <si>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</si>
  <si>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</si>
  <si>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</si>
  <si>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</si>
  <si>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</si>
  <si>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</si>
  <si>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</si>
  <si>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</si>
  <si>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</si>
  <si>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</si>
  <si>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</si>
  <si>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</si>
  <si>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</si>
  <si>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</si>
  <si>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</si>
  <si>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</si>
  <si>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</si>
  <si>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</si>
  <si>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</si>
  <si>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</si>
  <si>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</si>
  <si>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</si>
  <si>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</si>
  <si>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</si>
  <si>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</si>
  <si>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</si>
  <si>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</si>
  <si>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</si>
  <si>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</si>
  <si>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</si>
  <si>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</si>
  <si>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</si>
  <si>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</si>
  <si>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</si>
  <si>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</si>
  <si>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</si>
  <si>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</si>
  <si>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</si>
  <si>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</si>
  <si>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</si>
  <si>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</si>
  <si>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</si>
  <si>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</si>
  <si>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</si>
  <si>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</si>
  <si>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</si>
  <si>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</si>
  <si>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</si>
  <si>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</si>
  <si>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</si>
  <si>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</si>
  <si>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</si>
  <si>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</si>
  <si>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</si>
  <si>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</si>
  <si>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</si>
  <si>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</si>
  <si>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</si>
  <si>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</si>
  <si>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</si>
  <si>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</si>
  <si>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</si>
  <si>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</si>
  <si>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</si>
  <si>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</si>
  <si>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</si>
  <si>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</si>
  <si>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</si>
  <si>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</si>
  <si>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</si>
  <si>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</si>
  <si>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</si>
  <si>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</si>
  <si>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</si>
  <si>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</si>
  <si>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</si>
  <si>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</si>
  <si>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</si>
  <si>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</si>
  <si>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</si>
  <si>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</si>
  <si>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</si>
  <si>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</si>
  <si>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</si>
  <si>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</si>
  <si>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</si>
  <si>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</si>
  <si>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</si>
  <si>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</si>
  <si>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</si>
  <si>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</si>
  <si>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</si>
  <si>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</si>
  <si>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</si>
  <si>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</si>
  <si>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</si>
  <si>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</si>
  <si>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</si>
  <si>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</si>
  <si>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</si>
  <si>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</si>
  <si>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</si>
  <si>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</si>
  <si>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</si>
  <si>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</si>
  <si>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</si>
  <si>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</si>
  <si>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</si>
  <si>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</si>
  <si>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</si>
  <si>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</si>
  <si>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</si>
  <si>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</si>
  <si>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</si>
  <si>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</si>
  <si>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</si>
  <si>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</si>
  <si>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</si>
  <si>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</si>
  <si>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</si>
  <si>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</si>
  <si>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</si>
  <si>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</si>
  <si>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</si>
  <si>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</si>
  <si>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</si>
  <si>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</si>
  <si>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</si>
  <si>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</si>
  <si>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</si>
  <si>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</si>
  <si>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</si>
  <si>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</si>
  <si>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</si>
  <si>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</si>
  <si>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</si>
  <si>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</si>
  <si>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</si>
  <si>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</si>
  <si>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</si>
  <si>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</si>
  <si>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</si>
  <si>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</si>
  <si>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</si>
  <si>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</si>
  <si>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</si>
  <si>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</si>
  <si>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</si>
  <si>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</si>
  <si>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</si>
  <si>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</si>
  <si>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</si>
  <si>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</si>
  <si>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</si>
  <si>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</si>
  <si>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</si>
  <si>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</si>
  <si>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</si>
  <si>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</si>
  <si>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</si>
  <si>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</si>
  <si>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</si>
  <si>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</si>
  <si>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</si>
  <si>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</si>
  <si>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</si>
  <si>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</si>
  <si>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</si>
  <si>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</si>
  <si>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</si>
  <si>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</si>
  <si>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</si>
  <si>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</si>
  <si>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</si>
  <si>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</si>
  <si>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</si>
  <si>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</si>
  <si>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</si>
  <si>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</si>
  <si>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</si>
  <si>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</si>
  <si>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</si>
  <si>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</si>
  <si>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</si>
  <si>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</si>
  <si>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</si>
  <si>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</si>
  <si>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</si>
  <si>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</si>
  <si>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</si>
  <si>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</si>
  <si>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</si>
  <si>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</si>
  <si>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</si>
  <si>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</si>
  <si>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</si>
  <si>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</si>
  <si>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</si>
  <si>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</si>
  <si>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</si>
  <si>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</si>
  <si>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</si>
  <si>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</si>
  <si>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</si>
  <si>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</si>
  <si>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</si>
  <si>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</si>
  <si>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</si>
  <si>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</si>
  <si>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</si>
  <si>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</si>
  <si>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</si>
  <si>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</si>
  <si>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</si>
  <si>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</si>
  <si>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</si>
  <si>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</si>
  <si>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</si>
  <si>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</si>
  <si>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</si>
  <si>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</si>
  <si>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</si>
  <si>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</si>
  <si>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</si>
  <si>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</si>
  <si>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</si>
  <si>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</si>
  <si>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</si>
  <si>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</si>
  <si>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</si>
  <si>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</si>
  <si>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</si>
  <si>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</si>
  <si>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</si>
  <si>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</si>
  <si>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</si>
  <si>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</si>
  <si>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</si>
  <si>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</si>
  <si>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</si>
  <si>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</si>
  <si>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</si>
  <si>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</si>
  <si>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</si>
  <si>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</si>
  <si>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</si>
  <si>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</si>
  <si>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</si>
  <si>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</si>
  <si>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</si>
  <si>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</si>
  <si>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</si>
  <si>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</si>
  <si>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</si>
  <si>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</si>
  <si>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</si>
  <si>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</si>
  <si>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</si>
  <si>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</si>
  <si>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</si>
  <si>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</si>
  <si>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</si>
  <si>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</si>
  <si>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</si>
  <si>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</si>
  <si>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</si>
  <si>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</si>
  <si>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</si>
  <si>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</si>
  <si>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</si>
  <si>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</si>
  <si>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</si>
  <si>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</si>
  <si>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</si>
  <si>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</si>
  <si>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</si>
  <si>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</si>
  <si>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</si>
  <si>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</si>
  <si>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</si>
  <si>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</si>
  <si>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</si>
  <si>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</si>
  <si>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</si>
  <si>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</si>
  <si>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</si>
  <si>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</si>
  <si>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</si>
  <si>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</si>
  <si>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</si>
  <si>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</si>
  <si>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</si>
  <si>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</si>
  <si>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</si>
  <si>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</si>
  <si>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</si>
  <si>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</si>
  <si>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</si>
  <si>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</si>
  <si>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</si>
  <si>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</si>
  <si>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</si>
  <si>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</si>
  <si>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</si>
  <si>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</si>
  <si>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</si>
  <si>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</si>
  <si>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</si>
  <si>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</si>
  <si>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</si>
  <si>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</si>
  <si>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</si>
  <si>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</si>
  <si>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</si>
  <si>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</si>
  <si>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</si>
  <si>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</si>
  <si>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</si>
  <si>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</si>
  <si>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</si>
  <si>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</si>
  <si>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</si>
  <si>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</si>
  <si>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</si>
  <si>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</si>
  <si>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</si>
  <si>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</si>
  <si>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</si>
  <si>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</si>
  <si>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</si>
  <si>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</si>
  <si>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</si>
  <si>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</si>
  <si>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</si>
  <si>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</si>
  <si>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</si>
  <si>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</si>
  <si>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</si>
  <si>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</si>
  <si>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</si>
  <si>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</si>
  <si>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</si>
  <si>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</si>
  <si>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</si>
  <si>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</si>
  <si>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</si>
  <si>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</si>
  <si>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</si>
  <si>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</si>
  <si>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</si>
  <si>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</si>
  <si>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</si>
  <si>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</si>
  <si>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</si>
  <si>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</si>
  <si>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</si>
  <si>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</si>
  <si>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2020-11-24T09:38:19.637Z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</si>
</sst>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2">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20.11 saakka. Suurin arvo 478, joka 19.11. Uusimpien 4 päivien arvot tulevat viiveellä, joten ne jätetty pois kuvaajasta 24.11.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[0]!X</c:f>
              <c:strCache>
                <c:ptCount val="321"/>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strCache>
            </c:strRef>
          </c:cat>
          <c:val>
            <c:numRef>
              <c:f>[0]!Plot</c:f>
              <c:numCache>
                <c:formatCode>General</c:formatCode>
                <c:ptCount val="3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108</c:v>
                </c:pt>
                <c:pt idx="266">
                  <c:v>117</c:v>
                </c:pt>
                <c:pt idx="267">
                  <c:v>97</c:v>
                </c:pt>
                <c:pt idx="268">
                  <c:v>127</c:v>
                </c:pt>
                <c:pt idx="269">
                  <c:v>74</c:v>
                </c:pt>
                <c:pt idx="270">
                  <c:v>71</c:v>
                </c:pt>
                <c:pt idx="271">
                  <c:v>122</c:v>
                </c:pt>
                <c:pt idx="272">
                  <c:v>134</c:v>
                </c:pt>
                <c:pt idx="273">
                  <c:v>165</c:v>
                </c:pt>
                <c:pt idx="274">
                  <c:v>188</c:v>
                </c:pt>
                <c:pt idx="275">
                  <c:v>189</c:v>
                </c:pt>
                <c:pt idx="276">
                  <c:v>170</c:v>
                </c:pt>
                <c:pt idx="277">
                  <c:v>146</c:v>
                </c:pt>
                <c:pt idx="278">
                  <c:v>289</c:v>
                </c:pt>
                <c:pt idx="279">
                  <c:v>303</c:v>
                </c:pt>
                <c:pt idx="280">
                  <c:v>306</c:v>
                </c:pt>
                <c:pt idx="281">
                  <c:v>260</c:v>
                </c:pt>
                <c:pt idx="282">
                  <c:v>226</c:v>
                </c:pt>
                <c:pt idx="283">
                  <c:v>109</c:v>
                </c:pt>
                <c:pt idx="284">
                  <c:v>130</c:v>
                </c:pt>
                <c:pt idx="285">
                  <c:v>254</c:v>
                </c:pt>
                <c:pt idx="286">
                  <c:v>197</c:v>
                </c:pt>
                <c:pt idx="287">
                  <c:v>201</c:v>
                </c:pt>
                <c:pt idx="288">
                  <c:v>190</c:v>
                </c:pt>
                <c:pt idx="289">
                  <c:v>192</c:v>
                </c:pt>
                <c:pt idx="290">
                  <c:v>100</c:v>
                </c:pt>
                <c:pt idx="291">
                  <c:v>127</c:v>
                </c:pt>
                <c:pt idx="292">
                  <c:v>243</c:v>
                </c:pt>
                <c:pt idx="293">
                  <c:v>163</c:v>
                </c:pt>
                <c:pt idx="294">
                  <c:v>190</c:v>
                </c:pt>
                <c:pt idx="295">
                  <c:v>218</c:v>
                </c:pt>
                <c:pt idx="296">
                  <c:v>192</c:v>
                </c:pt>
                <c:pt idx="297">
                  <c:v>108</c:v>
                </c:pt>
                <c:pt idx="298">
                  <c:v>123</c:v>
                </c:pt>
                <c:pt idx="299">
                  <c:v>256</c:v>
                </c:pt>
                <c:pt idx="300">
                  <c:v>230</c:v>
                </c:pt>
                <c:pt idx="301">
                  <c:v>240</c:v>
                </c:pt>
                <c:pt idx="302">
                  <c:v>237</c:v>
                </c:pt>
                <c:pt idx="303">
                  <c:v>219</c:v>
                </c:pt>
                <c:pt idx="304">
                  <c:v>121</c:v>
                </c:pt>
                <c:pt idx="305">
                  <c:v>150</c:v>
                </c:pt>
                <c:pt idx="306">
                  <c:v>281</c:v>
                </c:pt>
                <c:pt idx="307">
                  <c:v>241</c:v>
                </c:pt>
                <c:pt idx="308">
                  <c:v>210</c:v>
                </c:pt>
                <c:pt idx="309">
                  <c:v>221</c:v>
                </c:pt>
                <c:pt idx="310">
                  <c:v>194</c:v>
                </c:pt>
                <c:pt idx="311">
                  <c:v>128</c:v>
                </c:pt>
                <c:pt idx="312">
                  <c:v>133</c:v>
                </c:pt>
                <c:pt idx="313">
                  <c:v>275</c:v>
                </c:pt>
                <c:pt idx="314">
                  <c:v>205</c:v>
                </c:pt>
                <c:pt idx="315">
                  <c:v>291</c:v>
                </c:pt>
                <c:pt idx="316">
                  <c:v>277</c:v>
                </c:pt>
                <c:pt idx="317">
                  <c:v>262</c:v>
                </c:pt>
                <c:pt idx="318">
                  <c:v>143</c:v>
                </c:pt>
                <c:pt idx="319">
                  <c:v>181</c:v>
                </c:pt>
                <c:pt idx="320">
                  <c:v>393</c:v>
                </c:pt>
                <c:pt idx="321">
                  <c:v>393</c:v>
                </c:pt>
                <c:pt idx="322">
                  <c:v>369</c:v>
                </c:pt>
                <c:pt idx="323">
                  <c:v>478</c:v>
                </c:pt>
                <c:pt idx="324">
                  <c:v>424</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3880</c:v>
                </c:pt>
                <c:pt idx="1">
                  <c:v>3510</c:v>
                </c:pt>
                <c:pt idx="2">
                  <c:v>3589</c:v>
                </c:pt>
                <c:pt idx="3">
                  <c:v>3646</c:v>
                </c:pt>
                <c:pt idx="4">
                  <c:v>3323</c:v>
                </c:pt>
                <c:pt idx="5">
                  <c:v>2064</c:v>
                </c:pt>
                <c:pt idx="6">
                  <c:v>2277</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44131</c:v>
                </c:pt>
                <c:pt idx="1">
                  <c:v>44132</c:v>
                </c:pt>
                <c:pt idx="2">
                  <c:v>44133</c:v>
                </c:pt>
                <c:pt idx="3">
                  <c:v>44134</c:v>
                </c:pt>
                <c:pt idx="4">
                  <c:v>44135</c:v>
                </c:pt>
                <c:pt idx="5">
                  <c:v>44136</c:v>
                </c:pt>
                <c:pt idx="6">
                  <c:v>44137</c:v>
                </c:pt>
                <c:pt idx="7">
                  <c:v>44138</c:v>
                </c:pt>
                <c:pt idx="8">
                  <c:v>44139</c:v>
                </c:pt>
                <c:pt idx="9">
                  <c:v>44140</c:v>
                </c:pt>
                <c:pt idx="10">
                  <c:v>44141</c:v>
                </c:pt>
                <c:pt idx="11">
                  <c:v>44142</c:v>
                </c:pt>
                <c:pt idx="12">
                  <c:v>44143</c:v>
                </c:pt>
                <c:pt idx="13">
                  <c:v>44144</c:v>
                </c:pt>
                <c:pt idx="14">
                  <c:v>44145</c:v>
                </c:pt>
                <c:pt idx="15">
                  <c:v>44146</c:v>
                </c:pt>
                <c:pt idx="16">
                  <c:v>44147</c:v>
                </c:pt>
                <c:pt idx="17">
                  <c:v>44148</c:v>
                </c:pt>
                <c:pt idx="18">
                  <c:v>44149</c:v>
                </c:pt>
                <c:pt idx="19">
                  <c:v>44150</c:v>
                </c:pt>
                <c:pt idx="20">
                  <c:v>44151</c:v>
                </c:pt>
                <c:pt idx="21">
                  <c:v>44152</c:v>
                </c:pt>
                <c:pt idx="22">
                  <c:v>44153</c:v>
                </c:pt>
                <c:pt idx="23">
                  <c:v>44154</c:v>
                </c:pt>
                <c:pt idx="24">
                  <c:v>44155</c:v>
                </c:pt>
                <c:pt idx="25">
                  <c:v>44156</c:v>
                </c:pt>
                <c:pt idx="26">
                  <c:v>44157</c:v>
                </c:pt>
                <c:pt idx="27">
                  <c:v>44158</c:v>
                </c:pt>
              </c:numCache>
            </c:numRef>
          </c:cat>
          <c:val>
            <c:numRef>
              <c:f>Kuvaajat!$D$37:$D$64</c:f>
              <c:numCache>
                <c:formatCode>General</c:formatCode>
                <c:ptCount val="28"/>
                <c:pt idx="0">
                  <c:v>230</c:v>
                </c:pt>
                <c:pt idx="1">
                  <c:v>240</c:v>
                </c:pt>
                <c:pt idx="2">
                  <c:v>237</c:v>
                </c:pt>
                <c:pt idx="3">
                  <c:v>219</c:v>
                </c:pt>
                <c:pt idx="4">
                  <c:v>121</c:v>
                </c:pt>
                <c:pt idx="5">
                  <c:v>150</c:v>
                </c:pt>
                <c:pt idx="6">
                  <c:v>281</c:v>
                </c:pt>
                <c:pt idx="7">
                  <c:v>241</c:v>
                </c:pt>
                <c:pt idx="8">
                  <c:v>210</c:v>
                </c:pt>
                <c:pt idx="9">
                  <c:v>221</c:v>
                </c:pt>
                <c:pt idx="10">
                  <c:v>194</c:v>
                </c:pt>
                <c:pt idx="11">
                  <c:v>128</c:v>
                </c:pt>
                <c:pt idx="12">
                  <c:v>133</c:v>
                </c:pt>
                <c:pt idx="13">
                  <c:v>275</c:v>
                </c:pt>
                <c:pt idx="14">
                  <c:v>205</c:v>
                </c:pt>
                <c:pt idx="15">
                  <c:v>291</c:v>
                </c:pt>
                <c:pt idx="16">
                  <c:v>277</c:v>
                </c:pt>
                <c:pt idx="17">
                  <c:v>262</c:v>
                </c:pt>
                <c:pt idx="18">
                  <c:v>143</c:v>
                </c:pt>
                <c:pt idx="19">
                  <c:v>181</c:v>
                </c:pt>
                <c:pt idx="20">
                  <c:v>393</c:v>
                </c:pt>
                <c:pt idx="21">
                  <c:v>393</c:v>
                </c:pt>
                <c:pt idx="22">
                  <c:v>369</c:v>
                </c:pt>
                <c:pt idx="23">
                  <c:v>478</c:v>
                </c:pt>
                <c:pt idx="24">
                  <c:v>424</c:v>
                </c:pt>
                <c:pt idx="25">
                  <c:v>238</c:v>
                </c:pt>
                <c:pt idx="26">
                  <c:v>198</c:v>
                </c:pt>
                <c:pt idx="27">
                  <c:v>107</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N=22289. Uusimmat 24.11 lisäykset punaisella n=353.</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27.10</c:v>
                </c:pt>
                <c:pt idx="1">
                  <c:v>28.10</c:v>
                </c:pt>
                <c:pt idx="2">
                  <c:v>29.10</c:v>
                </c:pt>
                <c:pt idx="3">
                  <c:v>30.10</c:v>
                </c:pt>
                <c:pt idx="4">
                  <c:v>31.10</c:v>
                </c:pt>
                <c:pt idx="5">
                  <c:v>1.11</c:v>
                </c:pt>
                <c:pt idx="6">
                  <c:v>Ma 2</c:v>
                </c:pt>
                <c:pt idx="7">
                  <c:v>3.11</c:v>
                </c:pt>
                <c:pt idx="8">
                  <c:v>4.11</c:v>
                </c:pt>
                <c:pt idx="9">
                  <c:v>5.11</c:v>
                </c:pt>
                <c:pt idx="10">
                  <c:v>6.11</c:v>
                </c:pt>
                <c:pt idx="11">
                  <c:v>7.11</c:v>
                </c:pt>
                <c:pt idx="12">
                  <c:v>8.11</c:v>
                </c:pt>
                <c:pt idx="13">
                  <c:v>Ma 9</c:v>
                </c:pt>
                <c:pt idx="14">
                  <c:v>10.11</c:v>
                </c:pt>
                <c:pt idx="15">
                  <c:v>11.11</c:v>
                </c:pt>
                <c:pt idx="16">
                  <c:v>12.11</c:v>
                </c:pt>
                <c:pt idx="17">
                  <c:v>13.11</c:v>
                </c:pt>
                <c:pt idx="18">
                  <c:v>14.11</c:v>
                </c:pt>
                <c:pt idx="19">
                  <c:v>15.11</c:v>
                </c:pt>
                <c:pt idx="20">
                  <c:v>Ma 16</c:v>
                </c:pt>
                <c:pt idx="21">
                  <c:v>17.11</c:v>
                </c:pt>
                <c:pt idx="22">
                  <c:v>18.11</c:v>
                </c:pt>
                <c:pt idx="23">
                  <c:v>19.11</c:v>
                </c:pt>
                <c:pt idx="24">
                  <c:v>20.11</c:v>
                </c:pt>
                <c:pt idx="25">
                  <c:v>21.11</c:v>
                </c:pt>
                <c:pt idx="26">
                  <c:v>22.11</c:v>
                </c:pt>
                <c:pt idx="27">
                  <c:v>Ma 23</c:v>
                </c:pt>
              </c:strCache>
            </c:strRef>
          </c:cat>
          <c:val>
            <c:numRef>
              <c:f>Kuvaajat!$D$37:$D$64</c:f>
              <c:numCache>
                <c:formatCode>General</c:formatCode>
                <c:ptCount val="28"/>
                <c:pt idx="0">
                  <c:v>230</c:v>
                </c:pt>
                <c:pt idx="1">
                  <c:v>240</c:v>
                </c:pt>
                <c:pt idx="2">
                  <c:v>237</c:v>
                </c:pt>
                <c:pt idx="3">
                  <c:v>219</c:v>
                </c:pt>
                <c:pt idx="4">
                  <c:v>121</c:v>
                </c:pt>
                <c:pt idx="5">
                  <c:v>150</c:v>
                </c:pt>
                <c:pt idx="6">
                  <c:v>281</c:v>
                </c:pt>
                <c:pt idx="7">
                  <c:v>241</c:v>
                </c:pt>
                <c:pt idx="8">
                  <c:v>210</c:v>
                </c:pt>
                <c:pt idx="9">
                  <c:v>221</c:v>
                </c:pt>
                <c:pt idx="10">
                  <c:v>194</c:v>
                </c:pt>
                <c:pt idx="11">
                  <c:v>128</c:v>
                </c:pt>
                <c:pt idx="12">
                  <c:v>133</c:v>
                </c:pt>
                <c:pt idx="13">
                  <c:v>275</c:v>
                </c:pt>
                <c:pt idx="14">
                  <c:v>205</c:v>
                </c:pt>
                <c:pt idx="15">
                  <c:v>291</c:v>
                </c:pt>
                <c:pt idx="16">
                  <c:v>277</c:v>
                </c:pt>
                <c:pt idx="17">
                  <c:v>262</c:v>
                </c:pt>
                <c:pt idx="18">
                  <c:v>143</c:v>
                </c:pt>
                <c:pt idx="19">
                  <c:v>181</c:v>
                </c:pt>
                <c:pt idx="20">
                  <c:v>393</c:v>
                </c:pt>
                <c:pt idx="21">
                  <c:v>393</c:v>
                </c:pt>
                <c:pt idx="22">
                  <c:v>369</c:v>
                </c:pt>
                <c:pt idx="23">
                  <c:v>478</c:v>
                </c:pt>
                <c:pt idx="24">
                  <c:v>424</c:v>
                </c:pt>
                <c:pt idx="25">
                  <c:v>238</c:v>
                </c:pt>
                <c:pt idx="26">
                  <c:v>198</c:v>
                </c:pt>
                <c:pt idx="27">
                  <c:v>107</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0"/>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3-5C1C-4458-A867-43F9070E6F8E}"/>
                </c:ext>
              </c:extLst>
            </c:dLbl>
            <c:dLbl>
              <c:idx val="1"/>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4-5C1C-4458-A867-43F9070E6F8E}"/>
                </c:ext>
              </c:extLst>
            </c:dLbl>
            <c:dLbl>
              <c:idx val="2"/>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5-5C1C-4458-A867-43F9070E6F8E}"/>
                </c:ext>
              </c:extLst>
            </c:dLbl>
            <c:dLbl>
              <c:idx val="3"/>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6-5C1C-4458-A867-43F9070E6F8E}"/>
                </c:ext>
              </c:extLst>
            </c:dLbl>
            <c:dLbl>
              <c:idx val="4"/>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7-5C1C-4458-A867-43F9070E6F8E}"/>
                </c:ext>
              </c:extLst>
            </c:dLbl>
            <c:dLbl>
              <c:idx val="5"/>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8-5C1C-4458-A867-43F9070E6F8E}"/>
                </c:ext>
              </c:extLst>
            </c:dLbl>
            <c:dLbl>
              <c:idx val="6"/>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9-5C1C-4458-A867-43F9070E6F8E}"/>
                </c:ext>
              </c:extLst>
            </c:dLbl>
            <c:dLbl>
              <c:idx val="7"/>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A-5C1C-4458-A867-43F9070E6F8E}"/>
                </c:ext>
              </c:extLst>
            </c:dLbl>
            <c:dLbl>
              <c:idx val="8"/>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B-5C1C-4458-A867-43F9070E6F8E}"/>
                </c:ext>
              </c:extLst>
            </c:dLbl>
            <c:dLbl>
              <c:idx val="9"/>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C-5C1C-4458-A867-43F9070E6F8E}"/>
                </c:ext>
              </c:extLst>
            </c:dLbl>
            <c:dLbl>
              <c:idx val="10"/>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D-5C1C-4458-A867-43F9070E6F8E}"/>
                </c:ext>
              </c:extLst>
            </c:dLbl>
            <c:dLbl>
              <c:idx val="11"/>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E-5C1C-4458-A867-43F9070E6F8E}"/>
                </c:ext>
              </c:extLst>
            </c:dLbl>
            <c:dLbl>
              <c:idx val="12"/>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F-5C1C-4458-A867-43F9070E6F8E}"/>
                </c:ext>
              </c:extLst>
            </c:dLbl>
            <c:dLbl>
              <c:idx val="13"/>
              <c:layout>
                <c:manualLayout>
                  <c:x val="5.4023369148274792E-3"/>
                  <c:y val="-3.5038461188261578E-3"/>
                </c:manualLayout>
              </c:layout>
              <c:showLegendKey val="0"/>
              <c:showVal val="1"/>
              <c:showCatName val="0"/>
              <c:showSerName val="0"/>
              <c:showPercent val="0"/>
              <c:showBubbleSize val="0"/>
              <c:extLst>
                <c:ext xmlns:c15="http://schemas.microsoft.com/office/drawing/2012/chart" uri="{CE6537A1-D6FC-4f65-9D91-7224C49458BB}">
                  <c15:layout>
                    <c:manualLayout>
                      <c:w val="1.7982975832624544E-2"/>
                      <c:h val="4.9005284602308359E-2"/>
                    </c:manualLayout>
                  </c15:layout>
                </c:ext>
                <c:ext xmlns:c16="http://schemas.microsoft.com/office/drawing/2014/chart" uri="{C3380CC4-5D6E-409C-BE32-E72D297353CC}">
                  <c16:uniqueId val="{00000010-5C1C-4458-A867-43F9070E6F8E}"/>
                </c:ext>
              </c:extLst>
            </c:dLbl>
            <c:dLbl>
              <c:idx val="14"/>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11-5C1C-4458-A867-43F9070E6F8E}"/>
                </c:ext>
              </c:extLst>
            </c:dLbl>
            <c:dLbl>
              <c:idx val="15"/>
              <c:layout>
                <c:manualLayout>
                  <c:x val="6.7529211435343496E-3"/>
                  <c:y val="6.8330793534646522E-2"/>
                </c:manualLayout>
              </c:layout>
              <c:spPr>
                <a:noFill/>
                <a:ln>
                  <a:noFill/>
                </a:ln>
                <a:effectLst/>
              </c:spPr>
              <c:txPr>
                <a:bodyPr rot="0" spcFirstLastPara="1" vertOverflow="clip" horzOverflow="clip" vert="horz" wrap="square" lIns="38100" tIns="19050" rIns="38100" bIns="19050" anchor="b" anchorCtr="0">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3.2839402348400111E-2"/>
                      <c:h val="4.199704053441447E-2"/>
                    </c:manualLayout>
                  </c15:layout>
                </c:ext>
                <c:ext xmlns:c16="http://schemas.microsoft.com/office/drawing/2014/chart" uri="{C3380CC4-5D6E-409C-BE32-E72D297353CC}">
                  <c16:uniqueId val="{00000012-5C1C-4458-A867-43F9070E6F8E}"/>
                </c:ext>
              </c:extLst>
            </c:dLbl>
            <c:dLbl>
              <c:idx val="16"/>
              <c:layout>
                <c:manualLayout>
                  <c:x val="6.7529211435342499E-3"/>
                  <c:y val="-7.0082440678938818E-3"/>
                </c:manualLayout>
              </c:layout>
              <c:showLegendKey val="0"/>
              <c:showVal val="1"/>
              <c:showCatName val="0"/>
              <c:showSerName val="0"/>
              <c:showPercent val="0"/>
              <c:showBubbleSize val="0"/>
              <c:extLst>
                <c:ext xmlns:c15="http://schemas.microsoft.com/office/drawing/2012/chart" uri="{CE6537A1-D6FC-4f65-9D91-7224C49458BB}">
                  <c15:layout>
                    <c:manualLayout>
                      <c:w val="1.7982975832624544E-2"/>
                      <c:h val="4.9005284602308359E-2"/>
                    </c:manualLayout>
                  </c15:layout>
                </c:ext>
                <c:ext xmlns:c16="http://schemas.microsoft.com/office/drawing/2014/chart" uri="{C3380CC4-5D6E-409C-BE32-E72D297353CC}">
                  <c16:uniqueId val="{00000001-5C1C-4458-A867-43F9070E6F8E}"/>
                </c:ext>
              </c:extLst>
            </c:dLbl>
            <c:dLbl>
              <c:idx val="17"/>
              <c:layout>
                <c:manualLayout>
                  <c:x val="5.4023369148273803E-3"/>
                  <c:y val="0"/>
                </c:manualLayout>
              </c:layout>
              <c:showLegendKey val="0"/>
              <c:showVal val="1"/>
              <c:showCatName val="0"/>
              <c:showSerName val="0"/>
              <c:showPercent val="0"/>
              <c:showBubbleSize val="0"/>
              <c:extLst>
                <c:ext xmlns:c15="http://schemas.microsoft.com/office/drawing/2012/chart" uri="{CE6537A1-D6FC-4f65-9D91-7224C49458BB}">
                  <c15:layout>
                    <c:manualLayout>
                      <c:w val="1.7982975832624544E-2"/>
                      <c:h val="4.9005284602308359E-2"/>
                    </c:manualLayout>
                  </c15:layout>
                </c:ext>
                <c:ext xmlns:c16="http://schemas.microsoft.com/office/drawing/2014/chart" uri="{C3380CC4-5D6E-409C-BE32-E72D297353CC}">
                  <c16:uniqueId val="{00000013-5C1C-4458-A867-43F9070E6F8E}"/>
                </c:ext>
              </c:extLst>
            </c:dLbl>
            <c:dLbl>
              <c:idx val="18"/>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14-5C1C-4458-A867-43F9070E6F8E}"/>
                </c:ext>
              </c:extLst>
            </c:dLbl>
            <c:dLbl>
              <c:idx val="19"/>
              <c:layout>
                <c:manualLayout>
                  <c:x val="5.4023369148274792E-3"/>
                  <c:y val="8.059480678077964E-2"/>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02-5C1C-4458-A867-43F9070E6F8E}"/>
                </c:ext>
              </c:extLst>
            </c:dLbl>
            <c:dLbl>
              <c:idx val="20"/>
              <c:layout>
                <c:manualLayout>
                  <c:x val="8.1635904186363462E-3"/>
                  <c:y val="9.0395035955879083E-2"/>
                </c:manualLayout>
              </c:layout>
              <c:showLegendKey val="0"/>
              <c:showVal val="1"/>
              <c:showCatName val="0"/>
              <c:showSerName val="0"/>
              <c:showPercent val="0"/>
              <c:showBubbleSize val="0"/>
              <c:extLst>
                <c:ext xmlns:c15="http://schemas.microsoft.com/office/drawing/2012/chart" uri="{CE6537A1-D6FC-4f65-9D91-7224C49458BB}">
                  <c15:layout>
                    <c:manualLayout>
                      <c:w val="2.0420833538047873E-2"/>
                      <c:h val="7.3534138839936938E-2"/>
                    </c:manualLayout>
                  </c15:layout>
                </c:ext>
                <c:ext xmlns:c16="http://schemas.microsoft.com/office/drawing/2014/chart" uri="{C3380CC4-5D6E-409C-BE32-E72D297353CC}">
                  <c16:uniqueId val="{00000002-B1BF-40F3-ACCA-3BA4D519DB9F}"/>
                </c:ext>
              </c:extLst>
            </c:dLbl>
            <c:dLbl>
              <c:idx val="21"/>
              <c:layout>
                <c:manualLayout>
                  <c:x val="5.414353924106525E-3"/>
                  <c:y val="-1.4561696414455413E-2"/>
                </c:manualLayout>
              </c:layout>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01-B1BF-40F3-ACCA-3BA4D519DB9F}"/>
                </c:ext>
              </c:extLst>
            </c:dLbl>
            <c:dLbl>
              <c:idx val="22"/>
              <c:layout>
                <c:manualLayout>
                  <c:x val="4.0517526861204118E-3"/>
                  <c:y val="7.3586562712885759E-2"/>
                </c:manualLayout>
              </c:layout>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15-5C1C-4458-A867-43F9070E6F8E}"/>
                </c:ext>
              </c:extLst>
            </c:dLbl>
            <c:dLbl>
              <c:idx val="23"/>
              <c:layout>
                <c:manualLayout>
                  <c:x val="5.4023369148274792E-3"/>
                  <c:y val="9.1107172882620463E-2"/>
                </c:manualLayout>
              </c:layout>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16-5C1C-4458-A867-43F9070E6F8E}"/>
                </c:ext>
              </c:extLst>
            </c:dLbl>
            <c:dLbl>
              <c:idx val="24"/>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17-5C1C-4458-A867-43F9070E6F8E}"/>
                </c:ext>
              </c:extLst>
            </c:dLbl>
            <c:dLbl>
              <c:idx val="25"/>
              <c:layout>
                <c:manualLayout>
                  <c:x val="9.4540896009480888E-3"/>
                  <c:y val="-6.4241495165793158E-17"/>
                </c:manualLayout>
              </c:layout>
              <c:showLegendKey val="0"/>
              <c:showVal val="1"/>
              <c:showCatName val="0"/>
              <c:showSerName val="0"/>
              <c:showPercent val="0"/>
              <c:showBubbleSize val="0"/>
              <c:extLst>
                <c:ext xmlns:c15="http://schemas.microsoft.com/office/drawing/2012/chart" uri="{CE6537A1-D6FC-4f65-9D91-7224C49458BB}">
                  <c15:layout>
                    <c:manualLayout>
                      <c:w val="2.6579497620951197E-2"/>
                      <c:h val="4.9005284602308359E-2"/>
                    </c:manualLayout>
                  </c15:layout>
                </c:ext>
                <c:ext xmlns:c16="http://schemas.microsoft.com/office/drawing/2014/chart" uri="{C3380CC4-5D6E-409C-BE32-E72D297353CC}">
                  <c16:uniqueId val="{00000018-5C1C-4458-A867-43F9070E6F8E}"/>
                </c:ext>
              </c:extLst>
            </c:dLbl>
            <c:dLbl>
              <c:idx val="26"/>
              <c:layout>
                <c:manualLayout>
                  <c:x val="1.5923973655807538E-2"/>
                  <c:y val="-3.4694469519536142E-18"/>
                </c:manualLayout>
              </c:layout>
              <c:showLegendKey val="0"/>
              <c:showVal val="1"/>
              <c:showCatName val="0"/>
              <c:showSerName val="0"/>
              <c:showPercent val="0"/>
              <c:showBubbleSize val="0"/>
              <c:extLst>
                <c:ext xmlns:c15="http://schemas.microsoft.com/office/drawing/2012/chart" uri="{CE6537A1-D6FC-4f65-9D91-7224C49458BB}">
                  <c15:layout>
                    <c:manualLayout>
                      <c:w val="3.7978428511237179E-2"/>
                      <c:h val="4.9005284602308352E-2"/>
                    </c:manualLayout>
                  </c15:layout>
                </c:ext>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overflow" horzOverflow="overflow" vert="horz" wrap="square" lIns="38100" tIns="19050" rIns="38100" bIns="19050" anchor="t" anchorCtr="0">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27.10</c:v>
                </c:pt>
                <c:pt idx="1">
                  <c:v>28.10</c:v>
                </c:pt>
                <c:pt idx="2">
                  <c:v>29.10</c:v>
                </c:pt>
                <c:pt idx="3">
                  <c:v>30.10</c:v>
                </c:pt>
                <c:pt idx="4">
                  <c:v>31.10</c:v>
                </c:pt>
                <c:pt idx="5">
                  <c:v>1.11</c:v>
                </c:pt>
                <c:pt idx="6">
                  <c:v>Ma 2</c:v>
                </c:pt>
                <c:pt idx="7">
                  <c:v>3.11</c:v>
                </c:pt>
                <c:pt idx="8">
                  <c:v>4.11</c:v>
                </c:pt>
                <c:pt idx="9">
                  <c:v>5.11</c:v>
                </c:pt>
                <c:pt idx="10">
                  <c:v>6.11</c:v>
                </c:pt>
                <c:pt idx="11">
                  <c:v>7.11</c:v>
                </c:pt>
                <c:pt idx="12">
                  <c:v>8.11</c:v>
                </c:pt>
                <c:pt idx="13">
                  <c:v>Ma 9</c:v>
                </c:pt>
                <c:pt idx="14">
                  <c:v>10.11</c:v>
                </c:pt>
                <c:pt idx="15">
                  <c:v>11.11</c:v>
                </c:pt>
                <c:pt idx="16">
                  <c:v>12.11</c:v>
                </c:pt>
                <c:pt idx="17">
                  <c:v>13.11</c:v>
                </c:pt>
                <c:pt idx="18">
                  <c:v>14.11</c:v>
                </c:pt>
                <c:pt idx="19">
                  <c:v>15.11</c:v>
                </c:pt>
                <c:pt idx="20">
                  <c:v>Ma 16</c:v>
                </c:pt>
                <c:pt idx="21">
                  <c:v>17.11</c:v>
                </c:pt>
                <c:pt idx="22">
                  <c:v>18.11</c:v>
                </c:pt>
                <c:pt idx="23">
                  <c:v>19.11</c:v>
                </c:pt>
                <c:pt idx="24">
                  <c:v>20.11</c:v>
                </c:pt>
                <c:pt idx="25">
                  <c:v>21.11</c:v>
                </c:pt>
                <c:pt idx="26">
                  <c:v>22.11</c:v>
                </c:pt>
                <c:pt idx="27">
                  <c:v>Ma 23</c:v>
                </c:pt>
              </c:strCache>
            </c:str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1</c:v>
                </c:pt>
                <c:pt idx="18">
                  <c:v>0</c:v>
                </c:pt>
                <c:pt idx="19">
                  <c:v>0</c:v>
                </c:pt>
                <c:pt idx="20">
                  <c:v>1</c:v>
                </c:pt>
                <c:pt idx="21">
                  <c:v>0</c:v>
                </c:pt>
                <c:pt idx="22">
                  <c:v>0</c:v>
                </c:pt>
                <c:pt idx="23">
                  <c:v>7</c:v>
                </c:pt>
                <c:pt idx="24">
                  <c:v>57</c:v>
                </c:pt>
                <c:pt idx="25">
                  <c:v>48</c:v>
                </c:pt>
                <c:pt idx="26">
                  <c:v>132</c:v>
                </c:pt>
                <c:pt idx="27">
                  <c:v>107</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163287</xdr:rowOff>
    </xdr:from>
    <xdr:to>
      <xdr:col>10</xdr:col>
      <xdr:colOff>506186</xdr:colOff>
      <xdr:row>24</xdr:row>
      <xdr:rowOff>117022</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261257</xdr:colOff>
      <xdr:row>37</xdr:row>
      <xdr:rowOff>65313</xdr:rowOff>
    </xdr:from>
    <xdr:to>
      <xdr:col>14</xdr:col>
      <xdr:colOff>43543</xdr:colOff>
      <xdr:row>52</xdr:row>
      <xdr:rowOff>32656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272143</xdr:colOff>
          <xdr:row>5</xdr:row>
          <xdr:rowOff>16329</xdr:rowOff>
        </xdr:from>
        <xdr:to>
          <xdr:col>11</xdr:col>
          <xdr:colOff>625929</xdr:colOff>
          <xdr:row>7</xdr:row>
          <xdr:rowOff>21771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208108</xdr:colOff>
      <xdr:row>9</xdr:row>
      <xdr:rowOff>89646</xdr:rowOff>
    </xdr:from>
    <xdr:to>
      <xdr:col>14</xdr:col>
      <xdr:colOff>89647</xdr:colOff>
      <xdr:row>29</xdr:row>
      <xdr:rowOff>-1</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tabSelected="1" workbookViewId="0">
      <selection activeCell="A9" sqref="A9"/>
    </sheetView>
  </sheetViews>
  <sheetFormatPr defaultRowHeight="14.6"/>
  <sheetData>
    <row r="2" spans="1:7" ht="14.6" customHeight="1">
      <c r="A2" s="20" t="s">
        <v>10</v>
      </c>
      <c r="B2" s="21"/>
      <c r="C2" s="21"/>
      <c r="D2" s="21"/>
      <c r="E2" s="21"/>
      <c r="F2" s="21"/>
      <c r="G2" s="21"/>
    </row>
    <row r="3" spans="1:7">
      <c r="A3" s="21"/>
      <c r="B3" s="21"/>
      <c r="C3" s="21"/>
      <c r="D3" s="21"/>
      <c r="E3" s="21"/>
      <c r="F3" s="21"/>
      <c r="G3" s="21"/>
    </row>
    <row r="4" spans="1:7">
      <c r="A4" s="21"/>
      <c r="B4" s="21"/>
      <c r="C4" s="21"/>
      <c r="D4" s="21"/>
      <c r="E4" s="21"/>
      <c r="F4" s="21"/>
      <c r="G4" s="21"/>
    </row>
    <row r="5" spans="1:7">
      <c r="A5" s="21"/>
      <c r="B5" s="21"/>
      <c r="C5" s="21"/>
      <c r="D5" s="21"/>
      <c r="E5" s="21"/>
      <c r="F5" s="21"/>
      <c r="G5" s="21"/>
    </row>
    <row r="6" spans="1:7">
      <c r="A6" s="21"/>
      <c r="B6" s="21"/>
      <c r="C6" s="21"/>
      <c r="D6" s="21"/>
      <c r="E6" s="21"/>
      <c r="F6" s="21"/>
      <c r="G6" s="21"/>
    </row>
    <row r="7" spans="1:7">
      <c r="A7" s="21"/>
      <c r="B7" s="21"/>
      <c r="C7" s="21"/>
      <c r="D7" s="21"/>
      <c r="E7" s="21"/>
      <c r="F7" s="21"/>
      <c r="G7" s="21"/>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2" activePane="bottomLeft" state="frozen"/>
      <selection pane="bottomLeft" activeCell="A9" sqref="A9"/>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22289</v>
      </c>
      <c r="I1" s="8">
        <v>44159.486192129632</v>
      </c>
      <c r="J1" s="7">
        <f>MAX(Id)</f>
        <v>478</v>
      </c>
      <c r="K1" s="15">
        <f>VLOOKUP(J1,A:F,6,FALSE)</f>
        <v>44154.625</v>
      </c>
      <c r="L1" s="7" t="str">
        <f>"Päivittäisiä Korona tapauksia vuoden 2020 alusta lähtien "&amp;TEXT(MAX(F:F)-4,"p.kk")&amp;" saakka. Suurin arvo "&amp;J1&amp;", joka "&amp;TEXT(K1,"p.kk")&amp;". Uusimpien 4 päivien arvot tulevat viiveellä, joten ne jätetty pois kuvaajasta "&amp;TEXT(MAX(F:F),"p.kk")&amp;"."</f>
        <v>Päivittäisiä Korona tapauksia vuoden 2020 alusta lähtien 20.11 saakka. Suurin arvo 478, joka 19.11. Uusimpien 4 päivien arvot tulevat viiveellä, joten ne jätetty pois kuvaajasta 24.11.</v>
      </c>
      <c r="M1" s="7">
        <f>COUNT(Id)-5</f>
        <v>324</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1</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3880</v>
      </c>
    </row>
    <row r="31" spans="1:11">
      <c r="A31">
        <v>0</v>
      </c>
      <c r="B31" t="s">
        <v>263</v>
      </c>
      <c r="C31" t="s">
        <v>8</v>
      </c>
      <c r="E31" s="3">
        <f t="shared" si="0"/>
        <v>4</v>
      </c>
      <c r="F31" s="5">
        <v>43860.625</v>
      </c>
      <c r="H31" s="19" t="str">
        <f t="shared" si="1"/>
        <v/>
      </c>
      <c r="I31">
        <v>2</v>
      </c>
      <c r="J31" t="s">
        <v>303</v>
      </c>
      <c r="K31">
        <f t="shared" si="2"/>
        <v>3510</v>
      </c>
    </row>
    <row r="32" spans="1:11">
      <c r="A32">
        <v>0</v>
      </c>
      <c r="B32" t="s">
        <v>264</v>
      </c>
      <c r="C32" t="s">
        <v>8</v>
      </c>
      <c r="E32" s="3">
        <f t="shared" si="0"/>
        <v>5</v>
      </c>
      <c r="F32" s="5">
        <v>43861.625</v>
      </c>
      <c r="H32" s="19" t="str">
        <f t="shared" si="1"/>
        <v/>
      </c>
      <c r="I32">
        <v>3</v>
      </c>
      <c r="J32" t="s">
        <v>304</v>
      </c>
      <c r="K32">
        <f t="shared" si="2"/>
        <v>3589</v>
      </c>
    </row>
    <row r="33" spans="1:11">
      <c r="A33">
        <v>0</v>
      </c>
      <c r="B33" t="s">
        <v>265</v>
      </c>
      <c r="C33" t="s">
        <v>8</v>
      </c>
      <c r="E33" s="3">
        <f t="shared" si="0"/>
        <v>6</v>
      </c>
      <c r="F33" s="5">
        <v>43862.625</v>
      </c>
      <c r="H33" s="19" t="str">
        <f t="shared" si="1"/>
        <v/>
      </c>
      <c r="I33">
        <v>4</v>
      </c>
      <c r="J33" t="s">
        <v>305</v>
      </c>
      <c r="K33">
        <f t="shared" si="2"/>
        <v>3646</v>
      </c>
    </row>
    <row r="34" spans="1:11">
      <c r="A34">
        <v>0</v>
      </c>
      <c r="B34" t="s">
        <v>266</v>
      </c>
      <c r="C34" t="s">
        <v>8</v>
      </c>
      <c r="E34" s="3">
        <f t="shared" si="0"/>
        <v>7</v>
      </c>
      <c r="F34" s="5">
        <v>43863.625</v>
      </c>
      <c r="H34" s="19" t="str">
        <f t="shared" si="1"/>
        <v/>
      </c>
      <c r="I34">
        <v>5</v>
      </c>
      <c r="J34" t="s">
        <v>306</v>
      </c>
      <c r="K34">
        <f t="shared" si="2"/>
        <v>3323</v>
      </c>
    </row>
    <row r="35" spans="1:11">
      <c r="A35">
        <v>0</v>
      </c>
      <c r="B35" t="s">
        <v>267</v>
      </c>
      <c r="C35" t="s">
        <v>8</v>
      </c>
      <c r="E35" s="3">
        <f t="shared" si="0"/>
        <v>1</v>
      </c>
      <c r="F35" s="5">
        <v>43864.625</v>
      </c>
      <c r="H35" s="19" t="str">
        <f t="shared" si="1"/>
        <v>W6</v>
      </c>
      <c r="I35">
        <v>6</v>
      </c>
      <c r="J35" t="s">
        <v>307</v>
      </c>
      <c r="K35">
        <f t="shared" si="2"/>
        <v>2064</v>
      </c>
    </row>
    <row r="36" spans="1:11">
      <c r="A36">
        <v>0</v>
      </c>
      <c r="B36" t="s">
        <v>268</v>
      </c>
      <c r="C36" t="s">
        <v>8</v>
      </c>
      <c r="E36" s="3">
        <f t="shared" si="0"/>
        <v>2</v>
      </c>
      <c r="F36" s="5">
        <v>43865.625</v>
      </c>
      <c r="H36" s="19" t="str">
        <f t="shared" si="1"/>
        <v/>
      </c>
      <c r="I36">
        <v>7</v>
      </c>
      <c r="J36" t="s">
        <v>308</v>
      </c>
      <c r="K36">
        <f t="shared" si="2"/>
        <v>2277</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61</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103</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120</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199</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79</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129</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93</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124</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106</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56</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94</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93</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51</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3</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5</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6</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7</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13</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14</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43</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26</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33</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57</v>
      </c>
      <c r="B256" t="s">
        <v>209</v>
      </c>
      <c r="C256" t="s">
        <v>8</v>
      </c>
      <c r="E256" s="3">
        <f t="shared" si="7"/>
        <v>5</v>
      </c>
      <c r="F256" s="5">
        <v>44085.625</v>
      </c>
      <c r="G256" t="str">
        <f t="shared" si="10"/>
        <v/>
      </c>
      <c r="H256" s="19" t="str">
        <f t="shared" si="8"/>
        <v/>
      </c>
    </row>
    <row r="257" spans="1:8">
      <c r="A257">
        <v>41</v>
      </c>
      <c r="B257" t="s">
        <v>210</v>
      </c>
      <c r="C257" t="s">
        <v>8</v>
      </c>
      <c r="E257" s="3">
        <f t="shared" si="7"/>
        <v>6</v>
      </c>
      <c r="F257" s="5">
        <v>44086.625</v>
      </c>
      <c r="G257" t="str">
        <f t="shared" si="10"/>
        <v/>
      </c>
      <c r="H257" s="19" t="str">
        <f t="shared" si="8"/>
        <v/>
      </c>
    </row>
    <row r="258" spans="1:8">
      <c r="A258">
        <v>46</v>
      </c>
      <c r="B258" t="s">
        <v>211</v>
      </c>
      <c r="C258" t="s">
        <v>8</v>
      </c>
      <c r="E258" s="3">
        <f t="shared" si="7"/>
        <v>7</v>
      </c>
      <c r="F258" s="5">
        <v>44087.625</v>
      </c>
      <c r="G258" t="str">
        <f t="shared" si="10"/>
        <v/>
      </c>
      <c r="H258" s="19" t="str">
        <f t="shared" si="8"/>
        <v/>
      </c>
    </row>
    <row r="259" spans="1:8">
      <c r="A259">
        <v>59</v>
      </c>
      <c r="B259" t="s">
        <v>212</v>
      </c>
      <c r="C259" t="s">
        <v>8</v>
      </c>
      <c r="E259" s="3">
        <f t="shared" ref="E259:E324" si="11">WEEKDAY(F259,2)</f>
        <v>1</v>
      </c>
      <c r="F259" s="5">
        <v>44088.625</v>
      </c>
      <c r="G259" t="str">
        <f t="shared" si="10"/>
        <v>Maanantai</v>
      </c>
      <c r="H259" s="19" t="str">
        <f t="shared" ref="H259:H307" si="12">IF(WEEKDAY(F259,2)=1,"W"&amp;WEEKNUM(F259,14),"")</f>
        <v>W38</v>
      </c>
    </row>
    <row r="260" spans="1:8">
      <c r="A260">
        <v>53</v>
      </c>
      <c r="B260" t="s">
        <v>213</v>
      </c>
      <c r="C260" t="s">
        <v>8</v>
      </c>
      <c r="E260" s="3">
        <f t="shared" si="11"/>
        <v>2</v>
      </c>
      <c r="F260" s="5">
        <v>44089.625</v>
      </c>
      <c r="G260" t="str">
        <f t="shared" si="10"/>
        <v/>
      </c>
      <c r="H260" s="19" t="str">
        <f t="shared" si="12"/>
        <v/>
      </c>
    </row>
    <row r="261" spans="1:8">
      <c r="A261">
        <v>57</v>
      </c>
      <c r="B261" t="s">
        <v>214</v>
      </c>
      <c r="C261" t="s">
        <v>8</v>
      </c>
      <c r="E261" s="3">
        <f t="shared" si="11"/>
        <v>3</v>
      </c>
      <c r="F261" s="5">
        <v>44090.625</v>
      </c>
      <c r="G261" t="str">
        <f t="shared" si="10"/>
        <v/>
      </c>
      <c r="H261" s="19" t="str">
        <f t="shared" si="12"/>
        <v/>
      </c>
    </row>
    <row r="262" spans="1:8">
      <c r="A262">
        <v>85</v>
      </c>
      <c r="B262" t="s">
        <v>215</v>
      </c>
      <c r="C262" t="s">
        <v>8</v>
      </c>
      <c r="E262" s="3">
        <f t="shared" si="11"/>
        <v>4</v>
      </c>
      <c r="F262" s="5">
        <v>44091.625</v>
      </c>
      <c r="G262" t="str">
        <f t="shared" si="10"/>
        <v/>
      </c>
      <c r="H262" s="19" t="str">
        <f t="shared" si="12"/>
        <v/>
      </c>
    </row>
    <row r="263" spans="1:8">
      <c r="A263">
        <v>77</v>
      </c>
      <c r="B263" t="s">
        <v>216</v>
      </c>
      <c r="C263" t="s">
        <v>8</v>
      </c>
      <c r="E263" s="3">
        <f t="shared" si="11"/>
        <v>5</v>
      </c>
      <c r="F263" s="5">
        <v>44092.625</v>
      </c>
      <c r="G263" t="str">
        <f t="shared" si="10"/>
        <v/>
      </c>
      <c r="H263" s="19" t="str">
        <f t="shared" si="12"/>
        <v/>
      </c>
    </row>
    <row r="264" spans="1:8">
      <c r="A264">
        <v>61</v>
      </c>
      <c r="B264" t="s">
        <v>217</v>
      </c>
      <c r="C264" t="s">
        <v>8</v>
      </c>
      <c r="E264" s="3">
        <f t="shared" si="11"/>
        <v>6</v>
      </c>
      <c r="F264" s="5">
        <v>44093.625</v>
      </c>
      <c r="G264" t="str">
        <f t="shared" si="10"/>
        <v/>
      </c>
      <c r="H264" s="19" t="str">
        <f t="shared" si="12"/>
        <v/>
      </c>
    </row>
    <row r="265" spans="1:8">
      <c r="A265">
        <v>74</v>
      </c>
      <c r="B265" t="s">
        <v>218</v>
      </c>
      <c r="C265" t="s">
        <v>8</v>
      </c>
      <c r="E265" s="3">
        <f t="shared" si="11"/>
        <v>7</v>
      </c>
      <c r="F265" s="5">
        <v>44094.625</v>
      </c>
      <c r="G265" t="str">
        <f t="shared" si="10"/>
        <v/>
      </c>
      <c r="H265" s="19" t="str">
        <f t="shared" si="12"/>
        <v/>
      </c>
    </row>
    <row r="266" spans="1:8">
      <c r="A266">
        <v>120</v>
      </c>
      <c r="B266" t="s">
        <v>219</v>
      </c>
      <c r="C266" t="s">
        <v>8</v>
      </c>
      <c r="E266" s="3">
        <f t="shared" si="11"/>
        <v>1</v>
      </c>
      <c r="F266" s="5">
        <v>44095.625</v>
      </c>
      <c r="G266" t="str">
        <f t="shared" si="10"/>
        <v>Maanantai</v>
      </c>
      <c r="H266" s="19" t="str">
        <f t="shared" si="12"/>
        <v>W39</v>
      </c>
    </row>
    <row r="267" spans="1:8">
      <c r="A267">
        <v>108</v>
      </c>
      <c r="B267" t="s">
        <v>220</v>
      </c>
      <c r="C267" t="s">
        <v>8</v>
      </c>
      <c r="E267" s="3">
        <f t="shared" si="11"/>
        <v>2</v>
      </c>
      <c r="F267" s="5">
        <v>44096.625</v>
      </c>
      <c r="G267" t="str">
        <f t="shared" si="10"/>
        <v/>
      </c>
      <c r="H267" s="19" t="str">
        <f t="shared" si="12"/>
        <v/>
      </c>
    </row>
    <row r="268" spans="1:8">
      <c r="A268">
        <v>117</v>
      </c>
      <c r="B268" t="s">
        <v>221</v>
      </c>
      <c r="C268" t="s">
        <v>8</v>
      </c>
      <c r="E268" s="3">
        <f t="shared" si="11"/>
        <v>3</v>
      </c>
      <c r="F268" s="5">
        <v>44097.625</v>
      </c>
      <c r="G268" t="str">
        <f t="shared" si="10"/>
        <v/>
      </c>
      <c r="H268" s="19" t="str">
        <f t="shared" si="12"/>
        <v/>
      </c>
    </row>
    <row r="269" spans="1:8">
      <c r="A269">
        <v>97</v>
      </c>
      <c r="B269" t="s">
        <v>222</v>
      </c>
      <c r="C269" t="s">
        <v>8</v>
      </c>
      <c r="E269" s="3">
        <f t="shared" si="11"/>
        <v>4</v>
      </c>
      <c r="F269" s="5">
        <v>44098.625</v>
      </c>
      <c r="G269" t="str">
        <f t="shared" si="10"/>
        <v/>
      </c>
      <c r="H269" s="19" t="str">
        <f t="shared" si="12"/>
        <v/>
      </c>
    </row>
    <row r="270" spans="1:8">
      <c r="A270">
        <v>127</v>
      </c>
      <c r="B270" t="s">
        <v>223</v>
      </c>
      <c r="C270" t="s">
        <v>8</v>
      </c>
      <c r="E270" s="3">
        <f t="shared" si="11"/>
        <v>5</v>
      </c>
      <c r="F270" s="5">
        <v>44099.625</v>
      </c>
      <c r="G270" t="str">
        <f t="shared" si="10"/>
        <v/>
      </c>
      <c r="H270" s="19" t="str">
        <f t="shared" si="12"/>
        <v/>
      </c>
    </row>
    <row r="271" spans="1:8">
      <c r="A271">
        <v>74</v>
      </c>
      <c r="B271" t="s">
        <v>224</v>
      </c>
      <c r="C271" t="s">
        <v>8</v>
      </c>
      <c r="E271" s="3">
        <f t="shared" si="11"/>
        <v>6</v>
      </c>
      <c r="F271" s="5">
        <v>44100.625</v>
      </c>
      <c r="G271" t="str">
        <f t="shared" si="10"/>
        <v/>
      </c>
      <c r="H271" s="19" t="str">
        <f t="shared" si="12"/>
        <v/>
      </c>
    </row>
    <row r="272" spans="1:8">
      <c r="A272">
        <v>71</v>
      </c>
      <c r="B272" t="s">
        <v>225</v>
      </c>
      <c r="C272" t="s">
        <v>8</v>
      </c>
      <c r="E272" s="3">
        <f t="shared" si="11"/>
        <v>7</v>
      </c>
      <c r="F272" s="5">
        <v>44101.625</v>
      </c>
      <c r="G272" t="str">
        <f t="shared" si="10"/>
        <v/>
      </c>
      <c r="H272" s="19" t="str">
        <f t="shared" si="12"/>
        <v/>
      </c>
    </row>
    <row r="273" spans="1:8">
      <c r="A273">
        <v>122</v>
      </c>
      <c r="B273" t="s">
        <v>226</v>
      </c>
      <c r="C273" t="s">
        <v>8</v>
      </c>
      <c r="E273" s="3">
        <f t="shared" si="11"/>
        <v>1</v>
      </c>
      <c r="F273" s="5">
        <v>44102.625</v>
      </c>
      <c r="G273" t="str">
        <f t="shared" si="10"/>
        <v>Maanantai</v>
      </c>
      <c r="H273" s="19" t="str">
        <f t="shared" si="12"/>
        <v>W40</v>
      </c>
    </row>
    <row r="274" spans="1:8">
      <c r="A274">
        <v>134</v>
      </c>
      <c r="B274" t="s">
        <v>227</v>
      </c>
      <c r="C274" t="s">
        <v>8</v>
      </c>
      <c r="E274" s="3">
        <f t="shared" si="11"/>
        <v>2</v>
      </c>
      <c r="F274" s="5">
        <v>44103.625</v>
      </c>
      <c r="G274" t="str">
        <f t="shared" si="10"/>
        <v/>
      </c>
      <c r="H274" s="19" t="str">
        <f t="shared" si="12"/>
        <v/>
      </c>
    </row>
    <row r="275" spans="1:8">
      <c r="A275">
        <v>165</v>
      </c>
      <c r="B275" t="s">
        <v>229</v>
      </c>
      <c r="C275" t="s">
        <v>8</v>
      </c>
      <c r="E275" s="3">
        <f t="shared" si="11"/>
        <v>3</v>
      </c>
      <c r="F275" s="5">
        <v>44104.625</v>
      </c>
      <c r="G275" t="str">
        <f t="shared" si="10"/>
        <v/>
      </c>
      <c r="H275" s="19" t="str">
        <f t="shared" si="12"/>
        <v/>
      </c>
    </row>
    <row r="276" spans="1:8">
      <c r="A276">
        <v>188</v>
      </c>
      <c r="B276" t="s">
        <v>231</v>
      </c>
      <c r="C276" t="s">
        <v>8</v>
      </c>
      <c r="E276" s="3">
        <f t="shared" si="11"/>
        <v>4</v>
      </c>
      <c r="F276" s="5">
        <v>44105.625</v>
      </c>
      <c r="G276" t="str">
        <f t="shared" si="10"/>
        <v/>
      </c>
      <c r="H276" s="19" t="str">
        <f t="shared" si="12"/>
        <v/>
      </c>
    </row>
    <row r="277" spans="1:8">
      <c r="A277">
        <v>189</v>
      </c>
      <c r="B277" t="s">
        <v>232</v>
      </c>
      <c r="C277" t="s">
        <v>8</v>
      </c>
      <c r="E277" s="3">
        <f t="shared" si="11"/>
        <v>5</v>
      </c>
      <c r="F277" s="5">
        <v>44106.625</v>
      </c>
      <c r="G277" t="str">
        <f t="shared" si="10"/>
        <v/>
      </c>
      <c r="H277" s="19" t="str">
        <f t="shared" si="12"/>
        <v/>
      </c>
    </row>
    <row r="278" spans="1:8">
      <c r="A278">
        <v>170</v>
      </c>
      <c r="B278" t="s">
        <v>234</v>
      </c>
      <c r="C278" t="s">
        <v>8</v>
      </c>
      <c r="E278" s="3">
        <f t="shared" si="11"/>
        <v>6</v>
      </c>
      <c r="F278" s="5">
        <v>44107.625</v>
      </c>
      <c r="G278" t="str">
        <f t="shared" si="10"/>
        <v/>
      </c>
      <c r="H278" s="19" t="str">
        <f t="shared" si="12"/>
        <v/>
      </c>
    </row>
    <row r="279" spans="1:8">
      <c r="A279">
        <v>146</v>
      </c>
      <c r="B279" t="s">
        <v>293</v>
      </c>
      <c r="C279" t="s">
        <v>8</v>
      </c>
      <c r="E279" s="3">
        <f t="shared" si="11"/>
        <v>7</v>
      </c>
      <c r="F279" s="5">
        <v>44108.625</v>
      </c>
      <c r="G279" t="str">
        <f t="shared" si="10"/>
        <v/>
      </c>
      <c r="H279" s="19" t="str">
        <f t="shared" si="12"/>
        <v/>
      </c>
    </row>
    <row r="280" spans="1:8" s="10" customFormat="1">
      <c r="A280" s="10">
        <v>289</v>
      </c>
      <c r="B280" s="10" t="s">
        <v>294</v>
      </c>
      <c r="C280" s="10" t="s">
        <v>8</v>
      </c>
      <c r="E280" s="14">
        <f t="shared" si="11"/>
        <v>1</v>
      </c>
      <c r="F280" s="18">
        <v>44109.625</v>
      </c>
      <c r="G280" s="10" t="str">
        <f t="shared" si="10"/>
        <v>Maanantai</v>
      </c>
      <c r="H280" s="19" t="str">
        <f t="shared" si="12"/>
        <v>W41</v>
      </c>
    </row>
    <row r="281" spans="1:8">
      <c r="A281">
        <v>303</v>
      </c>
      <c r="B281" t="s">
        <v>295</v>
      </c>
      <c r="C281" t="s">
        <v>8</v>
      </c>
      <c r="E281" s="3">
        <f t="shared" si="11"/>
        <v>2</v>
      </c>
      <c r="F281" s="5">
        <v>44110.625</v>
      </c>
      <c r="G281" t="str">
        <f t="shared" si="10"/>
        <v/>
      </c>
      <c r="H281" s="19" t="str">
        <f t="shared" si="12"/>
        <v/>
      </c>
    </row>
    <row r="282" spans="1:8">
      <c r="A282">
        <v>306</v>
      </c>
      <c r="B282" t="s">
        <v>296</v>
      </c>
      <c r="C282" t="s">
        <v>8</v>
      </c>
      <c r="E282" s="3">
        <f t="shared" si="11"/>
        <v>3</v>
      </c>
      <c r="F282" s="5">
        <v>44111.625</v>
      </c>
      <c r="G282" t="str">
        <f t="shared" si="10"/>
        <v/>
      </c>
      <c r="H282" s="19" t="str">
        <f t="shared" si="12"/>
        <v/>
      </c>
    </row>
    <row r="283" spans="1:8">
      <c r="A283">
        <v>260</v>
      </c>
      <c r="B283" t="s">
        <v>297</v>
      </c>
      <c r="C283" t="s">
        <v>8</v>
      </c>
      <c r="E283" s="3">
        <f t="shared" si="11"/>
        <v>4</v>
      </c>
      <c r="F283" s="5">
        <v>44112.625</v>
      </c>
      <c r="G283" t="str">
        <f t="shared" si="10"/>
        <v/>
      </c>
      <c r="H283" s="19" t="str">
        <f t="shared" si="12"/>
        <v/>
      </c>
    </row>
    <row r="284" spans="1:8">
      <c r="A284">
        <v>226</v>
      </c>
      <c r="B284" t="s">
        <v>298</v>
      </c>
      <c r="C284" t="s">
        <v>8</v>
      </c>
      <c r="E284" s="3">
        <f t="shared" si="11"/>
        <v>5</v>
      </c>
      <c r="F284" s="5">
        <v>44113.625</v>
      </c>
      <c r="G284" t="str">
        <f t="shared" si="10"/>
        <v/>
      </c>
      <c r="H284" s="19" t="str">
        <f t="shared" si="12"/>
        <v/>
      </c>
    </row>
    <row r="285" spans="1:8">
      <c r="A285">
        <v>109</v>
      </c>
      <c r="B285" t="s">
        <v>310</v>
      </c>
      <c r="C285" t="s">
        <v>8</v>
      </c>
      <c r="E285" s="3">
        <f t="shared" si="11"/>
        <v>6</v>
      </c>
      <c r="F285" s="5">
        <v>44114.625</v>
      </c>
      <c r="G285" t="str">
        <f t="shared" si="10"/>
        <v/>
      </c>
      <c r="H285" s="19" t="str">
        <f t="shared" si="12"/>
        <v/>
      </c>
    </row>
    <row r="286" spans="1:8">
      <c r="A286">
        <v>130</v>
      </c>
      <c r="B286" t="s">
        <v>311</v>
      </c>
      <c r="C286" t="s">
        <v>8</v>
      </c>
      <c r="E286" s="3">
        <f t="shared" si="11"/>
        <v>7</v>
      </c>
      <c r="F286" s="5">
        <v>44115.625</v>
      </c>
      <c r="G286" t="str">
        <f t="shared" si="10"/>
        <v/>
      </c>
      <c r="H286" s="19" t="str">
        <f t="shared" si="12"/>
        <v/>
      </c>
    </row>
    <row r="287" spans="1:8" s="10" customFormat="1">
      <c r="A287" s="10">
        <v>254</v>
      </c>
      <c r="B287" s="10" t="s">
        <v>315</v>
      </c>
      <c r="C287" s="10" t="s">
        <v>8</v>
      </c>
      <c r="E287" s="14">
        <f t="shared" si="11"/>
        <v>1</v>
      </c>
      <c r="F287" s="18">
        <v>44116.625</v>
      </c>
      <c r="G287" s="10" t="str">
        <f t="shared" si="10"/>
        <v>Maanantai</v>
      </c>
      <c r="H287" s="19" t="str">
        <f t="shared" si="12"/>
        <v>W42</v>
      </c>
    </row>
    <row r="288" spans="1:8">
      <c r="A288">
        <v>197</v>
      </c>
      <c r="B288" t="s">
        <v>316</v>
      </c>
      <c r="C288" t="s">
        <v>8</v>
      </c>
      <c r="E288" s="3">
        <f t="shared" si="11"/>
        <v>2</v>
      </c>
      <c r="F288" s="5">
        <v>44117.625</v>
      </c>
      <c r="G288" t="str">
        <f t="shared" si="10"/>
        <v/>
      </c>
      <c r="H288" s="19" t="str">
        <f t="shared" si="12"/>
        <v/>
      </c>
    </row>
    <row r="289" spans="1:8">
      <c r="A289">
        <v>201</v>
      </c>
      <c r="B289" t="s">
        <v>317</v>
      </c>
      <c r="C289" t="s">
        <v>8</v>
      </c>
      <c r="E289" s="3">
        <f t="shared" si="11"/>
        <v>3</v>
      </c>
      <c r="F289" s="5">
        <v>44118.625</v>
      </c>
      <c r="G289" t="str">
        <f t="shared" si="10"/>
        <v/>
      </c>
      <c r="H289" s="19" t="str">
        <f t="shared" si="12"/>
        <v/>
      </c>
    </row>
    <row r="290" spans="1:8">
      <c r="A290">
        <v>190</v>
      </c>
      <c r="B290" t="s">
        <v>318</v>
      </c>
      <c r="C290" t="s">
        <v>8</v>
      </c>
      <c r="E290" s="3">
        <f t="shared" si="11"/>
        <v>4</v>
      </c>
      <c r="F290" s="5">
        <v>44119.625</v>
      </c>
      <c r="G290" t="str">
        <f t="shared" si="10"/>
        <v/>
      </c>
      <c r="H290" s="19" t="str">
        <f t="shared" si="12"/>
        <v/>
      </c>
    </row>
    <row r="291" spans="1:8">
      <c r="A291">
        <v>192</v>
      </c>
      <c r="B291" t="s">
        <v>319</v>
      </c>
      <c r="C291" t="s">
        <v>8</v>
      </c>
      <c r="E291" s="3">
        <f t="shared" si="11"/>
        <v>5</v>
      </c>
      <c r="F291" s="5">
        <v>44120.625</v>
      </c>
      <c r="G291" t="str">
        <f t="shared" si="10"/>
        <v/>
      </c>
      <c r="H291" s="19" t="str">
        <f t="shared" si="12"/>
        <v/>
      </c>
    </row>
    <row r="292" spans="1:8">
      <c r="A292">
        <v>100</v>
      </c>
      <c r="B292" t="s">
        <v>320</v>
      </c>
      <c r="C292" t="s">
        <v>8</v>
      </c>
      <c r="E292" s="3">
        <f t="shared" si="11"/>
        <v>6</v>
      </c>
      <c r="F292" s="5">
        <v>44121.625</v>
      </c>
      <c r="G292" t="str">
        <f t="shared" si="10"/>
        <v/>
      </c>
      <c r="H292" s="19" t="str">
        <f t="shared" si="12"/>
        <v/>
      </c>
    </row>
    <row r="293" spans="1:8">
      <c r="A293">
        <v>127</v>
      </c>
      <c r="B293" t="s">
        <v>321</v>
      </c>
      <c r="C293" t="s">
        <v>8</v>
      </c>
      <c r="E293" s="3">
        <f t="shared" si="11"/>
        <v>7</v>
      </c>
      <c r="F293" s="5">
        <v>44122.625</v>
      </c>
      <c r="G293" t="str">
        <f t="shared" si="10"/>
        <v/>
      </c>
      <c r="H293" s="19" t="str">
        <f t="shared" si="12"/>
        <v/>
      </c>
    </row>
    <row r="294" spans="1:8" s="10" customFormat="1">
      <c r="A294" s="10">
        <v>243</v>
      </c>
      <c r="B294" s="10" t="s">
        <v>322</v>
      </c>
      <c r="C294" s="10" t="s">
        <v>8</v>
      </c>
      <c r="E294" s="14">
        <f t="shared" si="11"/>
        <v>1</v>
      </c>
      <c r="F294" s="18">
        <v>44123.625</v>
      </c>
      <c r="G294" s="10" t="str">
        <f t="shared" si="10"/>
        <v>Maanantai</v>
      </c>
      <c r="H294" s="19" t="str">
        <f t="shared" si="12"/>
        <v>W43</v>
      </c>
    </row>
    <row r="295" spans="1:8">
      <c r="A295">
        <v>163</v>
      </c>
      <c r="B295" t="s">
        <v>323</v>
      </c>
      <c r="C295" t="s">
        <v>8</v>
      </c>
      <c r="E295" s="3">
        <f t="shared" si="11"/>
        <v>2</v>
      </c>
      <c r="F295" s="5">
        <v>44124.625</v>
      </c>
      <c r="G295" t="str">
        <f t="shared" si="10"/>
        <v/>
      </c>
      <c r="H295" s="19" t="str">
        <f t="shared" si="12"/>
        <v/>
      </c>
    </row>
    <row r="296" spans="1:8">
      <c r="A296">
        <v>190</v>
      </c>
      <c r="B296" t="s">
        <v>324</v>
      </c>
      <c r="C296" t="s">
        <v>8</v>
      </c>
      <c r="E296" s="3">
        <f t="shared" si="11"/>
        <v>3</v>
      </c>
      <c r="F296" s="5">
        <v>44125.625</v>
      </c>
      <c r="G296" t="str">
        <f t="shared" si="10"/>
        <v/>
      </c>
      <c r="H296" s="19" t="str">
        <f t="shared" si="12"/>
        <v/>
      </c>
    </row>
    <row r="297" spans="1:8">
      <c r="A297">
        <v>218</v>
      </c>
      <c r="B297" t="s">
        <v>325</v>
      </c>
      <c r="C297" t="s">
        <v>8</v>
      </c>
      <c r="E297" s="3">
        <f t="shared" si="11"/>
        <v>4</v>
      </c>
      <c r="F297" s="5">
        <v>44126.625</v>
      </c>
      <c r="G297" t="str">
        <f t="shared" si="10"/>
        <v/>
      </c>
      <c r="H297" s="19" t="str">
        <f t="shared" si="12"/>
        <v/>
      </c>
    </row>
    <row r="298" spans="1:8">
      <c r="A298">
        <v>192</v>
      </c>
      <c r="B298" t="s">
        <v>326</v>
      </c>
      <c r="C298" t="s">
        <v>8</v>
      </c>
      <c r="E298" s="3">
        <f t="shared" si="11"/>
        <v>5</v>
      </c>
      <c r="F298" s="5">
        <v>44127.625</v>
      </c>
      <c r="G298" t="str">
        <f t="shared" si="10"/>
        <v/>
      </c>
      <c r="H298" s="19" t="str">
        <f t="shared" si="12"/>
        <v/>
      </c>
    </row>
    <row r="299" spans="1:8">
      <c r="A299">
        <v>108</v>
      </c>
      <c r="B299" t="s">
        <v>327</v>
      </c>
      <c r="C299" t="s">
        <v>8</v>
      </c>
      <c r="E299" s="3">
        <f t="shared" si="11"/>
        <v>6</v>
      </c>
      <c r="F299" s="5">
        <v>44128.625</v>
      </c>
      <c r="G299" t="str">
        <f t="shared" si="10"/>
        <v/>
      </c>
      <c r="H299" s="19" t="str">
        <f t="shared" si="12"/>
        <v/>
      </c>
    </row>
    <row r="300" spans="1:8">
      <c r="A300">
        <v>123</v>
      </c>
      <c r="B300" t="s">
        <v>328</v>
      </c>
      <c r="C300" t="s">
        <v>8</v>
      </c>
      <c r="E300" s="3">
        <f t="shared" si="11"/>
        <v>7</v>
      </c>
      <c r="F300" s="5">
        <v>44129.625</v>
      </c>
      <c r="G300" t="str">
        <f t="shared" si="10"/>
        <v/>
      </c>
      <c r="H300" s="19" t="str">
        <f t="shared" si="12"/>
        <v/>
      </c>
    </row>
    <row r="301" spans="1:8" s="10" customFormat="1">
      <c r="A301" s="10">
        <v>256</v>
      </c>
      <c r="B301" s="10" t="s">
        <v>330</v>
      </c>
      <c r="C301" s="10" t="s">
        <v>8</v>
      </c>
      <c r="E301" s="14">
        <f t="shared" si="11"/>
        <v>1</v>
      </c>
      <c r="F301" s="18">
        <v>44130.625</v>
      </c>
      <c r="G301" s="10" t="str">
        <f t="shared" si="10"/>
        <v>Maanantai</v>
      </c>
      <c r="H301" s="19" t="str">
        <f t="shared" si="12"/>
        <v>W44</v>
      </c>
    </row>
    <row r="302" spans="1:8">
      <c r="A302">
        <v>230</v>
      </c>
      <c r="B302" t="s">
        <v>331</v>
      </c>
      <c r="C302" t="s">
        <v>8</v>
      </c>
      <c r="E302" s="3">
        <f t="shared" si="11"/>
        <v>2</v>
      </c>
      <c r="F302" s="5">
        <v>44131.625</v>
      </c>
      <c r="G302" t="str">
        <f t="shared" si="10"/>
        <v/>
      </c>
      <c r="H302" s="19" t="str">
        <f t="shared" si="12"/>
        <v/>
      </c>
    </row>
    <row r="303" spans="1:8">
      <c r="A303">
        <v>240</v>
      </c>
      <c r="B303" t="s">
        <v>332</v>
      </c>
      <c r="C303" t="s">
        <v>8</v>
      </c>
      <c r="E303" s="3">
        <f t="shared" si="11"/>
        <v>3</v>
      </c>
      <c r="F303" s="5">
        <v>44132.625</v>
      </c>
      <c r="G303" t="str">
        <f t="shared" si="10"/>
        <v/>
      </c>
      <c r="H303" s="19" t="str">
        <f t="shared" si="12"/>
        <v/>
      </c>
    </row>
    <row r="304" spans="1:8">
      <c r="A304">
        <v>237</v>
      </c>
      <c r="B304" t="s">
        <v>333</v>
      </c>
      <c r="C304" t="s">
        <v>8</v>
      </c>
      <c r="E304" s="3">
        <f t="shared" si="11"/>
        <v>4</v>
      </c>
      <c r="F304" s="5">
        <v>44133.625</v>
      </c>
      <c r="G304" t="str">
        <f t="shared" si="10"/>
        <v/>
      </c>
      <c r="H304" s="19" t="str">
        <f t="shared" si="12"/>
        <v/>
      </c>
    </row>
    <row r="305" spans="1:8">
      <c r="A305">
        <v>219</v>
      </c>
      <c r="B305" t="s">
        <v>334</v>
      </c>
      <c r="C305" t="s">
        <v>8</v>
      </c>
      <c r="E305" s="3">
        <f t="shared" si="11"/>
        <v>5</v>
      </c>
      <c r="F305" s="5">
        <v>44134.625</v>
      </c>
      <c r="G305" t="str">
        <f t="shared" si="10"/>
        <v/>
      </c>
      <c r="H305" s="19" t="str">
        <f t="shared" si="12"/>
        <v/>
      </c>
    </row>
    <row r="306" spans="1:8">
      <c r="A306">
        <v>121</v>
      </c>
      <c r="B306" t="s">
        <v>335</v>
      </c>
      <c r="C306" t="s">
        <v>8</v>
      </c>
      <c r="E306" s="3">
        <f t="shared" si="11"/>
        <v>6</v>
      </c>
      <c r="F306" s="5">
        <v>44135.625</v>
      </c>
      <c r="G306" t="str">
        <f t="shared" si="10"/>
        <v/>
      </c>
      <c r="H306" s="19" t="str">
        <f t="shared" si="12"/>
        <v/>
      </c>
    </row>
    <row r="307" spans="1:8">
      <c r="A307">
        <v>150</v>
      </c>
      <c r="B307" t="s">
        <v>336</v>
      </c>
      <c r="C307" t="s">
        <v>8</v>
      </c>
      <c r="E307" s="3">
        <f t="shared" si="11"/>
        <v>7</v>
      </c>
      <c r="F307" s="5">
        <v>44136.625</v>
      </c>
      <c r="G307" t="str">
        <f t="shared" si="10"/>
        <v/>
      </c>
      <c r="H307" s="19" t="str">
        <f t="shared" si="12"/>
        <v/>
      </c>
    </row>
    <row r="308" spans="1:8" s="10" customFormat="1">
      <c r="A308" s="10">
        <v>281</v>
      </c>
      <c r="B308" s="10" t="s">
        <v>337</v>
      </c>
      <c r="C308" s="10" t="s">
        <v>8</v>
      </c>
      <c r="E308" s="14">
        <f t="shared" si="11"/>
        <v>1</v>
      </c>
      <c r="F308" s="18">
        <v>44137.625</v>
      </c>
      <c r="G308" s="10" t="str">
        <f>IF(WEEKDAY(F308,2)=1,"Maanantai","")</f>
        <v>Maanantai</v>
      </c>
      <c r="H308" s="19" t="str">
        <f>IF(WEEKDAY(F308,2)=1,"W"&amp;WEEKNUM(F308,14),"")</f>
        <v>W45</v>
      </c>
    </row>
    <row r="309" spans="1:8">
      <c r="A309">
        <v>241</v>
      </c>
      <c r="B309" t="s">
        <v>338</v>
      </c>
      <c r="C309" t="s">
        <v>8</v>
      </c>
      <c r="E309" s="3">
        <f t="shared" si="11"/>
        <v>2</v>
      </c>
      <c r="F309" s="5">
        <v>44138.625</v>
      </c>
      <c r="G309" s="10" t="str">
        <f t="shared" ref="G309:G344" si="13">IF(WEEKDAY(F309,2)=1,"Maanantai","")</f>
        <v/>
      </c>
      <c r="H309" s="19" t="str">
        <f t="shared" ref="H309:H366" si="14">IF(WEEKDAY(F309,2)=1,"W"&amp;WEEKNUM(F309,14),"")</f>
        <v/>
      </c>
    </row>
    <row r="310" spans="1:8">
      <c r="A310">
        <v>210</v>
      </c>
      <c r="B310" t="s">
        <v>339</v>
      </c>
      <c r="C310" t="s">
        <v>8</v>
      </c>
      <c r="E310" s="3">
        <f t="shared" si="11"/>
        <v>3</v>
      </c>
      <c r="F310" s="5">
        <v>44139.625</v>
      </c>
      <c r="G310" s="10" t="str">
        <f t="shared" si="13"/>
        <v/>
      </c>
      <c r="H310" s="19" t="str">
        <f t="shared" si="14"/>
        <v/>
      </c>
    </row>
    <row r="311" spans="1:8">
      <c r="A311">
        <v>221</v>
      </c>
      <c r="B311" t="s">
        <v>340</v>
      </c>
      <c r="C311" t="s">
        <v>8</v>
      </c>
      <c r="E311" s="3">
        <f t="shared" si="11"/>
        <v>4</v>
      </c>
      <c r="F311" s="5">
        <v>44140.625</v>
      </c>
      <c r="G311" s="10" t="str">
        <f t="shared" si="13"/>
        <v/>
      </c>
      <c r="H311" s="19" t="str">
        <f t="shared" si="14"/>
        <v/>
      </c>
    </row>
    <row r="312" spans="1:8">
      <c r="A312">
        <v>194</v>
      </c>
      <c r="B312" t="s">
        <v>341</v>
      </c>
      <c r="C312" t="s">
        <v>8</v>
      </c>
      <c r="E312" s="3">
        <f t="shared" si="11"/>
        <v>5</v>
      </c>
      <c r="F312" s="5">
        <v>44141.625</v>
      </c>
      <c r="G312" s="10" t="str">
        <f t="shared" si="13"/>
        <v/>
      </c>
      <c r="H312" s="19" t="str">
        <f t="shared" si="14"/>
        <v/>
      </c>
    </row>
    <row r="313" spans="1:8">
      <c r="A313">
        <v>128</v>
      </c>
      <c r="B313" t="s">
        <v>342</v>
      </c>
      <c r="C313" t="s">
        <v>8</v>
      </c>
      <c r="E313" s="3">
        <f t="shared" si="11"/>
        <v>6</v>
      </c>
      <c r="F313" s="5">
        <v>44142.625</v>
      </c>
      <c r="G313" s="10" t="str">
        <f t="shared" si="13"/>
        <v/>
      </c>
      <c r="H313" s="19" t="str">
        <f t="shared" si="14"/>
        <v/>
      </c>
    </row>
    <row r="314" spans="1:8">
      <c r="A314">
        <v>133</v>
      </c>
      <c r="B314" t="s">
        <v>343</v>
      </c>
      <c r="C314" t="s">
        <v>8</v>
      </c>
      <c r="E314" s="3">
        <f t="shared" si="11"/>
        <v>7</v>
      </c>
      <c r="F314" s="5">
        <v>44143.625</v>
      </c>
      <c r="G314" s="10" t="str">
        <f t="shared" si="13"/>
        <v/>
      </c>
      <c r="H314" s="19" t="str">
        <f t="shared" si="14"/>
        <v/>
      </c>
    </row>
    <row r="315" spans="1:8">
      <c r="A315">
        <v>275</v>
      </c>
      <c r="B315" t="s">
        <v>344</v>
      </c>
      <c r="C315" t="s">
        <v>8</v>
      </c>
      <c r="E315" s="3">
        <f t="shared" si="11"/>
        <v>1</v>
      </c>
      <c r="F315" s="5">
        <v>44144.625</v>
      </c>
      <c r="G315" s="10" t="str">
        <f t="shared" si="13"/>
        <v>Maanantai</v>
      </c>
      <c r="H315" s="19" t="str">
        <f t="shared" si="14"/>
        <v>W46</v>
      </c>
    </row>
    <row r="316" spans="1:8">
      <c r="A316">
        <v>205</v>
      </c>
      <c r="B316" t="s">
        <v>345</v>
      </c>
      <c r="C316" t="s">
        <v>8</v>
      </c>
      <c r="E316" s="3">
        <f t="shared" si="11"/>
        <v>2</v>
      </c>
      <c r="F316" s="5">
        <v>44145.625</v>
      </c>
      <c r="G316" s="10" t="str">
        <f t="shared" si="13"/>
        <v/>
      </c>
      <c r="H316" s="19" t="str">
        <f t="shared" si="14"/>
        <v/>
      </c>
    </row>
    <row r="317" spans="1:8">
      <c r="A317">
        <v>291</v>
      </c>
      <c r="B317" t="s">
        <v>346</v>
      </c>
      <c r="C317" t="s">
        <v>8</v>
      </c>
      <c r="E317" s="3">
        <f t="shared" si="11"/>
        <v>3</v>
      </c>
      <c r="F317" s="5">
        <v>44146.625</v>
      </c>
      <c r="G317" s="10" t="str">
        <f t="shared" si="13"/>
        <v/>
      </c>
      <c r="H317" s="19" t="str">
        <f t="shared" si="14"/>
        <v/>
      </c>
    </row>
    <row r="318" spans="1:8">
      <c r="A318">
        <v>277</v>
      </c>
      <c r="B318" t="s">
        <v>347</v>
      </c>
      <c r="C318" t="s">
        <v>8</v>
      </c>
      <c r="E318" s="3">
        <f t="shared" si="11"/>
        <v>4</v>
      </c>
      <c r="F318" s="5">
        <v>44147.625</v>
      </c>
      <c r="G318" s="10" t="str">
        <f t="shared" si="13"/>
        <v/>
      </c>
      <c r="H318" s="19" t="str">
        <f t="shared" si="14"/>
        <v/>
      </c>
    </row>
    <row r="319" spans="1:8">
      <c r="A319">
        <v>262</v>
      </c>
      <c r="B319" t="s">
        <v>348</v>
      </c>
      <c r="C319" t="s">
        <v>8</v>
      </c>
      <c r="E319" s="3">
        <f t="shared" si="11"/>
        <v>5</v>
      </c>
      <c r="F319" s="5">
        <v>44148.625</v>
      </c>
      <c r="G319" s="10" t="str">
        <f t="shared" si="13"/>
        <v/>
      </c>
      <c r="H319" s="19" t="str">
        <f t="shared" si="14"/>
        <v/>
      </c>
    </row>
    <row r="320" spans="1:8">
      <c r="A320">
        <v>143</v>
      </c>
      <c r="B320" t="s">
        <v>349</v>
      </c>
      <c r="C320" t="s">
        <v>8</v>
      </c>
      <c r="E320" s="3">
        <f t="shared" si="11"/>
        <v>6</v>
      </c>
      <c r="F320" s="5">
        <v>44149.625</v>
      </c>
      <c r="G320" s="10" t="str">
        <f t="shared" si="13"/>
        <v/>
      </c>
      <c r="H320" s="19" t="str">
        <f t="shared" si="14"/>
        <v/>
      </c>
    </row>
    <row r="321" spans="1:8">
      <c r="A321">
        <v>181</v>
      </c>
      <c r="B321" t="s">
        <v>350</v>
      </c>
      <c r="C321" t="s">
        <v>8</v>
      </c>
      <c r="E321" s="3">
        <f t="shared" si="11"/>
        <v>7</v>
      </c>
      <c r="F321" s="5">
        <v>44150.625</v>
      </c>
      <c r="G321" s="10" t="str">
        <f t="shared" si="13"/>
        <v/>
      </c>
      <c r="H321" s="19" t="str">
        <f t="shared" si="14"/>
        <v/>
      </c>
    </row>
    <row r="322" spans="1:8">
      <c r="A322">
        <v>393</v>
      </c>
      <c r="B322" t="s">
        <v>351</v>
      </c>
      <c r="C322" t="s">
        <v>8</v>
      </c>
      <c r="E322" s="3">
        <f t="shared" si="11"/>
        <v>1</v>
      </c>
      <c r="F322" s="5">
        <v>44151.625</v>
      </c>
      <c r="G322" s="10" t="str">
        <f t="shared" si="13"/>
        <v>Maanantai</v>
      </c>
      <c r="H322" s="19" t="str">
        <f t="shared" si="14"/>
        <v>W47</v>
      </c>
    </row>
    <row r="323" spans="1:8">
      <c r="A323">
        <v>393</v>
      </c>
      <c r="B323" t="s">
        <v>352</v>
      </c>
      <c r="C323" t="s">
        <v>8</v>
      </c>
      <c r="E323" s="3">
        <f t="shared" ref="E323" si="15">WEEKDAY(F323,2)</f>
        <v>2</v>
      </c>
      <c r="F323" s="5">
        <v>44152.625</v>
      </c>
      <c r="G323" s="10" t="str">
        <f t="shared" si="13"/>
        <v/>
      </c>
      <c r="H323" s="19" t="str">
        <f t="shared" si="14"/>
        <v/>
      </c>
    </row>
    <row r="324" spans="1:8">
      <c r="A324">
        <v>369</v>
      </c>
      <c r="B324" t="s">
        <v>353</v>
      </c>
      <c r="C324" t="s">
        <v>8</v>
      </c>
      <c r="E324" s="3">
        <f t="shared" si="11"/>
        <v>3</v>
      </c>
      <c r="F324" s="5">
        <v>44153.625</v>
      </c>
      <c r="G324" s="10" t="str">
        <f t="shared" si="13"/>
        <v/>
      </c>
      <c r="H324" s="19" t="str">
        <f t="shared" si="14"/>
        <v/>
      </c>
    </row>
    <row r="325" spans="1:8">
      <c r="A325">
        <v>478</v>
      </c>
      <c r="B325" t="s">
        <v>354</v>
      </c>
      <c r="C325" t="s">
        <v>8</v>
      </c>
      <c r="E325" s="3">
        <f t="shared" ref="E325:E366" si="16">WEEKDAY(F325,2)</f>
        <v>4</v>
      </c>
      <c r="F325" s="5">
        <v>44154.625</v>
      </c>
      <c r="G325" s="10" t="str">
        <f t="shared" si="13"/>
        <v/>
      </c>
      <c r="H325" s="19" t="str">
        <f t="shared" si="14"/>
        <v/>
      </c>
    </row>
    <row r="326" spans="1:8">
      <c r="A326">
        <v>424</v>
      </c>
      <c r="B326" t="s">
        <v>355</v>
      </c>
      <c r="C326" t="s">
        <v>8</v>
      </c>
      <c r="E326" s="3">
        <f t="shared" si="16"/>
        <v>5</v>
      </c>
      <c r="F326" s="5">
        <v>44155.625</v>
      </c>
      <c r="G326" s="10" t="str">
        <f t="shared" si="13"/>
        <v/>
      </c>
      <c r="H326" s="19" t="str">
        <f t="shared" si="14"/>
        <v/>
      </c>
    </row>
    <row r="327" spans="1:8">
      <c r="A327">
        <v>238</v>
      </c>
      <c r="B327" t="s">
        <v>358</v>
      </c>
      <c r="C327" t="s">
        <v>8</v>
      </c>
      <c r="E327" s="3">
        <f t="shared" si="16"/>
        <v>6</v>
      </c>
      <c r="F327" s="5">
        <v>44156.625</v>
      </c>
      <c r="G327" s="10" t="str">
        <f t="shared" si="13"/>
        <v/>
      </c>
      <c r="H327" s="19" t="str">
        <f t="shared" si="14"/>
        <v/>
      </c>
    </row>
    <row r="328" spans="1:8">
      <c r="A328">
        <v>198</v>
      </c>
      <c r="B328" t="s">
        <v>359</v>
      </c>
      <c r="C328" t="s">
        <v>8</v>
      </c>
      <c r="E328" s="3">
        <f t="shared" si="16"/>
        <v>7</v>
      </c>
      <c r="F328" s="5">
        <v>44157.625</v>
      </c>
      <c r="G328" s="10" t="str">
        <f t="shared" si="13"/>
        <v/>
      </c>
      <c r="H328" s="19" t="str">
        <f t="shared" si="14"/>
        <v/>
      </c>
    </row>
    <row r="329" spans="1:8">
      <c r="A329">
        <v>107</v>
      </c>
      <c r="B329" t="s">
        <v>360</v>
      </c>
      <c r="C329" t="s">
        <v>8</v>
      </c>
      <c r="E329" s="3">
        <f t="shared" si="16"/>
        <v>1</v>
      </c>
      <c r="F329" s="5">
        <v>44158.625</v>
      </c>
      <c r="G329" s="10" t="str">
        <f t="shared" si="13"/>
        <v>Maanantai</v>
      </c>
      <c r="H329" s="19" t="str">
        <f t="shared" si="14"/>
        <v>W48</v>
      </c>
    </row>
    <row r="330" spans="1:8">
      <c r="A330">
        <v>0</v>
      </c>
      <c r="B330" t="s">
        <v>361</v>
      </c>
      <c r="C330" t="s">
        <v>8</v>
      </c>
      <c r="E330" s="3">
        <f t="shared" si="16"/>
        <v>2</v>
      </c>
      <c r="F330" s="5">
        <v>44159.401608796295</v>
      </c>
      <c r="G330" s="10" t="str">
        <f t="shared" si="13"/>
        <v/>
      </c>
      <c r="H330" s="19" t="str">
        <f t="shared" si="14"/>
        <v/>
      </c>
    </row>
    <row r="331" spans="1:8">
      <c r="E331" s="3">
        <f t="shared" si="16"/>
        <v>6</v>
      </c>
      <c r="G331" s="10" t="str">
        <f t="shared" si="13"/>
        <v/>
      </c>
      <c r="H331" s="19" t="str">
        <f t="shared" si="14"/>
        <v/>
      </c>
    </row>
    <row r="332" spans="1:8">
      <c r="E332" s="3">
        <f t="shared" si="16"/>
        <v>6</v>
      </c>
      <c r="G332" s="10" t="str">
        <f t="shared" si="13"/>
        <v/>
      </c>
      <c r="H332" s="19" t="str">
        <f t="shared" si="14"/>
        <v/>
      </c>
    </row>
    <row r="333" spans="1:8">
      <c r="E333" s="3">
        <f t="shared" si="16"/>
        <v>6</v>
      </c>
      <c r="G333" s="10" t="str">
        <f>IF(WEEKDAY(F333,2)=1,"Maanantai","")</f>
        <v/>
      </c>
      <c r="H333" s="19" t="str">
        <f t="shared" si="14"/>
        <v/>
      </c>
    </row>
    <row r="334" spans="1:8">
      <c r="E334" s="3">
        <f t="shared" si="16"/>
        <v>6</v>
      </c>
      <c r="G334" s="10" t="str">
        <f t="shared" si="13"/>
        <v/>
      </c>
      <c r="H334" s="19" t="str">
        <f t="shared" si="14"/>
        <v/>
      </c>
    </row>
    <row r="335" spans="1:8">
      <c r="E335" s="3">
        <f t="shared" si="16"/>
        <v>6</v>
      </c>
      <c r="G335" s="10" t="str">
        <f t="shared" si="13"/>
        <v/>
      </c>
      <c r="H335" s="19" t="str">
        <f t="shared" si="14"/>
        <v/>
      </c>
    </row>
    <row r="336" spans="1:8">
      <c r="E336" s="3">
        <f t="shared" si="16"/>
        <v>6</v>
      </c>
      <c r="G336" s="10" t="str">
        <f t="shared" si="13"/>
        <v/>
      </c>
      <c r="H336" s="19" t="str">
        <f t="shared" si="14"/>
        <v/>
      </c>
    </row>
    <row r="337" spans="5:8">
      <c r="E337" s="3">
        <f t="shared" si="16"/>
        <v>6</v>
      </c>
      <c r="G337" s="10" t="str">
        <f t="shared" si="13"/>
        <v/>
      </c>
      <c r="H337" s="19" t="str">
        <f t="shared" si="14"/>
        <v/>
      </c>
    </row>
    <row r="338" spans="5:8">
      <c r="E338" s="3">
        <f t="shared" si="16"/>
        <v>6</v>
      </c>
      <c r="G338" s="10" t="str">
        <f t="shared" si="13"/>
        <v/>
      </c>
      <c r="H338" s="19" t="str">
        <f t="shared" si="14"/>
        <v/>
      </c>
    </row>
    <row r="339" spans="5:8">
      <c r="E339" s="3">
        <f t="shared" si="16"/>
        <v>6</v>
      </c>
      <c r="G339" s="10" t="str">
        <f t="shared" si="13"/>
        <v/>
      </c>
      <c r="H339" s="19" t="str">
        <f t="shared" si="14"/>
        <v/>
      </c>
    </row>
    <row r="340" spans="5:8">
      <c r="E340" s="3">
        <f t="shared" si="16"/>
        <v>6</v>
      </c>
      <c r="G340" s="10" t="str">
        <f t="shared" si="13"/>
        <v/>
      </c>
      <c r="H340" s="19" t="str">
        <f t="shared" si="14"/>
        <v/>
      </c>
    </row>
    <row r="341" spans="5:8">
      <c r="E341" s="3">
        <f t="shared" si="16"/>
        <v>6</v>
      </c>
      <c r="G341" s="10" t="str">
        <f t="shared" si="13"/>
        <v/>
      </c>
      <c r="H341" s="19" t="str">
        <f t="shared" si="14"/>
        <v/>
      </c>
    </row>
    <row r="342" spans="5:8">
      <c r="E342" s="3">
        <f t="shared" si="16"/>
        <v>6</v>
      </c>
      <c r="G342" s="10" t="str">
        <f t="shared" si="13"/>
        <v/>
      </c>
      <c r="H342" s="19" t="str">
        <f t="shared" si="14"/>
        <v/>
      </c>
    </row>
    <row r="343" spans="5:8">
      <c r="E343" s="3">
        <f t="shared" si="16"/>
        <v>6</v>
      </c>
      <c r="G343" s="10" t="str">
        <f t="shared" si="13"/>
        <v/>
      </c>
      <c r="H343" s="19" t="str">
        <f t="shared" si="14"/>
        <v/>
      </c>
    </row>
    <row r="344" spans="5:8">
      <c r="E344" s="3">
        <f t="shared" si="16"/>
        <v>6</v>
      </c>
      <c r="G344" s="10" t="str">
        <f t="shared" si="13"/>
        <v/>
      </c>
      <c r="H344" s="19" t="str">
        <f t="shared" si="14"/>
        <v/>
      </c>
    </row>
    <row r="345" spans="5:8">
      <c r="E345" s="3">
        <f t="shared" si="16"/>
        <v>6</v>
      </c>
      <c r="H345" s="19" t="str">
        <f t="shared" si="14"/>
        <v/>
      </c>
    </row>
    <row r="346" spans="5:8">
      <c r="E346" s="3">
        <f t="shared" si="16"/>
        <v>6</v>
      </c>
      <c r="H346" s="19" t="str">
        <f t="shared" si="14"/>
        <v/>
      </c>
    </row>
    <row r="347" spans="5:8">
      <c r="E347" s="3">
        <f t="shared" si="16"/>
        <v>6</v>
      </c>
      <c r="H347" s="19" t="str">
        <f t="shared" si="14"/>
        <v/>
      </c>
    </row>
    <row r="348" spans="5:8">
      <c r="E348" s="3">
        <f t="shared" si="16"/>
        <v>6</v>
      </c>
      <c r="H348" s="19" t="str">
        <f t="shared" si="14"/>
        <v/>
      </c>
    </row>
    <row r="349" spans="5:8">
      <c r="E349" s="3">
        <f t="shared" si="16"/>
        <v>6</v>
      </c>
      <c r="H349" s="19" t="str">
        <f t="shared" si="14"/>
        <v/>
      </c>
    </row>
    <row r="350" spans="5:8">
      <c r="E350" s="3">
        <f t="shared" si="16"/>
        <v>6</v>
      </c>
      <c r="H350" s="19" t="str">
        <f t="shared" si="14"/>
        <v/>
      </c>
    </row>
    <row r="351" spans="5:8">
      <c r="E351" s="3">
        <f t="shared" si="16"/>
        <v>6</v>
      </c>
      <c r="H351" s="19" t="str">
        <f t="shared" si="14"/>
        <v/>
      </c>
    </row>
    <row r="352" spans="5:8">
      <c r="E352" s="3">
        <f t="shared" si="16"/>
        <v>6</v>
      </c>
      <c r="H352" s="19" t="str">
        <f t="shared" si="14"/>
        <v/>
      </c>
    </row>
    <row r="353" spans="5:8">
      <c r="E353" s="3">
        <f t="shared" si="16"/>
        <v>6</v>
      </c>
      <c r="H353" s="19" t="str">
        <f t="shared" si="14"/>
        <v/>
      </c>
    </row>
    <row r="354" spans="5:8">
      <c r="E354" s="3">
        <f t="shared" si="16"/>
        <v>6</v>
      </c>
      <c r="H354" s="19" t="str">
        <f t="shared" si="14"/>
        <v/>
      </c>
    </row>
    <row r="355" spans="5:8">
      <c r="E355" s="3">
        <f t="shared" si="16"/>
        <v>6</v>
      </c>
      <c r="H355" s="19" t="str">
        <f t="shared" si="14"/>
        <v/>
      </c>
    </row>
    <row r="356" spans="5:8">
      <c r="E356" s="3">
        <f t="shared" si="16"/>
        <v>6</v>
      </c>
      <c r="H356" s="19" t="str">
        <f t="shared" si="14"/>
        <v/>
      </c>
    </row>
    <row r="357" spans="5:8">
      <c r="E357" s="3">
        <f t="shared" si="16"/>
        <v>6</v>
      </c>
      <c r="H357" s="19" t="str">
        <f t="shared" si="14"/>
        <v/>
      </c>
    </row>
    <row r="358" spans="5:8">
      <c r="E358" s="3">
        <f t="shared" si="16"/>
        <v>6</v>
      </c>
      <c r="H358" s="19" t="str">
        <f t="shared" si="14"/>
        <v/>
      </c>
    </row>
    <row r="359" spans="5:8">
      <c r="E359" s="3">
        <f t="shared" si="16"/>
        <v>6</v>
      </c>
      <c r="H359" s="19" t="str">
        <f t="shared" si="14"/>
        <v/>
      </c>
    </row>
    <row r="360" spans="5:8">
      <c r="E360" s="3">
        <f t="shared" si="16"/>
        <v>6</v>
      </c>
      <c r="H360" s="19" t="str">
        <f t="shared" si="14"/>
        <v/>
      </c>
    </row>
    <row r="361" spans="5:8">
      <c r="E361" s="3">
        <f t="shared" si="16"/>
        <v>6</v>
      </c>
      <c r="H361" s="19" t="str">
        <f t="shared" si="14"/>
        <v/>
      </c>
    </row>
    <row r="362" spans="5:8">
      <c r="E362" s="3">
        <f t="shared" si="16"/>
        <v>6</v>
      </c>
      <c r="H362" s="19" t="str">
        <f t="shared" si="14"/>
        <v/>
      </c>
    </row>
    <row r="363" spans="5:8">
      <c r="E363" s="3">
        <f t="shared" si="16"/>
        <v>6</v>
      </c>
      <c r="H363" s="19" t="str">
        <f t="shared" si="14"/>
        <v/>
      </c>
    </row>
    <row r="364" spans="5:8">
      <c r="E364" s="3">
        <f t="shared" si="16"/>
        <v>6</v>
      </c>
      <c r="H364" s="19" t="str">
        <f t="shared" si="14"/>
        <v/>
      </c>
    </row>
    <row r="365" spans="5:8">
      <c r="E365" s="3">
        <f t="shared" si="16"/>
        <v>6</v>
      </c>
      <c r="H365" s="19" t="str">
        <f t="shared" si="14"/>
        <v/>
      </c>
    </row>
    <row r="366" spans="5: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M67"/>
  <sheetViews>
    <sheetView zoomScale="85" zoomScaleNormal="85" workbookViewId="0">
      <selection activeCell="A32" sqref="A32"/>
    </sheetView>
  </sheetViews>
  <sheetFormatPr defaultRowHeight="14.6"/>
  <cols>
    <col min="2" max="2" width="10.07421875" customWidth="1"/>
    <col min="3" max="3" width="10.84375" bestFit="1" customWidth="1"/>
    <col min="11" max="11" width="9.23046875" style="4"/>
    <col min="13" max="13" width="12.15234375" style="16" customWidth="1"/>
    <col min="16" max="16" width="9.84375" style="16" customWidth="1"/>
    <col min="19" max="19" width="9.84375" style="16" customWidth="1"/>
    <col min="22" max="22" width="12.15234375" style="16" customWidth="1"/>
    <col min="25" max="25" width="12.15234375" style="16" customWidth="1"/>
    <col min="28" max="28" width="12.15234375" style="16"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24.11 n=353. Yhteensä N=22289. Edelliset 7 päivää 2207 (päivittyy), 1752 (muutos 25 %), 1402 (-5 %) ja 1478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24.11 n=353. Yhteensä N=22289. Melko pysyvät 7 päivää 14.11-20.11 yhteensä 2381 (muutos 52 %), aiemmat 7 päivää 1571 (11 %) ja 1418 https://github.com/jussivirkkala/excel/tree/master/hs-koronavirus-avoindata</v>
      </c>
      <c r="B32" s="4"/>
    </row>
    <row r="33" spans="1:247">
      <c r="B33" s="4"/>
    </row>
    <row r="34" spans="1:247">
      <c r="A34" t="str">
        <f ca="1">"Kirjattuja COVID-19 tapauksia N="&amp;C65&amp;"."&amp;CHAR(32)&amp;"Uusimmat "&amp;TEXT(MAX(M:M),"p.kk")&amp;" lisäykset punaisella n="&amp;L65&amp;"."</f>
        <v>Kirjattuja COVID-19 tapauksia N=22289. Uusimmat 24.11 lisäykset punaisella n=353.</v>
      </c>
      <c r="B34" s="4"/>
    </row>
    <row r="35" spans="1:247">
      <c r="B35" s="4" t="s">
        <v>5</v>
      </c>
      <c r="C35" t="s">
        <v>0</v>
      </c>
      <c r="D35" t="s">
        <v>6</v>
      </c>
      <c r="E35">
        <f ca="1">SUM(E37:E65)</f>
        <v>353</v>
      </c>
      <c r="F35" t="s">
        <v>228</v>
      </c>
      <c r="G35" t="s">
        <v>356</v>
      </c>
      <c r="I35" t="s">
        <v>357</v>
      </c>
      <c r="J35" t="s">
        <v>356</v>
      </c>
      <c r="M35" s="16" t="s">
        <v>312</v>
      </c>
      <c r="P35" s="16" t="s">
        <v>313</v>
      </c>
      <c r="S35" s="16" t="s">
        <v>314</v>
      </c>
    </row>
    <row r="36" spans="1:247">
      <c r="A36" t="str">
        <f ca="1">IF(WEEKDAY(B36,2)=1,"Ma "&amp;TEXT(B36,"p"),TEXT(B36,"p.k"))</f>
        <v>Ma 26</v>
      </c>
      <c r="B36" s="4">
        <f ca="1">B37-1</f>
        <v>44130</v>
      </c>
      <c r="C36" s="11">
        <f t="shared" ref="C36:C65" ca="1" si="0">SUMIF(aika,"&lt;"&amp;(B36+1),Id)</f>
        <v>15450</v>
      </c>
    </row>
    <row r="37" spans="1:247" s="10" customFormat="1">
      <c r="A37" t="str">
        <f t="shared" ref="A37:A65" ca="1" si="1">IF(WEEKDAY(B37,2)=1,"Ma "&amp;TEXT(B37,"p"),TEXT(B37,"p.k"))</f>
        <v>27.10</v>
      </c>
      <c r="B37" s="9">
        <f t="shared" ref="B37:B62" ca="1" si="2">B38-1</f>
        <v>44131</v>
      </c>
      <c r="C37" s="10">
        <f t="shared" ca="1" si="0"/>
        <v>15680</v>
      </c>
      <c r="D37" s="10">
        <f t="shared" ref="D37" ca="1" si="3">C37-C36</f>
        <v>230</v>
      </c>
      <c r="E37" s="10">
        <f t="shared" ref="E37:E64" ca="1" si="4">_xlfn.IFNA(D37-F37,"")</f>
        <v>0</v>
      </c>
      <c r="F37" s="10">
        <f ca="1">VLOOKUP(B37,Previous,3,FALSE)</f>
        <v>230</v>
      </c>
      <c r="G37" s="10">
        <f ca="1">SUM(D37:D43)</f>
        <v>1478</v>
      </c>
      <c r="I37" s="10">
        <f ca="1">SUM(D37:D50)</f>
        <v>2880</v>
      </c>
      <c r="K37" s="14"/>
      <c r="M37" s="17">
        <v>44131</v>
      </c>
      <c r="N37" s="10">
        <v>15680</v>
      </c>
      <c r="O37" s="10">
        <v>230</v>
      </c>
      <c r="P37" s="17">
        <v>44131</v>
      </c>
      <c r="Q37" s="10">
        <v>15680</v>
      </c>
      <c r="R37" s="10">
        <v>230</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v>44130</v>
      </c>
      <c r="ES37" s="10">
        <v>15450</v>
      </c>
      <c r="ET37" s="10">
        <v>256</v>
      </c>
      <c r="EU37" s="17">
        <v>44131</v>
      </c>
      <c r="EV37" s="10">
        <v>15680</v>
      </c>
      <c r="EW37" s="10">
        <v>230</v>
      </c>
      <c r="EX37" s="17"/>
      <c r="FA37" s="17"/>
      <c r="FD37" s="17"/>
      <c r="FG37" s="17"/>
      <c r="FJ37" s="17"/>
      <c r="FM37" s="17"/>
      <c r="FP37" s="17"/>
      <c r="FS37" s="17"/>
      <c r="FV37" s="17"/>
      <c r="FY37" s="17"/>
      <c r="GB37" s="17"/>
      <c r="GE37" s="17"/>
      <c r="GH37" s="17"/>
      <c r="GK37" s="17"/>
      <c r="GN37" s="17"/>
      <c r="GQ37" s="17"/>
      <c r="GT37" s="17"/>
      <c r="GW37" s="17"/>
      <c r="GZ37" s="17"/>
      <c r="HC37" s="17"/>
      <c r="HF37" s="17"/>
      <c r="HI37" s="17"/>
      <c r="HL37" s="17"/>
      <c r="HO37" s="17"/>
      <c r="HR37" s="17"/>
      <c r="HU37" s="17"/>
      <c r="HX37" s="17"/>
      <c r="IA37" s="17"/>
      <c r="ID37" s="17"/>
      <c r="IG37" s="17"/>
      <c r="IJ37" s="17"/>
      <c r="IM37" s="17"/>
    </row>
    <row r="38" spans="1:247">
      <c r="A38" t="str">
        <f t="shared" ca="1" si="1"/>
        <v>28.10</v>
      </c>
      <c r="B38" s="4">
        <f t="shared" ca="1" si="2"/>
        <v>44132</v>
      </c>
      <c r="C38" s="11">
        <f t="shared" ca="1" si="0"/>
        <v>15920</v>
      </c>
      <c r="D38">
        <f t="shared" ref="D38" ca="1" si="5">C38-C37</f>
        <v>240</v>
      </c>
      <c r="E38" s="11">
        <f t="shared" ca="1" si="4"/>
        <v>0</v>
      </c>
      <c r="F38" s="11">
        <f t="shared" ref="F38:F65" ca="1" si="6">VLOOKUP(B38,Previous,3,FALSE)</f>
        <v>240</v>
      </c>
      <c r="K38" s="3"/>
      <c r="M38" s="16">
        <v>44132</v>
      </c>
      <c r="N38">
        <v>15920</v>
      </c>
      <c r="O38">
        <v>240</v>
      </c>
      <c r="P38" s="16">
        <v>44132</v>
      </c>
      <c r="Q38">
        <v>15920</v>
      </c>
      <c r="R38">
        <v>240</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v>44131</v>
      </c>
      <c r="ES38">
        <v>15680</v>
      </c>
      <c r="ET38">
        <v>230</v>
      </c>
      <c r="EU38" s="16">
        <v>44132</v>
      </c>
      <c r="EV38">
        <v>15920</v>
      </c>
      <c r="EW38">
        <v>240</v>
      </c>
      <c r="EX38" s="16"/>
      <c r="FA38" s="16"/>
      <c r="FD38" s="16"/>
      <c r="FG38" s="16"/>
      <c r="FJ38" s="16"/>
      <c r="FM38" s="16"/>
      <c r="FP38" s="16"/>
      <c r="FS38" s="16"/>
      <c r="FV38" s="16"/>
      <c r="FY38" s="16"/>
      <c r="GB38" s="16"/>
      <c r="GE38" s="16"/>
      <c r="GH38" s="16"/>
      <c r="GK38" s="16"/>
      <c r="GN38" s="16"/>
      <c r="GQ38" s="16"/>
      <c r="GT38" s="16"/>
      <c r="GW38" s="16"/>
      <c r="GZ38" s="16"/>
      <c r="HC38" s="16"/>
      <c r="HF38" s="16"/>
      <c r="HI38" s="16"/>
      <c r="HL38" s="16"/>
      <c r="HO38" s="16"/>
      <c r="HR38" s="16"/>
      <c r="HU38" s="16"/>
      <c r="HX38" s="16"/>
      <c r="IA38" s="16"/>
      <c r="ID38" s="16"/>
      <c r="IG38" s="16"/>
      <c r="IJ38" s="16"/>
      <c r="IM38" s="16"/>
    </row>
    <row r="39" spans="1:247">
      <c r="A39" t="str">
        <f t="shared" ca="1" si="1"/>
        <v>29.10</v>
      </c>
      <c r="B39" s="4">
        <f t="shared" ca="1" si="2"/>
        <v>44133</v>
      </c>
      <c r="C39" s="11">
        <f t="shared" ca="1" si="0"/>
        <v>16157</v>
      </c>
      <c r="D39">
        <f t="shared" ref="D39" ca="1" si="7">C39-C38</f>
        <v>237</v>
      </c>
      <c r="E39" s="11">
        <f t="shared" ca="1" si="4"/>
        <v>0</v>
      </c>
      <c r="F39" s="11">
        <f t="shared" ca="1" si="6"/>
        <v>237</v>
      </c>
      <c r="K39" s="3"/>
      <c r="M39" s="16">
        <v>44133</v>
      </c>
      <c r="N39">
        <v>16157</v>
      </c>
      <c r="O39">
        <v>237</v>
      </c>
      <c r="P39" s="16">
        <v>44133</v>
      </c>
      <c r="Q39">
        <v>16157</v>
      </c>
      <c r="R39">
        <v>237</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v>44132</v>
      </c>
      <c r="ES39">
        <v>15920</v>
      </c>
      <c r="ET39">
        <v>240</v>
      </c>
      <c r="EU39" s="16">
        <v>44133</v>
      </c>
      <c r="EV39">
        <v>16157</v>
      </c>
      <c r="EW39">
        <v>237</v>
      </c>
      <c r="EX39" s="16"/>
      <c r="FA39" s="16"/>
      <c r="FD39" s="16"/>
      <c r="FG39" s="16"/>
      <c r="FJ39" s="16"/>
      <c r="FM39" s="16"/>
      <c r="FP39" s="16"/>
      <c r="FS39" s="16"/>
      <c r="FV39" s="16"/>
      <c r="FY39" s="16"/>
      <c r="GB39" s="16"/>
      <c r="GE39" s="16"/>
      <c r="GH39" s="16"/>
      <c r="GK39" s="16"/>
      <c r="GN39" s="16"/>
      <c r="GQ39" s="16"/>
      <c r="GT39" s="16"/>
      <c r="GW39" s="16"/>
      <c r="GZ39" s="16"/>
      <c r="HC39" s="16"/>
      <c r="HF39" s="16"/>
      <c r="HI39" s="16"/>
      <c r="HL39" s="16"/>
      <c r="HO39" s="16"/>
      <c r="HR39" s="16"/>
      <c r="HU39" s="16"/>
      <c r="HX39" s="16"/>
      <c r="IA39" s="16"/>
      <c r="ID39" s="16"/>
      <c r="IG39" s="16"/>
      <c r="IJ39" s="16"/>
      <c r="IM39" s="16"/>
    </row>
    <row r="40" spans="1:247">
      <c r="A40" t="str">
        <f t="shared" ca="1" si="1"/>
        <v>30.10</v>
      </c>
      <c r="B40" s="4">
        <f t="shared" ca="1" si="2"/>
        <v>44134</v>
      </c>
      <c r="C40" s="11">
        <f t="shared" ca="1" si="0"/>
        <v>16376</v>
      </c>
      <c r="D40">
        <f t="shared" ref="D40" ca="1" si="8">C40-C39</f>
        <v>219</v>
      </c>
      <c r="E40" s="11">
        <f t="shared" ca="1" si="4"/>
        <v>0</v>
      </c>
      <c r="F40" s="11">
        <f t="shared" ca="1" si="6"/>
        <v>219</v>
      </c>
      <c r="K40" s="10"/>
      <c r="M40" s="16">
        <v>44134</v>
      </c>
      <c r="N40">
        <v>16376</v>
      </c>
      <c r="O40">
        <v>219</v>
      </c>
      <c r="P40" s="16">
        <v>44134</v>
      </c>
      <c r="Q40">
        <v>16376</v>
      </c>
      <c r="R40">
        <v>219</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v>44133</v>
      </c>
      <c r="ES40">
        <v>16157</v>
      </c>
      <c r="ET40">
        <v>237</v>
      </c>
      <c r="EU40" s="16">
        <v>44134</v>
      </c>
      <c r="EV40">
        <v>16376</v>
      </c>
      <c r="EW40">
        <v>219</v>
      </c>
      <c r="EX40" s="16"/>
      <c r="FA40" s="16"/>
      <c r="FD40" s="16"/>
      <c r="FG40" s="16"/>
      <c r="FJ40" s="16"/>
      <c r="FM40" s="16"/>
      <c r="FP40" s="16"/>
      <c r="FS40" s="16"/>
      <c r="FV40" s="16"/>
      <c r="FY40" s="16"/>
      <c r="GB40" s="16"/>
      <c r="GE40" s="16"/>
      <c r="GH40" s="16"/>
      <c r="GK40" s="16"/>
      <c r="GN40" s="16"/>
      <c r="GQ40" s="16"/>
      <c r="GT40" s="16"/>
      <c r="GW40" s="16"/>
      <c r="GZ40" s="16"/>
      <c r="HC40" s="16"/>
      <c r="HF40" s="16"/>
      <c r="HI40" s="16"/>
      <c r="HL40" s="16"/>
      <c r="HO40" s="16"/>
      <c r="HR40" s="16"/>
      <c r="HU40" s="16"/>
      <c r="HX40" s="16"/>
      <c r="IA40" s="16"/>
      <c r="ID40" s="16"/>
      <c r="IG40" s="16"/>
      <c r="IJ40" s="16"/>
      <c r="IM40" s="16"/>
    </row>
    <row r="41" spans="1:247">
      <c r="A41" t="str">
        <f t="shared" ca="1" si="1"/>
        <v>31.10</v>
      </c>
      <c r="B41" s="4">
        <f t="shared" ca="1" si="2"/>
        <v>44135</v>
      </c>
      <c r="C41" s="11">
        <f t="shared" ca="1" si="0"/>
        <v>16497</v>
      </c>
      <c r="D41">
        <f t="shared" ref="D41" ca="1" si="9">C41-C40</f>
        <v>121</v>
      </c>
      <c r="E41" s="11">
        <f t="shared" ca="1" si="4"/>
        <v>0</v>
      </c>
      <c r="F41" s="11">
        <f t="shared" ca="1" si="6"/>
        <v>121</v>
      </c>
      <c r="J41" s="10">
        <f ca="1">SUM(D41:D47)</f>
        <v>1418</v>
      </c>
      <c r="K41" s="3"/>
      <c r="M41" s="16">
        <v>44135</v>
      </c>
      <c r="N41">
        <v>16497</v>
      </c>
      <c r="O41">
        <v>121</v>
      </c>
      <c r="P41" s="16">
        <v>44135</v>
      </c>
      <c r="Q41">
        <v>16497</v>
      </c>
      <c r="R41">
        <v>121</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v>44134</v>
      </c>
      <c r="ES41">
        <v>16376</v>
      </c>
      <c r="ET41">
        <v>219</v>
      </c>
      <c r="EU41" s="16">
        <v>44135</v>
      </c>
      <c r="EV41">
        <v>16497</v>
      </c>
      <c r="EW41">
        <v>121</v>
      </c>
      <c r="EX41" s="16"/>
      <c r="FA41" s="16"/>
      <c r="FD41" s="16"/>
      <c r="FG41" s="16"/>
      <c r="FJ41" s="16"/>
      <c r="FM41" s="16"/>
      <c r="FP41" s="16"/>
      <c r="FS41" s="16"/>
      <c r="FV41" s="16"/>
      <c r="FY41" s="16"/>
      <c r="GB41" s="16"/>
      <c r="GE41" s="16"/>
      <c r="GH41" s="16"/>
      <c r="GK41" s="16"/>
      <c r="GN41" s="16"/>
      <c r="GQ41" s="16"/>
      <c r="GT41" s="16"/>
      <c r="GW41" s="16"/>
      <c r="GZ41" s="16"/>
      <c r="HC41" s="16"/>
      <c r="HF41" s="16"/>
      <c r="HI41" s="16"/>
      <c r="HL41" s="16"/>
      <c r="HO41" s="16"/>
      <c r="HR41" s="16"/>
      <c r="HU41" s="16"/>
      <c r="HX41" s="16"/>
      <c r="IA41" s="16"/>
      <c r="ID41" s="16"/>
      <c r="IG41" s="16"/>
      <c r="IJ41" s="16"/>
      <c r="IM41" s="16"/>
    </row>
    <row r="42" spans="1:247">
      <c r="A42" t="str">
        <f t="shared" ca="1" si="1"/>
        <v>1.11</v>
      </c>
      <c r="B42" s="4">
        <f t="shared" ca="1" si="2"/>
        <v>44136</v>
      </c>
      <c r="C42" s="11">
        <f t="shared" ca="1" si="0"/>
        <v>16647</v>
      </c>
      <c r="D42">
        <f t="shared" ref="D42" ca="1" si="10">C42-C41</f>
        <v>150</v>
      </c>
      <c r="E42" s="11">
        <f t="shared" ca="1" si="4"/>
        <v>0</v>
      </c>
      <c r="F42" s="11">
        <f t="shared" ca="1" si="6"/>
        <v>150</v>
      </c>
      <c r="K42" s="3"/>
      <c r="M42" s="16">
        <v>44136</v>
      </c>
      <c r="N42">
        <v>16647</v>
      </c>
      <c r="O42">
        <v>150</v>
      </c>
      <c r="P42" s="16">
        <v>44136</v>
      </c>
      <c r="Q42">
        <v>16647</v>
      </c>
      <c r="R42">
        <v>150</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v>44135</v>
      </c>
      <c r="ES42">
        <v>16497</v>
      </c>
      <c r="ET42">
        <v>121</v>
      </c>
      <c r="EU42" s="16">
        <v>44136</v>
      </c>
      <c r="EV42">
        <v>16647</v>
      </c>
      <c r="EW42">
        <v>150</v>
      </c>
      <c r="EX42" s="16"/>
      <c r="FA42" s="16"/>
      <c r="FD42" s="16"/>
      <c r="FG42" s="16"/>
      <c r="FJ42" s="16"/>
      <c r="FM42" s="16"/>
      <c r="FP42" s="16"/>
      <c r="FS42" s="16"/>
      <c r="FV42" s="16"/>
      <c r="FY42" s="16"/>
      <c r="GB42" s="16"/>
      <c r="GE42" s="16"/>
      <c r="GH42" s="16"/>
      <c r="GK42" s="16"/>
      <c r="GN42" s="16"/>
      <c r="GQ42" s="16"/>
      <c r="GT42" s="16"/>
      <c r="GW42" s="16"/>
      <c r="GZ42" s="16"/>
      <c r="HC42" s="16"/>
      <c r="HF42" s="16"/>
      <c r="HI42" s="16"/>
      <c r="HL42" s="16"/>
      <c r="HO42" s="16"/>
      <c r="HR42" s="16"/>
      <c r="HU42" s="16"/>
      <c r="HX42" s="16"/>
      <c r="IA42" s="16"/>
      <c r="ID42" s="16"/>
      <c r="IG42" s="16"/>
      <c r="IJ42" s="16"/>
      <c r="IM42" s="16"/>
    </row>
    <row r="43" spans="1:247">
      <c r="A43" t="str">
        <f t="shared" ca="1" si="1"/>
        <v>Ma 2</v>
      </c>
      <c r="B43" s="4">
        <f t="shared" ca="1" si="2"/>
        <v>44137</v>
      </c>
      <c r="C43" s="11">
        <f t="shared" ca="1" si="0"/>
        <v>16928</v>
      </c>
      <c r="D43">
        <f t="shared" ref="D43" ca="1" si="11">C43-C42</f>
        <v>281</v>
      </c>
      <c r="E43" s="11">
        <f t="shared" ca="1" si="4"/>
        <v>0</v>
      </c>
      <c r="F43" s="11">
        <f t="shared" ca="1" si="6"/>
        <v>281</v>
      </c>
      <c r="G43" s="10"/>
      <c r="K43" s="3"/>
      <c r="M43" s="16">
        <v>44137</v>
      </c>
      <c r="N43">
        <v>16928</v>
      </c>
      <c r="O43">
        <v>281</v>
      </c>
      <c r="P43" s="16">
        <v>44137</v>
      </c>
      <c r="Q43">
        <v>16928</v>
      </c>
      <c r="R43">
        <v>281</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v>44136</v>
      </c>
      <c r="ES43">
        <v>16647</v>
      </c>
      <c r="ET43">
        <v>150</v>
      </c>
      <c r="EU43" s="16">
        <v>44137</v>
      </c>
      <c r="EV43">
        <v>16928</v>
      </c>
      <c r="EW43">
        <v>281</v>
      </c>
      <c r="EX43" s="16"/>
      <c r="FA43" s="16"/>
      <c r="FD43" s="16"/>
      <c r="FG43" s="16"/>
      <c r="FJ43" s="16"/>
      <c r="FM43" s="16"/>
      <c r="FP43" s="16"/>
      <c r="FS43" s="16"/>
      <c r="FV43" s="16"/>
      <c r="FY43" s="16"/>
      <c r="GB43" s="16"/>
      <c r="GE43" s="16"/>
      <c r="GH43" s="16"/>
      <c r="GK43" s="16"/>
      <c r="GN43" s="16"/>
      <c r="GQ43" s="16"/>
      <c r="GT43" s="16"/>
      <c r="GW43" s="16"/>
      <c r="GZ43" s="16"/>
      <c r="HC43" s="16"/>
      <c r="HF43" s="16"/>
      <c r="HI43" s="16"/>
      <c r="HL43" s="16"/>
      <c r="HO43" s="16"/>
      <c r="HR43" s="16"/>
      <c r="HU43" s="16"/>
      <c r="HX43" s="16"/>
      <c r="IA43" s="16"/>
      <c r="ID43" s="16"/>
      <c r="IG43" s="16"/>
      <c r="IJ43" s="16"/>
      <c r="IM43" s="16"/>
    </row>
    <row r="44" spans="1:247" s="10" customFormat="1">
      <c r="A44" t="str">
        <f t="shared" ca="1" si="1"/>
        <v>3.11</v>
      </c>
      <c r="B44" s="9">
        <f t="shared" ca="1" si="2"/>
        <v>44138</v>
      </c>
      <c r="C44" s="10">
        <f t="shared" ca="1" si="0"/>
        <v>17169</v>
      </c>
      <c r="D44" s="10">
        <f t="shared" ref="D44" ca="1" si="12">C44-C43</f>
        <v>241</v>
      </c>
      <c r="E44" s="10">
        <f t="shared" ca="1" si="4"/>
        <v>0</v>
      </c>
      <c r="F44" s="10">
        <f t="shared" ca="1" si="6"/>
        <v>241</v>
      </c>
      <c r="G44" s="10">
        <f ca="1">SUM(D44:D50)</f>
        <v>1402</v>
      </c>
      <c r="H44" s="10" t="str">
        <f ca="1">TEXT(G44/G37-1,"0 %")</f>
        <v>-5 %</v>
      </c>
      <c r="K44" s="14"/>
      <c r="L44"/>
      <c r="M44" s="17">
        <v>44138</v>
      </c>
      <c r="N44" s="10">
        <v>17169</v>
      </c>
      <c r="O44" s="10">
        <v>241</v>
      </c>
      <c r="P44" s="17">
        <v>44138</v>
      </c>
      <c r="Q44" s="10">
        <v>17169</v>
      </c>
      <c r="R44" s="10">
        <v>241</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v>44137</v>
      </c>
      <c r="ES44" s="10">
        <v>16928</v>
      </c>
      <c r="ET44" s="10">
        <v>281</v>
      </c>
      <c r="EU44" s="17">
        <v>44138</v>
      </c>
      <c r="EV44" s="10">
        <v>17169</v>
      </c>
      <c r="EW44" s="10">
        <v>241</v>
      </c>
      <c r="EX44" s="17"/>
      <c r="FA44" s="17"/>
      <c r="FD44" s="17"/>
      <c r="FG44" s="17"/>
      <c r="FJ44" s="17"/>
      <c r="FM44" s="17"/>
      <c r="FP44" s="17"/>
      <c r="FS44" s="17"/>
      <c r="FV44" s="17"/>
      <c r="FY44" s="17"/>
      <c r="GB44" s="17"/>
      <c r="GE44" s="17"/>
      <c r="GH44" s="17"/>
      <c r="GK44" s="17"/>
      <c r="GN44" s="17"/>
      <c r="GQ44" s="17"/>
      <c r="GT44" s="17"/>
      <c r="GW44" s="17"/>
      <c r="GZ44" s="17"/>
      <c r="HC44" s="17"/>
      <c r="HF44" s="17"/>
      <c r="HI44" s="17"/>
      <c r="HL44" s="17"/>
      <c r="HO44" s="17"/>
      <c r="HR44" s="17"/>
      <c r="HU44" s="17"/>
      <c r="HX44" s="17"/>
      <c r="IA44" s="17"/>
      <c r="ID44" s="17"/>
      <c r="IG44" s="17"/>
      <c r="IJ44" s="17"/>
      <c r="IM44" s="17"/>
    </row>
    <row r="45" spans="1:247">
      <c r="A45" t="str">
        <f t="shared" ca="1" si="1"/>
        <v>4.11</v>
      </c>
      <c r="B45" s="4">
        <f t="shared" ca="1" si="2"/>
        <v>44139</v>
      </c>
      <c r="C45" s="11">
        <f t="shared" ca="1" si="0"/>
        <v>17379</v>
      </c>
      <c r="D45">
        <f t="shared" ref="D45" ca="1" si="13">C45-C44</f>
        <v>210</v>
      </c>
      <c r="E45" s="11">
        <f t="shared" ca="1" si="4"/>
        <v>0</v>
      </c>
      <c r="F45" s="11">
        <f t="shared" ca="1" si="6"/>
        <v>210</v>
      </c>
      <c r="K45" s="3"/>
      <c r="M45" s="16">
        <v>44139</v>
      </c>
      <c r="N45">
        <v>17379</v>
      </c>
      <c r="O45">
        <v>210</v>
      </c>
      <c r="P45" s="16">
        <v>44139</v>
      </c>
      <c r="Q45">
        <v>17379</v>
      </c>
      <c r="R45">
        <v>210</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v>44138</v>
      </c>
      <c r="ES45">
        <v>17169</v>
      </c>
      <c r="ET45">
        <v>241</v>
      </c>
      <c r="EU45" s="16">
        <v>44139</v>
      </c>
      <c r="EV45">
        <v>17379</v>
      </c>
      <c r="EW45">
        <v>210</v>
      </c>
      <c r="EX45" s="16"/>
      <c r="FA45" s="16"/>
      <c r="FD45" s="16"/>
      <c r="FG45" s="16"/>
      <c r="FJ45" s="16"/>
      <c r="FM45" s="16"/>
      <c r="FP45" s="16"/>
      <c r="FS45" s="16"/>
      <c r="FV45" s="16"/>
      <c r="FY45" s="16"/>
      <c r="GB45" s="16"/>
      <c r="GE45" s="16"/>
      <c r="GH45" s="16"/>
      <c r="GK45" s="16"/>
      <c r="GN45" s="16"/>
      <c r="GQ45" s="16"/>
      <c r="GT45" s="16"/>
      <c r="GW45" s="16"/>
      <c r="GZ45" s="16"/>
      <c r="HC45" s="16"/>
      <c r="HF45" s="16"/>
      <c r="HI45" s="16"/>
      <c r="HL45" s="16"/>
      <c r="HO45" s="16"/>
      <c r="HR45" s="16"/>
      <c r="HU45" s="16"/>
      <c r="HX45" s="16"/>
      <c r="IA45" s="16"/>
      <c r="ID45" s="16"/>
      <c r="IG45" s="16"/>
      <c r="IJ45" s="16"/>
      <c r="IM45" s="16"/>
    </row>
    <row r="46" spans="1:247">
      <c r="A46" t="str">
        <f t="shared" ca="1" si="1"/>
        <v>5.11</v>
      </c>
      <c r="B46" s="4">
        <f t="shared" ca="1" si="2"/>
        <v>44140</v>
      </c>
      <c r="C46" s="11">
        <f t="shared" ca="1" si="0"/>
        <v>17600</v>
      </c>
      <c r="D46">
        <f t="shared" ref="D46" ca="1" si="14">C46-C45</f>
        <v>221</v>
      </c>
      <c r="E46" s="11">
        <f t="shared" ca="1" si="4"/>
        <v>0</v>
      </c>
      <c r="F46" s="11">
        <f t="shared" ca="1" si="6"/>
        <v>221</v>
      </c>
      <c r="K46" s="3"/>
      <c r="M46" s="16">
        <v>44140</v>
      </c>
      <c r="N46">
        <v>17600</v>
      </c>
      <c r="O46">
        <v>221</v>
      </c>
      <c r="P46" s="16">
        <v>44140</v>
      </c>
      <c r="Q46">
        <v>17600</v>
      </c>
      <c r="R46">
        <v>221</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v>44139</v>
      </c>
      <c r="ES46">
        <v>17379</v>
      </c>
      <c r="ET46">
        <v>210</v>
      </c>
      <c r="EU46" s="16">
        <v>44140</v>
      </c>
      <c r="EV46">
        <v>17600</v>
      </c>
      <c r="EW46">
        <v>221</v>
      </c>
      <c r="EX46" s="16"/>
      <c r="FA46" s="16"/>
      <c r="FD46" s="16"/>
      <c r="FG46" s="16"/>
      <c r="FJ46" s="16"/>
      <c r="FM46" s="16"/>
      <c r="FP46" s="16"/>
      <c r="FS46" s="16"/>
      <c r="FV46" s="16"/>
      <c r="FY46" s="16"/>
      <c r="GB46" s="16"/>
      <c r="GE46" s="16"/>
      <c r="GH46" s="16"/>
      <c r="GK46" s="16"/>
      <c r="GN46" s="16"/>
      <c r="GQ46" s="16"/>
      <c r="GT46" s="16"/>
      <c r="GW46" s="16"/>
      <c r="GZ46" s="16"/>
      <c r="HC46" s="16"/>
      <c r="HF46" s="16"/>
      <c r="HI46" s="16"/>
      <c r="HL46" s="16"/>
      <c r="HO46" s="16"/>
      <c r="HR46" s="16"/>
      <c r="HU46" s="16"/>
      <c r="HX46" s="16"/>
      <c r="IA46" s="16"/>
      <c r="ID46" s="16"/>
      <c r="IG46" s="16"/>
      <c r="IJ46" s="16"/>
      <c r="IM46" s="16"/>
    </row>
    <row r="47" spans="1:247">
      <c r="A47" t="str">
        <f t="shared" ca="1" si="1"/>
        <v>6.11</v>
      </c>
      <c r="B47" s="4">
        <f t="shared" ca="1" si="2"/>
        <v>44141</v>
      </c>
      <c r="C47" s="11">
        <f t="shared" ca="1" si="0"/>
        <v>17794</v>
      </c>
      <c r="D47">
        <f t="shared" ref="D47" ca="1" si="15">C47-C46</f>
        <v>194</v>
      </c>
      <c r="E47" s="11">
        <f t="shared" ca="1" si="4"/>
        <v>0</v>
      </c>
      <c r="F47" s="11">
        <f t="shared" ca="1" si="6"/>
        <v>194</v>
      </c>
      <c r="M47" s="16">
        <v>44141</v>
      </c>
      <c r="N47">
        <v>17794</v>
      </c>
      <c r="O47">
        <v>194</v>
      </c>
      <c r="P47" s="16">
        <v>44141</v>
      </c>
      <c r="Q47">
        <v>17794</v>
      </c>
      <c r="R47">
        <v>194</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v>44140</v>
      </c>
      <c r="ES47">
        <v>17600</v>
      </c>
      <c r="ET47">
        <v>221</v>
      </c>
      <c r="EU47" s="16">
        <v>44141</v>
      </c>
      <c r="EV47">
        <v>17794</v>
      </c>
      <c r="EW47">
        <v>194</v>
      </c>
      <c r="EX47" s="16"/>
      <c r="FA47" s="16"/>
      <c r="FD47" s="16"/>
      <c r="FG47" s="16"/>
      <c r="FJ47" s="16"/>
      <c r="FM47" s="16"/>
      <c r="FP47" s="16"/>
      <c r="FS47" s="16"/>
      <c r="FV47" s="16"/>
      <c r="FY47" s="16"/>
      <c r="GB47" s="16"/>
      <c r="GE47" s="16"/>
      <c r="GH47" s="16"/>
      <c r="GK47" s="16"/>
      <c r="GN47" s="16"/>
      <c r="GQ47" s="16"/>
      <c r="GT47" s="16"/>
      <c r="GW47" s="16"/>
      <c r="GZ47" s="16"/>
      <c r="HC47" s="16"/>
      <c r="HF47" s="16"/>
      <c r="HI47" s="16"/>
      <c r="HL47" s="16"/>
      <c r="HO47" s="16"/>
      <c r="HR47" s="16"/>
      <c r="HU47" s="16"/>
      <c r="HX47" s="16"/>
      <c r="IA47" s="16"/>
      <c r="ID47" s="16"/>
      <c r="IG47" s="16"/>
      <c r="IJ47" s="16"/>
      <c r="IM47" s="16"/>
    </row>
    <row r="48" spans="1:247">
      <c r="A48" t="str">
        <f t="shared" ca="1" si="1"/>
        <v>7.11</v>
      </c>
      <c r="B48" s="4">
        <f t="shared" ca="1" si="2"/>
        <v>44142</v>
      </c>
      <c r="C48" s="11">
        <f t="shared" ca="1" si="0"/>
        <v>17922</v>
      </c>
      <c r="D48">
        <f t="shared" ref="D48" ca="1" si="16">C48-C47</f>
        <v>128</v>
      </c>
      <c r="E48" s="11">
        <f t="shared" ca="1" si="4"/>
        <v>0</v>
      </c>
      <c r="F48" s="11">
        <f t="shared" ca="1" si="6"/>
        <v>128</v>
      </c>
      <c r="J48" s="10">
        <f ca="1">SUM(D48:D54)</f>
        <v>1571</v>
      </c>
      <c r="K48" s="10" t="str">
        <f ca="1">TEXT(J48/J41-1,"0 %")</f>
        <v>11 %</v>
      </c>
      <c r="M48" s="16">
        <v>44142</v>
      </c>
      <c r="N48">
        <v>17922</v>
      </c>
      <c r="O48">
        <v>128</v>
      </c>
      <c r="P48" s="16">
        <v>44142</v>
      </c>
      <c r="Q48">
        <v>17922</v>
      </c>
      <c r="R48">
        <v>128</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v>44141</v>
      </c>
      <c r="ES48">
        <v>17794</v>
      </c>
      <c r="ET48">
        <v>194</v>
      </c>
      <c r="EU48" s="16">
        <v>44142</v>
      </c>
      <c r="EV48">
        <v>17922</v>
      </c>
      <c r="EW48">
        <v>128</v>
      </c>
      <c r="EX48" s="16"/>
      <c r="FA48" s="16"/>
      <c r="FD48" s="16"/>
      <c r="FG48" s="16"/>
      <c r="FJ48" s="16"/>
      <c r="FM48" s="16"/>
      <c r="FP48" s="16"/>
      <c r="FS48" s="16"/>
      <c r="FV48" s="16"/>
      <c r="FY48" s="16"/>
      <c r="GB48" s="16"/>
      <c r="GE48" s="16"/>
      <c r="GH48" s="16"/>
      <c r="GK48" s="16"/>
      <c r="GN48" s="16"/>
      <c r="GQ48" s="16"/>
      <c r="GT48" s="16"/>
      <c r="GW48" s="16"/>
      <c r="GZ48" s="16"/>
      <c r="HC48" s="16"/>
      <c r="HF48" s="16"/>
      <c r="HI48" s="16"/>
      <c r="HL48" s="16"/>
      <c r="HO48" s="16"/>
      <c r="HR48" s="16"/>
      <c r="HU48" s="16"/>
      <c r="HX48" s="16"/>
      <c r="IA48" s="16"/>
      <c r="ID48" s="16"/>
      <c r="IG48" s="16"/>
      <c r="IJ48" s="16"/>
      <c r="IM48" s="16"/>
    </row>
    <row r="49" spans="1:247">
      <c r="A49" t="str">
        <f t="shared" ca="1" si="1"/>
        <v>8.11</v>
      </c>
      <c r="B49" s="4">
        <f t="shared" ca="1" si="2"/>
        <v>44143</v>
      </c>
      <c r="C49" s="11">
        <f t="shared" ca="1" si="0"/>
        <v>18055</v>
      </c>
      <c r="D49">
        <f t="shared" ref="D49" ca="1" si="17">C49-C48</f>
        <v>133</v>
      </c>
      <c r="E49" s="11">
        <f t="shared" ca="1" si="4"/>
        <v>0</v>
      </c>
      <c r="F49" s="11">
        <f t="shared" ca="1" si="6"/>
        <v>133</v>
      </c>
      <c r="K49" s="3"/>
      <c r="M49" s="16">
        <v>44143</v>
      </c>
      <c r="N49">
        <v>18055</v>
      </c>
      <c r="O49">
        <v>133</v>
      </c>
      <c r="P49" s="16">
        <v>44143</v>
      </c>
      <c r="Q49">
        <v>18055</v>
      </c>
      <c r="R49">
        <v>133</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v>44142</v>
      </c>
      <c r="ES49">
        <v>17922</v>
      </c>
      <c r="ET49">
        <v>128</v>
      </c>
      <c r="EU49" s="16">
        <v>44143</v>
      </c>
      <c r="EV49">
        <v>18055</v>
      </c>
      <c r="EW49">
        <v>133</v>
      </c>
      <c r="EX49" s="16"/>
      <c r="FA49" s="16"/>
      <c r="FD49" s="16"/>
      <c r="FG49" s="16"/>
      <c r="FJ49" s="16"/>
      <c r="FM49" s="16"/>
      <c r="FP49" s="16"/>
      <c r="FS49" s="16"/>
      <c r="FV49" s="16"/>
      <c r="FY49" s="16"/>
      <c r="GB49" s="16"/>
      <c r="GE49" s="16"/>
      <c r="GH49" s="16"/>
      <c r="GK49" s="16"/>
      <c r="GN49" s="16"/>
      <c r="GQ49" s="16"/>
      <c r="GT49" s="16"/>
      <c r="GW49" s="16"/>
      <c r="GZ49" s="16"/>
      <c r="HC49" s="16"/>
      <c r="HF49" s="16"/>
      <c r="HI49" s="16"/>
      <c r="HL49" s="16"/>
      <c r="HO49" s="16"/>
      <c r="HR49" s="16"/>
      <c r="HU49" s="16"/>
      <c r="HX49" s="16"/>
      <c r="IA49" s="16"/>
      <c r="ID49" s="16"/>
      <c r="IG49" s="16"/>
      <c r="IJ49" s="16"/>
      <c r="IM49" s="16"/>
    </row>
    <row r="50" spans="1:247">
      <c r="A50" t="str">
        <f t="shared" ca="1" si="1"/>
        <v>Ma 9</v>
      </c>
      <c r="B50" s="4">
        <f t="shared" ca="1" si="2"/>
        <v>44144</v>
      </c>
      <c r="C50" s="11">
        <f t="shared" ca="1" si="0"/>
        <v>18330</v>
      </c>
      <c r="D50">
        <f t="shared" ref="D50" ca="1" si="18">C50-C49</f>
        <v>275</v>
      </c>
      <c r="E50" s="11">
        <f t="shared" ca="1" si="4"/>
        <v>0</v>
      </c>
      <c r="F50" s="11">
        <f ca="1">VLOOKUP(B50,Previous,3,FALSE)</f>
        <v>275</v>
      </c>
      <c r="K50" s="3"/>
      <c r="M50" s="16">
        <v>44144</v>
      </c>
      <c r="N50">
        <v>18330</v>
      </c>
      <c r="O50">
        <v>275</v>
      </c>
      <c r="P50" s="16">
        <v>44144</v>
      </c>
      <c r="Q50">
        <v>18330</v>
      </c>
      <c r="R50">
        <v>275</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v>44143</v>
      </c>
      <c r="ES50">
        <v>18055</v>
      </c>
      <c r="ET50">
        <v>133</v>
      </c>
      <c r="EU50" s="16">
        <v>44144</v>
      </c>
      <c r="EV50">
        <v>18330</v>
      </c>
      <c r="EW50">
        <v>275</v>
      </c>
      <c r="EX50" s="16"/>
      <c r="FA50" s="16"/>
      <c r="FD50" s="16"/>
      <c r="FG50" s="16"/>
      <c r="FJ50" s="16"/>
      <c r="FM50" s="16"/>
      <c r="FP50" s="16"/>
      <c r="FS50" s="16"/>
      <c r="FV50" s="16"/>
      <c r="FY50" s="16"/>
      <c r="GB50" s="16"/>
      <c r="GE50" s="16"/>
      <c r="GH50" s="16"/>
      <c r="GK50" s="16"/>
      <c r="GN50" s="16"/>
      <c r="GQ50" s="16"/>
      <c r="GT50" s="16"/>
      <c r="GW50" s="16"/>
      <c r="GZ50" s="16"/>
      <c r="HC50" s="16"/>
      <c r="HF50" s="16"/>
      <c r="HI50" s="16"/>
      <c r="HL50" s="16"/>
      <c r="HO50" s="16"/>
      <c r="HR50" s="16"/>
      <c r="HU50" s="16"/>
      <c r="HX50" s="16"/>
      <c r="IA50" s="16"/>
      <c r="ID50" s="16"/>
      <c r="IG50" s="16"/>
      <c r="IJ50" s="16"/>
      <c r="IM50" s="16"/>
    </row>
    <row r="51" spans="1:247" s="10" customFormat="1">
      <c r="A51" t="str">
        <f t="shared" ca="1" si="1"/>
        <v>10.11</v>
      </c>
      <c r="B51" s="9">
        <f t="shared" ca="1" si="2"/>
        <v>44145</v>
      </c>
      <c r="C51" s="10">
        <f t="shared" ca="1" si="0"/>
        <v>18535</v>
      </c>
      <c r="D51" s="10">
        <f t="shared" ref="D51" ca="1" si="19">C51-C50</f>
        <v>205</v>
      </c>
      <c r="E51" s="10">
        <f t="shared" ca="1" si="4"/>
        <v>0</v>
      </c>
      <c r="F51" s="10">
        <f t="shared" ca="1" si="6"/>
        <v>205</v>
      </c>
      <c r="G51" s="10">
        <f ca="1">SUM(D51:D57)</f>
        <v>1752</v>
      </c>
      <c r="H51" s="10" t="str">
        <f ca="1">TEXT(G51/G44-1,"0 %")</f>
        <v>25 %</v>
      </c>
      <c r="I51" s="10">
        <f ca="1">SUM(D51:D64)</f>
        <v>3959</v>
      </c>
      <c r="K51" s="14"/>
      <c r="L51"/>
      <c r="M51" s="17">
        <v>44145</v>
      </c>
      <c r="N51" s="10">
        <v>18535</v>
      </c>
      <c r="O51" s="10">
        <v>205</v>
      </c>
      <c r="P51" s="17">
        <v>44145</v>
      </c>
      <c r="Q51" s="10">
        <v>18535</v>
      </c>
      <c r="R51" s="10">
        <v>205</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v>44144</v>
      </c>
      <c r="ES51" s="10">
        <v>18330</v>
      </c>
      <c r="ET51" s="10">
        <v>275</v>
      </c>
      <c r="EU51" s="17">
        <v>44145</v>
      </c>
      <c r="EV51" s="10">
        <v>18535</v>
      </c>
      <c r="EW51" s="10">
        <v>205</v>
      </c>
      <c r="EX51" s="17"/>
      <c r="FA51" s="17"/>
      <c r="FD51" s="17"/>
      <c r="FG51" s="17"/>
      <c r="FJ51" s="17"/>
      <c r="FM51" s="17"/>
      <c r="FP51" s="17"/>
      <c r="FS51" s="17"/>
      <c r="FV51" s="17"/>
      <c r="FY51" s="17"/>
      <c r="GB51" s="17"/>
      <c r="GE51" s="17"/>
      <c r="GH51" s="17"/>
      <c r="GK51" s="17"/>
      <c r="GN51" s="17"/>
      <c r="GQ51" s="17"/>
      <c r="GT51" s="17"/>
      <c r="GW51" s="17"/>
      <c r="GZ51" s="17"/>
      <c r="HC51" s="17"/>
      <c r="HF51" s="17"/>
      <c r="HI51" s="17"/>
      <c r="HL51" s="17"/>
      <c r="HO51" s="17"/>
      <c r="HR51" s="17"/>
      <c r="HU51" s="17"/>
      <c r="HX51" s="17"/>
      <c r="IA51" s="17"/>
      <c r="ID51" s="17"/>
      <c r="IG51" s="17"/>
      <c r="IJ51" s="17"/>
      <c r="IM51" s="17"/>
    </row>
    <row r="52" spans="1:247">
      <c r="A52" t="str">
        <f t="shared" ca="1" si="1"/>
        <v>11.11</v>
      </c>
      <c r="B52" s="4">
        <f t="shared" ca="1" si="2"/>
        <v>44146</v>
      </c>
      <c r="C52" s="11">
        <f t="shared" ca="1" si="0"/>
        <v>18826</v>
      </c>
      <c r="D52">
        <f t="shared" ref="D52:D63" ca="1" si="20">C52-C51</f>
        <v>291</v>
      </c>
      <c r="E52" s="11">
        <f t="shared" ca="1" si="4"/>
        <v>0</v>
      </c>
      <c r="F52" s="11">
        <f t="shared" ca="1" si="6"/>
        <v>291</v>
      </c>
      <c r="G52" s="10"/>
      <c r="K52" s="3"/>
      <c r="M52" s="16">
        <v>44146</v>
      </c>
      <c r="N52">
        <v>18826</v>
      </c>
      <c r="O52">
        <v>291</v>
      </c>
      <c r="P52" s="16">
        <v>44146</v>
      </c>
      <c r="Q52">
        <v>18826</v>
      </c>
      <c r="R52">
        <v>291</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v>44145</v>
      </c>
      <c r="ES52">
        <v>18536</v>
      </c>
      <c r="ET52">
        <v>206</v>
      </c>
      <c r="EU52" s="16">
        <v>44146</v>
      </c>
      <c r="EV52">
        <v>18826</v>
      </c>
      <c r="EW52">
        <v>291</v>
      </c>
      <c r="EX52" s="16"/>
      <c r="FA52" s="16"/>
      <c r="FD52" s="16"/>
      <c r="FG52" s="16"/>
      <c r="FJ52" s="16"/>
      <c r="FM52" s="16"/>
      <c r="FP52" s="16"/>
      <c r="FS52" s="16"/>
      <c r="FV52" s="16"/>
      <c r="FY52" s="16"/>
      <c r="GB52" s="16"/>
      <c r="GE52" s="16"/>
      <c r="GH52" s="16"/>
      <c r="GK52" s="16"/>
      <c r="GN52" s="16"/>
      <c r="GQ52" s="16"/>
      <c r="GT52" s="16"/>
      <c r="GW52" s="16"/>
      <c r="GZ52" s="16"/>
      <c r="HC52" s="16"/>
      <c r="HF52" s="16"/>
      <c r="HI52" s="16"/>
      <c r="HL52" s="16"/>
      <c r="HO52" s="16"/>
      <c r="HR52" s="16"/>
      <c r="HU52" s="16"/>
      <c r="HX52" s="16"/>
      <c r="IA52" s="16"/>
      <c r="ID52" s="16"/>
      <c r="IG52" s="16"/>
      <c r="IJ52" s="16"/>
      <c r="IM52" s="16"/>
    </row>
    <row r="53" spans="1:247">
      <c r="A53" t="str">
        <f t="shared" ca="1" si="1"/>
        <v>12.11</v>
      </c>
      <c r="B53" s="4">
        <f t="shared" ca="1" si="2"/>
        <v>44147</v>
      </c>
      <c r="C53" s="11">
        <f t="shared" ca="1" si="0"/>
        <v>19103</v>
      </c>
      <c r="D53">
        <f t="shared" ca="1" si="20"/>
        <v>277</v>
      </c>
      <c r="E53" s="11">
        <f t="shared" ca="1" si="4"/>
        <v>0</v>
      </c>
      <c r="F53" s="11">
        <f t="shared" ca="1" si="6"/>
        <v>277</v>
      </c>
      <c r="J53" s="13"/>
      <c r="K53" s="3"/>
      <c r="M53" s="16">
        <v>44147</v>
      </c>
      <c r="N53">
        <v>19103</v>
      </c>
      <c r="O53">
        <v>277</v>
      </c>
      <c r="P53" s="16">
        <v>44147</v>
      </c>
      <c r="Q53">
        <v>19103</v>
      </c>
      <c r="R53">
        <v>277</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v>44146</v>
      </c>
      <c r="ES53">
        <v>18827</v>
      </c>
      <c r="ET53">
        <v>291</v>
      </c>
      <c r="EU53" s="16">
        <v>44147</v>
      </c>
      <c r="EV53">
        <v>19103</v>
      </c>
      <c r="EW53">
        <v>277</v>
      </c>
      <c r="EX53" s="16"/>
      <c r="FA53" s="16"/>
      <c r="FD53" s="16"/>
      <c r="FG53" s="16"/>
      <c r="FJ53" s="16"/>
      <c r="FM53" s="16"/>
      <c r="FP53" s="16"/>
      <c r="FS53" s="16"/>
      <c r="FV53" s="16"/>
      <c r="FY53" s="16"/>
      <c r="GB53" s="16"/>
      <c r="GE53" s="16"/>
      <c r="GH53" s="16"/>
      <c r="GK53" s="16"/>
      <c r="GN53" s="16"/>
      <c r="GQ53" s="16"/>
      <c r="GT53" s="16"/>
      <c r="GW53" s="16"/>
      <c r="GZ53" s="16"/>
      <c r="HC53" s="16"/>
      <c r="HF53" s="16"/>
      <c r="HI53" s="16"/>
      <c r="HL53" s="16"/>
      <c r="HO53" s="16"/>
      <c r="HR53" s="16"/>
      <c r="HU53" s="16"/>
      <c r="HX53" s="16"/>
      <c r="IA53" s="16"/>
      <c r="ID53" s="16"/>
      <c r="IG53" s="16"/>
      <c r="IJ53" s="16"/>
      <c r="IM53" s="16"/>
    </row>
    <row r="54" spans="1:247">
      <c r="A54" t="str">
        <f t="shared" ca="1" si="1"/>
        <v>13.11</v>
      </c>
      <c r="B54" s="4">
        <f t="shared" ca="1" si="2"/>
        <v>44148</v>
      </c>
      <c r="C54" s="11">
        <f t="shared" ca="1" si="0"/>
        <v>19365</v>
      </c>
      <c r="D54">
        <f t="shared" ca="1" si="20"/>
        <v>262</v>
      </c>
      <c r="E54" s="11">
        <f t="shared" ca="1" si="4"/>
        <v>1</v>
      </c>
      <c r="F54" s="11">
        <f t="shared" ca="1" si="6"/>
        <v>261</v>
      </c>
      <c r="M54" s="16">
        <v>44148</v>
      </c>
      <c r="N54">
        <v>19364</v>
      </c>
      <c r="O54">
        <v>261</v>
      </c>
      <c r="P54" s="16">
        <v>44148</v>
      </c>
      <c r="Q54">
        <v>19364</v>
      </c>
      <c r="R54">
        <v>261</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v>44147</v>
      </c>
      <c r="ES54">
        <v>19104</v>
      </c>
      <c r="ET54">
        <v>277</v>
      </c>
      <c r="EU54" s="16">
        <v>44148</v>
      </c>
      <c r="EV54">
        <v>19364</v>
      </c>
      <c r="EW54">
        <v>261</v>
      </c>
      <c r="EX54" s="16"/>
      <c r="FA54" s="16"/>
      <c r="FD54" s="16"/>
      <c r="FG54" s="16"/>
      <c r="FJ54" s="16"/>
      <c r="FM54" s="16"/>
      <c r="FP54" s="16"/>
      <c r="FS54" s="16"/>
      <c r="FV54" s="16"/>
      <c r="FY54" s="16"/>
      <c r="GB54" s="16"/>
      <c r="GE54" s="16"/>
      <c r="GH54" s="16"/>
      <c r="GK54" s="16"/>
      <c r="GN54" s="16"/>
      <c r="GQ54" s="16"/>
      <c r="GT54" s="16"/>
      <c r="GW54" s="16"/>
      <c r="GZ54" s="16"/>
      <c r="HC54" s="16"/>
      <c r="HF54" s="16"/>
      <c r="HI54" s="16"/>
      <c r="HL54" s="16"/>
      <c r="HO54" s="16"/>
      <c r="HR54" s="16"/>
      <c r="HU54" s="16"/>
      <c r="HX54" s="16"/>
      <c r="IA54" s="16"/>
      <c r="ID54" s="16"/>
      <c r="IG54" s="16"/>
      <c r="IJ54" s="16"/>
      <c r="IM54" s="16"/>
    </row>
    <row r="55" spans="1:247">
      <c r="A55" t="str">
        <f t="shared" ca="1" si="1"/>
        <v>14.11</v>
      </c>
      <c r="B55" s="4">
        <f t="shared" ca="1" si="2"/>
        <v>44149</v>
      </c>
      <c r="C55" s="11">
        <f t="shared" ca="1" si="0"/>
        <v>19508</v>
      </c>
      <c r="D55">
        <f t="shared" ca="1" si="20"/>
        <v>143</v>
      </c>
      <c r="E55" s="11">
        <f t="shared" ca="1" si="4"/>
        <v>0</v>
      </c>
      <c r="F55" s="11">
        <f t="shared" ca="1" si="6"/>
        <v>143</v>
      </c>
      <c r="I55" s="10"/>
      <c r="J55" s="10">
        <f ca="1">SUM(D55:D61)</f>
        <v>2381</v>
      </c>
      <c r="K55" s="10" t="str">
        <f ca="1">TEXT(J55/J48-1,"0 %")</f>
        <v>52 %</v>
      </c>
      <c r="M55" s="16">
        <v>44149</v>
      </c>
      <c r="N55">
        <v>19507</v>
      </c>
      <c r="O55">
        <v>143</v>
      </c>
      <c r="P55" s="16">
        <v>44149</v>
      </c>
      <c r="Q55">
        <v>19507</v>
      </c>
      <c r="R55">
        <v>143</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v>44148</v>
      </c>
      <c r="ES55">
        <v>19365</v>
      </c>
      <c r="ET55">
        <v>261</v>
      </c>
      <c r="EU55" s="16">
        <v>44149</v>
      </c>
      <c r="EV55">
        <v>19507</v>
      </c>
      <c r="EW55">
        <v>143</v>
      </c>
      <c r="EX55" s="16"/>
      <c r="FA55" s="16"/>
      <c r="FD55" s="16"/>
      <c r="FG55" s="16"/>
      <c r="FJ55" s="16"/>
      <c r="FM55" s="16"/>
      <c r="FP55" s="16"/>
      <c r="FS55" s="16"/>
      <c r="FV55" s="16"/>
      <c r="FY55" s="16"/>
      <c r="GB55" s="16"/>
      <c r="GE55" s="16"/>
      <c r="GH55" s="16"/>
      <c r="GK55" s="16"/>
      <c r="GN55" s="16"/>
      <c r="GQ55" s="16"/>
      <c r="GT55" s="16"/>
      <c r="GW55" s="16"/>
      <c r="GZ55" s="16"/>
      <c r="HC55" s="16"/>
      <c r="HF55" s="16"/>
      <c r="HI55" s="16"/>
      <c r="HL55" s="16"/>
      <c r="HO55" s="16"/>
      <c r="HR55" s="16"/>
      <c r="HU55" s="16"/>
      <c r="HX55" s="16"/>
      <c r="IA55" s="16"/>
      <c r="ID55" s="16"/>
      <c r="IG55" s="16"/>
      <c r="IJ55" s="16"/>
      <c r="IM55" s="16"/>
    </row>
    <row r="56" spans="1:247">
      <c r="A56" t="str">
        <f t="shared" ca="1" si="1"/>
        <v>15.11</v>
      </c>
      <c r="B56" s="4">
        <f t="shared" ca="1" si="2"/>
        <v>44150</v>
      </c>
      <c r="C56" s="11">
        <f t="shared" ca="1" si="0"/>
        <v>19689</v>
      </c>
      <c r="D56">
        <f t="shared" ca="1" si="20"/>
        <v>181</v>
      </c>
      <c r="E56" s="11">
        <f t="shared" ca="1" si="4"/>
        <v>0</v>
      </c>
      <c r="F56" s="11">
        <f t="shared" ca="1" si="6"/>
        <v>181</v>
      </c>
      <c r="K56" s="3"/>
      <c r="M56" s="16">
        <v>44150</v>
      </c>
      <c r="N56">
        <v>19688</v>
      </c>
      <c r="O56">
        <v>181</v>
      </c>
      <c r="P56" s="16">
        <v>44150</v>
      </c>
      <c r="Q56">
        <v>19688</v>
      </c>
      <c r="R56">
        <v>181</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v>44149</v>
      </c>
      <c r="ES56">
        <v>19510</v>
      </c>
      <c r="ET56">
        <v>145</v>
      </c>
      <c r="EU56" s="16">
        <v>44150</v>
      </c>
      <c r="EV56">
        <v>19688</v>
      </c>
      <c r="EW56">
        <v>181</v>
      </c>
      <c r="EX56" s="16"/>
      <c r="FA56" s="16"/>
      <c r="FD56" s="16"/>
      <c r="FG56" s="16"/>
      <c r="FJ56" s="16"/>
      <c r="FM56" s="16"/>
      <c r="FP56" s="16"/>
      <c r="FS56" s="16"/>
      <c r="FV56" s="16"/>
      <c r="FY56" s="16"/>
      <c r="GB56" s="16"/>
      <c r="GE56" s="16"/>
      <c r="GH56" s="16"/>
      <c r="GK56" s="16"/>
      <c r="GN56" s="16"/>
      <c r="GQ56" s="16"/>
      <c r="GT56" s="16"/>
      <c r="GW56" s="16"/>
      <c r="GZ56" s="16"/>
      <c r="HC56" s="16"/>
      <c r="HF56" s="16"/>
      <c r="HI56" s="16"/>
      <c r="HL56" s="16"/>
      <c r="HO56" s="16"/>
      <c r="HR56" s="16"/>
      <c r="HU56" s="16"/>
      <c r="HX56" s="16"/>
      <c r="IA56" s="16"/>
      <c r="ID56" s="16"/>
      <c r="IG56" s="16"/>
      <c r="IJ56" s="16"/>
      <c r="IM56" s="16"/>
    </row>
    <row r="57" spans="1:247">
      <c r="A57" t="str">
        <f t="shared" ca="1" si="1"/>
        <v>Ma 16</v>
      </c>
      <c r="B57" s="4">
        <f t="shared" ca="1" si="2"/>
        <v>44151</v>
      </c>
      <c r="C57" s="11">
        <f t="shared" ca="1" si="0"/>
        <v>20082</v>
      </c>
      <c r="D57">
        <f t="shared" ca="1" si="20"/>
        <v>393</v>
      </c>
      <c r="E57" s="11">
        <f t="shared" ca="1" si="4"/>
        <v>1</v>
      </c>
      <c r="F57" s="11">
        <f t="shared" ca="1" si="6"/>
        <v>392</v>
      </c>
      <c r="J57" s="13"/>
      <c r="K57" s="3"/>
      <c r="M57" s="16">
        <v>44151</v>
      </c>
      <c r="N57">
        <v>20080</v>
      </c>
      <c r="O57">
        <v>392</v>
      </c>
      <c r="P57" s="16">
        <v>44151</v>
      </c>
      <c r="Q57">
        <v>20080</v>
      </c>
      <c r="R57">
        <v>392</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v>44150</v>
      </c>
      <c r="ES57">
        <v>19692</v>
      </c>
      <c r="ET57">
        <v>182</v>
      </c>
      <c r="EU57" s="16">
        <v>44151</v>
      </c>
      <c r="EV57">
        <v>20080</v>
      </c>
      <c r="EW57">
        <v>392</v>
      </c>
      <c r="EX57" s="16"/>
      <c r="FA57" s="16"/>
      <c r="FD57" s="16"/>
      <c r="FG57" s="16"/>
      <c r="FJ57" s="16"/>
      <c r="FM57" s="16"/>
      <c r="FP57" s="16"/>
      <c r="FS57" s="16"/>
      <c r="FV57" s="16"/>
      <c r="FY57" s="16"/>
      <c r="GB57" s="16"/>
      <c r="GE57" s="16"/>
      <c r="GH57" s="16"/>
      <c r="GK57" s="16"/>
      <c r="GN57" s="16"/>
      <c r="GQ57" s="16"/>
      <c r="GT57" s="16"/>
      <c r="GW57" s="16"/>
      <c r="GZ57" s="16"/>
      <c r="HC57" s="16"/>
      <c r="HF57" s="16"/>
      <c r="HI57" s="16"/>
      <c r="HL57" s="16"/>
      <c r="HO57" s="16"/>
      <c r="HR57" s="16"/>
      <c r="HU57" s="16"/>
      <c r="HX57" s="16"/>
      <c r="IA57" s="16"/>
      <c r="ID57" s="16"/>
      <c r="IG57" s="16"/>
      <c r="IJ57" s="16"/>
      <c r="IM57" s="16"/>
    </row>
    <row r="58" spans="1:247" s="10" customFormat="1">
      <c r="A58" t="str">
        <f t="shared" ca="1" si="1"/>
        <v>17.11</v>
      </c>
      <c r="B58" s="9">
        <f t="shared" ca="1" si="2"/>
        <v>44152</v>
      </c>
      <c r="C58" s="10">
        <f t="shared" ca="1" si="0"/>
        <v>20475</v>
      </c>
      <c r="D58" s="10">
        <f t="shared" ca="1" si="20"/>
        <v>393</v>
      </c>
      <c r="E58" s="10">
        <f t="shared" ca="1" si="4"/>
        <v>0</v>
      </c>
      <c r="F58" s="10">
        <f t="shared" ca="1" si="6"/>
        <v>393</v>
      </c>
      <c r="G58" s="10">
        <f ca="1">SUM(D58:D64)</f>
        <v>2207</v>
      </c>
      <c r="H58" s="10" t="str">
        <f ca="1">TEXT(G58/G51-1,"0 %")</f>
        <v>26 %</v>
      </c>
      <c r="K58" s="14"/>
      <c r="L58"/>
      <c r="M58" s="17">
        <v>44152</v>
      </c>
      <c r="N58" s="10">
        <v>20473</v>
      </c>
      <c r="O58" s="10">
        <v>393</v>
      </c>
      <c r="P58" s="17">
        <v>44152</v>
      </c>
      <c r="Q58" s="10">
        <v>20473</v>
      </c>
      <c r="R58" s="10">
        <v>393</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v>44151</v>
      </c>
      <c r="ES58" s="10">
        <v>20084</v>
      </c>
      <c r="ET58" s="10">
        <v>392</v>
      </c>
      <c r="EU58" s="17">
        <v>44152</v>
      </c>
      <c r="EV58" s="10">
        <v>20473</v>
      </c>
      <c r="EW58" s="10">
        <v>393</v>
      </c>
      <c r="EX58" s="17"/>
      <c r="FA58" s="17"/>
      <c r="FD58" s="17"/>
      <c r="FG58" s="17"/>
      <c r="FJ58" s="17"/>
      <c r="FM58" s="17"/>
      <c r="FP58" s="17"/>
      <c r="FS58" s="17"/>
      <c r="FV58" s="17"/>
      <c r="FY58" s="17"/>
      <c r="GB58" s="17"/>
      <c r="GE58" s="17"/>
      <c r="GH58" s="17"/>
      <c r="GK58" s="17"/>
      <c r="GN58" s="17"/>
      <c r="GQ58" s="17"/>
      <c r="GT58" s="17"/>
      <c r="GW58" s="17"/>
      <c r="GZ58" s="17"/>
      <c r="HC58" s="17"/>
      <c r="HF58" s="17"/>
      <c r="HI58" s="17"/>
      <c r="HL58" s="17"/>
      <c r="HO58" s="17"/>
      <c r="HR58" s="17"/>
      <c r="HU58" s="17"/>
      <c r="HX58" s="17"/>
      <c r="IA58" s="17"/>
      <c r="ID58" s="17"/>
      <c r="IG58" s="17"/>
      <c r="IJ58" s="17"/>
      <c r="IM58" s="17"/>
    </row>
    <row r="59" spans="1:247">
      <c r="A59" t="str">
        <f t="shared" ca="1" si="1"/>
        <v>18.11</v>
      </c>
      <c r="B59" s="4">
        <f t="shared" ca="1" si="2"/>
        <v>44153</v>
      </c>
      <c r="C59" s="11">
        <f t="shared" ca="1" si="0"/>
        <v>20844</v>
      </c>
      <c r="D59">
        <f t="shared" ca="1" si="20"/>
        <v>369</v>
      </c>
      <c r="E59" s="11">
        <f t="shared" ca="1" si="4"/>
        <v>0</v>
      </c>
      <c r="F59" s="11">
        <f t="shared" ca="1" si="6"/>
        <v>369</v>
      </c>
      <c r="H59" s="10"/>
      <c r="J59" s="13"/>
      <c r="K59" s="3"/>
      <c r="M59" s="16">
        <v>44153</v>
      </c>
      <c r="N59">
        <v>20842</v>
      </c>
      <c r="O59">
        <v>369</v>
      </c>
      <c r="P59" s="16">
        <v>44153</v>
      </c>
      <c r="Q59">
        <v>20842</v>
      </c>
      <c r="R59">
        <v>369</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v>44152</v>
      </c>
      <c r="ES59">
        <v>20478</v>
      </c>
      <c r="ET59">
        <v>394</v>
      </c>
      <c r="EU59" s="16">
        <v>44153</v>
      </c>
      <c r="EV59">
        <v>20842</v>
      </c>
      <c r="EW59">
        <v>369</v>
      </c>
      <c r="EX59" s="16"/>
      <c r="FA59" s="16"/>
      <c r="FD59" s="16"/>
      <c r="FG59" s="16"/>
      <c r="FJ59" s="16"/>
      <c r="FM59" s="16"/>
      <c r="FP59" s="16"/>
      <c r="FS59" s="16"/>
      <c r="FV59" s="16"/>
      <c r="FY59" s="16"/>
      <c r="GB59" s="16"/>
      <c r="GE59" s="16"/>
      <c r="GH59" s="16"/>
      <c r="GK59" s="16"/>
      <c r="GN59" s="16"/>
      <c r="GQ59" s="16"/>
      <c r="GT59" s="16"/>
      <c r="GW59" s="16"/>
      <c r="GZ59" s="16"/>
      <c r="HC59" s="16"/>
      <c r="HF59" s="16"/>
      <c r="HI59" s="16"/>
      <c r="HL59" s="16"/>
      <c r="HO59" s="16"/>
      <c r="HR59" s="16"/>
      <c r="HU59" s="16"/>
      <c r="HX59" s="16"/>
      <c r="IA59" s="16"/>
      <c r="ID59" s="16"/>
      <c r="IG59" s="16"/>
      <c r="IJ59" s="16"/>
      <c r="IM59" s="16"/>
    </row>
    <row r="60" spans="1:247">
      <c r="A60" t="str">
        <f t="shared" ca="1" si="1"/>
        <v>19.11</v>
      </c>
      <c r="B60" s="4">
        <f t="shared" ca="1" si="2"/>
        <v>44154</v>
      </c>
      <c r="C60" s="11">
        <f t="shared" ca="1" si="0"/>
        <v>21322</v>
      </c>
      <c r="D60">
        <f t="shared" ca="1" si="20"/>
        <v>478</v>
      </c>
      <c r="E60" s="11">
        <f t="shared" ca="1" si="4"/>
        <v>7</v>
      </c>
      <c r="F60" s="11">
        <f t="shared" ca="1" si="6"/>
        <v>471</v>
      </c>
      <c r="J60" s="4"/>
      <c r="K60" s="3"/>
      <c r="M60" s="16">
        <v>44154</v>
      </c>
      <c r="N60">
        <v>21313</v>
      </c>
      <c r="O60">
        <v>471</v>
      </c>
      <c r="P60" s="16">
        <v>44154</v>
      </c>
      <c r="Q60">
        <v>21313</v>
      </c>
      <c r="R60">
        <v>471</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v>44153</v>
      </c>
      <c r="ES60">
        <v>20850</v>
      </c>
      <c r="ET60">
        <v>372</v>
      </c>
      <c r="EU60" s="16">
        <v>44154</v>
      </c>
      <c r="EV60">
        <v>21313</v>
      </c>
      <c r="EW60">
        <v>471</v>
      </c>
      <c r="EX60" s="16"/>
      <c r="FA60" s="16"/>
      <c r="FD60" s="16"/>
      <c r="FG60" s="16"/>
      <c r="FJ60" s="16"/>
      <c r="FM60" s="16"/>
      <c r="FP60" s="16"/>
      <c r="FS60" s="16"/>
      <c r="FV60" s="16"/>
      <c r="FY60" s="16"/>
      <c r="GB60" s="16"/>
      <c r="GE60" s="16"/>
      <c r="GH60" s="16"/>
      <c r="GK60" s="16"/>
      <c r="GN60" s="16"/>
      <c r="GQ60" s="16"/>
      <c r="GT60" s="16"/>
      <c r="GW60" s="16"/>
      <c r="GZ60" s="16"/>
      <c r="HC60" s="16"/>
      <c r="HF60" s="16"/>
      <c r="HI60" s="16"/>
      <c r="HL60" s="16"/>
      <c r="HO60" s="16"/>
      <c r="HR60" s="16"/>
      <c r="HU60" s="16"/>
      <c r="HX60" s="16"/>
      <c r="IA60" s="16"/>
      <c r="ID60" s="16"/>
      <c r="IG60" s="16"/>
      <c r="IJ60" s="16"/>
      <c r="IM60" s="16"/>
    </row>
    <row r="61" spans="1:247">
      <c r="A61" t="str">
        <f t="shared" ca="1" si="1"/>
        <v>20.11</v>
      </c>
      <c r="B61" s="4">
        <f t="shared" ca="1" si="2"/>
        <v>44155</v>
      </c>
      <c r="C61" s="11">
        <f t="shared" ca="1" si="0"/>
        <v>21746</v>
      </c>
      <c r="D61">
        <f t="shared" ca="1" si="20"/>
        <v>424</v>
      </c>
      <c r="E61" s="11">
        <f t="shared" ca="1" si="4"/>
        <v>57</v>
      </c>
      <c r="F61" s="11">
        <f t="shared" ca="1" si="6"/>
        <v>367</v>
      </c>
      <c r="J61" s="4"/>
      <c r="K61" s="3"/>
      <c r="M61" s="16">
        <v>44155</v>
      </c>
      <c r="N61">
        <v>21680</v>
      </c>
      <c r="O61">
        <v>367</v>
      </c>
      <c r="P61" s="16">
        <v>44155</v>
      </c>
      <c r="Q61">
        <v>21680</v>
      </c>
      <c r="R61">
        <v>367</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v>44154</v>
      </c>
      <c r="ES61">
        <v>21258</v>
      </c>
      <c r="ET61">
        <v>408</v>
      </c>
      <c r="EU61" s="16">
        <v>44155</v>
      </c>
      <c r="EV61">
        <v>21680</v>
      </c>
      <c r="EW61">
        <v>367</v>
      </c>
      <c r="EX61" s="16"/>
      <c r="FA61" s="16"/>
      <c r="FD61" s="16"/>
      <c r="FG61" s="16"/>
      <c r="FJ61" s="16"/>
      <c r="FM61" s="16"/>
      <c r="FP61" s="16"/>
      <c r="FS61" s="16"/>
      <c r="FV61" s="16"/>
      <c r="FY61" s="16"/>
      <c r="GB61" s="16"/>
      <c r="GE61" s="16"/>
      <c r="GH61" s="16"/>
      <c r="GK61" s="16"/>
      <c r="GN61" s="16"/>
      <c r="GQ61" s="16"/>
      <c r="GT61" s="16"/>
      <c r="GW61" s="16"/>
      <c r="GZ61" s="16"/>
      <c r="HC61" s="16"/>
      <c r="HF61" s="16"/>
      <c r="HI61" s="16"/>
      <c r="HL61" s="16"/>
      <c r="HO61" s="16"/>
      <c r="HR61" s="16"/>
      <c r="HU61" s="16"/>
      <c r="HX61" s="16"/>
      <c r="IA61" s="16"/>
      <c r="ID61" s="16"/>
      <c r="IG61" s="16"/>
      <c r="IJ61" s="16"/>
      <c r="IM61" s="16"/>
    </row>
    <row r="62" spans="1:247">
      <c r="A62" t="str">
        <f t="shared" ca="1" si="1"/>
        <v>21.11</v>
      </c>
      <c r="B62" s="4">
        <f t="shared" ca="1" si="2"/>
        <v>44156</v>
      </c>
      <c r="C62" s="11">
        <f t="shared" ca="1" si="0"/>
        <v>21984</v>
      </c>
      <c r="D62">
        <f t="shared" ca="1" si="20"/>
        <v>238</v>
      </c>
      <c r="E62" s="11">
        <f t="shared" ca="1" si="4"/>
        <v>48</v>
      </c>
      <c r="F62" s="11">
        <f t="shared" ca="1" si="6"/>
        <v>190</v>
      </c>
      <c r="J62" s="4"/>
      <c r="K62" s="3"/>
      <c r="M62" s="16">
        <v>44156</v>
      </c>
      <c r="N62">
        <v>21870</v>
      </c>
      <c r="O62">
        <v>190</v>
      </c>
      <c r="P62" s="16">
        <v>44156</v>
      </c>
      <c r="Q62">
        <v>21870</v>
      </c>
      <c r="R62">
        <v>190</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v>44155</v>
      </c>
      <c r="ES62">
        <v>21564</v>
      </c>
      <c r="ET62">
        <v>306</v>
      </c>
      <c r="EU62" s="16">
        <v>44156</v>
      </c>
      <c r="EV62">
        <v>21870</v>
      </c>
      <c r="EW62">
        <v>190</v>
      </c>
      <c r="EX62" s="16"/>
      <c r="FA62" s="16"/>
      <c r="FD62" s="16"/>
      <c r="FG62" s="16"/>
      <c r="FJ62" s="16"/>
      <c r="FM62" s="16"/>
      <c r="FP62" s="16"/>
      <c r="FS62" s="16"/>
      <c r="FV62" s="16"/>
      <c r="FY62" s="16"/>
      <c r="GB62" s="16"/>
      <c r="GE62" s="16"/>
      <c r="GH62" s="16"/>
      <c r="GK62" s="16"/>
      <c r="GN62" s="16"/>
      <c r="GQ62" s="16"/>
      <c r="GT62" s="16"/>
      <c r="GW62" s="16"/>
      <c r="GZ62" s="16"/>
      <c r="HC62" s="16"/>
      <c r="HF62" s="16"/>
      <c r="HI62" s="16"/>
      <c r="HL62" s="16"/>
      <c r="HO62" s="16"/>
      <c r="HR62" s="16"/>
      <c r="HU62" s="16"/>
      <c r="HX62" s="16"/>
      <c r="IA62" s="16"/>
      <c r="ID62" s="16"/>
      <c r="IG62" s="16"/>
      <c r="IJ62" s="16"/>
      <c r="IM62" s="16"/>
    </row>
    <row r="63" spans="1:247">
      <c r="A63" t="str">
        <f t="shared" ca="1" si="1"/>
        <v>22.11</v>
      </c>
      <c r="B63" s="4">
        <f ca="1">B64-1</f>
        <v>44157</v>
      </c>
      <c r="C63" s="11">
        <f t="shared" ca="1" si="0"/>
        <v>22182</v>
      </c>
      <c r="D63">
        <f t="shared" ca="1" si="20"/>
        <v>198</v>
      </c>
      <c r="E63" s="11">
        <f t="shared" ca="1" si="4"/>
        <v>132</v>
      </c>
      <c r="F63" s="11">
        <f t="shared" ca="1" si="6"/>
        <v>66</v>
      </c>
      <c r="J63" s="4"/>
      <c r="K63" s="3"/>
      <c r="M63" s="16">
        <v>44157</v>
      </c>
      <c r="N63">
        <v>21936</v>
      </c>
      <c r="O63">
        <v>66</v>
      </c>
      <c r="P63" s="16">
        <v>44157</v>
      </c>
      <c r="Q63">
        <v>21936</v>
      </c>
      <c r="R63">
        <v>66</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v>44156</v>
      </c>
      <c r="ES63">
        <v>21639</v>
      </c>
      <c r="ET63">
        <v>75</v>
      </c>
      <c r="EU63" s="16">
        <v>44157</v>
      </c>
      <c r="EV63">
        <v>21936</v>
      </c>
      <c r="EW63">
        <v>66</v>
      </c>
      <c r="EX63" s="16"/>
      <c r="FA63" s="16"/>
      <c r="FD63" s="16"/>
      <c r="FG63" s="16"/>
      <c r="FJ63" s="16"/>
      <c r="FM63" s="16"/>
      <c r="FP63" s="16"/>
      <c r="FS63" s="16"/>
      <c r="FV63" s="16"/>
      <c r="FY63" s="16"/>
      <c r="GB63" s="16"/>
      <c r="GE63" s="16"/>
      <c r="GH63" s="16"/>
      <c r="GK63" s="16"/>
      <c r="GN63" s="16"/>
      <c r="GQ63" s="16"/>
      <c r="GT63" s="16"/>
      <c r="GW63" s="16"/>
      <c r="GZ63" s="16"/>
      <c r="HC63" s="16"/>
      <c r="HF63" s="16"/>
      <c r="HI63" s="16"/>
      <c r="HL63" s="16"/>
      <c r="HO63" s="16"/>
      <c r="HR63" s="16"/>
      <c r="HU63" s="16"/>
      <c r="HX63" s="16"/>
      <c r="IA63" s="16"/>
      <c r="ID63" s="16"/>
      <c r="IG63" s="16"/>
      <c r="IJ63" s="16"/>
      <c r="IM63" s="16"/>
    </row>
    <row r="64" spans="1:247" s="10" customFormat="1">
      <c r="A64" t="str">
        <f t="shared" ca="1" si="1"/>
        <v>Ma 23</v>
      </c>
      <c r="B64" s="9">
        <f ca="1">B65-1</f>
        <v>44158</v>
      </c>
      <c r="C64" s="10">
        <f t="shared" ca="1" si="0"/>
        <v>22289</v>
      </c>
      <c r="D64" s="10">
        <f ca="1">C64-C63</f>
        <v>107</v>
      </c>
      <c r="E64" s="10">
        <f t="shared" ca="1" si="4"/>
        <v>107</v>
      </c>
      <c r="F64" s="10">
        <f t="shared" ca="1" si="6"/>
        <v>0</v>
      </c>
      <c r="J64" s="9"/>
      <c r="K64" s="14"/>
      <c r="M64" s="17">
        <v>44158</v>
      </c>
      <c r="N64" s="10">
        <v>21936</v>
      </c>
      <c r="O64" s="10">
        <v>0</v>
      </c>
      <c r="P64" s="17">
        <v>44158</v>
      </c>
      <c r="Q64" s="10">
        <v>21936</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v>44157</v>
      </c>
      <c r="ES64" s="10">
        <v>21639</v>
      </c>
      <c r="ET64" s="10">
        <v>0</v>
      </c>
      <c r="EU64" s="17">
        <v>44158</v>
      </c>
      <c r="EV64" s="10">
        <v>21936</v>
      </c>
      <c r="EW64" s="10">
        <v>0</v>
      </c>
      <c r="EX64" s="17"/>
      <c r="FA64" s="17"/>
      <c r="FD64" s="17"/>
      <c r="FG64" s="17"/>
      <c r="FJ64" s="17"/>
      <c r="FM64" s="17"/>
      <c r="FP64" s="17"/>
      <c r="FS64" s="17"/>
      <c r="FV64" s="17"/>
      <c r="FY64" s="17"/>
      <c r="GB64" s="17"/>
      <c r="GE64" s="17"/>
      <c r="GH64" s="17"/>
      <c r="GK64" s="17"/>
      <c r="GN64" s="17"/>
      <c r="GQ64" s="17"/>
      <c r="GT64" s="17"/>
      <c r="GW64" s="17"/>
      <c r="GZ64" s="17"/>
      <c r="HC64" s="17"/>
      <c r="HF64" s="17"/>
      <c r="HI64" s="17"/>
      <c r="HL64" s="17"/>
      <c r="HO64" s="17"/>
      <c r="HR64" s="17"/>
      <c r="HU64" s="17"/>
      <c r="HX64" s="17"/>
      <c r="IA64" s="17"/>
      <c r="ID64" s="17"/>
      <c r="IG64" s="17"/>
      <c r="IJ64" s="17"/>
      <c r="IM64" s="17"/>
    </row>
    <row r="65" spans="1:247">
      <c r="A65" t="str">
        <f t="shared" ca="1" si="1"/>
        <v>24.11</v>
      </c>
      <c r="B65" s="12">
        <f ca="1">FLOOR(NOW(),1)</f>
        <v>44159</v>
      </c>
      <c r="C65" s="11">
        <f t="shared" ca="1" si="0"/>
        <v>22289</v>
      </c>
      <c r="D65" s="11">
        <f ca="1">C65-C64</f>
        <v>0</v>
      </c>
      <c r="E65" s="11">
        <f ca="1">_xlfn.IFNA(D65-F65,"")</f>
        <v>0</v>
      </c>
      <c r="F65" s="11">
        <f t="shared" ca="1" si="6"/>
        <v>0</v>
      </c>
      <c r="K65" t="s">
        <v>309</v>
      </c>
      <c r="L65">
        <f ca="1">C65-N65</f>
        <v>353</v>
      </c>
      <c r="M65" s="16">
        <v>44159</v>
      </c>
      <c r="N65">
        <v>21936</v>
      </c>
      <c r="O65">
        <v>0</v>
      </c>
      <c r="P65" s="16">
        <v>44159</v>
      </c>
      <c r="Q65">
        <v>21936</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v>44158</v>
      </c>
      <c r="ES65">
        <v>21639</v>
      </c>
      <c r="ET65">
        <v>0</v>
      </c>
      <c r="EU65" s="16">
        <v>44159</v>
      </c>
      <c r="EV65">
        <v>21936</v>
      </c>
      <c r="EW65">
        <v>0</v>
      </c>
      <c r="EX65" s="16"/>
      <c r="FA65" s="16"/>
      <c r="FD65" s="16"/>
      <c r="FG65" s="16"/>
      <c r="FJ65" s="16"/>
      <c r="FM65" s="16"/>
      <c r="FP65" s="16"/>
      <c r="FS65" s="16"/>
      <c r="FV65" s="16"/>
      <c r="FY65" s="16"/>
      <c r="GB65" s="16"/>
      <c r="GE65" s="16"/>
      <c r="GH65" s="16"/>
      <c r="GK65" s="16"/>
      <c r="GN65" s="16"/>
      <c r="GQ65" s="16"/>
      <c r="GT65" s="16"/>
      <c r="GW65" s="16"/>
      <c r="GZ65" s="16"/>
      <c r="HC65" s="16"/>
      <c r="HF65" s="16"/>
      <c r="HI65" s="16"/>
      <c r="HL65" s="16"/>
      <c r="HO65" s="16"/>
      <c r="HR65" s="16"/>
      <c r="HU65" s="16"/>
      <c r="HX65" s="16"/>
      <c r="IA65" s="16"/>
      <c r="ID65" s="16"/>
      <c r="IG65" s="16"/>
      <c r="IJ65" s="16"/>
      <c r="IM65" s="16"/>
    </row>
    <row r="66" spans="1:247">
      <c r="CM66" s="16"/>
      <c r="CP66" s="16"/>
      <c r="CS66" s="16"/>
      <c r="CV66" s="16"/>
      <c r="CY66" s="16"/>
      <c r="DB66" s="16"/>
      <c r="DE66" s="16"/>
      <c r="DH66" s="16"/>
      <c r="DK66" s="16"/>
      <c r="DN66" s="16"/>
      <c r="DQ66" s="16"/>
      <c r="DT66" s="16"/>
      <c r="DW66" s="16"/>
      <c r="DZ66" s="16"/>
    </row>
    <row r="67" spans="1:247">
      <c r="A67">
        <v>1</v>
      </c>
      <c r="B67">
        <v>2</v>
      </c>
      <c r="C67">
        <v>3</v>
      </c>
      <c r="D67">
        <v>4</v>
      </c>
      <c r="E67">
        <v>5</v>
      </c>
      <c r="F67">
        <v>6</v>
      </c>
      <c r="G67">
        <v>7</v>
      </c>
      <c r="H67">
        <v>8</v>
      </c>
      <c r="I67">
        <v>9</v>
      </c>
      <c r="J67">
        <v>10</v>
      </c>
      <c r="K67">
        <v>11</v>
      </c>
      <c r="L67">
        <v>12</v>
      </c>
      <c r="M67"/>
      <c r="P67"/>
      <c r="R67" t="s">
        <v>329</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f>CN65-CK65</f>
        <v>109</v>
      </c>
      <c r="CL67" s="16"/>
      <c r="CM67">
        <f>CQ65-CN65</f>
        <v>237</v>
      </c>
      <c r="CO67" s="16"/>
      <c r="CP67">
        <f>CT65-CQ65</f>
        <v>293</v>
      </c>
      <c r="CR67" s="16"/>
      <c r="CS67" s="10">
        <f>CW65-CT65</f>
        <v>189</v>
      </c>
      <c r="CU67" s="16"/>
      <c r="CV67">
        <f>CZ65-CW65</f>
        <v>266</v>
      </c>
      <c r="CX67" s="16"/>
      <c r="CY67">
        <f>DC65-CZ65</f>
        <v>412</v>
      </c>
      <c r="DA67" s="16"/>
      <c r="DB67">
        <f>DF65-DC65</f>
        <v>90</v>
      </c>
      <c r="DD67" s="16"/>
      <c r="DE67">
        <f>DI65-DF65</f>
        <v>220</v>
      </c>
      <c r="DG67" s="16"/>
      <c r="DH67">
        <f>DL65-DI65</f>
        <v>238</v>
      </c>
      <c r="DJ67" s="16"/>
      <c r="DK67">
        <f>DO65-DL65</f>
        <v>197</v>
      </c>
      <c r="DM67" s="16"/>
      <c r="DN67" s="10">
        <f>DR65-DO65</f>
        <v>316</v>
      </c>
      <c r="DP67" s="16"/>
      <c r="DQ67">
        <f>DU65-DR65</f>
        <v>244</v>
      </c>
      <c r="DS67" s="16"/>
      <c r="DT67">
        <f>DX65-DU65</f>
        <v>213</v>
      </c>
      <c r="DW67">
        <f>EA65-DX65</f>
        <v>104</v>
      </c>
      <c r="DY67" s="16"/>
      <c r="DZ67">
        <f>ED65-EA65</f>
        <v>228</v>
      </c>
      <c r="EB67" s="16"/>
      <c r="EC67">
        <f>EG65-ED65</f>
        <v>288</v>
      </c>
      <c r="EF67">
        <f>EJ65-EG65</f>
        <v>351</v>
      </c>
      <c r="EI67">
        <f>EM65-EJ65</f>
        <v>461</v>
      </c>
      <c r="EL67">
        <f>EP65-EM65</f>
        <v>469</v>
      </c>
      <c r="EO67">
        <f>ES65-EP65</f>
        <v>423</v>
      </c>
      <c r="ER67">
        <f>EV65-ES65</f>
        <v>297</v>
      </c>
      <c r="EU67">
        <f>EY65-EV65</f>
        <v>-21936</v>
      </c>
      <c r="EX67">
        <f>FB65-EY65</f>
        <v>0</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2020-11-24T16:27:10Z</dcterms:modified>
</cp:coreProperties>
</file>