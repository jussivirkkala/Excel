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6B132262-44F0-4E53-BFF1-0C8AD86D95D5}"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 name="Sheet1" sheetId="4" r:id="rId4"/>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53" i="1" l="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11" i="1"/>
  <c r="G309" i="1"/>
  <c r="G310" i="1"/>
  <c r="G308" i="1"/>
  <c r="CG67" i="2" l="1"/>
  <c r="CD67" i="2"/>
  <c r="CA67" i="2"/>
  <c r="BX67" i="2"/>
  <c r="BU67" i="2"/>
  <c r="BR67" i="2"/>
  <c r="BO67" i="2"/>
  <c r="BL67" i="2" l="1"/>
  <c r="BI67" i="2"/>
  <c r="AT67" i="2"/>
  <c r="BC67" i="2" l="1"/>
  <c r="BF67" i="2"/>
  <c r="AZ67" i="2"/>
  <c r="AW67" i="2" l="1"/>
  <c r="AQ67" i="2" l="1"/>
  <c r="AN67" i="2"/>
  <c r="M1" i="1" l="1"/>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4"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B54" i="2"/>
  <c r="A54" i="2" s="1"/>
  <c r="E56" i="2" l="1"/>
  <c r="F54" i="2"/>
  <c r="C54" i="2"/>
  <c r="D55" i="2" s="1"/>
  <c r="B53" i="2"/>
  <c r="A53" i="2" s="1"/>
  <c r="E55" i="2" l="1"/>
  <c r="J54" i="2"/>
  <c r="F53" i="2"/>
  <c r="C53" i="2"/>
  <c r="D54" i="2" s="1"/>
  <c r="B52" i="2"/>
  <c r="A52" i="2" s="1"/>
  <c r="E54" i="2" l="1"/>
  <c r="F52" i="2"/>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B46" i="2"/>
  <c r="A46" i="2" s="1"/>
  <c r="E48" i="2" l="1"/>
  <c r="J47" i="2"/>
  <c r="K54"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B39" i="2"/>
  <c r="A39" i="2" s="1"/>
  <c r="E41" i="2" l="1"/>
  <c r="J40" i="2"/>
  <c r="K47" i="2" s="1"/>
  <c r="F39" i="2"/>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P28" i="2" s="1"/>
  <c r="A32" i="2" s="1"/>
  <c r="A31" i="2" l="1"/>
</calcChain>
</file>

<file path=xl/sharedStrings.xml><?xml version="1.0" encoding="utf-8"?>
<sst xmlns="http://schemas.openxmlformats.org/spreadsheetml/2006/main" count="665" uniqueCount="348">
  <si>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</si>
  <si>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</si>
  <si>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</si>
  <si>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</si>
  <si>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</si>
  <si>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</si>
  <si>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</si>
  <si>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</si>
  <si>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</si>
  <si>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</si>
  <si>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</si>
  <si>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</si>
  <si>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</si>
  <si>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</si>
  <si>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</si>
  <si>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</si>
  <si>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</si>
  <si>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</si>
  <si>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</si>
  <si>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</si>
  <si>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</si>
  <si>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</si>
  <si>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</si>
  <si>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</si>
  <si>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</si>
  <si>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</si>
  <si>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</si>
  <si>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</si>
  <si>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</si>
  <si>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</si>
  <si>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</si>
  <si>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</si>
  <si>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</si>
  <si>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</si>
  <si>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</si>
  <si>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</si>
  <si>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</si>
  <si>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</si>
  <si>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</si>
  <si>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</si>
  <si>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</si>
  <si>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</si>
  <si>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</si>
  <si>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</si>
  <si>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</si>
  <si>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</si>
  <si>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</si>
  <si>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</si>
  <si>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</si>
  <si>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</si>
  <si>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</si>
  <si>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</si>
  <si>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</si>
  <si>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</si>
  <si>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</si>
  <si>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</si>
  <si>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</si>
  <si>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</si>
  <si>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</si>
  <si>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</si>
  <si>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</si>
  <si>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</si>
  <si>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</si>
  <si>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</si>
  <si>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</si>
  <si>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</si>
  <si>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</si>
  <si>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</si>
  <si>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</si>
  <si>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</si>
  <si>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</si>
  <si>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</si>
  <si>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</si>
  <si>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</si>
  <si>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</si>
  <si>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</si>
  <si>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</si>
  <si>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</si>
  <si>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</si>
  <si>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</si>
  <si>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</si>
  <si>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</si>
  <si>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</si>
  <si>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</si>
  <si>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</si>
  <si>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</si>
  <si>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</si>
  <si>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</si>
  <si>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</si>
  <si>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</si>
  <si>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</si>
  <si>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</si>
  <si>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</si>
  <si>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</si>
  <si>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</si>
  <si>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</si>
  <si>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</si>
  <si>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</si>
  <si>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</si>
  <si>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</si>
  <si>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</si>
  <si>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</si>
  <si>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</si>
  <si>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</si>
  <si>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</si>
  <si>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</si>
  <si>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</si>
  <si>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</si>
  <si>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</si>
  <si>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</si>
  <si>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</si>
  <si>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</si>
  <si>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</si>
  <si>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</si>
  <si>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</si>
  <si>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</si>
  <si>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</si>
  <si>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</si>
  <si>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</si>
  <si>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</si>
  <si>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</si>
  <si>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</si>
  <si>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</si>
  <si>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</si>
  <si>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</si>
  <si>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</si>
  <si>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</si>
  <si>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</si>
  <si>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</si>
  <si>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</si>
  <si>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</si>
  <si>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</si>
  <si>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</si>
  <si>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</si>
  <si>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</si>
  <si>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</si>
  <si>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</si>
  <si>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</si>
  <si>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</si>
  <si>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</si>
  <si>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</si>
  <si>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</si>
  <si>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</si>
  <si>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</si>
  <si>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</si>
  <si>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</si>
  <si>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</si>
  <si>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</si>
  <si>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</si>
  <si>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</si>
  <si>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</si>
  <si>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</si>
  <si>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</si>
  <si>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</si>
  <si>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</si>
  <si>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</si>
  <si>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</si>
  <si>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</si>
  <si>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</si>
  <si>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</si>
  <si>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</si>
  <si>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</si>
  <si>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</si>
  <si>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</si>
  <si>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</si>
  <si>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</si>
  <si>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</si>
  <si>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</si>
  <si>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</si>
  <si>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</si>
  <si>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</si>
  <si>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</si>
  <si>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</si>
  <si>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</si>
  <si>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</si>
  <si>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</si>
  <si>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</si>
  <si>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</si>
  <si>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</si>
  <si>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</si>
  <si>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</si>
  <si>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</si>
  <si>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</si>
  <si>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</si>
  <si>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</si>
  <si>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</si>
  <si>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</si>
  <si>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</si>
  <si>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</si>
  <si>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</si>
  <si>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</si>
  <si>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</si>
  <si>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</si>
  <si>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</si>
  <si>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</si>
  <si>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</si>
  <si>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</si>
  <si>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</si>
  <si>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</si>
  <si>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</si>
  <si>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</si>
  <si>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</si>
  <si>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</si>
  <si>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</si>
  <si>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</si>
  <si>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</si>
  <si>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</si>
  <si>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</si>
  <si>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</si>
  <si>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</si>
  <si>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</si>
  <si>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</si>
  <si>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</si>
  <si>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</si>
  <si>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</si>
  <si>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</si>
  <si>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</si>
  <si>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</si>
  <si>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</si>
  <si>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</si>
  <si>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</si>
  <si>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</si>
  <si>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</si>
  <si>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</si>
  <si>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</si>
  <si>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</si>
  <si>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</si>
  <si>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</si>
  <si>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</si>
  <si>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</si>
  <si>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</si>
  <si>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</si>
  <si>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</si>
  <si>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</si>
  <si>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</si>
  <si>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</si>
  <si>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</si>
  <si>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</si>
  <si>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</si>
  <si>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</si>
  <si>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</si>
  <si>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</si>
  <si>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</si>
  <si>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</si>
  <si>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</si>
  <si>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</si>
  <si>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</si>
  <si>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</si>
  <si>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</si>
  <si>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</si>
  <si>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</si>
  <si>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</si>
  <si>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</si>
  <si>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</si>
  <si>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</si>
  <si>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</si>
  <si>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</si>
  <si>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</si>
  <si>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</si>
  <si>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</si>
  <si>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</si>
  <si>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</si>
  <si>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</si>
  <si>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</si>
  <si>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</si>
  <si>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</si>
  <si>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</si>
  <si>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</si>
  <si>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</si>
  <si>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</si>
  <si>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</si>
  <si>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</si>
  <si>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</si>
  <si>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</si>
  <si>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</si>
  <si>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</si>
  <si>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</si>
  <si>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</si>
  <si>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</si>
  <si>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</si>
  <si>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</si>
  <si>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</si>
  <si>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</si>
  <si>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</si>
  <si>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</si>
  <si>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</si>
  <si>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</si>
  <si>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</si>
  <si>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</si>
  <si>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</si>
  <si>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</si>
  <si>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</si>
  <si>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</si>
  <si>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</si>
  <si>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</si>
  <si>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</si>
  <si>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</si>
  <si>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</si>
  <si>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</si>
  <si>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</si>
  <si>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</si>
  <si>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</si>
  <si>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</si>
  <si>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</si>
  <si>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</si>
  <si>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</si>
  <si>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</si>
  <si>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</si>
  <si>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</si>
  <si>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</si>
  <si>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</si>
  <si>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</si>
  <si>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</si>
  <si>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</si>
  <si>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</si>
  <si>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</si>
  <si>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</si>
  <si>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</si>
  <si>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</si>
  <si>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</si>
  <si>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</si>
  <si>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</si>
  <si>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</si>
  <si>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</si>
  <si>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</si>
  <si>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</si>
  <si>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</si>
  <si>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</si>
  <si>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</si>
  <si>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Lisäykset</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</si>
  <si>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</si>
  <si>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</si>
  <si>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</si>
  <si>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</si>
  <si>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</si>
  <si>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</si>
  <si>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</si>
  <si>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</si>
  <si>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</si>
  <si>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</si>
  <si>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</si>
  <si>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</si>
  <si>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</si>
  <si>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</si>
  <si>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</si>
  <si>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</si>
  <si>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</si>
  <si>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2020-11-12T11:45:51.852Z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</si>
</sst>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1">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8.11 saakka. Suurin arvo 306, joka 7.10. Uusimpien 4 päivien arvot tulevat viiveellä, joten ne jätetty pois 12.11.</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Data!$A$2:$A$304</c:f>
              <c:numCache>
                <c:formatCode>General</c:formatCode>
                <c:ptCount val="3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35</c:v>
                </c:pt>
                <c:pt idx="222">
                  <c:v>15</c:v>
                </c:pt>
                <c:pt idx="223">
                  <c:v>28</c:v>
                </c:pt>
                <c:pt idx="224">
                  <c:v>27</c:v>
                </c:pt>
                <c:pt idx="225">
                  <c:v>22</c:v>
                </c:pt>
                <c:pt idx="226">
                  <c:v>27</c:v>
                </c:pt>
                <c:pt idx="227">
                  <c:v>13</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108</c:v>
                </c:pt>
                <c:pt idx="266">
                  <c:v>117</c:v>
                </c:pt>
                <c:pt idx="267">
                  <c:v>97</c:v>
                </c:pt>
                <c:pt idx="268">
                  <c:v>127</c:v>
                </c:pt>
                <c:pt idx="269">
                  <c:v>74</c:v>
                </c:pt>
                <c:pt idx="270">
                  <c:v>71</c:v>
                </c:pt>
                <c:pt idx="271">
                  <c:v>122</c:v>
                </c:pt>
                <c:pt idx="272">
                  <c:v>134</c:v>
                </c:pt>
                <c:pt idx="273">
                  <c:v>165</c:v>
                </c:pt>
                <c:pt idx="274">
                  <c:v>188</c:v>
                </c:pt>
                <c:pt idx="275">
                  <c:v>190</c:v>
                </c:pt>
                <c:pt idx="276">
                  <c:v>170</c:v>
                </c:pt>
                <c:pt idx="277">
                  <c:v>147</c:v>
                </c:pt>
                <c:pt idx="278">
                  <c:v>290</c:v>
                </c:pt>
                <c:pt idx="279">
                  <c:v>303</c:v>
                </c:pt>
                <c:pt idx="280">
                  <c:v>306</c:v>
                </c:pt>
                <c:pt idx="281">
                  <c:v>260</c:v>
                </c:pt>
                <c:pt idx="282">
                  <c:v>226</c:v>
                </c:pt>
                <c:pt idx="283">
                  <c:v>109</c:v>
                </c:pt>
                <c:pt idx="284">
                  <c:v>130</c:v>
                </c:pt>
                <c:pt idx="285">
                  <c:v>254</c:v>
                </c:pt>
                <c:pt idx="286">
                  <c:v>197</c:v>
                </c:pt>
                <c:pt idx="287">
                  <c:v>201</c:v>
                </c:pt>
                <c:pt idx="288">
                  <c:v>191</c:v>
                </c:pt>
                <c:pt idx="289">
                  <c:v>192</c:v>
                </c:pt>
                <c:pt idx="290">
                  <c:v>100</c:v>
                </c:pt>
                <c:pt idx="291">
                  <c:v>128</c:v>
                </c:pt>
                <c:pt idx="292">
                  <c:v>244</c:v>
                </c:pt>
                <c:pt idx="293">
                  <c:v>163</c:v>
                </c:pt>
                <c:pt idx="294">
                  <c:v>190</c:v>
                </c:pt>
                <c:pt idx="295">
                  <c:v>217</c:v>
                </c:pt>
                <c:pt idx="296">
                  <c:v>192</c:v>
                </c:pt>
                <c:pt idx="297">
                  <c:v>108</c:v>
                </c:pt>
                <c:pt idx="298">
                  <c:v>122</c:v>
                </c:pt>
                <c:pt idx="299">
                  <c:v>256</c:v>
                </c:pt>
                <c:pt idx="300">
                  <c:v>230</c:v>
                </c:pt>
                <c:pt idx="301">
                  <c:v>240</c:v>
                </c:pt>
                <c:pt idx="302">
                  <c:v>237</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3106</c:v>
                </c:pt>
                <c:pt idx="1">
                  <c:v>2911</c:v>
                </c:pt>
                <c:pt idx="2">
                  <c:v>2925</c:v>
                </c:pt>
                <c:pt idx="3">
                  <c:v>2889</c:v>
                </c:pt>
                <c:pt idx="4">
                  <c:v>2444</c:v>
                </c:pt>
                <c:pt idx="5">
                  <c:v>1554</c:v>
                </c:pt>
                <c:pt idx="6">
                  <c:v>1766</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44119</c:v>
                </c:pt>
                <c:pt idx="1">
                  <c:v>44120</c:v>
                </c:pt>
                <c:pt idx="2">
                  <c:v>44121</c:v>
                </c:pt>
                <c:pt idx="3">
                  <c:v>44122</c:v>
                </c:pt>
                <c:pt idx="4">
                  <c:v>44123</c:v>
                </c:pt>
                <c:pt idx="5">
                  <c:v>44124</c:v>
                </c:pt>
                <c:pt idx="6">
                  <c:v>44125</c:v>
                </c:pt>
                <c:pt idx="7">
                  <c:v>44126</c:v>
                </c:pt>
                <c:pt idx="8">
                  <c:v>44127</c:v>
                </c:pt>
                <c:pt idx="9">
                  <c:v>44128</c:v>
                </c:pt>
                <c:pt idx="10">
                  <c:v>44129</c:v>
                </c:pt>
                <c:pt idx="11">
                  <c:v>44130</c:v>
                </c:pt>
                <c:pt idx="12">
                  <c:v>44131</c:v>
                </c:pt>
                <c:pt idx="13">
                  <c:v>44132</c:v>
                </c:pt>
                <c:pt idx="14">
                  <c:v>44133</c:v>
                </c:pt>
                <c:pt idx="15">
                  <c:v>44134</c:v>
                </c:pt>
                <c:pt idx="16">
                  <c:v>44135</c:v>
                </c:pt>
                <c:pt idx="17">
                  <c:v>44136</c:v>
                </c:pt>
                <c:pt idx="18">
                  <c:v>44137</c:v>
                </c:pt>
                <c:pt idx="19">
                  <c:v>44138</c:v>
                </c:pt>
                <c:pt idx="20">
                  <c:v>44139</c:v>
                </c:pt>
                <c:pt idx="21">
                  <c:v>44140</c:v>
                </c:pt>
                <c:pt idx="22">
                  <c:v>44141</c:v>
                </c:pt>
                <c:pt idx="23">
                  <c:v>44142</c:v>
                </c:pt>
                <c:pt idx="24">
                  <c:v>44143</c:v>
                </c:pt>
                <c:pt idx="25">
                  <c:v>44144</c:v>
                </c:pt>
                <c:pt idx="26">
                  <c:v>44145</c:v>
                </c:pt>
                <c:pt idx="27">
                  <c:v>44146</c:v>
                </c:pt>
              </c:numCache>
            </c:numRef>
          </c:cat>
          <c:val>
            <c:numRef>
              <c:f>Kuvaajat!$D$37:$D$64</c:f>
              <c:numCache>
                <c:formatCode>General</c:formatCode>
                <c:ptCount val="28"/>
                <c:pt idx="0">
                  <c:v>191</c:v>
                </c:pt>
                <c:pt idx="1">
                  <c:v>192</c:v>
                </c:pt>
                <c:pt idx="2">
                  <c:v>100</c:v>
                </c:pt>
                <c:pt idx="3">
                  <c:v>128</c:v>
                </c:pt>
                <c:pt idx="4">
                  <c:v>244</c:v>
                </c:pt>
                <c:pt idx="5">
                  <c:v>163</c:v>
                </c:pt>
                <c:pt idx="6">
                  <c:v>190</c:v>
                </c:pt>
                <c:pt idx="7">
                  <c:v>217</c:v>
                </c:pt>
                <c:pt idx="8">
                  <c:v>192</c:v>
                </c:pt>
                <c:pt idx="9">
                  <c:v>108</c:v>
                </c:pt>
                <c:pt idx="10">
                  <c:v>122</c:v>
                </c:pt>
                <c:pt idx="11">
                  <c:v>256</c:v>
                </c:pt>
                <c:pt idx="12">
                  <c:v>230</c:v>
                </c:pt>
                <c:pt idx="13">
                  <c:v>240</c:v>
                </c:pt>
                <c:pt idx="14">
                  <c:v>237</c:v>
                </c:pt>
                <c:pt idx="15">
                  <c:v>219</c:v>
                </c:pt>
                <c:pt idx="16">
                  <c:v>121</c:v>
                </c:pt>
                <c:pt idx="17">
                  <c:v>150</c:v>
                </c:pt>
                <c:pt idx="18">
                  <c:v>281</c:v>
                </c:pt>
                <c:pt idx="19">
                  <c:v>239</c:v>
                </c:pt>
                <c:pt idx="20">
                  <c:v>206</c:v>
                </c:pt>
                <c:pt idx="21">
                  <c:v>218</c:v>
                </c:pt>
                <c:pt idx="22">
                  <c:v>194</c:v>
                </c:pt>
                <c:pt idx="23">
                  <c:v>127</c:v>
                </c:pt>
                <c:pt idx="24">
                  <c:v>133</c:v>
                </c:pt>
                <c:pt idx="25">
                  <c:v>264</c:v>
                </c:pt>
                <c:pt idx="26">
                  <c:v>164</c:v>
                </c:pt>
                <c:pt idx="27">
                  <c:v>65</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N=18542. Uusimmat 12.11 lisäykset punaisella n=197.</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44119</c:v>
                </c:pt>
                <c:pt idx="1">
                  <c:v>44120</c:v>
                </c:pt>
                <c:pt idx="2">
                  <c:v>44121</c:v>
                </c:pt>
                <c:pt idx="3">
                  <c:v>44122</c:v>
                </c:pt>
                <c:pt idx="4">
                  <c:v>44123</c:v>
                </c:pt>
                <c:pt idx="5">
                  <c:v>44124</c:v>
                </c:pt>
                <c:pt idx="6">
                  <c:v>44125</c:v>
                </c:pt>
                <c:pt idx="7">
                  <c:v>44126</c:v>
                </c:pt>
                <c:pt idx="8">
                  <c:v>44127</c:v>
                </c:pt>
                <c:pt idx="9">
                  <c:v>44128</c:v>
                </c:pt>
                <c:pt idx="10">
                  <c:v>44129</c:v>
                </c:pt>
                <c:pt idx="11">
                  <c:v>44130</c:v>
                </c:pt>
                <c:pt idx="12">
                  <c:v>44131</c:v>
                </c:pt>
                <c:pt idx="13">
                  <c:v>44132</c:v>
                </c:pt>
                <c:pt idx="14">
                  <c:v>44133</c:v>
                </c:pt>
                <c:pt idx="15">
                  <c:v>44134</c:v>
                </c:pt>
                <c:pt idx="16">
                  <c:v>44135</c:v>
                </c:pt>
                <c:pt idx="17">
                  <c:v>44136</c:v>
                </c:pt>
                <c:pt idx="18">
                  <c:v>44137</c:v>
                </c:pt>
                <c:pt idx="19">
                  <c:v>44138</c:v>
                </c:pt>
                <c:pt idx="20">
                  <c:v>44139</c:v>
                </c:pt>
                <c:pt idx="21">
                  <c:v>44140</c:v>
                </c:pt>
                <c:pt idx="22">
                  <c:v>44141</c:v>
                </c:pt>
                <c:pt idx="23">
                  <c:v>44142</c:v>
                </c:pt>
                <c:pt idx="24">
                  <c:v>44143</c:v>
                </c:pt>
                <c:pt idx="25">
                  <c:v>44144</c:v>
                </c:pt>
                <c:pt idx="26">
                  <c:v>44145</c:v>
                </c:pt>
                <c:pt idx="27">
                  <c:v>44146</c:v>
                </c:pt>
              </c:numCache>
            </c:numRef>
          </c:cat>
          <c:val>
            <c:numRef>
              <c:f>Kuvaajat!$D$37:$D$64</c:f>
              <c:numCache>
                <c:formatCode>General</c:formatCode>
                <c:ptCount val="28"/>
                <c:pt idx="0">
                  <c:v>191</c:v>
                </c:pt>
                <c:pt idx="1">
                  <c:v>192</c:v>
                </c:pt>
                <c:pt idx="2">
                  <c:v>100</c:v>
                </c:pt>
                <c:pt idx="3">
                  <c:v>128</c:v>
                </c:pt>
                <c:pt idx="4">
                  <c:v>244</c:v>
                </c:pt>
                <c:pt idx="5">
                  <c:v>163</c:v>
                </c:pt>
                <c:pt idx="6">
                  <c:v>190</c:v>
                </c:pt>
                <c:pt idx="7">
                  <c:v>217</c:v>
                </c:pt>
                <c:pt idx="8">
                  <c:v>192</c:v>
                </c:pt>
                <c:pt idx="9">
                  <c:v>108</c:v>
                </c:pt>
                <c:pt idx="10">
                  <c:v>122</c:v>
                </c:pt>
                <c:pt idx="11">
                  <c:v>256</c:v>
                </c:pt>
                <c:pt idx="12">
                  <c:v>230</c:v>
                </c:pt>
                <c:pt idx="13">
                  <c:v>240</c:v>
                </c:pt>
                <c:pt idx="14">
                  <c:v>237</c:v>
                </c:pt>
                <c:pt idx="15">
                  <c:v>219</c:v>
                </c:pt>
                <c:pt idx="16">
                  <c:v>121</c:v>
                </c:pt>
                <c:pt idx="17">
                  <c:v>150</c:v>
                </c:pt>
                <c:pt idx="18">
                  <c:v>281</c:v>
                </c:pt>
                <c:pt idx="19">
                  <c:v>239</c:v>
                </c:pt>
                <c:pt idx="20">
                  <c:v>206</c:v>
                </c:pt>
                <c:pt idx="21">
                  <c:v>218</c:v>
                </c:pt>
                <c:pt idx="22">
                  <c:v>194</c:v>
                </c:pt>
                <c:pt idx="23">
                  <c:v>127</c:v>
                </c:pt>
                <c:pt idx="24">
                  <c:v>133</c:v>
                </c:pt>
                <c:pt idx="25">
                  <c:v>264</c:v>
                </c:pt>
                <c:pt idx="26">
                  <c:v>164</c:v>
                </c:pt>
                <c:pt idx="27">
                  <c:v>65</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7.1451761692128846E-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44119</c:v>
                </c:pt>
                <c:pt idx="1">
                  <c:v>44120</c:v>
                </c:pt>
                <c:pt idx="2">
                  <c:v>44121</c:v>
                </c:pt>
                <c:pt idx="3">
                  <c:v>44122</c:v>
                </c:pt>
                <c:pt idx="4">
                  <c:v>44123</c:v>
                </c:pt>
                <c:pt idx="5">
                  <c:v>44124</c:v>
                </c:pt>
                <c:pt idx="6">
                  <c:v>44125</c:v>
                </c:pt>
                <c:pt idx="7">
                  <c:v>44126</c:v>
                </c:pt>
                <c:pt idx="8">
                  <c:v>44127</c:v>
                </c:pt>
                <c:pt idx="9">
                  <c:v>44128</c:v>
                </c:pt>
                <c:pt idx="10">
                  <c:v>44129</c:v>
                </c:pt>
                <c:pt idx="11">
                  <c:v>44130</c:v>
                </c:pt>
                <c:pt idx="12">
                  <c:v>44131</c:v>
                </c:pt>
                <c:pt idx="13">
                  <c:v>44132</c:v>
                </c:pt>
                <c:pt idx="14">
                  <c:v>44133</c:v>
                </c:pt>
                <c:pt idx="15">
                  <c:v>44134</c:v>
                </c:pt>
                <c:pt idx="16">
                  <c:v>44135</c:v>
                </c:pt>
                <c:pt idx="17">
                  <c:v>44136</c:v>
                </c:pt>
                <c:pt idx="18">
                  <c:v>44137</c:v>
                </c:pt>
                <c:pt idx="19">
                  <c:v>44138</c:v>
                </c:pt>
                <c:pt idx="20">
                  <c:v>44139</c:v>
                </c:pt>
                <c:pt idx="21">
                  <c:v>44140</c:v>
                </c:pt>
                <c:pt idx="22">
                  <c:v>44141</c:v>
                </c:pt>
                <c:pt idx="23">
                  <c:v>44142</c:v>
                </c:pt>
                <c:pt idx="24">
                  <c:v>44143</c:v>
                </c:pt>
                <c:pt idx="25">
                  <c:v>44144</c:v>
                </c:pt>
                <c:pt idx="26">
                  <c:v>44145</c:v>
                </c:pt>
                <c:pt idx="27">
                  <c:v>44146</c:v>
                </c:pt>
              </c:numCache>
            </c:numRef>
          </c:cat>
          <c:val>
            <c:numRef>
              <c:f>Kuvaajat!$E$37:$E$64</c:f>
              <c:numCache>
                <c:formatCode>General</c:formatCode>
                <c:ptCount val="28"/>
                <c:pt idx="0">
                  <c:v>0</c:v>
                </c:pt>
                <c:pt idx="1">
                  <c:v>0</c:v>
                </c:pt>
                <c:pt idx="2">
                  <c:v>0</c:v>
                </c:pt>
                <c:pt idx="3">
                  <c:v>-1</c:v>
                </c:pt>
                <c:pt idx="4">
                  <c:v>0</c:v>
                </c:pt>
                <c:pt idx="5">
                  <c:v>0</c:v>
                </c:pt>
                <c:pt idx="6">
                  <c:v>1</c:v>
                </c:pt>
                <c:pt idx="7">
                  <c:v>1</c:v>
                </c:pt>
                <c:pt idx="8">
                  <c:v>0</c:v>
                </c:pt>
                <c:pt idx="9">
                  <c:v>0</c:v>
                </c:pt>
                <c:pt idx="10">
                  <c:v>-1</c:v>
                </c:pt>
                <c:pt idx="11">
                  <c:v>1</c:v>
                </c:pt>
                <c:pt idx="12">
                  <c:v>0</c:v>
                </c:pt>
                <c:pt idx="13">
                  <c:v>0</c:v>
                </c:pt>
                <c:pt idx="14">
                  <c:v>0</c:v>
                </c:pt>
                <c:pt idx="15">
                  <c:v>0</c:v>
                </c:pt>
                <c:pt idx="16">
                  <c:v>0</c:v>
                </c:pt>
                <c:pt idx="17">
                  <c:v>0</c:v>
                </c:pt>
                <c:pt idx="18">
                  <c:v>0</c:v>
                </c:pt>
                <c:pt idx="19">
                  <c:v>0</c:v>
                </c:pt>
                <c:pt idx="20">
                  <c:v>0</c:v>
                </c:pt>
                <c:pt idx="21">
                  <c:v>1</c:v>
                </c:pt>
                <c:pt idx="22">
                  <c:v>0</c:v>
                </c:pt>
                <c:pt idx="23">
                  <c:v>0</c:v>
                </c:pt>
                <c:pt idx="24">
                  <c:v>0</c:v>
                </c:pt>
                <c:pt idx="25">
                  <c:v>26</c:v>
                </c:pt>
                <c:pt idx="26">
                  <c:v>104</c:v>
                </c:pt>
                <c:pt idx="27">
                  <c:v>65</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27214</xdr:rowOff>
    </xdr:from>
    <xdr:to>
      <xdr:col>11</xdr:col>
      <xdr:colOff>462642</xdr:colOff>
      <xdr:row>24</xdr:row>
      <xdr:rowOff>166007</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12</xdr:row>
      <xdr:rowOff>160085</xdr:rowOff>
    </xdr:from>
    <xdr:to>
      <xdr:col>14</xdr:col>
      <xdr:colOff>44823</xdr:colOff>
      <xdr:row>28</xdr:row>
      <xdr:rowOff>171933</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9" t="s">
        <v>10</v>
      </c>
      <c r="B2" s="20"/>
      <c r="C2" s="20"/>
      <c r="D2" s="20"/>
      <c r="E2" s="20"/>
      <c r="F2" s="20"/>
      <c r="G2" s="20"/>
    </row>
    <row r="3" spans="1:7">
      <c r="A3" s="20"/>
      <c r="B3" s="20"/>
      <c r="C3" s="20"/>
      <c r="D3" s="20"/>
      <c r="E3" s="20"/>
      <c r="F3" s="20"/>
      <c r="G3" s="20"/>
    </row>
    <row r="4" spans="1:7">
      <c r="A4" s="20"/>
      <c r="B4" s="20"/>
      <c r="C4" s="20"/>
      <c r="D4" s="20"/>
      <c r="E4" s="20"/>
      <c r="F4" s="20"/>
      <c r="G4" s="20"/>
    </row>
    <row r="5" spans="1:7">
      <c r="A5" s="20"/>
      <c r="B5" s="20"/>
      <c r="C5" s="20"/>
      <c r="D5" s="20"/>
      <c r="E5" s="20"/>
      <c r="F5" s="20"/>
      <c r="G5" s="20"/>
    </row>
    <row r="6" spans="1:7">
      <c r="A6" s="20"/>
      <c r="B6" s="20"/>
      <c r="C6" s="20"/>
      <c r="D6" s="20"/>
      <c r="E6" s="20"/>
      <c r="F6" s="20"/>
      <c r="G6" s="20"/>
    </row>
    <row r="7" spans="1:7">
      <c r="A7" s="20"/>
      <c r="B7" s="20"/>
      <c r="C7" s="20"/>
      <c r="D7" s="20"/>
      <c r="E7" s="20"/>
      <c r="F7" s="20"/>
      <c r="G7" s="20"/>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18"/>
  <sheetViews>
    <sheetView workbookViewId="0">
      <pane ySplit="1" topLeftCell="A2" activePane="bottomLeft" state="frozen"/>
      <selection pane="bottomLeft" activeCell="J3" sqref="J3"/>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18542</v>
      </c>
      <c r="I1" s="8">
        <v>44147.59275462963</v>
      </c>
      <c r="J1" s="7">
        <f>MAX(Id)</f>
        <v>306</v>
      </c>
      <c r="K1" s="15">
        <f>VLOOKUP(J1,A:F,6,FALSE)</f>
        <v>44111.625</v>
      </c>
      <c r="L1" s="7" t="str">
        <f>"Päivittäisiä Korona tapauksia vuoden 2020 alusta lähtien "&amp;TEXT(MAX(F:F)-4,"p.kk")&amp;" saakka. Suurin arvo "&amp;J1&amp;", joka "&amp;TEXT(K1,"p.kk")&amp;". Uusimpien 4 päivien arvot tulevat viiveellä, joten ne jätetty pois "&amp;TEXT(MAX(F:F),"p.kk")&amp;"."</f>
        <v>Päivittäisiä Korona tapauksia vuoden 2020 alusta lähtien 8.11 saakka. Suurin arvo 306, joka 7.10. Uusimpien 4 päivien arvot tulevat viiveellä, joten ne jätetty pois 12.11.</v>
      </c>
      <c r="M1" s="7">
        <f>COUNTA(Id)-2-5</f>
        <v>311</v>
      </c>
    </row>
    <row r="2" spans="1:13">
      <c r="A2">
        <v>0</v>
      </c>
      <c r="B2" t="s">
        <v>235</v>
      </c>
      <c r="C2" t="s">
        <v>8</v>
      </c>
      <c r="E2" s="3">
        <f>WEEKDAY(F2,2)</f>
        <v>3</v>
      </c>
      <c r="F2" s="5">
        <v>43831.625</v>
      </c>
    </row>
    <row r="3" spans="1:13">
      <c r="A3">
        <v>0</v>
      </c>
      <c r="B3" t="s">
        <v>236</v>
      </c>
      <c r="C3" t="s">
        <v>8</v>
      </c>
      <c r="E3" s="3">
        <f t="shared" ref="E3:E66" si="0">WEEKDAY(F3,2)</f>
        <v>4</v>
      </c>
      <c r="F3" s="5">
        <v>43832.625</v>
      </c>
    </row>
    <row r="4" spans="1:13">
      <c r="A4">
        <v>0</v>
      </c>
      <c r="B4" t="s">
        <v>237</v>
      </c>
      <c r="C4" t="s">
        <v>8</v>
      </c>
      <c r="E4" s="3">
        <f t="shared" si="0"/>
        <v>5</v>
      </c>
      <c r="F4" s="5">
        <v>43833.625</v>
      </c>
    </row>
    <row r="5" spans="1:13">
      <c r="A5">
        <v>0</v>
      </c>
      <c r="B5" t="s">
        <v>238</v>
      </c>
      <c r="C5" t="s">
        <v>8</v>
      </c>
      <c r="E5" s="3">
        <f t="shared" si="0"/>
        <v>6</v>
      </c>
      <c r="F5" s="5">
        <v>43834.625</v>
      </c>
    </row>
    <row r="6" spans="1:13">
      <c r="A6">
        <v>0</v>
      </c>
      <c r="B6" t="s">
        <v>239</v>
      </c>
      <c r="C6" t="s">
        <v>8</v>
      </c>
      <c r="E6" s="3">
        <f t="shared" si="0"/>
        <v>7</v>
      </c>
      <c r="F6" s="5">
        <v>43835.625</v>
      </c>
    </row>
    <row r="7" spans="1:13">
      <c r="A7">
        <v>0</v>
      </c>
      <c r="B7" t="s">
        <v>240</v>
      </c>
      <c r="C7" t="s">
        <v>8</v>
      </c>
      <c r="E7" s="3">
        <f t="shared" si="0"/>
        <v>1</v>
      </c>
      <c r="F7" s="5">
        <v>43836.625</v>
      </c>
    </row>
    <row r="8" spans="1:13">
      <c r="A8">
        <v>0</v>
      </c>
      <c r="B8" t="s">
        <v>241</v>
      </c>
      <c r="C8" t="s">
        <v>8</v>
      </c>
      <c r="E8" s="3">
        <f t="shared" si="0"/>
        <v>2</v>
      </c>
      <c r="F8" s="5">
        <v>43837.625</v>
      </c>
      <c r="H8"/>
    </row>
    <row r="9" spans="1:13">
      <c r="A9">
        <v>0</v>
      </c>
      <c r="B9" t="s">
        <v>242</v>
      </c>
      <c r="C9" t="s">
        <v>8</v>
      </c>
      <c r="E9" s="3">
        <f t="shared" si="0"/>
        <v>3</v>
      </c>
      <c r="F9" s="5">
        <v>43838.625</v>
      </c>
      <c r="H9"/>
    </row>
    <row r="10" spans="1:13">
      <c r="A10">
        <v>0</v>
      </c>
      <c r="B10" t="s">
        <v>243</v>
      </c>
      <c r="C10" t="s">
        <v>8</v>
      </c>
      <c r="E10" s="3">
        <f t="shared" si="0"/>
        <v>4</v>
      </c>
      <c r="F10" s="5">
        <v>43839.625</v>
      </c>
      <c r="H10"/>
    </row>
    <row r="11" spans="1:13">
      <c r="A11">
        <v>0</v>
      </c>
      <c r="B11" t="s">
        <v>244</v>
      </c>
      <c r="C11" t="s">
        <v>8</v>
      </c>
      <c r="E11" s="3">
        <f t="shared" si="0"/>
        <v>5</v>
      </c>
      <c r="F11" s="5">
        <v>43840.625</v>
      </c>
    </row>
    <row r="12" spans="1:13">
      <c r="A12">
        <v>0</v>
      </c>
      <c r="B12" t="s">
        <v>245</v>
      </c>
      <c r="C12" t="s">
        <v>8</v>
      </c>
      <c r="E12" s="3">
        <f t="shared" si="0"/>
        <v>6</v>
      </c>
      <c r="F12" s="5">
        <v>43841.625</v>
      </c>
    </row>
    <row r="13" spans="1:13">
      <c r="A13">
        <v>0</v>
      </c>
      <c r="B13" t="s">
        <v>246</v>
      </c>
      <c r="C13" t="s">
        <v>8</v>
      </c>
      <c r="E13" s="3">
        <f t="shared" si="0"/>
        <v>7</v>
      </c>
      <c r="F13" s="5">
        <v>43842.625</v>
      </c>
    </row>
    <row r="14" spans="1:13">
      <c r="A14">
        <v>0</v>
      </c>
      <c r="B14" t="s">
        <v>247</v>
      </c>
      <c r="C14" t="s">
        <v>8</v>
      </c>
      <c r="E14" s="3">
        <f t="shared" si="0"/>
        <v>1</v>
      </c>
      <c r="F14" s="5">
        <v>43843.625</v>
      </c>
    </row>
    <row r="15" spans="1:13">
      <c r="A15">
        <v>0</v>
      </c>
      <c r="B15" t="s">
        <v>248</v>
      </c>
      <c r="C15" t="s">
        <v>8</v>
      </c>
      <c r="E15" s="3">
        <f t="shared" si="0"/>
        <v>2</v>
      </c>
      <c r="F15" s="5">
        <v>43844.625</v>
      </c>
    </row>
    <row r="16" spans="1:13">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3106</v>
      </c>
    </row>
    <row r="31" spans="1:11">
      <c r="A31">
        <v>0</v>
      </c>
      <c r="B31" t="s">
        <v>263</v>
      </c>
      <c r="C31" t="s">
        <v>8</v>
      </c>
      <c r="E31" s="3">
        <f t="shared" si="0"/>
        <v>4</v>
      </c>
      <c r="F31" s="5">
        <v>43860.625</v>
      </c>
      <c r="I31">
        <v>2</v>
      </c>
      <c r="J31" t="s">
        <v>303</v>
      </c>
      <c r="K31">
        <f t="shared" si="1"/>
        <v>2911</v>
      </c>
    </row>
    <row r="32" spans="1:11">
      <c r="A32">
        <v>0</v>
      </c>
      <c r="B32" t="s">
        <v>264</v>
      </c>
      <c r="C32" t="s">
        <v>8</v>
      </c>
      <c r="E32" s="3">
        <f t="shared" si="0"/>
        <v>5</v>
      </c>
      <c r="F32" s="5">
        <v>43861.625</v>
      </c>
      <c r="I32">
        <v>3</v>
      </c>
      <c r="J32" t="s">
        <v>304</v>
      </c>
      <c r="K32">
        <f t="shared" si="1"/>
        <v>2925</v>
      </c>
    </row>
    <row r="33" spans="1:11">
      <c r="A33">
        <v>0</v>
      </c>
      <c r="B33" t="s">
        <v>265</v>
      </c>
      <c r="C33" t="s">
        <v>8</v>
      </c>
      <c r="E33" s="3">
        <f t="shared" si="0"/>
        <v>6</v>
      </c>
      <c r="F33" s="5">
        <v>43862.625</v>
      </c>
      <c r="I33">
        <v>4</v>
      </c>
      <c r="J33" t="s">
        <v>305</v>
      </c>
      <c r="K33">
        <f t="shared" si="1"/>
        <v>2889</v>
      </c>
    </row>
    <row r="34" spans="1:11">
      <c r="A34">
        <v>0</v>
      </c>
      <c r="B34" t="s">
        <v>266</v>
      </c>
      <c r="C34" t="s">
        <v>8</v>
      </c>
      <c r="E34" s="3">
        <f t="shared" si="0"/>
        <v>7</v>
      </c>
      <c r="F34" s="5">
        <v>43863.625</v>
      </c>
      <c r="I34">
        <v>5</v>
      </c>
      <c r="J34" t="s">
        <v>306</v>
      </c>
      <c r="K34">
        <f t="shared" si="1"/>
        <v>2444</v>
      </c>
    </row>
    <row r="35" spans="1:11">
      <c r="A35">
        <v>0</v>
      </c>
      <c r="B35" t="s">
        <v>267</v>
      </c>
      <c r="C35" t="s">
        <v>8</v>
      </c>
      <c r="E35" s="3">
        <f t="shared" si="0"/>
        <v>1</v>
      </c>
      <c r="F35" s="5">
        <v>43864.625</v>
      </c>
      <c r="I35">
        <v>6</v>
      </c>
      <c r="J35" t="s">
        <v>307</v>
      </c>
      <c r="K35">
        <f t="shared" si="1"/>
        <v>1554</v>
      </c>
    </row>
    <row r="36" spans="1:11">
      <c r="A36">
        <v>0</v>
      </c>
      <c r="B36" t="s">
        <v>268</v>
      </c>
      <c r="C36" t="s">
        <v>8</v>
      </c>
      <c r="E36" s="3">
        <f t="shared" si="0"/>
        <v>2</v>
      </c>
      <c r="F36" s="5">
        <v>43865.625</v>
      </c>
      <c r="I36">
        <v>7</v>
      </c>
      <c r="J36" t="s">
        <v>308</v>
      </c>
      <c r="K36">
        <f t="shared" si="1"/>
        <v>1766</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120</v>
      </c>
      <c r="B97" s="1" t="s">
        <v>52</v>
      </c>
      <c r="C97" s="1" t="s">
        <v>8</v>
      </c>
      <c r="D97" s="1"/>
      <c r="E97" s="3">
        <f t="shared" si="2"/>
        <v>7</v>
      </c>
      <c r="F97" s="6">
        <v>43926.625</v>
      </c>
    </row>
    <row r="98" spans="1:6">
      <c r="A98">
        <v>210</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22</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35</v>
      </c>
      <c r="B223" t="s">
        <v>176</v>
      </c>
      <c r="C223" t="s">
        <v>8</v>
      </c>
      <c r="E223" s="3">
        <f t="shared" si="4"/>
        <v>7</v>
      </c>
      <c r="F223" s="5">
        <v>44052.625</v>
      </c>
    </row>
    <row r="224" spans="1:6">
      <c r="A224">
        <v>15</v>
      </c>
      <c r="B224" t="s">
        <v>177</v>
      </c>
      <c r="C224" t="s">
        <v>8</v>
      </c>
      <c r="E224" s="3">
        <f t="shared" si="4"/>
        <v>1</v>
      </c>
      <c r="F224" s="5">
        <v>44053.625</v>
      </c>
    </row>
    <row r="225" spans="1:6">
      <c r="A225">
        <v>28</v>
      </c>
      <c r="B225" t="s">
        <v>178</v>
      </c>
      <c r="C225" t="s">
        <v>8</v>
      </c>
      <c r="E225" s="3">
        <f t="shared" si="4"/>
        <v>2</v>
      </c>
      <c r="F225" s="5">
        <v>44054.625</v>
      </c>
    </row>
    <row r="226" spans="1:6">
      <c r="A226">
        <v>27</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47</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7">
      <c r="A241">
        <v>32</v>
      </c>
      <c r="B241" t="s">
        <v>194</v>
      </c>
      <c r="C241" t="s">
        <v>8</v>
      </c>
      <c r="E241" s="3">
        <f t="shared" si="4"/>
        <v>4</v>
      </c>
      <c r="F241" s="5">
        <v>44070.625</v>
      </c>
    </row>
    <row r="242" spans="1:7">
      <c r="A242">
        <v>33</v>
      </c>
      <c r="B242" t="s">
        <v>195</v>
      </c>
      <c r="C242" t="s">
        <v>8</v>
      </c>
      <c r="E242" s="3">
        <f t="shared" si="4"/>
        <v>5</v>
      </c>
      <c r="F242" s="5">
        <v>44071.625</v>
      </c>
    </row>
    <row r="243" spans="1:7">
      <c r="A243">
        <v>19</v>
      </c>
      <c r="B243" t="s">
        <v>196</v>
      </c>
      <c r="C243" t="s">
        <v>8</v>
      </c>
      <c r="E243" s="3">
        <f t="shared" si="4"/>
        <v>6</v>
      </c>
      <c r="F243" s="5">
        <v>44072.625</v>
      </c>
    </row>
    <row r="244" spans="1:7">
      <c r="A244">
        <v>18</v>
      </c>
      <c r="B244" t="s">
        <v>197</v>
      </c>
      <c r="C244" t="s">
        <v>8</v>
      </c>
      <c r="E244" s="3">
        <f t="shared" si="4"/>
        <v>7</v>
      </c>
      <c r="F244" s="5">
        <v>44073.625</v>
      </c>
    </row>
    <row r="245" spans="1:7">
      <c r="A245">
        <v>48</v>
      </c>
      <c r="B245" t="s">
        <v>198</v>
      </c>
      <c r="C245" t="s">
        <v>8</v>
      </c>
      <c r="E245" s="3">
        <f t="shared" si="4"/>
        <v>1</v>
      </c>
      <c r="F245" s="5">
        <v>44074.625</v>
      </c>
    </row>
    <row r="246" spans="1:7">
      <c r="A246">
        <v>29</v>
      </c>
      <c r="B246" t="s">
        <v>199</v>
      </c>
      <c r="C246" t="s">
        <v>8</v>
      </c>
      <c r="E246" s="3">
        <f t="shared" si="4"/>
        <v>2</v>
      </c>
      <c r="F246" s="5">
        <v>44075.625</v>
      </c>
    </row>
    <row r="247" spans="1:7">
      <c r="A247">
        <v>26</v>
      </c>
      <c r="B247" t="s">
        <v>200</v>
      </c>
      <c r="C247" t="s">
        <v>8</v>
      </c>
      <c r="E247" s="3">
        <f t="shared" si="4"/>
        <v>3</v>
      </c>
      <c r="F247" s="5">
        <v>44076.625</v>
      </c>
    </row>
    <row r="248" spans="1:7">
      <c r="A248">
        <v>35</v>
      </c>
      <c r="B248" t="s">
        <v>201</v>
      </c>
      <c r="C248" t="s">
        <v>8</v>
      </c>
      <c r="E248" s="3">
        <f t="shared" si="4"/>
        <v>4</v>
      </c>
      <c r="F248" s="5">
        <v>44077.625</v>
      </c>
      <c r="G248" t="str">
        <f>IF(WEEKDAY(F248,2)=1,"Maanantai","")</f>
        <v/>
      </c>
    </row>
    <row r="249" spans="1:7">
      <c r="A249">
        <v>42</v>
      </c>
      <c r="B249" t="s">
        <v>202</v>
      </c>
      <c r="C249" t="s">
        <v>8</v>
      </c>
      <c r="E249" s="3">
        <f t="shared" si="4"/>
        <v>5</v>
      </c>
      <c r="F249" s="5">
        <v>44078.625</v>
      </c>
      <c r="G249" t="str">
        <f t="shared" ref="G249:G251" si="5">IF(WEEKDAY(F249,2)=1,"Maanantai","")</f>
        <v/>
      </c>
    </row>
    <row r="250" spans="1:7">
      <c r="A250">
        <v>22</v>
      </c>
      <c r="B250" t="s">
        <v>203</v>
      </c>
      <c r="C250" t="s">
        <v>8</v>
      </c>
      <c r="E250" s="3">
        <f t="shared" si="4"/>
        <v>6</v>
      </c>
      <c r="F250" s="5">
        <v>44079.625</v>
      </c>
      <c r="G250" t="str">
        <f t="shared" si="5"/>
        <v/>
      </c>
    </row>
    <row r="251" spans="1:7">
      <c r="A251">
        <v>33</v>
      </c>
      <c r="B251" t="s">
        <v>204</v>
      </c>
      <c r="C251" t="s">
        <v>8</v>
      </c>
      <c r="E251" s="3">
        <f t="shared" si="4"/>
        <v>7</v>
      </c>
      <c r="F251" s="5">
        <v>44080.625</v>
      </c>
      <c r="G251" t="str">
        <f t="shared" si="5"/>
        <v/>
      </c>
    </row>
    <row r="252" spans="1:7">
      <c r="A252">
        <v>45</v>
      </c>
      <c r="B252" t="s">
        <v>205</v>
      </c>
      <c r="C252" t="s">
        <v>8</v>
      </c>
      <c r="E252" s="3">
        <f t="shared" si="4"/>
        <v>1</v>
      </c>
      <c r="F252" s="5">
        <v>44081.625</v>
      </c>
      <c r="G252" t="str">
        <f>IF(WEEKDAY(F252,2)=1,"Maanantai","")</f>
        <v>Maanantai</v>
      </c>
    </row>
    <row r="253" spans="1:7">
      <c r="A253">
        <v>57</v>
      </c>
      <c r="B253" t="s">
        <v>206</v>
      </c>
      <c r="C253" t="s">
        <v>8</v>
      </c>
      <c r="E253" s="3">
        <f t="shared" si="4"/>
        <v>2</v>
      </c>
      <c r="F253" s="5">
        <v>44082.625</v>
      </c>
      <c r="G253" t="str">
        <f t="shared" ref="G253:G307" si="6">IF(WEEKDAY(F253,2)=1,"Maanantai","")</f>
        <v/>
      </c>
    </row>
    <row r="254" spans="1:7">
      <c r="A254">
        <v>55</v>
      </c>
      <c r="B254" t="s">
        <v>207</v>
      </c>
      <c r="C254" t="s">
        <v>8</v>
      </c>
      <c r="E254" s="3">
        <f t="shared" si="4"/>
        <v>3</v>
      </c>
      <c r="F254" s="5">
        <v>44083.625</v>
      </c>
      <c r="G254" t="str">
        <f t="shared" si="6"/>
        <v/>
      </c>
    </row>
    <row r="255" spans="1:7">
      <c r="A255">
        <v>52</v>
      </c>
      <c r="B255" t="s">
        <v>208</v>
      </c>
      <c r="C255" t="s">
        <v>8</v>
      </c>
      <c r="E255" s="3">
        <f t="shared" si="4"/>
        <v>4</v>
      </c>
      <c r="F255" s="5">
        <v>44084.625</v>
      </c>
      <c r="G255" t="str">
        <f t="shared" si="6"/>
        <v/>
      </c>
    </row>
    <row r="256" spans="1:7">
      <c r="A256">
        <v>57</v>
      </c>
      <c r="B256" t="s">
        <v>209</v>
      </c>
      <c r="C256" t="s">
        <v>8</v>
      </c>
      <c r="E256" s="3">
        <f t="shared" si="4"/>
        <v>5</v>
      </c>
      <c r="F256" s="5">
        <v>44085.625</v>
      </c>
      <c r="G256" t="str">
        <f t="shared" si="6"/>
        <v/>
      </c>
    </row>
    <row r="257" spans="1:7">
      <c r="A257">
        <v>41</v>
      </c>
      <c r="B257" t="s">
        <v>210</v>
      </c>
      <c r="C257" t="s">
        <v>8</v>
      </c>
      <c r="E257" s="3">
        <f t="shared" si="4"/>
        <v>6</v>
      </c>
      <c r="F257" s="5">
        <v>44086.625</v>
      </c>
      <c r="G257" t="str">
        <f t="shared" si="6"/>
        <v/>
      </c>
    </row>
    <row r="258" spans="1:7">
      <c r="A258">
        <v>46</v>
      </c>
      <c r="B258" t="s">
        <v>211</v>
      </c>
      <c r="C258" t="s">
        <v>8</v>
      </c>
      <c r="E258" s="3">
        <f t="shared" si="4"/>
        <v>7</v>
      </c>
      <c r="F258" s="5">
        <v>44087.625</v>
      </c>
      <c r="G258" t="str">
        <f t="shared" si="6"/>
        <v/>
      </c>
    </row>
    <row r="259" spans="1:7">
      <c r="A259">
        <v>59</v>
      </c>
      <c r="B259" t="s">
        <v>212</v>
      </c>
      <c r="C259" t="s">
        <v>8</v>
      </c>
      <c r="E259" s="3">
        <f t="shared" ref="E259:E311" si="7">WEEKDAY(F259,2)</f>
        <v>1</v>
      </c>
      <c r="F259" s="5">
        <v>44088.625</v>
      </c>
      <c r="G259" t="str">
        <f t="shared" si="6"/>
        <v>Maanantai</v>
      </c>
    </row>
    <row r="260" spans="1:7">
      <c r="A260">
        <v>53</v>
      </c>
      <c r="B260" t="s">
        <v>213</v>
      </c>
      <c r="C260" t="s">
        <v>8</v>
      </c>
      <c r="E260" s="3">
        <f t="shared" si="7"/>
        <v>2</v>
      </c>
      <c r="F260" s="5">
        <v>44089.625</v>
      </c>
      <c r="G260" t="str">
        <f t="shared" si="6"/>
        <v/>
      </c>
    </row>
    <row r="261" spans="1:7">
      <c r="A261">
        <v>57</v>
      </c>
      <c r="B261" t="s">
        <v>214</v>
      </c>
      <c r="C261" t="s">
        <v>8</v>
      </c>
      <c r="E261" s="3">
        <f t="shared" si="7"/>
        <v>3</v>
      </c>
      <c r="F261" s="5">
        <v>44090.625</v>
      </c>
      <c r="G261" t="str">
        <f t="shared" si="6"/>
        <v/>
      </c>
    </row>
    <row r="262" spans="1:7">
      <c r="A262">
        <v>85</v>
      </c>
      <c r="B262" t="s">
        <v>215</v>
      </c>
      <c r="C262" t="s">
        <v>8</v>
      </c>
      <c r="E262" s="3">
        <f t="shared" si="7"/>
        <v>4</v>
      </c>
      <c r="F262" s="5">
        <v>44091.625</v>
      </c>
      <c r="G262" t="str">
        <f t="shared" si="6"/>
        <v/>
      </c>
    </row>
    <row r="263" spans="1:7">
      <c r="A263">
        <v>77</v>
      </c>
      <c r="B263" t="s">
        <v>216</v>
      </c>
      <c r="C263" t="s">
        <v>8</v>
      </c>
      <c r="E263" s="3">
        <f t="shared" si="7"/>
        <v>5</v>
      </c>
      <c r="F263" s="5">
        <v>44092.625</v>
      </c>
      <c r="G263" t="str">
        <f t="shared" si="6"/>
        <v/>
      </c>
    </row>
    <row r="264" spans="1:7">
      <c r="A264">
        <v>61</v>
      </c>
      <c r="B264" t="s">
        <v>217</v>
      </c>
      <c r="C264" t="s">
        <v>8</v>
      </c>
      <c r="E264" s="3">
        <f t="shared" si="7"/>
        <v>6</v>
      </c>
      <c r="F264" s="5">
        <v>44093.625</v>
      </c>
      <c r="G264" t="str">
        <f t="shared" si="6"/>
        <v/>
      </c>
    </row>
    <row r="265" spans="1:7">
      <c r="A265">
        <v>74</v>
      </c>
      <c r="B265" t="s">
        <v>218</v>
      </c>
      <c r="C265" t="s">
        <v>8</v>
      </c>
      <c r="E265" s="3">
        <f t="shared" si="7"/>
        <v>7</v>
      </c>
      <c r="F265" s="5">
        <v>44094.625</v>
      </c>
      <c r="G265" t="str">
        <f t="shared" si="6"/>
        <v/>
      </c>
    </row>
    <row r="266" spans="1:7">
      <c r="A266">
        <v>120</v>
      </c>
      <c r="B266" t="s">
        <v>219</v>
      </c>
      <c r="C266" t="s">
        <v>8</v>
      </c>
      <c r="E266" s="3">
        <f t="shared" si="7"/>
        <v>1</v>
      </c>
      <c r="F266" s="5">
        <v>44095.625</v>
      </c>
      <c r="G266" t="str">
        <f t="shared" si="6"/>
        <v>Maanantai</v>
      </c>
    </row>
    <row r="267" spans="1:7">
      <c r="A267">
        <v>108</v>
      </c>
      <c r="B267" t="s">
        <v>220</v>
      </c>
      <c r="C267" t="s">
        <v>8</v>
      </c>
      <c r="E267" s="3">
        <f t="shared" si="7"/>
        <v>2</v>
      </c>
      <c r="F267" s="5">
        <v>44096.625</v>
      </c>
      <c r="G267" t="str">
        <f t="shared" si="6"/>
        <v/>
      </c>
    </row>
    <row r="268" spans="1:7">
      <c r="A268">
        <v>117</v>
      </c>
      <c r="B268" t="s">
        <v>221</v>
      </c>
      <c r="C268" t="s">
        <v>8</v>
      </c>
      <c r="E268" s="3">
        <f t="shared" si="7"/>
        <v>3</v>
      </c>
      <c r="F268" s="5">
        <v>44097.625</v>
      </c>
      <c r="G268" t="str">
        <f t="shared" si="6"/>
        <v/>
      </c>
    </row>
    <row r="269" spans="1:7">
      <c r="A269">
        <v>97</v>
      </c>
      <c r="B269" t="s">
        <v>222</v>
      </c>
      <c r="C269" t="s">
        <v>8</v>
      </c>
      <c r="E269" s="3">
        <f t="shared" si="7"/>
        <v>4</v>
      </c>
      <c r="F269" s="5">
        <v>44098.625</v>
      </c>
      <c r="G269" t="str">
        <f t="shared" si="6"/>
        <v/>
      </c>
    </row>
    <row r="270" spans="1:7">
      <c r="A270">
        <v>127</v>
      </c>
      <c r="B270" t="s">
        <v>223</v>
      </c>
      <c r="C270" t="s">
        <v>8</v>
      </c>
      <c r="E270" s="3">
        <f t="shared" si="7"/>
        <v>5</v>
      </c>
      <c r="F270" s="5">
        <v>44099.625</v>
      </c>
      <c r="G270" t="str">
        <f t="shared" si="6"/>
        <v/>
      </c>
    </row>
    <row r="271" spans="1:7">
      <c r="A271">
        <v>74</v>
      </c>
      <c r="B271" t="s">
        <v>224</v>
      </c>
      <c r="C271" t="s">
        <v>8</v>
      </c>
      <c r="E271" s="3">
        <f t="shared" si="7"/>
        <v>6</v>
      </c>
      <c r="F271" s="5">
        <v>44100.625</v>
      </c>
      <c r="G271" t="str">
        <f t="shared" si="6"/>
        <v/>
      </c>
    </row>
    <row r="272" spans="1:7">
      <c r="A272">
        <v>71</v>
      </c>
      <c r="B272" t="s">
        <v>225</v>
      </c>
      <c r="C272" t="s">
        <v>8</v>
      </c>
      <c r="E272" s="3">
        <f t="shared" si="7"/>
        <v>7</v>
      </c>
      <c r="F272" s="5">
        <v>44101.625</v>
      </c>
      <c r="G272" t="str">
        <f t="shared" si="6"/>
        <v/>
      </c>
    </row>
    <row r="273" spans="1:8">
      <c r="A273">
        <v>122</v>
      </c>
      <c r="B273" t="s">
        <v>226</v>
      </c>
      <c r="C273" t="s">
        <v>8</v>
      </c>
      <c r="E273" s="3">
        <f t="shared" si="7"/>
        <v>1</v>
      </c>
      <c r="F273" s="5">
        <v>44102.625</v>
      </c>
      <c r="G273" t="str">
        <f t="shared" si="6"/>
        <v>Maanantai</v>
      </c>
    </row>
    <row r="274" spans="1:8">
      <c r="A274">
        <v>134</v>
      </c>
      <c r="B274" t="s">
        <v>227</v>
      </c>
      <c r="C274" t="s">
        <v>8</v>
      </c>
      <c r="E274" s="3">
        <f t="shared" si="7"/>
        <v>2</v>
      </c>
      <c r="F274" s="5">
        <v>44103.625</v>
      </c>
      <c r="G274" t="str">
        <f t="shared" si="6"/>
        <v/>
      </c>
    </row>
    <row r="275" spans="1:8">
      <c r="A275">
        <v>165</v>
      </c>
      <c r="B275" t="s">
        <v>229</v>
      </c>
      <c r="C275" t="s">
        <v>8</v>
      </c>
      <c r="E275" s="3">
        <f t="shared" si="7"/>
        <v>3</v>
      </c>
      <c r="F275" s="5">
        <v>44104.625</v>
      </c>
      <c r="G275" t="str">
        <f t="shared" si="6"/>
        <v/>
      </c>
    </row>
    <row r="276" spans="1:8">
      <c r="A276">
        <v>188</v>
      </c>
      <c r="B276" t="s">
        <v>231</v>
      </c>
      <c r="C276" t="s">
        <v>8</v>
      </c>
      <c r="E276" s="3">
        <f t="shared" si="7"/>
        <v>4</v>
      </c>
      <c r="F276" s="5">
        <v>44105.625</v>
      </c>
      <c r="G276" t="str">
        <f t="shared" si="6"/>
        <v/>
      </c>
    </row>
    <row r="277" spans="1:8">
      <c r="A277">
        <v>190</v>
      </c>
      <c r="B277" t="s">
        <v>232</v>
      </c>
      <c r="C277" t="s">
        <v>8</v>
      </c>
      <c r="E277" s="3">
        <f t="shared" si="7"/>
        <v>5</v>
      </c>
      <c r="F277" s="5">
        <v>44106.625</v>
      </c>
      <c r="G277" t="str">
        <f t="shared" si="6"/>
        <v/>
      </c>
    </row>
    <row r="278" spans="1:8">
      <c r="A278">
        <v>170</v>
      </c>
      <c r="B278" t="s">
        <v>234</v>
      </c>
      <c r="C278" t="s">
        <v>8</v>
      </c>
      <c r="E278" s="3">
        <f t="shared" si="7"/>
        <v>6</v>
      </c>
      <c r="F278" s="5">
        <v>44107.625</v>
      </c>
      <c r="G278" t="str">
        <f t="shared" si="6"/>
        <v/>
      </c>
    </row>
    <row r="279" spans="1:8">
      <c r="A279">
        <v>147</v>
      </c>
      <c r="B279" t="s">
        <v>293</v>
      </c>
      <c r="C279" t="s">
        <v>8</v>
      </c>
      <c r="E279" s="3">
        <f t="shared" si="7"/>
        <v>7</v>
      </c>
      <c r="F279" s="5">
        <v>44108.625</v>
      </c>
      <c r="G279" t="str">
        <f t="shared" si="6"/>
        <v/>
      </c>
    </row>
    <row r="280" spans="1:8" s="10" customFormat="1">
      <c r="A280" s="10">
        <v>290</v>
      </c>
      <c r="B280" s="10" t="s">
        <v>294</v>
      </c>
      <c r="C280" s="10" t="s">
        <v>8</v>
      </c>
      <c r="E280" s="14">
        <f t="shared" si="7"/>
        <v>1</v>
      </c>
      <c r="F280" s="18">
        <v>44109.625</v>
      </c>
      <c r="G280" s="10" t="str">
        <f t="shared" si="6"/>
        <v>Maanantai</v>
      </c>
      <c r="H280" s="9"/>
    </row>
    <row r="281" spans="1:8">
      <c r="A281">
        <v>303</v>
      </c>
      <c r="B281" t="s">
        <v>295</v>
      </c>
      <c r="C281" t="s">
        <v>8</v>
      </c>
      <c r="E281" s="3">
        <f t="shared" si="7"/>
        <v>2</v>
      </c>
      <c r="F281" s="5">
        <v>44110.625</v>
      </c>
      <c r="G281" t="str">
        <f t="shared" si="6"/>
        <v/>
      </c>
    </row>
    <row r="282" spans="1:8">
      <c r="A282">
        <v>306</v>
      </c>
      <c r="B282" t="s">
        <v>296</v>
      </c>
      <c r="C282" t="s">
        <v>8</v>
      </c>
      <c r="E282" s="3">
        <f t="shared" si="7"/>
        <v>3</v>
      </c>
      <c r="F282" s="5">
        <v>44111.625</v>
      </c>
      <c r="G282" t="str">
        <f t="shared" si="6"/>
        <v/>
      </c>
    </row>
    <row r="283" spans="1:8">
      <c r="A283">
        <v>260</v>
      </c>
      <c r="B283" t="s">
        <v>297</v>
      </c>
      <c r="C283" t="s">
        <v>8</v>
      </c>
      <c r="E283" s="3">
        <f t="shared" si="7"/>
        <v>4</v>
      </c>
      <c r="F283" s="5">
        <v>44112.625</v>
      </c>
      <c r="G283" t="str">
        <f t="shared" si="6"/>
        <v/>
      </c>
    </row>
    <row r="284" spans="1:8">
      <c r="A284">
        <v>226</v>
      </c>
      <c r="B284" t="s">
        <v>298</v>
      </c>
      <c r="C284" t="s">
        <v>8</v>
      </c>
      <c r="E284" s="3">
        <f t="shared" si="7"/>
        <v>5</v>
      </c>
      <c r="F284" s="5">
        <v>44113.625</v>
      </c>
      <c r="G284" t="str">
        <f t="shared" si="6"/>
        <v/>
      </c>
    </row>
    <row r="285" spans="1:8">
      <c r="A285">
        <v>109</v>
      </c>
      <c r="B285" t="s">
        <v>310</v>
      </c>
      <c r="C285" t="s">
        <v>8</v>
      </c>
      <c r="E285" s="3">
        <f t="shared" si="7"/>
        <v>6</v>
      </c>
      <c r="F285" s="5">
        <v>44114.625</v>
      </c>
      <c r="G285" t="str">
        <f t="shared" si="6"/>
        <v/>
      </c>
    </row>
    <row r="286" spans="1:8">
      <c r="A286">
        <v>130</v>
      </c>
      <c r="B286" t="s">
        <v>311</v>
      </c>
      <c r="C286" t="s">
        <v>8</v>
      </c>
      <c r="E286" s="3">
        <f t="shared" si="7"/>
        <v>7</v>
      </c>
      <c r="F286" s="5">
        <v>44115.625</v>
      </c>
      <c r="G286" t="str">
        <f t="shared" si="6"/>
        <v/>
      </c>
    </row>
    <row r="287" spans="1:8" s="10" customFormat="1">
      <c r="A287" s="10">
        <v>254</v>
      </c>
      <c r="B287" s="10" t="s">
        <v>315</v>
      </c>
      <c r="C287" s="10" t="s">
        <v>8</v>
      </c>
      <c r="E287" s="14">
        <f t="shared" si="7"/>
        <v>1</v>
      </c>
      <c r="F287" s="18">
        <v>44116.625</v>
      </c>
      <c r="G287" s="10" t="str">
        <f t="shared" si="6"/>
        <v>Maanantai</v>
      </c>
      <c r="H287" s="9"/>
    </row>
    <row r="288" spans="1:8">
      <c r="A288">
        <v>197</v>
      </c>
      <c r="B288" t="s">
        <v>316</v>
      </c>
      <c r="C288" t="s">
        <v>8</v>
      </c>
      <c r="E288" s="3">
        <f t="shared" si="7"/>
        <v>2</v>
      </c>
      <c r="F288" s="5">
        <v>44117.625</v>
      </c>
      <c r="G288" t="str">
        <f t="shared" si="6"/>
        <v/>
      </c>
    </row>
    <row r="289" spans="1:8">
      <c r="A289">
        <v>201</v>
      </c>
      <c r="B289" t="s">
        <v>317</v>
      </c>
      <c r="C289" t="s">
        <v>8</v>
      </c>
      <c r="E289" s="3">
        <f t="shared" si="7"/>
        <v>3</v>
      </c>
      <c r="F289" s="5">
        <v>44118.625</v>
      </c>
      <c r="G289" t="str">
        <f t="shared" si="6"/>
        <v/>
      </c>
    </row>
    <row r="290" spans="1:8">
      <c r="A290">
        <v>191</v>
      </c>
      <c r="B290" t="s">
        <v>318</v>
      </c>
      <c r="C290" t="s">
        <v>8</v>
      </c>
      <c r="E290" s="3">
        <f t="shared" si="7"/>
        <v>4</v>
      </c>
      <c r="F290" s="5">
        <v>44119.625</v>
      </c>
      <c r="G290" t="str">
        <f t="shared" si="6"/>
        <v/>
      </c>
    </row>
    <row r="291" spans="1:8">
      <c r="A291">
        <v>192</v>
      </c>
      <c r="B291" t="s">
        <v>319</v>
      </c>
      <c r="C291" t="s">
        <v>8</v>
      </c>
      <c r="E291" s="3">
        <f t="shared" si="7"/>
        <v>5</v>
      </c>
      <c r="F291" s="5">
        <v>44120.625</v>
      </c>
      <c r="G291" t="str">
        <f t="shared" si="6"/>
        <v/>
      </c>
    </row>
    <row r="292" spans="1:8">
      <c r="A292">
        <v>100</v>
      </c>
      <c r="B292" t="s">
        <v>320</v>
      </c>
      <c r="C292" t="s">
        <v>8</v>
      </c>
      <c r="E292" s="3">
        <f t="shared" si="7"/>
        <v>6</v>
      </c>
      <c r="F292" s="5">
        <v>44121.625</v>
      </c>
      <c r="G292" t="str">
        <f t="shared" si="6"/>
        <v/>
      </c>
    </row>
    <row r="293" spans="1:8">
      <c r="A293">
        <v>128</v>
      </c>
      <c r="B293" t="s">
        <v>321</v>
      </c>
      <c r="C293" t="s">
        <v>8</v>
      </c>
      <c r="E293" s="3">
        <f t="shared" si="7"/>
        <v>7</v>
      </c>
      <c r="F293" s="5">
        <v>44122.625</v>
      </c>
      <c r="G293" t="str">
        <f t="shared" si="6"/>
        <v/>
      </c>
    </row>
    <row r="294" spans="1:8" s="10" customFormat="1">
      <c r="A294" s="10">
        <v>244</v>
      </c>
      <c r="B294" s="10" t="s">
        <v>322</v>
      </c>
      <c r="C294" s="10" t="s">
        <v>8</v>
      </c>
      <c r="E294" s="14">
        <f t="shared" si="7"/>
        <v>1</v>
      </c>
      <c r="F294" s="18">
        <v>44123.625</v>
      </c>
      <c r="G294" s="10" t="str">
        <f t="shared" si="6"/>
        <v>Maanantai</v>
      </c>
      <c r="H294" s="9"/>
    </row>
    <row r="295" spans="1:8">
      <c r="A295">
        <v>163</v>
      </c>
      <c r="B295" t="s">
        <v>323</v>
      </c>
      <c r="C295" t="s">
        <v>8</v>
      </c>
      <c r="E295" s="3">
        <f t="shared" si="7"/>
        <v>2</v>
      </c>
      <c r="F295" s="5">
        <v>44124.625</v>
      </c>
      <c r="G295" t="str">
        <f t="shared" si="6"/>
        <v/>
      </c>
    </row>
    <row r="296" spans="1:8">
      <c r="A296">
        <v>190</v>
      </c>
      <c r="B296" t="s">
        <v>324</v>
      </c>
      <c r="C296" t="s">
        <v>8</v>
      </c>
      <c r="E296" s="3">
        <f t="shared" si="7"/>
        <v>3</v>
      </c>
      <c r="F296" s="5">
        <v>44125.625</v>
      </c>
      <c r="G296" t="str">
        <f t="shared" si="6"/>
        <v/>
      </c>
    </row>
    <row r="297" spans="1:8">
      <c r="A297">
        <v>217</v>
      </c>
      <c r="B297" t="s">
        <v>325</v>
      </c>
      <c r="C297" t="s">
        <v>8</v>
      </c>
      <c r="E297" s="3">
        <f t="shared" si="7"/>
        <v>4</v>
      </c>
      <c r="F297" s="5">
        <v>44126.625</v>
      </c>
      <c r="G297" t="str">
        <f t="shared" si="6"/>
        <v/>
      </c>
    </row>
    <row r="298" spans="1:8">
      <c r="A298">
        <v>192</v>
      </c>
      <c r="B298" t="s">
        <v>326</v>
      </c>
      <c r="C298" t="s">
        <v>8</v>
      </c>
      <c r="E298" s="3">
        <f t="shared" si="7"/>
        <v>5</v>
      </c>
      <c r="F298" s="5">
        <v>44127.625</v>
      </c>
      <c r="G298" t="str">
        <f t="shared" si="6"/>
        <v/>
      </c>
    </row>
    <row r="299" spans="1:8">
      <c r="A299">
        <v>108</v>
      </c>
      <c r="B299" t="s">
        <v>327</v>
      </c>
      <c r="C299" t="s">
        <v>8</v>
      </c>
      <c r="E299" s="3">
        <f t="shared" si="7"/>
        <v>6</v>
      </c>
      <c r="F299" s="5">
        <v>44128.625</v>
      </c>
      <c r="G299" t="str">
        <f t="shared" si="6"/>
        <v/>
      </c>
    </row>
    <row r="300" spans="1:8">
      <c r="A300">
        <v>122</v>
      </c>
      <c r="B300" t="s">
        <v>328</v>
      </c>
      <c r="C300" t="s">
        <v>8</v>
      </c>
      <c r="E300" s="3">
        <f t="shared" si="7"/>
        <v>7</v>
      </c>
      <c r="F300" s="5">
        <v>44129.625</v>
      </c>
      <c r="G300" t="str">
        <f t="shared" si="6"/>
        <v/>
      </c>
    </row>
    <row r="301" spans="1:8" s="10" customFormat="1">
      <c r="A301" s="10">
        <v>256</v>
      </c>
      <c r="B301" s="10" t="s">
        <v>330</v>
      </c>
      <c r="C301" s="10" t="s">
        <v>8</v>
      </c>
      <c r="E301" s="14">
        <f t="shared" si="7"/>
        <v>1</v>
      </c>
      <c r="F301" s="18">
        <v>44130.625</v>
      </c>
      <c r="G301" s="10" t="str">
        <f t="shared" si="6"/>
        <v>Maanantai</v>
      </c>
      <c r="H301" s="9"/>
    </row>
    <row r="302" spans="1:8">
      <c r="A302">
        <v>230</v>
      </c>
      <c r="B302" t="s">
        <v>331</v>
      </c>
      <c r="C302" t="s">
        <v>8</v>
      </c>
      <c r="E302" s="3">
        <f t="shared" si="7"/>
        <v>2</v>
      </c>
      <c r="F302" s="5">
        <v>44131.625</v>
      </c>
      <c r="G302" t="str">
        <f t="shared" si="6"/>
        <v/>
      </c>
    </row>
    <row r="303" spans="1:8">
      <c r="A303">
        <v>240</v>
      </c>
      <c r="B303" t="s">
        <v>332</v>
      </c>
      <c r="C303" t="s">
        <v>8</v>
      </c>
      <c r="E303" s="3">
        <f t="shared" si="7"/>
        <v>3</v>
      </c>
      <c r="F303" s="5">
        <v>44132.625</v>
      </c>
      <c r="G303" t="str">
        <f t="shared" si="6"/>
        <v/>
      </c>
    </row>
    <row r="304" spans="1:8">
      <c r="A304">
        <v>237</v>
      </c>
      <c r="B304" t="s">
        <v>333</v>
      </c>
      <c r="C304" t="s">
        <v>8</v>
      </c>
      <c r="E304" s="3">
        <f t="shared" si="7"/>
        <v>4</v>
      </c>
      <c r="F304" s="5">
        <v>44133.625</v>
      </c>
      <c r="G304" t="str">
        <f t="shared" si="6"/>
        <v/>
      </c>
    </row>
    <row r="305" spans="1:8">
      <c r="A305">
        <v>219</v>
      </c>
      <c r="B305" t="s">
        <v>334</v>
      </c>
      <c r="C305" t="s">
        <v>8</v>
      </c>
      <c r="E305" s="3">
        <f t="shared" si="7"/>
        <v>5</v>
      </c>
      <c r="F305" s="5">
        <v>44134.625</v>
      </c>
      <c r="G305" t="str">
        <f t="shared" si="6"/>
        <v/>
      </c>
    </row>
    <row r="306" spans="1:8">
      <c r="A306">
        <v>121</v>
      </c>
      <c r="B306" t="s">
        <v>335</v>
      </c>
      <c r="C306" t="s">
        <v>8</v>
      </c>
      <c r="E306" s="3">
        <f t="shared" si="7"/>
        <v>6</v>
      </c>
      <c r="F306" s="5">
        <v>44135.625</v>
      </c>
      <c r="G306" t="str">
        <f t="shared" si="6"/>
        <v/>
      </c>
    </row>
    <row r="307" spans="1:8">
      <c r="A307">
        <v>150</v>
      </c>
      <c r="B307" t="s">
        <v>336</v>
      </c>
      <c r="C307" t="s">
        <v>8</v>
      </c>
      <c r="E307" s="3">
        <f t="shared" si="7"/>
        <v>7</v>
      </c>
      <c r="F307" s="5">
        <v>44136.625</v>
      </c>
      <c r="G307" t="str">
        <f t="shared" si="6"/>
        <v/>
      </c>
    </row>
    <row r="308" spans="1:8" s="10" customFormat="1">
      <c r="A308" s="10">
        <v>281</v>
      </c>
      <c r="B308" s="10" t="s">
        <v>337</v>
      </c>
      <c r="C308" s="10" t="s">
        <v>8</v>
      </c>
      <c r="E308" s="14">
        <f t="shared" si="7"/>
        <v>1</v>
      </c>
      <c r="F308" s="18">
        <v>44137.625</v>
      </c>
      <c r="G308" s="10" t="str">
        <f>IF(WEEKDAY(F308,2)=1,"Maanantai","")</f>
        <v>Maanantai</v>
      </c>
      <c r="H308" s="9"/>
    </row>
    <row r="309" spans="1:8">
      <c r="A309">
        <v>239</v>
      </c>
      <c r="B309" t="s">
        <v>338</v>
      </c>
      <c r="C309" t="s">
        <v>8</v>
      </c>
      <c r="E309" s="3">
        <f t="shared" si="7"/>
        <v>2</v>
      </c>
      <c r="F309" s="5">
        <v>44138.625</v>
      </c>
      <c r="G309" t="str">
        <f t="shared" ref="G309:G310" si="8">IF(WEEKDAY(F309,2)=1,"Maanantai","")</f>
        <v/>
      </c>
    </row>
    <row r="310" spans="1:8">
      <c r="A310">
        <v>206</v>
      </c>
      <c r="B310" t="s">
        <v>339</v>
      </c>
      <c r="C310" t="s">
        <v>8</v>
      </c>
      <c r="E310" s="3">
        <f t="shared" si="7"/>
        <v>3</v>
      </c>
      <c r="F310" s="5">
        <v>44139.625</v>
      </c>
      <c r="G310" t="str">
        <f t="shared" si="8"/>
        <v/>
      </c>
    </row>
    <row r="311" spans="1:8">
      <c r="A311">
        <v>218</v>
      </c>
      <c r="B311" t="s">
        <v>340</v>
      </c>
      <c r="C311" t="s">
        <v>8</v>
      </c>
      <c r="E311" s="3">
        <f t="shared" si="7"/>
        <v>4</v>
      </c>
      <c r="F311" s="5">
        <v>44140.625</v>
      </c>
      <c r="G311" t="str">
        <f>IF(WEEKDAY(F311,2)=1,"Maanantai","")</f>
        <v/>
      </c>
    </row>
    <row r="312" spans="1:8">
      <c r="A312">
        <v>194</v>
      </c>
      <c r="B312" t="s">
        <v>341</v>
      </c>
      <c r="C312" t="s">
        <v>8</v>
      </c>
      <c r="F312" s="5">
        <v>44141.625</v>
      </c>
    </row>
    <row r="313" spans="1:8">
      <c r="A313">
        <v>127</v>
      </c>
      <c r="B313" t="s">
        <v>342</v>
      </c>
      <c r="C313" t="s">
        <v>8</v>
      </c>
      <c r="F313" s="5">
        <v>44142.625</v>
      </c>
    </row>
    <row r="314" spans="1:8">
      <c r="A314">
        <v>133</v>
      </c>
      <c r="B314" t="s">
        <v>343</v>
      </c>
      <c r="C314" t="s">
        <v>8</v>
      </c>
      <c r="F314" s="5">
        <v>44143.625</v>
      </c>
    </row>
    <row r="315" spans="1:8">
      <c r="A315">
        <v>264</v>
      </c>
      <c r="B315" t="s">
        <v>344</v>
      </c>
      <c r="C315" t="s">
        <v>8</v>
      </c>
      <c r="F315" s="5">
        <v>44144.625</v>
      </c>
    </row>
    <row r="316" spans="1:8">
      <c r="A316">
        <v>164</v>
      </c>
      <c r="B316" t="s">
        <v>345</v>
      </c>
      <c r="C316" t="s">
        <v>8</v>
      </c>
      <c r="F316" s="5">
        <v>44145.625</v>
      </c>
    </row>
    <row r="317" spans="1:8">
      <c r="A317">
        <v>65</v>
      </c>
      <c r="B317" t="s">
        <v>346</v>
      </c>
      <c r="C317" t="s">
        <v>8</v>
      </c>
      <c r="F317" s="5">
        <v>44146.625</v>
      </c>
    </row>
    <row r="318" spans="1:8">
      <c r="A318">
        <v>0</v>
      </c>
      <c r="B318" t="s">
        <v>347</v>
      </c>
      <c r="C318" t="s">
        <v>8</v>
      </c>
      <c r="F318" s="5">
        <v>44147.490173611113</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DM67"/>
  <sheetViews>
    <sheetView tabSelected="1" topLeftCell="A4" zoomScale="85" zoomScaleNormal="85" workbookViewId="0">
      <selection activeCell="K8" sqref="K8"/>
    </sheetView>
  </sheetViews>
  <sheetFormatPr defaultRowHeight="14.6"/>
  <cols>
    <col min="2" max="2" width="10.07421875" customWidth="1"/>
    <col min="3" max="3" width="10.84375" bestFit="1" customWidth="1"/>
    <col min="11" max="11" width="9.23046875" style="4"/>
    <col min="13" max="13" width="12.15234375" style="16" customWidth="1"/>
    <col min="16" max="16" width="9.84375" style="16" customWidth="1"/>
    <col min="19" max="19" width="9.84375" style="16" customWidth="1"/>
    <col min="22" max="22" width="12.15234375" style="16" customWidth="1"/>
    <col min="25" max="25" width="12.15234375" style="16" customWidth="1"/>
    <col min="28" max="28" width="12.15234375" style="16"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12.11 n=197. Yhteensä N=18542. Edelliset 7 päivää 1165 (päivittyy), 1453 (muutos 6 %), 1365 (13 %) ja 1208 https://github.com/jussivirkkala/excel/tree/master/hs-koronavirus-avoindata</v>
      </c>
      <c r="B31" s="4"/>
    </row>
    <row r="32" spans="1:32">
      <c r="A32" t="str">
        <f ca="1">"Uusia COVID-19 tapauksia "&amp;TEXT(MAX(M:M),"p.kk")&amp;" n="&amp;(C$65-N$65)&amp;P$28&amp;". Yhteensä N="&amp;C$64&amp;". Melko pysyvät 7 päivää "&amp;TEXT(B55,"p.kk")&amp;"-"&amp;TEXT(B61,"p.kk")&amp;" yhteensä "&amp;J$54&amp;" (muutos "&amp;K54&amp;"), aiemmat 7 päivää "&amp;J$47&amp;" ("&amp;K$47&amp;") ja "&amp;J$40&amp;" https://github.com/jussivirkkala/excel/tree/master/hs-koronavirus-avoindata"</f>
        <v>Uusia COVID-19 tapauksia 12.11 n=197. Yhteensä N=18542. Melko pysyvät 7 päivää 2.11-8.11 yhteensä 1398 (muutos -4 %), aiemmat 7 päivää 1453 (18 %) ja 1236 https://github.com/jussivirkkala/excel/tree/master/hs-koronavirus-avoindata</v>
      </c>
      <c r="B32" s="4"/>
    </row>
    <row r="33" spans="1:117">
      <c r="B33" s="4"/>
    </row>
    <row r="34" spans="1:117">
      <c r="A34" t="str">
        <f ca="1">"Kirjattuja COVID-19 tapauksia N="&amp;C65&amp;"."&amp;CHAR(32)&amp;"Uusimmat "&amp;TEXT(MAX(M:M),"p.kk")&amp;" lisäykset punaisella n="&amp;L65&amp;"."</f>
        <v>Kirjattuja COVID-19 tapauksia N=18542. Uusimmat 12.11 lisäykset punaisella n=197.</v>
      </c>
      <c r="B34" s="4"/>
    </row>
    <row r="35" spans="1:117">
      <c r="B35" s="4" t="s">
        <v>5</v>
      </c>
      <c r="C35" t="s">
        <v>0</v>
      </c>
      <c r="D35" t="s">
        <v>6</v>
      </c>
      <c r="E35">
        <f ca="1">SUM(E37:E65)</f>
        <v>197</v>
      </c>
      <c r="F35" t="s">
        <v>228</v>
      </c>
      <c r="M35" s="16" t="s">
        <v>312</v>
      </c>
      <c r="P35" s="16" t="s">
        <v>313</v>
      </c>
      <c r="S35" s="16" t="s">
        <v>314</v>
      </c>
    </row>
    <row r="36" spans="1:117">
      <c r="A36" t="str">
        <f ca="1">IF(WEEKDAY(B36,2)=1,"Ma","")</f>
        <v/>
      </c>
      <c r="B36" s="4">
        <f ca="1">B37-1</f>
        <v>44118</v>
      </c>
      <c r="C36" s="11">
        <f t="shared" ref="C36:C65" ca="1" si="0">SUMIF(aika,"&lt;"&amp;(B36+1),Id)</f>
        <v>13351</v>
      </c>
    </row>
    <row r="37" spans="1:117" s="10" customFormat="1">
      <c r="A37" t="str">
        <f t="shared" ref="A37:A60" ca="1" si="1">IF(WEEKDAY(B37,2)=1,"Ma","")</f>
        <v/>
      </c>
      <c r="B37" s="9">
        <f t="shared" ref="B37:B62" ca="1" si="2">B38-1</f>
        <v>44119</v>
      </c>
      <c r="C37" s="10">
        <f t="shared" ca="1" si="0"/>
        <v>13542</v>
      </c>
      <c r="D37" s="10">
        <f t="shared" ref="D37" ca="1" si="3">C37-C36</f>
        <v>191</v>
      </c>
      <c r="E37" s="10">
        <f t="shared" ref="E37:E64" ca="1" si="4">_xlfn.IFNA(D37-F37,"")</f>
        <v>0</v>
      </c>
      <c r="F37" s="10">
        <f ca="1">VLOOKUP(B37,Previous,3,FALSE)</f>
        <v>191</v>
      </c>
      <c r="G37" s="10">
        <f ca="1">SUM(D37:D43)</f>
        <v>1208</v>
      </c>
      <c r="I37" s="10">
        <f ca="1">SUM(D37:D50)</f>
        <v>2573</v>
      </c>
      <c r="K37" s="14"/>
      <c r="M37" s="17">
        <v>44119</v>
      </c>
      <c r="N37" s="10">
        <v>13542</v>
      </c>
      <c r="O37" s="10">
        <v>191</v>
      </c>
      <c r="P37" s="17">
        <v>44119</v>
      </c>
      <c r="Q37" s="10">
        <v>13542</v>
      </c>
      <c r="R37" s="10">
        <v>191</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0">
        <v>44110</v>
      </c>
      <c r="CN37" s="10">
        <v>11664</v>
      </c>
      <c r="CO37" s="10">
        <v>301</v>
      </c>
      <c r="CP37" s="10">
        <v>44111</v>
      </c>
      <c r="CQ37" s="10">
        <v>11970</v>
      </c>
      <c r="CR37" s="10">
        <v>306</v>
      </c>
      <c r="CS37" s="10">
        <v>44112</v>
      </c>
      <c r="CT37" s="10">
        <v>12232</v>
      </c>
      <c r="CU37" s="10">
        <v>260</v>
      </c>
      <c r="CV37" s="10">
        <v>44113</v>
      </c>
      <c r="CW37" s="10">
        <v>12459</v>
      </c>
      <c r="CX37" s="10">
        <v>227</v>
      </c>
      <c r="CY37" s="10">
        <v>44115</v>
      </c>
      <c r="CZ37" s="10">
        <v>12696</v>
      </c>
      <c r="DA37" s="10">
        <v>130</v>
      </c>
      <c r="DB37" s="10">
        <v>44116</v>
      </c>
      <c r="DC37" s="10">
        <v>12950</v>
      </c>
      <c r="DD37" s="10">
        <v>254</v>
      </c>
      <c r="DE37" s="10">
        <v>44117</v>
      </c>
      <c r="DF37" s="10">
        <v>13147</v>
      </c>
      <c r="DG37" s="10">
        <v>197</v>
      </c>
      <c r="DH37" s="10">
        <v>44118</v>
      </c>
      <c r="DI37" s="10">
        <v>13348</v>
      </c>
      <c r="DJ37" s="10">
        <v>200</v>
      </c>
      <c r="DK37" s="10">
        <v>44119</v>
      </c>
      <c r="DL37" s="10">
        <v>13542</v>
      </c>
      <c r="DM37" s="10">
        <v>191</v>
      </c>
    </row>
    <row r="38" spans="1:117">
      <c r="A38" t="str">
        <f t="shared" ca="1" si="1"/>
        <v/>
      </c>
      <c r="B38" s="4">
        <f t="shared" ca="1" si="2"/>
        <v>44120</v>
      </c>
      <c r="C38" s="11">
        <f t="shared" ca="1" si="0"/>
        <v>13734</v>
      </c>
      <c r="D38">
        <f t="shared" ref="D38" ca="1" si="5">C38-C37</f>
        <v>192</v>
      </c>
      <c r="E38" s="11">
        <f t="shared" ca="1" si="4"/>
        <v>0</v>
      </c>
      <c r="F38" s="11">
        <f t="shared" ref="F38:F65" ca="1" si="6">VLOOKUP(B38,Previous,3,FALSE)</f>
        <v>192</v>
      </c>
      <c r="K38" s="3"/>
      <c r="M38" s="16">
        <v>44120</v>
      </c>
      <c r="N38">
        <v>13734</v>
      </c>
      <c r="O38">
        <v>192</v>
      </c>
      <c r="P38" s="16">
        <v>44120</v>
      </c>
      <c r="Q38">
        <v>13734</v>
      </c>
      <c r="R38">
        <v>192</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v>44111</v>
      </c>
      <c r="CN38">
        <v>11970</v>
      </c>
      <c r="CO38">
        <v>306</v>
      </c>
      <c r="CP38">
        <v>44112</v>
      </c>
      <c r="CQ38">
        <v>12230</v>
      </c>
      <c r="CR38">
        <v>260</v>
      </c>
      <c r="CS38">
        <v>44113</v>
      </c>
      <c r="CT38">
        <v>12458</v>
      </c>
      <c r="CU38">
        <v>226</v>
      </c>
      <c r="CV38">
        <v>44114</v>
      </c>
      <c r="CW38">
        <v>12568</v>
      </c>
      <c r="CX38">
        <v>109</v>
      </c>
      <c r="CY38">
        <v>44116</v>
      </c>
      <c r="CZ38">
        <v>12950</v>
      </c>
      <c r="DA38">
        <v>254</v>
      </c>
      <c r="DB38">
        <v>44117</v>
      </c>
      <c r="DC38">
        <v>13147</v>
      </c>
      <c r="DD38">
        <v>197</v>
      </c>
      <c r="DE38">
        <v>44118</v>
      </c>
      <c r="DF38">
        <v>13347</v>
      </c>
      <c r="DG38">
        <v>200</v>
      </c>
      <c r="DH38">
        <v>44119</v>
      </c>
      <c r="DI38">
        <v>13539</v>
      </c>
      <c r="DJ38">
        <v>191</v>
      </c>
      <c r="DK38">
        <v>44120</v>
      </c>
      <c r="DL38">
        <v>13734</v>
      </c>
      <c r="DM38">
        <v>192</v>
      </c>
    </row>
    <row r="39" spans="1:117">
      <c r="A39" t="str">
        <f t="shared" ca="1" si="1"/>
        <v/>
      </c>
      <c r="B39" s="4">
        <f t="shared" ca="1" si="2"/>
        <v>44121</v>
      </c>
      <c r="C39" s="11">
        <f t="shared" ca="1" si="0"/>
        <v>13834</v>
      </c>
      <c r="D39">
        <f t="shared" ref="D39" ca="1" si="7">C39-C38</f>
        <v>100</v>
      </c>
      <c r="E39" s="11">
        <f t="shared" ca="1" si="4"/>
        <v>0</v>
      </c>
      <c r="F39" s="11">
        <f t="shared" ca="1" si="6"/>
        <v>100</v>
      </c>
      <c r="K39" s="3"/>
      <c r="M39" s="16">
        <v>44121</v>
      </c>
      <c r="N39">
        <v>13834</v>
      </c>
      <c r="O39">
        <v>100</v>
      </c>
      <c r="P39" s="16">
        <v>44121</v>
      </c>
      <c r="Q39">
        <v>13834</v>
      </c>
      <c r="R39">
        <v>100</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v>44112</v>
      </c>
      <c r="CN39">
        <v>12230</v>
      </c>
      <c r="CO39">
        <v>260</v>
      </c>
      <c r="CP39">
        <v>44113</v>
      </c>
      <c r="CQ39">
        <v>12456</v>
      </c>
      <c r="CR39">
        <v>226</v>
      </c>
      <c r="CS39">
        <v>44114</v>
      </c>
      <c r="CT39">
        <v>12567</v>
      </c>
      <c r="CU39">
        <v>109</v>
      </c>
      <c r="CV39">
        <v>44115</v>
      </c>
      <c r="CW39">
        <v>12698</v>
      </c>
      <c r="CX39">
        <v>130</v>
      </c>
      <c r="CY39">
        <v>44117</v>
      </c>
      <c r="CZ39">
        <v>13147</v>
      </c>
      <c r="DA39">
        <v>197</v>
      </c>
      <c r="DB39">
        <v>44118</v>
      </c>
      <c r="DC39">
        <v>13347</v>
      </c>
      <c r="DD39">
        <v>200</v>
      </c>
      <c r="DE39">
        <v>44119</v>
      </c>
      <c r="DF39">
        <v>13538</v>
      </c>
      <c r="DG39">
        <v>191</v>
      </c>
      <c r="DH39">
        <v>44120</v>
      </c>
      <c r="DI39">
        <v>13732</v>
      </c>
      <c r="DJ39">
        <v>193</v>
      </c>
      <c r="DK39">
        <v>44121</v>
      </c>
      <c r="DL39">
        <v>13834</v>
      </c>
      <c r="DM39">
        <v>100</v>
      </c>
    </row>
    <row r="40" spans="1:117">
      <c r="A40" t="str">
        <f t="shared" ca="1" si="1"/>
        <v/>
      </c>
      <c r="B40" s="4">
        <f t="shared" ca="1" si="2"/>
        <v>44122</v>
      </c>
      <c r="C40" s="11">
        <f t="shared" ca="1" si="0"/>
        <v>13962</v>
      </c>
      <c r="D40">
        <f t="shared" ref="D40" ca="1" si="8">C40-C39</f>
        <v>128</v>
      </c>
      <c r="E40" s="11">
        <f t="shared" ca="1" si="4"/>
        <v>-1</v>
      </c>
      <c r="F40" s="11">
        <f t="shared" ca="1" si="6"/>
        <v>129</v>
      </c>
      <c r="J40" s="10">
        <f ca="1">SUM(D41:D47)</f>
        <v>1236</v>
      </c>
      <c r="K40" s="3"/>
      <c r="M40" s="16">
        <v>44122</v>
      </c>
      <c r="N40">
        <v>13963</v>
      </c>
      <c r="O40">
        <v>129</v>
      </c>
      <c r="P40" s="16">
        <v>44122</v>
      </c>
      <c r="Q40">
        <v>13963</v>
      </c>
      <c r="R40">
        <v>129</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v>44113</v>
      </c>
      <c r="CN40">
        <v>12456</v>
      </c>
      <c r="CO40">
        <v>226</v>
      </c>
      <c r="CP40">
        <v>44114</v>
      </c>
      <c r="CQ40">
        <v>12565</v>
      </c>
      <c r="CR40">
        <v>109</v>
      </c>
      <c r="CS40">
        <v>44115</v>
      </c>
      <c r="CT40">
        <v>12697</v>
      </c>
      <c r="CU40">
        <v>130</v>
      </c>
      <c r="CV40">
        <v>44116</v>
      </c>
      <c r="CW40">
        <v>12952</v>
      </c>
      <c r="CX40">
        <v>254</v>
      </c>
      <c r="CY40">
        <v>44118</v>
      </c>
      <c r="CZ40">
        <v>13347</v>
      </c>
      <c r="DA40">
        <v>200</v>
      </c>
      <c r="DB40">
        <v>44119</v>
      </c>
      <c r="DC40">
        <v>13538</v>
      </c>
      <c r="DD40">
        <v>191</v>
      </c>
      <c r="DE40">
        <v>44120</v>
      </c>
      <c r="DF40">
        <v>13731</v>
      </c>
      <c r="DG40">
        <v>193</v>
      </c>
      <c r="DH40">
        <v>44121</v>
      </c>
      <c r="DI40">
        <v>13832</v>
      </c>
      <c r="DJ40">
        <v>100</v>
      </c>
      <c r="DK40">
        <v>44122</v>
      </c>
      <c r="DL40">
        <v>13963</v>
      </c>
      <c r="DM40">
        <v>129</v>
      </c>
    </row>
    <row r="41" spans="1:117">
      <c r="A41" t="str">
        <f t="shared" ca="1" si="1"/>
        <v>Ma</v>
      </c>
      <c r="B41" s="4">
        <f t="shared" ca="1" si="2"/>
        <v>44123</v>
      </c>
      <c r="C41" s="11">
        <f t="shared" ca="1" si="0"/>
        <v>14206</v>
      </c>
      <c r="D41">
        <f t="shared" ref="D41" ca="1" si="9">C41-C40</f>
        <v>244</v>
      </c>
      <c r="E41" s="11">
        <f t="shared" ca="1" si="4"/>
        <v>0</v>
      </c>
      <c r="F41" s="11">
        <f t="shared" ca="1" si="6"/>
        <v>244</v>
      </c>
      <c r="K41" s="3"/>
      <c r="M41" s="16">
        <v>44123</v>
      </c>
      <c r="N41">
        <v>14207</v>
      </c>
      <c r="O41">
        <v>244</v>
      </c>
      <c r="P41" s="16">
        <v>44123</v>
      </c>
      <c r="Q41">
        <v>14207</v>
      </c>
      <c r="R41">
        <v>244</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v>44114</v>
      </c>
      <c r="CN41">
        <v>12565</v>
      </c>
      <c r="CO41">
        <v>109</v>
      </c>
      <c r="CP41">
        <v>44115</v>
      </c>
      <c r="CQ41">
        <v>12695</v>
      </c>
      <c r="CR41">
        <v>130</v>
      </c>
      <c r="CS41">
        <v>44116</v>
      </c>
      <c r="CT41">
        <v>12951</v>
      </c>
      <c r="CU41">
        <v>254</v>
      </c>
      <c r="CV41">
        <v>44117</v>
      </c>
      <c r="CW41">
        <v>13149</v>
      </c>
      <c r="CX41">
        <v>197</v>
      </c>
      <c r="CY41">
        <v>44119</v>
      </c>
      <c r="CZ41">
        <v>13538</v>
      </c>
      <c r="DA41">
        <v>191</v>
      </c>
      <c r="DB41">
        <v>44120</v>
      </c>
      <c r="DC41">
        <v>13731</v>
      </c>
      <c r="DD41">
        <v>193</v>
      </c>
      <c r="DE41">
        <v>44121</v>
      </c>
      <c r="DF41">
        <v>13831</v>
      </c>
      <c r="DG41">
        <v>100</v>
      </c>
      <c r="DH41">
        <v>44122</v>
      </c>
      <c r="DI41">
        <v>13960</v>
      </c>
      <c r="DJ41">
        <v>128</v>
      </c>
      <c r="DK41">
        <v>44123</v>
      </c>
      <c r="DL41">
        <v>14207</v>
      </c>
      <c r="DM41">
        <v>244</v>
      </c>
    </row>
    <row r="42" spans="1:117">
      <c r="A42" t="str">
        <f t="shared" ca="1" si="1"/>
        <v/>
      </c>
      <c r="B42" s="4">
        <f t="shared" ca="1" si="2"/>
        <v>44124</v>
      </c>
      <c r="C42" s="11">
        <f t="shared" ca="1" si="0"/>
        <v>14369</v>
      </c>
      <c r="D42">
        <f t="shared" ref="D42" ca="1" si="10">C42-C41</f>
        <v>163</v>
      </c>
      <c r="E42" s="11">
        <f t="shared" ca="1" si="4"/>
        <v>0</v>
      </c>
      <c r="F42" s="11">
        <f t="shared" ca="1" si="6"/>
        <v>163</v>
      </c>
      <c r="K42" s="3"/>
      <c r="M42" s="16">
        <v>44124</v>
      </c>
      <c r="N42">
        <v>14370</v>
      </c>
      <c r="O42">
        <v>163</v>
      </c>
      <c r="P42" s="16">
        <v>44124</v>
      </c>
      <c r="Q42">
        <v>14370</v>
      </c>
      <c r="R42">
        <v>163</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v>44115</v>
      </c>
      <c r="CN42">
        <v>12695</v>
      </c>
      <c r="CO42">
        <v>130</v>
      </c>
      <c r="CP42">
        <v>44116</v>
      </c>
      <c r="CQ42">
        <v>12949</v>
      </c>
      <c r="CR42">
        <v>254</v>
      </c>
      <c r="CS42">
        <v>44117</v>
      </c>
      <c r="CT42">
        <v>13148</v>
      </c>
      <c r="CU42">
        <v>197</v>
      </c>
      <c r="CV42">
        <v>44118</v>
      </c>
      <c r="CW42">
        <v>13349</v>
      </c>
      <c r="CX42">
        <v>200</v>
      </c>
      <c r="CY42">
        <v>44120</v>
      </c>
      <c r="CZ42">
        <v>13731</v>
      </c>
      <c r="DA42">
        <v>193</v>
      </c>
      <c r="DB42">
        <v>44121</v>
      </c>
      <c r="DC42">
        <v>13831</v>
      </c>
      <c r="DD42">
        <v>100</v>
      </c>
      <c r="DE42">
        <v>44122</v>
      </c>
      <c r="DF42">
        <v>13959</v>
      </c>
      <c r="DG42">
        <v>128</v>
      </c>
      <c r="DH42">
        <v>44123</v>
      </c>
      <c r="DI42">
        <v>14204</v>
      </c>
      <c r="DJ42">
        <v>244</v>
      </c>
      <c r="DK42">
        <v>44124</v>
      </c>
      <c r="DL42">
        <v>14370</v>
      </c>
      <c r="DM42">
        <v>163</v>
      </c>
    </row>
    <row r="43" spans="1:117">
      <c r="A43" t="str">
        <f t="shared" ca="1" si="1"/>
        <v/>
      </c>
      <c r="B43" s="4">
        <f t="shared" ca="1" si="2"/>
        <v>44125</v>
      </c>
      <c r="C43" s="11">
        <f t="shared" ca="1" si="0"/>
        <v>14559</v>
      </c>
      <c r="D43">
        <f t="shared" ref="D43" ca="1" si="11">C43-C42</f>
        <v>190</v>
      </c>
      <c r="E43" s="11">
        <f t="shared" ca="1" si="4"/>
        <v>1</v>
      </c>
      <c r="F43" s="11">
        <f t="shared" ca="1" si="6"/>
        <v>189</v>
      </c>
      <c r="G43" s="10"/>
      <c r="K43" s="3"/>
      <c r="M43" s="16">
        <v>44125</v>
      </c>
      <c r="N43">
        <v>14559</v>
      </c>
      <c r="O43">
        <v>189</v>
      </c>
      <c r="P43" s="16">
        <v>44125</v>
      </c>
      <c r="Q43">
        <v>14559</v>
      </c>
      <c r="R43">
        <v>189</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v>44116</v>
      </c>
      <c r="CN43">
        <v>12949</v>
      </c>
      <c r="CO43">
        <v>254</v>
      </c>
      <c r="CP43">
        <v>44117</v>
      </c>
      <c r="CQ43">
        <v>13146</v>
      </c>
      <c r="CR43">
        <v>197</v>
      </c>
      <c r="CS43">
        <v>44118</v>
      </c>
      <c r="CT43">
        <v>13348</v>
      </c>
      <c r="CU43">
        <v>200</v>
      </c>
      <c r="CV43">
        <v>44119</v>
      </c>
      <c r="CW43">
        <v>13540</v>
      </c>
      <c r="CX43">
        <v>191</v>
      </c>
      <c r="CY43">
        <v>44121</v>
      </c>
      <c r="CZ43">
        <v>13831</v>
      </c>
      <c r="DA43">
        <v>100</v>
      </c>
      <c r="DB43">
        <v>44122</v>
      </c>
      <c r="DC43">
        <v>13959</v>
      </c>
      <c r="DD43">
        <v>128</v>
      </c>
      <c r="DE43">
        <v>44123</v>
      </c>
      <c r="DF43">
        <v>14203</v>
      </c>
      <c r="DG43">
        <v>244</v>
      </c>
      <c r="DH43">
        <v>44124</v>
      </c>
      <c r="DI43">
        <v>14366</v>
      </c>
      <c r="DJ43">
        <v>162</v>
      </c>
      <c r="DK43">
        <v>44125</v>
      </c>
      <c r="DL43">
        <v>14559</v>
      </c>
      <c r="DM43">
        <v>189</v>
      </c>
    </row>
    <row r="44" spans="1:117" s="10" customFormat="1">
      <c r="A44" t="str">
        <f t="shared" ca="1" si="1"/>
        <v/>
      </c>
      <c r="B44" s="9">
        <f t="shared" ca="1" si="2"/>
        <v>44126</v>
      </c>
      <c r="C44" s="10">
        <f t="shared" ca="1" si="0"/>
        <v>14776</v>
      </c>
      <c r="D44" s="10">
        <f t="shared" ref="D44" ca="1" si="12">C44-C43</f>
        <v>217</v>
      </c>
      <c r="E44" s="10">
        <f t="shared" ca="1" si="4"/>
        <v>1</v>
      </c>
      <c r="F44" s="10">
        <f t="shared" ca="1" si="6"/>
        <v>216</v>
      </c>
      <c r="G44" s="10">
        <f ca="1">SUM(D44:D50)</f>
        <v>1365</v>
      </c>
      <c r="H44" s="10" t="str">
        <f ca="1">TEXT(G44/G37-1,"0 %")</f>
        <v>13 %</v>
      </c>
      <c r="I44" s="10">
        <f ca="1">SUM(D44:D57)</f>
        <v>2818</v>
      </c>
      <c r="K44" s="14"/>
      <c r="L44"/>
      <c r="M44" s="17">
        <v>44126</v>
      </c>
      <c r="N44" s="10">
        <v>14775</v>
      </c>
      <c r="O44" s="10">
        <v>216</v>
      </c>
      <c r="P44" s="17">
        <v>44126</v>
      </c>
      <c r="Q44" s="10">
        <v>14775</v>
      </c>
      <c r="R44" s="10">
        <v>216</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0">
        <v>44117</v>
      </c>
      <c r="CN44" s="10">
        <v>13146</v>
      </c>
      <c r="CO44" s="10">
        <v>197</v>
      </c>
      <c r="CP44" s="10">
        <v>44118</v>
      </c>
      <c r="CQ44" s="10">
        <v>13346</v>
      </c>
      <c r="CR44" s="10">
        <v>200</v>
      </c>
      <c r="CS44" s="10">
        <v>44119</v>
      </c>
      <c r="CT44" s="10">
        <v>13539</v>
      </c>
      <c r="CU44" s="10">
        <v>191</v>
      </c>
      <c r="CV44" s="10">
        <v>44120</v>
      </c>
      <c r="CW44" s="10">
        <v>13733</v>
      </c>
      <c r="CX44" s="10">
        <v>193</v>
      </c>
      <c r="CY44" s="10">
        <v>44122</v>
      </c>
      <c r="CZ44" s="10">
        <v>13959</v>
      </c>
      <c r="DA44" s="10">
        <v>128</v>
      </c>
      <c r="DB44" s="10">
        <v>44123</v>
      </c>
      <c r="DC44" s="10">
        <v>14203</v>
      </c>
      <c r="DD44" s="10">
        <v>244</v>
      </c>
      <c r="DE44" s="10">
        <v>44124</v>
      </c>
      <c r="DF44" s="10">
        <v>14365</v>
      </c>
      <c r="DG44" s="10">
        <v>162</v>
      </c>
      <c r="DH44" s="10">
        <v>44125</v>
      </c>
      <c r="DI44" s="10">
        <v>14555</v>
      </c>
      <c r="DJ44" s="10">
        <v>189</v>
      </c>
      <c r="DK44" s="10">
        <v>44126</v>
      </c>
      <c r="DL44" s="10">
        <v>14775</v>
      </c>
      <c r="DM44" s="10">
        <v>216</v>
      </c>
    </row>
    <row r="45" spans="1:117">
      <c r="A45" t="str">
        <f t="shared" ca="1" si="1"/>
        <v/>
      </c>
      <c r="B45" s="4">
        <f t="shared" ca="1" si="2"/>
        <v>44127</v>
      </c>
      <c r="C45" s="11">
        <f t="shared" ca="1" si="0"/>
        <v>14968</v>
      </c>
      <c r="D45">
        <f t="shared" ref="D45" ca="1" si="13">C45-C44</f>
        <v>192</v>
      </c>
      <c r="E45" s="11">
        <f t="shared" ca="1" si="4"/>
        <v>0</v>
      </c>
      <c r="F45" s="11">
        <f t="shared" ca="1" si="6"/>
        <v>192</v>
      </c>
      <c r="K45" s="3"/>
      <c r="M45" s="16">
        <v>44127</v>
      </c>
      <c r="N45">
        <v>14967</v>
      </c>
      <c r="O45">
        <v>192</v>
      </c>
      <c r="P45" s="16">
        <v>44127</v>
      </c>
      <c r="Q45">
        <v>14967</v>
      </c>
      <c r="R45">
        <v>192</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v>44118</v>
      </c>
      <c r="CN45">
        <v>13346</v>
      </c>
      <c r="CO45">
        <v>200</v>
      </c>
      <c r="CP45">
        <v>44119</v>
      </c>
      <c r="CQ45">
        <v>13536</v>
      </c>
      <c r="CR45">
        <v>190</v>
      </c>
      <c r="CS45">
        <v>44120</v>
      </c>
      <c r="CT45">
        <v>13732</v>
      </c>
      <c r="CU45">
        <v>193</v>
      </c>
      <c r="CV45">
        <v>44121</v>
      </c>
      <c r="CW45">
        <v>13833</v>
      </c>
      <c r="CX45">
        <v>100</v>
      </c>
      <c r="CY45">
        <v>44123</v>
      </c>
      <c r="CZ45">
        <v>14203</v>
      </c>
      <c r="DA45">
        <v>244</v>
      </c>
      <c r="DB45">
        <v>44124</v>
      </c>
      <c r="DC45">
        <v>14365</v>
      </c>
      <c r="DD45">
        <v>162</v>
      </c>
      <c r="DE45">
        <v>44125</v>
      </c>
      <c r="DF45">
        <v>14554</v>
      </c>
      <c r="DG45">
        <v>189</v>
      </c>
      <c r="DH45">
        <v>44126</v>
      </c>
      <c r="DI45">
        <v>14770</v>
      </c>
      <c r="DJ45">
        <v>215</v>
      </c>
      <c r="DK45">
        <v>44127</v>
      </c>
      <c r="DL45">
        <v>14967</v>
      </c>
      <c r="DM45">
        <v>192</v>
      </c>
    </row>
    <row r="46" spans="1:117">
      <c r="A46" t="str">
        <f t="shared" ca="1" si="1"/>
        <v/>
      </c>
      <c r="B46" s="4">
        <f t="shared" ca="1" si="2"/>
        <v>44128</v>
      </c>
      <c r="C46" s="11">
        <f t="shared" ca="1" si="0"/>
        <v>15076</v>
      </c>
      <c r="D46">
        <f t="shared" ref="D46" ca="1" si="14">C46-C45</f>
        <v>108</v>
      </c>
      <c r="E46" s="11">
        <f t="shared" ca="1" si="4"/>
        <v>0</v>
      </c>
      <c r="F46" s="11">
        <f t="shared" ca="1" si="6"/>
        <v>108</v>
      </c>
      <c r="K46" s="3"/>
      <c r="M46" s="16">
        <v>44128</v>
      </c>
      <c r="N46">
        <v>15075</v>
      </c>
      <c r="O46">
        <v>108</v>
      </c>
      <c r="P46" s="16">
        <v>44128</v>
      </c>
      <c r="Q46">
        <v>15075</v>
      </c>
      <c r="R46">
        <v>108</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v>44119</v>
      </c>
      <c r="CN46">
        <v>13536</v>
      </c>
      <c r="CO46">
        <v>190</v>
      </c>
      <c r="CP46">
        <v>44120</v>
      </c>
      <c r="CQ46">
        <v>13728</v>
      </c>
      <c r="CR46">
        <v>192</v>
      </c>
      <c r="CS46">
        <v>44121</v>
      </c>
      <c r="CT46">
        <v>13832</v>
      </c>
      <c r="CU46">
        <v>100</v>
      </c>
      <c r="CV46">
        <v>44122</v>
      </c>
      <c r="CW46">
        <v>13961</v>
      </c>
      <c r="CX46">
        <v>128</v>
      </c>
      <c r="CY46">
        <v>44124</v>
      </c>
      <c r="CZ46">
        <v>14366</v>
      </c>
      <c r="DA46">
        <v>163</v>
      </c>
      <c r="DB46">
        <v>44125</v>
      </c>
      <c r="DC46">
        <v>14554</v>
      </c>
      <c r="DD46">
        <v>189</v>
      </c>
      <c r="DE46">
        <v>44126</v>
      </c>
      <c r="DF46">
        <v>14769</v>
      </c>
      <c r="DG46">
        <v>215</v>
      </c>
      <c r="DH46">
        <v>44127</v>
      </c>
      <c r="DI46">
        <v>14962</v>
      </c>
      <c r="DJ46">
        <v>192</v>
      </c>
      <c r="DK46">
        <v>44128</v>
      </c>
      <c r="DL46">
        <v>15075</v>
      </c>
      <c r="DM46">
        <v>108</v>
      </c>
    </row>
    <row r="47" spans="1:117">
      <c r="A47" t="str">
        <f t="shared" ca="1" si="1"/>
        <v/>
      </c>
      <c r="B47" s="4">
        <f t="shared" ca="1" si="2"/>
        <v>44129</v>
      </c>
      <c r="C47" s="11">
        <f t="shared" ca="1" si="0"/>
        <v>15198</v>
      </c>
      <c r="D47">
        <f t="shared" ref="D47" ca="1" si="15">C47-C46</f>
        <v>122</v>
      </c>
      <c r="E47" s="11">
        <f t="shared" ca="1" si="4"/>
        <v>-1</v>
      </c>
      <c r="F47" s="11">
        <f t="shared" ca="1" si="6"/>
        <v>123</v>
      </c>
      <c r="J47" s="10">
        <f ca="1">SUM(D48:D54)</f>
        <v>1453</v>
      </c>
      <c r="K47" s="10" t="str">
        <f ca="1">TEXT(J47/J40-1,"0 %")</f>
        <v>18 %</v>
      </c>
      <c r="M47" s="16">
        <v>44129</v>
      </c>
      <c r="N47">
        <v>15198</v>
      </c>
      <c r="O47">
        <v>123</v>
      </c>
      <c r="P47" s="16">
        <v>44129</v>
      </c>
      <c r="Q47">
        <v>15198</v>
      </c>
      <c r="R47">
        <v>123</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v>44120</v>
      </c>
      <c r="CN47">
        <v>13728</v>
      </c>
      <c r="CO47">
        <v>192</v>
      </c>
      <c r="CP47">
        <v>44121</v>
      </c>
      <c r="CQ47">
        <v>13828</v>
      </c>
      <c r="CR47">
        <v>100</v>
      </c>
      <c r="CS47">
        <v>44122</v>
      </c>
      <c r="CT47">
        <v>13959</v>
      </c>
      <c r="CU47">
        <v>127</v>
      </c>
      <c r="CV47">
        <v>44123</v>
      </c>
      <c r="CW47">
        <v>14205</v>
      </c>
      <c r="CX47">
        <v>244</v>
      </c>
      <c r="CY47">
        <v>44125</v>
      </c>
      <c r="CZ47">
        <v>14555</v>
      </c>
      <c r="DA47">
        <v>189</v>
      </c>
      <c r="DB47">
        <v>44126</v>
      </c>
      <c r="DC47">
        <v>14767</v>
      </c>
      <c r="DD47">
        <v>213</v>
      </c>
      <c r="DE47">
        <v>44127</v>
      </c>
      <c r="DF47">
        <v>14961</v>
      </c>
      <c r="DG47">
        <v>192</v>
      </c>
      <c r="DH47">
        <v>44128</v>
      </c>
      <c r="DI47">
        <v>15070</v>
      </c>
      <c r="DJ47">
        <v>108</v>
      </c>
      <c r="DK47">
        <v>44129</v>
      </c>
      <c r="DL47">
        <v>15198</v>
      </c>
      <c r="DM47">
        <v>123</v>
      </c>
    </row>
    <row r="48" spans="1:117">
      <c r="A48" t="str">
        <f t="shared" ca="1" si="1"/>
        <v>Ma</v>
      </c>
      <c r="B48" s="4">
        <f t="shared" ca="1" si="2"/>
        <v>44130</v>
      </c>
      <c r="C48" s="11">
        <f t="shared" ca="1" si="0"/>
        <v>15454</v>
      </c>
      <c r="D48">
        <f t="shared" ref="D48" ca="1" si="16">C48-C47</f>
        <v>256</v>
      </c>
      <c r="E48" s="11">
        <f t="shared" ca="1" si="4"/>
        <v>1</v>
      </c>
      <c r="F48" s="11">
        <f t="shared" ca="1" si="6"/>
        <v>255</v>
      </c>
      <c r="K48" s="3"/>
      <c r="M48" s="16">
        <v>44130</v>
      </c>
      <c r="N48">
        <v>15453</v>
      </c>
      <c r="O48">
        <v>255</v>
      </c>
      <c r="P48" s="16">
        <v>44130</v>
      </c>
      <c r="Q48">
        <v>15453</v>
      </c>
      <c r="R48">
        <v>255</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v>44121</v>
      </c>
      <c r="CN48">
        <v>13828</v>
      </c>
      <c r="CO48">
        <v>100</v>
      </c>
      <c r="CP48">
        <v>44122</v>
      </c>
      <c r="CQ48">
        <v>13955</v>
      </c>
      <c r="CR48">
        <v>127</v>
      </c>
      <c r="CS48">
        <v>44123</v>
      </c>
      <c r="CT48">
        <v>14203</v>
      </c>
      <c r="CU48">
        <v>244</v>
      </c>
      <c r="CV48">
        <v>44124</v>
      </c>
      <c r="CW48">
        <v>14368</v>
      </c>
      <c r="CX48">
        <v>163</v>
      </c>
      <c r="CY48">
        <v>44126</v>
      </c>
      <c r="CZ48">
        <v>14768</v>
      </c>
      <c r="DA48">
        <v>213</v>
      </c>
      <c r="DB48">
        <v>44127</v>
      </c>
      <c r="DC48">
        <v>14959</v>
      </c>
      <c r="DD48">
        <v>192</v>
      </c>
      <c r="DE48">
        <v>44128</v>
      </c>
      <c r="DF48">
        <v>15069</v>
      </c>
      <c r="DG48">
        <v>108</v>
      </c>
      <c r="DH48">
        <v>44129</v>
      </c>
      <c r="DI48">
        <v>15193</v>
      </c>
      <c r="DJ48">
        <v>123</v>
      </c>
      <c r="DK48">
        <v>44130</v>
      </c>
      <c r="DL48">
        <v>15453</v>
      </c>
      <c r="DM48">
        <v>255</v>
      </c>
    </row>
    <row r="49" spans="1:117">
      <c r="A49" t="str">
        <f t="shared" ca="1" si="1"/>
        <v/>
      </c>
      <c r="B49" s="4">
        <f t="shared" ca="1" si="2"/>
        <v>44131</v>
      </c>
      <c r="C49" s="11">
        <f t="shared" ca="1" si="0"/>
        <v>15684</v>
      </c>
      <c r="D49">
        <f t="shared" ref="D49" ca="1" si="17">C49-C48</f>
        <v>230</v>
      </c>
      <c r="E49" s="11">
        <f t="shared" ca="1" si="4"/>
        <v>0</v>
      </c>
      <c r="F49" s="11">
        <f t="shared" ca="1" si="6"/>
        <v>230</v>
      </c>
      <c r="K49" s="3"/>
      <c r="M49" s="16">
        <v>44131</v>
      </c>
      <c r="N49">
        <v>15683</v>
      </c>
      <c r="O49">
        <v>230</v>
      </c>
      <c r="P49" s="16">
        <v>44131</v>
      </c>
      <c r="Q49">
        <v>15683</v>
      </c>
      <c r="R49">
        <v>230</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v>44122</v>
      </c>
      <c r="CN49">
        <v>13955</v>
      </c>
      <c r="CO49">
        <v>127</v>
      </c>
      <c r="CP49">
        <v>44123</v>
      </c>
      <c r="CQ49">
        <v>14199</v>
      </c>
      <c r="CR49">
        <v>244</v>
      </c>
      <c r="CS49">
        <v>44124</v>
      </c>
      <c r="CT49">
        <v>14365</v>
      </c>
      <c r="CU49">
        <v>162</v>
      </c>
      <c r="CV49">
        <v>44125</v>
      </c>
      <c r="CW49">
        <v>14557</v>
      </c>
      <c r="CX49">
        <v>189</v>
      </c>
      <c r="CY49">
        <v>44127</v>
      </c>
      <c r="CZ49">
        <v>14960</v>
      </c>
      <c r="DA49">
        <v>192</v>
      </c>
      <c r="DB49">
        <v>44128</v>
      </c>
      <c r="DC49">
        <v>15067</v>
      </c>
      <c r="DD49">
        <v>108</v>
      </c>
      <c r="DE49">
        <v>44129</v>
      </c>
      <c r="DF49">
        <v>15192</v>
      </c>
      <c r="DG49">
        <v>123</v>
      </c>
      <c r="DH49">
        <v>44130</v>
      </c>
      <c r="DI49">
        <v>15448</v>
      </c>
      <c r="DJ49">
        <v>255</v>
      </c>
      <c r="DK49">
        <v>44131</v>
      </c>
      <c r="DL49">
        <v>15683</v>
      </c>
      <c r="DM49">
        <v>230</v>
      </c>
    </row>
    <row r="50" spans="1:117">
      <c r="A50" t="str">
        <f t="shared" ca="1" si="1"/>
        <v/>
      </c>
      <c r="B50" s="4">
        <f t="shared" ca="1" si="2"/>
        <v>44132</v>
      </c>
      <c r="C50" s="11">
        <f t="shared" ca="1" si="0"/>
        <v>15924</v>
      </c>
      <c r="D50">
        <f t="shared" ref="D50" ca="1" si="18">C50-C49</f>
        <v>240</v>
      </c>
      <c r="E50" s="11">
        <f t="shared" ca="1" si="4"/>
        <v>0</v>
      </c>
      <c r="F50" s="11">
        <f ca="1">VLOOKUP(B50,Previous,3,FALSE)</f>
        <v>240</v>
      </c>
      <c r="K50" s="3"/>
      <c r="M50" s="16">
        <v>44132</v>
      </c>
      <c r="N50">
        <v>15923</v>
      </c>
      <c r="O50">
        <v>240</v>
      </c>
      <c r="P50" s="16">
        <v>44132</v>
      </c>
      <c r="Q50">
        <v>15923</v>
      </c>
      <c r="R50">
        <v>240</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v>44123</v>
      </c>
      <c r="CN50">
        <v>14199</v>
      </c>
      <c r="CO50">
        <v>244</v>
      </c>
      <c r="CP50">
        <v>44124</v>
      </c>
      <c r="CQ50">
        <v>14361</v>
      </c>
      <c r="CR50">
        <v>162</v>
      </c>
      <c r="CS50">
        <v>44125</v>
      </c>
      <c r="CT50">
        <v>14554</v>
      </c>
      <c r="CU50">
        <v>189</v>
      </c>
      <c r="CV50">
        <v>44126</v>
      </c>
      <c r="CW50">
        <v>14770</v>
      </c>
      <c r="CX50">
        <v>213</v>
      </c>
      <c r="CY50">
        <v>44128</v>
      </c>
      <c r="CZ50">
        <v>15068</v>
      </c>
      <c r="DA50">
        <v>108</v>
      </c>
      <c r="DB50">
        <v>44129</v>
      </c>
      <c r="DC50">
        <v>15190</v>
      </c>
      <c r="DD50">
        <v>123</v>
      </c>
      <c r="DE50">
        <v>44130</v>
      </c>
      <c r="DF50">
        <v>15447</v>
      </c>
      <c r="DG50">
        <v>255</v>
      </c>
      <c r="DH50">
        <v>44131</v>
      </c>
      <c r="DI50">
        <v>15677</v>
      </c>
      <c r="DJ50">
        <v>229</v>
      </c>
      <c r="DK50">
        <v>44132</v>
      </c>
      <c r="DL50">
        <v>15923</v>
      </c>
      <c r="DM50">
        <v>240</v>
      </c>
    </row>
    <row r="51" spans="1:117" s="10" customFormat="1">
      <c r="A51" t="str">
        <f t="shared" ca="1" si="1"/>
        <v/>
      </c>
      <c r="B51" s="9">
        <f t="shared" ca="1" si="2"/>
        <v>44133</v>
      </c>
      <c r="C51" s="10">
        <f t="shared" ca="1" si="0"/>
        <v>16161</v>
      </c>
      <c r="D51" s="10">
        <f t="shared" ref="D51" ca="1" si="19">C51-C50</f>
        <v>237</v>
      </c>
      <c r="E51" s="10">
        <f t="shared" ca="1" si="4"/>
        <v>0</v>
      </c>
      <c r="F51" s="10">
        <f t="shared" ca="1" si="6"/>
        <v>237</v>
      </c>
      <c r="G51" s="10">
        <f ca="1">SUM(D51:D57)</f>
        <v>1453</v>
      </c>
      <c r="H51" s="10" t="str">
        <f ca="1">TEXT(G51/G44-1,"0 %")</f>
        <v>6 %</v>
      </c>
      <c r="I51" s="10">
        <f ca="1">SUM(D51:D64)</f>
        <v>2618</v>
      </c>
      <c r="K51" s="14"/>
      <c r="L51"/>
      <c r="M51" s="17">
        <v>44133</v>
      </c>
      <c r="N51" s="10">
        <v>16160</v>
      </c>
      <c r="O51" s="10">
        <v>237</v>
      </c>
      <c r="P51" s="17">
        <v>44133</v>
      </c>
      <c r="Q51" s="10">
        <v>16160</v>
      </c>
      <c r="R51" s="10">
        <v>237</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0">
        <v>44124</v>
      </c>
      <c r="CN51" s="10">
        <v>14361</v>
      </c>
      <c r="CO51" s="10">
        <v>162</v>
      </c>
      <c r="CP51" s="10">
        <v>44125</v>
      </c>
      <c r="CQ51" s="10">
        <v>14550</v>
      </c>
      <c r="CR51" s="10">
        <v>189</v>
      </c>
      <c r="CS51" s="10">
        <v>44126</v>
      </c>
      <c r="CT51" s="10">
        <v>14766</v>
      </c>
      <c r="CU51" s="10">
        <v>212</v>
      </c>
      <c r="CV51" s="10">
        <v>44127</v>
      </c>
      <c r="CW51" s="10">
        <v>14962</v>
      </c>
      <c r="CX51" s="10">
        <v>192</v>
      </c>
      <c r="CY51" s="10">
        <v>44129</v>
      </c>
      <c r="CZ51" s="10">
        <v>15191</v>
      </c>
      <c r="DA51" s="10">
        <v>123</v>
      </c>
      <c r="DB51" s="10">
        <v>44130</v>
      </c>
      <c r="DC51" s="10">
        <v>15445</v>
      </c>
      <c r="DD51" s="10">
        <v>255</v>
      </c>
      <c r="DE51" s="10">
        <v>44131</v>
      </c>
      <c r="DF51" s="10">
        <v>15677</v>
      </c>
      <c r="DG51" s="10">
        <v>230</v>
      </c>
      <c r="DH51" s="10">
        <v>44132</v>
      </c>
      <c r="DI51" s="10">
        <v>15917</v>
      </c>
      <c r="DJ51" s="10">
        <v>240</v>
      </c>
      <c r="DK51" s="10">
        <v>44133</v>
      </c>
      <c r="DL51" s="10">
        <v>16160</v>
      </c>
      <c r="DM51" s="10">
        <v>237</v>
      </c>
    </row>
    <row r="52" spans="1:117">
      <c r="A52" t="str">
        <f t="shared" ca="1" si="1"/>
        <v/>
      </c>
      <c r="B52" s="4">
        <f t="shared" ca="1" si="2"/>
        <v>44134</v>
      </c>
      <c r="C52" s="11">
        <f t="shared" ca="1" si="0"/>
        <v>16380</v>
      </c>
      <c r="D52">
        <f t="shared" ref="D52:D63" ca="1" si="20">C52-C51</f>
        <v>219</v>
      </c>
      <c r="E52" s="11">
        <f t="shared" ca="1" si="4"/>
        <v>0</v>
      </c>
      <c r="F52" s="11">
        <f t="shared" ca="1" si="6"/>
        <v>219</v>
      </c>
      <c r="G52" s="10"/>
      <c r="K52" s="3"/>
      <c r="M52" s="16">
        <v>44134</v>
      </c>
      <c r="N52">
        <v>16379</v>
      </c>
      <c r="O52">
        <v>219</v>
      </c>
      <c r="P52" s="16">
        <v>44134</v>
      </c>
      <c r="Q52">
        <v>16379</v>
      </c>
      <c r="R52">
        <v>219</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v>44125</v>
      </c>
      <c r="CN52">
        <v>14550</v>
      </c>
      <c r="CO52">
        <v>189</v>
      </c>
      <c r="CP52">
        <v>44126</v>
      </c>
      <c r="CQ52">
        <v>14762</v>
      </c>
      <c r="CR52">
        <v>212</v>
      </c>
      <c r="CS52">
        <v>44127</v>
      </c>
      <c r="CT52">
        <v>14958</v>
      </c>
      <c r="CU52">
        <v>192</v>
      </c>
      <c r="CV52">
        <v>44128</v>
      </c>
      <c r="CW52">
        <v>15070</v>
      </c>
      <c r="CX52">
        <v>108</v>
      </c>
      <c r="CY52">
        <v>44130</v>
      </c>
      <c r="CZ52">
        <v>15446</v>
      </c>
      <c r="DA52">
        <v>255</v>
      </c>
      <c r="DB52">
        <v>44131</v>
      </c>
      <c r="DC52">
        <v>15675</v>
      </c>
      <c r="DD52">
        <v>230</v>
      </c>
      <c r="DE52">
        <v>44132</v>
      </c>
      <c r="DF52">
        <v>15918</v>
      </c>
      <c r="DG52">
        <v>241</v>
      </c>
      <c r="DH52">
        <v>44133</v>
      </c>
      <c r="DI52">
        <v>16154</v>
      </c>
      <c r="DJ52">
        <v>237</v>
      </c>
      <c r="DK52">
        <v>44134</v>
      </c>
      <c r="DL52">
        <v>16379</v>
      </c>
      <c r="DM52">
        <v>219</v>
      </c>
    </row>
    <row r="53" spans="1:117">
      <c r="A53" t="str">
        <f t="shared" ca="1" si="1"/>
        <v/>
      </c>
      <c r="B53" s="4">
        <f t="shared" ca="1" si="2"/>
        <v>44135</v>
      </c>
      <c r="C53" s="11">
        <f t="shared" ca="1" si="0"/>
        <v>16501</v>
      </c>
      <c r="D53">
        <f t="shared" ca="1" si="20"/>
        <v>121</v>
      </c>
      <c r="E53" s="11">
        <f t="shared" ca="1" si="4"/>
        <v>0</v>
      </c>
      <c r="F53" s="11">
        <f t="shared" ca="1" si="6"/>
        <v>121</v>
      </c>
      <c r="J53" s="13"/>
      <c r="K53" s="3"/>
      <c r="M53" s="16">
        <v>44135</v>
      </c>
      <c r="N53">
        <v>16500</v>
      </c>
      <c r="O53">
        <v>121</v>
      </c>
      <c r="P53" s="16">
        <v>44135</v>
      </c>
      <c r="Q53">
        <v>16500</v>
      </c>
      <c r="R53">
        <v>121</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v>44126</v>
      </c>
      <c r="CN53">
        <v>14762</v>
      </c>
      <c r="CO53">
        <v>212</v>
      </c>
      <c r="CP53">
        <v>44127</v>
      </c>
      <c r="CQ53">
        <v>14954</v>
      </c>
      <c r="CR53">
        <v>192</v>
      </c>
      <c r="CS53">
        <v>44128</v>
      </c>
      <c r="CT53">
        <v>15066</v>
      </c>
      <c r="CU53">
        <v>108</v>
      </c>
      <c r="CV53">
        <v>44129</v>
      </c>
      <c r="CW53">
        <v>15193</v>
      </c>
      <c r="CX53">
        <v>123</v>
      </c>
      <c r="CY53">
        <v>44131</v>
      </c>
      <c r="CZ53">
        <v>15676</v>
      </c>
      <c r="DA53">
        <v>230</v>
      </c>
      <c r="DB53">
        <v>44132</v>
      </c>
      <c r="DC53">
        <v>15916</v>
      </c>
      <c r="DD53">
        <v>241</v>
      </c>
      <c r="DE53">
        <v>44133</v>
      </c>
      <c r="DF53">
        <v>16155</v>
      </c>
      <c r="DG53">
        <v>237</v>
      </c>
      <c r="DH53">
        <v>44134</v>
      </c>
      <c r="DI53">
        <v>16373</v>
      </c>
      <c r="DJ53">
        <v>219</v>
      </c>
      <c r="DK53">
        <v>44135</v>
      </c>
      <c r="DL53">
        <v>16500</v>
      </c>
      <c r="DM53">
        <v>121</v>
      </c>
    </row>
    <row r="54" spans="1:117">
      <c r="A54" t="str">
        <f t="shared" ca="1" si="1"/>
        <v/>
      </c>
      <c r="B54" s="4">
        <f t="shared" ca="1" si="2"/>
        <v>44136</v>
      </c>
      <c r="C54" s="11">
        <f t="shared" ca="1" si="0"/>
        <v>16651</v>
      </c>
      <c r="D54">
        <f t="shared" ca="1" si="20"/>
        <v>150</v>
      </c>
      <c r="E54" s="11">
        <f t="shared" ca="1" si="4"/>
        <v>0</v>
      </c>
      <c r="F54" s="11">
        <f t="shared" ca="1" si="6"/>
        <v>150</v>
      </c>
      <c r="J54" s="10">
        <f ca="1">SUM(D55:D61)</f>
        <v>1398</v>
      </c>
      <c r="K54" s="10" t="str">
        <f ca="1">TEXT(J54/J47-1,"0 %")</f>
        <v>-4 %</v>
      </c>
      <c r="M54" s="16">
        <v>44136</v>
      </c>
      <c r="N54">
        <v>16650</v>
      </c>
      <c r="O54">
        <v>150</v>
      </c>
      <c r="P54" s="16">
        <v>44136</v>
      </c>
      <c r="Q54">
        <v>16650</v>
      </c>
      <c r="R54">
        <v>150</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v>44127</v>
      </c>
      <c r="CN54">
        <v>14954</v>
      </c>
      <c r="CO54">
        <v>192</v>
      </c>
      <c r="CP54">
        <v>44128</v>
      </c>
      <c r="CQ54">
        <v>15061</v>
      </c>
      <c r="CR54">
        <v>107</v>
      </c>
      <c r="CS54">
        <v>44129</v>
      </c>
      <c r="CT54">
        <v>15189</v>
      </c>
      <c r="CU54">
        <v>123</v>
      </c>
      <c r="CV54">
        <v>44130</v>
      </c>
      <c r="CW54">
        <v>15448</v>
      </c>
      <c r="CX54">
        <v>255</v>
      </c>
      <c r="CY54">
        <v>44132</v>
      </c>
      <c r="CZ54">
        <v>15917</v>
      </c>
      <c r="DA54">
        <v>241</v>
      </c>
      <c r="DB54">
        <v>44133</v>
      </c>
      <c r="DC54">
        <v>16153</v>
      </c>
      <c r="DD54">
        <v>237</v>
      </c>
      <c r="DE54">
        <v>44134</v>
      </c>
      <c r="DF54">
        <v>16371</v>
      </c>
      <c r="DG54">
        <v>216</v>
      </c>
      <c r="DH54">
        <v>44135</v>
      </c>
      <c r="DI54">
        <v>16494</v>
      </c>
      <c r="DJ54">
        <v>121</v>
      </c>
      <c r="DK54">
        <v>44136</v>
      </c>
      <c r="DL54">
        <v>16650</v>
      </c>
      <c r="DM54">
        <v>150</v>
      </c>
    </row>
    <row r="55" spans="1:117">
      <c r="A55" t="str">
        <f t="shared" ca="1" si="1"/>
        <v>Ma</v>
      </c>
      <c r="B55" s="4">
        <f t="shared" ca="1" si="2"/>
        <v>44137</v>
      </c>
      <c r="C55" s="11">
        <f t="shared" ca="1" si="0"/>
        <v>16932</v>
      </c>
      <c r="D55">
        <f t="shared" ca="1" si="20"/>
        <v>281</v>
      </c>
      <c r="E55" s="11">
        <f t="shared" ca="1" si="4"/>
        <v>0</v>
      </c>
      <c r="F55" s="11">
        <f t="shared" ca="1" si="6"/>
        <v>281</v>
      </c>
      <c r="I55" s="10"/>
      <c r="J55" s="10"/>
      <c r="K55" s="3"/>
      <c r="M55" s="16">
        <v>44137</v>
      </c>
      <c r="N55">
        <v>16931</v>
      </c>
      <c r="O55">
        <v>281</v>
      </c>
      <c r="P55" s="16">
        <v>44137</v>
      </c>
      <c r="Q55">
        <v>16931</v>
      </c>
      <c r="R55">
        <v>281</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v>44128</v>
      </c>
      <c r="CN55">
        <v>15061</v>
      </c>
      <c r="CO55">
        <v>107</v>
      </c>
      <c r="CP55">
        <v>44129</v>
      </c>
      <c r="CQ55">
        <v>15184</v>
      </c>
      <c r="CR55">
        <v>123</v>
      </c>
      <c r="CS55">
        <v>44130</v>
      </c>
      <c r="CT55">
        <v>15443</v>
      </c>
      <c r="CU55">
        <v>254</v>
      </c>
      <c r="CV55">
        <v>44131</v>
      </c>
      <c r="CW55">
        <v>15678</v>
      </c>
      <c r="CX55">
        <v>230</v>
      </c>
      <c r="CY55">
        <v>44133</v>
      </c>
      <c r="CZ55">
        <v>16154</v>
      </c>
      <c r="DA55">
        <v>237</v>
      </c>
      <c r="DB55">
        <v>44134</v>
      </c>
      <c r="DC55">
        <v>16369</v>
      </c>
      <c r="DD55">
        <v>216</v>
      </c>
      <c r="DE55">
        <v>44135</v>
      </c>
      <c r="DF55">
        <v>16492</v>
      </c>
      <c r="DG55">
        <v>121</v>
      </c>
      <c r="DH55">
        <v>44136</v>
      </c>
      <c r="DI55">
        <v>16644</v>
      </c>
      <c r="DJ55">
        <v>150</v>
      </c>
      <c r="DK55">
        <v>44137</v>
      </c>
      <c r="DL55">
        <v>16931</v>
      </c>
      <c r="DM55">
        <v>281</v>
      </c>
    </row>
    <row r="56" spans="1:117">
      <c r="A56" t="str">
        <f t="shared" ca="1" si="1"/>
        <v/>
      </c>
      <c r="B56" s="4">
        <f t="shared" ca="1" si="2"/>
        <v>44138</v>
      </c>
      <c r="C56" s="11">
        <f t="shared" ca="1" si="0"/>
        <v>17171</v>
      </c>
      <c r="D56">
        <f t="shared" ca="1" si="20"/>
        <v>239</v>
      </c>
      <c r="E56" s="11">
        <f t="shared" ca="1" si="4"/>
        <v>0</v>
      </c>
      <c r="F56" s="11">
        <f t="shared" ca="1" si="6"/>
        <v>239</v>
      </c>
      <c r="K56" s="3"/>
      <c r="M56" s="16">
        <v>44138</v>
      </c>
      <c r="N56">
        <v>17170</v>
      </c>
      <c r="O56">
        <v>239</v>
      </c>
      <c r="P56" s="16">
        <v>44138</v>
      </c>
      <c r="Q56">
        <v>17170</v>
      </c>
      <c r="R56">
        <v>239</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v>44129</v>
      </c>
      <c r="CN56">
        <v>15184</v>
      </c>
      <c r="CO56">
        <v>123</v>
      </c>
      <c r="CP56">
        <v>44130</v>
      </c>
      <c r="CQ56">
        <v>15438</v>
      </c>
      <c r="CR56">
        <v>254</v>
      </c>
      <c r="CS56">
        <v>44131</v>
      </c>
      <c r="CT56">
        <v>15672</v>
      </c>
      <c r="CU56">
        <v>229</v>
      </c>
      <c r="CV56">
        <v>44132</v>
      </c>
      <c r="CW56">
        <v>15919</v>
      </c>
      <c r="CX56">
        <v>241</v>
      </c>
      <c r="CY56">
        <v>44134</v>
      </c>
      <c r="CZ56">
        <v>16369</v>
      </c>
      <c r="DA56">
        <v>215</v>
      </c>
      <c r="DB56">
        <v>44135</v>
      </c>
      <c r="DC56">
        <v>16490</v>
      </c>
      <c r="DD56">
        <v>121</v>
      </c>
      <c r="DE56">
        <v>44136</v>
      </c>
      <c r="DF56">
        <v>16642</v>
      </c>
      <c r="DG56">
        <v>150</v>
      </c>
      <c r="DH56">
        <v>44137</v>
      </c>
      <c r="DI56">
        <v>16925</v>
      </c>
      <c r="DJ56">
        <v>281</v>
      </c>
      <c r="DK56">
        <v>44138</v>
      </c>
      <c r="DL56">
        <v>17170</v>
      </c>
      <c r="DM56">
        <v>239</v>
      </c>
    </row>
    <row r="57" spans="1:117">
      <c r="A57" t="str">
        <f ca="1">IF(WEEKDAY(B57,2)=1,"Ma","")</f>
        <v/>
      </c>
      <c r="B57" s="4">
        <f t="shared" ca="1" si="2"/>
        <v>44139</v>
      </c>
      <c r="C57" s="11">
        <f t="shared" ca="1" si="0"/>
        <v>17377</v>
      </c>
      <c r="D57">
        <f t="shared" ca="1" si="20"/>
        <v>206</v>
      </c>
      <c r="E57" s="11">
        <f t="shared" ca="1" si="4"/>
        <v>0</v>
      </c>
      <c r="F57" s="11">
        <f t="shared" ca="1" si="6"/>
        <v>206</v>
      </c>
      <c r="J57" s="13"/>
      <c r="K57" s="3"/>
      <c r="M57" s="16">
        <v>44139</v>
      </c>
      <c r="N57">
        <v>17376</v>
      </c>
      <c r="O57">
        <v>206</v>
      </c>
      <c r="P57" s="16">
        <v>44139</v>
      </c>
      <c r="Q57">
        <v>17376</v>
      </c>
      <c r="R57">
        <v>206</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v>44130</v>
      </c>
      <c r="CN57">
        <v>15437</v>
      </c>
      <c r="CO57">
        <v>253</v>
      </c>
      <c r="CP57">
        <v>44131</v>
      </c>
      <c r="CQ57">
        <v>15667</v>
      </c>
      <c r="CR57">
        <v>229</v>
      </c>
      <c r="CS57">
        <v>44132</v>
      </c>
      <c r="CT57">
        <v>15913</v>
      </c>
      <c r="CU57">
        <v>241</v>
      </c>
      <c r="CV57">
        <v>44133</v>
      </c>
      <c r="CW57">
        <v>16154</v>
      </c>
      <c r="CX57">
        <v>235</v>
      </c>
      <c r="CY57">
        <v>44135</v>
      </c>
      <c r="CZ57">
        <v>16490</v>
      </c>
      <c r="DA57">
        <v>121</v>
      </c>
      <c r="DB57">
        <v>44136</v>
      </c>
      <c r="DC57">
        <v>16640</v>
      </c>
      <c r="DD57">
        <v>150</v>
      </c>
      <c r="DE57">
        <v>44137</v>
      </c>
      <c r="DF57">
        <v>16923</v>
      </c>
      <c r="DG57">
        <v>281</v>
      </c>
      <c r="DH57">
        <v>44138</v>
      </c>
      <c r="DI57">
        <v>17164</v>
      </c>
      <c r="DJ57">
        <v>239</v>
      </c>
      <c r="DK57">
        <v>44139</v>
      </c>
      <c r="DL57">
        <v>17376</v>
      </c>
      <c r="DM57">
        <v>206</v>
      </c>
    </row>
    <row r="58" spans="1:117" s="10" customFormat="1">
      <c r="A58" t="str">
        <f t="shared" ca="1" si="1"/>
        <v/>
      </c>
      <c r="B58" s="9">
        <f t="shared" ca="1" si="2"/>
        <v>44140</v>
      </c>
      <c r="C58" s="10">
        <f t="shared" ca="1" si="0"/>
        <v>17595</v>
      </c>
      <c r="D58" s="10">
        <f t="shared" ca="1" si="20"/>
        <v>218</v>
      </c>
      <c r="E58" s="10">
        <f t="shared" ca="1" si="4"/>
        <v>1</v>
      </c>
      <c r="F58" s="10">
        <f t="shared" ca="1" si="6"/>
        <v>217</v>
      </c>
      <c r="G58" s="10">
        <f ca="1">SUM(D58:D64)</f>
        <v>1165</v>
      </c>
      <c r="K58" s="14"/>
      <c r="L58"/>
      <c r="M58" s="17">
        <v>44140</v>
      </c>
      <c r="N58" s="10">
        <v>17593</v>
      </c>
      <c r="O58" s="10">
        <v>217</v>
      </c>
      <c r="P58" s="17">
        <v>44140</v>
      </c>
      <c r="Q58" s="10">
        <v>17593</v>
      </c>
      <c r="R58" s="10">
        <v>217</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0">
        <v>44131</v>
      </c>
      <c r="CN58" s="10">
        <v>15664</v>
      </c>
      <c r="CO58" s="10">
        <v>227</v>
      </c>
      <c r="CP58" s="10">
        <v>44132</v>
      </c>
      <c r="CQ58" s="10">
        <v>15908</v>
      </c>
      <c r="CR58" s="10">
        <v>241</v>
      </c>
      <c r="CS58" s="10">
        <v>44133</v>
      </c>
      <c r="CT58" s="10">
        <v>16147</v>
      </c>
      <c r="CU58" s="10">
        <v>234</v>
      </c>
      <c r="CV58" s="10">
        <v>44134</v>
      </c>
      <c r="CW58" s="10">
        <v>16367</v>
      </c>
      <c r="CX58" s="10">
        <v>213</v>
      </c>
      <c r="CY58" s="10">
        <v>44136</v>
      </c>
      <c r="CZ58" s="10">
        <v>16638</v>
      </c>
      <c r="DA58" s="10">
        <v>148</v>
      </c>
      <c r="DB58" s="10">
        <v>44137</v>
      </c>
      <c r="DC58" s="10">
        <v>16921</v>
      </c>
      <c r="DD58" s="10">
        <v>281</v>
      </c>
      <c r="DE58" s="10">
        <v>44138</v>
      </c>
      <c r="DF58" s="10">
        <v>17161</v>
      </c>
      <c r="DG58" s="10">
        <v>238</v>
      </c>
      <c r="DH58" s="10">
        <v>44139</v>
      </c>
      <c r="DI58" s="10">
        <v>17369</v>
      </c>
      <c r="DJ58" s="10">
        <v>205</v>
      </c>
      <c r="DK58" s="10">
        <v>44140</v>
      </c>
      <c r="DL58" s="10">
        <v>17593</v>
      </c>
      <c r="DM58" s="10">
        <v>217</v>
      </c>
    </row>
    <row r="59" spans="1:117">
      <c r="A59" t="str">
        <f t="shared" ca="1" si="1"/>
        <v/>
      </c>
      <c r="B59" s="4">
        <f t="shared" ca="1" si="2"/>
        <v>44141</v>
      </c>
      <c r="C59" s="11">
        <f t="shared" ca="1" si="0"/>
        <v>17789</v>
      </c>
      <c r="D59">
        <f t="shared" ca="1" si="20"/>
        <v>194</v>
      </c>
      <c r="E59" s="11">
        <f t="shared" ca="1" si="4"/>
        <v>0</v>
      </c>
      <c r="F59" s="11">
        <f t="shared" ca="1" si="6"/>
        <v>194</v>
      </c>
      <c r="H59" s="10"/>
      <c r="J59" s="13"/>
      <c r="K59" s="3"/>
      <c r="M59" s="16">
        <v>44141</v>
      </c>
      <c r="N59">
        <v>17787</v>
      </c>
      <c r="O59">
        <v>194</v>
      </c>
      <c r="P59" s="16">
        <v>44141</v>
      </c>
      <c r="Q59">
        <v>17787</v>
      </c>
      <c r="R59">
        <v>194</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v>44132</v>
      </c>
      <c r="CN59">
        <v>15887</v>
      </c>
      <c r="CO59">
        <v>223</v>
      </c>
      <c r="CP59">
        <v>44133</v>
      </c>
      <c r="CQ59">
        <v>16142</v>
      </c>
      <c r="CR59">
        <v>234</v>
      </c>
      <c r="CS59">
        <v>44134</v>
      </c>
      <c r="CT59">
        <v>16359</v>
      </c>
      <c r="CU59">
        <v>212</v>
      </c>
      <c r="CV59">
        <v>44135</v>
      </c>
      <c r="CW59">
        <v>16487</v>
      </c>
      <c r="CX59">
        <v>120</v>
      </c>
      <c r="CY59">
        <v>44137</v>
      </c>
      <c r="CZ59">
        <v>16916</v>
      </c>
      <c r="DA59">
        <v>278</v>
      </c>
      <c r="DB59">
        <v>44138</v>
      </c>
      <c r="DC59">
        <v>17159</v>
      </c>
      <c r="DD59">
        <v>238</v>
      </c>
      <c r="DE59">
        <v>44139</v>
      </c>
      <c r="DF59">
        <v>17362</v>
      </c>
      <c r="DG59">
        <v>201</v>
      </c>
      <c r="DH59">
        <v>44140</v>
      </c>
      <c r="DI59">
        <v>17586</v>
      </c>
      <c r="DJ59">
        <v>217</v>
      </c>
      <c r="DK59">
        <v>44141</v>
      </c>
      <c r="DL59">
        <v>17787</v>
      </c>
      <c r="DM59">
        <v>194</v>
      </c>
    </row>
    <row r="60" spans="1:117">
      <c r="A60" t="str">
        <f t="shared" ca="1" si="1"/>
        <v/>
      </c>
      <c r="B60" s="4">
        <f t="shared" ca="1" si="2"/>
        <v>44142</v>
      </c>
      <c r="C60" s="11">
        <f t="shared" ca="1" si="0"/>
        <v>17916</v>
      </c>
      <c r="D60">
        <f t="shared" ca="1" si="20"/>
        <v>127</v>
      </c>
      <c r="E60" s="11">
        <f t="shared" ca="1" si="4"/>
        <v>0</v>
      </c>
      <c r="F60" s="11">
        <f t="shared" ca="1" si="6"/>
        <v>127</v>
      </c>
      <c r="J60" s="4"/>
      <c r="K60" s="3"/>
      <c r="M60" s="16">
        <v>44142</v>
      </c>
      <c r="N60">
        <v>17914</v>
      </c>
      <c r="O60">
        <v>127</v>
      </c>
      <c r="P60" s="16">
        <v>44142</v>
      </c>
      <c r="Q60">
        <v>17914</v>
      </c>
      <c r="R60">
        <v>127</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v>44133</v>
      </c>
      <c r="CN60">
        <v>16074</v>
      </c>
      <c r="CO60">
        <v>187</v>
      </c>
      <c r="CP60">
        <v>44134</v>
      </c>
      <c r="CQ60">
        <v>16351</v>
      </c>
      <c r="CR60">
        <v>209</v>
      </c>
      <c r="CS60">
        <v>44135</v>
      </c>
      <c r="CT60">
        <v>16478</v>
      </c>
      <c r="CU60">
        <v>119</v>
      </c>
      <c r="CV60">
        <v>44136</v>
      </c>
      <c r="CW60">
        <v>16628</v>
      </c>
      <c r="CX60">
        <v>141</v>
      </c>
      <c r="CY60">
        <v>44138</v>
      </c>
      <c r="CZ60">
        <v>17139</v>
      </c>
      <c r="DA60">
        <v>223</v>
      </c>
      <c r="DB60">
        <v>44139</v>
      </c>
      <c r="DC60">
        <v>17359</v>
      </c>
      <c r="DD60">
        <v>200</v>
      </c>
      <c r="DE60">
        <v>44140</v>
      </c>
      <c r="DF60">
        <v>17561</v>
      </c>
      <c r="DG60">
        <v>199</v>
      </c>
      <c r="DH60">
        <v>44141</v>
      </c>
      <c r="DI60">
        <v>17777</v>
      </c>
      <c r="DJ60">
        <v>191</v>
      </c>
      <c r="DK60">
        <v>44142</v>
      </c>
      <c r="DL60">
        <v>17914</v>
      </c>
      <c r="DM60">
        <v>127</v>
      </c>
    </row>
    <row r="61" spans="1:117">
      <c r="A61" t="str">
        <f t="shared" ref="A61:A64" ca="1" si="21">IF(WEEKDAY(B61,2)=1,"Ma","")</f>
        <v/>
      </c>
      <c r="B61" s="4">
        <f t="shared" ca="1" si="2"/>
        <v>44143</v>
      </c>
      <c r="C61" s="11">
        <f t="shared" ca="1" si="0"/>
        <v>18049</v>
      </c>
      <c r="D61">
        <f t="shared" ca="1" si="20"/>
        <v>133</v>
      </c>
      <c r="E61" s="11">
        <f t="shared" ca="1" si="4"/>
        <v>0</v>
      </c>
      <c r="F61" s="11">
        <f t="shared" ca="1" si="6"/>
        <v>133</v>
      </c>
      <c r="J61" s="4"/>
      <c r="K61" s="3"/>
      <c r="M61" s="16">
        <v>44143</v>
      </c>
      <c r="N61">
        <v>18047</v>
      </c>
      <c r="O61">
        <v>133</v>
      </c>
      <c r="P61" s="16">
        <v>44143</v>
      </c>
      <c r="Q61">
        <v>18047</v>
      </c>
      <c r="R61">
        <v>133</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v>44134</v>
      </c>
      <c r="CN61">
        <v>16261</v>
      </c>
      <c r="CO61">
        <v>187</v>
      </c>
      <c r="CP61">
        <v>44135</v>
      </c>
      <c r="CQ61">
        <v>16467</v>
      </c>
      <c r="CR61">
        <v>116</v>
      </c>
      <c r="CS61">
        <v>44136</v>
      </c>
      <c r="CT61">
        <v>16618</v>
      </c>
      <c r="CU61">
        <v>140</v>
      </c>
      <c r="CV61">
        <v>44137</v>
      </c>
      <c r="CW61">
        <v>16895</v>
      </c>
      <c r="CX61">
        <v>267</v>
      </c>
      <c r="CY61">
        <v>44139</v>
      </c>
      <c r="CZ61">
        <v>17315</v>
      </c>
      <c r="DA61">
        <v>176</v>
      </c>
      <c r="DB61">
        <v>44140</v>
      </c>
      <c r="DC61">
        <v>17557</v>
      </c>
      <c r="DD61">
        <v>198</v>
      </c>
      <c r="DE61">
        <v>44141</v>
      </c>
      <c r="DF61">
        <v>17733</v>
      </c>
      <c r="DG61">
        <v>172</v>
      </c>
      <c r="DH61">
        <v>44142</v>
      </c>
      <c r="DI61">
        <v>17902</v>
      </c>
      <c r="DJ61">
        <v>125</v>
      </c>
      <c r="DK61">
        <v>44143</v>
      </c>
      <c r="DL61">
        <v>18047</v>
      </c>
      <c r="DM61">
        <v>133</v>
      </c>
    </row>
    <row r="62" spans="1:117">
      <c r="A62" t="str">
        <f t="shared" ca="1" si="21"/>
        <v>Ma</v>
      </c>
      <c r="B62" s="4">
        <f t="shared" ca="1" si="2"/>
        <v>44144</v>
      </c>
      <c r="C62" s="11">
        <f t="shared" ca="1" si="0"/>
        <v>18313</v>
      </c>
      <c r="D62">
        <f t="shared" ca="1" si="20"/>
        <v>264</v>
      </c>
      <c r="E62" s="11">
        <f t="shared" ca="1" si="4"/>
        <v>26</v>
      </c>
      <c r="F62" s="11">
        <f t="shared" ca="1" si="6"/>
        <v>238</v>
      </c>
      <c r="J62" s="4"/>
      <c r="K62" s="3"/>
      <c r="M62" s="16">
        <v>44144</v>
      </c>
      <c r="N62">
        <v>18285</v>
      </c>
      <c r="O62">
        <v>238</v>
      </c>
      <c r="P62" s="16">
        <v>44144</v>
      </c>
      <c r="Q62">
        <v>18285</v>
      </c>
      <c r="R62">
        <v>238</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v>44135</v>
      </c>
      <c r="CN62">
        <v>16353</v>
      </c>
      <c r="CO62">
        <v>92</v>
      </c>
      <c r="CP62">
        <v>44136</v>
      </c>
      <c r="CQ62">
        <v>16588</v>
      </c>
      <c r="CR62">
        <v>121</v>
      </c>
      <c r="CS62">
        <v>44137</v>
      </c>
      <c r="CT62">
        <v>16850</v>
      </c>
      <c r="CU62">
        <v>232</v>
      </c>
      <c r="CV62">
        <v>44138</v>
      </c>
      <c r="CW62">
        <v>17075</v>
      </c>
      <c r="CX62">
        <v>180</v>
      </c>
      <c r="CY62">
        <v>44140</v>
      </c>
      <c r="CZ62">
        <v>17385</v>
      </c>
      <c r="DA62">
        <v>70</v>
      </c>
      <c r="DB62">
        <v>44141</v>
      </c>
      <c r="DC62">
        <v>17721</v>
      </c>
      <c r="DD62">
        <v>164</v>
      </c>
      <c r="DE62">
        <v>44142</v>
      </c>
      <c r="DF62">
        <v>17846</v>
      </c>
      <c r="DG62">
        <v>113</v>
      </c>
      <c r="DH62">
        <v>44143</v>
      </c>
      <c r="DI62">
        <v>18023</v>
      </c>
      <c r="DJ62">
        <v>121</v>
      </c>
      <c r="DK62">
        <v>44144</v>
      </c>
      <c r="DL62">
        <v>18285</v>
      </c>
      <c r="DM62">
        <v>238</v>
      </c>
    </row>
    <row r="63" spans="1:117">
      <c r="A63" t="str">
        <f t="shared" ca="1" si="21"/>
        <v/>
      </c>
      <c r="B63" s="4">
        <f ca="1">B64-1</f>
        <v>44145</v>
      </c>
      <c r="C63" s="11">
        <f t="shared" ca="1" si="0"/>
        <v>18477</v>
      </c>
      <c r="D63">
        <f t="shared" ca="1" si="20"/>
        <v>164</v>
      </c>
      <c r="E63" s="11">
        <f t="shared" ca="1" si="4"/>
        <v>104</v>
      </c>
      <c r="F63" s="11">
        <f t="shared" ca="1" si="6"/>
        <v>60</v>
      </c>
      <c r="J63" s="4"/>
      <c r="K63" s="3"/>
      <c r="M63" s="16">
        <v>44145</v>
      </c>
      <c r="N63">
        <v>18345</v>
      </c>
      <c r="O63">
        <v>60</v>
      </c>
      <c r="P63" s="16">
        <v>44145</v>
      </c>
      <c r="Q63">
        <v>18345</v>
      </c>
      <c r="R63">
        <v>60</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v>44136</v>
      </c>
      <c r="CN63">
        <v>16400</v>
      </c>
      <c r="CO63">
        <v>47</v>
      </c>
      <c r="CP63">
        <v>44137</v>
      </c>
      <c r="CQ63">
        <v>16637</v>
      </c>
      <c r="CR63">
        <v>49</v>
      </c>
      <c r="CS63">
        <v>44138</v>
      </c>
      <c r="CT63">
        <v>16929</v>
      </c>
      <c r="CU63">
        <v>79</v>
      </c>
      <c r="CV63">
        <v>44139</v>
      </c>
      <c r="CW63">
        <v>17119</v>
      </c>
      <c r="CX63">
        <v>44</v>
      </c>
      <c r="CY63">
        <v>44141</v>
      </c>
      <c r="CZ63">
        <v>17385</v>
      </c>
      <c r="DA63">
        <v>0</v>
      </c>
      <c r="DB63">
        <v>44142</v>
      </c>
      <c r="DC63">
        <v>17797</v>
      </c>
      <c r="DD63">
        <v>76</v>
      </c>
      <c r="DE63">
        <v>44143</v>
      </c>
      <c r="DF63">
        <v>17887</v>
      </c>
      <c r="DG63">
        <v>41</v>
      </c>
      <c r="DH63">
        <v>44144</v>
      </c>
      <c r="DI63">
        <v>18107</v>
      </c>
      <c r="DJ63">
        <v>84</v>
      </c>
      <c r="DK63">
        <v>44145</v>
      </c>
      <c r="DL63">
        <v>18345</v>
      </c>
      <c r="DM63">
        <v>60</v>
      </c>
    </row>
    <row r="64" spans="1:117" s="10" customFormat="1">
      <c r="A64" t="str">
        <f t="shared" ca="1" si="21"/>
        <v/>
      </c>
      <c r="B64" s="9">
        <f ca="1">B65-1</f>
        <v>44146</v>
      </c>
      <c r="C64" s="10">
        <f t="shared" ca="1" si="0"/>
        <v>18542</v>
      </c>
      <c r="D64" s="10">
        <f ca="1">C64-C63</f>
        <v>65</v>
      </c>
      <c r="E64" s="10">
        <f t="shared" ca="1" si="4"/>
        <v>65</v>
      </c>
      <c r="F64" s="10">
        <f t="shared" ca="1" si="6"/>
        <v>0</v>
      </c>
      <c r="J64" s="9"/>
      <c r="K64" s="14"/>
      <c r="M64" s="17">
        <v>44146</v>
      </c>
      <c r="N64" s="10">
        <v>18345</v>
      </c>
      <c r="O64" s="10">
        <v>0</v>
      </c>
      <c r="P64" s="17">
        <v>44146</v>
      </c>
      <c r="Q64" s="10">
        <v>18345</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0">
        <v>44137</v>
      </c>
      <c r="CN64" s="10">
        <v>16400</v>
      </c>
      <c r="CO64" s="10">
        <v>0</v>
      </c>
      <c r="CP64" s="10">
        <v>44138</v>
      </c>
      <c r="CQ64" s="10">
        <v>16637</v>
      </c>
      <c r="CR64" s="10">
        <v>0</v>
      </c>
      <c r="CS64" s="10">
        <v>44139</v>
      </c>
      <c r="CT64" s="10">
        <v>16930</v>
      </c>
      <c r="CU64" s="10">
        <v>1</v>
      </c>
      <c r="CV64" s="10">
        <v>44140</v>
      </c>
      <c r="CW64" s="10">
        <v>17119</v>
      </c>
      <c r="CX64" s="10">
        <v>0</v>
      </c>
      <c r="CY64" s="10">
        <v>44142</v>
      </c>
      <c r="CZ64" s="10">
        <v>17385</v>
      </c>
      <c r="DA64" s="10">
        <v>0</v>
      </c>
      <c r="DB64" s="10">
        <v>44143</v>
      </c>
      <c r="DC64" s="10">
        <v>17797</v>
      </c>
      <c r="DD64" s="10">
        <v>0</v>
      </c>
      <c r="DE64" s="10">
        <v>44144</v>
      </c>
      <c r="DF64" s="10">
        <v>17887</v>
      </c>
      <c r="DG64" s="10">
        <v>0</v>
      </c>
      <c r="DH64" s="10">
        <v>44145</v>
      </c>
      <c r="DI64" s="10">
        <v>18107</v>
      </c>
      <c r="DJ64" s="10">
        <v>0</v>
      </c>
      <c r="DK64" s="10">
        <v>44146</v>
      </c>
      <c r="DL64" s="10">
        <v>18345</v>
      </c>
      <c r="DM64" s="10">
        <v>0</v>
      </c>
    </row>
    <row r="65" spans="1:117">
      <c r="A65" t="str">
        <f ca="1">IF(WEEKDAY(B65,2)=1,"Ma","")</f>
        <v/>
      </c>
      <c r="B65" s="12">
        <f ca="1">FLOOR(NOW(),1)</f>
        <v>44147</v>
      </c>
      <c r="C65" s="11">
        <f t="shared" ca="1" si="0"/>
        <v>18542</v>
      </c>
      <c r="D65" s="11">
        <f ca="1">C65-C64</f>
        <v>0</v>
      </c>
      <c r="E65" s="11">
        <f ca="1">_xlfn.IFNA(D65-F65,"")</f>
        <v>0</v>
      </c>
      <c r="F65" s="11">
        <f t="shared" ca="1" si="6"/>
        <v>0</v>
      </c>
      <c r="K65" t="s">
        <v>309</v>
      </c>
      <c r="L65">
        <f ca="1">C65-N65</f>
        <v>197</v>
      </c>
      <c r="M65" s="16">
        <v>44147</v>
      </c>
      <c r="N65">
        <v>18345</v>
      </c>
      <c r="O65">
        <v>0</v>
      </c>
      <c r="P65" s="16">
        <v>44147</v>
      </c>
      <c r="Q65">
        <v>18345</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v>44138</v>
      </c>
      <c r="CN65">
        <v>16400</v>
      </c>
      <c r="CO65">
        <v>0</v>
      </c>
      <c r="CP65">
        <v>44139</v>
      </c>
      <c r="CQ65">
        <v>16637</v>
      </c>
      <c r="CR65">
        <v>0</v>
      </c>
      <c r="CS65">
        <v>44140</v>
      </c>
      <c r="CT65">
        <v>16930</v>
      </c>
      <c r="CU65">
        <v>0</v>
      </c>
      <c r="CV65">
        <v>44141</v>
      </c>
      <c r="CW65">
        <v>17119</v>
      </c>
      <c r="CX65">
        <v>0</v>
      </c>
      <c r="CY65">
        <v>44143</v>
      </c>
      <c r="CZ65">
        <v>17385</v>
      </c>
      <c r="DA65">
        <v>0</v>
      </c>
      <c r="DB65">
        <v>44144</v>
      </c>
      <c r="DC65">
        <v>17797</v>
      </c>
      <c r="DD65">
        <v>0</v>
      </c>
      <c r="DE65">
        <v>44145</v>
      </c>
      <c r="DF65">
        <v>17887</v>
      </c>
      <c r="DG65">
        <v>0</v>
      </c>
      <c r="DH65">
        <v>44146</v>
      </c>
      <c r="DI65">
        <v>18107</v>
      </c>
      <c r="DJ65">
        <v>0</v>
      </c>
      <c r="DK65">
        <v>44147</v>
      </c>
      <c r="DL65">
        <v>18345</v>
      </c>
      <c r="DM65">
        <v>0</v>
      </c>
    </row>
    <row r="67" spans="1:117">
      <c r="A67">
        <v>1</v>
      </c>
      <c r="B67">
        <v>2</v>
      </c>
      <c r="C67">
        <v>3</v>
      </c>
      <c r="D67">
        <v>4</v>
      </c>
      <c r="E67">
        <v>5</v>
      </c>
      <c r="F67">
        <v>6</v>
      </c>
      <c r="G67">
        <v>7</v>
      </c>
      <c r="H67">
        <v>8</v>
      </c>
      <c r="I67">
        <v>9</v>
      </c>
      <c r="J67">
        <v>10</v>
      </c>
      <c r="K67">
        <v>11</v>
      </c>
      <c r="L67">
        <v>12</v>
      </c>
      <c r="M67"/>
      <c r="P67"/>
      <c r="R67" t="s">
        <v>329</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2475A-5A8A-4EE4-91F2-23E053B67710}">
  <dimension ref="A3:AB3"/>
  <sheetViews>
    <sheetView workbookViewId="0">
      <selection activeCell="A3" sqref="A3:AB13"/>
    </sheetView>
  </sheetViews>
  <sheetFormatPr defaultColWidth="2.69140625" defaultRowHeight="14.6"/>
  <sheetData>
    <row r="3" spans="1:28">
      <c r="A3">
        <v>1</v>
      </c>
      <c r="B3">
        <v>2</v>
      </c>
      <c r="C3">
        <v>3</v>
      </c>
      <c r="D3">
        <v>4</v>
      </c>
      <c r="E3">
        <v>5</v>
      </c>
      <c r="F3">
        <v>6</v>
      </c>
      <c r="G3">
        <v>7</v>
      </c>
      <c r="H3">
        <v>8</v>
      </c>
      <c r="I3">
        <v>9</v>
      </c>
      <c r="J3">
        <v>10</v>
      </c>
      <c r="K3">
        <v>11</v>
      </c>
      <c r="L3">
        <v>12</v>
      </c>
      <c r="M3">
        <v>13</v>
      </c>
      <c r="N3">
        <v>14</v>
      </c>
      <c r="O3">
        <v>15</v>
      </c>
      <c r="P3">
        <v>16</v>
      </c>
      <c r="Q3">
        <v>17</v>
      </c>
      <c r="R3">
        <v>18</v>
      </c>
      <c r="S3">
        <v>19</v>
      </c>
      <c r="T3">
        <v>20</v>
      </c>
      <c r="U3">
        <v>21</v>
      </c>
      <c r="V3">
        <v>22</v>
      </c>
      <c r="W3">
        <v>23</v>
      </c>
      <c r="X3">
        <v>24</v>
      </c>
      <c r="Y3">
        <v>25</v>
      </c>
      <c r="Z3">
        <v>26</v>
      </c>
      <c r="AA3">
        <v>27</v>
      </c>
      <c r="AB3">
        <v>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Ohje</vt:lpstr>
      <vt:lpstr>Data</vt:lpstr>
      <vt:lpstr>Kuvaajat</vt:lpstr>
      <vt:lpstr>Sheet1</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2020-11-12T12:14:53Z</dcterms:modified>
</cp:coreProperties>
</file>