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F61B32D-259A-4431-9005-1CA26BF9687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<sst xmlns="http://schemas.openxmlformats.org/spreadsheetml/2006/main" count="681" uniqueCount="356">
  <si>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</si>
  <si>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</si>
  <si>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</si>
  <si>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</si>
  <si>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</si>
  <si>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</si>
  <si>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</si>
  <si>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</si>
  <si>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</si>
  <si>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</si>
  <si>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</si>
  <si>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</si>
  <si>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</si>
  <si>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</si>
  <si>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</si>
  <si>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</si>
  <si>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</si>
  <si>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</si>
  <si>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</si>
  <si>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</si>
  <si>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</si>
  <si>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</si>
  <si>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</si>
  <si>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</si>
  <si>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</si>
  <si>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</si>
  <si>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</si>
  <si>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</si>
  <si>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</si>
  <si>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</si>
  <si>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</si>
  <si>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</si>
  <si>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</si>
  <si>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</si>
  <si>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</si>
  <si>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</si>
  <si>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</si>
  <si>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</si>
  <si>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</si>
  <si>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</si>
  <si>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</si>
  <si>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</si>
  <si>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</si>
  <si>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</si>
  <si>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</si>
  <si>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</si>
  <si>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</si>
  <si>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</si>
  <si>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</si>
  <si>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</si>
  <si>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</si>
  <si>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</si>
  <si>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</si>
  <si>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</si>
  <si>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</si>
  <si>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</si>
  <si>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</si>
  <si>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</si>
  <si>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</si>
  <si>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</si>
  <si>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</si>
  <si>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</si>
  <si>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</si>
  <si>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</si>
  <si>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</si>
  <si>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</si>
  <si>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</si>
  <si>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</si>
  <si>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</si>
  <si>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</si>
  <si>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</si>
  <si>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</si>
  <si>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</si>
  <si>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</si>
  <si>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</si>
  <si>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</si>
  <si>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</si>
  <si>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</si>
  <si>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</si>
  <si>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</si>
  <si>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</si>
  <si>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</si>
  <si>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</si>
  <si>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</si>
  <si>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</si>
  <si>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</si>
  <si>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</si>
  <si>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</si>
  <si>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</si>
  <si>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</si>
  <si>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</si>
  <si>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</si>
  <si>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</si>
  <si>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</si>
  <si>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</si>
  <si>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</si>
  <si>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</si>
  <si>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</si>
  <si>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</si>
  <si>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</si>
  <si>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</si>
  <si>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</si>
  <si>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</si>
  <si>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</si>
  <si>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</si>
  <si>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</si>
  <si>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</si>
  <si>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</si>
  <si>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</si>
  <si>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</si>
  <si>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</si>
  <si>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</si>
  <si>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</si>
  <si>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</si>
  <si>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</si>
  <si>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</si>
  <si>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</si>
  <si>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</si>
  <si>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</si>
  <si>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</si>
  <si>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</si>
  <si>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</si>
  <si>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</si>
  <si>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</si>
  <si>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</si>
  <si>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</si>
  <si>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</si>
  <si>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</si>
  <si>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</si>
  <si>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</si>
  <si>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</si>
  <si>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</si>
  <si>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</si>
  <si>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</si>
  <si>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</si>
  <si>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</si>
  <si>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</si>
  <si>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</si>
  <si>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</si>
  <si>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</si>
  <si>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</si>
  <si>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</si>
  <si>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</si>
  <si>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</si>
  <si>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</si>
  <si>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</si>
  <si>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</si>
  <si>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</si>
  <si>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</si>
  <si>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</si>
  <si>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</si>
  <si>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</si>
  <si>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</si>
  <si>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</si>
  <si>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</si>
  <si>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</si>
  <si>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</si>
  <si>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</si>
  <si>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</si>
  <si>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</si>
  <si>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</si>
  <si>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</si>
  <si>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</si>
  <si>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</si>
  <si>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</si>
  <si>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</si>
  <si>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</si>
  <si>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</si>
  <si>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</si>
  <si>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</si>
  <si>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</si>
  <si>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</si>
  <si>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</si>
  <si>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</si>
  <si>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</si>
  <si>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</si>
  <si>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</si>
  <si>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</si>
  <si>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</si>
  <si>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</si>
  <si>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</si>
  <si>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</si>
  <si>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</si>
  <si>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</si>
  <si>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</si>
  <si>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</si>
  <si>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</si>
  <si>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</si>
  <si>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</si>
  <si>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</si>
  <si>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</si>
  <si>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</si>
  <si>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</si>
  <si>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</si>
  <si>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</si>
  <si>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</si>
  <si>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</si>
  <si>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</si>
  <si>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</si>
  <si>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</si>
  <si>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</si>
  <si>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</si>
  <si>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</si>
  <si>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</si>
  <si>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</si>
  <si>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</si>
  <si>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</si>
  <si>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</si>
  <si>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</si>
  <si>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</si>
  <si>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</si>
  <si>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</si>
  <si>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</si>
  <si>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</si>
  <si>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</si>
  <si>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</si>
  <si>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</si>
  <si>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</si>
  <si>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</si>
  <si>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</si>
  <si>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</si>
  <si>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</si>
  <si>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</si>
  <si>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</si>
  <si>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</si>
  <si>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</si>
  <si>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</si>
  <si>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</si>
  <si>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</si>
  <si>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</si>
  <si>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</si>
  <si>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</si>
  <si>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</si>
  <si>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</si>
  <si>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</si>
  <si>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</si>
  <si>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</si>
  <si>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</si>
  <si>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</si>
  <si>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</si>
  <si>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</si>
  <si>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</si>
  <si>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</si>
  <si>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</si>
  <si>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</si>
  <si>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</si>
  <si>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</si>
  <si>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</si>
  <si>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</si>
  <si>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</si>
  <si>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</si>
  <si>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</si>
  <si>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</si>
  <si>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</si>
  <si>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</si>
  <si>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</si>
  <si>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</si>
  <si>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</si>
  <si>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</si>
  <si>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</si>
  <si>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</si>
  <si>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</si>
  <si>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</si>
  <si>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</si>
  <si>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</si>
  <si>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</si>
  <si>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</si>
  <si>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</si>
  <si>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</si>
  <si>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</si>
  <si>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</si>
  <si>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</si>
  <si>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</si>
  <si>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</si>
  <si>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</si>
  <si>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</si>
  <si>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</si>
  <si>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</si>
  <si>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</si>
  <si>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</si>
  <si>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</si>
  <si>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</si>
  <si>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</si>
  <si>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</si>
  <si>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</si>
  <si>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</si>
  <si>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</si>
  <si>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</si>
  <si>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</si>
  <si>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</si>
  <si>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</si>
  <si>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</si>
  <si>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</si>
  <si>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</si>
  <si>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</si>
  <si>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</si>
  <si>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</si>
  <si>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</si>
  <si>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</si>
  <si>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</si>
  <si>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</si>
  <si>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</si>
  <si>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</si>
  <si>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</si>
  <si>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</si>
  <si>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</si>
  <si>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</si>
  <si>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</si>
  <si>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</si>
  <si>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</si>
  <si>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</si>
  <si>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</si>
  <si>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</si>
  <si>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</si>
  <si>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</si>
  <si>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</si>
  <si>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</si>
  <si>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</si>
  <si>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</si>
  <si>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</si>
  <si>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</si>
  <si>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</si>
  <si>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</si>
  <si>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</si>
  <si>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</si>
  <si>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</si>
  <si>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</si>
  <si>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</si>
  <si>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</si>
  <si>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</si>
  <si>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</si>
  <si>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</si>
  <si>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</si>
  <si>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</si>
  <si>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</si>
  <si>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</si>
  <si>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</si>
  <si>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</si>
  <si>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</si>
  <si>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</si>
  <si>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</si>
  <si>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</si>
  <si>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</si>
  <si>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</si>
  <si>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</si>
  <si>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</si>
  <si>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</si>
  <si>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</si>
  <si>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</si>
  <si>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</si>
  <si>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</si>
  <si>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</si>
  <si>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</si>
  <si>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</si>
  <si>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</si>
  <si>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2020-11-20T10:23:47.946Z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</si>
</sst>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16.11 saakka. Suurin arvo 360, joka 16.11. Uusimpien 4 päivien arvot tulevat viiveellä, joten ne jätetty pois 20.11.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193</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220</c:v>
                </c:pt>
                <c:pt idx="310">
                  <c:v>194</c:v>
                </c:pt>
                <c:pt idx="311">
                  <c:v>130</c:v>
                </c:pt>
                <c:pt idx="312">
                  <c:v>133</c:v>
                </c:pt>
                <c:pt idx="313">
                  <c:v>276</c:v>
                </c:pt>
                <c:pt idx="314">
                  <c:v>213</c:v>
                </c:pt>
                <c:pt idx="315">
                  <c:v>296</c:v>
                </c:pt>
                <c:pt idx="316">
                  <c:v>270</c:v>
                </c:pt>
                <c:pt idx="317">
                  <c:v>260</c:v>
                </c:pt>
                <c:pt idx="318">
                  <c:v>149</c:v>
                </c:pt>
                <c:pt idx="319">
                  <c:v>187</c:v>
                </c:pt>
                <c:pt idx="320">
                  <c:v>360</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3740</c:v>
                </c:pt>
                <c:pt idx="1">
                  <c:v>3479</c:v>
                </c:pt>
                <c:pt idx="2">
                  <c:v>3492</c:v>
                </c:pt>
                <c:pt idx="3">
                  <c:v>3220</c:v>
                </c:pt>
                <c:pt idx="4">
                  <c:v>2898</c:v>
                </c:pt>
                <c:pt idx="5">
                  <c:v>1833</c:v>
                </c:pt>
                <c:pt idx="6">
                  <c:v>2085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44127</c:v>
                </c:pt>
                <c:pt idx="1">
                  <c:v>44128</c:v>
                </c:pt>
                <c:pt idx="2">
                  <c:v>44129</c:v>
                </c:pt>
                <c:pt idx="3">
                  <c:v>44130</c:v>
                </c:pt>
                <c:pt idx="4">
                  <c:v>44131</c:v>
                </c:pt>
                <c:pt idx="5">
                  <c:v>44132</c:v>
                </c:pt>
                <c:pt idx="6">
                  <c:v>44133</c:v>
                </c:pt>
                <c:pt idx="7">
                  <c:v>44134</c:v>
                </c:pt>
                <c:pt idx="8">
                  <c:v>44135</c:v>
                </c:pt>
                <c:pt idx="9">
                  <c:v>44136</c:v>
                </c:pt>
                <c:pt idx="10">
                  <c:v>44137</c:v>
                </c:pt>
                <c:pt idx="11">
                  <c:v>44138</c:v>
                </c:pt>
                <c:pt idx="12">
                  <c:v>44139</c:v>
                </c:pt>
                <c:pt idx="13">
                  <c:v>44140</c:v>
                </c:pt>
                <c:pt idx="14">
                  <c:v>44141</c:v>
                </c:pt>
                <c:pt idx="15">
                  <c:v>44142</c:v>
                </c:pt>
                <c:pt idx="16">
                  <c:v>44143</c:v>
                </c:pt>
                <c:pt idx="17">
                  <c:v>44144</c:v>
                </c:pt>
                <c:pt idx="18">
                  <c:v>44145</c:v>
                </c:pt>
                <c:pt idx="19">
                  <c:v>44146</c:v>
                </c:pt>
                <c:pt idx="20">
                  <c:v>44147</c:v>
                </c:pt>
                <c:pt idx="21">
                  <c:v>44148</c:v>
                </c:pt>
                <c:pt idx="22">
                  <c:v>44149</c:v>
                </c:pt>
                <c:pt idx="23">
                  <c:v>44150</c:v>
                </c:pt>
                <c:pt idx="24">
                  <c:v>44151</c:v>
                </c:pt>
                <c:pt idx="25">
                  <c:v>44152</c:v>
                </c:pt>
                <c:pt idx="26">
                  <c:v>44153</c:v>
                </c:pt>
                <c:pt idx="27">
                  <c:v>44154</c:v>
                </c:pt>
              </c:numCache>
            </c:numRef>
          </c:cat>
          <c:val>
            <c:numRef>
              <c:f>Kuvaajat!$D$37:$D$64</c:f>
              <c:numCache>
                <c:formatCode>General</c:formatCode>
                <c:ptCount val="28"/>
                <c:pt idx="0">
                  <c:v>192</c:v>
                </c:pt>
                <c:pt idx="1">
                  <c:v>108</c:v>
                </c:pt>
                <c:pt idx="2">
                  <c:v>123</c:v>
                </c:pt>
                <c:pt idx="3">
                  <c:v>256</c:v>
                </c:pt>
                <c:pt idx="4">
                  <c:v>230</c:v>
                </c:pt>
                <c:pt idx="5">
                  <c:v>240</c:v>
                </c:pt>
                <c:pt idx="6">
                  <c:v>237</c:v>
                </c:pt>
                <c:pt idx="7">
                  <c:v>219</c:v>
                </c:pt>
                <c:pt idx="8">
                  <c:v>121</c:v>
                </c:pt>
                <c:pt idx="9">
                  <c:v>150</c:v>
                </c:pt>
                <c:pt idx="10">
                  <c:v>281</c:v>
                </c:pt>
                <c:pt idx="11">
                  <c:v>241</c:v>
                </c:pt>
                <c:pt idx="12">
                  <c:v>210</c:v>
                </c:pt>
                <c:pt idx="13">
                  <c:v>220</c:v>
                </c:pt>
                <c:pt idx="14">
                  <c:v>194</c:v>
                </c:pt>
                <c:pt idx="15">
                  <c:v>130</c:v>
                </c:pt>
                <c:pt idx="16">
                  <c:v>133</c:v>
                </c:pt>
                <c:pt idx="17">
                  <c:v>276</c:v>
                </c:pt>
                <c:pt idx="18">
                  <c:v>213</c:v>
                </c:pt>
                <c:pt idx="19">
                  <c:v>296</c:v>
                </c:pt>
                <c:pt idx="20">
                  <c:v>270</c:v>
                </c:pt>
                <c:pt idx="21">
                  <c:v>260</c:v>
                </c:pt>
                <c:pt idx="22">
                  <c:v>149</c:v>
                </c:pt>
                <c:pt idx="23">
                  <c:v>187</c:v>
                </c:pt>
                <c:pt idx="24">
                  <c:v>360</c:v>
                </c:pt>
                <c:pt idx="25">
                  <c:v>354</c:v>
                </c:pt>
                <c:pt idx="26">
                  <c:v>267</c:v>
                </c:pt>
                <c:pt idx="27">
                  <c:v>60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N=20747. Uusimmat 20.11 lisäykset punaisella n=461.</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44127</c:v>
                </c:pt>
                <c:pt idx="1">
                  <c:v>44128</c:v>
                </c:pt>
                <c:pt idx="2">
                  <c:v>44129</c:v>
                </c:pt>
                <c:pt idx="3">
                  <c:v>44130</c:v>
                </c:pt>
                <c:pt idx="4">
                  <c:v>44131</c:v>
                </c:pt>
                <c:pt idx="5">
                  <c:v>44132</c:v>
                </c:pt>
                <c:pt idx="6">
                  <c:v>44133</c:v>
                </c:pt>
                <c:pt idx="7">
                  <c:v>44134</c:v>
                </c:pt>
                <c:pt idx="8">
                  <c:v>44135</c:v>
                </c:pt>
                <c:pt idx="9">
                  <c:v>44136</c:v>
                </c:pt>
                <c:pt idx="10">
                  <c:v>44137</c:v>
                </c:pt>
                <c:pt idx="11">
                  <c:v>44138</c:v>
                </c:pt>
                <c:pt idx="12">
                  <c:v>44139</c:v>
                </c:pt>
                <c:pt idx="13">
                  <c:v>44140</c:v>
                </c:pt>
                <c:pt idx="14">
                  <c:v>44141</c:v>
                </c:pt>
                <c:pt idx="15">
                  <c:v>44142</c:v>
                </c:pt>
                <c:pt idx="16">
                  <c:v>44143</c:v>
                </c:pt>
                <c:pt idx="17">
                  <c:v>44144</c:v>
                </c:pt>
                <c:pt idx="18">
                  <c:v>44145</c:v>
                </c:pt>
                <c:pt idx="19">
                  <c:v>44146</c:v>
                </c:pt>
                <c:pt idx="20">
                  <c:v>44147</c:v>
                </c:pt>
                <c:pt idx="21">
                  <c:v>44148</c:v>
                </c:pt>
                <c:pt idx="22">
                  <c:v>44149</c:v>
                </c:pt>
                <c:pt idx="23">
                  <c:v>44150</c:v>
                </c:pt>
                <c:pt idx="24">
                  <c:v>44151</c:v>
                </c:pt>
                <c:pt idx="25">
                  <c:v>44152</c:v>
                </c:pt>
                <c:pt idx="26">
                  <c:v>44153</c:v>
                </c:pt>
                <c:pt idx="27">
                  <c:v>44154</c:v>
                </c:pt>
              </c:numCache>
            </c:numRef>
          </c:cat>
          <c:val>
            <c:numRef>
              <c:f>Kuvaajat!$D$37:$D$64</c:f>
              <c:numCache>
                <c:formatCode>General</c:formatCode>
                <c:ptCount val="28"/>
                <c:pt idx="0">
                  <c:v>192</c:v>
                </c:pt>
                <c:pt idx="1">
                  <c:v>108</c:v>
                </c:pt>
                <c:pt idx="2">
                  <c:v>123</c:v>
                </c:pt>
                <c:pt idx="3">
                  <c:v>256</c:v>
                </c:pt>
                <c:pt idx="4">
                  <c:v>230</c:v>
                </c:pt>
                <c:pt idx="5">
                  <c:v>240</c:v>
                </c:pt>
                <c:pt idx="6">
                  <c:v>237</c:v>
                </c:pt>
                <c:pt idx="7">
                  <c:v>219</c:v>
                </c:pt>
                <c:pt idx="8">
                  <c:v>121</c:v>
                </c:pt>
                <c:pt idx="9">
                  <c:v>150</c:v>
                </c:pt>
                <c:pt idx="10">
                  <c:v>281</c:v>
                </c:pt>
                <c:pt idx="11">
                  <c:v>241</c:v>
                </c:pt>
                <c:pt idx="12">
                  <c:v>210</c:v>
                </c:pt>
                <c:pt idx="13">
                  <c:v>220</c:v>
                </c:pt>
                <c:pt idx="14">
                  <c:v>194</c:v>
                </c:pt>
                <c:pt idx="15">
                  <c:v>130</c:v>
                </c:pt>
                <c:pt idx="16">
                  <c:v>133</c:v>
                </c:pt>
                <c:pt idx="17">
                  <c:v>276</c:v>
                </c:pt>
                <c:pt idx="18">
                  <c:v>213</c:v>
                </c:pt>
                <c:pt idx="19">
                  <c:v>296</c:v>
                </c:pt>
                <c:pt idx="20">
                  <c:v>270</c:v>
                </c:pt>
                <c:pt idx="21">
                  <c:v>260</c:v>
                </c:pt>
                <c:pt idx="22">
                  <c:v>149</c:v>
                </c:pt>
                <c:pt idx="23">
                  <c:v>187</c:v>
                </c:pt>
                <c:pt idx="24">
                  <c:v>360</c:v>
                </c:pt>
                <c:pt idx="25">
                  <c:v>354</c:v>
                </c:pt>
                <c:pt idx="26">
                  <c:v>267</c:v>
                </c:pt>
                <c:pt idx="27">
                  <c:v>60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44127</c:v>
                </c:pt>
                <c:pt idx="1">
                  <c:v>44128</c:v>
                </c:pt>
                <c:pt idx="2">
                  <c:v>44129</c:v>
                </c:pt>
                <c:pt idx="3">
                  <c:v>44130</c:v>
                </c:pt>
                <c:pt idx="4">
                  <c:v>44131</c:v>
                </c:pt>
                <c:pt idx="5">
                  <c:v>44132</c:v>
                </c:pt>
                <c:pt idx="6">
                  <c:v>44133</c:v>
                </c:pt>
                <c:pt idx="7">
                  <c:v>44134</c:v>
                </c:pt>
                <c:pt idx="8">
                  <c:v>44135</c:v>
                </c:pt>
                <c:pt idx="9">
                  <c:v>44136</c:v>
                </c:pt>
                <c:pt idx="10">
                  <c:v>44137</c:v>
                </c:pt>
                <c:pt idx="11">
                  <c:v>44138</c:v>
                </c:pt>
                <c:pt idx="12">
                  <c:v>44139</c:v>
                </c:pt>
                <c:pt idx="13">
                  <c:v>44140</c:v>
                </c:pt>
                <c:pt idx="14">
                  <c:v>44141</c:v>
                </c:pt>
                <c:pt idx="15">
                  <c:v>44142</c:v>
                </c:pt>
                <c:pt idx="16">
                  <c:v>44143</c:v>
                </c:pt>
                <c:pt idx="17">
                  <c:v>44144</c:v>
                </c:pt>
                <c:pt idx="18">
                  <c:v>44145</c:v>
                </c:pt>
                <c:pt idx="19">
                  <c:v>44146</c:v>
                </c:pt>
                <c:pt idx="20">
                  <c:v>44147</c:v>
                </c:pt>
                <c:pt idx="21">
                  <c:v>44148</c:v>
                </c:pt>
                <c:pt idx="22">
                  <c:v>44149</c:v>
                </c:pt>
                <c:pt idx="23">
                  <c:v>44150</c:v>
                </c:pt>
                <c:pt idx="24">
                  <c:v>44151</c:v>
                </c:pt>
                <c:pt idx="25">
                  <c:v>44152</c:v>
                </c:pt>
                <c:pt idx="26">
                  <c:v>44153</c:v>
                </c:pt>
                <c:pt idx="27">
                  <c:v>44154</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-1</c:v>
                </c:pt>
                <c:pt idx="17">
                  <c:v>-1</c:v>
                </c:pt>
                <c:pt idx="18">
                  <c:v>-3</c:v>
                </c:pt>
                <c:pt idx="19">
                  <c:v>7</c:v>
                </c:pt>
                <c:pt idx="20">
                  <c:v>29</c:v>
                </c:pt>
                <c:pt idx="21">
                  <c:v>33</c:v>
                </c:pt>
                <c:pt idx="22">
                  <c:v>15</c:v>
                </c:pt>
                <c:pt idx="23">
                  <c:v>20</c:v>
                </c:pt>
                <c:pt idx="24">
                  <c:v>45</c:v>
                </c:pt>
                <c:pt idx="25">
                  <c:v>58</c:v>
                </c:pt>
                <c:pt idx="26">
                  <c:v>201</c:v>
                </c:pt>
                <c:pt idx="27">
                  <c:v>60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2" activePane="bottomLeft" state="frozen"/>
      <selection pane="bottomLeft" activeCell="B3" sqref="B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20747</v>
      </c>
      <c r="I1" s="8">
        <v>44155.503622685188</v>
      </c>
      <c r="J1" s="7">
        <f>MAX(Id)</f>
        <v>360</v>
      </c>
      <c r="K1" s="15">
        <f>VLOOKUP(J1,A:F,6,FALSE)</f>
        <v>44151.625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16.11 saakka. Suurin arvo 360, joka 16.11. Uusimpien 4 päivien arvot tulevat viiveellä, joten ne jätetty pois 20.11.</v>
      </c>
      <c r="M1" s="7">
        <f>COUNT(Id)-5</f>
        <v>320</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3740</v>
      </c>
    </row>
    <row r="31" spans="1:11">
      <c r="A31">
        <v>0</v>
      </c>
      <c r="B31" t="s">
        <v>263</v>
      </c>
      <c r="C31" t="s">
        <v>8</v>
      </c>
      <c r="E31" s="3">
        <f t="shared" si="0"/>
        <v>4</v>
      </c>
      <c r="F31" s="5">
        <v>43860.625</v>
      </c>
      <c r="H31" s="19" t="str">
        <f t="shared" si="1"/>
        <v/>
      </c>
      <c r="I31">
        <v>2</v>
      </c>
      <c r="J31" t="s">
        <v>303</v>
      </c>
      <c r="K31">
        <f t="shared" si="2"/>
        <v>3479</v>
      </c>
    </row>
    <row r="32" spans="1:11">
      <c r="A32">
        <v>0</v>
      </c>
      <c r="B32" t="s">
        <v>264</v>
      </c>
      <c r="C32" t="s">
        <v>8</v>
      </c>
      <c r="E32" s="3">
        <f t="shared" si="0"/>
        <v>5</v>
      </c>
      <c r="F32" s="5">
        <v>43861.625</v>
      </c>
      <c r="H32" s="19" t="str">
        <f t="shared" si="1"/>
        <v/>
      </c>
      <c r="I32">
        <v>3</v>
      </c>
      <c r="J32" t="s">
        <v>304</v>
      </c>
      <c r="K32">
        <f t="shared" si="2"/>
        <v>3492</v>
      </c>
    </row>
    <row r="33" spans="1:11">
      <c r="A33">
        <v>0</v>
      </c>
      <c r="B33" t="s">
        <v>265</v>
      </c>
      <c r="C33" t="s">
        <v>8</v>
      </c>
      <c r="E33" s="3">
        <f t="shared" si="0"/>
        <v>6</v>
      </c>
      <c r="F33" s="5">
        <v>43862.625</v>
      </c>
      <c r="H33" s="19" t="str">
        <f t="shared" si="1"/>
        <v/>
      </c>
      <c r="I33">
        <v>4</v>
      </c>
      <c r="J33" t="s">
        <v>305</v>
      </c>
      <c r="K33">
        <f t="shared" si="2"/>
        <v>3220</v>
      </c>
    </row>
    <row r="34" spans="1:11">
      <c r="A34">
        <v>0</v>
      </c>
      <c r="B34" t="s">
        <v>266</v>
      </c>
      <c r="C34" t="s">
        <v>8</v>
      </c>
      <c r="E34" s="3">
        <f t="shared" si="0"/>
        <v>7</v>
      </c>
      <c r="F34" s="5">
        <v>43863.625</v>
      </c>
      <c r="H34" s="19" t="str">
        <f t="shared" si="1"/>
        <v/>
      </c>
      <c r="I34">
        <v>5</v>
      </c>
      <c r="J34" t="s">
        <v>306</v>
      </c>
      <c r="K34">
        <f t="shared" si="2"/>
        <v>2898</v>
      </c>
    </row>
    <row r="35" spans="1:11">
      <c r="A35">
        <v>0</v>
      </c>
      <c r="B35" t="s">
        <v>267</v>
      </c>
      <c r="C35" t="s">
        <v>8</v>
      </c>
      <c r="E35" s="3">
        <f t="shared" si="0"/>
        <v>1</v>
      </c>
      <c r="F35" s="5">
        <v>43864.625</v>
      </c>
      <c r="H35" s="19" t="str">
        <f t="shared" si="1"/>
        <v>W6</v>
      </c>
      <c r="I35">
        <v>6</v>
      </c>
      <c r="J35" t="s">
        <v>307</v>
      </c>
      <c r="K35">
        <f t="shared" si="2"/>
        <v>1833</v>
      </c>
    </row>
    <row r="36" spans="1:11">
      <c r="A36">
        <v>0</v>
      </c>
      <c r="B36" t="s">
        <v>268</v>
      </c>
      <c r="C36" t="s">
        <v>8</v>
      </c>
      <c r="E36" s="3">
        <f t="shared" si="0"/>
        <v>2</v>
      </c>
      <c r="F36" s="5">
        <v>43865.625</v>
      </c>
      <c r="H36" s="19" t="str">
        <f t="shared" si="1"/>
        <v/>
      </c>
      <c r="I36">
        <v>7</v>
      </c>
      <c r="J36" t="s">
        <v>308</v>
      </c>
      <c r="K36">
        <f t="shared" si="2"/>
        <v>2085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13</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193</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220</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130</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276</v>
      </c>
      <c r="B315" t="s">
        <v>344</v>
      </c>
      <c r="C315" t="s">
        <v>8</v>
      </c>
      <c r="E315" s="3">
        <f t="shared" si="11"/>
        <v>1</v>
      </c>
      <c r="F315" s="5">
        <v>44144.625</v>
      </c>
      <c r="G315" s="10" t="str">
        <f t="shared" si="13"/>
        <v>Maanantai</v>
      </c>
      <c r="H315" s="19" t="str">
        <f t="shared" si="14"/>
        <v>W46</v>
      </c>
    </row>
    <row r="316" spans="1:8">
      <c r="A316">
        <v>213</v>
      </c>
      <c r="B316" t="s">
        <v>345</v>
      </c>
      <c r="C316" t="s">
        <v>8</v>
      </c>
      <c r="E316" s="3">
        <f t="shared" si="11"/>
        <v>2</v>
      </c>
      <c r="F316" s="5">
        <v>44145.625</v>
      </c>
      <c r="G316" s="10" t="str">
        <f t="shared" si="13"/>
        <v/>
      </c>
      <c r="H316" s="19" t="str">
        <f t="shared" si="14"/>
        <v/>
      </c>
    </row>
    <row r="317" spans="1:8">
      <c r="A317">
        <v>296</v>
      </c>
      <c r="B317" t="s">
        <v>346</v>
      </c>
      <c r="C317" t="s">
        <v>8</v>
      </c>
      <c r="E317" s="3">
        <f t="shared" si="11"/>
        <v>3</v>
      </c>
      <c r="F317" s="5">
        <v>44146.625</v>
      </c>
      <c r="G317" s="10" t="str">
        <f t="shared" si="13"/>
        <v/>
      </c>
      <c r="H317" s="19" t="str">
        <f t="shared" si="14"/>
        <v/>
      </c>
    </row>
    <row r="318" spans="1:8">
      <c r="A318">
        <v>270</v>
      </c>
      <c r="B318" t="s">
        <v>347</v>
      </c>
      <c r="C318" t="s">
        <v>8</v>
      </c>
      <c r="E318" s="3">
        <f t="shared" si="11"/>
        <v>4</v>
      </c>
      <c r="F318" s="5">
        <v>44147.625</v>
      </c>
      <c r="G318" s="10" t="str">
        <f t="shared" si="13"/>
        <v/>
      </c>
      <c r="H318" s="19" t="str">
        <f t="shared" si="14"/>
        <v/>
      </c>
    </row>
    <row r="319" spans="1:8">
      <c r="A319">
        <v>260</v>
      </c>
      <c r="B319" t="s">
        <v>348</v>
      </c>
      <c r="C319" t="s">
        <v>8</v>
      </c>
      <c r="E319" s="3">
        <f t="shared" si="11"/>
        <v>5</v>
      </c>
      <c r="F319" s="5">
        <v>44148.625</v>
      </c>
      <c r="G319" s="10" t="str">
        <f t="shared" si="13"/>
        <v/>
      </c>
      <c r="H319" s="19" t="str">
        <f t="shared" si="14"/>
        <v/>
      </c>
    </row>
    <row r="320" spans="1:8">
      <c r="A320">
        <v>149</v>
      </c>
      <c r="B320" t="s">
        <v>349</v>
      </c>
      <c r="C320" t="s">
        <v>8</v>
      </c>
      <c r="E320" s="3">
        <f t="shared" si="11"/>
        <v>6</v>
      </c>
      <c r="F320" s="5">
        <v>44149.625</v>
      </c>
      <c r="G320" s="10" t="str">
        <f t="shared" si="13"/>
        <v/>
      </c>
      <c r="H320" s="19" t="str">
        <f t="shared" si="14"/>
        <v/>
      </c>
    </row>
    <row r="321" spans="1:8">
      <c r="A321">
        <v>187</v>
      </c>
      <c r="B321" t="s">
        <v>350</v>
      </c>
      <c r="C321" t="s">
        <v>8</v>
      </c>
      <c r="E321" s="3">
        <f t="shared" si="11"/>
        <v>7</v>
      </c>
      <c r="F321" s="5">
        <v>44150.625</v>
      </c>
      <c r="G321" s="10" t="str">
        <f t="shared" si="13"/>
        <v/>
      </c>
      <c r="H321" s="19" t="str">
        <f t="shared" si="14"/>
        <v/>
      </c>
    </row>
    <row r="322" spans="1:8">
      <c r="A322">
        <v>360</v>
      </c>
      <c r="B322" t="s">
        <v>351</v>
      </c>
      <c r="C322" t="s">
        <v>8</v>
      </c>
      <c r="E322" s="3">
        <f t="shared" si="11"/>
        <v>1</v>
      </c>
      <c r="F322" s="5">
        <v>44151.625</v>
      </c>
      <c r="G322" s="10" t="str">
        <f t="shared" si="13"/>
        <v>Maanantai</v>
      </c>
      <c r="H322" s="19" t="str">
        <f t="shared" si="14"/>
        <v>W47</v>
      </c>
    </row>
    <row r="323" spans="1:8">
      <c r="A323">
        <v>354</v>
      </c>
      <c r="B323" t="s">
        <v>352</v>
      </c>
      <c r="C323" t="s">
        <v>8</v>
      </c>
      <c r="E323" s="3">
        <f t="shared" ref="E323" si="15">WEEKDAY(F323,2)</f>
        <v>2</v>
      </c>
      <c r="F323" s="5">
        <v>44152.625</v>
      </c>
      <c r="G323" s="10" t="str">
        <f t="shared" si="13"/>
        <v/>
      </c>
      <c r="H323" s="19" t="str">
        <f t="shared" si="14"/>
        <v/>
      </c>
    </row>
    <row r="324" spans="1:8">
      <c r="A324">
        <v>267</v>
      </c>
      <c r="B324" t="s">
        <v>353</v>
      </c>
      <c r="C324" t="s">
        <v>8</v>
      </c>
      <c r="E324" s="3">
        <f t="shared" si="11"/>
        <v>3</v>
      </c>
      <c r="F324" s="5">
        <v>44153.625</v>
      </c>
      <c r="G324" s="10" t="str">
        <f t="shared" si="13"/>
        <v/>
      </c>
      <c r="H324" s="19" t="str">
        <f t="shared" si="14"/>
        <v/>
      </c>
    </row>
    <row r="325" spans="1:8">
      <c r="A325">
        <v>60</v>
      </c>
      <c r="B325" t="s">
        <v>354</v>
      </c>
      <c r="C325" t="s">
        <v>8</v>
      </c>
      <c r="E325" s="3">
        <f t="shared" ref="E325:E366" si="16">WEEKDAY(F325,2)</f>
        <v>4</v>
      </c>
      <c r="F325" s="5">
        <v>44154.625</v>
      </c>
      <c r="G325" s="10" t="str">
        <f t="shared" si="13"/>
        <v/>
      </c>
      <c r="H325" s="19" t="str">
        <f t="shared" si="14"/>
        <v/>
      </c>
    </row>
    <row r="326" spans="1:8">
      <c r="A326">
        <v>0</v>
      </c>
      <c r="B326" t="s">
        <v>355</v>
      </c>
      <c r="C326" t="s">
        <v>8</v>
      </c>
      <c r="E326" s="3">
        <f t="shared" si="16"/>
        <v>5</v>
      </c>
      <c r="F326" s="5">
        <v>44155.433182870373</v>
      </c>
      <c r="G326" s="10" t="str">
        <f t="shared" si="13"/>
        <v/>
      </c>
      <c r="H326" s="19" t="str">
        <f t="shared" si="14"/>
        <v/>
      </c>
    </row>
    <row r="327" spans="1:8">
      <c r="E327" s="3">
        <f t="shared" si="16"/>
        <v>6</v>
      </c>
      <c r="G327" s="10" t="str">
        <f t="shared" si="13"/>
        <v/>
      </c>
      <c r="H327" s="19" t="str">
        <f t="shared" si="14"/>
        <v/>
      </c>
    </row>
    <row r="328" spans="1:8">
      <c r="E328" s="3">
        <f t="shared" si="16"/>
        <v>6</v>
      </c>
      <c r="G328" s="10" t="str">
        <f t="shared" si="13"/>
        <v/>
      </c>
      <c r="H328" s="19" t="str">
        <f t="shared" si="14"/>
        <v/>
      </c>
    </row>
    <row r="329" spans="1:8">
      <c r="E329" s="3">
        <f t="shared" si="16"/>
        <v>6</v>
      </c>
      <c r="G329" s="10" t="str">
        <f t="shared" si="13"/>
        <v/>
      </c>
      <c r="H329" s="19" t="str">
        <f t="shared" si="14"/>
        <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EK67"/>
  <sheetViews>
    <sheetView tabSelected="1" zoomScale="85" zoomScaleNormal="85" workbookViewId="0">
      <selection activeCell="K7" sqref="K7"/>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20.11 n=461. Yhteensä N=20747. Edelliset 7 päivää 1637 (päivittyy), 1512 (muutos 5 %), 1442 (4 %) ja 1386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20.11 n=461. Yhteensä N=20747. Melko pysyvät 7 päivää 10.11-16.11 yhteensä 1735 (muutos 24 %), aiemmat 7 päivää 1404 (-5 %) ja 1478 https://github.com/jussivirkkala/excel/tree/master/hs-koronavirus-avoindata</v>
      </c>
      <c r="B32" s="4"/>
    </row>
    <row r="33" spans="1:141">
      <c r="B33" s="4"/>
    </row>
    <row r="34" spans="1:141">
      <c r="A34" t="str">
        <f ca="1">"Kirjattuja COVID-19 tapauksia N="&amp;C65&amp;"."&amp;CHAR(32)&amp;"Uusimmat "&amp;TEXT(MAX(M:M),"p.kk")&amp;" lisäykset punaisella n="&amp;L65&amp;"."</f>
        <v>Kirjattuja COVID-19 tapauksia N=20747. Uusimmat 20.11 lisäykset punaisella n=461.</v>
      </c>
      <c r="B34" s="4"/>
    </row>
    <row r="35" spans="1:141">
      <c r="B35" s="4" t="s">
        <v>5</v>
      </c>
      <c r="C35" t="s">
        <v>0</v>
      </c>
      <c r="D35" t="s">
        <v>6</v>
      </c>
      <c r="E35">
        <f ca="1">SUM(E37:E65)</f>
        <v>461</v>
      </c>
      <c r="F35" t="s">
        <v>228</v>
      </c>
      <c r="M35" s="16" t="s">
        <v>312</v>
      </c>
      <c r="P35" s="16" t="s">
        <v>313</v>
      </c>
      <c r="S35" s="16" t="s">
        <v>314</v>
      </c>
    </row>
    <row r="36" spans="1:141">
      <c r="A36" t="str">
        <f ca="1">IF(WEEKDAY(B36,2)=1,"Ma","")</f>
        <v/>
      </c>
      <c r="B36" s="4">
        <f ca="1">B37-1</f>
        <v>44126</v>
      </c>
      <c r="C36" s="11">
        <f t="shared" ref="C36:C65" ca="1" si="0">SUMIF(aika,"&lt;"&amp;(B36+1),Id)</f>
        <v>14770</v>
      </c>
    </row>
    <row r="37" spans="1:141" s="10" customFormat="1">
      <c r="A37" t="str">
        <f t="shared" ref="A37:A60" ca="1" si="1">IF(WEEKDAY(B37,2)=1,"Ma","")</f>
        <v/>
      </c>
      <c r="B37" s="9">
        <f t="shared" ref="B37:B62" ca="1" si="2">B38-1</f>
        <v>44127</v>
      </c>
      <c r="C37" s="10">
        <f t="shared" ca="1" si="0"/>
        <v>14962</v>
      </c>
      <c r="D37" s="10">
        <f t="shared" ref="D37" ca="1" si="3">C37-C36</f>
        <v>192</v>
      </c>
      <c r="E37" s="10">
        <f t="shared" ref="E37:E64" ca="1" si="4">_xlfn.IFNA(D37-F37,"")</f>
        <v>0</v>
      </c>
      <c r="F37" s="10">
        <f ca="1">VLOOKUP(B37,Previous,3,FALSE)</f>
        <v>192</v>
      </c>
      <c r="G37" s="10">
        <f ca="1">SUM(D37:D43)</f>
        <v>1386</v>
      </c>
      <c r="I37" s="10">
        <f ca="1">SUM(D37:D50)</f>
        <v>2828</v>
      </c>
      <c r="K37" s="14"/>
      <c r="M37" s="17">
        <v>44127</v>
      </c>
      <c r="N37" s="10">
        <v>14962</v>
      </c>
      <c r="O37" s="10">
        <v>192</v>
      </c>
      <c r="P37" s="17">
        <v>44127</v>
      </c>
      <c r="Q37" s="10">
        <v>14962</v>
      </c>
      <c r="R37" s="10">
        <v>192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c r="DZ37" s="10">
        <v>44124</v>
      </c>
      <c r="EA37" s="10">
        <v>14370</v>
      </c>
      <c r="EB37" s="10">
        <v>163</v>
      </c>
      <c r="EC37" s="10">
        <v>44125</v>
      </c>
      <c r="ED37" s="10">
        <v>14552</v>
      </c>
      <c r="EE37" s="10">
        <v>190</v>
      </c>
      <c r="EF37" s="10">
        <v>44126</v>
      </c>
      <c r="EG37" s="10">
        <v>14770</v>
      </c>
      <c r="EH37" s="10">
        <v>218</v>
      </c>
      <c r="EI37" s="10">
        <v>44127</v>
      </c>
      <c r="EJ37" s="10">
        <v>14962</v>
      </c>
      <c r="EK37" s="10">
        <v>192</v>
      </c>
    </row>
    <row r="38" spans="1:141">
      <c r="A38" t="str">
        <f t="shared" ca="1" si="1"/>
        <v/>
      </c>
      <c r="B38" s="4">
        <f t="shared" ca="1" si="2"/>
        <v>44128</v>
      </c>
      <c r="C38" s="11">
        <f t="shared" ca="1" si="0"/>
        <v>15070</v>
      </c>
      <c r="D38">
        <f t="shared" ref="D38" ca="1" si="5">C38-C37</f>
        <v>108</v>
      </c>
      <c r="E38" s="11">
        <f t="shared" ca="1" si="4"/>
        <v>0</v>
      </c>
      <c r="F38" s="11">
        <f t="shared" ref="F38:F65" ca="1" si="6">VLOOKUP(B38,Previous,3,FALSE)</f>
        <v>108</v>
      </c>
      <c r="K38" s="3"/>
      <c r="M38" s="16">
        <v>44128</v>
      </c>
      <c r="N38">
        <v>15070</v>
      </c>
      <c r="O38">
        <v>108</v>
      </c>
      <c r="P38" s="16">
        <v>44128</v>
      </c>
      <c r="Q38">
        <v>15070</v>
      </c>
      <c r="R38">
        <v>108</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c r="DZ38">
        <v>44125</v>
      </c>
      <c r="EA38">
        <v>14560</v>
      </c>
      <c r="EB38">
        <v>190</v>
      </c>
      <c r="EC38">
        <v>44126</v>
      </c>
      <c r="ED38">
        <v>14770</v>
      </c>
      <c r="EE38">
        <v>218</v>
      </c>
      <c r="EF38">
        <v>44127</v>
      </c>
      <c r="EG38">
        <v>14962</v>
      </c>
      <c r="EH38">
        <v>192</v>
      </c>
      <c r="EI38">
        <v>44128</v>
      </c>
      <c r="EJ38">
        <v>15070</v>
      </c>
      <c r="EK38">
        <v>108</v>
      </c>
    </row>
    <row r="39" spans="1:141">
      <c r="A39" t="str">
        <f t="shared" ca="1" si="1"/>
        <v/>
      </c>
      <c r="B39" s="4">
        <f t="shared" ca="1" si="2"/>
        <v>44129</v>
      </c>
      <c r="C39" s="11">
        <f t="shared" ca="1" si="0"/>
        <v>15193</v>
      </c>
      <c r="D39">
        <f t="shared" ref="D39" ca="1" si="7">C39-C38</f>
        <v>123</v>
      </c>
      <c r="E39" s="11">
        <f t="shared" ca="1" si="4"/>
        <v>0</v>
      </c>
      <c r="F39" s="11">
        <f t="shared" ca="1" si="6"/>
        <v>123</v>
      </c>
      <c r="K39" s="3"/>
      <c r="M39" s="16">
        <v>44129</v>
      </c>
      <c r="N39">
        <v>15193</v>
      </c>
      <c r="O39">
        <v>123</v>
      </c>
      <c r="P39" s="16">
        <v>44129</v>
      </c>
      <c r="Q39">
        <v>15193</v>
      </c>
      <c r="R39">
        <v>123</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c r="DZ39">
        <v>44126</v>
      </c>
      <c r="EA39">
        <v>14778</v>
      </c>
      <c r="EB39">
        <v>218</v>
      </c>
      <c r="EC39">
        <v>44127</v>
      </c>
      <c r="ED39">
        <v>14962</v>
      </c>
      <c r="EE39">
        <v>192</v>
      </c>
      <c r="EF39">
        <v>44128</v>
      </c>
      <c r="EG39">
        <v>15070</v>
      </c>
      <c r="EH39">
        <v>108</v>
      </c>
      <c r="EI39">
        <v>44129</v>
      </c>
      <c r="EJ39">
        <v>15193</v>
      </c>
      <c r="EK39">
        <v>123</v>
      </c>
    </row>
    <row r="40" spans="1:141">
      <c r="A40" t="str">
        <f t="shared" ca="1" si="1"/>
        <v>Ma</v>
      </c>
      <c r="B40" s="4">
        <f t="shared" ca="1" si="2"/>
        <v>44130</v>
      </c>
      <c r="C40" s="11">
        <f t="shared" ca="1" si="0"/>
        <v>15449</v>
      </c>
      <c r="D40">
        <f t="shared" ref="D40" ca="1" si="8">C40-C39</f>
        <v>256</v>
      </c>
      <c r="E40" s="11">
        <f t="shared" ca="1" si="4"/>
        <v>0</v>
      </c>
      <c r="F40" s="11">
        <f t="shared" ca="1" si="6"/>
        <v>256</v>
      </c>
      <c r="J40" s="10">
        <f ca="1">SUM(D41:D47)</f>
        <v>1478</v>
      </c>
      <c r="K40" s="3"/>
      <c r="M40" s="16">
        <v>44130</v>
      </c>
      <c r="N40">
        <v>15449</v>
      </c>
      <c r="O40">
        <v>256</v>
      </c>
      <c r="P40" s="16">
        <v>44130</v>
      </c>
      <c r="Q40">
        <v>15449</v>
      </c>
      <c r="R40">
        <v>256</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c r="DZ40">
        <v>44127</v>
      </c>
      <c r="EA40">
        <v>14970</v>
      </c>
      <c r="EB40">
        <v>192</v>
      </c>
      <c r="EC40">
        <v>44128</v>
      </c>
      <c r="ED40">
        <v>15070</v>
      </c>
      <c r="EE40">
        <v>108</v>
      </c>
      <c r="EF40">
        <v>44129</v>
      </c>
      <c r="EG40">
        <v>15193</v>
      </c>
      <c r="EH40">
        <v>123</v>
      </c>
      <c r="EI40">
        <v>44130</v>
      </c>
      <c r="EJ40">
        <v>15449</v>
      </c>
      <c r="EK40">
        <v>256</v>
      </c>
    </row>
    <row r="41" spans="1:141">
      <c r="A41" t="str">
        <f t="shared" ca="1" si="1"/>
        <v/>
      </c>
      <c r="B41" s="4">
        <f t="shared" ca="1" si="2"/>
        <v>44131</v>
      </c>
      <c r="C41" s="11">
        <f t="shared" ca="1" si="0"/>
        <v>15679</v>
      </c>
      <c r="D41">
        <f t="shared" ref="D41" ca="1" si="9">C41-C40</f>
        <v>230</v>
      </c>
      <c r="E41" s="11">
        <f t="shared" ca="1" si="4"/>
        <v>0</v>
      </c>
      <c r="F41" s="11">
        <f t="shared" ca="1" si="6"/>
        <v>230</v>
      </c>
      <c r="K41" s="3"/>
      <c r="M41" s="16">
        <v>44131</v>
      </c>
      <c r="N41">
        <v>15679</v>
      </c>
      <c r="O41">
        <v>230</v>
      </c>
      <c r="P41" s="16">
        <v>44131</v>
      </c>
      <c r="Q41">
        <v>15679</v>
      </c>
      <c r="R41">
        <v>230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c r="DZ41">
        <v>44128</v>
      </c>
      <c r="EA41">
        <v>15078</v>
      </c>
      <c r="EB41">
        <v>108</v>
      </c>
      <c r="EC41">
        <v>44129</v>
      </c>
      <c r="ED41">
        <v>15193</v>
      </c>
      <c r="EE41">
        <v>123</v>
      </c>
      <c r="EF41">
        <v>44130</v>
      </c>
      <c r="EG41">
        <v>15449</v>
      </c>
      <c r="EH41">
        <v>256</v>
      </c>
      <c r="EI41">
        <v>44131</v>
      </c>
      <c r="EJ41">
        <v>15679</v>
      </c>
      <c r="EK41">
        <v>230</v>
      </c>
    </row>
    <row r="42" spans="1:141">
      <c r="A42" t="str">
        <f t="shared" ca="1" si="1"/>
        <v/>
      </c>
      <c r="B42" s="4">
        <f t="shared" ca="1" si="2"/>
        <v>44132</v>
      </c>
      <c r="C42" s="11">
        <f t="shared" ca="1" si="0"/>
        <v>15919</v>
      </c>
      <c r="D42">
        <f t="shared" ref="D42" ca="1" si="10">C42-C41</f>
        <v>240</v>
      </c>
      <c r="E42" s="11">
        <f t="shared" ca="1" si="4"/>
        <v>0</v>
      </c>
      <c r="F42" s="11">
        <f t="shared" ca="1" si="6"/>
        <v>240</v>
      </c>
      <c r="K42" s="3"/>
      <c r="M42" s="16">
        <v>44132</v>
      </c>
      <c r="N42">
        <v>15919</v>
      </c>
      <c r="O42">
        <v>240</v>
      </c>
      <c r="P42" s="16">
        <v>44132</v>
      </c>
      <c r="Q42">
        <v>15919</v>
      </c>
      <c r="R42">
        <v>240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c r="DZ42">
        <v>44129</v>
      </c>
      <c r="EA42">
        <v>15201</v>
      </c>
      <c r="EB42">
        <v>123</v>
      </c>
      <c r="EC42">
        <v>44130</v>
      </c>
      <c r="ED42">
        <v>15449</v>
      </c>
      <c r="EE42">
        <v>256</v>
      </c>
      <c r="EF42">
        <v>44131</v>
      </c>
      <c r="EG42">
        <v>15679</v>
      </c>
      <c r="EH42">
        <v>230</v>
      </c>
      <c r="EI42">
        <v>44132</v>
      </c>
      <c r="EJ42">
        <v>15919</v>
      </c>
      <c r="EK42">
        <v>240</v>
      </c>
    </row>
    <row r="43" spans="1:141">
      <c r="A43" t="str">
        <f t="shared" ca="1" si="1"/>
        <v/>
      </c>
      <c r="B43" s="4">
        <f t="shared" ca="1" si="2"/>
        <v>44133</v>
      </c>
      <c r="C43" s="11">
        <f t="shared" ca="1" si="0"/>
        <v>16156</v>
      </c>
      <c r="D43">
        <f t="shared" ref="D43" ca="1" si="11">C43-C42</f>
        <v>237</v>
      </c>
      <c r="E43" s="11">
        <f t="shared" ca="1" si="4"/>
        <v>0</v>
      </c>
      <c r="F43" s="11">
        <f t="shared" ca="1" si="6"/>
        <v>237</v>
      </c>
      <c r="G43" s="10"/>
      <c r="K43" s="3"/>
      <c r="M43" s="16">
        <v>44133</v>
      </c>
      <c r="N43">
        <v>16156</v>
      </c>
      <c r="O43">
        <v>237</v>
      </c>
      <c r="P43" s="16">
        <v>44133</v>
      </c>
      <c r="Q43">
        <v>16156</v>
      </c>
      <c r="R43">
        <v>237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c r="DZ43">
        <v>44130</v>
      </c>
      <c r="EA43">
        <v>15457</v>
      </c>
      <c r="EB43">
        <v>256</v>
      </c>
      <c r="EC43">
        <v>44131</v>
      </c>
      <c r="ED43">
        <v>15679</v>
      </c>
      <c r="EE43">
        <v>230</v>
      </c>
      <c r="EF43">
        <v>44132</v>
      </c>
      <c r="EG43">
        <v>15919</v>
      </c>
      <c r="EH43">
        <v>240</v>
      </c>
      <c r="EI43">
        <v>44133</v>
      </c>
      <c r="EJ43">
        <v>16156</v>
      </c>
      <c r="EK43">
        <v>237</v>
      </c>
    </row>
    <row r="44" spans="1:141" s="10" customFormat="1">
      <c r="A44" t="str">
        <f t="shared" ca="1" si="1"/>
        <v/>
      </c>
      <c r="B44" s="9">
        <f t="shared" ca="1" si="2"/>
        <v>44134</v>
      </c>
      <c r="C44" s="10">
        <f t="shared" ca="1" si="0"/>
        <v>16375</v>
      </c>
      <c r="D44" s="10">
        <f t="shared" ref="D44" ca="1" si="12">C44-C43</f>
        <v>219</v>
      </c>
      <c r="E44" s="10">
        <f t="shared" ca="1" si="4"/>
        <v>0</v>
      </c>
      <c r="F44" s="10">
        <f t="shared" ca="1" si="6"/>
        <v>219</v>
      </c>
      <c r="G44" s="10">
        <f ca="1">SUM(D44:D50)</f>
        <v>1442</v>
      </c>
      <c r="H44" s="10" t="str">
        <f ca="1">TEXT(G44/G37-1,"0 %")</f>
        <v>4 %</v>
      </c>
      <c r="I44" s="10">
        <f ca="1">SUM(D44:D57)</f>
        <v>2954</v>
      </c>
      <c r="K44" s="14"/>
      <c r="L44"/>
      <c r="M44" s="17">
        <v>44134</v>
      </c>
      <c r="N44" s="10">
        <v>16375</v>
      </c>
      <c r="O44" s="10">
        <v>219</v>
      </c>
      <c r="P44" s="17">
        <v>44134</v>
      </c>
      <c r="Q44" s="10">
        <v>16375</v>
      </c>
      <c r="R44" s="10">
        <v>219</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c r="DZ44" s="10">
        <v>44131</v>
      </c>
      <c r="EA44" s="10">
        <v>15687</v>
      </c>
      <c r="EB44" s="10">
        <v>230</v>
      </c>
      <c r="EC44" s="10">
        <v>44132</v>
      </c>
      <c r="ED44" s="10">
        <v>15919</v>
      </c>
      <c r="EE44" s="10">
        <v>240</v>
      </c>
      <c r="EF44" s="10">
        <v>44133</v>
      </c>
      <c r="EG44" s="10">
        <v>16156</v>
      </c>
      <c r="EH44" s="10">
        <v>237</v>
      </c>
      <c r="EI44" s="10">
        <v>44134</v>
      </c>
      <c r="EJ44" s="10">
        <v>16375</v>
      </c>
      <c r="EK44" s="10">
        <v>219</v>
      </c>
    </row>
    <row r="45" spans="1:141">
      <c r="A45" t="str">
        <f t="shared" ca="1" si="1"/>
        <v/>
      </c>
      <c r="B45" s="4">
        <f t="shared" ca="1" si="2"/>
        <v>44135</v>
      </c>
      <c r="C45" s="11">
        <f t="shared" ca="1" si="0"/>
        <v>16496</v>
      </c>
      <c r="D45">
        <f t="shared" ref="D45" ca="1" si="13">C45-C44</f>
        <v>121</v>
      </c>
      <c r="E45" s="11">
        <f t="shared" ca="1" si="4"/>
        <v>0</v>
      </c>
      <c r="F45" s="11">
        <f t="shared" ca="1" si="6"/>
        <v>121</v>
      </c>
      <c r="K45" s="3"/>
      <c r="M45" s="16">
        <v>44135</v>
      </c>
      <c r="N45">
        <v>16496</v>
      </c>
      <c r="O45">
        <v>121</v>
      </c>
      <c r="P45" s="16">
        <v>44135</v>
      </c>
      <c r="Q45">
        <v>16496</v>
      </c>
      <c r="R45">
        <v>121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c r="DZ45">
        <v>44132</v>
      </c>
      <c r="EA45">
        <v>15927</v>
      </c>
      <c r="EB45">
        <v>240</v>
      </c>
      <c r="EC45">
        <v>44133</v>
      </c>
      <c r="ED45">
        <v>16156</v>
      </c>
      <c r="EE45">
        <v>237</v>
      </c>
      <c r="EF45">
        <v>44134</v>
      </c>
      <c r="EG45">
        <v>16375</v>
      </c>
      <c r="EH45">
        <v>219</v>
      </c>
      <c r="EI45">
        <v>44135</v>
      </c>
      <c r="EJ45">
        <v>16496</v>
      </c>
      <c r="EK45">
        <v>121</v>
      </c>
    </row>
    <row r="46" spans="1:141">
      <c r="A46" t="str">
        <f t="shared" ca="1" si="1"/>
        <v/>
      </c>
      <c r="B46" s="4">
        <f t="shared" ca="1" si="2"/>
        <v>44136</v>
      </c>
      <c r="C46" s="11">
        <f t="shared" ca="1" si="0"/>
        <v>16646</v>
      </c>
      <c r="D46">
        <f t="shared" ref="D46" ca="1" si="14">C46-C45</f>
        <v>150</v>
      </c>
      <c r="E46" s="11">
        <f t="shared" ca="1" si="4"/>
        <v>0</v>
      </c>
      <c r="F46" s="11">
        <f t="shared" ca="1" si="6"/>
        <v>150</v>
      </c>
      <c r="K46" s="3"/>
      <c r="M46" s="16">
        <v>44136</v>
      </c>
      <c r="N46">
        <v>16646</v>
      </c>
      <c r="O46">
        <v>150</v>
      </c>
      <c r="P46" s="16">
        <v>44136</v>
      </c>
      <c r="Q46">
        <v>16646</v>
      </c>
      <c r="R46">
        <v>150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c r="DZ46">
        <v>44133</v>
      </c>
      <c r="EA46">
        <v>16164</v>
      </c>
      <c r="EB46">
        <v>237</v>
      </c>
      <c r="EC46">
        <v>44134</v>
      </c>
      <c r="ED46">
        <v>16375</v>
      </c>
      <c r="EE46">
        <v>219</v>
      </c>
      <c r="EF46">
        <v>44135</v>
      </c>
      <c r="EG46">
        <v>16496</v>
      </c>
      <c r="EH46">
        <v>121</v>
      </c>
      <c r="EI46">
        <v>44136</v>
      </c>
      <c r="EJ46">
        <v>16646</v>
      </c>
      <c r="EK46">
        <v>150</v>
      </c>
    </row>
    <row r="47" spans="1:141">
      <c r="A47" t="str">
        <f t="shared" ca="1" si="1"/>
        <v>Ma</v>
      </c>
      <c r="B47" s="4">
        <f t="shared" ca="1" si="2"/>
        <v>44137</v>
      </c>
      <c r="C47" s="11">
        <f t="shared" ca="1" si="0"/>
        <v>16927</v>
      </c>
      <c r="D47">
        <f t="shared" ref="D47" ca="1" si="15">C47-C46</f>
        <v>281</v>
      </c>
      <c r="E47" s="11">
        <f t="shared" ca="1" si="4"/>
        <v>0</v>
      </c>
      <c r="F47" s="11">
        <f t="shared" ca="1" si="6"/>
        <v>281</v>
      </c>
      <c r="J47" s="10">
        <f ca="1">SUM(D48:D54)</f>
        <v>1404</v>
      </c>
      <c r="K47" s="10" t="str">
        <f ca="1">TEXT(J47/J40-1,"0 %")</f>
        <v>-5 %</v>
      </c>
      <c r="M47" s="16">
        <v>44137</v>
      </c>
      <c r="N47">
        <v>16927</v>
      </c>
      <c r="O47">
        <v>281</v>
      </c>
      <c r="P47" s="16">
        <v>44137</v>
      </c>
      <c r="Q47">
        <v>16927</v>
      </c>
      <c r="R47">
        <v>281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c r="DZ47">
        <v>44134</v>
      </c>
      <c r="EA47">
        <v>16383</v>
      </c>
      <c r="EB47">
        <v>219</v>
      </c>
      <c r="EC47">
        <v>44135</v>
      </c>
      <c r="ED47">
        <v>16496</v>
      </c>
      <c r="EE47">
        <v>121</v>
      </c>
      <c r="EF47">
        <v>44136</v>
      </c>
      <c r="EG47">
        <v>16646</v>
      </c>
      <c r="EH47">
        <v>150</v>
      </c>
      <c r="EI47">
        <v>44137</v>
      </c>
      <c r="EJ47">
        <v>16927</v>
      </c>
      <c r="EK47">
        <v>281</v>
      </c>
    </row>
    <row r="48" spans="1:141">
      <c r="A48" t="str">
        <f t="shared" ca="1" si="1"/>
        <v/>
      </c>
      <c r="B48" s="4">
        <f t="shared" ca="1" si="2"/>
        <v>44138</v>
      </c>
      <c r="C48" s="11">
        <f t="shared" ca="1" si="0"/>
        <v>17168</v>
      </c>
      <c r="D48">
        <f t="shared" ref="D48" ca="1" si="16">C48-C47</f>
        <v>241</v>
      </c>
      <c r="E48" s="11">
        <f t="shared" ca="1" si="4"/>
        <v>0</v>
      </c>
      <c r="F48" s="11">
        <f t="shared" ca="1" si="6"/>
        <v>241</v>
      </c>
      <c r="K48" s="3"/>
      <c r="M48" s="16">
        <v>44138</v>
      </c>
      <c r="N48">
        <v>17168</v>
      </c>
      <c r="O48">
        <v>241</v>
      </c>
      <c r="P48" s="16">
        <v>44138</v>
      </c>
      <c r="Q48">
        <v>17168</v>
      </c>
      <c r="R48">
        <v>241</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c r="DZ48">
        <v>44135</v>
      </c>
      <c r="EA48">
        <v>16504</v>
      </c>
      <c r="EB48">
        <v>121</v>
      </c>
      <c r="EC48">
        <v>44136</v>
      </c>
      <c r="ED48">
        <v>16646</v>
      </c>
      <c r="EE48">
        <v>150</v>
      </c>
      <c r="EF48">
        <v>44137</v>
      </c>
      <c r="EG48">
        <v>16927</v>
      </c>
      <c r="EH48">
        <v>281</v>
      </c>
      <c r="EI48">
        <v>44138</v>
      </c>
      <c r="EJ48">
        <v>17168</v>
      </c>
      <c r="EK48">
        <v>241</v>
      </c>
    </row>
    <row r="49" spans="1:141">
      <c r="A49" t="str">
        <f t="shared" ca="1" si="1"/>
        <v/>
      </c>
      <c r="B49" s="4">
        <f t="shared" ca="1" si="2"/>
        <v>44139</v>
      </c>
      <c r="C49" s="11">
        <f t="shared" ca="1" si="0"/>
        <v>17378</v>
      </c>
      <c r="D49">
        <f t="shared" ref="D49" ca="1" si="17">C49-C48</f>
        <v>210</v>
      </c>
      <c r="E49" s="11">
        <f t="shared" ca="1" si="4"/>
        <v>0</v>
      </c>
      <c r="F49" s="11">
        <f t="shared" ca="1" si="6"/>
        <v>210</v>
      </c>
      <c r="K49" s="3"/>
      <c r="M49" s="16">
        <v>44139</v>
      </c>
      <c r="N49">
        <v>17378</v>
      </c>
      <c r="O49">
        <v>210</v>
      </c>
      <c r="P49" s="16">
        <v>44139</v>
      </c>
      <c r="Q49">
        <v>17378</v>
      </c>
      <c r="R49">
        <v>210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c r="DZ49">
        <v>44136</v>
      </c>
      <c r="EA49">
        <v>16654</v>
      </c>
      <c r="EB49">
        <v>150</v>
      </c>
      <c r="EC49">
        <v>44137</v>
      </c>
      <c r="ED49">
        <v>16927</v>
      </c>
      <c r="EE49">
        <v>281</v>
      </c>
      <c r="EF49">
        <v>44138</v>
      </c>
      <c r="EG49">
        <v>17168</v>
      </c>
      <c r="EH49">
        <v>241</v>
      </c>
      <c r="EI49">
        <v>44139</v>
      </c>
      <c r="EJ49">
        <v>17378</v>
      </c>
      <c r="EK49">
        <v>210</v>
      </c>
    </row>
    <row r="50" spans="1:141">
      <c r="A50" t="str">
        <f t="shared" ca="1" si="1"/>
        <v/>
      </c>
      <c r="B50" s="4">
        <f t="shared" ca="1" si="2"/>
        <v>44140</v>
      </c>
      <c r="C50" s="11">
        <f t="shared" ca="1" si="0"/>
        <v>17598</v>
      </c>
      <c r="D50">
        <f t="shared" ref="D50" ca="1" si="18">C50-C49</f>
        <v>220</v>
      </c>
      <c r="E50" s="11">
        <f t="shared" ca="1" si="4"/>
        <v>0</v>
      </c>
      <c r="F50" s="11">
        <f ca="1">VLOOKUP(B50,Previous,3,FALSE)</f>
        <v>220</v>
      </c>
      <c r="K50" s="3"/>
      <c r="M50" s="16">
        <v>44140</v>
      </c>
      <c r="N50">
        <v>17598</v>
      </c>
      <c r="O50">
        <v>220</v>
      </c>
      <c r="P50" s="16">
        <v>44140</v>
      </c>
      <c r="Q50">
        <v>17598</v>
      </c>
      <c r="R50">
        <v>220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c r="DZ50">
        <v>44137</v>
      </c>
      <c r="EA50">
        <v>16935</v>
      </c>
      <c r="EB50">
        <v>281</v>
      </c>
      <c r="EC50">
        <v>44138</v>
      </c>
      <c r="ED50">
        <v>17168</v>
      </c>
      <c r="EE50">
        <v>241</v>
      </c>
      <c r="EF50">
        <v>44139</v>
      </c>
      <c r="EG50">
        <v>17378</v>
      </c>
      <c r="EH50">
        <v>210</v>
      </c>
      <c r="EI50">
        <v>44140</v>
      </c>
      <c r="EJ50">
        <v>17598</v>
      </c>
      <c r="EK50">
        <v>220</v>
      </c>
    </row>
    <row r="51" spans="1:141" s="10" customFormat="1">
      <c r="A51" t="str">
        <f t="shared" ca="1" si="1"/>
        <v/>
      </c>
      <c r="B51" s="9">
        <f t="shared" ca="1" si="2"/>
        <v>44141</v>
      </c>
      <c r="C51" s="10">
        <f t="shared" ca="1" si="0"/>
        <v>17792</v>
      </c>
      <c r="D51" s="10">
        <f t="shared" ref="D51" ca="1" si="19">C51-C50</f>
        <v>194</v>
      </c>
      <c r="E51" s="10">
        <f t="shared" ca="1" si="4"/>
        <v>-2</v>
      </c>
      <c r="F51" s="10">
        <f t="shared" ca="1" si="6"/>
        <v>196</v>
      </c>
      <c r="G51" s="10">
        <f ca="1">SUM(D51:D57)</f>
        <v>1512</v>
      </c>
      <c r="H51" s="10" t="str">
        <f ca="1">TEXT(G51/G44-1,"0 %")</f>
        <v>5 %</v>
      </c>
      <c r="I51" s="10">
        <f ca="1">SUM(D51:D64)</f>
        <v>3149</v>
      </c>
      <c r="K51" s="14"/>
      <c r="L51"/>
      <c r="M51" s="17">
        <v>44141</v>
      </c>
      <c r="N51" s="10">
        <v>17794</v>
      </c>
      <c r="O51" s="10">
        <v>196</v>
      </c>
      <c r="P51" s="17">
        <v>44141</v>
      </c>
      <c r="Q51" s="10">
        <v>17792</v>
      </c>
      <c r="R51" s="10">
        <v>194</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c r="DZ51" s="10">
        <v>44138</v>
      </c>
      <c r="EA51" s="10">
        <v>17176</v>
      </c>
      <c r="EB51" s="10">
        <v>241</v>
      </c>
      <c r="EC51" s="10">
        <v>44139</v>
      </c>
      <c r="ED51" s="10">
        <v>17378</v>
      </c>
      <c r="EE51" s="10">
        <v>210</v>
      </c>
      <c r="EF51" s="10">
        <v>44140</v>
      </c>
      <c r="EG51" s="10">
        <v>17598</v>
      </c>
      <c r="EH51" s="10">
        <v>220</v>
      </c>
      <c r="EI51" s="10">
        <v>44141</v>
      </c>
      <c r="EJ51" s="10">
        <v>17794</v>
      </c>
      <c r="EK51" s="10">
        <v>196</v>
      </c>
    </row>
    <row r="52" spans="1:141">
      <c r="A52" t="str">
        <f t="shared" ca="1" si="1"/>
        <v/>
      </c>
      <c r="B52" s="4">
        <f t="shared" ca="1" si="2"/>
        <v>44142</v>
      </c>
      <c r="C52" s="11">
        <f t="shared" ca="1" si="0"/>
        <v>17922</v>
      </c>
      <c r="D52">
        <f t="shared" ref="D52:D63" ca="1" si="20">C52-C51</f>
        <v>130</v>
      </c>
      <c r="E52" s="11">
        <f t="shared" ca="1" si="4"/>
        <v>0</v>
      </c>
      <c r="F52" s="11">
        <f t="shared" ca="1" si="6"/>
        <v>130</v>
      </c>
      <c r="G52" s="10"/>
      <c r="K52" s="3"/>
      <c r="M52" s="16">
        <v>44142</v>
      </c>
      <c r="N52">
        <v>17924</v>
      </c>
      <c r="O52">
        <v>130</v>
      </c>
      <c r="P52" s="16">
        <v>44142</v>
      </c>
      <c r="Q52">
        <v>17922</v>
      </c>
      <c r="R52">
        <v>130</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c r="DZ52">
        <v>44139</v>
      </c>
      <c r="EA52">
        <v>17385</v>
      </c>
      <c r="EB52">
        <v>209</v>
      </c>
      <c r="EC52">
        <v>44140</v>
      </c>
      <c r="ED52">
        <v>17598</v>
      </c>
      <c r="EE52">
        <v>220</v>
      </c>
      <c r="EF52">
        <v>44141</v>
      </c>
      <c r="EG52">
        <v>17794</v>
      </c>
      <c r="EH52">
        <v>196</v>
      </c>
      <c r="EI52">
        <v>44142</v>
      </c>
      <c r="EJ52">
        <v>17924</v>
      </c>
      <c r="EK52">
        <v>130</v>
      </c>
    </row>
    <row r="53" spans="1:141">
      <c r="A53" t="str">
        <f t="shared" ca="1" si="1"/>
        <v/>
      </c>
      <c r="B53" s="4">
        <f t="shared" ca="1" si="2"/>
        <v>44143</v>
      </c>
      <c r="C53" s="11">
        <f t="shared" ca="1" si="0"/>
        <v>18055</v>
      </c>
      <c r="D53">
        <f t="shared" ca="1" si="20"/>
        <v>133</v>
      </c>
      <c r="E53" s="11">
        <f t="shared" ca="1" si="4"/>
        <v>-1</v>
      </c>
      <c r="F53" s="11">
        <f t="shared" ca="1" si="6"/>
        <v>134</v>
      </c>
      <c r="J53" s="13"/>
      <c r="K53" s="3"/>
      <c r="M53" s="16">
        <v>44143</v>
      </c>
      <c r="N53">
        <v>18058</v>
      </c>
      <c r="O53">
        <v>134</v>
      </c>
      <c r="P53" s="16">
        <v>44143</v>
      </c>
      <c r="Q53">
        <v>18055</v>
      </c>
      <c r="R53">
        <v>133</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c r="DZ53">
        <v>44140</v>
      </c>
      <c r="EA53">
        <v>17604</v>
      </c>
      <c r="EB53">
        <v>219</v>
      </c>
      <c r="EC53">
        <v>44141</v>
      </c>
      <c r="ED53">
        <v>17792</v>
      </c>
      <c r="EE53">
        <v>194</v>
      </c>
      <c r="EF53">
        <v>44142</v>
      </c>
      <c r="EG53">
        <v>17924</v>
      </c>
      <c r="EH53">
        <v>130</v>
      </c>
      <c r="EI53">
        <v>44143</v>
      </c>
      <c r="EJ53">
        <v>18058</v>
      </c>
      <c r="EK53">
        <v>134</v>
      </c>
    </row>
    <row r="54" spans="1:141">
      <c r="A54" t="str">
        <f t="shared" ca="1" si="1"/>
        <v>Ma</v>
      </c>
      <c r="B54" s="4">
        <f t="shared" ca="1" si="2"/>
        <v>44144</v>
      </c>
      <c r="C54" s="11">
        <f t="shared" ca="1" si="0"/>
        <v>18331</v>
      </c>
      <c r="D54">
        <f t="shared" ca="1" si="20"/>
        <v>276</v>
      </c>
      <c r="E54" s="11">
        <f t="shared" ca="1" si="4"/>
        <v>-1</v>
      </c>
      <c r="F54" s="11">
        <f t="shared" ca="1" si="6"/>
        <v>277</v>
      </c>
      <c r="J54" s="10">
        <f ca="1">SUM(D55:D61)</f>
        <v>1735</v>
      </c>
      <c r="K54" s="10" t="str">
        <f ca="1">TEXT(J54/J47-1,"0 %")</f>
        <v>24 %</v>
      </c>
      <c r="M54" s="16">
        <v>44144</v>
      </c>
      <c r="N54">
        <v>18335</v>
      </c>
      <c r="O54">
        <v>277</v>
      </c>
      <c r="P54" s="16">
        <v>44144</v>
      </c>
      <c r="Q54">
        <v>18331</v>
      </c>
      <c r="R54">
        <v>276</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c r="DZ54">
        <v>44141</v>
      </c>
      <c r="EA54">
        <v>17798</v>
      </c>
      <c r="EB54">
        <v>194</v>
      </c>
      <c r="EC54">
        <v>44142</v>
      </c>
      <c r="ED54">
        <v>17922</v>
      </c>
      <c r="EE54">
        <v>130</v>
      </c>
      <c r="EF54">
        <v>44143</v>
      </c>
      <c r="EG54">
        <v>18058</v>
      </c>
      <c r="EH54">
        <v>134</v>
      </c>
      <c r="EI54">
        <v>44144</v>
      </c>
      <c r="EJ54">
        <v>18335</v>
      </c>
      <c r="EK54">
        <v>277</v>
      </c>
    </row>
    <row r="55" spans="1:141">
      <c r="A55" t="str">
        <f t="shared" ca="1" si="1"/>
        <v/>
      </c>
      <c r="B55" s="4">
        <f t="shared" ca="1" si="2"/>
        <v>44145</v>
      </c>
      <c r="C55" s="11">
        <f t="shared" ca="1" si="0"/>
        <v>18544</v>
      </c>
      <c r="D55">
        <f t="shared" ca="1" si="20"/>
        <v>213</v>
      </c>
      <c r="E55" s="11">
        <f t="shared" ca="1" si="4"/>
        <v>-3</v>
      </c>
      <c r="F55" s="11">
        <f t="shared" ca="1" si="6"/>
        <v>216</v>
      </c>
      <c r="I55" s="10"/>
      <c r="J55" s="10"/>
      <c r="K55" s="3"/>
      <c r="M55" s="16">
        <v>44145</v>
      </c>
      <c r="N55">
        <v>18551</v>
      </c>
      <c r="O55">
        <v>216</v>
      </c>
      <c r="P55" s="16">
        <v>44145</v>
      </c>
      <c r="Q55">
        <v>18544</v>
      </c>
      <c r="R55">
        <v>213</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c r="DZ55">
        <v>44142</v>
      </c>
      <c r="EA55">
        <v>17926</v>
      </c>
      <c r="EB55">
        <v>128</v>
      </c>
      <c r="EC55">
        <v>44143</v>
      </c>
      <c r="ED55">
        <v>18055</v>
      </c>
      <c r="EE55">
        <v>133</v>
      </c>
      <c r="EF55">
        <v>44144</v>
      </c>
      <c r="EG55">
        <v>18335</v>
      </c>
      <c r="EH55">
        <v>277</v>
      </c>
      <c r="EI55">
        <v>44145</v>
      </c>
      <c r="EJ55">
        <v>18551</v>
      </c>
      <c r="EK55">
        <v>216</v>
      </c>
    </row>
    <row r="56" spans="1:141">
      <c r="A56" t="str">
        <f t="shared" ca="1" si="1"/>
        <v/>
      </c>
      <c r="B56" s="4">
        <f t="shared" ca="1" si="2"/>
        <v>44146</v>
      </c>
      <c r="C56" s="11">
        <f t="shared" ca="1" si="0"/>
        <v>18840</v>
      </c>
      <c r="D56">
        <f t="shared" ca="1" si="20"/>
        <v>296</v>
      </c>
      <c r="E56" s="11">
        <f t="shared" ca="1" si="4"/>
        <v>7</v>
      </c>
      <c r="F56" s="11">
        <f t="shared" ca="1" si="6"/>
        <v>289</v>
      </c>
      <c r="K56" s="3"/>
      <c r="M56" s="16">
        <v>44146</v>
      </c>
      <c r="N56">
        <v>18840</v>
      </c>
      <c r="O56">
        <v>289</v>
      </c>
      <c r="P56" s="16">
        <v>44146</v>
      </c>
      <c r="Q56">
        <v>18840</v>
      </c>
      <c r="R56">
        <v>296</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c r="DZ56">
        <v>44143</v>
      </c>
      <c r="EA56">
        <v>18060</v>
      </c>
      <c r="EB56">
        <v>134</v>
      </c>
      <c r="EC56">
        <v>44144</v>
      </c>
      <c r="ED56">
        <v>18331</v>
      </c>
      <c r="EE56">
        <v>276</v>
      </c>
      <c r="EF56">
        <v>44145</v>
      </c>
      <c r="EG56">
        <v>18549</v>
      </c>
      <c r="EH56">
        <v>214</v>
      </c>
      <c r="EI56">
        <v>44146</v>
      </c>
      <c r="EJ56">
        <v>18840</v>
      </c>
      <c r="EK56">
        <v>289</v>
      </c>
    </row>
    <row r="57" spans="1:141">
      <c r="A57" t="str">
        <f ca="1">IF(WEEKDAY(B57,2)=1,"Ma","")</f>
        <v/>
      </c>
      <c r="B57" s="4">
        <f t="shared" ca="1" si="2"/>
        <v>44147</v>
      </c>
      <c r="C57" s="11">
        <f t="shared" ca="1" si="0"/>
        <v>19110</v>
      </c>
      <c r="D57">
        <f t="shared" ca="1" si="20"/>
        <v>270</v>
      </c>
      <c r="E57" s="11">
        <f t="shared" ca="1" si="4"/>
        <v>29</v>
      </c>
      <c r="F57" s="11">
        <f t="shared" ca="1" si="6"/>
        <v>241</v>
      </c>
      <c r="J57" s="13"/>
      <c r="K57" s="3"/>
      <c r="M57" s="16">
        <v>44147</v>
      </c>
      <c r="N57">
        <v>19081</v>
      </c>
      <c r="O57">
        <v>241</v>
      </c>
      <c r="P57" s="16">
        <v>44147</v>
      </c>
      <c r="Q57">
        <v>19110</v>
      </c>
      <c r="R57">
        <v>270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c r="DZ57">
        <v>44144</v>
      </c>
      <c r="EA57">
        <v>18339</v>
      </c>
      <c r="EB57">
        <v>279</v>
      </c>
      <c r="EC57">
        <v>44145</v>
      </c>
      <c r="ED57">
        <v>18542</v>
      </c>
      <c r="EE57">
        <v>211</v>
      </c>
      <c r="EF57">
        <v>44146</v>
      </c>
      <c r="EG57">
        <v>18837</v>
      </c>
      <c r="EH57">
        <v>288</v>
      </c>
      <c r="EI57">
        <v>44147</v>
      </c>
      <c r="EJ57">
        <v>19081</v>
      </c>
      <c r="EK57">
        <v>241</v>
      </c>
    </row>
    <row r="58" spans="1:141" s="10" customFormat="1">
      <c r="A58" t="str">
        <f t="shared" ca="1" si="1"/>
        <v/>
      </c>
      <c r="B58" s="9">
        <f t="shared" ca="1" si="2"/>
        <v>44148</v>
      </c>
      <c r="C58" s="10">
        <f t="shared" ca="1" si="0"/>
        <v>19370</v>
      </c>
      <c r="D58" s="10">
        <f t="shared" ca="1" si="20"/>
        <v>260</v>
      </c>
      <c r="E58" s="10">
        <f t="shared" ca="1" si="4"/>
        <v>33</v>
      </c>
      <c r="F58" s="10">
        <f t="shared" ca="1" si="6"/>
        <v>227</v>
      </c>
      <c r="G58" s="10">
        <f ca="1">SUM(D58:D64)</f>
        <v>1637</v>
      </c>
      <c r="K58" s="14"/>
      <c r="L58"/>
      <c r="M58" s="17">
        <v>44148</v>
      </c>
      <c r="N58" s="10">
        <v>19308</v>
      </c>
      <c r="O58" s="10">
        <v>227</v>
      </c>
      <c r="P58" s="17">
        <v>44148</v>
      </c>
      <c r="Q58" s="10">
        <v>19370</v>
      </c>
      <c r="R58" s="10">
        <v>260</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c r="DZ58" s="10">
        <v>44145</v>
      </c>
      <c r="EA58" s="10">
        <v>18547</v>
      </c>
      <c r="EB58" s="10">
        <v>208</v>
      </c>
      <c r="EC58" s="10">
        <v>44146</v>
      </c>
      <c r="ED58" s="10">
        <v>18830</v>
      </c>
      <c r="EE58" s="10">
        <v>288</v>
      </c>
      <c r="EF58" s="10">
        <v>44147</v>
      </c>
      <c r="EG58" s="10">
        <v>19078</v>
      </c>
      <c r="EH58" s="10">
        <v>241</v>
      </c>
      <c r="EI58" s="10">
        <v>44148</v>
      </c>
      <c r="EJ58" s="10">
        <v>19308</v>
      </c>
      <c r="EK58" s="10">
        <v>227</v>
      </c>
    </row>
    <row r="59" spans="1:141">
      <c r="A59" t="str">
        <f t="shared" ca="1" si="1"/>
        <v/>
      </c>
      <c r="B59" s="4">
        <f t="shared" ca="1" si="2"/>
        <v>44149</v>
      </c>
      <c r="C59" s="11">
        <f t="shared" ca="1" si="0"/>
        <v>19519</v>
      </c>
      <c r="D59">
        <f t="shared" ca="1" si="20"/>
        <v>149</v>
      </c>
      <c r="E59" s="11">
        <f t="shared" ca="1" si="4"/>
        <v>15</v>
      </c>
      <c r="F59" s="11">
        <f t="shared" ca="1" si="6"/>
        <v>134</v>
      </c>
      <c r="H59" s="10"/>
      <c r="J59" s="13"/>
      <c r="K59" s="3"/>
      <c r="M59" s="16">
        <v>44149</v>
      </c>
      <c r="N59">
        <v>19442</v>
      </c>
      <c r="O59">
        <v>134</v>
      </c>
      <c r="P59" s="16">
        <v>44149</v>
      </c>
      <c r="Q59">
        <v>19519</v>
      </c>
      <c r="R59">
        <v>149</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c r="DZ59">
        <v>44146</v>
      </c>
      <c r="EA59">
        <v>18827</v>
      </c>
      <c r="EB59">
        <v>280</v>
      </c>
      <c r="EC59">
        <v>44147</v>
      </c>
      <c r="ED59">
        <v>19065</v>
      </c>
      <c r="EE59">
        <v>235</v>
      </c>
      <c r="EF59">
        <v>44148</v>
      </c>
      <c r="EG59">
        <v>19300</v>
      </c>
      <c r="EH59">
        <v>222</v>
      </c>
      <c r="EI59">
        <v>44149</v>
      </c>
      <c r="EJ59">
        <v>19442</v>
      </c>
      <c r="EK59">
        <v>134</v>
      </c>
    </row>
    <row r="60" spans="1:141">
      <c r="A60" t="str">
        <f t="shared" ca="1" si="1"/>
        <v/>
      </c>
      <c r="B60" s="4">
        <f t="shared" ca="1" si="2"/>
        <v>44150</v>
      </c>
      <c r="C60" s="11">
        <f t="shared" ca="1" si="0"/>
        <v>19706</v>
      </c>
      <c r="D60">
        <f t="shared" ca="1" si="20"/>
        <v>187</v>
      </c>
      <c r="E60" s="11">
        <f t="shared" ca="1" si="4"/>
        <v>20</v>
      </c>
      <c r="F60" s="11">
        <f t="shared" ca="1" si="6"/>
        <v>167</v>
      </c>
      <c r="J60" s="4"/>
      <c r="K60" s="3"/>
      <c r="M60" s="16">
        <v>44150</v>
      </c>
      <c r="N60">
        <v>19609</v>
      </c>
      <c r="O60">
        <v>167</v>
      </c>
      <c r="P60" s="16">
        <v>44150</v>
      </c>
      <c r="Q60">
        <v>19706</v>
      </c>
      <c r="R60">
        <v>187</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c r="DZ60">
        <v>44147</v>
      </c>
      <c r="EA60">
        <v>19057</v>
      </c>
      <c r="EB60">
        <v>230</v>
      </c>
      <c r="EC60">
        <v>44148</v>
      </c>
      <c r="ED60">
        <v>19283</v>
      </c>
      <c r="EE60">
        <v>218</v>
      </c>
      <c r="EF60">
        <v>44149</v>
      </c>
      <c r="EG60">
        <v>19432</v>
      </c>
      <c r="EH60">
        <v>132</v>
      </c>
      <c r="EI60">
        <v>44150</v>
      </c>
      <c r="EJ60">
        <v>19609</v>
      </c>
      <c r="EK60">
        <v>167</v>
      </c>
    </row>
    <row r="61" spans="1:141">
      <c r="A61" t="str">
        <f t="shared" ref="A61:A64" ca="1" si="21">IF(WEEKDAY(B61,2)=1,"Ma","")</f>
        <v>Ma</v>
      </c>
      <c r="B61" s="4">
        <f t="shared" ca="1" si="2"/>
        <v>44151</v>
      </c>
      <c r="C61" s="11">
        <f t="shared" ca="1" si="0"/>
        <v>20066</v>
      </c>
      <c r="D61">
        <f t="shared" ca="1" si="20"/>
        <v>360</v>
      </c>
      <c r="E61" s="11">
        <f t="shared" ca="1" si="4"/>
        <v>45</v>
      </c>
      <c r="F61" s="11">
        <f t="shared" ca="1" si="6"/>
        <v>315</v>
      </c>
      <c r="J61" s="4"/>
      <c r="K61" s="3"/>
      <c r="M61" s="16">
        <v>44151</v>
      </c>
      <c r="N61">
        <v>19924</v>
      </c>
      <c r="O61">
        <v>315</v>
      </c>
      <c r="P61" s="16">
        <v>44151</v>
      </c>
      <c r="Q61">
        <v>20066</v>
      </c>
      <c r="R61">
        <v>360</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c r="DZ61">
        <v>44148</v>
      </c>
      <c r="EA61">
        <v>19264</v>
      </c>
      <c r="EB61">
        <v>207</v>
      </c>
      <c r="EC61">
        <v>44149</v>
      </c>
      <c r="ED61">
        <v>19408</v>
      </c>
      <c r="EE61">
        <v>125</v>
      </c>
      <c r="EF61">
        <v>44150</v>
      </c>
      <c r="EG61">
        <v>19592</v>
      </c>
      <c r="EH61">
        <v>160</v>
      </c>
      <c r="EI61">
        <v>44151</v>
      </c>
      <c r="EJ61">
        <v>19924</v>
      </c>
      <c r="EK61">
        <v>315</v>
      </c>
    </row>
    <row r="62" spans="1:141">
      <c r="A62" t="str">
        <f t="shared" ca="1" si="21"/>
        <v/>
      </c>
      <c r="B62" s="4">
        <f t="shared" ca="1" si="2"/>
        <v>44152</v>
      </c>
      <c r="C62" s="11">
        <f t="shared" ca="1" si="0"/>
        <v>20420</v>
      </c>
      <c r="D62">
        <f t="shared" ca="1" si="20"/>
        <v>354</v>
      </c>
      <c r="E62" s="11">
        <f t="shared" ca="1" si="4"/>
        <v>58</v>
      </c>
      <c r="F62" s="11">
        <f t="shared" ca="1" si="6"/>
        <v>296</v>
      </c>
      <c r="J62" s="4"/>
      <c r="K62" s="3"/>
      <c r="M62" s="16">
        <v>44152</v>
      </c>
      <c r="N62">
        <v>20220</v>
      </c>
      <c r="O62">
        <v>296</v>
      </c>
      <c r="P62" s="16">
        <v>44152</v>
      </c>
      <c r="Q62">
        <v>20420</v>
      </c>
      <c r="R62">
        <v>354</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c r="DZ62">
        <v>44149</v>
      </c>
      <c r="EA62">
        <v>19363</v>
      </c>
      <c r="EB62">
        <v>99</v>
      </c>
      <c r="EC62">
        <v>44150</v>
      </c>
      <c r="ED62">
        <v>19549</v>
      </c>
      <c r="EE62">
        <v>141</v>
      </c>
      <c r="EF62">
        <v>44151</v>
      </c>
      <c r="EG62">
        <v>19862</v>
      </c>
      <c r="EH62">
        <v>270</v>
      </c>
      <c r="EI62">
        <v>44152</v>
      </c>
      <c r="EJ62">
        <v>20220</v>
      </c>
      <c r="EK62">
        <v>296</v>
      </c>
    </row>
    <row r="63" spans="1:141">
      <c r="A63" t="str">
        <f t="shared" ca="1" si="21"/>
        <v/>
      </c>
      <c r="B63" s="4">
        <f ca="1">B64-1</f>
        <v>44153</v>
      </c>
      <c r="C63" s="11">
        <f t="shared" ca="1" si="0"/>
        <v>20687</v>
      </c>
      <c r="D63">
        <f t="shared" ca="1" si="20"/>
        <v>267</v>
      </c>
      <c r="E63" s="11">
        <f t="shared" ca="1" si="4"/>
        <v>201</v>
      </c>
      <c r="F63" s="11">
        <f t="shared" ca="1" si="6"/>
        <v>66</v>
      </c>
      <c r="J63" s="4"/>
      <c r="K63" s="3"/>
      <c r="M63" s="16">
        <v>44153</v>
      </c>
      <c r="N63">
        <v>20286</v>
      </c>
      <c r="O63">
        <v>66</v>
      </c>
      <c r="P63" s="16">
        <v>44153</v>
      </c>
      <c r="Q63">
        <v>20687</v>
      </c>
      <c r="R63">
        <v>267</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c r="DZ63">
        <v>44150</v>
      </c>
      <c r="EA63">
        <v>19419</v>
      </c>
      <c r="EB63">
        <v>56</v>
      </c>
      <c r="EC63">
        <v>44151</v>
      </c>
      <c r="ED63">
        <v>19647</v>
      </c>
      <c r="EE63">
        <v>98</v>
      </c>
      <c r="EF63">
        <v>44152</v>
      </c>
      <c r="EG63">
        <v>19935</v>
      </c>
      <c r="EH63">
        <v>73</v>
      </c>
      <c r="EI63">
        <v>44153</v>
      </c>
      <c r="EJ63">
        <v>20286</v>
      </c>
      <c r="EK63">
        <v>66</v>
      </c>
    </row>
    <row r="64" spans="1:141" s="10" customFormat="1">
      <c r="A64" t="str">
        <f t="shared" ca="1" si="21"/>
        <v/>
      </c>
      <c r="B64" s="9">
        <f ca="1">B65-1</f>
        <v>44154</v>
      </c>
      <c r="C64" s="10">
        <f t="shared" ca="1" si="0"/>
        <v>20747</v>
      </c>
      <c r="D64" s="10">
        <f ca="1">C64-C63</f>
        <v>60</v>
      </c>
      <c r="E64" s="10">
        <f t="shared" ca="1" si="4"/>
        <v>60</v>
      </c>
      <c r="F64" s="10">
        <f t="shared" ca="1" si="6"/>
        <v>0</v>
      </c>
      <c r="J64" s="9"/>
      <c r="K64" s="14"/>
      <c r="M64" s="17">
        <v>44154</v>
      </c>
      <c r="N64" s="10">
        <v>20286</v>
      </c>
      <c r="O64" s="10">
        <v>0</v>
      </c>
      <c r="P64" s="17">
        <v>44154</v>
      </c>
      <c r="Q64" s="10">
        <v>20747</v>
      </c>
      <c r="R64" s="10">
        <v>60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c r="DZ64" s="10">
        <v>44151</v>
      </c>
      <c r="EA64" s="10">
        <v>19419</v>
      </c>
      <c r="EB64" s="10">
        <v>0</v>
      </c>
      <c r="EC64" s="10">
        <v>44152</v>
      </c>
      <c r="ED64" s="10">
        <v>19647</v>
      </c>
      <c r="EE64" s="10">
        <v>0</v>
      </c>
      <c r="EF64" s="10">
        <v>44153</v>
      </c>
      <c r="EG64" s="10">
        <v>19935</v>
      </c>
      <c r="EH64" s="10">
        <v>0</v>
      </c>
      <c r="EI64" s="10">
        <v>44154</v>
      </c>
      <c r="EJ64" s="10">
        <v>20286</v>
      </c>
      <c r="EK64" s="10">
        <v>0</v>
      </c>
    </row>
    <row r="65" spans="1:141">
      <c r="A65" t="str">
        <f ca="1">IF(WEEKDAY(B65,2)=1,"Ma","")</f>
        <v/>
      </c>
      <c r="B65" s="12">
        <f ca="1">FLOOR(NOW(),1)</f>
        <v>44155</v>
      </c>
      <c r="C65" s="11">
        <f t="shared" ca="1" si="0"/>
        <v>20747</v>
      </c>
      <c r="D65" s="11">
        <f ca="1">C65-C64</f>
        <v>0</v>
      </c>
      <c r="E65" s="11">
        <f ca="1">_xlfn.IFNA(D65-F65,"")</f>
        <v>0</v>
      </c>
      <c r="F65" s="11">
        <f t="shared" ca="1" si="6"/>
        <v>0</v>
      </c>
      <c r="K65" t="s">
        <v>309</v>
      </c>
      <c r="L65">
        <f ca="1">C65-N65</f>
        <v>461</v>
      </c>
      <c r="M65" s="16">
        <v>44155</v>
      </c>
      <c r="N65">
        <v>20286</v>
      </c>
      <c r="O65">
        <v>0</v>
      </c>
      <c r="P65" s="16">
        <v>44155</v>
      </c>
      <c r="Q65">
        <v>20747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c r="DZ65">
        <v>44152</v>
      </c>
      <c r="EA65">
        <v>19419</v>
      </c>
      <c r="EB65">
        <v>0</v>
      </c>
      <c r="EC65">
        <v>44153</v>
      </c>
      <c r="ED65">
        <v>19647</v>
      </c>
      <c r="EE65">
        <v>0</v>
      </c>
      <c r="EF65">
        <v>44154</v>
      </c>
      <c r="EG65">
        <v>19935</v>
      </c>
      <c r="EH65">
        <v>0</v>
      </c>
      <c r="EI65">
        <v>44155</v>
      </c>
      <c r="EJ65">
        <v>20286</v>
      </c>
      <c r="EK65">
        <v>0</v>
      </c>
    </row>
    <row r="67" spans="1:141">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2020-11-20T10:27:17Z</dcterms:modified>
</cp:coreProperties>
</file>