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BDED86A9-2D5B-43B4-9759-75F26E09A5DD}"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J70" i="2" l="1"/>
  <c r="EJ71" i="2"/>
  <c r="EJ72" i="2"/>
  <c r="EJ73" i="2"/>
  <c r="EJ74" i="2"/>
  <c r="EJ75" i="2"/>
  <c r="EJ76" i="2"/>
  <c r="EJ77" i="2"/>
  <c r="EJ78" i="2"/>
  <c r="EJ69" i="2"/>
  <c r="EX67" i="2"/>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E35" i="2" s="1"/>
  <c r="P28" i="2" s="1"/>
  <c r="G37" i="2"/>
  <c r="H44" i="2" s="1"/>
  <c r="A32" i="2" l="1"/>
  <c r="A31" i="2"/>
</calcChain>
</file>

<file path=xl/sharedStrings.xml><?xml version="1.0" encoding="utf-8"?>
<sst xmlns="http://schemas.openxmlformats.org/spreadsheetml/2006/main" count="690" uniqueCount="361">
  <si>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</si>
  <si>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</si>
  <si>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</si>
  <si>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</si>
  <si>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</si>
  <si>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</si>
  <si>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</si>
  <si>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</si>
  <si>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</si>
  <si>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</si>
  <si>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</si>
  <si>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</si>
  <si>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</si>
  <si>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</si>
  <si>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</si>
  <si>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</si>
  <si>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</si>
  <si>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</si>
  <si>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</si>
  <si>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</si>
  <si>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</si>
  <si>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</si>
  <si>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</si>
  <si>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</si>
  <si>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</si>
  <si>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</si>
  <si>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</si>
  <si>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</si>
  <si>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</si>
  <si>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</si>
  <si>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</si>
  <si>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</si>
  <si>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</si>
  <si>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</si>
  <si>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</si>
  <si>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</si>
  <si>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</si>
  <si>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</si>
  <si>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</si>
  <si>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</si>
  <si>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</si>
  <si>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</si>
  <si>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</si>
  <si>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</si>
  <si>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</si>
  <si>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</si>
  <si>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</si>
  <si>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</si>
  <si>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</si>
  <si>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</si>
  <si>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</si>
  <si>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</si>
  <si>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</si>
  <si>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</si>
  <si>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</si>
  <si>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</si>
  <si>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</si>
  <si>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</si>
  <si>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</si>
  <si>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</si>
  <si>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</si>
  <si>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</si>
  <si>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</si>
  <si>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</si>
  <si>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</si>
  <si>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</si>
  <si>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</si>
  <si>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</si>
  <si>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</si>
  <si>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</si>
  <si>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</si>
  <si>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</si>
  <si>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</si>
  <si>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</si>
  <si>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</si>
  <si>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</si>
  <si>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</si>
  <si>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</si>
  <si>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</si>
  <si>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</si>
  <si>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</si>
  <si>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</si>
  <si>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</si>
  <si>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</si>
  <si>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</si>
  <si>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</si>
  <si>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</si>
  <si>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</si>
  <si>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</si>
  <si>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</si>
  <si>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</si>
  <si>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</si>
  <si>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</si>
  <si>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</si>
  <si>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</si>
  <si>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</si>
  <si>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</si>
  <si>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</si>
  <si>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</si>
  <si>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</si>
  <si>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</si>
  <si>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</si>
  <si>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</si>
  <si>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</si>
  <si>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</si>
  <si>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</si>
  <si>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</si>
  <si>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</si>
  <si>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</si>
  <si>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</si>
  <si>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</si>
  <si>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</si>
  <si>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</si>
  <si>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</si>
  <si>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</si>
  <si>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</si>
  <si>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</si>
  <si>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</si>
  <si>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</si>
  <si>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</si>
  <si>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</si>
  <si>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</si>
  <si>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</si>
  <si>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</si>
  <si>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</si>
  <si>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</si>
  <si>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</si>
  <si>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</si>
  <si>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</si>
  <si>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</si>
  <si>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</si>
  <si>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</si>
  <si>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</si>
  <si>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</si>
  <si>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</si>
  <si>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</si>
  <si>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</si>
  <si>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</si>
  <si>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</si>
  <si>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</si>
  <si>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</si>
  <si>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</si>
  <si>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</si>
  <si>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</si>
  <si>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</si>
  <si>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</si>
  <si>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</si>
  <si>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</si>
  <si>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</si>
  <si>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</si>
  <si>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</si>
  <si>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</si>
  <si>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</si>
  <si>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</si>
  <si>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</si>
  <si>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</si>
  <si>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</si>
  <si>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</si>
  <si>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</si>
  <si>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</si>
  <si>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</si>
  <si>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</si>
  <si>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</si>
  <si>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</si>
  <si>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</si>
  <si>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</si>
  <si>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</si>
  <si>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</si>
  <si>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</si>
  <si>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</si>
  <si>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</si>
  <si>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</si>
  <si>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</si>
  <si>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</si>
  <si>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</si>
  <si>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</si>
  <si>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</si>
  <si>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</si>
  <si>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</si>
  <si>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</si>
  <si>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</si>
  <si>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</si>
  <si>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</si>
  <si>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</si>
  <si>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</si>
  <si>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</si>
  <si>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</si>
  <si>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</si>
  <si>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</si>
  <si>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</si>
  <si>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</si>
  <si>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</si>
  <si>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</si>
  <si>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</si>
  <si>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</si>
  <si>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</si>
  <si>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</si>
  <si>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</si>
  <si>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</si>
  <si>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</si>
  <si>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</si>
  <si>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</si>
  <si>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</si>
  <si>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</si>
  <si>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</si>
  <si>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</si>
  <si>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</si>
  <si>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</si>
  <si>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</si>
  <si>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</si>
  <si>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</si>
  <si>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</si>
  <si>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</si>
  <si>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</si>
  <si>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</si>
  <si>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</si>
  <si>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</si>
  <si>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</si>
  <si>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</si>
  <si>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</si>
  <si>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</si>
  <si>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</si>
  <si>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</si>
  <si>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</si>
  <si>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</si>
  <si>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</si>
  <si>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</si>
  <si>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</si>
  <si>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</si>
  <si>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</si>
  <si>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</si>
  <si>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</si>
  <si>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</si>
  <si>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</si>
  <si>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</si>
  <si>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</si>
  <si>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</si>
  <si>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</si>
  <si>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</si>
  <si>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</si>
  <si>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</si>
  <si>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</si>
  <si>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</si>
  <si>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</si>
  <si>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</si>
  <si>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</si>
  <si>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</si>
  <si>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</si>
  <si>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</si>
  <si>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</si>
  <si>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</si>
  <si>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</si>
  <si>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</si>
  <si>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</si>
  <si>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</si>
  <si>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</si>
  <si>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</si>
  <si>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</si>
  <si>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</si>
  <si>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</si>
  <si>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</si>
  <si>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</si>
  <si>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</si>
  <si>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</si>
  <si>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</si>
  <si>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</si>
  <si>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</si>
  <si>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</si>
  <si>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</si>
  <si>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</si>
  <si>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</si>
  <si>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</si>
  <si>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</si>
  <si>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</si>
  <si>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</si>
  <si>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</si>
  <si>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</si>
  <si>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</si>
  <si>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</si>
  <si>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</si>
  <si>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</si>
  <si>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</si>
  <si>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</si>
  <si>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</si>
  <si>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</si>
  <si>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</si>
  <si>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</si>
  <si>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</si>
  <si>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</si>
  <si>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</si>
  <si>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</si>
  <si>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</si>
  <si>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</si>
  <si>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</si>
  <si>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</si>
  <si>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</si>
  <si>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</si>
  <si>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</si>
  <si>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</si>
  <si>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</si>
  <si>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</si>
  <si>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</si>
  <si>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</si>
  <si>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</si>
  <si>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</si>
  <si>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</si>
  <si>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</si>
  <si>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</si>
  <si>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</si>
  <si>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</si>
  <si>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</si>
  <si>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</si>
  <si>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</si>
  <si>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</si>
  <si>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</si>
  <si>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</si>
  <si>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</si>
  <si>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</si>
  <si>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</si>
  <si>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</si>
  <si>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</si>
  <si>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</si>
  <si>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</si>
  <si>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</si>
  <si>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</si>
  <si>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</si>
  <si>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</si>
  <si>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</si>
  <si>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</si>
  <si>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</si>
  <si>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</si>
  <si>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</si>
  <si>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</si>
  <si>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</si>
  <si>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</si>
  <si>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</si>
  <si>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</si>
  <si>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</si>
  <si>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</si>
  <si>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</si>
  <si>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</si>
  <si>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</si>
  <si>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</si>
  <si>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</si>
  <si>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</si>
  <si>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</si>
  <si>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</si>
  <si>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</si>
  <si>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</si>
  <si>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</si>
  <si>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</si>
  <si>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</si>
  <si>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</si>
  <si>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</si>
  <si>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</si>
  <si>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</si>
  <si>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</si>
  <si>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</si>
  <si>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</si>
  <si>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</si>
  <si>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2020-11-23T10:22:51.046Z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</si>
</sst>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19.11 saakka. Suurin arvo 471, joka 19.11. Uusimpien 4 päivien arvot tulevat viiveellä, joten ne jätetty pois kuvaajasta 23.11.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1"/>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strCache>
            </c:strRef>
          </c:cat>
          <c:val>
            <c:numRef>
              <c:f>[0]!Plot</c:f>
              <c:numCache>
                <c:formatCode>General</c:formatCode>
                <c:ptCount val="3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243</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221</c:v>
                </c:pt>
                <c:pt idx="310">
                  <c:v>194</c:v>
                </c:pt>
                <c:pt idx="311">
                  <c:v>128</c:v>
                </c:pt>
                <c:pt idx="312">
                  <c:v>133</c:v>
                </c:pt>
                <c:pt idx="313">
                  <c:v>275</c:v>
                </c:pt>
                <c:pt idx="314">
                  <c:v>205</c:v>
                </c:pt>
                <c:pt idx="315">
                  <c:v>291</c:v>
                </c:pt>
                <c:pt idx="316">
                  <c:v>277</c:v>
                </c:pt>
                <c:pt idx="317">
                  <c:v>261</c:v>
                </c:pt>
                <c:pt idx="318">
                  <c:v>143</c:v>
                </c:pt>
                <c:pt idx="319">
                  <c:v>181</c:v>
                </c:pt>
                <c:pt idx="320">
                  <c:v>392</c:v>
                </c:pt>
                <c:pt idx="321">
                  <c:v>393</c:v>
                </c:pt>
                <c:pt idx="322">
                  <c:v>369</c:v>
                </c:pt>
                <c:pt idx="323">
                  <c:v>471</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3772</c:v>
                </c:pt>
                <c:pt idx="1">
                  <c:v>3510</c:v>
                </c:pt>
                <c:pt idx="2">
                  <c:v>3589</c:v>
                </c:pt>
                <c:pt idx="3">
                  <c:v>3639</c:v>
                </c:pt>
                <c:pt idx="4">
                  <c:v>3265</c:v>
                </c:pt>
                <c:pt idx="5">
                  <c:v>2016</c:v>
                </c:pt>
                <c:pt idx="6">
                  <c:v>2145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44130</c:v>
                </c:pt>
                <c:pt idx="1">
                  <c:v>44131</c:v>
                </c:pt>
                <c:pt idx="2">
                  <c:v>44132</c:v>
                </c:pt>
                <c:pt idx="3">
                  <c:v>44133</c:v>
                </c:pt>
                <c:pt idx="4">
                  <c:v>44134</c:v>
                </c:pt>
                <c:pt idx="5">
                  <c:v>44135</c:v>
                </c:pt>
                <c:pt idx="6">
                  <c:v>44136</c:v>
                </c:pt>
                <c:pt idx="7">
                  <c:v>44137</c:v>
                </c:pt>
                <c:pt idx="8">
                  <c:v>44138</c:v>
                </c:pt>
                <c:pt idx="9">
                  <c:v>44139</c:v>
                </c:pt>
                <c:pt idx="10">
                  <c:v>44140</c:v>
                </c:pt>
                <c:pt idx="11">
                  <c:v>44141</c:v>
                </c:pt>
                <c:pt idx="12">
                  <c:v>44142</c:v>
                </c:pt>
                <c:pt idx="13">
                  <c:v>44143</c:v>
                </c:pt>
                <c:pt idx="14">
                  <c:v>44144</c:v>
                </c:pt>
                <c:pt idx="15">
                  <c:v>44145</c:v>
                </c:pt>
                <c:pt idx="16">
                  <c:v>44146</c:v>
                </c:pt>
                <c:pt idx="17">
                  <c:v>44147</c:v>
                </c:pt>
                <c:pt idx="18">
                  <c:v>44148</c:v>
                </c:pt>
                <c:pt idx="19">
                  <c:v>44149</c:v>
                </c:pt>
                <c:pt idx="20">
                  <c:v>44150</c:v>
                </c:pt>
                <c:pt idx="21">
                  <c:v>44151</c:v>
                </c:pt>
                <c:pt idx="22">
                  <c:v>44152</c:v>
                </c:pt>
                <c:pt idx="23">
                  <c:v>44153</c:v>
                </c:pt>
                <c:pt idx="24">
                  <c:v>44154</c:v>
                </c:pt>
                <c:pt idx="25">
                  <c:v>44155</c:v>
                </c:pt>
                <c:pt idx="26">
                  <c:v>44156</c:v>
                </c:pt>
                <c:pt idx="27">
                  <c:v>44157</c:v>
                </c:pt>
              </c:numCache>
            </c:numRef>
          </c:cat>
          <c:val>
            <c:numRef>
              <c:f>Kuvaajat!$D$37:$D$64</c:f>
              <c:numCache>
                <c:formatCode>General</c:formatCode>
                <c:ptCount val="28"/>
                <c:pt idx="0">
                  <c:v>256</c:v>
                </c:pt>
                <c:pt idx="1">
                  <c:v>230</c:v>
                </c:pt>
                <c:pt idx="2">
                  <c:v>240</c:v>
                </c:pt>
                <c:pt idx="3">
                  <c:v>237</c:v>
                </c:pt>
                <c:pt idx="4">
                  <c:v>219</c:v>
                </c:pt>
                <c:pt idx="5">
                  <c:v>121</c:v>
                </c:pt>
                <c:pt idx="6">
                  <c:v>150</c:v>
                </c:pt>
                <c:pt idx="7">
                  <c:v>281</c:v>
                </c:pt>
                <c:pt idx="8">
                  <c:v>241</c:v>
                </c:pt>
                <c:pt idx="9">
                  <c:v>210</c:v>
                </c:pt>
                <c:pt idx="10">
                  <c:v>221</c:v>
                </c:pt>
                <c:pt idx="11">
                  <c:v>194</c:v>
                </c:pt>
                <c:pt idx="12">
                  <c:v>128</c:v>
                </c:pt>
                <c:pt idx="13">
                  <c:v>133</c:v>
                </c:pt>
                <c:pt idx="14">
                  <c:v>275</c:v>
                </c:pt>
                <c:pt idx="15">
                  <c:v>205</c:v>
                </c:pt>
                <c:pt idx="16">
                  <c:v>291</c:v>
                </c:pt>
                <c:pt idx="17">
                  <c:v>277</c:v>
                </c:pt>
                <c:pt idx="18">
                  <c:v>261</c:v>
                </c:pt>
                <c:pt idx="19">
                  <c:v>143</c:v>
                </c:pt>
                <c:pt idx="20">
                  <c:v>181</c:v>
                </c:pt>
                <c:pt idx="21">
                  <c:v>392</c:v>
                </c:pt>
                <c:pt idx="22">
                  <c:v>393</c:v>
                </c:pt>
                <c:pt idx="23">
                  <c:v>369</c:v>
                </c:pt>
                <c:pt idx="24">
                  <c:v>471</c:v>
                </c:pt>
                <c:pt idx="25">
                  <c:v>367</c:v>
                </c:pt>
                <c:pt idx="26">
                  <c:v>190</c:v>
                </c:pt>
                <c:pt idx="27">
                  <c:v>66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N=21936. Uusimmat 23.11 lisäykset punaisella n=297.</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26</c:v>
                </c:pt>
                <c:pt idx="1">
                  <c:v>27.10</c:v>
                </c:pt>
                <c:pt idx="2">
                  <c:v>28.10</c:v>
                </c:pt>
                <c:pt idx="3">
                  <c:v>29.10</c:v>
                </c:pt>
                <c:pt idx="4">
                  <c:v>30.10</c:v>
                </c:pt>
                <c:pt idx="5">
                  <c:v>31.10</c:v>
                </c:pt>
                <c:pt idx="6">
                  <c:v>1.11</c:v>
                </c:pt>
                <c:pt idx="7">
                  <c:v>Ma 2</c:v>
                </c:pt>
                <c:pt idx="8">
                  <c:v>3.11</c:v>
                </c:pt>
                <c:pt idx="9">
                  <c:v>4.11</c:v>
                </c:pt>
                <c:pt idx="10">
                  <c:v>5.11</c:v>
                </c:pt>
                <c:pt idx="11">
                  <c:v>6.11</c:v>
                </c:pt>
                <c:pt idx="12">
                  <c:v>7.11</c:v>
                </c:pt>
                <c:pt idx="13">
                  <c:v>8.11</c:v>
                </c:pt>
                <c:pt idx="14">
                  <c:v>Ma 9</c:v>
                </c:pt>
                <c:pt idx="15">
                  <c:v>10.11</c:v>
                </c:pt>
                <c:pt idx="16">
                  <c:v>11.11</c:v>
                </c:pt>
                <c:pt idx="17">
                  <c:v>12.11</c:v>
                </c:pt>
                <c:pt idx="18">
                  <c:v>13.11</c:v>
                </c:pt>
                <c:pt idx="19">
                  <c:v>14.11</c:v>
                </c:pt>
                <c:pt idx="20">
                  <c:v>15.11</c:v>
                </c:pt>
                <c:pt idx="21">
                  <c:v>Ma 16</c:v>
                </c:pt>
                <c:pt idx="22">
                  <c:v>17.11</c:v>
                </c:pt>
                <c:pt idx="23">
                  <c:v>18.11</c:v>
                </c:pt>
                <c:pt idx="24">
                  <c:v>19.11</c:v>
                </c:pt>
                <c:pt idx="25">
                  <c:v>20.11</c:v>
                </c:pt>
                <c:pt idx="26">
                  <c:v>21.11</c:v>
                </c:pt>
                <c:pt idx="27">
                  <c:v>22.11</c:v>
                </c:pt>
              </c:strCache>
            </c:strRef>
          </c:cat>
          <c:val>
            <c:numRef>
              <c:f>Kuvaajat!$D$37:$D$64</c:f>
              <c:numCache>
                <c:formatCode>General</c:formatCode>
                <c:ptCount val="28"/>
                <c:pt idx="0">
                  <c:v>256</c:v>
                </c:pt>
                <c:pt idx="1">
                  <c:v>230</c:v>
                </c:pt>
                <c:pt idx="2">
                  <c:v>240</c:v>
                </c:pt>
                <c:pt idx="3">
                  <c:v>237</c:v>
                </c:pt>
                <c:pt idx="4">
                  <c:v>219</c:v>
                </c:pt>
                <c:pt idx="5">
                  <c:v>121</c:v>
                </c:pt>
                <c:pt idx="6">
                  <c:v>150</c:v>
                </c:pt>
                <c:pt idx="7">
                  <c:v>281</c:v>
                </c:pt>
                <c:pt idx="8">
                  <c:v>241</c:v>
                </c:pt>
                <c:pt idx="9">
                  <c:v>210</c:v>
                </c:pt>
                <c:pt idx="10">
                  <c:v>221</c:v>
                </c:pt>
                <c:pt idx="11">
                  <c:v>194</c:v>
                </c:pt>
                <c:pt idx="12">
                  <c:v>128</c:v>
                </c:pt>
                <c:pt idx="13">
                  <c:v>133</c:v>
                </c:pt>
                <c:pt idx="14">
                  <c:v>275</c:v>
                </c:pt>
                <c:pt idx="15">
                  <c:v>205</c:v>
                </c:pt>
                <c:pt idx="16">
                  <c:v>291</c:v>
                </c:pt>
                <c:pt idx="17">
                  <c:v>277</c:v>
                </c:pt>
                <c:pt idx="18">
                  <c:v>261</c:v>
                </c:pt>
                <c:pt idx="19">
                  <c:v>143</c:v>
                </c:pt>
                <c:pt idx="20">
                  <c:v>181</c:v>
                </c:pt>
                <c:pt idx="21">
                  <c:v>392</c:v>
                </c:pt>
                <c:pt idx="22">
                  <c:v>393</c:v>
                </c:pt>
                <c:pt idx="23">
                  <c:v>369</c:v>
                </c:pt>
                <c:pt idx="24">
                  <c:v>471</c:v>
                </c:pt>
                <c:pt idx="25">
                  <c:v>367</c:v>
                </c:pt>
                <c:pt idx="26">
                  <c:v>190</c:v>
                </c:pt>
                <c:pt idx="27">
                  <c:v>66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3-5C1C-4458-A867-43F9070E6F8E}"/>
                </c:ext>
              </c:extLst>
            </c:dLbl>
            <c:dLbl>
              <c:idx val="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4-5C1C-4458-A867-43F9070E6F8E}"/>
                </c:ext>
              </c:extLst>
            </c:dLbl>
            <c:dLbl>
              <c:idx val="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5-5C1C-4458-A867-43F9070E6F8E}"/>
                </c:ext>
              </c:extLst>
            </c:dLbl>
            <c:dLbl>
              <c:idx val="3"/>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6-5C1C-4458-A867-43F9070E6F8E}"/>
                </c:ext>
              </c:extLst>
            </c:dLbl>
            <c:dLbl>
              <c:idx val="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7-5C1C-4458-A867-43F9070E6F8E}"/>
                </c:ext>
              </c:extLst>
            </c:dLbl>
            <c:dLbl>
              <c:idx val="5"/>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8-5C1C-4458-A867-43F9070E6F8E}"/>
                </c:ext>
              </c:extLst>
            </c:dLbl>
            <c:dLbl>
              <c:idx val="6"/>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9-5C1C-4458-A867-43F9070E6F8E}"/>
                </c:ext>
              </c:extLst>
            </c:dLbl>
            <c:dLbl>
              <c:idx val="7"/>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A-5C1C-4458-A867-43F9070E6F8E}"/>
                </c:ext>
              </c:extLst>
            </c:dLbl>
            <c:dLbl>
              <c:idx val="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B-5C1C-4458-A867-43F9070E6F8E}"/>
                </c:ext>
              </c:extLst>
            </c:dLbl>
            <c:dLbl>
              <c:idx val="9"/>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C-5C1C-4458-A867-43F9070E6F8E}"/>
                </c:ext>
              </c:extLst>
            </c:dLbl>
            <c:dLbl>
              <c:idx val="1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D-5C1C-4458-A867-43F9070E6F8E}"/>
                </c:ext>
              </c:extLst>
            </c:dLbl>
            <c:dLbl>
              <c:idx val="1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E-5C1C-4458-A867-43F9070E6F8E}"/>
                </c:ext>
              </c:extLst>
            </c:dLbl>
            <c:dLbl>
              <c:idx val="1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F-5C1C-4458-A867-43F9070E6F8E}"/>
                </c:ext>
              </c:extLst>
            </c:dLbl>
            <c:dLbl>
              <c:idx val="13"/>
              <c:layout>
                <c:manualLayout>
                  <c:x val="5.4023369148274792E-3"/>
                  <c:y val="-3.5038461188261578E-3"/>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0-5C1C-4458-A867-43F9070E6F8E}"/>
                </c:ext>
              </c:extLst>
            </c:dLbl>
            <c:dLbl>
              <c:idx val="1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1-5C1C-4458-A867-43F9070E6F8E}"/>
                </c:ext>
              </c:extLst>
            </c:dLbl>
            <c:dLbl>
              <c:idx val="15"/>
              <c:layout>
                <c:manualLayout>
                  <c:x val="6.7529211435343496E-3"/>
                  <c:y val="6.8330793534646522E-2"/>
                </c:manualLayout>
              </c:layout>
              <c:spPr>
                <a:noFill/>
                <a:ln>
                  <a:noFill/>
                </a:ln>
                <a:effectLst/>
              </c:spPr>
              <c:txPr>
                <a:bodyPr rot="0" spcFirstLastPara="1" vertOverflow="clip" horzOverflow="clip" vert="horz" wrap="square" lIns="38100" tIns="19050" rIns="38100" bIns="19050" anchor="b"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3.2839402348400111E-2"/>
                      <c:h val="4.199704053441447E-2"/>
                    </c:manualLayout>
                  </c15:layout>
                </c:ext>
                <c:ext xmlns:c16="http://schemas.microsoft.com/office/drawing/2014/chart" uri="{C3380CC4-5D6E-409C-BE32-E72D297353CC}">
                  <c16:uniqueId val="{00000012-5C1C-4458-A867-43F9070E6F8E}"/>
                </c:ext>
              </c:extLst>
            </c:dLbl>
            <c:dLbl>
              <c:idx val="16"/>
              <c:layout>
                <c:manualLayout>
                  <c:x val="6.7529211435342499E-3"/>
                  <c:y val="-7.0082440678938818E-3"/>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01-5C1C-4458-A867-43F9070E6F8E}"/>
                </c:ext>
              </c:extLst>
            </c:dLbl>
            <c:dLbl>
              <c:idx val="17"/>
              <c:layout>
                <c:manualLayout>
                  <c:x val="5.4023369148273803E-3"/>
                  <c:y val="0"/>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3-5C1C-4458-A867-43F9070E6F8E}"/>
                </c:ext>
              </c:extLst>
            </c:dLbl>
            <c:dLbl>
              <c:idx val="1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4-5C1C-4458-A867-43F9070E6F8E}"/>
                </c:ext>
              </c:extLst>
            </c:dLbl>
            <c:dLbl>
              <c:idx val="19"/>
              <c:layout>
                <c:manualLayout>
                  <c:x val="5.4023369148274792E-3"/>
                  <c:y val="8.059480678077964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2-5C1C-4458-A867-43F9070E6F8E}"/>
                </c:ext>
              </c:extLst>
            </c:dLbl>
            <c:dLbl>
              <c:idx val="20"/>
              <c:layout>
                <c:manualLayout>
                  <c:x val="8.1635904186363462E-3"/>
                  <c:y val="9.0395035955879083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7.3534138839936938E-2"/>
                    </c:manualLayout>
                  </c15:layout>
                </c:ext>
                <c:ext xmlns:c16="http://schemas.microsoft.com/office/drawing/2014/chart" uri="{C3380CC4-5D6E-409C-BE32-E72D297353CC}">
                  <c16:uniqueId val="{00000002-B1BF-40F3-ACCA-3BA4D519DB9F}"/>
                </c:ext>
              </c:extLst>
            </c:dLbl>
            <c:dLbl>
              <c:idx val="21"/>
              <c:layout>
                <c:manualLayout>
                  <c:x val="5.414353924106525E-3"/>
                  <c:y val="-1.4561696414455413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1-B1BF-40F3-ACCA-3BA4D519DB9F}"/>
                </c:ext>
              </c:extLst>
            </c:dLbl>
            <c:dLbl>
              <c:idx val="22"/>
              <c:layout>
                <c:manualLayout>
                  <c:x val="4.0517526861204118E-3"/>
                  <c:y val="7.3586562712885759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5-5C1C-4458-A867-43F9070E6F8E}"/>
                </c:ext>
              </c:extLst>
            </c:dLbl>
            <c:dLbl>
              <c:idx val="23"/>
              <c:layout>
                <c:manualLayout>
                  <c:x val="5.4023369148274792E-3"/>
                  <c:y val="9.1107172882620463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6-5C1C-4458-A867-43F9070E6F8E}"/>
                </c:ext>
              </c:extLst>
            </c:dLbl>
            <c:dLbl>
              <c:idx val="24"/>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7-5C1C-4458-A867-43F9070E6F8E}"/>
                </c:ext>
              </c:extLst>
            </c:dLbl>
            <c:dLbl>
              <c:idx val="25"/>
              <c:layout>
                <c:manualLayout>
                  <c:x val="9.4540896009480888E-3"/>
                  <c:y val="-6.4241495165793158E-17"/>
                </c:manualLayout>
              </c:layout>
              <c:showLegendKey val="0"/>
              <c:showVal val="1"/>
              <c:showCatName val="0"/>
              <c:showSerName val="0"/>
              <c:showPercent val="0"/>
              <c:showBubbleSize val="0"/>
              <c:extLst>
                <c:ext xmlns:c15="http://schemas.microsoft.com/office/drawing/2012/chart" uri="{CE6537A1-D6FC-4f65-9D91-7224C49458BB}">
                  <c15:layout>
                    <c:manualLayout>
                      <c:w val="2.6579497620951197E-2"/>
                      <c:h val="4.9005284602308359E-2"/>
                    </c:manualLayout>
                  </c15:layout>
                </c:ext>
                <c:ext xmlns:c16="http://schemas.microsoft.com/office/drawing/2014/chart" uri="{C3380CC4-5D6E-409C-BE32-E72D297353CC}">
                  <c16:uniqueId val="{00000018-5C1C-4458-A867-43F9070E6F8E}"/>
                </c:ext>
              </c:extLst>
            </c:dLbl>
            <c:dLbl>
              <c:idx val="26"/>
              <c:layout>
                <c:manualLayout>
                  <c:x val="1.5923973655807538E-2"/>
                  <c:y val="-3.4694469519536142E-18"/>
                </c:manualLayout>
              </c:layout>
              <c:showLegendKey val="0"/>
              <c:showVal val="1"/>
              <c:showCatName val="0"/>
              <c:showSerName val="0"/>
              <c:showPercent val="0"/>
              <c:showBubbleSize val="0"/>
              <c:extLst>
                <c:ext xmlns:c15="http://schemas.microsoft.com/office/drawing/2012/chart" uri="{CE6537A1-D6FC-4f65-9D91-7224C49458BB}">
                  <c15:layout>
                    <c:manualLayout>
                      <c:w val="3.7978428511237179E-2"/>
                      <c:h val="4.9005284602308352E-2"/>
                    </c:manualLayout>
                  </c15:layout>
                </c:ext>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26</c:v>
                </c:pt>
                <c:pt idx="1">
                  <c:v>27.10</c:v>
                </c:pt>
                <c:pt idx="2">
                  <c:v>28.10</c:v>
                </c:pt>
                <c:pt idx="3">
                  <c:v>29.10</c:v>
                </c:pt>
                <c:pt idx="4">
                  <c:v>30.10</c:v>
                </c:pt>
                <c:pt idx="5">
                  <c:v>31.10</c:v>
                </c:pt>
                <c:pt idx="6">
                  <c:v>1.11</c:v>
                </c:pt>
                <c:pt idx="7">
                  <c:v>Ma 2</c:v>
                </c:pt>
                <c:pt idx="8">
                  <c:v>3.11</c:v>
                </c:pt>
                <c:pt idx="9">
                  <c:v>4.11</c:v>
                </c:pt>
                <c:pt idx="10">
                  <c:v>5.11</c:v>
                </c:pt>
                <c:pt idx="11">
                  <c:v>6.11</c:v>
                </c:pt>
                <c:pt idx="12">
                  <c:v>7.11</c:v>
                </c:pt>
                <c:pt idx="13">
                  <c:v>8.11</c:v>
                </c:pt>
                <c:pt idx="14">
                  <c:v>Ma 9</c:v>
                </c:pt>
                <c:pt idx="15">
                  <c:v>10.11</c:v>
                </c:pt>
                <c:pt idx="16">
                  <c:v>11.11</c:v>
                </c:pt>
                <c:pt idx="17">
                  <c:v>12.11</c:v>
                </c:pt>
                <c:pt idx="18">
                  <c:v>13.11</c:v>
                </c:pt>
                <c:pt idx="19">
                  <c:v>14.11</c:v>
                </c:pt>
                <c:pt idx="20">
                  <c:v>15.11</c:v>
                </c:pt>
                <c:pt idx="21">
                  <c:v>Ma 16</c:v>
                </c:pt>
                <c:pt idx="22">
                  <c:v>17.11</c:v>
                </c:pt>
                <c:pt idx="23">
                  <c:v>18.11</c:v>
                </c:pt>
                <c:pt idx="24">
                  <c:v>19.11</c:v>
                </c:pt>
                <c:pt idx="25">
                  <c:v>20.11</c:v>
                </c:pt>
                <c:pt idx="26">
                  <c:v>21.11</c:v>
                </c:pt>
                <c:pt idx="27">
                  <c:v>22.11</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0</c:v>
                </c:pt>
                <c:pt idx="18">
                  <c:v>0</c:v>
                </c:pt>
                <c:pt idx="19">
                  <c:v>-2</c:v>
                </c:pt>
                <c:pt idx="20">
                  <c:v>-1</c:v>
                </c:pt>
                <c:pt idx="21">
                  <c:v>0</c:v>
                </c:pt>
                <c:pt idx="22">
                  <c:v>-1</c:v>
                </c:pt>
                <c:pt idx="23">
                  <c:v>-3</c:v>
                </c:pt>
                <c:pt idx="24">
                  <c:v>63</c:v>
                </c:pt>
                <c:pt idx="25">
                  <c:v>61</c:v>
                </c:pt>
                <c:pt idx="26">
                  <c:v>115</c:v>
                </c:pt>
                <c:pt idx="27">
                  <c:v>66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163287</xdr:rowOff>
    </xdr:from>
    <xdr:to>
      <xdr:col>10</xdr:col>
      <xdr:colOff>506186</xdr:colOff>
      <xdr:row>24</xdr:row>
      <xdr:rowOff>117022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208108</xdr:colOff>
      <xdr:row>9</xdr:row>
      <xdr:rowOff>89646</xdr:rowOff>
    </xdr:from>
    <xdr:to>
      <xdr:col>14</xdr:col>
      <xdr:colOff>89647</xdr:colOff>
      <xdr:row>29</xdr:row>
      <xdr:rowOff>-1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7" activePane="bottomLeft" state="frozen"/>
      <selection pane="bottomLeft" activeCell="L15" sqref="L1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21936</v>
      </c>
      <c r="I1" s="8">
        <v>44158.506018518521</v>
      </c>
      <c r="J1" s="7">
        <f>MAX(Id)</f>
        <v>471</v>
      </c>
      <c r="K1" s="15">
        <f>VLOOKUP(J1,A:F,6,FALSE)</f>
        <v>44154.625</v>
      </c>
      <c r="L1" s="7" t="str">
        <f>"Päivittäisiä Korona tapauksia vuoden 2020 alusta lähtien "&amp;TEXT(MAX(F:F)-4,"p.kk")&amp;" saakka. Suurin arvo "&amp;J1&amp;", joka "&amp;TEXT(K1,"p.kk")&amp;". Uusimpien 4 päivien arvot tulevat viiveellä, joten ne jätetty pois kuvaajasta "&amp;TEXT(MAX(F:F),"p.kk")&amp;"."</f>
        <v>Päivittäisiä Korona tapauksia vuoden 2020 alusta lähtien 19.11 saakka. Suurin arvo 471, joka 19.11. Uusimpien 4 päivien arvot tulevat viiveellä, joten ne jätetty pois kuvaajasta 23.11.</v>
      </c>
      <c r="M1" s="7">
        <f>COUNT(Id)-5</f>
        <v>323</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1</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3772</v>
      </c>
    </row>
    <row r="31" spans="1:11">
      <c r="A31">
        <v>0</v>
      </c>
      <c r="B31" t="s">
        <v>263</v>
      </c>
      <c r="C31" t="s">
        <v>8</v>
      </c>
      <c r="E31" s="3">
        <f t="shared" si="0"/>
        <v>4</v>
      </c>
      <c r="F31" s="5">
        <v>43860.625</v>
      </c>
      <c r="H31" s="19" t="str">
        <f t="shared" si="1"/>
        <v/>
      </c>
      <c r="I31">
        <v>2</v>
      </c>
      <c r="J31" t="s">
        <v>303</v>
      </c>
      <c r="K31">
        <f t="shared" si="2"/>
        <v>3510</v>
      </c>
    </row>
    <row r="32" spans="1:11">
      <c r="A32">
        <v>0</v>
      </c>
      <c r="B32" t="s">
        <v>264</v>
      </c>
      <c r="C32" t="s">
        <v>8</v>
      </c>
      <c r="E32" s="3">
        <f t="shared" si="0"/>
        <v>5</v>
      </c>
      <c r="F32" s="5">
        <v>43861.625</v>
      </c>
      <c r="H32" s="19" t="str">
        <f t="shared" si="1"/>
        <v/>
      </c>
      <c r="I32">
        <v>3</v>
      </c>
      <c r="J32" t="s">
        <v>304</v>
      </c>
      <c r="K32">
        <f t="shared" si="2"/>
        <v>3589</v>
      </c>
    </row>
    <row r="33" spans="1:11">
      <c r="A33">
        <v>0</v>
      </c>
      <c r="B33" t="s">
        <v>265</v>
      </c>
      <c r="C33" t="s">
        <v>8</v>
      </c>
      <c r="E33" s="3">
        <f t="shared" si="0"/>
        <v>6</v>
      </c>
      <c r="F33" s="5">
        <v>43862.625</v>
      </c>
      <c r="H33" s="19" t="str">
        <f t="shared" si="1"/>
        <v/>
      </c>
      <c r="I33">
        <v>4</v>
      </c>
      <c r="J33" t="s">
        <v>305</v>
      </c>
      <c r="K33">
        <f t="shared" si="2"/>
        <v>3639</v>
      </c>
    </row>
    <row r="34" spans="1:11">
      <c r="A34">
        <v>0</v>
      </c>
      <c r="B34" t="s">
        <v>266</v>
      </c>
      <c r="C34" t="s">
        <v>8</v>
      </c>
      <c r="E34" s="3">
        <f t="shared" si="0"/>
        <v>7</v>
      </c>
      <c r="F34" s="5">
        <v>43863.625</v>
      </c>
      <c r="H34" s="19" t="str">
        <f t="shared" si="1"/>
        <v/>
      </c>
      <c r="I34">
        <v>5</v>
      </c>
      <c r="J34" t="s">
        <v>306</v>
      </c>
      <c r="K34">
        <f t="shared" si="2"/>
        <v>3265</v>
      </c>
    </row>
    <row r="35" spans="1:11">
      <c r="A35">
        <v>0</v>
      </c>
      <c r="B35" t="s">
        <v>267</v>
      </c>
      <c r="C35" t="s">
        <v>8</v>
      </c>
      <c r="E35" s="3">
        <f t="shared" si="0"/>
        <v>1</v>
      </c>
      <c r="F35" s="5">
        <v>43864.625</v>
      </c>
      <c r="H35" s="19" t="str">
        <f t="shared" si="1"/>
        <v>W6</v>
      </c>
      <c r="I35">
        <v>6</v>
      </c>
      <c r="J35" t="s">
        <v>307</v>
      </c>
      <c r="K35">
        <f t="shared" si="2"/>
        <v>2016</v>
      </c>
    </row>
    <row r="36" spans="1:11">
      <c r="A36">
        <v>0</v>
      </c>
      <c r="B36" t="s">
        <v>268</v>
      </c>
      <c r="C36" t="s">
        <v>8</v>
      </c>
      <c r="E36" s="3">
        <f t="shared" si="0"/>
        <v>2</v>
      </c>
      <c r="F36" s="5">
        <v>43865.625</v>
      </c>
      <c r="H36" s="19" t="str">
        <f t="shared" si="1"/>
        <v/>
      </c>
      <c r="I36">
        <v>7</v>
      </c>
      <c r="J36" t="s">
        <v>308</v>
      </c>
      <c r="K36">
        <f t="shared" si="2"/>
        <v>2145</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93</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124</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106</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56</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94</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6</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170</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289</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310</v>
      </c>
      <c r="C285" t="s">
        <v>8</v>
      </c>
      <c r="E285" s="3">
        <f t="shared" si="11"/>
        <v>6</v>
      </c>
      <c r="F285" s="5">
        <v>44114.625</v>
      </c>
      <c r="G285" t="str">
        <f t="shared" si="10"/>
        <v/>
      </c>
      <c r="H285" s="19" t="str">
        <f t="shared" si="12"/>
        <v/>
      </c>
    </row>
    <row r="286" spans="1:8">
      <c r="A286">
        <v>130</v>
      </c>
      <c r="B286" t="s">
        <v>311</v>
      </c>
      <c r="C286" t="s">
        <v>8</v>
      </c>
      <c r="E286" s="3">
        <f t="shared" si="11"/>
        <v>7</v>
      </c>
      <c r="F286" s="5">
        <v>44115.625</v>
      </c>
      <c r="G286" t="str">
        <f t="shared" si="10"/>
        <v/>
      </c>
      <c r="H286" s="19" t="str">
        <f t="shared" si="12"/>
        <v/>
      </c>
    </row>
    <row r="287" spans="1:8" s="10" customFormat="1">
      <c r="A287" s="10">
        <v>254</v>
      </c>
      <c r="B287" s="10" t="s">
        <v>315</v>
      </c>
      <c r="C287" s="10" t="s">
        <v>8</v>
      </c>
      <c r="E287" s="14">
        <f t="shared" si="11"/>
        <v>1</v>
      </c>
      <c r="F287" s="18">
        <v>44116.625</v>
      </c>
      <c r="G287" s="10" t="str">
        <f t="shared" si="10"/>
        <v>Maanantai</v>
      </c>
      <c r="H287" s="19" t="str">
        <f t="shared" si="12"/>
        <v>W42</v>
      </c>
    </row>
    <row r="288" spans="1:8">
      <c r="A288">
        <v>197</v>
      </c>
      <c r="B288" t="s">
        <v>316</v>
      </c>
      <c r="C288" t="s">
        <v>8</v>
      </c>
      <c r="E288" s="3">
        <f t="shared" si="11"/>
        <v>2</v>
      </c>
      <c r="F288" s="5">
        <v>44117.625</v>
      </c>
      <c r="G288" t="str">
        <f t="shared" si="10"/>
        <v/>
      </c>
      <c r="H288" s="19" t="str">
        <f t="shared" si="12"/>
        <v/>
      </c>
    </row>
    <row r="289" spans="1:8">
      <c r="A289">
        <v>201</v>
      </c>
      <c r="B289" t="s">
        <v>317</v>
      </c>
      <c r="C289" t="s">
        <v>8</v>
      </c>
      <c r="E289" s="3">
        <f t="shared" si="11"/>
        <v>3</v>
      </c>
      <c r="F289" s="5">
        <v>44118.625</v>
      </c>
      <c r="G289" t="str">
        <f t="shared" si="10"/>
        <v/>
      </c>
      <c r="H289" s="19" t="str">
        <f t="shared" si="12"/>
        <v/>
      </c>
    </row>
    <row r="290" spans="1:8">
      <c r="A290">
        <v>190</v>
      </c>
      <c r="B290" t="s">
        <v>318</v>
      </c>
      <c r="C290" t="s">
        <v>8</v>
      </c>
      <c r="E290" s="3">
        <f t="shared" si="11"/>
        <v>4</v>
      </c>
      <c r="F290" s="5">
        <v>44119.625</v>
      </c>
      <c r="G290" t="str">
        <f t="shared" si="10"/>
        <v/>
      </c>
      <c r="H290" s="19" t="str">
        <f t="shared" si="12"/>
        <v/>
      </c>
    </row>
    <row r="291" spans="1:8">
      <c r="A291">
        <v>192</v>
      </c>
      <c r="B291" t="s">
        <v>319</v>
      </c>
      <c r="C291" t="s">
        <v>8</v>
      </c>
      <c r="E291" s="3">
        <f t="shared" si="11"/>
        <v>5</v>
      </c>
      <c r="F291" s="5">
        <v>44120.625</v>
      </c>
      <c r="G291" t="str">
        <f t="shared" si="10"/>
        <v/>
      </c>
      <c r="H291" s="19" t="str">
        <f t="shared" si="12"/>
        <v/>
      </c>
    </row>
    <row r="292" spans="1:8">
      <c r="A292">
        <v>100</v>
      </c>
      <c r="B292" t="s">
        <v>320</v>
      </c>
      <c r="C292" t="s">
        <v>8</v>
      </c>
      <c r="E292" s="3">
        <f t="shared" si="11"/>
        <v>6</v>
      </c>
      <c r="F292" s="5">
        <v>44121.625</v>
      </c>
      <c r="G292" t="str">
        <f t="shared" si="10"/>
        <v/>
      </c>
      <c r="H292" s="19" t="str">
        <f t="shared" si="12"/>
        <v/>
      </c>
    </row>
    <row r="293" spans="1:8">
      <c r="A293">
        <v>127</v>
      </c>
      <c r="B293" t="s">
        <v>321</v>
      </c>
      <c r="C293" t="s">
        <v>8</v>
      </c>
      <c r="E293" s="3">
        <f t="shared" si="11"/>
        <v>7</v>
      </c>
      <c r="F293" s="5">
        <v>44122.625</v>
      </c>
      <c r="G293" t="str">
        <f t="shared" si="10"/>
        <v/>
      </c>
      <c r="H293" s="19" t="str">
        <f t="shared" si="12"/>
        <v/>
      </c>
    </row>
    <row r="294" spans="1:8" s="10" customFormat="1">
      <c r="A294" s="10">
        <v>243</v>
      </c>
      <c r="B294" s="10" t="s">
        <v>322</v>
      </c>
      <c r="C294" s="10" t="s">
        <v>8</v>
      </c>
      <c r="E294" s="14">
        <f t="shared" si="11"/>
        <v>1</v>
      </c>
      <c r="F294" s="18">
        <v>44123.625</v>
      </c>
      <c r="G294" s="10" t="str">
        <f t="shared" si="10"/>
        <v>Maanantai</v>
      </c>
      <c r="H294" s="19" t="str">
        <f t="shared" si="12"/>
        <v>W43</v>
      </c>
    </row>
    <row r="295" spans="1:8">
      <c r="A295">
        <v>163</v>
      </c>
      <c r="B295" t="s">
        <v>323</v>
      </c>
      <c r="C295" t="s">
        <v>8</v>
      </c>
      <c r="E295" s="3">
        <f t="shared" si="11"/>
        <v>2</v>
      </c>
      <c r="F295" s="5">
        <v>44124.625</v>
      </c>
      <c r="G295" t="str">
        <f t="shared" si="10"/>
        <v/>
      </c>
      <c r="H295" s="19" t="str">
        <f t="shared" si="12"/>
        <v/>
      </c>
    </row>
    <row r="296" spans="1:8">
      <c r="A296">
        <v>190</v>
      </c>
      <c r="B296" t="s">
        <v>324</v>
      </c>
      <c r="C296" t="s">
        <v>8</v>
      </c>
      <c r="E296" s="3">
        <f t="shared" si="11"/>
        <v>3</v>
      </c>
      <c r="F296" s="5">
        <v>44125.625</v>
      </c>
      <c r="G296" t="str">
        <f t="shared" si="10"/>
        <v/>
      </c>
      <c r="H296" s="19" t="str">
        <f t="shared" si="12"/>
        <v/>
      </c>
    </row>
    <row r="297" spans="1:8">
      <c r="A297">
        <v>218</v>
      </c>
      <c r="B297" t="s">
        <v>325</v>
      </c>
      <c r="C297" t="s">
        <v>8</v>
      </c>
      <c r="E297" s="3">
        <f t="shared" si="11"/>
        <v>4</v>
      </c>
      <c r="F297" s="5">
        <v>44126.625</v>
      </c>
      <c r="G297" t="str">
        <f t="shared" si="10"/>
        <v/>
      </c>
      <c r="H297" s="19" t="str">
        <f t="shared" si="12"/>
        <v/>
      </c>
    </row>
    <row r="298" spans="1:8">
      <c r="A298">
        <v>192</v>
      </c>
      <c r="B298" t="s">
        <v>326</v>
      </c>
      <c r="C298" t="s">
        <v>8</v>
      </c>
      <c r="E298" s="3">
        <f t="shared" si="11"/>
        <v>5</v>
      </c>
      <c r="F298" s="5">
        <v>44127.625</v>
      </c>
      <c r="G298" t="str">
        <f t="shared" si="10"/>
        <v/>
      </c>
      <c r="H298" s="19" t="str">
        <f t="shared" si="12"/>
        <v/>
      </c>
    </row>
    <row r="299" spans="1:8">
      <c r="A299">
        <v>108</v>
      </c>
      <c r="B299" t="s">
        <v>327</v>
      </c>
      <c r="C299" t="s">
        <v>8</v>
      </c>
      <c r="E299" s="3">
        <f t="shared" si="11"/>
        <v>6</v>
      </c>
      <c r="F299" s="5">
        <v>44128.625</v>
      </c>
      <c r="G299" t="str">
        <f t="shared" si="10"/>
        <v/>
      </c>
      <c r="H299" s="19" t="str">
        <f t="shared" si="12"/>
        <v/>
      </c>
    </row>
    <row r="300" spans="1:8">
      <c r="A300">
        <v>123</v>
      </c>
      <c r="B300" t="s">
        <v>328</v>
      </c>
      <c r="C300" t="s">
        <v>8</v>
      </c>
      <c r="E300" s="3">
        <f t="shared" si="11"/>
        <v>7</v>
      </c>
      <c r="F300" s="5">
        <v>44129.625</v>
      </c>
      <c r="G300" t="str">
        <f t="shared" si="10"/>
        <v/>
      </c>
      <c r="H300" s="19" t="str">
        <f t="shared" si="12"/>
        <v/>
      </c>
    </row>
    <row r="301" spans="1:8" s="10" customFormat="1">
      <c r="A301" s="10">
        <v>256</v>
      </c>
      <c r="B301" s="10" t="s">
        <v>330</v>
      </c>
      <c r="C301" s="10" t="s">
        <v>8</v>
      </c>
      <c r="E301" s="14">
        <f t="shared" si="11"/>
        <v>1</v>
      </c>
      <c r="F301" s="18">
        <v>44130.625</v>
      </c>
      <c r="G301" s="10" t="str">
        <f t="shared" si="10"/>
        <v>Maanantai</v>
      </c>
      <c r="H301" s="19" t="str">
        <f t="shared" si="12"/>
        <v>W44</v>
      </c>
    </row>
    <row r="302" spans="1:8">
      <c r="A302">
        <v>230</v>
      </c>
      <c r="B302" t="s">
        <v>331</v>
      </c>
      <c r="C302" t="s">
        <v>8</v>
      </c>
      <c r="E302" s="3">
        <f t="shared" si="11"/>
        <v>2</v>
      </c>
      <c r="F302" s="5">
        <v>44131.625</v>
      </c>
      <c r="G302" t="str">
        <f t="shared" si="10"/>
        <v/>
      </c>
      <c r="H302" s="19" t="str">
        <f t="shared" si="12"/>
        <v/>
      </c>
    </row>
    <row r="303" spans="1:8">
      <c r="A303">
        <v>240</v>
      </c>
      <c r="B303" t="s">
        <v>332</v>
      </c>
      <c r="C303" t="s">
        <v>8</v>
      </c>
      <c r="E303" s="3">
        <f t="shared" si="11"/>
        <v>3</v>
      </c>
      <c r="F303" s="5">
        <v>44132.625</v>
      </c>
      <c r="G303" t="str">
        <f t="shared" si="10"/>
        <v/>
      </c>
      <c r="H303" s="19" t="str">
        <f t="shared" si="12"/>
        <v/>
      </c>
    </row>
    <row r="304" spans="1:8">
      <c r="A304">
        <v>237</v>
      </c>
      <c r="B304" t="s">
        <v>333</v>
      </c>
      <c r="C304" t="s">
        <v>8</v>
      </c>
      <c r="E304" s="3">
        <f t="shared" si="11"/>
        <v>4</v>
      </c>
      <c r="F304" s="5">
        <v>44133.625</v>
      </c>
      <c r="G304" t="str">
        <f t="shared" si="10"/>
        <v/>
      </c>
      <c r="H304" s="19" t="str">
        <f t="shared" si="12"/>
        <v/>
      </c>
    </row>
    <row r="305" spans="1:8">
      <c r="A305">
        <v>219</v>
      </c>
      <c r="B305" t="s">
        <v>334</v>
      </c>
      <c r="C305" t="s">
        <v>8</v>
      </c>
      <c r="E305" s="3">
        <f t="shared" si="11"/>
        <v>5</v>
      </c>
      <c r="F305" s="5">
        <v>44134.625</v>
      </c>
      <c r="G305" t="str">
        <f t="shared" si="10"/>
        <v/>
      </c>
      <c r="H305" s="19" t="str">
        <f t="shared" si="12"/>
        <v/>
      </c>
    </row>
    <row r="306" spans="1:8">
      <c r="A306">
        <v>121</v>
      </c>
      <c r="B306" t="s">
        <v>335</v>
      </c>
      <c r="C306" t="s">
        <v>8</v>
      </c>
      <c r="E306" s="3">
        <f t="shared" si="11"/>
        <v>6</v>
      </c>
      <c r="F306" s="5">
        <v>44135.625</v>
      </c>
      <c r="G306" t="str">
        <f t="shared" si="10"/>
        <v/>
      </c>
      <c r="H306" s="19" t="str">
        <f t="shared" si="12"/>
        <v/>
      </c>
    </row>
    <row r="307" spans="1:8">
      <c r="A307">
        <v>150</v>
      </c>
      <c r="B307" t="s">
        <v>336</v>
      </c>
      <c r="C307" t="s">
        <v>8</v>
      </c>
      <c r="E307" s="3">
        <f t="shared" si="11"/>
        <v>7</v>
      </c>
      <c r="F307" s="5">
        <v>44136.625</v>
      </c>
      <c r="G307" t="str">
        <f t="shared" si="10"/>
        <v/>
      </c>
      <c r="H307" s="19" t="str">
        <f t="shared" si="12"/>
        <v/>
      </c>
    </row>
    <row r="308" spans="1:8" s="10" customFormat="1">
      <c r="A308" s="10">
        <v>281</v>
      </c>
      <c r="B308" s="10" t="s">
        <v>337</v>
      </c>
      <c r="C308" s="10" t="s">
        <v>8</v>
      </c>
      <c r="E308" s="14">
        <f t="shared" si="11"/>
        <v>1</v>
      </c>
      <c r="F308" s="18">
        <v>44137.625</v>
      </c>
      <c r="G308" s="10" t="str">
        <f>IF(WEEKDAY(F308,2)=1,"Maanantai","")</f>
        <v>Maanantai</v>
      </c>
      <c r="H308" s="19" t="str">
        <f>IF(WEEKDAY(F308,2)=1,"W"&amp;WEEKNUM(F308,14),"")</f>
        <v>W45</v>
      </c>
    </row>
    <row r="309" spans="1:8">
      <c r="A309">
        <v>241</v>
      </c>
      <c r="B309" t="s">
        <v>338</v>
      </c>
      <c r="C309" t="s">
        <v>8</v>
      </c>
      <c r="E309" s="3">
        <f t="shared" si="11"/>
        <v>2</v>
      </c>
      <c r="F309" s="5">
        <v>44138.625</v>
      </c>
      <c r="G309" s="10" t="str">
        <f t="shared" ref="G309:G344" si="13">IF(WEEKDAY(F309,2)=1,"Maanantai","")</f>
        <v/>
      </c>
      <c r="H309" s="19" t="str">
        <f t="shared" ref="H309:H366" si="14">IF(WEEKDAY(F309,2)=1,"W"&amp;WEEKNUM(F309,14),"")</f>
        <v/>
      </c>
    </row>
    <row r="310" spans="1:8">
      <c r="A310">
        <v>210</v>
      </c>
      <c r="B310" t="s">
        <v>339</v>
      </c>
      <c r="C310" t="s">
        <v>8</v>
      </c>
      <c r="E310" s="3">
        <f t="shared" si="11"/>
        <v>3</v>
      </c>
      <c r="F310" s="5">
        <v>44139.625</v>
      </c>
      <c r="G310" s="10" t="str">
        <f t="shared" si="13"/>
        <v/>
      </c>
      <c r="H310" s="19" t="str">
        <f t="shared" si="14"/>
        <v/>
      </c>
    </row>
    <row r="311" spans="1:8">
      <c r="A311">
        <v>221</v>
      </c>
      <c r="B311" t="s">
        <v>340</v>
      </c>
      <c r="C311" t="s">
        <v>8</v>
      </c>
      <c r="E311" s="3">
        <f t="shared" si="11"/>
        <v>4</v>
      </c>
      <c r="F311" s="5">
        <v>44140.625</v>
      </c>
      <c r="G311" s="10" t="str">
        <f t="shared" si="13"/>
        <v/>
      </c>
      <c r="H311" s="19" t="str">
        <f t="shared" si="14"/>
        <v/>
      </c>
    </row>
    <row r="312" spans="1:8">
      <c r="A312">
        <v>194</v>
      </c>
      <c r="B312" t="s">
        <v>341</v>
      </c>
      <c r="C312" t="s">
        <v>8</v>
      </c>
      <c r="E312" s="3">
        <f t="shared" si="11"/>
        <v>5</v>
      </c>
      <c r="F312" s="5">
        <v>44141.625</v>
      </c>
      <c r="G312" s="10" t="str">
        <f t="shared" si="13"/>
        <v/>
      </c>
      <c r="H312" s="19" t="str">
        <f t="shared" si="14"/>
        <v/>
      </c>
    </row>
    <row r="313" spans="1:8">
      <c r="A313">
        <v>128</v>
      </c>
      <c r="B313" t="s">
        <v>342</v>
      </c>
      <c r="C313" t="s">
        <v>8</v>
      </c>
      <c r="E313" s="3">
        <f t="shared" si="11"/>
        <v>6</v>
      </c>
      <c r="F313" s="5">
        <v>44142.625</v>
      </c>
      <c r="G313" s="10" t="str">
        <f t="shared" si="13"/>
        <v/>
      </c>
      <c r="H313" s="19" t="str">
        <f t="shared" si="14"/>
        <v/>
      </c>
    </row>
    <row r="314" spans="1:8">
      <c r="A314">
        <v>133</v>
      </c>
      <c r="B314" t="s">
        <v>343</v>
      </c>
      <c r="C314" t="s">
        <v>8</v>
      </c>
      <c r="E314" s="3">
        <f t="shared" si="11"/>
        <v>7</v>
      </c>
      <c r="F314" s="5">
        <v>44143.625</v>
      </c>
      <c r="G314" s="10" t="str">
        <f t="shared" si="13"/>
        <v/>
      </c>
      <c r="H314" s="19" t="str">
        <f t="shared" si="14"/>
        <v/>
      </c>
    </row>
    <row r="315" spans="1:8">
      <c r="A315">
        <v>275</v>
      </c>
      <c r="B315" t="s">
        <v>344</v>
      </c>
      <c r="C315" t="s">
        <v>8</v>
      </c>
      <c r="E315" s="3">
        <f t="shared" si="11"/>
        <v>1</v>
      </c>
      <c r="F315" s="5">
        <v>44144.625</v>
      </c>
      <c r="G315" s="10" t="str">
        <f t="shared" si="13"/>
        <v>Maanantai</v>
      </c>
      <c r="H315" s="19" t="str">
        <f t="shared" si="14"/>
        <v>W46</v>
      </c>
    </row>
    <row r="316" spans="1:8">
      <c r="A316">
        <v>205</v>
      </c>
      <c r="B316" t="s">
        <v>345</v>
      </c>
      <c r="C316" t="s">
        <v>8</v>
      </c>
      <c r="E316" s="3">
        <f t="shared" si="11"/>
        <v>2</v>
      </c>
      <c r="F316" s="5">
        <v>44145.625</v>
      </c>
      <c r="G316" s="10" t="str">
        <f t="shared" si="13"/>
        <v/>
      </c>
      <c r="H316" s="19" t="str">
        <f t="shared" si="14"/>
        <v/>
      </c>
    </row>
    <row r="317" spans="1:8">
      <c r="A317">
        <v>291</v>
      </c>
      <c r="B317" t="s">
        <v>346</v>
      </c>
      <c r="C317" t="s">
        <v>8</v>
      </c>
      <c r="E317" s="3">
        <f t="shared" si="11"/>
        <v>3</v>
      </c>
      <c r="F317" s="5">
        <v>44146.625</v>
      </c>
      <c r="G317" s="10" t="str">
        <f t="shared" si="13"/>
        <v/>
      </c>
      <c r="H317" s="19" t="str">
        <f t="shared" si="14"/>
        <v/>
      </c>
    </row>
    <row r="318" spans="1:8">
      <c r="A318">
        <v>277</v>
      </c>
      <c r="B318" t="s">
        <v>347</v>
      </c>
      <c r="C318" t="s">
        <v>8</v>
      </c>
      <c r="E318" s="3">
        <f t="shared" si="11"/>
        <v>4</v>
      </c>
      <c r="F318" s="5">
        <v>44147.625</v>
      </c>
      <c r="G318" s="10" t="str">
        <f t="shared" si="13"/>
        <v/>
      </c>
      <c r="H318" s="19" t="str">
        <f t="shared" si="14"/>
        <v/>
      </c>
    </row>
    <row r="319" spans="1:8">
      <c r="A319">
        <v>261</v>
      </c>
      <c r="B319" t="s">
        <v>348</v>
      </c>
      <c r="C319" t="s">
        <v>8</v>
      </c>
      <c r="E319" s="3">
        <f t="shared" si="11"/>
        <v>5</v>
      </c>
      <c r="F319" s="5">
        <v>44148.625</v>
      </c>
      <c r="G319" s="10" t="str">
        <f t="shared" si="13"/>
        <v/>
      </c>
      <c r="H319" s="19" t="str">
        <f t="shared" si="14"/>
        <v/>
      </c>
    </row>
    <row r="320" spans="1:8">
      <c r="A320">
        <v>143</v>
      </c>
      <c r="B320" t="s">
        <v>349</v>
      </c>
      <c r="C320" t="s">
        <v>8</v>
      </c>
      <c r="E320" s="3">
        <f t="shared" si="11"/>
        <v>6</v>
      </c>
      <c r="F320" s="5">
        <v>44149.625</v>
      </c>
      <c r="G320" s="10" t="str">
        <f t="shared" si="13"/>
        <v/>
      </c>
      <c r="H320" s="19" t="str">
        <f t="shared" si="14"/>
        <v/>
      </c>
    </row>
    <row r="321" spans="1:8">
      <c r="A321">
        <v>181</v>
      </c>
      <c r="B321" t="s">
        <v>350</v>
      </c>
      <c r="C321" t="s">
        <v>8</v>
      </c>
      <c r="E321" s="3">
        <f t="shared" si="11"/>
        <v>7</v>
      </c>
      <c r="F321" s="5">
        <v>44150.625</v>
      </c>
      <c r="G321" s="10" t="str">
        <f t="shared" si="13"/>
        <v/>
      </c>
      <c r="H321" s="19" t="str">
        <f t="shared" si="14"/>
        <v/>
      </c>
    </row>
    <row r="322" spans="1:8">
      <c r="A322">
        <v>392</v>
      </c>
      <c r="B322" t="s">
        <v>351</v>
      </c>
      <c r="C322" t="s">
        <v>8</v>
      </c>
      <c r="E322" s="3">
        <f t="shared" si="11"/>
        <v>1</v>
      </c>
      <c r="F322" s="5">
        <v>44151.625</v>
      </c>
      <c r="G322" s="10" t="str">
        <f t="shared" si="13"/>
        <v>Maanantai</v>
      </c>
      <c r="H322" s="19" t="str">
        <f t="shared" si="14"/>
        <v>W47</v>
      </c>
    </row>
    <row r="323" spans="1:8">
      <c r="A323">
        <v>393</v>
      </c>
      <c r="B323" t="s">
        <v>352</v>
      </c>
      <c r="C323" t="s">
        <v>8</v>
      </c>
      <c r="E323" s="3">
        <f t="shared" ref="E323" si="15">WEEKDAY(F323,2)</f>
        <v>2</v>
      </c>
      <c r="F323" s="5">
        <v>44152.625</v>
      </c>
      <c r="G323" s="10" t="str">
        <f t="shared" si="13"/>
        <v/>
      </c>
      <c r="H323" s="19" t="str">
        <f t="shared" si="14"/>
        <v/>
      </c>
    </row>
    <row r="324" spans="1:8">
      <c r="A324">
        <v>369</v>
      </c>
      <c r="B324" t="s">
        <v>353</v>
      </c>
      <c r="C324" t="s">
        <v>8</v>
      </c>
      <c r="E324" s="3">
        <f t="shared" si="11"/>
        <v>3</v>
      </c>
      <c r="F324" s="5">
        <v>44153.625</v>
      </c>
      <c r="G324" s="10" t="str">
        <f t="shared" si="13"/>
        <v/>
      </c>
      <c r="H324" s="19" t="str">
        <f t="shared" si="14"/>
        <v/>
      </c>
    </row>
    <row r="325" spans="1:8">
      <c r="A325">
        <v>471</v>
      </c>
      <c r="B325" t="s">
        <v>354</v>
      </c>
      <c r="C325" t="s">
        <v>8</v>
      </c>
      <c r="E325" s="3">
        <f t="shared" ref="E325:E366" si="16">WEEKDAY(F325,2)</f>
        <v>4</v>
      </c>
      <c r="F325" s="5">
        <v>44154.625</v>
      </c>
      <c r="G325" s="10" t="str">
        <f t="shared" si="13"/>
        <v/>
      </c>
      <c r="H325" s="19" t="str">
        <f t="shared" si="14"/>
        <v/>
      </c>
    </row>
    <row r="326" spans="1:8">
      <c r="A326">
        <v>367</v>
      </c>
      <c r="B326" t="s">
        <v>355</v>
      </c>
      <c r="C326" t="s">
        <v>8</v>
      </c>
      <c r="E326" s="3">
        <f t="shared" si="16"/>
        <v>5</v>
      </c>
      <c r="F326" s="5">
        <v>44155.625</v>
      </c>
      <c r="G326" s="10" t="str">
        <f t="shared" si="13"/>
        <v/>
      </c>
      <c r="H326" s="19" t="str">
        <f t="shared" si="14"/>
        <v/>
      </c>
    </row>
    <row r="327" spans="1:8">
      <c r="A327">
        <v>190</v>
      </c>
      <c r="B327" t="s">
        <v>358</v>
      </c>
      <c r="C327" t="s">
        <v>8</v>
      </c>
      <c r="E327" s="3">
        <f t="shared" si="16"/>
        <v>6</v>
      </c>
      <c r="F327" s="5">
        <v>44156.625</v>
      </c>
      <c r="G327" s="10" t="str">
        <f t="shared" si="13"/>
        <v/>
      </c>
      <c r="H327" s="19" t="str">
        <f t="shared" si="14"/>
        <v/>
      </c>
    </row>
    <row r="328" spans="1:8">
      <c r="A328">
        <v>66</v>
      </c>
      <c r="B328" t="s">
        <v>359</v>
      </c>
      <c r="C328" t="s">
        <v>8</v>
      </c>
      <c r="E328" s="3">
        <f t="shared" si="16"/>
        <v>7</v>
      </c>
      <c r="F328" s="5">
        <v>44157.625</v>
      </c>
      <c r="G328" s="10" t="str">
        <f t="shared" si="13"/>
        <v/>
      </c>
      <c r="H328" s="19" t="str">
        <f t="shared" si="14"/>
        <v/>
      </c>
    </row>
    <row r="329" spans="1:8">
      <c r="A329">
        <v>0</v>
      </c>
      <c r="B329" t="s">
        <v>360</v>
      </c>
      <c r="C329" t="s">
        <v>8</v>
      </c>
      <c r="E329" s="3">
        <f t="shared" si="16"/>
        <v>1</v>
      </c>
      <c r="F329" s="5">
        <v>44158.432534722226</v>
      </c>
      <c r="G329" s="10" t="str">
        <f t="shared" si="13"/>
        <v>Maanantai</v>
      </c>
      <c r="H329" s="19" t="str">
        <f t="shared" si="14"/>
        <v>W48</v>
      </c>
    </row>
    <row r="330" spans="1:8">
      <c r="E330" s="3">
        <f t="shared" si="16"/>
        <v>6</v>
      </c>
      <c r="G330" s="10" t="str">
        <f t="shared" si="13"/>
        <v/>
      </c>
      <c r="H330" s="19" t="str">
        <f t="shared" si="14"/>
        <v/>
      </c>
    </row>
    <row r="331" spans="1:8">
      <c r="E331" s="3">
        <f t="shared" si="16"/>
        <v>6</v>
      </c>
      <c r="G331" s="10" t="str">
        <f t="shared" si="13"/>
        <v/>
      </c>
      <c r="H331" s="19" t="str">
        <f t="shared" si="14"/>
        <v/>
      </c>
    </row>
    <row r="332" spans="1:8">
      <c r="E332" s="3">
        <f t="shared" si="16"/>
        <v>6</v>
      </c>
      <c r="G332" s="10" t="str">
        <f t="shared" si="13"/>
        <v/>
      </c>
      <c r="H332" s="19" t="str">
        <f t="shared" si="14"/>
        <v/>
      </c>
    </row>
    <row r="333" spans="1:8">
      <c r="E333" s="3">
        <f t="shared" si="16"/>
        <v>6</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78"/>
  <sheetViews>
    <sheetView tabSelected="1" zoomScale="85" zoomScaleNormal="85" workbookViewId="0">
      <selection activeCell="O24" sqref="O24"/>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23.11 n=297. Yhteensä N=21936. Edelliset 7 päivää 2248 (päivittyy), 1633 (muutos 16 %), 1408 (-3 %) ja 1453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23.11 n=297. Yhteensä N=21936. Melko pysyvät 7 päivää 13.11-19.11 yhteensä 2210 (muutos 47 %), aiemmat 7 päivää 1503 (4 %) ja 1443 https://github.com/jussivirkkala/excel/tree/master/hs-koronavirus-avoindata</v>
      </c>
      <c r="B32" s="4"/>
    </row>
    <row r="33" spans="1:247">
      <c r="B33" s="4"/>
    </row>
    <row r="34" spans="1:247">
      <c r="A34" t="str">
        <f ca="1">"Kirjattuja COVID-19 tapauksia N="&amp;C65&amp;"."&amp;CHAR(32)&amp;"Uusimmat "&amp;TEXT(MAX(M:M),"p.kk")&amp;" lisäykset punaisella n="&amp;L65&amp;"."</f>
        <v>Kirjattuja COVID-19 tapauksia N=21936. Uusimmat 23.11 lisäykset punaisella n=297.</v>
      </c>
      <c r="B34" s="4"/>
    </row>
    <row r="35" spans="1:247">
      <c r="B35" s="4" t="s">
        <v>5</v>
      </c>
      <c r="C35" t="s">
        <v>0</v>
      </c>
      <c r="D35" t="s">
        <v>6</v>
      </c>
      <c r="E35">
        <f ca="1">SUM(E37:E65)</f>
        <v>297</v>
      </c>
      <c r="F35" t="s">
        <v>228</v>
      </c>
      <c r="G35" t="s">
        <v>356</v>
      </c>
      <c r="I35" t="s">
        <v>357</v>
      </c>
      <c r="J35" t="s">
        <v>356</v>
      </c>
      <c r="M35" s="16" t="s">
        <v>312</v>
      </c>
      <c r="P35" s="16" t="s">
        <v>313</v>
      </c>
      <c r="S35" s="16" t="s">
        <v>314</v>
      </c>
    </row>
    <row r="36" spans="1:247">
      <c r="A36" t="str">
        <f ca="1">IF(WEEKDAY(B36,2)=1,"Ma "&amp;TEXT(B36,"p"),TEXT(B36,"p.k"))</f>
        <v>25.10</v>
      </c>
      <c r="B36" s="4">
        <f ca="1">B37-1</f>
        <v>44129</v>
      </c>
      <c r="C36" s="11">
        <f t="shared" ref="C36:C65" ca="1" si="0">SUMIF(aika,"&lt;"&amp;(B36+1),Id)</f>
        <v>15194</v>
      </c>
    </row>
    <row r="37" spans="1:247" s="10" customFormat="1">
      <c r="A37" t="str">
        <f t="shared" ref="A37:A65" ca="1" si="1">IF(WEEKDAY(B37,2)=1,"Ma "&amp;TEXT(B37,"p"),TEXT(B37,"p.k"))</f>
        <v>Ma 26</v>
      </c>
      <c r="B37" s="9">
        <f t="shared" ref="B37:B62" ca="1" si="2">B38-1</f>
        <v>44130</v>
      </c>
      <c r="C37" s="10">
        <f t="shared" ca="1" si="0"/>
        <v>15450</v>
      </c>
      <c r="D37" s="10">
        <f t="shared" ref="D37" ca="1" si="3">C37-C36</f>
        <v>256</v>
      </c>
      <c r="E37" s="10">
        <f t="shared" ref="E37:E64" ca="1" si="4">_xlfn.IFNA(D37-F37,"")</f>
        <v>0</v>
      </c>
      <c r="F37" s="10">
        <f ca="1">VLOOKUP(B37,Previous,3,FALSE)</f>
        <v>256</v>
      </c>
      <c r="G37" s="10">
        <f ca="1">SUM(D37:D43)</f>
        <v>1453</v>
      </c>
      <c r="I37" s="10">
        <f ca="1">SUM(D37:D50)</f>
        <v>2861</v>
      </c>
      <c r="K37" s="14"/>
      <c r="M37" s="17">
        <v>44130</v>
      </c>
      <c r="N37" s="10">
        <v>15450</v>
      </c>
      <c r="O37" s="10">
        <v>256</v>
      </c>
      <c r="P37" s="17">
        <v>44130</v>
      </c>
      <c r="Q37" s="10">
        <v>15450</v>
      </c>
      <c r="R37" s="10">
        <v>256</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c r="EX37" s="17"/>
      <c r="FA37" s="17"/>
      <c r="FD37" s="17"/>
      <c r="FG37" s="17"/>
      <c r="FJ37" s="17"/>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27.10</v>
      </c>
      <c r="B38" s="4">
        <f t="shared" ca="1" si="2"/>
        <v>44131</v>
      </c>
      <c r="C38" s="11">
        <f t="shared" ca="1" si="0"/>
        <v>15680</v>
      </c>
      <c r="D38">
        <f t="shared" ref="D38" ca="1" si="5">C38-C37</f>
        <v>230</v>
      </c>
      <c r="E38" s="11">
        <f t="shared" ca="1" si="4"/>
        <v>0</v>
      </c>
      <c r="F38" s="11">
        <f t="shared" ref="F38:F65" ca="1" si="6">VLOOKUP(B38,Previous,3,FALSE)</f>
        <v>230</v>
      </c>
      <c r="K38" s="3"/>
      <c r="M38" s="16">
        <v>44131</v>
      </c>
      <c r="N38">
        <v>15680</v>
      </c>
      <c r="O38">
        <v>230</v>
      </c>
      <c r="P38" s="16">
        <v>44131</v>
      </c>
      <c r="Q38">
        <v>15680</v>
      </c>
      <c r="R38">
        <v>230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c r="EX38" s="16"/>
      <c r="FA38" s="16"/>
      <c r="FD38" s="16"/>
      <c r="FG38" s="16"/>
      <c r="FJ38" s="16"/>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28.10</v>
      </c>
      <c r="B39" s="4">
        <f t="shared" ca="1" si="2"/>
        <v>44132</v>
      </c>
      <c r="C39" s="11">
        <f t="shared" ca="1" si="0"/>
        <v>15920</v>
      </c>
      <c r="D39">
        <f t="shared" ref="D39" ca="1" si="7">C39-C38</f>
        <v>240</v>
      </c>
      <c r="E39" s="11">
        <f t="shared" ca="1" si="4"/>
        <v>0</v>
      </c>
      <c r="F39" s="11">
        <f t="shared" ca="1" si="6"/>
        <v>240</v>
      </c>
      <c r="K39" s="3"/>
      <c r="M39" s="16">
        <v>44132</v>
      </c>
      <c r="N39">
        <v>15920</v>
      </c>
      <c r="O39">
        <v>240</v>
      </c>
      <c r="P39" s="16">
        <v>44132</v>
      </c>
      <c r="Q39">
        <v>15920</v>
      </c>
      <c r="R39">
        <v>240</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c r="EX39" s="16"/>
      <c r="FA39" s="16"/>
      <c r="FD39" s="16"/>
      <c r="FG39" s="16"/>
      <c r="FJ39" s="16"/>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29.10</v>
      </c>
      <c r="B40" s="4">
        <f t="shared" ca="1" si="2"/>
        <v>44133</v>
      </c>
      <c r="C40" s="11">
        <f t="shared" ca="1" si="0"/>
        <v>16157</v>
      </c>
      <c r="D40">
        <f t="shared" ref="D40" ca="1" si="8">C40-C39</f>
        <v>237</v>
      </c>
      <c r="E40" s="11">
        <f t="shared" ca="1" si="4"/>
        <v>0</v>
      </c>
      <c r="F40" s="11">
        <f t="shared" ca="1" si="6"/>
        <v>237</v>
      </c>
      <c r="K40" s="10"/>
      <c r="M40" s="16">
        <v>44133</v>
      </c>
      <c r="N40">
        <v>16157</v>
      </c>
      <c r="O40">
        <v>237</v>
      </c>
      <c r="P40" s="16">
        <v>44133</v>
      </c>
      <c r="Q40">
        <v>16157</v>
      </c>
      <c r="R40">
        <v>237</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c r="EX40" s="16"/>
      <c r="FA40" s="16"/>
      <c r="FD40" s="16"/>
      <c r="FG40" s="16"/>
      <c r="FJ40" s="16"/>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30.10</v>
      </c>
      <c r="B41" s="4">
        <f t="shared" ca="1" si="2"/>
        <v>44134</v>
      </c>
      <c r="C41" s="11">
        <f t="shared" ca="1" si="0"/>
        <v>16376</v>
      </c>
      <c r="D41">
        <f t="shared" ref="D41" ca="1" si="9">C41-C40</f>
        <v>219</v>
      </c>
      <c r="E41" s="11">
        <f t="shared" ca="1" si="4"/>
        <v>0</v>
      </c>
      <c r="F41" s="11">
        <f t="shared" ca="1" si="6"/>
        <v>219</v>
      </c>
      <c r="J41" s="10">
        <f ca="1">SUM(D41:D47)</f>
        <v>1443</v>
      </c>
      <c r="K41" s="3"/>
      <c r="M41" s="16">
        <v>44134</v>
      </c>
      <c r="N41">
        <v>16376</v>
      </c>
      <c r="O41">
        <v>219</v>
      </c>
      <c r="P41" s="16">
        <v>44134</v>
      </c>
      <c r="Q41">
        <v>16376</v>
      </c>
      <c r="R41">
        <v>219</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c r="EX41" s="16"/>
      <c r="FA41" s="16"/>
      <c r="FD41" s="16"/>
      <c r="FG41" s="16"/>
      <c r="FJ41" s="16"/>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31.10</v>
      </c>
      <c r="B42" s="4">
        <f t="shared" ca="1" si="2"/>
        <v>44135</v>
      </c>
      <c r="C42" s="11">
        <f t="shared" ca="1" si="0"/>
        <v>16497</v>
      </c>
      <c r="D42">
        <f t="shared" ref="D42" ca="1" si="10">C42-C41</f>
        <v>121</v>
      </c>
      <c r="E42" s="11">
        <f t="shared" ca="1" si="4"/>
        <v>0</v>
      </c>
      <c r="F42" s="11">
        <f t="shared" ca="1" si="6"/>
        <v>121</v>
      </c>
      <c r="K42" s="3"/>
      <c r="M42" s="16">
        <v>44135</v>
      </c>
      <c r="N42">
        <v>16497</v>
      </c>
      <c r="O42">
        <v>121</v>
      </c>
      <c r="P42" s="16">
        <v>44135</v>
      </c>
      <c r="Q42">
        <v>16497</v>
      </c>
      <c r="R42">
        <v>121</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c r="EX42" s="16"/>
      <c r="FA42" s="16"/>
      <c r="FD42" s="16"/>
      <c r="FG42" s="16"/>
      <c r="FJ42" s="16"/>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1.11</v>
      </c>
      <c r="B43" s="4">
        <f t="shared" ca="1" si="2"/>
        <v>44136</v>
      </c>
      <c r="C43" s="11">
        <f t="shared" ca="1" si="0"/>
        <v>16647</v>
      </c>
      <c r="D43">
        <f t="shared" ref="D43" ca="1" si="11">C43-C42</f>
        <v>150</v>
      </c>
      <c r="E43" s="11">
        <f t="shared" ca="1" si="4"/>
        <v>0</v>
      </c>
      <c r="F43" s="11">
        <f t="shared" ca="1" si="6"/>
        <v>150</v>
      </c>
      <c r="G43" s="10"/>
      <c r="K43" s="3"/>
      <c r="M43" s="16">
        <v>44136</v>
      </c>
      <c r="N43">
        <v>16647</v>
      </c>
      <c r="O43">
        <v>150</v>
      </c>
      <c r="P43" s="16">
        <v>44136</v>
      </c>
      <c r="Q43">
        <v>16647</v>
      </c>
      <c r="R43">
        <v>150</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c r="EX43" s="16"/>
      <c r="FA43" s="16"/>
      <c r="FD43" s="16"/>
      <c r="FG43" s="16"/>
      <c r="FJ43" s="16"/>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Ma 2</v>
      </c>
      <c r="B44" s="9">
        <f t="shared" ca="1" si="2"/>
        <v>44137</v>
      </c>
      <c r="C44" s="10">
        <f t="shared" ca="1" si="0"/>
        <v>16928</v>
      </c>
      <c r="D44" s="10">
        <f t="shared" ref="D44" ca="1" si="12">C44-C43</f>
        <v>281</v>
      </c>
      <c r="E44" s="10">
        <f t="shared" ca="1" si="4"/>
        <v>0</v>
      </c>
      <c r="F44" s="10">
        <f t="shared" ca="1" si="6"/>
        <v>281</v>
      </c>
      <c r="G44" s="10">
        <f ca="1">SUM(D44:D50)</f>
        <v>1408</v>
      </c>
      <c r="H44" s="10" t="str">
        <f ca="1">TEXT(G44/G37-1,"0 %")</f>
        <v>-3 %</v>
      </c>
      <c r="K44" s="14"/>
      <c r="L44"/>
      <c r="M44" s="17">
        <v>44137</v>
      </c>
      <c r="N44" s="10">
        <v>16928</v>
      </c>
      <c r="O44" s="10">
        <v>281</v>
      </c>
      <c r="P44" s="17">
        <v>44137</v>
      </c>
      <c r="Q44" s="10">
        <v>16928</v>
      </c>
      <c r="R44" s="10">
        <v>281</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c r="EX44" s="17"/>
      <c r="FA44" s="17"/>
      <c r="FD44" s="17"/>
      <c r="FG44" s="17"/>
      <c r="FJ44" s="17"/>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3.11</v>
      </c>
      <c r="B45" s="4">
        <f t="shared" ca="1" si="2"/>
        <v>44138</v>
      </c>
      <c r="C45" s="11">
        <f t="shared" ca="1" si="0"/>
        <v>17169</v>
      </c>
      <c r="D45">
        <f t="shared" ref="D45" ca="1" si="13">C45-C44</f>
        <v>241</v>
      </c>
      <c r="E45" s="11">
        <f t="shared" ca="1" si="4"/>
        <v>0</v>
      </c>
      <c r="F45" s="11">
        <f t="shared" ca="1" si="6"/>
        <v>241</v>
      </c>
      <c r="K45" s="3"/>
      <c r="M45" s="16">
        <v>44138</v>
      </c>
      <c r="N45">
        <v>17169</v>
      </c>
      <c r="O45">
        <v>241</v>
      </c>
      <c r="P45" s="16">
        <v>44138</v>
      </c>
      <c r="Q45">
        <v>17169</v>
      </c>
      <c r="R45">
        <v>241</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c r="EX45" s="16"/>
      <c r="FA45" s="16"/>
      <c r="FD45" s="16"/>
      <c r="FG45" s="16"/>
      <c r="FJ45" s="16"/>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4.11</v>
      </c>
      <c r="B46" s="4">
        <f t="shared" ca="1" si="2"/>
        <v>44139</v>
      </c>
      <c r="C46" s="11">
        <f t="shared" ca="1" si="0"/>
        <v>17379</v>
      </c>
      <c r="D46">
        <f t="shared" ref="D46" ca="1" si="14">C46-C45</f>
        <v>210</v>
      </c>
      <c r="E46" s="11">
        <f t="shared" ca="1" si="4"/>
        <v>0</v>
      </c>
      <c r="F46" s="11">
        <f t="shared" ca="1" si="6"/>
        <v>210</v>
      </c>
      <c r="K46" s="3"/>
      <c r="M46" s="16">
        <v>44139</v>
      </c>
      <c r="N46">
        <v>17379</v>
      </c>
      <c r="O46">
        <v>210</v>
      </c>
      <c r="P46" s="16">
        <v>44139</v>
      </c>
      <c r="Q46">
        <v>17379</v>
      </c>
      <c r="R46">
        <v>210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c r="EX46" s="16"/>
      <c r="FA46" s="16"/>
      <c r="FD46" s="16"/>
      <c r="FG46" s="16"/>
      <c r="FJ46" s="16"/>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5.11</v>
      </c>
      <c r="B47" s="4">
        <f t="shared" ca="1" si="2"/>
        <v>44140</v>
      </c>
      <c r="C47" s="11">
        <f t="shared" ca="1" si="0"/>
        <v>17600</v>
      </c>
      <c r="D47">
        <f t="shared" ref="D47" ca="1" si="15">C47-C46</f>
        <v>221</v>
      </c>
      <c r="E47" s="11">
        <f t="shared" ca="1" si="4"/>
        <v>0</v>
      </c>
      <c r="F47" s="11">
        <f t="shared" ca="1" si="6"/>
        <v>221</v>
      </c>
      <c r="M47" s="16">
        <v>44140</v>
      </c>
      <c r="N47">
        <v>17600</v>
      </c>
      <c r="O47">
        <v>221</v>
      </c>
      <c r="P47" s="16">
        <v>44140</v>
      </c>
      <c r="Q47">
        <v>17600</v>
      </c>
      <c r="R47">
        <v>221</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c r="EX47" s="16"/>
      <c r="FA47" s="16"/>
      <c r="FD47" s="16"/>
      <c r="FG47" s="16"/>
      <c r="FJ47" s="16"/>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6.11</v>
      </c>
      <c r="B48" s="4">
        <f t="shared" ca="1" si="2"/>
        <v>44141</v>
      </c>
      <c r="C48" s="11">
        <f t="shared" ca="1" si="0"/>
        <v>17794</v>
      </c>
      <c r="D48">
        <f t="shared" ref="D48" ca="1" si="16">C48-C47</f>
        <v>194</v>
      </c>
      <c r="E48" s="11">
        <f t="shared" ca="1" si="4"/>
        <v>0</v>
      </c>
      <c r="F48" s="11">
        <f t="shared" ca="1" si="6"/>
        <v>194</v>
      </c>
      <c r="J48" s="10">
        <f ca="1">SUM(D48:D54)</f>
        <v>1503</v>
      </c>
      <c r="K48" s="10" t="str">
        <f ca="1">TEXT(J48/J41-1,"0 %")</f>
        <v>4 %</v>
      </c>
      <c r="M48" s="16">
        <v>44141</v>
      </c>
      <c r="N48">
        <v>17794</v>
      </c>
      <c r="O48">
        <v>194</v>
      </c>
      <c r="P48" s="16">
        <v>44141</v>
      </c>
      <c r="Q48">
        <v>17794</v>
      </c>
      <c r="R48">
        <v>194</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c r="EX48" s="16"/>
      <c r="FA48" s="16"/>
      <c r="FD48" s="16"/>
      <c r="FG48" s="16"/>
      <c r="FJ48" s="16"/>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7.11</v>
      </c>
      <c r="B49" s="4">
        <f t="shared" ca="1" si="2"/>
        <v>44142</v>
      </c>
      <c r="C49" s="11">
        <f t="shared" ca="1" si="0"/>
        <v>17922</v>
      </c>
      <c r="D49">
        <f t="shared" ref="D49" ca="1" si="17">C49-C48</f>
        <v>128</v>
      </c>
      <c r="E49" s="11">
        <f t="shared" ca="1" si="4"/>
        <v>0</v>
      </c>
      <c r="F49" s="11">
        <f t="shared" ca="1" si="6"/>
        <v>128</v>
      </c>
      <c r="K49" s="3"/>
      <c r="M49" s="16">
        <v>44142</v>
      </c>
      <c r="N49">
        <v>17922</v>
      </c>
      <c r="O49">
        <v>128</v>
      </c>
      <c r="P49" s="16">
        <v>44142</v>
      </c>
      <c r="Q49">
        <v>17922</v>
      </c>
      <c r="R49">
        <v>128</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c r="EX49" s="16"/>
      <c r="FA49" s="16"/>
      <c r="FD49" s="16"/>
      <c r="FG49" s="16"/>
      <c r="FJ49" s="16"/>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8.11</v>
      </c>
      <c r="B50" s="4">
        <f t="shared" ca="1" si="2"/>
        <v>44143</v>
      </c>
      <c r="C50" s="11">
        <f t="shared" ca="1" si="0"/>
        <v>18055</v>
      </c>
      <c r="D50">
        <f t="shared" ref="D50" ca="1" si="18">C50-C49</f>
        <v>133</v>
      </c>
      <c r="E50" s="11">
        <f t="shared" ca="1" si="4"/>
        <v>0</v>
      </c>
      <c r="F50" s="11">
        <f ca="1">VLOOKUP(B50,Previous,3,FALSE)</f>
        <v>133</v>
      </c>
      <c r="K50" s="3"/>
      <c r="M50" s="16">
        <v>44143</v>
      </c>
      <c r="N50">
        <v>18055</v>
      </c>
      <c r="O50">
        <v>133</v>
      </c>
      <c r="P50" s="16">
        <v>44143</v>
      </c>
      <c r="Q50">
        <v>18055</v>
      </c>
      <c r="R50">
        <v>133</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c r="EX50" s="16"/>
      <c r="FA50" s="16"/>
      <c r="FD50" s="16"/>
      <c r="FG50" s="16"/>
      <c r="FJ50" s="16"/>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Ma 9</v>
      </c>
      <c r="B51" s="9">
        <f t="shared" ca="1" si="2"/>
        <v>44144</v>
      </c>
      <c r="C51" s="10">
        <f t="shared" ca="1" si="0"/>
        <v>18330</v>
      </c>
      <c r="D51" s="10">
        <f t="shared" ref="D51" ca="1" si="19">C51-C50</f>
        <v>275</v>
      </c>
      <c r="E51" s="10">
        <f t="shared" ca="1" si="4"/>
        <v>0</v>
      </c>
      <c r="F51" s="10">
        <f t="shared" ca="1" si="6"/>
        <v>275</v>
      </c>
      <c r="G51" s="10">
        <f ca="1">SUM(D51:D57)</f>
        <v>1633</v>
      </c>
      <c r="H51" s="10" t="str">
        <f ca="1">TEXT(G51/G44-1,"0 %")</f>
        <v>16 %</v>
      </c>
      <c r="I51" s="10">
        <f ca="1">SUM(D51:D64)</f>
        <v>3881</v>
      </c>
      <c r="K51" s="14"/>
      <c r="L51"/>
      <c r="M51" s="17">
        <v>44144</v>
      </c>
      <c r="N51" s="10">
        <v>18330</v>
      </c>
      <c r="O51" s="10">
        <v>275</v>
      </c>
      <c r="P51" s="17">
        <v>44144</v>
      </c>
      <c r="Q51" s="10">
        <v>18330</v>
      </c>
      <c r="R51" s="10">
        <v>275</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c r="EX51" s="17"/>
      <c r="FA51" s="17"/>
      <c r="FD51" s="17"/>
      <c r="FG51" s="17"/>
      <c r="FJ51" s="17"/>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10.11</v>
      </c>
      <c r="B52" s="4">
        <f t="shared" ca="1" si="2"/>
        <v>44145</v>
      </c>
      <c r="C52" s="11">
        <f t="shared" ca="1" si="0"/>
        <v>18535</v>
      </c>
      <c r="D52">
        <f t="shared" ref="D52:D63" ca="1" si="20">C52-C51</f>
        <v>205</v>
      </c>
      <c r="E52" s="11">
        <f t="shared" ca="1" si="4"/>
        <v>-1</v>
      </c>
      <c r="F52" s="11">
        <f t="shared" ca="1" si="6"/>
        <v>206</v>
      </c>
      <c r="G52" s="10"/>
      <c r="K52" s="3"/>
      <c r="M52" s="16">
        <v>44145</v>
      </c>
      <c r="N52">
        <v>18536</v>
      </c>
      <c r="O52">
        <v>206</v>
      </c>
      <c r="P52" s="16">
        <v>44145</v>
      </c>
      <c r="Q52">
        <v>18535</v>
      </c>
      <c r="R52">
        <v>205</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c r="EX52" s="16"/>
      <c r="FA52" s="16"/>
      <c r="FD52" s="16"/>
      <c r="FG52" s="16"/>
      <c r="FJ52" s="16"/>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11.11</v>
      </c>
      <c r="B53" s="4">
        <f t="shared" ca="1" si="2"/>
        <v>44146</v>
      </c>
      <c r="C53" s="11">
        <f t="shared" ca="1" si="0"/>
        <v>18826</v>
      </c>
      <c r="D53">
        <f t="shared" ca="1" si="20"/>
        <v>291</v>
      </c>
      <c r="E53" s="11">
        <f t="shared" ca="1" si="4"/>
        <v>0</v>
      </c>
      <c r="F53" s="11">
        <f t="shared" ca="1" si="6"/>
        <v>291</v>
      </c>
      <c r="J53" s="13"/>
      <c r="K53" s="3"/>
      <c r="M53" s="16">
        <v>44146</v>
      </c>
      <c r="N53">
        <v>18827</v>
      </c>
      <c r="O53">
        <v>291</v>
      </c>
      <c r="P53" s="16">
        <v>44146</v>
      </c>
      <c r="Q53">
        <v>18826</v>
      </c>
      <c r="R53">
        <v>291</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c r="EX53" s="16"/>
      <c r="FA53" s="16"/>
      <c r="FD53" s="16"/>
      <c r="FG53" s="16"/>
      <c r="FJ53" s="16"/>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12.11</v>
      </c>
      <c r="B54" s="4">
        <f t="shared" ca="1" si="2"/>
        <v>44147</v>
      </c>
      <c r="C54" s="11">
        <f t="shared" ca="1" si="0"/>
        <v>19103</v>
      </c>
      <c r="D54">
        <f t="shared" ca="1" si="20"/>
        <v>277</v>
      </c>
      <c r="E54" s="11">
        <f t="shared" ca="1" si="4"/>
        <v>0</v>
      </c>
      <c r="F54" s="11">
        <f t="shared" ca="1" si="6"/>
        <v>277</v>
      </c>
      <c r="M54" s="16">
        <v>44147</v>
      </c>
      <c r="N54">
        <v>19104</v>
      </c>
      <c r="O54">
        <v>277</v>
      </c>
      <c r="P54" s="16">
        <v>44147</v>
      </c>
      <c r="Q54">
        <v>19103</v>
      </c>
      <c r="R54">
        <v>277</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c r="EX54" s="16"/>
      <c r="FA54" s="16"/>
      <c r="FD54" s="16"/>
      <c r="FG54" s="16"/>
      <c r="FJ54" s="16"/>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13.11</v>
      </c>
      <c r="B55" s="4">
        <f t="shared" ca="1" si="2"/>
        <v>44148</v>
      </c>
      <c r="C55" s="11">
        <f t="shared" ca="1" si="0"/>
        <v>19364</v>
      </c>
      <c r="D55">
        <f t="shared" ca="1" si="20"/>
        <v>261</v>
      </c>
      <c r="E55" s="11">
        <f t="shared" ca="1" si="4"/>
        <v>0</v>
      </c>
      <c r="F55" s="11">
        <f t="shared" ca="1" si="6"/>
        <v>261</v>
      </c>
      <c r="I55" s="10"/>
      <c r="J55" s="10">
        <f ca="1">SUM(D55:D61)</f>
        <v>2210</v>
      </c>
      <c r="K55" s="10" t="str">
        <f ca="1">TEXT(J55/J48-1,"0 %")</f>
        <v>47 %</v>
      </c>
      <c r="M55" s="16">
        <v>44148</v>
      </c>
      <c r="N55">
        <v>19365</v>
      </c>
      <c r="O55">
        <v>261</v>
      </c>
      <c r="P55" s="16">
        <v>44148</v>
      </c>
      <c r="Q55">
        <v>19364</v>
      </c>
      <c r="R55">
        <v>261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c r="EX55" s="16"/>
      <c r="FA55" s="16"/>
      <c r="FD55" s="16"/>
      <c r="FG55" s="16"/>
      <c r="FJ55" s="16"/>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14.11</v>
      </c>
      <c r="B56" s="4">
        <f t="shared" ca="1" si="2"/>
        <v>44149</v>
      </c>
      <c r="C56" s="11">
        <f t="shared" ca="1" si="0"/>
        <v>19507</v>
      </c>
      <c r="D56">
        <f t="shared" ca="1" si="20"/>
        <v>143</v>
      </c>
      <c r="E56" s="11">
        <f t="shared" ca="1" si="4"/>
        <v>-2</v>
      </c>
      <c r="F56" s="11">
        <f t="shared" ca="1" si="6"/>
        <v>145</v>
      </c>
      <c r="K56" s="3"/>
      <c r="M56" s="16">
        <v>44149</v>
      </c>
      <c r="N56">
        <v>19510</v>
      </c>
      <c r="O56">
        <v>145</v>
      </c>
      <c r="P56" s="16">
        <v>44149</v>
      </c>
      <c r="Q56">
        <v>19507</v>
      </c>
      <c r="R56">
        <v>143</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c r="EX56" s="16"/>
      <c r="FA56" s="16"/>
      <c r="FD56" s="16"/>
      <c r="FG56" s="16"/>
      <c r="FJ56" s="16"/>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15.11</v>
      </c>
      <c r="B57" s="4">
        <f t="shared" ca="1" si="2"/>
        <v>44150</v>
      </c>
      <c r="C57" s="11">
        <f t="shared" ca="1" si="0"/>
        <v>19688</v>
      </c>
      <c r="D57">
        <f t="shared" ca="1" si="20"/>
        <v>181</v>
      </c>
      <c r="E57" s="11">
        <f t="shared" ca="1" si="4"/>
        <v>-1</v>
      </c>
      <c r="F57" s="11">
        <f t="shared" ca="1" si="6"/>
        <v>182</v>
      </c>
      <c r="J57" s="13"/>
      <c r="K57" s="3"/>
      <c r="M57" s="16">
        <v>44150</v>
      </c>
      <c r="N57">
        <v>19692</v>
      </c>
      <c r="O57">
        <v>182</v>
      </c>
      <c r="P57" s="16">
        <v>44150</v>
      </c>
      <c r="Q57">
        <v>19688</v>
      </c>
      <c r="R57">
        <v>181</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c r="EX57" s="16"/>
      <c r="FA57" s="16"/>
      <c r="FD57" s="16"/>
      <c r="FG57" s="16"/>
      <c r="FJ57" s="16"/>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Ma 16</v>
      </c>
      <c r="B58" s="9">
        <f t="shared" ca="1" si="2"/>
        <v>44151</v>
      </c>
      <c r="C58" s="10">
        <f t="shared" ca="1" si="0"/>
        <v>20080</v>
      </c>
      <c r="D58" s="10">
        <f t="shared" ca="1" si="20"/>
        <v>392</v>
      </c>
      <c r="E58" s="10">
        <f t="shared" ca="1" si="4"/>
        <v>0</v>
      </c>
      <c r="F58" s="10">
        <f t="shared" ca="1" si="6"/>
        <v>392</v>
      </c>
      <c r="G58" s="10">
        <f ca="1">SUM(D58:D64)</f>
        <v>2248</v>
      </c>
      <c r="H58" s="10" t="str">
        <f ca="1">TEXT(G58/G51-1,"0 %")</f>
        <v>38 %</v>
      </c>
      <c r="K58" s="14"/>
      <c r="L58"/>
      <c r="M58" s="17">
        <v>44151</v>
      </c>
      <c r="N58" s="10">
        <v>20084</v>
      </c>
      <c r="O58" s="10">
        <v>392</v>
      </c>
      <c r="P58" s="17">
        <v>44151</v>
      </c>
      <c r="Q58" s="10">
        <v>20080</v>
      </c>
      <c r="R58" s="10">
        <v>392</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c r="EX58" s="17"/>
      <c r="FA58" s="17"/>
      <c r="FD58" s="17"/>
      <c r="FG58" s="17"/>
      <c r="FJ58" s="17"/>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17.11</v>
      </c>
      <c r="B59" s="4">
        <f t="shared" ca="1" si="2"/>
        <v>44152</v>
      </c>
      <c r="C59" s="11">
        <f t="shared" ca="1" si="0"/>
        <v>20473</v>
      </c>
      <c r="D59">
        <f t="shared" ca="1" si="20"/>
        <v>393</v>
      </c>
      <c r="E59" s="11">
        <f t="shared" ca="1" si="4"/>
        <v>-1</v>
      </c>
      <c r="F59" s="11">
        <f t="shared" ca="1" si="6"/>
        <v>394</v>
      </c>
      <c r="H59" s="10"/>
      <c r="J59" s="13"/>
      <c r="K59" s="3"/>
      <c r="M59" s="16">
        <v>44152</v>
      </c>
      <c r="N59">
        <v>20478</v>
      </c>
      <c r="O59">
        <v>394</v>
      </c>
      <c r="P59" s="16">
        <v>44152</v>
      </c>
      <c r="Q59">
        <v>20473</v>
      </c>
      <c r="R59">
        <v>393</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c r="EX59" s="16"/>
      <c r="FA59" s="16"/>
      <c r="FD59" s="16"/>
      <c r="FG59" s="16"/>
      <c r="FJ59" s="16"/>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18.11</v>
      </c>
      <c r="B60" s="4">
        <f t="shared" ca="1" si="2"/>
        <v>44153</v>
      </c>
      <c r="C60" s="11">
        <f t="shared" ca="1" si="0"/>
        <v>20842</v>
      </c>
      <c r="D60">
        <f t="shared" ca="1" si="20"/>
        <v>369</v>
      </c>
      <c r="E60" s="11">
        <f t="shared" ca="1" si="4"/>
        <v>-3</v>
      </c>
      <c r="F60" s="11">
        <f t="shared" ca="1" si="6"/>
        <v>372</v>
      </c>
      <c r="J60" s="4"/>
      <c r="K60" s="3"/>
      <c r="M60" s="16">
        <v>44153</v>
      </c>
      <c r="N60">
        <v>20850</v>
      </c>
      <c r="O60">
        <v>372</v>
      </c>
      <c r="P60" s="16">
        <v>44153</v>
      </c>
      <c r="Q60">
        <v>20842</v>
      </c>
      <c r="R60">
        <v>369</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c r="EX60" s="16"/>
      <c r="FA60" s="16"/>
      <c r="FD60" s="16"/>
      <c r="FG60" s="16"/>
      <c r="FJ60" s="16"/>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19.11</v>
      </c>
      <c r="B61" s="4">
        <f t="shared" ca="1" si="2"/>
        <v>44154</v>
      </c>
      <c r="C61" s="11">
        <f t="shared" ca="1" si="0"/>
        <v>21313</v>
      </c>
      <c r="D61">
        <f t="shared" ca="1" si="20"/>
        <v>471</v>
      </c>
      <c r="E61" s="11">
        <f t="shared" ca="1" si="4"/>
        <v>63</v>
      </c>
      <c r="F61" s="11">
        <f t="shared" ca="1" si="6"/>
        <v>408</v>
      </c>
      <c r="J61" s="4"/>
      <c r="K61" s="3"/>
      <c r="M61" s="16">
        <v>44154</v>
      </c>
      <c r="N61">
        <v>21258</v>
      </c>
      <c r="O61">
        <v>408</v>
      </c>
      <c r="P61" s="16">
        <v>44154</v>
      </c>
      <c r="Q61">
        <v>21313</v>
      </c>
      <c r="R61">
        <v>471</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c r="EX61" s="16"/>
      <c r="FA61" s="16"/>
      <c r="FD61" s="16"/>
      <c r="FG61" s="16"/>
      <c r="FJ61" s="16"/>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20.11</v>
      </c>
      <c r="B62" s="4">
        <f t="shared" ca="1" si="2"/>
        <v>44155</v>
      </c>
      <c r="C62" s="11">
        <f t="shared" ca="1" si="0"/>
        <v>21680</v>
      </c>
      <c r="D62">
        <f t="shared" ca="1" si="20"/>
        <v>367</v>
      </c>
      <c r="E62" s="11">
        <f t="shared" ca="1" si="4"/>
        <v>61</v>
      </c>
      <c r="F62" s="11">
        <f t="shared" ca="1" si="6"/>
        <v>306</v>
      </c>
      <c r="J62" s="4"/>
      <c r="K62" s="3"/>
      <c r="M62" s="16">
        <v>44155</v>
      </c>
      <c r="N62">
        <v>21564</v>
      </c>
      <c r="O62">
        <v>306</v>
      </c>
      <c r="P62" s="16">
        <v>44155</v>
      </c>
      <c r="Q62">
        <v>21680</v>
      </c>
      <c r="R62">
        <v>367</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c r="EX62" s="16"/>
      <c r="FA62" s="16"/>
      <c r="FD62" s="16"/>
      <c r="FG62" s="16"/>
      <c r="FJ62" s="16"/>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21.11</v>
      </c>
      <c r="B63" s="4">
        <f ca="1">B64-1</f>
        <v>44156</v>
      </c>
      <c r="C63" s="11">
        <f t="shared" ca="1" si="0"/>
        <v>21870</v>
      </c>
      <c r="D63">
        <f t="shared" ca="1" si="20"/>
        <v>190</v>
      </c>
      <c r="E63" s="11">
        <f t="shared" ca="1" si="4"/>
        <v>115</v>
      </c>
      <c r="F63" s="11">
        <f t="shared" ca="1" si="6"/>
        <v>75</v>
      </c>
      <c r="J63" s="4"/>
      <c r="K63" s="3"/>
      <c r="M63" s="16">
        <v>44156</v>
      </c>
      <c r="N63">
        <v>21639</v>
      </c>
      <c r="O63">
        <v>75</v>
      </c>
      <c r="P63" s="16">
        <v>44156</v>
      </c>
      <c r="Q63">
        <v>21870</v>
      </c>
      <c r="R63">
        <v>190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c r="EX63" s="16"/>
      <c r="FA63" s="16"/>
      <c r="FD63" s="16"/>
      <c r="FG63" s="16"/>
      <c r="FJ63" s="16"/>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22.11</v>
      </c>
      <c r="B64" s="9">
        <f ca="1">B65-1</f>
        <v>44157</v>
      </c>
      <c r="C64" s="10">
        <f t="shared" ca="1" si="0"/>
        <v>21936</v>
      </c>
      <c r="D64" s="10">
        <f ca="1">C64-C63</f>
        <v>66</v>
      </c>
      <c r="E64" s="10">
        <f t="shared" ca="1" si="4"/>
        <v>66</v>
      </c>
      <c r="F64" s="10">
        <f t="shared" ca="1" si="6"/>
        <v>0</v>
      </c>
      <c r="J64" s="9"/>
      <c r="K64" s="14"/>
      <c r="M64" s="17">
        <v>44157</v>
      </c>
      <c r="N64" s="10">
        <v>21639</v>
      </c>
      <c r="O64" s="10">
        <v>0</v>
      </c>
      <c r="P64" s="17">
        <v>44157</v>
      </c>
      <c r="Q64" s="10">
        <v>21936</v>
      </c>
      <c r="R64" s="10">
        <v>66</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c r="EX64" s="17"/>
      <c r="FA64" s="17"/>
      <c r="FD64" s="17"/>
      <c r="FG64" s="17"/>
      <c r="FJ64" s="17"/>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Ma 23</v>
      </c>
      <c r="B65" s="12">
        <f ca="1">FLOOR(NOW(),1)</f>
        <v>44158</v>
      </c>
      <c r="C65" s="11">
        <f t="shared" ca="1" si="0"/>
        <v>21936</v>
      </c>
      <c r="D65" s="11">
        <f ca="1">C65-C64</f>
        <v>0</v>
      </c>
      <c r="E65" s="11">
        <f ca="1">_xlfn.IFNA(D65-F65,"")</f>
        <v>0</v>
      </c>
      <c r="F65" s="11">
        <f t="shared" ca="1" si="6"/>
        <v>0</v>
      </c>
      <c r="K65" t="s">
        <v>309</v>
      </c>
      <c r="L65">
        <f ca="1">C65-N65</f>
        <v>297</v>
      </c>
      <c r="M65" s="16">
        <v>44158</v>
      </c>
      <c r="N65">
        <v>21639</v>
      </c>
      <c r="O65">
        <v>0</v>
      </c>
      <c r="P65" s="16">
        <v>44158</v>
      </c>
      <c r="Q65">
        <v>21936</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c r="EX65" s="16"/>
      <c r="FA65" s="16"/>
      <c r="FD65" s="16"/>
      <c r="FG65" s="16"/>
      <c r="FJ65" s="16"/>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c r="CM66" s="16"/>
      <c r="CP66" s="16"/>
      <c r="CS66" s="16"/>
      <c r="CV66" s="16"/>
      <c r="CY66" s="16"/>
      <c r="DB66" s="16"/>
      <c r="DE66" s="16"/>
      <c r="DH66" s="16"/>
      <c r="DK66" s="16"/>
      <c r="DN66" s="16"/>
      <c r="DQ66" s="16"/>
      <c r="DT66" s="16"/>
      <c r="DW66" s="16"/>
      <c r="DZ66" s="16"/>
    </row>
    <row r="67" spans="1:247">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-21639</v>
      </c>
      <c r="EU67">
        <f>EY65-EV65</f>
        <v>0</v>
      </c>
      <c r="EX67">
        <f>FB65-EY65</f>
        <v>0</v>
      </c>
    </row>
    <row r="69" spans="1:247">
      <c r="EJ69">
        <f>EJ51-EG52</f>
        <v>0</v>
      </c>
    </row>
    <row r="70" spans="1:247">
      <c r="EJ70">
        <f t="shared" ref="EJ70:EJ78" si="21">EJ52-EG53</f>
        <v>0</v>
      </c>
    </row>
    <row r="71" spans="1:247">
      <c r="EJ71">
        <f t="shared" si="21"/>
        <v>0</v>
      </c>
    </row>
    <row r="72" spans="1:247">
      <c r="EJ72">
        <f t="shared" si="21"/>
        <v>0</v>
      </c>
    </row>
    <row r="73" spans="1:247">
      <c r="EJ73">
        <f t="shared" si="21"/>
        <v>2</v>
      </c>
    </row>
    <row r="74" spans="1:247">
      <c r="EJ74">
        <f t="shared" si="21"/>
        <v>3</v>
      </c>
    </row>
    <row r="75" spans="1:247">
      <c r="EJ75">
        <f t="shared" si="21"/>
        <v>3</v>
      </c>
    </row>
    <row r="76" spans="1:247">
      <c r="EJ76">
        <f t="shared" si="21"/>
        <v>8</v>
      </c>
    </row>
    <row r="77" spans="1:247">
      <c r="EJ77">
        <f t="shared" si="21"/>
        <v>10</v>
      </c>
    </row>
    <row r="78" spans="1:247">
      <c r="EJ78">
        <f t="shared" si="21"/>
        <v>17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2020-11-23T10:25:58Z</dcterms:modified>
</cp:coreProperties>
</file>