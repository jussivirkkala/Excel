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5F23564D-53F5-456C-AFAA-87196038358F}"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Kuvaajat!$M$35:$O$63</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 i="1" l="1"/>
  <c r="B63" i="2" l="1"/>
  <c r="C63" i="2" s="1"/>
  <c r="K63" i="2" l="1"/>
  <c r="F63" i="2"/>
  <c r="B62" i="2" l="1"/>
  <c r="C62" i="2" s="1"/>
  <c r="F62" i="2" l="1"/>
  <c r="K62" i="2"/>
  <c r="B61" i="2"/>
  <c r="F61" i="2" l="1"/>
  <c r="C61" i="2"/>
  <c r="B60" i="2"/>
  <c r="F60" i="2" l="1"/>
  <c r="C60" i="2"/>
  <c r="B59" i="2"/>
  <c r="F59" i="2" l="1"/>
  <c r="C59" i="2"/>
  <c r="B58" i="2"/>
  <c r="F58" i="2" l="1"/>
  <c r="C58" i="2"/>
  <c r="B57" i="2"/>
  <c r="F57" i="2" l="1"/>
  <c r="C57" i="2"/>
  <c r="B56" i="2"/>
  <c r="F56" i="2" l="1"/>
  <c r="C56" i="2"/>
  <c r="L63" i="2"/>
  <c r="H32" i="2" s="1"/>
  <c r="B55" i="2"/>
  <c r="L62" i="2"/>
  <c r="D61" i="2"/>
  <c r="E61" i="2" s="1"/>
  <c r="F55" i="2" l="1"/>
  <c r="C55" i="2"/>
  <c r="D56" i="2" s="1"/>
  <c r="E56" i="2" s="1"/>
  <c r="B54" i="2"/>
  <c r="D58" i="2"/>
  <c r="E58" i="2" s="1"/>
  <c r="D59" i="2"/>
  <c r="E59" i="2" s="1"/>
  <c r="D57" i="2"/>
  <c r="E57" i="2" s="1"/>
  <c r="D62" i="2"/>
  <c r="E62" i="2" s="1"/>
  <c r="D60" i="2"/>
  <c r="E60" i="2" s="1"/>
  <c r="D63" i="2"/>
  <c r="E63" i="2" s="1"/>
  <c r="F54" i="2" l="1"/>
  <c r="C54" i="2"/>
  <c r="D55" i="2" s="1"/>
  <c r="E55" i="2" s="1"/>
  <c r="B53" i="2"/>
  <c r="H56" i="2"/>
  <c r="F53" i="2" l="1"/>
  <c r="C53" i="2"/>
  <c r="D54" i="2" s="1"/>
  <c r="E54" i="2" s="1"/>
  <c r="B52" i="2"/>
  <c r="F52" i="2" l="1"/>
  <c r="C52" i="2"/>
  <c r="D53" i="2" s="1"/>
  <c r="E53" i="2" s="1"/>
  <c r="B51" i="2"/>
  <c r="F51" i="2" l="1"/>
  <c r="C51" i="2"/>
  <c r="D52" i="2" s="1"/>
  <c r="E52" i="2" s="1"/>
  <c r="B50" i="2"/>
  <c r="F50" i="2" l="1"/>
  <c r="C50" i="2"/>
  <c r="D51" i="2" s="1"/>
  <c r="E51" i="2" s="1"/>
  <c r="B49" i="2"/>
  <c r="F49" i="2" l="1"/>
  <c r="C49" i="2"/>
  <c r="D50" i="2" s="1"/>
  <c r="E50" i="2" s="1"/>
  <c r="B48" i="2"/>
  <c r="F48" i="2" l="1"/>
  <c r="C48" i="2"/>
  <c r="D49" i="2" s="1"/>
  <c r="E49" i="2" s="1"/>
  <c r="B47" i="2"/>
  <c r="F47" i="2" l="1"/>
  <c r="C47" i="2"/>
  <c r="D48" i="2" s="1"/>
  <c r="E48" i="2" s="1"/>
  <c r="B46" i="2"/>
  <c r="H49" i="2"/>
  <c r="I49" i="2"/>
  <c r="F46" i="2" l="1"/>
  <c r="C46" i="2"/>
  <c r="D47" i="2" s="1"/>
  <c r="E47" i="2" s="1"/>
  <c r="B45" i="2"/>
  <c r="F45" i="2" l="1"/>
  <c r="C45" i="2"/>
  <c r="D46" i="2" s="1"/>
  <c r="E46" i="2" s="1"/>
  <c r="B44" i="2"/>
  <c r="F44" i="2" l="1"/>
  <c r="C44" i="2"/>
  <c r="D45" i="2" s="1"/>
  <c r="E45" i="2" s="1"/>
  <c r="B43" i="2"/>
  <c r="F43" i="2" l="1"/>
  <c r="C43" i="2"/>
  <c r="D44" i="2" s="1"/>
  <c r="E44" i="2" s="1"/>
  <c r="B42" i="2"/>
  <c r="F42" i="2" l="1"/>
  <c r="C42" i="2"/>
  <c r="D43" i="2" s="1"/>
  <c r="E43" i="2" s="1"/>
  <c r="B41" i="2"/>
  <c r="F41" i="2" l="1"/>
  <c r="C41" i="2"/>
  <c r="D42" i="2" s="1"/>
  <c r="E42" i="2" s="1"/>
  <c r="B40" i="2"/>
  <c r="F40" i="2" l="1"/>
  <c r="C40" i="2"/>
  <c r="D41" i="2" s="1"/>
  <c r="E41" i="2" s="1"/>
  <c r="B39" i="2"/>
  <c r="H42" i="2"/>
  <c r="F39" i="2" l="1"/>
  <c r="C39" i="2"/>
  <c r="D40" i="2" s="1"/>
  <c r="E40" i="2" s="1"/>
  <c r="B38" i="2"/>
  <c r="F38" i="2" l="1"/>
  <c r="C38" i="2"/>
  <c r="D39" i="2" s="1"/>
  <c r="E39" i="2" s="1"/>
  <c r="B37" i="2"/>
  <c r="F37" i="2" l="1"/>
  <c r="C37" i="2"/>
  <c r="D38" i="2" s="1"/>
  <c r="E38" i="2" s="1"/>
  <c r="B36" i="2"/>
  <c r="F36" i="2" l="1"/>
  <c r="C36" i="2"/>
  <c r="D37" i="2" s="1"/>
  <c r="E37" i="2" s="1"/>
  <c r="B35" i="2"/>
  <c r="F35" i="2" l="1"/>
  <c r="C35" i="2"/>
  <c r="D36" i="2" s="1"/>
  <c r="E36" i="2" s="1"/>
  <c r="B34" i="2"/>
  <c r="C34" i="2" s="1"/>
  <c r="D35" i="2" l="1"/>
  <c r="H35" i="2" l="1"/>
  <c r="E35" i="2"/>
  <c r="E33" i="2" s="1"/>
  <c r="H33" i="2" s="1"/>
  <c r="I35" i="2"/>
</calcChain>
</file>

<file path=xl/sharedStrings.xml><?xml version="1.0" encoding="utf-8"?>
<sst xmlns="http://schemas.openxmlformats.org/spreadsheetml/2006/main" count="573" uniqueCount="294">
  <si>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</si>
  <si>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</si>
  <si>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</si>
  <si>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</si>
  <si>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</si>
  <si>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</si>
  <si>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</si>
  <si>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</si>
  <si>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</si>
  <si>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</si>
  <si>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</si>
  <si>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</si>
  <si>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</si>
  <si>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</si>
  <si>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</si>
  <si>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</si>
  <si>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</si>
  <si>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</si>
  <si>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</si>
  <si>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</si>
  <si>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</si>
  <si>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</si>
  <si>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</si>
  <si>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</si>
  <si>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</si>
  <si>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</si>
  <si>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</si>
  <si>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</si>
  <si>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</si>
  <si>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</si>
  <si>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</si>
  <si>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</si>
  <si>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</si>
  <si>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</si>
  <si>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</si>
  <si>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</si>
  <si>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</si>
  <si>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</si>
  <si>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</si>
  <si>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</si>
  <si>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</si>
  <si>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</si>
  <si>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</si>
  <si>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</si>
  <si>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</si>
  <si>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</si>
  <si>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</si>
  <si>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</si>
  <si>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</si>
  <si>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</si>
  <si>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</si>
  <si>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</si>
  <si>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</si>
  <si>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</si>
  <si>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</si>
  <si>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</si>
  <si>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</si>
  <si>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</si>
  <si>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</si>
  <si>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</si>
  <si>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</si>
  <si>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</si>
  <si>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</si>
  <si>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</si>
  <si>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</si>
  <si>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</si>
  <si>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</si>
  <si>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</si>
  <si>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</si>
  <si>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</si>
  <si>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</si>
  <si>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</si>
  <si>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</si>
  <si>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</si>
  <si>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</si>
  <si>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</si>
  <si>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</si>
  <si>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</si>
  <si>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</si>
  <si>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</si>
  <si>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</si>
  <si>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</si>
  <si>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</si>
  <si>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</si>
  <si>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</si>
  <si>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</si>
  <si>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</si>
  <si>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</si>
  <si>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</si>
  <si>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</si>
  <si>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</si>
  <si>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</si>
  <si>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</si>
  <si>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</si>
  <si>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</si>
  <si>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</si>
  <si>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</si>
  <si>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</si>
  <si>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</si>
  <si>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</si>
  <si>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</si>
  <si>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</si>
  <si>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</si>
  <si>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</si>
  <si>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</si>
  <si>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</si>
  <si>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</si>
  <si>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</si>
  <si>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</si>
  <si>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</si>
  <si>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</si>
  <si>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</si>
  <si>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</si>
  <si>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</si>
  <si>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</si>
  <si>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</si>
  <si>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</si>
  <si>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</si>
  <si>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</si>
  <si>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</si>
  <si>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</si>
  <si>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</si>
  <si>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</si>
  <si>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</si>
  <si>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</si>
  <si>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</si>
  <si>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</si>
  <si>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</si>
  <si>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</si>
  <si>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</si>
  <si>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</si>
  <si>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</si>
  <si>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</si>
  <si>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</si>
  <si>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</si>
  <si>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</si>
  <si>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</si>
  <si>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</si>
  <si>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</si>
  <si>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</si>
  <si>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</si>
  <si>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</si>
  <si>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</si>
  <si>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</si>
  <si>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</si>
  <si>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</si>
  <si>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</si>
  <si>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</si>
  <si>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</si>
  <si>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</si>
  <si>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</si>
  <si>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</si>
  <si>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</si>
  <si>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</si>
  <si>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</si>
  <si>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</si>
  <si>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</si>
  <si>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</si>
  <si>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</si>
  <si>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</si>
  <si>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</si>
  <si>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</si>
  <si>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</si>
  <si>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</si>
  <si>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</si>
  <si>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</si>
  <si>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</si>
  <si>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</si>
  <si>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</si>
  <si>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</si>
  <si>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</si>
  <si>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</si>
  <si>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</si>
  <si>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</si>
  <si>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</si>
  <si>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</si>
  <si>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</si>
  <si>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</si>
  <si>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</si>
  <si>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</si>
  <si>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</si>
  <si>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</si>
  <si>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</si>
  <si>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</si>
  <si>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</si>
  <si>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</si>
  <si>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</si>
  <si>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</si>
  <si>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</si>
  <si>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</si>
  <si>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</si>
  <si>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</si>
  <si>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</si>
  <si>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</si>
  <si>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</si>
  <si>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</si>
  <si>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</si>
  <si>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</si>
  <si>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</si>
  <si>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</si>
  <si>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</si>
  <si>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</si>
  <si>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</si>
  <si>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</si>
  <si>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</si>
  <si>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</si>
  <si>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</si>
  <si>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</si>
  <si>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</si>
  <si>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</si>
  <si>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</si>
  <si>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</si>
  <si>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</si>
  <si>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</si>
  <si>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</si>
  <si>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</si>
  <si>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</si>
  <si>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</si>
  <si>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</si>
  <si>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</si>
  <si>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</si>
  <si>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</si>
  <si>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</si>
  <si>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</si>
  <si>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</si>
  <si>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</si>
  <si>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</si>
  <si>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</si>
  <si>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</si>
  <si>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</si>
  <si>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</si>
  <si>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</si>
  <si>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</si>
  <si>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</si>
  <si>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</si>
  <si>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</si>
  <si>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</si>
  <si>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</si>
  <si>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</si>
  <si>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</si>
  <si>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</si>
  <si>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</si>
  <si>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</si>
  <si>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</si>
  <si>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</si>
  <si>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</si>
  <si>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</si>
  <si>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</si>
  <si>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</si>
  <si>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</si>
  <si>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</si>
  <si>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</si>
  <si>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</si>
  <si>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</si>
  <si>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</si>
  <si>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</si>
  <si>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</si>
  <si>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</si>
  <si>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</si>
  <si>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</si>
  <si>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</si>
  <si>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</si>
  <si>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</si>
  <si>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</si>
  <si>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</si>
  <si>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</si>
  <si>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</si>
  <si>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</si>
  <si>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</si>
  <si>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</si>
  <si>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</si>
  <si>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</si>
  <si>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</si>
  <si>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</si>
  <si>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</si>
  <si>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</si>
  <si>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</si>
  <si>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</si>
  <si>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</si>
  <si>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</si>
  <si>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</si>
  <si>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</si>
  <si>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</si>
  <si>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</si>
  <si>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</si>
  <si>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</si>
  <si>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</si>
  <si>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</si>
  <si>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</si>
  <si>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</si>
  <si>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</si>
  <si>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</si>
  <si>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</si>
  <si>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2020-10-04T10:01:53.875Z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</si>
</sst>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44080</c:v>
                </c:pt>
                <c:pt idx="1">
                  <c:v>44081</c:v>
                </c:pt>
                <c:pt idx="2">
                  <c:v>44082</c:v>
                </c:pt>
                <c:pt idx="3">
                  <c:v>44083</c:v>
                </c:pt>
                <c:pt idx="4">
                  <c:v>44084</c:v>
                </c:pt>
                <c:pt idx="5">
                  <c:v>44085</c:v>
                </c:pt>
                <c:pt idx="6">
                  <c:v>44086</c:v>
                </c:pt>
                <c:pt idx="7">
                  <c:v>44087</c:v>
                </c:pt>
                <c:pt idx="8">
                  <c:v>44088</c:v>
                </c:pt>
                <c:pt idx="9">
                  <c:v>44089</c:v>
                </c:pt>
                <c:pt idx="10">
                  <c:v>44090</c:v>
                </c:pt>
                <c:pt idx="11">
                  <c:v>44091</c:v>
                </c:pt>
                <c:pt idx="12">
                  <c:v>44092</c:v>
                </c:pt>
                <c:pt idx="13">
                  <c:v>44093</c:v>
                </c:pt>
                <c:pt idx="14">
                  <c:v>44094</c:v>
                </c:pt>
                <c:pt idx="15">
                  <c:v>44095</c:v>
                </c:pt>
                <c:pt idx="16">
                  <c:v>44096</c:v>
                </c:pt>
                <c:pt idx="17">
                  <c:v>44097</c:v>
                </c:pt>
                <c:pt idx="18">
                  <c:v>44098</c:v>
                </c:pt>
                <c:pt idx="19">
                  <c:v>44099</c:v>
                </c:pt>
                <c:pt idx="20">
                  <c:v>44100</c:v>
                </c:pt>
                <c:pt idx="21">
                  <c:v>44101</c:v>
                </c:pt>
                <c:pt idx="22">
                  <c:v>44102</c:v>
                </c:pt>
                <c:pt idx="23">
                  <c:v>44103</c:v>
                </c:pt>
                <c:pt idx="24">
                  <c:v>44104</c:v>
                </c:pt>
                <c:pt idx="25">
                  <c:v>44105</c:v>
                </c:pt>
                <c:pt idx="26">
                  <c:v>44106</c:v>
                </c:pt>
                <c:pt idx="27">
                  <c:v>44107</c:v>
                </c:pt>
              </c:numCache>
            </c:numRef>
          </c:cat>
          <c:val>
            <c:numRef>
              <c:f>Kuvaajat!$D$35:$D$62</c:f>
              <c:numCache>
                <c:formatCode>General</c:formatCode>
                <c:ptCount val="28"/>
                <c:pt idx="0">
                  <c:v>33</c:v>
                </c:pt>
                <c:pt idx="1">
                  <c:v>45</c:v>
                </c:pt>
                <c:pt idx="2">
                  <c:v>57</c:v>
                </c:pt>
                <c:pt idx="3">
                  <c:v>55</c:v>
                </c:pt>
                <c:pt idx="4">
                  <c:v>52</c:v>
                </c:pt>
                <c:pt idx="5">
                  <c:v>57</c:v>
                </c:pt>
                <c:pt idx="6">
                  <c:v>41</c:v>
                </c:pt>
                <c:pt idx="7">
                  <c:v>46</c:v>
                </c:pt>
                <c:pt idx="8">
                  <c:v>59</c:v>
                </c:pt>
                <c:pt idx="9">
                  <c:v>53</c:v>
                </c:pt>
                <c:pt idx="10">
                  <c:v>57</c:v>
                </c:pt>
                <c:pt idx="11">
                  <c:v>85</c:v>
                </c:pt>
                <c:pt idx="12">
                  <c:v>76</c:v>
                </c:pt>
                <c:pt idx="13">
                  <c:v>61</c:v>
                </c:pt>
                <c:pt idx="14">
                  <c:v>73</c:v>
                </c:pt>
                <c:pt idx="15">
                  <c:v>118</c:v>
                </c:pt>
                <c:pt idx="16">
                  <c:v>104</c:v>
                </c:pt>
                <c:pt idx="17">
                  <c:v>119</c:v>
                </c:pt>
                <c:pt idx="18">
                  <c:v>97</c:v>
                </c:pt>
                <c:pt idx="19">
                  <c:v>126</c:v>
                </c:pt>
                <c:pt idx="20">
                  <c:v>77</c:v>
                </c:pt>
                <c:pt idx="21">
                  <c:v>70</c:v>
                </c:pt>
                <c:pt idx="22">
                  <c:v>116</c:v>
                </c:pt>
                <c:pt idx="23">
                  <c:v>130</c:v>
                </c:pt>
                <c:pt idx="24">
                  <c:v>142</c:v>
                </c:pt>
                <c:pt idx="25">
                  <c:v>108</c:v>
                </c:pt>
                <c:pt idx="26">
                  <c:v>78</c:v>
                </c:pt>
                <c:pt idx="27">
                  <c:v>13</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Kuvaajat!$H$32</c:f>
          <c:strCache>
            <c:ptCount val="1"/>
            <c:pt idx="0">
              <c:v>Kirjattuja tapauksia 10538_x000d_ (punaisella uusimmat lisäykset 147).</c:v>
            </c:pt>
          </c:strCache>
        </c:strRef>
      </c:tx>
      <c:layout>
        <c:manualLayout>
          <c:xMode val="edge"/>
          <c:yMode val="edge"/>
          <c:x val="5.1125979243657561E-2"/>
          <c:y val="9.0903961556270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44080</c:v>
                </c:pt>
                <c:pt idx="1">
                  <c:v>44081</c:v>
                </c:pt>
                <c:pt idx="2">
                  <c:v>44082</c:v>
                </c:pt>
                <c:pt idx="3">
                  <c:v>44083</c:v>
                </c:pt>
                <c:pt idx="4">
                  <c:v>44084</c:v>
                </c:pt>
                <c:pt idx="5">
                  <c:v>44085</c:v>
                </c:pt>
                <c:pt idx="6">
                  <c:v>44086</c:v>
                </c:pt>
                <c:pt idx="7">
                  <c:v>44087</c:v>
                </c:pt>
                <c:pt idx="8">
                  <c:v>44088</c:v>
                </c:pt>
                <c:pt idx="9">
                  <c:v>44089</c:v>
                </c:pt>
                <c:pt idx="10">
                  <c:v>44090</c:v>
                </c:pt>
                <c:pt idx="11">
                  <c:v>44091</c:v>
                </c:pt>
                <c:pt idx="12">
                  <c:v>44092</c:v>
                </c:pt>
                <c:pt idx="13">
                  <c:v>44093</c:v>
                </c:pt>
                <c:pt idx="14">
                  <c:v>44094</c:v>
                </c:pt>
                <c:pt idx="15">
                  <c:v>44095</c:v>
                </c:pt>
                <c:pt idx="16">
                  <c:v>44096</c:v>
                </c:pt>
                <c:pt idx="17">
                  <c:v>44097</c:v>
                </c:pt>
                <c:pt idx="18">
                  <c:v>44098</c:v>
                </c:pt>
                <c:pt idx="19">
                  <c:v>44099</c:v>
                </c:pt>
                <c:pt idx="20">
                  <c:v>44100</c:v>
                </c:pt>
                <c:pt idx="21">
                  <c:v>44101</c:v>
                </c:pt>
                <c:pt idx="22">
                  <c:v>44102</c:v>
                </c:pt>
                <c:pt idx="23">
                  <c:v>44103</c:v>
                </c:pt>
                <c:pt idx="24">
                  <c:v>44104</c:v>
                </c:pt>
                <c:pt idx="25">
                  <c:v>44105</c:v>
                </c:pt>
                <c:pt idx="26">
                  <c:v>44106</c:v>
                </c:pt>
                <c:pt idx="27">
                  <c:v>44107</c:v>
                </c:pt>
              </c:numCache>
            </c:numRef>
          </c:cat>
          <c:val>
            <c:numRef>
              <c:f>Kuvaajat!$D$35:$D$62</c:f>
              <c:numCache>
                <c:formatCode>General</c:formatCode>
                <c:ptCount val="28"/>
                <c:pt idx="0">
                  <c:v>33</c:v>
                </c:pt>
                <c:pt idx="1">
                  <c:v>45</c:v>
                </c:pt>
                <c:pt idx="2">
                  <c:v>57</c:v>
                </c:pt>
                <c:pt idx="3">
                  <c:v>55</c:v>
                </c:pt>
                <c:pt idx="4">
                  <c:v>52</c:v>
                </c:pt>
                <c:pt idx="5">
                  <c:v>57</c:v>
                </c:pt>
                <c:pt idx="6">
                  <c:v>41</c:v>
                </c:pt>
                <c:pt idx="7">
                  <c:v>46</c:v>
                </c:pt>
                <c:pt idx="8">
                  <c:v>59</c:v>
                </c:pt>
                <c:pt idx="9">
                  <c:v>53</c:v>
                </c:pt>
                <c:pt idx="10">
                  <c:v>57</c:v>
                </c:pt>
                <c:pt idx="11">
                  <c:v>85</c:v>
                </c:pt>
                <c:pt idx="12">
                  <c:v>76</c:v>
                </c:pt>
                <c:pt idx="13">
                  <c:v>61</c:v>
                </c:pt>
                <c:pt idx="14">
                  <c:v>73</c:v>
                </c:pt>
                <c:pt idx="15">
                  <c:v>118</c:v>
                </c:pt>
                <c:pt idx="16">
                  <c:v>104</c:v>
                </c:pt>
                <c:pt idx="17">
                  <c:v>119</c:v>
                </c:pt>
                <c:pt idx="18">
                  <c:v>97</c:v>
                </c:pt>
                <c:pt idx="19">
                  <c:v>126</c:v>
                </c:pt>
                <c:pt idx="20">
                  <c:v>77</c:v>
                </c:pt>
                <c:pt idx="21">
                  <c:v>70</c:v>
                </c:pt>
                <c:pt idx="22">
                  <c:v>116</c:v>
                </c:pt>
                <c:pt idx="23">
                  <c:v>130</c:v>
                </c:pt>
                <c:pt idx="24">
                  <c:v>142</c:v>
                </c:pt>
                <c:pt idx="25">
                  <c:v>108</c:v>
                </c:pt>
                <c:pt idx="26">
                  <c:v>78</c:v>
                </c:pt>
                <c:pt idx="27">
                  <c:v>13</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44080</c:v>
                </c:pt>
                <c:pt idx="1">
                  <c:v>44081</c:v>
                </c:pt>
                <c:pt idx="2">
                  <c:v>44082</c:v>
                </c:pt>
                <c:pt idx="3">
                  <c:v>44083</c:v>
                </c:pt>
                <c:pt idx="4">
                  <c:v>44084</c:v>
                </c:pt>
                <c:pt idx="5">
                  <c:v>44085</c:v>
                </c:pt>
                <c:pt idx="6">
                  <c:v>44086</c:v>
                </c:pt>
                <c:pt idx="7">
                  <c:v>44087</c:v>
                </c:pt>
                <c:pt idx="8">
                  <c:v>44088</c:v>
                </c:pt>
                <c:pt idx="9">
                  <c:v>44089</c:v>
                </c:pt>
                <c:pt idx="10">
                  <c:v>44090</c:v>
                </c:pt>
                <c:pt idx="11">
                  <c:v>44091</c:v>
                </c:pt>
                <c:pt idx="12">
                  <c:v>44092</c:v>
                </c:pt>
                <c:pt idx="13">
                  <c:v>44093</c:v>
                </c:pt>
                <c:pt idx="14">
                  <c:v>44094</c:v>
                </c:pt>
                <c:pt idx="15">
                  <c:v>44095</c:v>
                </c:pt>
                <c:pt idx="16">
                  <c:v>44096</c:v>
                </c:pt>
                <c:pt idx="17">
                  <c:v>44097</c:v>
                </c:pt>
                <c:pt idx="18">
                  <c:v>44098</c:v>
                </c:pt>
                <c:pt idx="19">
                  <c:v>44099</c:v>
                </c:pt>
                <c:pt idx="20">
                  <c:v>44100</c:v>
                </c:pt>
                <c:pt idx="21">
                  <c:v>44101</c:v>
                </c:pt>
                <c:pt idx="22">
                  <c:v>44102</c:v>
                </c:pt>
                <c:pt idx="23">
                  <c:v>44103</c:v>
                </c:pt>
                <c:pt idx="24">
                  <c:v>44104</c:v>
                </c:pt>
                <c:pt idx="25">
                  <c:v>44105</c:v>
                </c:pt>
                <c:pt idx="26">
                  <c:v>44106</c:v>
                </c:pt>
                <c:pt idx="27">
                  <c:v>44107</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1</c:v>
                </c:pt>
                <c:pt idx="21">
                  <c:v>1</c:v>
                </c:pt>
                <c:pt idx="22">
                  <c:v>4</c:v>
                </c:pt>
                <c:pt idx="23">
                  <c:v>7</c:v>
                </c:pt>
                <c:pt idx="24">
                  <c:v>42</c:v>
                </c:pt>
                <c:pt idx="25">
                  <c:v>29</c:v>
                </c:pt>
                <c:pt idx="26">
                  <c:v>49</c:v>
                </c:pt>
                <c:pt idx="27">
                  <c:v>13</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92528</xdr:rowOff>
    </xdr:from>
    <xdr:to>
      <xdr:col>9</xdr:col>
      <xdr:colOff>119744</xdr:colOff>
      <xdr:row>13</xdr:row>
      <xdr:rowOff>157843</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473529</xdr:colOff>
          <xdr:row>10</xdr:row>
          <xdr:rowOff>168729</xdr:rowOff>
        </xdr:from>
        <xdr:to>
          <xdr:col>11</xdr:col>
          <xdr:colOff>174171</xdr:colOff>
          <xdr:row>12</xdr:row>
          <xdr:rowOff>174171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14</xdr:row>
      <xdr:rowOff>54429</xdr:rowOff>
    </xdr:from>
    <xdr:to>
      <xdr:col>13</xdr:col>
      <xdr:colOff>615043</xdr:colOff>
      <xdr:row>29</xdr:row>
      <xdr:rowOff>114301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30</xdr:row>
      <xdr:rowOff>32656</xdr:rowOff>
    </xdr:from>
    <xdr:to>
      <xdr:col>3</xdr:col>
      <xdr:colOff>506185</xdr:colOff>
      <xdr:row>30</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522513</xdr:colOff>
      <xdr:row>30</xdr:row>
      <xdr:rowOff>54427</xdr:rowOff>
    </xdr:from>
    <xdr:to>
      <xdr:col>13</xdr:col>
      <xdr:colOff>380999</xdr:colOff>
      <xdr:row>30</xdr:row>
      <xdr:rowOff>59870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053942" y="5562598"/>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364671</xdr:colOff>
      <xdr:row>30</xdr:row>
      <xdr:rowOff>38099</xdr:rowOff>
    </xdr:from>
    <xdr:to>
      <xdr:col>10</xdr:col>
      <xdr:colOff>223156</xdr:colOff>
      <xdr:row>30</xdr:row>
      <xdr:rowOff>43542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4936671" y="5546270"/>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157843</xdr:colOff>
      <xdr:row>30</xdr:row>
      <xdr:rowOff>27213</xdr:rowOff>
    </xdr:from>
    <xdr:to>
      <xdr:col>7</xdr:col>
      <xdr:colOff>16328</xdr:colOff>
      <xdr:row>30</xdr:row>
      <xdr:rowOff>32656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770414" y="5535384"/>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14" t="s">
        <v>10</v>
      </c>
      <c r="B2" s="15"/>
      <c r="C2" s="15"/>
      <c r="D2" s="15"/>
      <c r="E2" s="15"/>
      <c r="F2" s="15"/>
      <c r="G2" s="15"/>
    </row>
    <row r="3" spans="1:7">
      <c r="A3" s="15"/>
      <c r="B3" s="15"/>
      <c r="C3" s="15"/>
      <c r="D3" s="15"/>
      <c r="E3" s="15"/>
      <c r="F3" s="15"/>
      <c r="G3" s="15"/>
    </row>
    <row r="4" spans="1:7">
      <c r="A4" s="15"/>
      <c r="B4" s="15"/>
      <c r="C4" s="15"/>
      <c r="D4" s="15"/>
      <c r="E4" s="15"/>
      <c r="F4" s="15"/>
      <c r="G4" s="15"/>
    </row>
    <row r="5" spans="1:7">
      <c r="A5" s="15"/>
      <c r="B5" s="15"/>
      <c r="C5" s="15"/>
      <c r="D5" s="15"/>
      <c r="E5" s="15"/>
      <c r="F5" s="15"/>
      <c r="G5" s="15"/>
    </row>
    <row r="6" spans="1:7">
      <c r="A6" s="15"/>
      <c r="B6" s="15"/>
      <c r="C6" s="15"/>
      <c r="D6" s="15"/>
      <c r="E6" s="15"/>
      <c r="F6" s="15"/>
      <c r="G6" s="15"/>
    </row>
    <row r="7" spans="1:7">
      <c r="A7" s="15"/>
      <c r="B7" s="15"/>
      <c r="C7" s="15"/>
      <c r="D7" s="15"/>
      <c r="E7" s="15"/>
      <c r="F7" s="15"/>
      <c r="G7" s="15"/>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279"/>
  <sheetViews>
    <sheetView workbookViewId="0">
      <pane ySplit="1" topLeftCell="A260" activePane="bottomLeft" state="frozen"/>
      <selection pane="bottomLeft" activeCell="A281" sqref="A281"/>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291</v>
      </c>
      <c r="B1" s="1" t="s">
        <v>1</v>
      </c>
      <c r="C1" s="1" t="s">
        <v>9</v>
      </c>
      <c r="D1" s="1" t="s">
        <v>292</v>
      </c>
      <c r="E1" s="1" t="s">
        <v>292</v>
      </c>
      <c r="F1" s="6" t="s">
        <v>7</v>
      </c>
      <c r="G1" s="1" t="s">
        <v>0</v>
      </c>
      <c r="H1" s="7">
        <f>SUM(A:A)</f>
        <v>10538</v>
      </c>
      <c r="I1" s="8">
        <v>44108.53597222222</v>
      </c>
    </row>
    <row r="2" spans="1:9">
      <c r="A2">
        <v>0</v>
      </c>
      <c r="B2" t="s">
        <v>235</v>
      </c>
      <c r="C2" t="s">
        <v>8</v>
      </c>
      <c r="F2" s="5">
        <v>43831.625</v>
      </c>
    </row>
    <row r="3" spans="1:9">
      <c r="A3">
        <v>0</v>
      </c>
      <c r="B3" t="s">
        <v>236</v>
      </c>
      <c r="C3" t="s">
        <v>8</v>
      </c>
      <c r="F3" s="5">
        <v>43832.625</v>
      </c>
    </row>
    <row r="4" spans="1:9">
      <c r="A4">
        <v>0</v>
      </c>
      <c r="B4" t="s">
        <v>237</v>
      </c>
      <c r="C4" t="s">
        <v>8</v>
      </c>
      <c r="F4" s="5">
        <v>43833.625</v>
      </c>
    </row>
    <row r="5" spans="1:9">
      <c r="A5">
        <v>0</v>
      </c>
      <c r="B5" t="s">
        <v>238</v>
      </c>
      <c r="C5" t="s">
        <v>8</v>
      </c>
      <c r="F5" s="5">
        <v>43834.625</v>
      </c>
    </row>
    <row r="6" spans="1:9">
      <c r="A6">
        <v>0</v>
      </c>
      <c r="B6" t="s">
        <v>239</v>
      </c>
      <c r="C6" t="s">
        <v>8</v>
      </c>
      <c r="F6" s="5">
        <v>43835.625</v>
      </c>
    </row>
    <row r="7" spans="1:9">
      <c r="A7">
        <v>0</v>
      </c>
      <c r="B7" t="s">
        <v>240</v>
      </c>
      <c r="C7" t="s">
        <v>8</v>
      </c>
      <c r="F7" s="5">
        <v>43836.625</v>
      </c>
    </row>
    <row r="8" spans="1:9">
      <c r="A8">
        <v>0</v>
      </c>
      <c r="B8" t="s">
        <v>241</v>
      </c>
      <c r="C8" t="s">
        <v>8</v>
      </c>
      <c r="F8" s="5">
        <v>43837.625</v>
      </c>
      <c r="H8"/>
    </row>
    <row r="9" spans="1:9">
      <c r="A9">
        <v>0</v>
      </c>
      <c r="B9" t="s">
        <v>242</v>
      </c>
      <c r="C9" t="s">
        <v>8</v>
      </c>
      <c r="F9" s="5">
        <v>43838.625</v>
      </c>
      <c r="H9"/>
    </row>
    <row r="10" spans="1:9">
      <c r="A10">
        <v>0</v>
      </c>
      <c r="B10" t="s">
        <v>243</v>
      </c>
      <c r="C10" t="s">
        <v>8</v>
      </c>
      <c r="F10" s="5">
        <v>43839.625</v>
      </c>
      <c r="H10"/>
    </row>
    <row r="11" spans="1:9">
      <c r="A11">
        <v>0</v>
      </c>
      <c r="B11" t="s">
        <v>244</v>
      </c>
      <c r="C11" t="s">
        <v>8</v>
      </c>
      <c r="F11" s="5">
        <v>43840.625</v>
      </c>
    </row>
    <row r="12" spans="1:9">
      <c r="A12">
        <v>0</v>
      </c>
      <c r="B12" t="s">
        <v>245</v>
      </c>
      <c r="C12" t="s">
        <v>8</v>
      </c>
      <c r="F12" s="5">
        <v>43841.625</v>
      </c>
    </row>
    <row r="13" spans="1:9">
      <c r="A13">
        <v>0</v>
      </c>
      <c r="B13" t="s">
        <v>246</v>
      </c>
      <c r="C13" t="s">
        <v>8</v>
      </c>
      <c r="F13" s="5">
        <v>43842.625</v>
      </c>
    </row>
    <row r="14" spans="1:9">
      <c r="A14">
        <v>0</v>
      </c>
      <c r="B14" t="s">
        <v>247</v>
      </c>
      <c r="C14" t="s">
        <v>8</v>
      </c>
      <c r="F14" s="5">
        <v>43843.625</v>
      </c>
    </row>
    <row r="15" spans="1:9">
      <c r="A15">
        <v>0</v>
      </c>
      <c r="B15" t="s">
        <v>248</v>
      </c>
      <c r="C15" t="s">
        <v>8</v>
      </c>
      <c r="F15" s="5">
        <v>43844.625</v>
      </c>
    </row>
    <row r="16" spans="1:9">
      <c r="A16">
        <v>0</v>
      </c>
      <c r="B16" t="s">
        <v>249</v>
      </c>
      <c r="C16" t="s">
        <v>8</v>
      </c>
      <c r="F16" s="5">
        <v>43845.625</v>
      </c>
    </row>
    <row r="17" spans="1:6">
      <c r="A17">
        <v>0</v>
      </c>
      <c r="B17" t="s">
        <v>250</v>
      </c>
      <c r="C17" t="s">
        <v>8</v>
      </c>
      <c r="F17" s="5">
        <v>43846.625</v>
      </c>
    </row>
    <row r="18" spans="1:6">
      <c r="A18">
        <v>0</v>
      </c>
      <c r="B18" t="s">
        <v>251</v>
      </c>
      <c r="C18" t="s">
        <v>8</v>
      </c>
      <c r="F18" s="5">
        <v>43847.625</v>
      </c>
    </row>
    <row r="19" spans="1:6">
      <c r="A19">
        <v>0</v>
      </c>
      <c r="B19" t="s">
        <v>252</v>
      </c>
      <c r="C19" t="s">
        <v>8</v>
      </c>
      <c r="F19" s="5">
        <v>43848.625</v>
      </c>
    </row>
    <row r="20" spans="1:6">
      <c r="A20">
        <v>0</v>
      </c>
      <c r="B20" t="s">
        <v>253</v>
      </c>
      <c r="C20" t="s">
        <v>8</v>
      </c>
      <c r="F20" s="5">
        <v>43849.625</v>
      </c>
    </row>
    <row r="21" spans="1:6">
      <c r="A21">
        <v>0</v>
      </c>
      <c r="B21" t="s">
        <v>254</v>
      </c>
      <c r="C21" t="s">
        <v>8</v>
      </c>
      <c r="F21" s="5">
        <v>43850.625</v>
      </c>
    </row>
    <row r="22" spans="1:6">
      <c r="A22">
        <v>0</v>
      </c>
      <c r="B22" t="s">
        <v>255</v>
      </c>
      <c r="C22" t="s">
        <v>8</v>
      </c>
      <c r="F22" s="5">
        <v>43851.625</v>
      </c>
    </row>
    <row r="23" spans="1:6">
      <c r="A23">
        <v>0</v>
      </c>
      <c r="B23" t="s">
        <v>256</v>
      </c>
      <c r="C23" t="s">
        <v>8</v>
      </c>
      <c r="F23" s="5">
        <v>43852.625</v>
      </c>
    </row>
    <row r="24" spans="1:6">
      <c r="A24">
        <v>0</v>
      </c>
      <c r="B24" t="s">
        <v>257</v>
      </c>
      <c r="C24" t="s">
        <v>8</v>
      </c>
      <c r="F24" s="5">
        <v>43853.625</v>
      </c>
    </row>
    <row r="25" spans="1:6">
      <c r="A25">
        <v>0</v>
      </c>
      <c r="B25" t="s">
        <v>258</v>
      </c>
      <c r="C25" t="s">
        <v>8</v>
      </c>
      <c r="F25" s="5">
        <v>43854.625</v>
      </c>
    </row>
    <row r="26" spans="1:6">
      <c r="A26">
        <v>0</v>
      </c>
      <c r="B26" t="s">
        <v>259</v>
      </c>
      <c r="C26" t="s">
        <v>8</v>
      </c>
      <c r="F26" s="5">
        <v>43855.625</v>
      </c>
    </row>
    <row r="27" spans="1:6">
      <c r="A27">
        <v>0</v>
      </c>
      <c r="B27" t="s">
        <v>260</v>
      </c>
      <c r="C27" t="s">
        <v>8</v>
      </c>
      <c r="F27" s="5">
        <v>43856.625</v>
      </c>
    </row>
    <row r="28" spans="1:6">
      <c r="A28">
        <v>0</v>
      </c>
      <c r="B28" t="s">
        <v>261</v>
      </c>
      <c r="C28" t="s">
        <v>8</v>
      </c>
      <c r="F28" s="5">
        <v>43857.625</v>
      </c>
    </row>
    <row r="29" spans="1:6">
      <c r="A29">
        <v>1</v>
      </c>
      <c r="B29" t="s">
        <v>11</v>
      </c>
      <c r="C29" t="s">
        <v>8</v>
      </c>
      <c r="F29" s="5">
        <v>43858.625</v>
      </c>
    </row>
    <row r="30" spans="1:6">
      <c r="A30">
        <v>0</v>
      </c>
      <c r="B30" t="s">
        <v>262</v>
      </c>
      <c r="C30" t="s">
        <v>8</v>
      </c>
      <c r="F30" s="5">
        <v>43859.625</v>
      </c>
    </row>
    <row r="31" spans="1:6">
      <c r="A31">
        <v>0</v>
      </c>
      <c r="B31" t="s">
        <v>263</v>
      </c>
      <c r="C31" t="s">
        <v>8</v>
      </c>
      <c r="F31" s="5">
        <v>43860.625</v>
      </c>
    </row>
    <row r="32" spans="1:6">
      <c r="A32">
        <v>0</v>
      </c>
      <c r="B32" t="s">
        <v>264</v>
      </c>
      <c r="C32" t="s">
        <v>8</v>
      </c>
      <c r="F32" s="5">
        <v>43861.625</v>
      </c>
    </row>
    <row r="33" spans="1:6">
      <c r="A33">
        <v>0</v>
      </c>
      <c r="B33" t="s">
        <v>265</v>
      </c>
      <c r="C33" t="s">
        <v>8</v>
      </c>
      <c r="F33" s="5">
        <v>43862.625</v>
      </c>
    </row>
    <row r="34" spans="1:6">
      <c r="A34">
        <v>0</v>
      </c>
      <c r="B34" t="s">
        <v>266</v>
      </c>
      <c r="C34" t="s">
        <v>8</v>
      </c>
      <c r="F34" s="5">
        <v>43863.625</v>
      </c>
    </row>
    <row r="35" spans="1:6">
      <c r="A35">
        <v>0</v>
      </c>
      <c r="B35" t="s">
        <v>267</v>
      </c>
      <c r="C35" t="s">
        <v>8</v>
      </c>
      <c r="F35" s="5">
        <v>43864.625</v>
      </c>
    </row>
    <row r="36" spans="1:6">
      <c r="A36">
        <v>0</v>
      </c>
      <c r="B36" t="s">
        <v>268</v>
      </c>
      <c r="C36" t="s">
        <v>8</v>
      </c>
      <c r="F36" s="5">
        <v>43865.625</v>
      </c>
    </row>
    <row r="37" spans="1:6">
      <c r="A37">
        <v>0</v>
      </c>
      <c r="B37" t="s">
        <v>269</v>
      </c>
      <c r="C37" t="s">
        <v>8</v>
      </c>
      <c r="F37" s="5">
        <v>43866.625</v>
      </c>
    </row>
    <row r="38" spans="1:6">
      <c r="A38">
        <v>0</v>
      </c>
      <c r="B38" t="s">
        <v>270</v>
      </c>
      <c r="C38" t="s">
        <v>8</v>
      </c>
      <c r="F38" s="5">
        <v>43867.625</v>
      </c>
    </row>
    <row r="39" spans="1:6">
      <c r="A39">
        <v>0</v>
      </c>
      <c r="B39" t="s">
        <v>271</v>
      </c>
      <c r="C39" t="s">
        <v>8</v>
      </c>
      <c r="F39" s="5">
        <v>43868.625</v>
      </c>
    </row>
    <row r="40" spans="1:6">
      <c r="A40">
        <v>0</v>
      </c>
      <c r="B40" t="s">
        <v>272</v>
      </c>
      <c r="C40" t="s">
        <v>8</v>
      </c>
      <c r="F40" s="5">
        <v>43869.625</v>
      </c>
    </row>
    <row r="41" spans="1:6">
      <c r="A41">
        <v>0</v>
      </c>
      <c r="B41" t="s">
        <v>273</v>
      </c>
      <c r="C41" t="s">
        <v>8</v>
      </c>
      <c r="F41" s="5">
        <v>43870.625</v>
      </c>
    </row>
    <row r="42" spans="1:6">
      <c r="A42">
        <v>1</v>
      </c>
      <c r="B42" t="s">
        <v>12</v>
      </c>
      <c r="C42" t="s">
        <v>8</v>
      </c>
      <c r="F42" s="5">
        <v>43871.625</v>
      </c>
    </row>
    <row r="43" spans="1:6">
      <c r="A43">
        <v>0</v>
      </c>
      <c r="B43" t="s">
        <v>274</v>
      </c>
      <c r="C43" t="s">
        <v>8</v>
      </c>
      <c r="F43" s="5">
        <v>43872.625</v>
      </c>
    </row>
    <row r="44" spans="1:6">
      <c r="A44">
        <v>0</v>
      </c>
      <c r="B44" t="s">
        <v>275</v>
      </c>
      <c r="C44" t="s">
        <v>8</v>
      </c>
      <c r="F44" s="5">
        <v>43873.625</v>
      </c>
    </row>
    <row r="45" spans="1:6">
      <c r="A45">
        <v>0</v>
      </c>
      <c r="B45" t="s">
        <v>276</v>
      </c>
      <c r="C45" t="s">
        <v>8</v>
      </c>
      <c r="F45" s="5">
        <v>43874.625</v>
      </c>
    </row>
    <row r="46" spans="1:6">
      <c r="A46">
        <v>0</v>
      </c>
      <c r="B46" t="s">
        <v>277</v>
      </c>
      <c r="C46" t="s">
        <v>8</v>
      </c>
      <c r="F46" s="5">
        <v>43875.625</v>
      </c>
    </row>
    <row r="47" spans="1:6">
      <c r="A47">
        <v>0</v>
      </c>
      <c r="B47" t="s">
        <v>278</v>
      </c>
      <c r="C47" t="s">
        <v>8</v>
      </c>
      <c r="F47" s="5">
        <v>43876.625</v>
      </c>
    </row>
    <row r="48" spans="1:6">
      <c r="A48">
        <v>0</v>
      </c>
      <c r="B48" t="s">
        <v>279</v>
      </c>
      <c r="C48" t="s">
        <v>8</v>
      </c>
      <c r="F48" s="5">
        <v>43877.625</v>
      </c>
    </row>
    <row r="49" spans="1:6">
      <c r="A49">
        <v>0</v>
      </c>
      <c r="B49" t="s">
        <v>280</v>
      </c>
      <c r="C49" t="s">
        <v>8</v>
      </c>
      <c r="F49" s="5">
        <v>43878.625</v>
      </c>
    </row>
    <row r="50" spans="1:6">
      <c r="A50">
        <v>0</v>
      </c>
      <c r="B50" t="s">
        <v>281</v>
      </c>
      <c r="C50" t="s">
        <v>8</v>
      </c>
      <c r="F50" s="5">
        <v>43879.625</v>
      </c>
    </row>
    <row r="51" spans="1:6">
      <c r="A51">
        <v>0</v>
      </c>
      <c r="B51" t="s">
        <v>282</v>
      </c>
      <c r="C51" t="s">
        <v>8</v>
      </c>
      <c r="F51" s="5">
        <v>43880.625</v>
      </c>
    </row>
    <row r="52" spans="1:6">
      <c r="A52">
        <v>0</v>
      </c>
      <c r="B52" t="s">
        <v>283</v>
      </c>
      <c r="C52" t="s">
        <v>8</v>
      </c>
      <c r="F52" s="5">
        <v>43881.625</v>
      </c>
    </row>
    <row r="53" spans="1:6">
      <c r="A53">
        <v>0</v>
      </c>
      <c r="B53" t="s">
        <v>284</v>
      </c>
      <c r="C53" t="s">
        <v>8</v>
      </c>
      <c r="F53" s="5">
        <v>43882.625</v>
      </c>
    </row>
    <row r="54" spans="1:6">
      <c r="A54">
        <v>1</v>
      </c>
      <c r="B54" t="s">
        <v>13</v>
      </c>
      <c r="C54" t="s">
        <v>8</v>
      </c>
      <c r="F54" s="5">
        <v>43883.625</v>
      </c>
    </row>
    <row r="55" spans="1:6">
      <c r="A55">
        <v>0</v>
      </c>
      <c r="B55" t="s">
        <v>285</v>
      </c>
      <c r="C55" t="s">
        <v>8</v>
      </c>
      <c r="F55" s="5">
        <v>43884.625</v>
      </c>
    </row>
    <row r="56" spans="1:6">
      <c r="A56">
        <v>0</v>
      </c>
      <c r="B56" t="s">
        <v>286</v>
      </c>
      <c r="C56" t="s">
        <v>8</v>
      </c>
      <c r="F56" s="5">
        <v>43885.625</v>
      </c>
    </row>
    <row r="57" spans="1:6">
      <c r="A57">
        <v>1</v>
      </c>
      <c r="B57" t="s">
        <v>14</v>
      </c>
      <c r="C57" t="s">
        <v>8</v>
      </c>
      <c r="F57" s="5">
        <v>43886.625</v>
      </c>
    </row>
    <row r="58" spans="1:6">
      <c r="A58">
        <v>0</v>
      </c>
      <c r="B58" t="s">
        <v>287</v>
      </c>
      <c r="C58" t="s">
        <v>8</v>
      </c>
      <c r="F58" s="5">
        <v>43887.625</v>
      </c>
    </row>
    <row r="59" spans="1:6">
      <c r="A59">
        <v>1</v>
      </c>
      <c r="B59" t="s">
        <v>15</v>
      </c>
      <c r="C59" t="s">
        <v>8</v>
      </c>
      <c r="F59" s="5">
        <v>43888.625</v>
      </c>
    </row>
    <row r="60" spans="1:6">
      <c r="A60">
        <v>3</v>
      </c>
      <c r="B60" t="s">
        <v>16</v>
      </c>
      <c r="C60" t="s">
        <v>8</v>
      </c>
      <c r="F60" s="5">
        <v>43889.625</v>
      </c>
    </row>
    <row r="61" spans="1:6">
      <c r="A61">
        <v>1</v>
      </c>
      <c r="B61" t="s">
        <v>17</v>
      </c>
      <c r="C61" t="s">
        <v>8</v>
      </c>
      <c r="F61" s="5">
        <v>43890.625</v>
      </c>
    </row>
    <row r="62" spans="1:6">
      <c r="A62">
        <v>1</v>
      </c>
      <c r="B62" t="s">
        <v>18</v>
      </c>
      <c r="C62" t="s">
        <v>8</v>
      </c>
      <c r="F62" s="5">
        <v>43891.625</v>
      </c>
    </row>
    <row r="63" spans="1:6">
      <c r="A63">
        <v>0</v>
      </c>
      <c r="B63" t="s">
        <v>288</v>
      </c>
      <c r="C63" t="s">
        <v>8</v>
      </c>
      <c r="F63" s="5">
        <v>43892.625</v>
      </c>
    </row>
    <row r="64" spans="1:6">
      <c r="A64">
        <v>5</v>
      </c>
      <c r="B64" t="s">
        <v>19</v>
      </c>
      <c r="C64" t="s">
        <v>8</v>
      </c>
      <c r="F64" s="5">
        <v>43893.625</v>
      </c>
    </row>
    <row r="65" spans="1:6">
      <c r="A65">
        <v>6</v>
      </c>
      <c r="B65" t="s">
        <v>20</v>
      </c>
      <c r="C65" t="s">
        <v>8</v>
      </c>
      <c r="F65" s="5">
        <v>43894.625</v>
      </c>
    </row>
    <row r="66" spans="1:6">
      <c r="A66">
        <v>1</v>
      </c>
      <c r="B66" t="s">
        <v>21</v>
      </c>
      <c r="C66" t="s">
        <v>8</v>
      </c>
      <c r="F66" s="5">
        <v>43895.625</v>
      </c>
    </row>
    <row r="67" spans="1:6">
      <c r="A67">
        <v>7</v>
      </c>
      <c r="B67" t="s">
        <v>22</v>
      </c>
      <c r="C67" t="s">
        <v>8</v>
      </c>
      <c r="F67" s="5">
        <v>43896.625</v>
      </c>
    </row>
    <row r="68" spans="1:6">
      <c r="A68">
        <v>7</v>
      </c>
      <c r="B68" t="s">
        <v>23</v>
      </c>
      <c r="C68" t="s">
        <v>8</v>
      </c>
      <c r="F68" s="5">
        <v>43897.625</v>
      </c>
    </row>
    <row r="69" spans="1:6">
      <c r="A69">
        <v>9</v>
      </c>
      <c r="B69" t="s">
        <v>24</v>
      </c>
      <c r="C69" t="s">
        <v>8</v>
      </c>
      <c r="F69" s="5">
        <v>43898.625</v>
      </c>
    </row>
    <row r="70" spans="1:6">
      <c r="A70">
        <v>17</v>
      </c>
      <c r="B70" t="s">
        <v>25</v>
      </c>
      <c r="C70" t="s">
        <v>8</v>
      </c>
      <c r="F70" s="5">
        <v>43899.625</v>
      </c>
    </row>
    <row r="71" spans="1:6">
      <c r="A71">
        <v>54</v>
      </c>
      <c r="B71" t="s">
        <v>26</v>
      </c>
      <c r="C71" t="s">
        <v>8</v>
      </c>
      <c r="F71" s="5">
        <v>43900.625</v>
      </c>
    </row>
    <row r="72" spans="1:6">
      <c r="A72">
        <v>76</v>
      </c>
      <c r="B72" t="s">
        <v>27</v>
      </c>
      <c r="C72" t="s">
        <v>8</v>
      </c>
      <c r="F72" s="5">
        <v>43901.625</v>
      </c>
    </row>
    <row r="73" spans="1:6">
      <c r="A73">
        <v>61</v>
      </c>
      <c r="B73" t="s">
        <v>28</v>
      </c>
      <c r="C73" t="s">
        <v>8</v>
      </c>
      <c r="F73" s="5">
        <v>43902.625</v>
      </c>
    </row>
    <row r="74" spans="1:6">
      <c r="A74">
        <v>28</v>
      </c>
      <c r="B74" t="s">
        <v>29</v>
      </c>
      <c r="C74" t="s">
        <v>8</v>
      </c>
      <c r="F74" s="5">
        <v>43903.625</v>
      </c>
    </row>
    <row r="75" spans="1:6">
      <c r="A75">
        <v>29</v>
      </c>
      <c r="B75" t="s">
        <v>30</v>
      </c>
      <c r="C75" t="s">
        <v>8</v>
      </c>
      <c r="F75" s="5">
        <v>43904.625</v>
      </c>
    </row>
    <row r="76" spans="1:6">
      <c r="A76">
        <v>53</v>
      </c>
      <c r="B76" t="s">
        <v>31</v>
      </c>
      <c r="C76" t="s">
        <v>8</v>
      </c>
      <c r="F76" s="5">
        <v>43905.625</v>
      </c>
    </row>
    <row r="77" spans="1:6">
      <c r="A77">
        <v>52</v>
      </c>
      <c r="B77" t="s">
        <v>32</v>
      </c>
      <c r="C77" t="s">
        <v>8</v>
      </c>
      <c r="F77" s="5">
        <v>43906.625</v>
      </c>
    </row>
    <row r="78" spans="1:6">
      <c r="A78">
        <v>47</v>
      </c>
      <c r="B78" t="s">
        <v>33</v>
      </c>
      <c r="C78" t="s">
        <v>8</v>
      </c>
      <c r="F78" s="5">
        <v>43907.625</v>
      </c>
    </row>
    <row r="79" spans="1:6">
      <c r="A79">
        <v>90</v>
      </c>
      <c r="B79" t="s">
        <v>34</v>
      </c>
      <c r="C79" t="s">
        <v>8</v>
      </c>
      <c r="F79" s="5">
        <v>43908.625</v>
      </c>
    </row>
    <row r="80" spans="1:6">
      <c r="A80">
        <v>100</v>
      </c>
      <c r="B80" t="s">
        <v>35</v>
      </c>
      <c r="C80" t="s">
        <v>8</v>
      </c>
      <c r="F80" s="5">
        <v>43909.625</v>
      </c>
    </row>
    <row r="81" spans="1:6">
      <c r="A81">
        <v>87</v>
      </c>
      <c r="B81" t="s">
        <v>36</v>
      </c>
      <c r="C81" t="s">
        <v>8</v>
      </c>
      <c r="F81" s="5">
        <v>43910.625</v>
      </c>
    </row>
    <row r="82" spans="1:6">
      <c r="A82">
        <v>87</v>
      </c>
      <c r="B82" t="s">
        <v>37</v>
      </c>
      <c r="C82" t="s">
        <v>8</v>
      </c>
      <c r="F82" s="5">
        <v>43911.625</v>
      </c>
    </row>
    <row r="83" spans="1:6">
      <c r="A83">
        <v>78</v>
      </c>
      <c r="B83" t="s">
        <v>38</v>
      </c>
      <c r="C83" t="s">
        <v>8</v>
      </c>
      <c r="F83" s="5">
        <v>43912.625</v>
      </c>
    </row>
    <row r="84" spans="1:6">
      <c r="A84">
        <v>84</v>
      </c>
      <c r="B84" t="s">
        <v>39</v>
      </c>
      <c r="C84" t="s">
        <v>8</v>
      </c>
      <c r="F84" s="5">
        <v>43913.625</v>
      </c>
    </row>
    <row r="85" spans="1:6">
      <c r="A85">
        <v>99</v>
      </c>
      <c r="B85" t="s">
        <v>40</v>
      </c>
      <c r="C85" t="s">
        <v>8</v>
      </c>
      <c r="F85" s="5">
        <v>43914.625</v>
      </c>
    </row>
    <row r="86" spans="1:6">
      <c r="A86">
        <v>103</v>
      </c>
      <c r="B86" t="s">
        <v>41</v>
      </c>
      <c r="C86" t="s">
        <v>8</v>
      </c>
      <c r="F86" s="5">
        <v>43915.625</v>
      </c>
    </row>
    <row r="87" spans="1:6">
      <c r="A87">
        <v>114</v>
      </c>
      <c r="B87" t="s">
        <v>42</v>
      </c>
      <c r="C87" t="s">
        <v>8</v>
      </c>
      <c r="F87" s="5">
        <v>43916.625</v>
      </c>
    </row>
    <row r="88" spans="1:6">
      <c r="A88">
        <v>95</v>
      </c>
      <c r="B88" t="s">
        <v>43</v>
      </c>
      <c r="C88" t="s">
        <v>8</v>
      </c>
      <c r="F88" s="5">
        <v>43917.625</v>
      </c>
    </row>
    <row r="89" spans="1:6">
      <c r="A89">
        <v>77</v>
      </c>
      <c r="B89" t="s">
        <v>44</v>
      </c>
      <c r="C89" t="s">
        <v>8</v>
      </c>
      <c r="F89" s="5">
        <v>43918.625</v>
      </c>
    </row>
    <row r="90" spans="1:6">
      <c r="A90">
        <v>70</v>
      </c>
      <c r="B90" t="s">
        <v>45</v>
      </c>
      <c r="C90" t="s">
        <v>8</v>
      </c>
      <c r="F90" s="5">
        <v>43919.625</v>
      </c>
    </row>
    <row r="91" spans="1:6">
      <c r="A91">
        <v>129</v>
      </c>
      <c r="B91" t="s">
        <v>46</v>
      </c>
      <c r="C91" t="s">
        <v>8</v>
      </c>
      <c r="F91" s="5">
        <v>43920.625</v>
      </c>
    </row>
    <row r="92" spans="1:6">
      <c r="A92">
        <v>125</v>
      </c>
      <c r="B92" t="s">
        <v>47</v>
      </c>
      <c r="C92" t="s">
        <v>8</v>
      </c>
      <c r="F92" s="5">
        <v>43921.625</v>
      </c>
    </row>
    <row r="93" spans="1:6">
      <c r="A93">
        <v>149</v>
      </c>
      <c r="B93" t="s">
        <v>48</v>
      </c>
      <c r="C93" t="s">
        <v>8</v>
      </c>
      <c r="F93" s="5">
        <v>43922.625</v>
      </c>
    </row>
    <row r="94" spans="1:6">
      <c r="A94">
        <v>161</v>
      </c>
      <c r="B94" t="s">
        <v>49</v>
      </c>
      <c r="C94" t="s">
        <v>8</v>
      </c>
      <c r="F94" s="5">
        <v>43923.625</v>
      </c>
    </row>
    <row r="95" spans="1:6">
      <c r="A95">
        <v>199</v>
      </c>
      <c r="B95" t="s">
        <v>50</v>
      </c>
      <c r="C95" t="s">
        <v>8</v>
      </c>
      <c r="F95" s="5">
        <v>43924.625</v>
      </c>
    </row>
    <row r="96" spans="1:6">
      <c r="A96">
        <v>81</v>
      </c>
      <c r="B96" t="s">
        <v>51</v>
      </c>
      <c r="C96" t="s">
        <v>8</v>
      </c>
      <c r="F96" s="5">
        <v>43925.625</v>
      </c>
    </row>
    <row r="97" spans="1:6">
      <c r="A97">
        <v>119</v>
      </c>
      <c r="B97" s="1" t="s">
        <v>52</v>
      </c>
      <c r="C97" s="1" t="s">
        <v>8</v>
      </c>
      <c r="D97" s="1"/>
      <c r="E97" s="1"/>
      <c r="F97" s="6">
        <v>43926.625</v>
      </c>
    </row>
    <row r="98" spans="1:6">
      <c r="A98">
        <v>211</v>
      </c>
      <c r="B98" t="s">
        <v>53</v>
      </c>
      <c r="C98" t="s">
        <v>8</v>
      </c>
      <c r="F98" s="5">
        <v>43927.625</v>
      </c>
    </row>
    <row r="99" spans="1:6">
      <c r="A99">
        <v>199</v>
      </c>
      <c r="B99" t="s">
        <v>54</v>
      </c>
      <c r="C99" t="s">
        <v>8</v>
      </c>
      <c r="F99" s="5">
        <v>43928.625</v>
      </c>
    </row>
    <row r="100" spans="1:6">
      <c r="A100">
        <v>138</v>
      </c>
      <c r="B100" t="s">
        <v>55</v>
      </c>
      <c r="C100" t="s">
        <v>8</v>
      </c>
      <c r="F100" s="5">
        <v>43929.625</v>
      </c>
    </row>
    <row r="101" spans="1:6">
      <c r="A101">
        <v>158</v>
      </c>
      <c r="B101" t="s">
        <v>56</v>
      </c>
      <c r="C101" t="s">
        <v>8</v>
      </c>
      <c r="F101" s="5">
        <v>43930.625</v>
      </c>
    </row>
    <row r="102" spans="1:6">
      <c r="A102">
        <v>71</v>
      </c>
      <c r="B102" t="s">
        <v>57</v>
      </c>
      <c r="C102" t="s">
        <v>8</v>
      </c>
      <c r="F102" s="5">
        <v>43931.625</v>
      </c>
    </row>
    <row r="103" spans="1:6">
      <c r="A103">
        <v>75</v>
      </c>
      <c r="B103" t="s">
        <v>58</v>
      </c>
      <c r="C103" t="s">
        <v>8</v>
      </c>
      <c r="F103" s="5">
        <v>43932.625</v>
      </c>
    </row>
    <row r="104" spans="1:6">
      <c r="A104">
        <v>79</v>
      </c>
      <c r="B104" t="s">
        <v>59</v>
      </c>
      <c r="C104" t="s">
        <v>8</v>
      </c>
      <c r="F104" s="5">
        <v>43933.625</v>
      </c>
    </row>
    <row r="105" spans="1:6">
      <c r="A105">
        <v>117</v>
      </c>
      <c r="B105" t="s">
        <v>60</v>
      </c>
      <c r="C105" t="s">
        <v>8</v>
      </c>
      <c r="F105" s="5">
        <v>43934.625</v>
      </c>
    </row>
    <row r="106" spans="1:6">
      <c r="A106">
        <v>175</v>
      </c>
      <c r="B106" t="s">
        <v>61</v>
      </c>
      <c r="C106" t="s">
        <v>8</v>
      </c>
      <c r="F106" s="5">
        <v>43935.625</v>
      </c>
    </row>
    <row r="107" spans="1:6">
      <c r="A107">
        <v>129</v>
      </c>
      <c r="B107" t="s">
        <v>62</v>
      </c>
      <c r="C107" t="s">
        <v>8</v>
      </c>
      <c r="F107" s="5">
        <v>43936.625</v>
      </c>
    </row>
    <row r="108" spans="1:6">
      <c r="A108">
        <v>120</v>
      </c>
      <c r="B108" t="s">
        <v>63</v>
      </c>
      <c r="C108" t="s">
        <v>8</v>
      </c>
      <c r="F108" s="5">
        <v>43937.625</v>
      </c>
    </row>
    <row r="109" spans="1:6">
      <c r="A109">
        <v>125</v>
      </c>
      <c r="B109" t="s">
        <v>64</v>
      </c>
      <c r="C109" t="s">
        <v>8</v>
      </c>
      <c r="F109" s="5">
        <v>43938.625</v>
      </c>
    </row>
    <row r="110" spans="1:6">
      <c r="A110">
        <v>56</v>
      </c>
      <c r="B110" t="s">
        <v>65</v>
      </c>
      <c r="C110" t="s">
        <v>8</v>
      </c>
      <c r="F110" s="5">
        <v>43939.625</v>
      </c>
    </row>
    <row r="111" spans="1:6">
      <c r="A111">
        <v>67</v>
      </c>
      <c r="B111" t="s">
        <v>66</v>
      </c>
      <c r="C111" t="s">
        <v>8</v>
      </c>
      <c r="F111" s="5">
        <v>43940.625</v>
      </c>
    </row>
    <row r="112" spans="1:6">
      <c r="A112">
        <v>143</v>
      </c>
      <c r="B112" t="s">
        <v>67</v>
      </c>
      <c r="C112" t="s">
        <v>8</v>
      </c>
      <c r="F112" s="5">
        <v>43941.625</v>
      </c>
    </row>
    <row r="113" spans="1:6">
      <c r="A113">
        <v>112</v>
      </c>
      <c r="B113" t="s">
        <v>68</v>
      </c>
      <c r="C113" t="s">
        <v>8</v>
      </c>
      <c r="F113" s="5">
        <v>43942.625</v>
      </c>
    </row>
    <row r="114" spans="1:6">
      <c r="A114">
        <v>124</v>
      </c>
      <c r="B114" t="s">
        <v>69</v>
      </c>
      <c r="C114" t="s">
        <v>8</v>
      </c>
      <c r="F114" s="5">
        <v>43943.625</v>
      </c>
    </row>
    <row r="115" spans="1:6">
      <c r="A115">
        <v>116</v>
      </c>
      <c r="B115" t="s">
        <v>70</v>
      </c>
      <c r="C115" t="s">
        <v>8</v>
      </c>
      <c r="F115" s="5">
        <v>43944.625</v>
      </c>
    </row>
    <row r="116" spans="1:6">
      <c r="A116">
        <v>93</v>
      </c>
      <c r="B116" t="s">
        <v>71</v>
      </c>
      <c r="C116" t="s">
        <v>8</v>
      </c>
      <c r="F116" s="5">
        <v>43945.625</v>
      </c>
    </row>
    <row r="117" spans="1:6">
      <c r="A117">
        <v>76</v>
      </c>
      <c r="B117" t="s">
        <v>72</v>
      </c>
      <c r="C117" t="s">
        <v>8</v>
      </c>
      <c r="F117" s="5">
        <v>43946.625</v>
      </c>
    </row>
    <row r="118" spans="1:6">
      <c r="A118">
        <v>73</v>
      </c>
      <c r="B118" t="s">
        <v>73</v>
      </c>
      <c r="C118" t="s">
        <v>8</v>
      </c>
      <c r="F118" s="5">
        <v>43947.625</v>
      </c>
    </row>
    <row r="119" spans="1:6">
      <c r="A119">
        <v>124</v>
      </c>
      <c r="B119" t="s">
        <v>74</v>
      </c>
      <c r="C119" t="s">
        <v>8</v>
      </c>
      <c r="F119" s="5">
        <v>43948.625</v>
      </c>
    </row>
    <row r="120" spans="1:6">
      <c r="A120">
        <v>139</v>
      </c>
      <c r="B120" t="s">
        <v>75</v>
      </c>
      <c r="C120" t="s">
        <v>8</v>
      </c>
      <c r="F120" s="5">
        <v>43949.625</v>
      </c>
    </row>
    <row r="121" spans="1:6">
      <c r="A121">
        <v>106</v>
      </c>
      <c r="B121" t="s">
        <v>76</v>
      </c>
      <c r="C121" t="s">
        <v>8</v>
      </c>
      <c r="F121" s="5">
        <v>43950.625</v>
      </c>
    </row>
    <row r="122" spans="1:6">
      <c r="A122">
        <v>86</v>
      </c>
      <c r="B122" t="s">
        <v>77</v>
      </c>
      <c r="C122" t="s">
        <v>8</v>
      </c>
      <c r="F122" s="5">
        <v>43951.625</v>
      </c>
    </row>
    <row r="123" spans="1:6">
      <c r="A123">
        <v>48</v>
      </c>
      <c r="B123" t="s">
        <v>78</v>
      </c>
      <c r="C123" t="s">
        <v>8</v>
      </c>
      <c r="F123" s="5">
        <v>43952.625</v>
      </c>
    </row>
    <row r="124" spans="1:6">
      <c r="A124">
        <v>56</v>
      </c>
      <c r="B124" t="s">
        <v>79</v>
      </c>
      <c r="C124" t="s">
        <v>8</v>
      </c>
      <c r="F124" s="5">
        <v>43953.625</v>
      </c>
    </row>
    <row r="125" spans="1:6">
      <c r="A125">
        <v>61</v>
      </c>
      <c r="B125" t="s">
        <v>80</v>
      </c>
      <c r="C125" t="s">
        <v>8</v>
      </c>
      <c r="F125" s="5">
        <v>43954.625</v>
      </c>
    </row>
    <row r="126" spans="1:6">
      <c r="A126">
        <v>133</v>
      </c>
      <c r="B126" t="s">
        <v>81</v>
      </c>
      <c r="C126" t="s">
        <v>8</v>
      </c>
      <c r="F126" s="5">
        <v>43955.625</v>
      </c>
    </row>
    <row r="127" spans="1:6">
      <c r="A127">
        <v>125</v>
      </c>
      <c r="B127" t="s">
        <v>82</v>
      </c>
      <c r="C127" t="s">
        <v>8</v>
      </c>
      <c r="F127" s="5">
        <v>43956.625</v>
      </c>
    </row>
    <row r="128" spans="1:6">
      <c r="A128">
        <v>94</v>
      </c>
      <c r="B128" t="s">
        <v>83</v>
      </c>
      <c r="C128" t="s">
        <v>8</v>
      </c>
      <c r="F128" s="5">
        <v>43957.625</v>
      </c>
    </row>
    <row r="129" spans="1:6">
      <c r="A129">
        <v>108</v>
      </c>
      <c r="B129" t="s">
        <v>84</v>
      </c>
      <c r="C129" t="s">
        <v>8</v>
      </c>
      <c r="F129" s="5">
        <v>43958.625</v>
      </c>
    </row>
    <row r="130" spans="1:6">
      <c r="A130">
        <v>81</v>
      </c>
      <c r="B130" t="s">
        <v>85</v>
      </c>
      <c r="C130" t="s">
        <v>8</v>
      </c>
      <c r="F130" s="5">
        <v>43959.625</v>
      </c>
    </row>
    <row r="131" spans="1:6">
      <c r="A131">
        <v>47</v>
      </c>
      <c r="B131" t="s">
        <v>86</v>
      </c>
      <c r="C131" t="s">
        <v>8</v>
      </c>
      <c r="F131" s="5">
        <v>43960.625</v>
      </c>
    </row>
    <row r="132" spans="1:6">
      <c r="A132">
        <v>28</v>
      </c>
      <c r="B132" t="s">
        <v>87</v>
      </c>
      <c r="C132" t="s">
        <v>8</v>
      </c>
      <c r="F132" s="5">
        <v>43961.625</v>
      </c>
    </row>
    <row r="133" spans="1:6">
      <c r="A133">
        <v>93</v>
      </c>
      <c r="B133" t="s">
        <v>88</v>
      </c>
      <c r="C133" t="s">
        <v>8</v>
      </c>
      <c r="F133" s="5">
        <v>43962.625</v>
      </c>
    </row>
    <row r="134" spans="1:6">
      <c r="A134">
        <v>67</v>
      </c>
      <c r="B134" t="s">
        <v>89</v>
      </c>
      <c r="C134" t="s">
        <v>8</v>
      </c>
      <c r="F134" s="5">
        <v>43963.625</v>
      </c>
    </row>
    <row r="135" spans="1:6">
      <c r="A135">
        <v>79</v>
      </c>
      <c r="B135" t="s">
        <v>90</v>
      </c>
      <c r="C135" t="s">
        <v>8</v>
      </c>
      <c r="F135" s="5">
        <v>43964.625</v>
      </c>
    </row>
    <row r="136" spans="1:6">
      <c r="A136">
        <v>51</v>
      </c>
      <c r="B136" t="s">
        <v>91</v>
      </c>
      <c r="C136" t="s">
        <v>8</v>
      </c>
      <c r="F136" s="5">
        <v>43965.625</v>
      </c>
    </row>
    <row r="137" spans="1:6">
      <c r="A137">
        <v>55</v>
      </c>
      <c r="B137" t="s">
        <v>92</v>
      </c>
      <c r="C137" t="s">
        <v>8</v>
      </c>
      <c r="F137" s="5">
        <v>43966.625</v>
      </c>
    </row>
    <row r="138" spans="1:6">
      <c r="A138">
        <v>25</v>
      </c>
      <c r="B138" t="s">
        <v>93</v>
      </c>
      <c r="C138" t="s">
        <v>8</v>
      </c>
      <c r="F138" s="5">
        <v>43967.625</v>
      </c>
    </row>
    <row r="139" spans="1:6">
      <c r="A139">
        <v>30</v>
      </c>
      <c r="B139" t="s">
        <v>94</v>
      </c>
      <c r="C139" t="s">
        <v>8</v>
      </c>
      <c r="F139" s="5">
        <v>43968.625</v>
      </c>
    </row>
    <row r="140" spans="1:6">
      <c r="A140">
        <v>45</v>
      </c>
      <c r="B140" t="s">
        <v>95</v>
      </c>
      <c r="C140" t="s">
        <v>8</v>
      </c>
      <c r="F140" s="5">
        <v>43969.625</v>
      </c>
    </row>
    <row r="141" spans="1:6">
      <c r="A141">
        <v>41</v>
      </c>
      <c r="B141" t="s">
        <v>96</v>
      </c>
      <c r="C141" t="s">
        <v>8</v>
      </c>
      <c r="F141" s="5">
        <v>43970.625</v>
      </c>
    </row>
    <row r="142" spans="1:6">
      <c r="A142">
        <v>43</v>
      </c>
      <c r="B142" t="s">
        <v>97</v>
      </c>
      <c r="C142" t="s">
        <v>8</v>
      </c>
      <c r="F142" s="5">
        <v>43971.625</v>
      </c>
    </row>
    <row r="143" spans="1:6">
      <c r="A143">
        <v>22</v>
      </c>
      <c r="B143" t="s">
        <v>98</v>
      </c>
      <c r="C143" t="s">
        <v>8</v>
      </c>
      <c r="F143" s="5">
        <v>43972.625</v>
      </c>
    </row>
    <row r="144" spans="1:6">
      <c r="A144">
        <v>32</v>
      </c>
      <c r="B144" t="s">
        <v>99</v>
      </c>
      <c r="C144" t="s">
        <v>8</v>
      </c>
      <c r="F144" s="5">
        <v>43973.625</v>
      </c>
    </row>
    <row r="145" spans="1:6">
      <c r="A145">
        <v>17</v>
      </c>
      <c r="B145" t="s">
        <v>100</v>
      </c>
      <c r="C145" t="s">
        <v>8</v>
      </c>
      <c r="F145" s="5">
        <v>43974.625</v>
      </c>
    </row>
    <row r="146" spans="1:6">
      <c r="A146">
        <v>19</v>
      </c>
      <c r="B146" t="s">
        <v>101</v>
      </c>
      <c r="C146" t="s">
        <v>8</v>
      </c>
      <c r="F146" s="5">
        <v>43975.625</v>
      </c>
    </row>
    <row r="147" spans="1:6">
      <c r="A147">
        <v>45</v>
      </c>
      <c r="B147" t="s">
        <v>102</v>
      </c>
      <c r="C147" t="s">
        <v>8</v>
      </c>
      <c r="F147" s="5">
        <v>43976.625</v>
      </c>
    </row>
    <row r="148" spans="1:6">
      <c r="A148">
        <v>33</v>
      </c>
      <c r="B148" t="s">
        <v>103</v>
      </c>
      <c r="C148" t="s">
        <v>8</v>
      </c>
      <c r="F148" s="5">
        <v>43977.625</v>
      </c>
    </row>
    <row r="149" spans="1:6">
      <c r="A149">
        <v>12</v>
      </c>
      <c r="B149" t="s">
        <v>104</v>
      </c>
      <c r="C149" t="s">
        <v>8</v>
      </c>
      <c r="F149" s="5">
        <v>43978.625</v>
      </c>
    </row>
    <row r="150" spans="1:6">
      <c r="A150">
        <v>30</v>
      </c>
      <c r="B150" t="s">
        <v>105</v>
      </c>
      <c r="C150" t="s">
        <v>8</v>
      </c>
      <c r="F150" s="5">
        <v>43979.625</v>
      </c>
    </row>
    <row r="151" spans="1:6">
      <c r="A151">
        <v>21</v>
      </c>
      <c r="B151" t="s">
        <v>106</v>
      </c>
      <c r="C151" t="s">
        <v>8</v>
      </c>
      <c r="F151" s="5">
        <v>43980.625</v>
      </c>
    </row>
    <row r="152" spans="1:6">
      <c r="A152">
        <v>10</v>
      </c>
      <c r="B152" t="s">
        <v>107</v>
      </c>
      <c r="C152" t="s">
        <v>8</v>
      </c>
      <c r="F152" s="5">
        <v>43981.625</v>
      </c>
    </row>
    <row r="153" spans="1:6">
      <c r="A153">
        <v>12</v>
      </c>
      <c r="B153" t="s">
        <v>108</v>
      </c>
      <c r="C153" t="s">
        <v>8</v>
      </c>
      <c r="F153" s="5">
        <v>43982.625</v>
      </c>
    </row>
    <row r="154" spans="1:6">
      <c r="A154">
        <v>17</v>
      </c>
      <c r="B154" t="s">
        <v>109</v>
      </c>
      <c r="C154" t="s">
        <v>8</v>
      </c>
      <c r="F154" s="5">
        <v>43983.625</v>
      </c>
    </row>
    <row r="155" spans="1:6">
      <c r="A155">
        <v>15</v>
      </c>
      <c r="B155" t="s">
        <v>110</v>
      </c>
      <c r="C155" t="s">
        <v>8</v>
      </c>
      <c r="F155" s="5">
        <v>43984.625</v>
      </c>
    </row>
    <row r="156" spans="1:6">
      <c r="A156">
        <v>25</v>
      </c>
      <c r="B156" t="s">
        <v>111</v>
      </c>
      <c r="C156" t="s">
        <v>8</v>
      </c>
      <c r="F156" s="5">
        <v>43985.625</v>
      </c>
    </row>
    <row r="157" spans="1:6">
      <c r="A157">
        <v>12</v>
      </c>
      <c r="B157" t="s">
        <v>112</v>
      </c>
      <c r="C157" t="s">
        <v>8</v>
      </c>
      <c r="F157" s="5">
        <v>43986.625</v>
      </c>
    </row>
    <row r="158" spans="1:6">
      <c r="A158">
        <v>13</v>
      </c>
      <c r="B158" t="s">
        <v>113</v>
      </c>
      <c r="C158" t="s">
        <v>8</v>
      </c>
      <c r="F158" s="5">
        <v>43987.625</v>
      </c>
    </row>
    <row r="159" spans="1:6">
      <c r="A159">
        <v>13</v>
      </c>
      <c r="B159" t="s">
        <v>114</v>
      </c>
      <c r="C159" t="s">
        <v>8</v>
      </c>
      <c r="F159" s="5">
        <v>43988.625</v>
      </c>
    </row>
    <row r="160" spans="1:6">
      <c r="A160">
        <v>4</v>
      </c>
      <c r="B160" t="s">
        <v>115</v>
      </c>
      <c r="C160" t="s">
        <v>8</v>
      </c>
      <c r="F160" s="5">
        <v>43989.625</v>
      </c>
    </row>
    <row r="161" spans="1:6">
      <c r="A161">
        <v>10</v>
      </c>
      <c r="B161" t="s">
        <v>116</v>
      </c>
      <c r="C161" t="s">
        <v>8</v>
      </c>
      <c r="F161" s="5">
        <v>43990.625</v>
      </c>
    </row>
    <row r="162" spans="1:6">
      <c r="A162">
        <v>8</v>
      </c>
      <c r="B162" t="s">
        <v>117</v>
      </c>
      <c r="C162" t="s">
        <v>8</v>
      </c>
      <c r="F162" s="5">
        <v>43991.625</v>
      </c>
    </row>
    <row r="163" spans="1:6">
      <c r="A163">
        <v>7</v>
      </c>
      <c r="B163" t="s">
        <v>118</v>
      </c>
      <c r="C163" t="s">
        <v>8</v>
      </c>
      <c r="F163" s="5">
        <v>43992.625</v>
      </c>
    </row>
    <row r="164" spans="1:6">
      <c r="A164">
        <v>9</v>
      </c>
      <c r="B164" t="s">
        <v>119</v>
      </c>
      <c r="C164" t="s">
        <v>8</v>
      </c>
      <c r="F164" s="5">
        <v>43993.625</v>
      </c>
    </row>
    <row r="165" spans="1:6">
      <c r="A165">
        <v>13</v>
      </c>
      <c r="B165" t="s">
        <v>120</v>
      </c>
      <c r="C165" t="s">
        <v>8</v>
      </c>
      <c r="F165" s="5">
        <v>43994.625</v>
      </c>
    </row>
    <row r="166" spans="1:6">
      <c r="A166">
        <v>2</v>
      </c>
      <c r="B166" t="s">
        <v>121</v>
      </c>
      <c r="C166" t="s">
        <v>8</v>
      </c>
      <c r="F166" s="5">
        <v>43995.625</v>
      </c>
    </row>
    <row r="167" spans="1:6">
      <c r="A167">
        <v>5</v>
      </c>
      <c r="B167" t="s">
        <v>122</v>
      </c>
      <c r="C167" t="s">
        <v>8</v>
      </c>
      <c r="F167" s="5">
        <v>43996.625</v>
      </c>
    </row>
    <row r="168" spans="1:6">
      <c r="A168">
        <v>15</v>
      </c>
      <c r="B168" t="s">
        <v>123</v>
      </c>
      <c r="C168" t="s">
        <v>8</v>
      </c>
      <c r="F168" s="5">
        <v>43997.625</v>
      </c>
    </row>
    <row r="169" spans="1:6">
      <c r="A169">
        <v>8</v>
      </c>
      <c r="B169" t="s">
        <v>124</v>
      </c>
      <c r="C169" t="s">
        <v>8</v>
      </c>
      <c r="F169" s="5">
        <v>43998.625</v>
      </c>
    </row>
    <row r="170" spans="1:6">
      <c r="A170">
        <v>3</v>
      </c>
      <c r="B170" t="s">
        <v>125</v>
      </c>
      <c r="C170" t="s">
        <v>8</v>
      </c>
      <c r="F170" s="5">
        <v>43999.625</v>
      </c>
    </row>
    <row r="171" spans="1:6">
      <c r="A171">
        <v>8</v>
      </c>
      <c r="B171" t="s">
        <v>126</v>
      </c>
      <c r="C171" t="s">
        <v>8</v>
      </c>
      <c r="F171" s="5">
        <v>44000.625</v>
      </c>
    </row>
    <row r="172" spans="1:6">
      <c r="A172">
        <v>0</v>
      </c>
      <c r="B172" t="s">
        <v>289</v>
      </c>
      <c r="C172" t="s">
        <v>8</v>
      </c>
      <c r="F172" s="5">
        <v>44001.625</v>
      </c>
    </row>
    <row r="173" spans="1:6">
      <c r="A173">
        <v>2</v>
      </c>
      <c r="B173" t="s">
        <v>127</v>
      </c>
      <c r="C173" t="s">
        <v>8</v>
      </c>
      <c r="F173" s="5">
        <v>44002.625</v>
      </c>
    </row>
    <row r="174" spans="1:6">
      <c r="A174">
        <v>13</v>
      </c>
      <c r="B174" t="s">
        <v>128</v>
      </c>
      <c r="C174" t="s">
        <v>8</v>
      </c>
      <c r="F174" s="5">
        <v>44003.625</v>
      </c>
    </row>
    <row r="175" spans="1:6">
      <c r="A175">
        <v>5</v>
      </c>
      <c r="B175" t="s">
        <v>129</v>
      </c>
      <c r="C175" t="s">
        <v>8</v>
      </c>
      <c r="F175" s="5">
        <v>44004.625</v>
      </c>
    </row>
    <row r="176" spans="1:6">
      <c r="A176">
        <v>5</v>
      </c>
      <c r="B176" t="s">
        <v>130</v>
      </c>
      <c r="C176" t="s">
        <v>8</v>
      </c>
      <c r="F176" s="5">
        <v>44005.625</v>
      </c>
    </row>
    <row r="177" spans="1:6">
      <c r="A177">
        <v>16</v>
      </c>
      <c r="B177" t="s">
        <v>131</v>
      </c>
      <c r="C177" t="s">
        <v>8</v>
      </c>
      <c r="F177" s="5">
        <v>44006.625</v>
      </c>
    </row>
    <row r="178" spans="1:6">
      <c r="A178">
        <v>14</v>
      </c>
      <c r="B178" t="s">
        <v>132</v>
      </c>
      <c r="C178" t="s">
        <v>8</v>
      </c>
      <c r="F178" s="5">
        <v>44007.625</v>
      </c>
    </row>
    <row r="179" spans="1:6">
      <c r="A179">
        <v>3</v>
      </c>
      <c r="B179" t="s">
        <v>133</v>
      </c>
      <c r="C179" t="s">
        <v>8</v>
      </c>
      <c r="F179" s="5">
        <v>44008.625</v>
      </c>
    </row>
    <row r="180" spans="1:6">
      <c r="A180">
        <v>2</v>
      </c>
      <c r="B180" t="s">
        <v>134</v>
      </c>
      <c r="C180" t="s">
        <v>8</v>
      </c>
      <c r="F180" s="5">
        <v>44009.625</v>
      </c>
    </row>
    <row r="181" spans="1:6">
      <c r="A181">
        <v>7</v>
      </c>
      <c r="B181" t="s">
        <v>135</v>
      </c>
      <c r="C181" t="s">
        <v>8</v>
      </c>
      <c r="F181" s="5">
        <v>44010.625</v>
      </c>
    </row>
    <row r="182" spans="1:6">
      <c r="A182">
        <v>15</v>
      </c>
      <c r="B182" t="s">
        <v>136</v>
      </c>
      <c r="C182" t="s">
        <v>8</v>
      </c>
      <c r="F182" s="5">
        <v>44011.625</v>
      </c>
    </row>
    <row r="183" spans="1:6">
      <c r="A183">
        <v>10</v>
      </c>
      <c r="B183" t="s">
        <v>137</v>
      </c>
      <c r="C183" t="s">
        <v>8</v>
      </c>
      <c r="F183" s="5">
        <v>44012.625</v>
      </c>
    </row>
    <row r="184" spans="1:6">
      <c r="A184">
        <v>2</v>
      </c>
      <c r="B184" t="s">
        <v>138</v>
      </c>
      <c r="C184" t="s">
        <v>8</v>
      </c>
      <c r="F184" s="5">
        <v>44013.625</v>
      </c>
    </row>
    <row r="185" spans="1:6">
      <c r="A185">
        <v>7</v>
      </c>
      <c r="B185" t="s">
        <v>139</v>
      </c>
      <c r="C185" t="s">
        <v>8</v>
      </c>
      <c r="F185" s="5">
        <v>44014.625</v>
      </c>
    </row>
    <row r="186" spans="1:6">
      <c r="A186">
        <v>5</v>
      </c>
      <c r="B186" t="s">
        <v>140</v>
      </c>
      <c r="C186" t="s">
        <v>8</v>
      </c>
      <c r="F186" s="5">
        <v>44015.625</v>
      </c>
    </row>
    <row r="187" spans="1:6">
      <c r="A187">
        <v>2</v>
      </c>
      <c r="B187" t="s">
        <v>141</v>
      </c>
      <c r="C187" t="s">
        <v>8</v>
      </c>
      <c r="F187" s="5">
        <v>44016.625</v>
      </c>
    </row>
    <row r="188" spans="1:6">
      <c r="A188">
        <v>3</v>
      </c>
      <c r="B188" t="s">
        <v>142</v>
      </c>
      <c r="C188" t="s">
        <v>8</v>
      </c>
      <c r="F188" s="5">
        <v>44017.625</v>
      </c>
    </row>
    <row r="189" spans="1:6">
      <c r="A189">
        <v>6</v>
      </c>
      <c r="B189" t="s">
        <v>143</v>
      </c>
      <c r="C189" t="s">
        <v>8</v>
      </c>
      <c r="F189" s="5">
        <v>44018.625</v>
      </c>
    </row>
    <row r="190" spans="1:6">
      <c r="A190">
        <v>3</v>
      </c>
      <c r="B190" t="s">
        <v>144</v>
      </c>
      <c r="C190" t="s">
        <v>8</v>
      </c>
      <c r="F190" s="5">
        <v>44019.625</v>
      </c>
    </row>
    <row r="191" spans="1:6">
      <c r="A191">
        <v>9</v>
      </c>
      <c r="B191" t="s">
        <v>145</v>
      </c>
      <c r="C191" t="s">
        <v>8</v>
      </c>
      <c r="F191" s="5">
        <v>44020.625</v>
      </c>
    </row>
    <row r="192" spans="1:6">
      <c r="A192">
        <v>8</v>
      </c>
      <c r="B192" t="s">
        <v>146</v>
      </c>
      <c r="C192" t="s">
        <v>8</v>
      </c>
      <c r="F192" s="5">
        <v>44021.625</v>
      </c>
    </row>
    <row r="193" spans="1:6">
      <c r="A193">
        <v>7</v>
      </c>
      <c r="B193" t="s">
        <v>147</v>
      </c>
      <c r="C193" t="s">
        <v>8</v>
      </c>
      <c r="F193" s="5">
        <v>44022.625</v>
      </c>
    </row>
    <row r="194" spans="1:6">
      <c r="A194">
        <v>0</v>
      </c>
      <c r="B194" t="s">
        <v>290</v>
      </c>
      <c r="C194" t="s">
        <v>8</v>
      </c>
      <c r="F194" s="5">
        <v>44023.625</v>
      </c>
    </row>
    <row r="195" spans="1:6">
      <c r="A195">
        <v>4</v>
      </c>
      <c r="B195" t="s">
        <v>148</v>
      </c>
      <c r="C195" t="s">
        <v>8</v>
      </c>
      <c r="F195" s="5">
        <v>44024.625</v>
      </c>
    </row>
    <row r="196" spans="1:6">
      <c r="A196">
        <v>7</v>
      </c>
      <c r="B196" t="s">
        <v>149</v>
      </c>
      <c r="C196" t="s">
        <v>8</v>
      </c>
      <c r="F196" s="5">
        <v>44025.625</v>
      </c>
    </row>
    <row r="197" spans="1:6">
      <c r="A197">
        <v>5</v>
      </c>
      <c r="B197" t="s">
        <v>150</v>
      </c>
      <c r="C197" t="s">
        <v>8</v>
      </c>
      <c r="F197" s="5">
        <v>44026.625</v>
      </c>
    </row>
    <row r="198" spans="1:6">
      <c r="A198">
        <v>5</v>
      </c>
      <c r="B198" t="s">
        <v>151</v>
      </c>
      <c r="C198" t="s">
        <v>8</v>
      </c>
      <c r="F198" s="5">
        <v>44027.625</v>
      </c>
    </row>
    <row r="199" spans="1:6">
      <c r="A199">
        <v>9</v>
      </c>
      <c r="B199" t="s">
        <v>152</v>
      </c>
      <c r="C199" t="s">
        <v>8</v>
      </c>
      <c r="F199" s="5">
        <v>44028.625</v>
      </c>
    </row>
    <row r="200" spans="1:6">
      <c r="A200">
        <v>6</v>
      </c>
      <c r="B200" t="s">
        <v>153</v>
      </c>
      <c r="C200" t="s">
        <v>8</v>
      </c>
      <c r="F200" s="5">
        <v>44029.625</v>
      </c>
    </row>
    <row r="201" spans="1:6">
      <c r="A201">
        <v>7</v>
      </c>
      <c r="B201" t="s">
        <v>154</v>
      </c>
      <c r="C201" t="s">
        <v>8</v>
      </c>
      <c r="F201" s="5">
        <v>44030.625</v>
      </c>
    </row>
    <row r="202" spans="1:6">
      <c r="A202">
        <v>5</v>
      </c>
      <c r="B202" t="s">
        <v>155</v>
      </c>
      <c r="C202" t="s">
        <v>8</v>
      </c>
      <c r="F202" s="5">
        <v>44031.625</v>
      </c>
    </row>
    <row r="203" spans="1:6">
      <c r="A203">
        <v>12</v>
      </c>
      <c r="B203" t="s">
        <v>156</v>
      </c>
      <c r="C203" t="s">
        <v>8</v>
      </c>
      <c r="F203" s="5">
        <v>44032.625</v>
      </c>
    </row>
    <row r="204" spans="1:6">
      <c r="A204">
        <v>8</v>
      </c>
      <c r="B204" t="s">
        <v>157</v>
      </c>
      <c r="C204" t="s">
        <v>8</v>
      </c>
      <c r="F204" s="5">
        <v>44033.625</v>
      </c>
    </row>
    <row r="205" spans="1:6">
      <c r="A205">
        <v>11</v>
      </c>
      <c r="B205" t="s">
        <v>158</v>
      </c>
      <c r="C205" t="s">
        <v>8</v>
      </c>
      <c r="F205" s="5">
        <v>44034.625</v>
      </c>
    </row>
    <row r="206" spans="1:6">
      <c r="A206">
        <v>3</v>
      </c>
      <c r="B206" t="s">
        <v>159</v>
      </c>
      <c r="C206" t="s">
        <v>8</v>
      </c>
      <c r="F206" s="5">
        <v>44035.625</v>
      </c>
    </row>
    <row r="207" spans="1:6">
      <c r="A207">
        <v>10</v>
      </c>
      <c r="B207" t="s">
        <v>160</v>
      </c>
      <c r="C207" t="s">
        <v>8</v>
      </c>
      <c r="F207" s="5">
        <v>44036.625</v>
      </c>
    </row>
    <row r="208" spans="1:6">
      <c r="A208">
        <v>4</v>
      </c>
      <c r="B208" t="s">
        <v>161</v>
      </c>
      <c r="C208" t="s">
        <v>8</v>
      </c>
      <c r="F208" s="5">
        <v>44037.625</v>
      </c>
    </row>
    <row r="209" spans="1:6">
      <c r="A209">
        <v>8</v>
      </c>
      <c r="B209" t="s">
        <v>162</v>
      </c>
      <c r="C209" t="s">
        <v>8</v>
      </c>
      <c r="F209" s="5">
        <v>44038.625</v>
      </c>
    </row>
    <row r="210" spans="1:6">
      <c r="A210">
        <v>13</v>
      </c>
      <c r="B210" t="s">
        <v>163</v>
      </c>
      <c r="C210" t="s">
        <v>8</v>
      </c>
      <c r="F210" s="5">
        <v>44039.625</v>
      </c>
    </row>
    <row r="211" spans="1:6">
      <c r="A211">
        <v>9</v>
      </c>
      <c r="B211" t="s">
        <v>164</v>
      </c>
      <c r="C211" t="s">
        <v>8</v>
      </c>
      <c r="F211" s="5">
        <v>44040.625</v>
      </c>
    </row>
    <row r="212" spans="1:6">
      <c r="A212">
        <v>12</v>
      </c>
      <c r="B212" t="s">
        <v>165</v>
      </c>
      <c r="C212" t="s">
        <v>8</v>
      </c>
      <c r="F212" s="5">
        <v>44041.625</v>
      </c>
    </row>
    <row r="213" spans="1:6">
      <c r="A213">
        <v>8</v>
      </c>
      <c r="B213" t="s">
        <v>166</v>
      </c>
      <c r="C213" t="s">
        <v>8</v>
      </c>
      <c r="F213" s="5">
        <v>44042.625</v>
      </c>
    </row>
    <row r="214" spans="1:6">
      <c r="A214">
        <v>18</v>
      </c>
      <c r="B214" t="s">
        <v>167</v>
      </c>
      <c r="C214" t="s">
        <v>8</v>
      </c>
      <c r="F214" s="5">
        <v>44043.625</v>
      </c>
    </row>
    <row r="215" spans="1:6">
      <c r="A215">
        <v>14</v>
      </c>
      <c r="B215" t="s">
        <v>168</v>
      </c>
      <c r="C215" t="s">
        <v>8</v>
      </c>
      <c r="F215" s="5">
        <v>44044.625</v>
      </c>
    </row>
    <row r="216" spans="1:6">
      <c r="A216">
        <v>10</v>
      </c>
      <c r="B216" t="s">
        <v>169</v>
      </c>
      <c r="C216" t="s">
        <v>8</v>
      </c>
      <c r="F216" s="5">
        <v>44045.625</v>
      </c>
    </row>
    <row r="217" spans="1:6">
      <c r="A217">
        <v>35</v>
      </c>
      <c r="B217" t="s">
        <v>170</v>
      </c>
      <c r="C217" t="s">
        <v>8</v>
      </c>
      <c r="F217" s="5">
        <v>44046.625</v>
      </c>
    </row>
    <row r="218" spans="1:6">
      <c r="A218">
        <v>21</v>
      </c>
      <c r="B218" t="s">
        <v>171</v>
      </c>
      <c r="C218" t="s">
        <v>8</v>
      </c>
      <c r="F218" s="5">
        <v>44047.625</v>
      </c>
    </row>
    <row r="219" spans="1:6">
      <c r="A219">
        <v>29</v>
      </c>
      <c r="B219" t="s">
        <v>172</v>
      </c>
      <c r="C219" t="s">
        <v>8</v>
      </c>
      <c r="F219" s="5">
        <v>44048.625</v>
      </c>
    </row>
    <row r="220" spans="1:6">
      <c r="A220">
        <v>22</v>
      </c>
      <c r="B220" t="s">
        <v>173</v>
      </c>
      <c r="C220" t="s">
        <v>8</v>
      </c>
      <c r="F220" s="5">
        <v>44049.625</v>
      </c>
    </row>
    <row r="221" spans="1:6">
      <c r="A221">
        <v>17</v>
      </c>
      <c r="B221" t="s">
        <v>174</v>
      </c>
      <c r="C221" t="s">
        <v>8</v>
      </c>
      <c r="F221" s="5">
        <v>44050.625</v>
      </c>
    </row>
    <row r="222" spans="1:6">
      <c r="A222">
        <v>9</v>
      </c>
      <c r="B222" t="s">
        <v>175</v>
      </c>
      <c r="C222" t="s">
        <v>8</v>
      </c>
      <c r="F222" s="5">
        <v>44051.625</v>
      </c>
    </row>
    <row r="223" spans="1:6">
      <c r="A223">
        <v>35</v>
      </c>
      <c r="B223" t="s">
        <v>176</v>
      </c>
      <c r="C223" t="s">
        <v>8</v>
      </c>
      <c r="F223" s="5">
        <v>44052.625</v>
      </c>
    </row>
    <row r="224" spans="1:6">
      <c r="A224">
        <v>15</v>
      </c>
      <c r="B224" t="s">
        <v>177</v>
      </c>
      <c r="C224" t="s">
        <v>8</v>
      </c>
      <c r="F224" s="5">
        <v>44053.625</v>
      </c>
    </row>
    <row r="225" spans="1:6">
      <c r="A225">
        <v>27</v>
      </c>
      <c r="B225" t="s">
        <v>178</v>
      </c>
      <c r="C225" t="s">
        <v>8</v>
      </c>
      <c r="F225" s="5">
        <v>44054.625</v>
      </c>
    </row>
    <row r="226" spans="1:6">
      <c r="A226">
        <v>26</v>
      </c>
      <c r="B226" t="s">
        <v>179</v>
      </c>
      <c r="C226" t="s">
        <v>8</v>
      </c>
      <c r="F226" s="5">
        <v>44055.625</v>
      </c>
    </row>
    <row r="227" spans="1:6">
      <c r="A227">
        <v>22</v>
      </c>
      <c r="B227" t="s">
        <v>180</v>
      </c>
      <c r="C227" t="s">
        <v>8</v>
      </c>
      <c r="F227" s="5">
        <v>44056.625</v>
      </c>
    </row>
    <row r="228" spans="1:6">
      <c r="A228">
        <v>28</v>
      </c>
      <c r="B228" t="s">
        <v>181</v>
      </c>
      <c r="C228" t="s">
        <v>8</v>
      </c>
      <c r="F228" s="5">
        <v>44057.625</v>
      </c>
    </row>
    <row r="229" spans="1:6">
      <c r="A229">
        <v>13</v>
      </c>
      <c r="B229" t="s">
        <v>182</v>
      </c>
      <c r="C229" t="s">
        <v>8</v>
      </c>
      <c r="F229" s="5">
        <v>44058.625</v>
      </c>
    </row>
    <row r="230" spans="1:6">
      <c r="A230">
        <v>43</v>
      </c>
      <c r="B230" t="s">
        <v>183</v>
      </c>
      <c r="C230" t="s">
        <v>8</v>
      </c>
      <c r="F230" s="5">
        <v>44059.625</v>
      </c>
    </row>
    <row r="231" spans="1:6">
      <c r="A231">
        <v>27</v>
      </c>
      <c r="B231" t="s">
        <v>184</v>
      </c>
      <c r="C231" t="s">
        <v>8</v>
      </c>
      <c r="F231" s="5">
        <v>44060.625</v>
      </c>
    </row>
    <row r="232" spans="1:6">
      <c r="A232">
        <v>39</v>
      </c>
      <c r="B232" t="s">
        <v>185</v>
      </c>
      <c r="C232" t="s">
        <v>8</v>
      </c>
      <c r="F232" s="5">
        <v>44061.625</v>
      </c>
    </row>
    <row r="233" spans="1:6">
      <c r="A233">
        <v>47</v>
      </c>
      <c r="B233" t="s">
        <v>186</v>
      </c>
      <c r="C233" t="s">
        <v>8</v>
      </c>
      <c r="F233" s="5">
        <v>44062.625</v>
      </c>
    </row>
    <row r="234" spans="1:6">
      <c r="A234">
        <v>26</v>
      </c>
      <c r="B234" t="s">
        <v>187</v>
      </c>
      <c r="C234" t="s">
        <v>8</v>
      </c>
      <c r="F234" s="5">
        <v>44063.625</v>
      </c>
    </row>
    <row r="235" spans="1:6">
      <c r="A235">
        <v>25</v>
      </c>
      <c r="B235" t="s">
        <v>188</v>
      </c>
      <c r="C235" t="s">
        <v>8</v>
      </c>
      <c r="F235" s="5">
        <v>44064.625</v>
      </c>
    </row>
    <row r="236" spans="1:6">
      <c r="A236">
        <v>16</v>
      </c>
      <c r="B236" t="s">
        <v>189</v>
      </c>
      <c r="C236" t="s">
        <v>8</v>
      </c>
      <c r="F236" s="5">
        <v>44065.625</v>
      </c>
    </row>
    <row r="237" spans="1:6">
      <c r="A237">
        <v>10</v>
      </c>
      <c r="B237" t="s">
        <v>190</v>
      </c>
      <c r="C237" t="s">
        <v>8</v>
      </c>
      <c r="F237" s="5">
        <v>44066.625</v>
      </c>
    </row>
    <row r="238" spans="1:6">
      <c r="A238">
        <v>17</v>
      </c>
      <c r="B238" t="s">
        <v>191</v>
      </c>
      <c r="C238" t="s">
        <v>8</v>
      </c>
      <c r="F238" s="5">
        <v>44067.625</v>
      </c>
    </row>
    <row r="239" spans="1:6">
      <c r="A239">
        <v>15</v>
      </c>
      <c r="B239" t="s">
        <v>192</v>
      </c>
      <c r="C239" t="s">
        <v>8</v>
      </c>
      <c r="F239" s="5">
        <v>44068.625</v>
      </c>
    </row>
    <row r="240" spans="1:6">
      <c r="A240">
        <v>20</v>
      </c>
      <c r="B240" t="s">
        <v>193</v>
      </c>
      <c r="C240" t="s">
        <v>8</v>
      </c>
      <c r="F240" s="5">
        <v>44069.625</v>
      </c>
    </row>
    <row r="241" spans="1:6">
      <c r="A241">
        <v>32</v>
      </c>
      <c r="B241" t="s">
        <v>194</v>
      </c>
      <c r="C241" t="s">
        <v>8</v>
      </c>
      <c r="F241" s="5">
        <v>44070.625</v>
      </c>
    </row>
    <row r="242" spans="1:6">
      <c r="A242">
        <v>33</v>
      </c>
      <c r="B242" t="s">
        <v>195</v>
      </c>
      <c r="C242" t="s">
        <v>8</v>
      </c>
      <c r="F242" s="5">
        <v>44071.625</v>
      </c>
    </row>
    <row r="243" spans="1:6">
      <c r="A243">
        <v>19</v>
      </c>
      <c r="B243" t="s">
        <v>196</v>
      </c>
      <c r="C243" t="s">
        <v>8</v>
      </c>
      <c r="F243" s="5">
        <v>44072.625</v>
      </c>
    </row>
    <row r="244" spans="1:6">
      <c r="A244">
        <v>17</v>
      </c>
      <c r="B244" t="s">
        <v>197</v>
      </c>
      <c r="C244" t="s">
        <v>8</v>
      </c>
      <c r="F244" s="5">
        <v>44073.625</v>
      </c>
    </row>
    <row r="245" spans="1:6">
      <c r="A245">
        <v>48</v>
      </c>
      <c r="B245" t="s">
        <v>198</v>
      </c>
      <c r="C245" t="s">
        <v>8</v>
      </c>
      <c r="F245" s="5">
        <v>44074.625</v>
      </c>
    </row>
    <row r="246" spans="1:6">
      <c r="A246">
        <v>29</v>
      </c>
      <c r="B246" t="s">
        <v>199</v>
      </c>
      <c r="C246" t="s">
        <v>8</v>
      </c>
      <c r="F246" s="5">
        <v>44075.625</v>
      </c>
    </row>
    <row r="247" spans="1:6">
      <c r="A247">
        <v>26</v>
      </c>
      <c r="B247" t="s">
        <v>200</v>
      </c>
      <c r="C247" t="s">
        <v>8</v>
      </c>
      <c r="F247" s="5">
        <v>44076.625</v>
      </c>
    </row>
    <row r="248" spans="1:6">
      <c r="A248">
        <v>35</v>
      </c>
      <c r="B248" t="s">
        <v>201</v>
      </c>
      <c r="C248" t="s">
        <v>8</v>
      </c>
      <c r="F248" s="5">
        <v>44077.625</v>
      </c>
    </row>
    <row r="249" spans="1:6">
      <c r="A249">
        <v>42</v>
      </c>
      <c r="B249" t="s">
        <v>202</v>
      </c>
      <c r="C249" t="s">
        <v>8</v>
      </c>
      <c r="F249" s="5">
        <v>44078.625</v>
      </c>
    </row>
    <row r="250" spans="1:6">
      <c r="A250">
        <v>22</v>
      </c>
      <c r="B250" t="s">
        <v>203</v>
      </c>
      <c r="C250" t="s">
        <v>8</v>
      </c>
      <c r="F250" s="5">
        <v>44079.625</v>
      </c>
    </row>
    <row r="251" spans="1:6">
      <c r="A251">
        <v>33</v>
      </c>
      <c r="B251" t="s">
        <v>204</v>
      </c>
      <c r="C251" t="s">
        <v>8</v>
      </c>
      <c r="F251" s="5">
        <v>44080.625</v>
      </c>
    </row>
    <row r="252" spans="1:6">
      <c r="A252">
        <v>45</v>
      </c>
      <c r="B252" t="s">
        <v>205</v>
      </c>
      <c r="C252" t="s">
        <v>8</v>
      </c>
      <c r="F252" s="5">
        <v>44081.625</v>
      </c>
    </row>
    <row r="253" spans="1:6">
      <c r="A253">
        <v>57</v>
      </c>
      <c r="B253" t="s">
        <v>206</v>
      </c>
      <c r="C253" t="s">
        <v>8</v>
      </c>
      <c r="F253" s="5">
        <v>44082.625</v>
      </c>
    </row>
    <row r="254" spans="1:6">
      <c r="A254">
        <v>55</v>
      </c>
      <c r="B254" t="s">
        <v>207</v>
      </c>
      <c r="C254" t="s">
        <v>8</v>
      </c>
      <c r="F254" s="5">
        <v>44083.625</v>
      </c>
    </row>
    <row r="255" spans="1:6">
      <c r="A255">
        <v>52</v>
      </c>
      <c r="B255" t="s">
        <v>208</v>
      </c>
      <c r="C255" t="s">
        <v>8</v>
      </c>
      <c r="F255" s="5">
        <v>44084.625</v>
      </c>
    </row>
    <row r="256" spans="1:6">
      <c r="A256">
        <v>57</v>
      </c>
      <c r="B256" t="s">
        <v>209</v>
      </c>
      <c r="C256" t="s">
        <v>8</v>
      </c>
      <c r="F256" s="5">
        <v>44085.625</v>
      </c>
    </row>
    <row r="257" spans="1:6">
      <c r="A257">
        <v>41</v>
      </c>
      <c r="B257" t="s">
        <v>210</v>
      </c>
      <c r="C257" t="s">
        <v>8</v>
      </c>
      <c r="F257" s="5">
        <v>44086.625</v>
      </c>
    </row>
    <row r="258" spans="1:6">
      <c r="A258">
        <v>46</v>
      </c>
      <c r="B258" t="s">
        <v>211</v>
      </c>
      <c r="C258" t="s">
        <v>8</v>
      </c>
      <c r="F258" s="5">
        <v>44087.625</v>
      </c>
    </row>
    <row r="259" spans="1:6">
      <c r="A259">
        <v>59</v>
      </c>
      <c r="B259" t="s">
        <v>212</v>
      </c>
      <c r="C259" t="s">
        <v>8</v>
      </c>
      <c r="F259" s="5">
        <v>44088.625</v>
      </c>
    </row>
    <row r="260" spans="1:6">
      <c r="A260">
        <v>53</v>
      </c>
      <c r="B260" t="s">
        <v>213</v>
      </c>
      <c r="C260" t="s">
        <v>8</v>
      </c>
      <c r="F260" s="5">
        <v>44089.625</v>
      </c>
    </row>
    <row r="261" spans="1:6">
      <c r="A261">
        <v>57</v>
      </c>
      <c r="B261" t="s">
        <v>214</v>
      </c>
      <c r="C261" t="s">
        <v>8</v>
      </c>
      <c r="F261" s="5">
        <v>44090.625</v>
      </c>
    </row>
    <row r="262" spans="1:6">
      <c r="A262">
        <v>85</v>
      </c>
      <c r="B262" t="s">
        <v>215</v>
      </c>
      <c r="C262" t="s">
        <v>8</v>
      </c>
      <c r="F262" s="5">
        <v>44091.625</v>
      </c>
    </row>
    <row r="263" spans="1:6">
      <c r="A263">
        <v>76</v>
      </c>
      <c r="B263" t="s">
        <v>216</v>
      </c>
      <c r="C263" t="s">
        <v>8</v>
      </c>
      <c r="F263" s="5">
        <v>44092.625</v>
      </c>
    </row>
    <row r="264" spans="1:6">
      <c r="A264">
        <v>61</v>
      </c>
      <c r="B264" t="s">
        <v>217</v>
      </c>
      <c r="C264" t="s">
        <v>8</v>
      </c>
      <c r="F264" s="5">
        <v>44093.625</v>
      </c>
    </row>
    <row r="265" spans="1:6">
      <c r="A265">
        <v>73</v>
      </c>
      <c r="B265" t="s">
        <v>218</v>
      </c>
      <c r="C265" t="s">
        <v>8</v>
      </c>
      <c r="F265" s="5">
        <v>44094.625</v>
      </c>
    </row>
    <row r="266" spans="1:6">
      <c r="A266">
        <v>118</v>
      </c>
      <c r="B266" t="s">
        <v>219</v>
      </c>
      <c r="C266" t="s">
        <v>8</v>
      </c>
      <c r="F266" s="5">
        <v>44095.625</v>
      </c>
    </row>
    <row r="267" spans="1:6">
      <c r="A267">
        <v>104</v>
      </c>
      <c r="B267" t="s">
        <v>220</v>
      </c>
      <c r="C267" t="s">
        <v>8</v>
      </c>
      <c r="F267" s="5">
        <v>44096.625</v>
      </c>
    </row>
    <row r="268" spans="1:6">
      <c r="A268">
        <v>119</v>
      </c>
      <c r="B268" t="s">
        <v>221</v>
      </c>
      <c r="C268" t="s">
        <v>8</v>
      </c>
      <c r="F268" s="5">
        <v>44097.625</v>
      </c>
    </row>
    <row r="269" spans="1:6">
      <c r="A269">
        <v>97</v>
      </c>
      <c r="B269" t="s">
        <v>222</v>
      </c>
      <c r="C269" t="s">
        <v>8</v>
      </c>
      <c r="F269" s="5">
        <v>44098.625</v>
      </c>
    </row>
    <row r="270" spans="1:6">
      <c r="A270">
        <v>126</v>
      </c>
      <c r="B270" t="s">
        <v>223</v>
      </c>
      <c r="C270" t="s">
        <v>8</v>
      </c>
      <c r="F270" s="5">
        <v>44099.625</v>
      </c>
    </row>
    <row r="271" spans="1:6">
      <c r="A271">
        <v>77</v>
      </c>
      <c r="B271" t="s">
        <v>224</v>
      </c>
      <c r="C271" t="s">
        <v>8</v>
      </c>
      <c r="F271" s="5">
        <v>44100.625</v>
      </c>
    </row>
    <row r="272" spans="1:6">
      <c r="A272">
        <v>70</v>
      </c>
      <c r="B272" t="s">
        <v>225</v>
      </c>
      <c r="C272" t="s">
        <v>8</v>
      </c>
      <c r="F272" s="5">
        <v>44101.625</v>
      </c>
    </row>
    <row r="273" spans="1:6">
      <c r="A273">
        <v>116</v>
      </c>
      <c r="B273" t="s">
        <v>226</v>
      </c>
      <c r="C273" t="s">
        <v>8</v>
      </c>
      <c r="F273" s="5">
        <v>44102.625</v>
      </c>
    </row>
    <row r="274" spans="1:6">
      <c r="A274">
        <v>130</v>
      </c>
      <c r="B274" t="s">
        <v>227</v>
      </c>
      <c r="C274" t="s">
        <v>8</v>
      </c>
      <c r="F274" s="5">
        <v>44103.625</v>
      </c>
    </row>
    <row r="275" spans="1:6">
      <c r="A275">
        <v>142</v>
      </c>
      <c r="B275" t="s">
        <v>229</v>
      </c>
      <c r="C275" t="s">
        <v>8</v>
      </c>
      <c r="F275" s="5">
        <v>44104.625</v>
      </c>
    </row>
    <row r="276" spans="1:6">
      <c r="A276">
        <v>108</v>
      </c>
      <c r="B276" t="s">
        <v>231</v>
      </c>
      <c r="C276" t="s">
        <v>8</v>
      </c>
      <c r="F276" s="5">
        <v>44105.625</v>
      </c>
    </row>
    <row r="277" spans="1:6">
      <c r="A277">
        <v>78</v>
      </c>
      <c r="B277" t="s">
        <v>232</v>
      </c>
      <c r="C277" t="s">
        <v>8</v>
      </c>
      <c r="F277" s="5">
        <v>44106.625</v>
      </c>
    </row>
    <row r="278" spans="1:6">
      <c r="A278">
        <v>13</v>
      </c>
      <c r="B278" t="s">
        <v>234</v>
      </c>
      <c r="C278" t="s">
        <v>8</v>
      </c>
      <c r="F278" s="5">
        <v>44107.625</v>
      </c>
    </row>
    <row r="279" spans="1:6">
      <c r="A279">
        <v>0</v>
      </c>
      <c r="B279" t="s">
        <v>293</v>
      </c>
      <c r="C279" t="s">
        <v>8</v>
      </c>
      <c r="F279" s="5">
        <v>44108.417974537035</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R65"/>
  <sheetViews>
    <sheetView tabSelected="1" workbookViewId="0"/>
  </sheetViews>
  <sheetFormatPr defaultRowHeight="14.6"/>
  <cols>
    <col min="3" max="3" width="10.84375" bestFit="1" customWidth="1"/>
    <col min="11" max="11" width="9.23046875" style="4"/>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2:8">
      <c r="B17" s="4"/>
    </row>
    <row r="18" spans="2:8">
      <c r="B18" s="4"/>
    </row>
    <row r="19" spans="2:8">
      <c r="B19" s="4"/>
    </row>
    <row r="20" spans="2:8">
      <c r="B20" s="4"/>
    </row>
    <row r="21" spans="2:8">
      <c r="B21" s="4"/>
    </row>
    <row r="22" spans="2:8">
      <c r="B22" s="4"/>
    </row>
    <row r="23" spans="2:8">
      <c r="B23" s="4"/>
    </row>
    <row r="24" spans="2:8">
      <c r="B24" s="4"/>
    </row>
    <row r="25" spans="2:8">
      <c r="B25" s="4"/>
    </row>
    <row r="26" spans="2:8">
      <c r="B26" s="4"/>
    </row>
    <row r="27" spans="2:8">
      <c r="B27" s="4"/>
    </row>
    <row r="28" spans="2:8">
      <c r="B28" s="4"/>
    </row>
    <row r="29" spans="2:8">
      <c r="B29" s="4"/>
    </row>
    <row r="30" spans="2:8">
      <c r="B30" s="4"/>
    </row>
    <row r="31" spans="2:8">
      <c r="B31" s="4"/>
    </row>
    <row r="32" spans="2:8">
      <c r="B32" s="4"/>
      <c r="H32" t="str">
        <f ca="1">"Kirjattuja tapauksia "&amp;C63&amp;CHAR(13)&amp;" (punaisella uusimmat lisäykset "&amp;L63&amp;")."</f>
        <v>Kirjattuja tapauksia 10538_x000D_ (punaisella uusimmat lisäykset 147).</v>
      </c>
    </row>
    <row r="33" spans="2:18">
      <c r="B33" s="4" t="s">
        <v>5</v>
      </c>
      <c r="C33" t="s">
        <v>0</v>
      </c>
      <c r="D33" t="s">
        <v>6</v>
      </c>
      <c r="E33">
        <f ca="1">SUM(E35:E63)</f>
        <v>147</v>
      </c>
      <c r="F33" t="s">
        <v>228</v>
      </c>
      <c r="H33" t="str">
        <f ca="1">"Uusia COVID-19 tapauksia "&amp;(C63-N63)&amp;" (vanhoja yli 4 vko kirjauksia "&amp;(C63-N63-E33)&amp;"). Yhteensä "&amp;C62&amp;".  Edelliset 7 päivää ("&amp;H56&amp;" päivittyy), "&amp;H49&amp;", "&amp;H42&amp;" ja "&amp;H35&amp;". https://github.com/jussivirkkala/excel https://thl.fi/fi/web/infektiotaudit-ja-rokotukset/ajankohtaista/ajankohtaista-koronaviruksesta-covid-19/tilannekatsaus-koronaviruksesta"</f>
        <v>Uusia COVID-19 tapauksia 147 (vanhoja yli 4 vko kirjauksia 0). Yhteensä 10538.  Edelliset 7 päivää (657 päivittyy), 714, 437 ja 340. https://github.com/jussivirkkala/excel https://thl.fi/fi/web/infektiotaudit-ja-rokotukset/ajankohtaista/ajankohtaista-koronaviruksesta-covid-19/tilannekatsaus-koronaviruksesta</v>
      </c>
    </row>
    <row r="34" spans="2:18">
      <c r="B34" s="4">
        <f ca="1">B35-1</f>
        <v>44079</v>
      </c>
      <c r="C34" s="11">
        <f t="shared" ref="C34:C63" ca="1" si="0">SUMIF(aika,"&lt;"&amp;(B34+1),Id)</f>
        <v>8390</v>
      </c>
    </row>
    <row r="35" spans="2:18" s="10" customFormat="1">
      <c r="B35" s="9">
        <f t="shared" ref="B35:B60" ca="1" si="1">B36-1</f>
        <v>44080</v>
      </c>
      <c r="C35" s="11">
        <f t="shared" ca="1" si="0"/>
        <v>8423</v>
      </c>
      <c r="D35" s="10">
        <f t="shared" ref="D35" ca="1" si="2">C35-C34</f>
        <v>33</v>
      </c>
      <c r="E35" s="11">
        <f t="shared" ref="E35:E62" ca="1" si="3">_xlfn.IFNA(D35-F35,"")</f>
        <v>0</v>
      </c>
      <c r="F35" s="11">
        <f t="shared" ref="F35:F63" ca="1" si="4">VLOOKUP(B35,Previous,3,FALSE)</f>
        <v>33</v>
      </c>
      <c r="H35" s="10">
        <f ca="1">SUM(D35:D41)</f>
        <v>340</v>
      </c>
      <c r="I35" s="10">
        <f ca="1">SUM(D35:D48)</f>
        <v>777</v>
      </c>
      <c r="K35" s="9"/>
      <c r="M35" s="4">
        <v>44080</v>
      </c>
      <c r="N35">
        <v>8423</v>
      </c>
      <c r="O35">
        <v>33</v>
      </c>
      <c r="P35" s="13">
        <v>44080</v>
      </c>
      <c r="Q35">
        <v>8423</v>
      </c>
      <c r="R35">
        <v>33</v>
      </c>
    </row>
    <row r="36" spans="2:18">
      <c r="B36" s="4">
        <f t="shared" ca="1" si="1"/>
        <v>44081</v>
      </c>
      <c r="C36" s="11">
        <f t="shared" ca="1" si="0"/>
        <v>8468</v>
      </c>
      <c r="D36">
        <f t="shared" ref="D36" ca="1" si="5">C36-C35</f>
        <v>45</v>
      </c>
      <c r="E36" s="11">
        <f t="shared" ca="1" si="3"/>
        <v>0</v>
      </c>
      <c r="F36" s="11">
        <f t="shared" ca="1" si="4"/>
        <v>45</v>
      </c>
      <c r="M36" s="4">
        <v>44081</v>
      </c>
      <c r="N36">
        <v>8468</v>
      </c>
      <c r="O36">
        <v>45</v>
      </c>
      <c r="P36" s="13">
        <v>44081</v>
      </c>
      <c r="Q36">
        <v>8468</v>
      </c>
      <c r="R36">
        <v>45</v>
      </c>
    </row>
    <row r="37" spans="2:18">
      <c r="B37" s="4">
        <f t="shared" ca="1" si="1"/>
        <v>44082</v>
      </c>
      <c r="C37" s="11">
        <f t="shared" ca="1" si="0"/>
        <v>8525</v>
      </c>
      <c r="D37">
        <f t="shared" ref="D37" ca="1" si="6">C37-C36</f>
        <v>57</v>
      </c>
      <c r="E37" s="11">
        <f t="shared" ca="1" si="3"/>
        <v>0</v>
      </c>
      <c r="F37" s="11">
        <f t="shared" ca="1" si="4"/>
        <v>57</v>
      </c>
      <c r="M37" s="13">
        <v>44082</v>
      </c>
      <c r="N37">
        <v>8525</v>
      </c>
      <c r="O37">
        <v>57</v>
      </c>
      <c r="P37" s="13">
        <v>44082</v>
      </c>
      <c r="Q37">
        <v>8525</v>
      </c>
      <c r="R37">
        <v>57</v>
      </c>
    </row>
    <row r="38" spans="2:18">
      <c r="B38" s="4">
        <f t="shared" ca="1" si="1"/>
        <v>44083</v>
      </c>
      <c r="C38" s="11">
        <f t="shared" ca="1" si="0"/>
        <v>8580</v>
      </c>
      <c r="D38">
        <f t="shared" ref="D38" ca="1" si="7">C38-C37</f>
        <v>55</v>
      </c>
      <c r="E38" s="11">
        <f t="shared" ca="1" si="3"/>
        <v>0</v>
      </c>
      <c r="F38" s="11">
        <f t="shared" ca="1" si="4"/>
        <v>55</v>
      </c>
      <c r="M38" s="13">
        <v>44083</v>
      </c>
      <c r="N38">
        <v>8580</v>
      </c>
      <c r="O38">
        <v>55</v>
      </c>
      <c r="P38" s="13">
        <v>44083</v>
      </c>
      <c r="Q38">
        <v>8580</v>
      </c>
      <c r="R38">
        <v>55</v>
      </c>
    </row>
    <row r="39" spans="2:18">
      <c r="B39" s="4">
        <f t="shared" ca="1" si="1"/>
        <v>44084</v>
      </c>
      <c r="C39" s="11">
        <f t="shared" ca="1" si="0"/>
        <v>8632</v>
      </c>
      <c r="D39">
        <f t="shared" ref="D39" ca="1" si="8">C39-C38</f>
        <v>52</v>
      </c>
      <c r="E39" s="11">
        <f t="shared" ca="1" si="3"/>
        <v>0</v>
      </c>
      <c r="F39" s="11">
        <f t="shared" ca="1" si="4"/>
        <v>52</v>
      </c>
      <c r="M39" s="13">
        <v>44084</v>
      </c>
      <c r="N39">
        <v>8632</v>
      </c>
      <c r="O39">
        <v>52</v>
      </c>
      <c r="P39" s="13">
        <v>44084</v>
      </c>
      <c r="Q39">
        <v>8632</v>
      </c>
      <c r="R39">
        <v>52</v>
      </c>
    </row>
    <row r="40" spans="2:18">
      <c r="B40" s="4">
        <f t="shared" ca="1" si="1"/>
        <v>44085</v>
      </c>
      <c r="C40" s="11">
        <f t="shared" ca="1" si="0"/>
        <v>8689</v>
      </c>
      <c r="D40">
        <f t="shared" ref="D40" ca="1" si="9">C40-C39</f>
        <v>57</v>
      </c>
      <c r="E40" s="11">
        <f t="shared" ca="1" si="3"/>
        <v>0</v>
      </c>
      <c r="F40" s="11">
        <f t="shared" ca="1" si="4"/>
        <v>57</v>
      </c>
      <c r="M40" s="13">
        <v>44085</v>
      </c>
      <c r="N40">
        <v>8689</v>
      </c>
      <c r="O40">
        <v>57</v>
      </c>
      <c r="P40" s="13">
        <v>44085</v>
      </c>
      <c r="Q40">
        <v>8689</v>
      </c>
      <c r="R40">
        <v>57</v>
      </c>
    </row>
    <row r="41" spans="2:18">
      <c r="B41" s="4">
        <f t="shared" ca="1" si="1"/>
        <v>44086</v>
      </c>
      <c r="C41" s="11">
        <f t="shared" ca="1" si="0"/>
        <v>8730</v>
      </c>
      <c r="D41">
        <f t="shared" ref="D41" ca="1" si="10">C41-C40</f>
        <v>41</v>
      </c>
      <c r="E41" s="11">
        <f t="shared" ca="1" si="3"/>
        <v>0</v>
      </c>
      <c r="F41" s="11">
        <f t="shared" ca="1" si="4"/>
        <v>41</v>
      </c>
      <c r="H41" s="10"/>
      <c r="M41" s="13">
        <v>44086</v>
      </c>
      <c r="N41">
        <v>8730</v>
      </c>
      <c r="O41">
        <v>41</v>
      </c>
      <c r="P41" s="13">
        <v>44086</v>
      </c>
      <c r="Q41">
        <v>8730</v>
      </c>
      <c r="R41">
        <v>41</v>
      </c>
    </row>
    <row r="42" spans="2:18">
      <c r="B42" s="4">
        <f t="shared" ca="1" si="1"/>
        <v>44087</v>
      </c>
      <c r="C42" s="11">
        <f t="shared" ca="1" si="0"/>
        <v>8776</v>
      </c>
      <c r="D42">
        <f t="shared" ref="D42" ca="1" si="11">C42-C41</f>
        <v>46</v>
      </c>
      <c r="E42" s="11">
        <f t="shared" ca="1" si="3"/>
        <v>0</v>
      </c>
      <c r="F42" s="11">
        <f t="shared" ca="1" si="4"/>
        <v>46</v>
      </c>
      <c r="H42" s="10">
        <f ca="1">SUM(D42:D48)</f>
        <v>437</v>
      </c>
      <c r="M42" s="13">
        <v>44087</v>
      </c>
      <c r="N42">
        <v>8776</v>
      </c>
      <c r="O42">
        <v>46</v>
      </c>
      <c r="P42" s="13">
        <v>44087</v>
      </c>
      <c r="Q42">
        <v>8776</v>
      </c>
      <c r="R42">
        <v>46</v>
      </c>
    </row>
    <row r="43" spans="2:18">
      <c r="B43" s="4">
        <f t="shared" ca="1" si="1"/>
        <v>44088</v>
      </c>
      <c r="C43" s="11">
        <f t="shared" ca="1" si="0"/>
        <v>8835</v>
      </c>
      <c r="D43">
        <f t="shared" ref="D43" ca="1" si="12">C43-C42</f>
        <v>59</v>
      </c>
      <c r="E43" s="11">
        <f t="shared" ca="1" si="3"/>
        <v>0</v>
      </c>
      <c r="F43" s="11">
        <f t="shared" ca="1" si="4"/>
        <v>59</v>
      </c>
      <c r="M43" s="13">
        <v>44088</v>
      </c>
      <c r="N43">
        <v>8835</v>
      </c>
      <c r="O43">
        <v>59</v>
      </c>
      <c r="P43" s="13">
        <v>44088</v>
      </c>
      <c r="Q43">
        <v>8835</v>
      </c>
      <c r="R43">
        <v>59</v>
      </c>
    </row>
    <row r="44" spans="2:18">
      <c r="B44" s="4">
        <f t="shared" ca="1" si="1"/>
        <v>44089</v>
      </c>
      <c r="C44" s="11">
        <f t="shared" ca="1" si="0"/>
        <v>8888</v>
      </c>
      <c r="D44">
        <f t="shared" ref="D44" ca="1" si="13">C44-C43</f>
        <v>53</v>
      </c>
      <c r="E44" s="11">
        <f t="shared" ca="1" si="3"/>
        <v>0</v>
      </c>
      <c r="F44" s="11">
        <f t="shared" ca="1" si="4"/>
        <v>53</v>
      </c>
      <c r="M44" s="13">
        <v>44089</v>
      </c>
      <c r="N44">
        <v>8888</v>
      </c>
      <c r="O44">
        <v>53</v>
      </c>
      <c r="P44" s="13">
        <v>44089</v>
      </c>
      <c r="Q44">
        <v>8888</v>
      </c>
      <c r="R44">
        <v>53</v>
      </c>
    </row>
    <row r="45" spans="2:18">
      <c r="B45" s="4">
        <f t="shared" ca="1" si="1"/>
        <v>44090</v>
      </c>
      <c r="C45" s="11">
        <f t="shared" ca="1" si="0"/>
        <v>8945</v>
      </c>
      <c r="D45">
        <f t="shared" ref="D45" ca="1" si="14">C45-C44</f>
        <v>57</v>
      </c>
      <c r="E45" s="11">
        <f t="shared" ca="1" si="3"/>
        <v>0</v>
      </c>
      <c r="F45" s="11">
        <f t="shared" ca="1" si="4"/>
        <v>57</v>
      </c>
      <c r="M45" s="13">
        <v>44090</v>
      </c>
      <c r="N45">
        <v>8945</v>
      </c>
      <c r="O45">
        <v>57</v>
      </c>
      <c r="P45" s="13">
        <v>44090</v>
      </c>
      <c r="Q45">
        <v>8945</v>
      </c>
      <c r="R45">
        <v>57</v>
      </c>
    </row>
    <row r="46" spans="2:18">
      <c r="B46" s="4">
        <f t="shared" ca="1" si="1"/>
        <v>44091</v>
      </c>
      <c r="C46" s="11">
        <f t="shared" ca="1" si="0"/>
        <v>9030</v>
      </c>
      <c r="D46">
        <f t="shared" ref="D46" ca="1" si="15">C46-C45</f>
        <v>85</v>
      </c>
      <c r="E46" s="11">
        <f t="shared" ca="1" si="3"/>
        <v>0</v>
      </c>
      <c r="F46" s="11">
        <f t="shared" ca="1" si="4"/>
        <v>85</v>
      </c>
      <c r="M46" s="13">
        <v>44091</v>
      </c>
      <c r="N46">
        <v>9030</v>
      </c>
      <c r="O46">
        <v>85</v>
      </c>
      <c r="P46" s="13">
        <v>44091</v>
      </c>
      <c r="Q46">
        <v>9030</v>
      </c>
      <c r="R46">
        <v>85</v>
      </c>
    </row>
    <row r="47" spans="2:18">
      <c r="B47" s="4">
        <f t="shared" ca="1" si="1"/>
        <v>44092</v>
      </c>
      <c r="C47" s="11">
        <f t="shared" ca="1" si="0"/>
        <v>9106</v>
      </c>
      <c r="D47">
        <f t="shared" ref="D47" ca="1" si="16">C47-C46</f>
        <v>76</v>
      </c>
      <c r="E47" s="11">
        <f t="shared" ca="1" si="3"/>
        <v>0</v>
      </c>
      <c r="F47" s="11">
        <f t="shared" ca="1" si="4"/>
        <v>76</v>
      </c>
      <c r="M47" s="13">
        <v>44092</v>
      </c>
      <c r="N47">
        <v>9106</v>
      </c>
      <c r="O47">
        <v>76</v>
      </c>
      <c r="P47" s="13">
        <v>44092</v>
      </c>
      <c r="Q47">
        <v>9106</v>
      </c>
      <c r="R47">
        <v>76</v>
      </c>
    </row>
    <row r="48" spans="2:18">
      <c r="B48" s="4">
        <f t="shared" ca="1" si="1"/>
        <v>44093</v>
      </c>
      <c r="C48" s="11">
        <f t="shared" ca="1" si="0"/>
        <v>9167</v>
      </c>
      <c r="D48">
        <f t="shared" ref="D48" ca="1" si="17">C48-C47</f>
        <v>61</v>
      </c>
      <c r="E48" s="11">
        <f t="shared" ca="1" si="3"/>
        <v>0</v>
      </c>
      <c r="F48" s="11">
        <f t="shared" ca="1" si="4"/>
        <v>61</v>
      </c>
      <c r="M48" s="13">
        <v>44093</v>
      </c>
      <c r="N48">
        <v>9167</v>
      </c>
      <c r="O48">
        <v>61</v>
      </c>
      <c r="P48" s="13">
        <v>44093</v>
      </c>
      <c r="Q48">
        <v>9167</v>
      </c>
      <c r="R48">
        <v>61</v>
      </c>
    </row>
    <row r="49" spans="2:18" s="10" customFormat="1">
      <c r="B49" s="9">
        <f t="shared" ca="1" si="1"/>
        <v>44094</v>
      </c>
      <c r="C49" s="11">
        <f t="shared" ca="1" si="0"/>
        <v>9240</v>
      </c>
      <c r="D49" s="10">
        <f t="shared" ref="D49" ca="1" si="18">C49-C48</f>
        <v>73</v>
      </c>
      <c r="E49" s="11">
        <f t="shared" ca="1" si="3"/>
        <v>0</v>
      </c>
      <c r="F49" s="11">
        <f t="shared" ca="1" si="4"/>
        <v>73</v>
      </c>
      <c r="H49" s="10">
        <f ca="1">SUM(D49:D55)</f>
        <v>714</v>
      </c>
      <c r="I49" s="10">
        <f ca="1">SUM(D49:D62)</f>
        <v>1371</v>
      </c>
      <c r="K49" s="9"/>
      <c r="M49" s="13">
        <v>44094</v>
      </c>
      <c r="N49">
        <v>9240</v>
      </c>
      <c r="O49">
        <v>73</v>
      </c>
      <c r="P49" s="13">
        <v>44094</v>
      </c>
      <c r="Q49">
        <v>9240</v>
      </c>
      <c r="R49">
        <v>73</v>
      </c>
    </row>
    <row r="50" spans="2:18">
      <c r="B50" s="4">
        <f t="shared" ca="1" si="1"/>
        <v>44095</v>
      </c>
      <c r="C50" s="11">
        <f t="shared" ca="1" si="0"/>
        <v>9358</v>
      </c>
      <c r="D50">
        <f t="shared" ref="D50:D61" ca="1" si="19">C50-C49</f>
        <v>118</v>
      </c>
      <c r="E50" s="11">
        <f t="shared" ca="1" si="3"/>
        <v>0</v>
      </c>
      <c r="F50" s="11">
        <f t="shared" ca="1" si="4"/>
        <v>118</v>
      </c>
      <c r="H50" s="10"/>
      <c r="M50" s="13">
        <v>44095</v>
      </c>
      <c r="N50">
        <v>9358</v>
      </c>
      <c r="O50">
        <v>118</v>
      </c>
      <c r="P50" s="13">
        <v>44095</v>
      </c>
      <c r="Q50">
        <v>9358</v>
      </c>
      <c r="R50">
        <v>118</v>
      </c>
    </row>
    <row r="51" spans="2:18">
      <c r="B51" s="4">
        <f t="shared" ca="1" si="1"/>
        <v>44096</v>
      </c>
      <c r="C51" s="11">
        <f t="shared" ca="1" si="0"/>
        <v>9462</v>
      </c>
      <c r="D51">
        <f t="shared" ca="1" si="19"/>
        <v>104</v>
      </c>
      <c r="E51" s="11">
        <f t="shared" ca="1" si="3"/>
        <v>0</v>
      </c>
      <c r="F51" s="11">
        <f t="shared" ca="1" si="4"/>
        <v>104</v>
      </c>
      <c r="M51" s="13">
        <v>44096</v>
      </c>
      <c r="N51">
        <v>9462</v>
      </c>
      <c r="O51">
        <v>104</v>
      </c>
      <c r="P51" s="13">
        <v>44096</v>
      </c>
      <c r="Q51">
        <v>9462</v>
      </c>
      <c r="R51">
        <v>104</v>
      </c>
    </row>
    <row r="52" spans="2:18">
      <c r="B52" s="4">
        <f t="shared" ca="1" si="1"/>
        <v>44097</v>
      </c>
      <c r="C52" s="11">
        <f t="shared" ca="1" si="0"/>
        <v>9581</v>
      </c>
      <c r="D52">
        <f t="shared" ca="1" si="19"/>
        <v>119</v>
      </c>
      <c r="E52" s="11">
        <f t="shared" ca="1" si="3"/>
        <v>0</v>
      </c>
      <c r="F52" s="11">
        <f t="shared" ca="1" si="4"/>
        <v>119</v>
      </c>
      <c r="M52" s="13">
        <v>44097</v>
      </c>
      <c r="N52">
        <v>9581</v>
      </c>
      <c r="O52">
        <v>119</v>
      </c>
      <c r="P52" s="13">
        <v>44097</v>
      </c>
      <c r="Q52">
        <v>9581</v>
      </c>
      <c r="R52">
        <v>119</v>
      </c>
    </row>
    <row r="53" spans="2:18">
      <c r="B53" s="4">
        <f t="shared" ca="1" si="1"/>
        <v>44098</v>
      </c>
      <c r="C53" s="11">
        <f t="shared" ca="1" si="0"/>
        <v>9678</v>
      </c>
      <c r="D53">
        <f t="shared" ca="1" si="19"/>
        <v>97</v>
      </c>
      <c r="E53" s="11">
        <f t="shared" ca="1" si="3"/>
        <v>0</v>
      </c>
      <c r="F53" s="11">
        <f t="shared" ca="1" si="4"/>
        <v>97</v>
      </c>
      <c r="M53" s="13">
        <v>44098</v>
      </c>
      <c r="N53">
        <v>9678</v>
      </c>
      <c r="O53">
        <v>97</v>
      </c>
      <c r="P53" s="13">
        <v>44098</v>
      </c>
      <c r="Q53">
        <v>9678</v>
      </c>
      <c r="R53">
        <v>97</v>
      </c>
    </row>
    <row r="54" spans="2:18">
      <c r="B54" s="4">
        <f t="shared" ca="1" si="1"/>
        <v>44099</v>
      </c>
      <c r="C54" s="11">
        <f t="shared" ca="1" si="0"/>
        <v>9804</v>
      </c>
      <c r="D54">
        <f t="shared" ca="1" si="19"/>
        <v>126</v>
      </c>
      <c r="E54" s="11">
        <f t="shared" ca="1" si="3"/>
        <v>1</v>
      </c>
      <c r="F54" s="11">
        <f t="shared" ca="1" si="4"/>
        <v>125</v>
      </c>
      <c r="M54" s="13">
        <v>44099</v>
      </c>
      <c r="N54">
        <v>9803</v>
      </c>
      <c r="O54">
        <v>125</v>
      </c>
      <c r="P54" s="13">
        <v>44099</v>
      </c>
      <c r="Q54">
        <v>9804</v>
      </c>
      <c r="R54">
        <v>126</v>
      </c>
    </row>
    <row r="55" spans="2:18">
      <c r="B55" s="4">
        <f t="shared" ca="1" si="1"/>
        <v>44100</v>
      </c>
      <c r="C55" s="11">
        <f t="shared" ca="1" si="0"/>
        <v>9881</v>
      </c>
      <c r="D55">
        <f t="shared" ca="1" si="19"/>
        <v>77</v>
      </c>
      <c r="E55" s="11">
        <f t="shared" ca="1" si="3"/>
        <v>1</v>
      </c>
      <c r="F55" s="11">
        <f t="shared" ca="1" si="4"/>
        <v>76</v>
      </c>
      <c r="M55" s="13">
        <v>44100</v>
      </c>
      <c r="N55">
        <v>9879</v>
      </c>
      <c r="O55">
        <v>76</v>
      </c>
      <c r="P55" s="13">
        <v>44100</v>
      </c>
      <c r="Q55">
        <v>9881</v>
      </c>
      <c r="R55">
        <v>77</v>
      </c>
    </row>
    <row r="56" spans="2:18">
      <c r="B56" s="9">
        <f t="shared" ca="1" si="1"/>
        <v>44101</v>
      </c>
      <c r="C56" s="11">
        <f t="shared" ca="1" si="0"/>
        <v>9951</v>
      </c>
      <c r="D56" s="10">
        <f t="shared" ca="1" si="19"/>
        <v>70</v>
      </c>
      <c r="E56" s="11">
        <f t="shared" ca="1" si="3"/>
        <v>1</v>
      </c>
      <c r="F56" s="11">
        <f t="shared" ca="1" si="4"/>
        <v>69</v>
      </c>
      <c r="G56" s="10"/>
      <c r="H56" s="10">
        <f ca="1">SUM(D56:D62)</f>
        <v>657</v>
      </c>
      <c r="I56" s="10"/>
      <c r="M56" s="13">
        <v>44101</v>
      </c>
      <c r="N56">
        <v>9948</v>
      </c>
      <c r="O56">
        <v>69</v>
      </c>
      <c r="P56" s="13">
        <v>44101</v>
      </c>
      <c r="Q56">
        <v>9951</v>
      </c>
      <c r="R56">
        <v>70</v>
      </c>
    </row>
    <row r="57" spans="2:18">
      <c r="B57" s="4">
        <f t="shared" ca="1" si="1"/>
        <v>44102</v>
      </c>
      <c r="C57" s="11">
        <f t="shared" ca="1" si="0"/>
        <v>10067</v>
      </c>
      <c r="D57">
        <f t="shared" ca="1" si="19"/>
        <v>116</v>
      </c>
      <c r="E57" s="11">
        <f t="shared" ca="1" si="3"/>
        <v>4</v>
      </c>
      <c r="F57" s="11">
        <f t="shared" ca="1" si="4"/>
        <v>112</v>
      </c>
      <c r="H57" s="10"/>
      <c r="M57" s="13">
        <v>44102</v>
      </c>
      <c r="N57">
        <v>10060</v>
      </c>
      <c r="O57">
        <v>112</v>
      </c>
      <c r="P57" s="13">
        <v>44102</v>
      </c>
      <c r="Q57">
        <v>10067</v>
      </c>
      <c r="R57">
        <v>116</v>
      </c>
    </row>
    <row r="58" spans="2:18">
      <c r="B58" s="4">
        <f t="shared" ca="1" si="1"/>
        <v>44103</v>
      </c>
      <c r="C58" s="11">
        <f t="shared" ca="1" si="0"/>
        <v>10197</v>
      </c>
      <c r="D58">
        <f t="shared" ca="1" si="19"/>
        <v>130</v>
      </c>
      <c r="E58" s="11">
        <f t="shared" ca="1" si="3"/>
        <v>7</v>
      </c>
      <c r="F58" s="11">
        <f t="shared" ca="1" si="4"/>
        <v>123</v>
      </c>
      <c r="M58" s="13">
        <v>44103</v>
      </c>
      <c r="N58">
        <v>10183</v>
      </c>
      <c r="O58">
        <v>123</v>
      </c>
      <c r="P58" s="13">
        <v>44103</v>
      </c>
      <c r="Q58">
        <v>10197</v>
      </c>
      <c r="R58">
        <v>130</v>
      </c>
    </row>
    <row r="59" spans="2:18">
      <c r="B59" s="4">
        <f t="shared" ca="1" si="1"/>
        <v>44104</v>
      </c>
      <c r="C59" s="11">
        <f t="shared" ca="1" si="0"/>
        <v>10339</v>
      </c>
      <c r="D59">
        <f t="shared" ca="1" si="19"/>
        <v>142</v>
      </c>
      <c r="E59" s="11">
        <f t="shared" ca="1" si="3"/>
        <v>42</v>
      </c>
      <c r="F59" s="11">
        <f t="shared" ca="1" si="4"/>
        <v>100</v>
      </c>
      <c r="M59" s="13">
        <v>44104</v>
      </c>
      <c r="N59">
        <v>10283</v>
      </c>
      <c r="O59">
        <v>100</v>
      </c>
      <c r="P59" s="13">
        <v>44104</v>
      </c>
      <c r="Q59">
        <v>10339</v>
      </c>
      <c r="R59">
        <v>142</v>
      </c>
    </row>
    <row r="60" spans="2:18">
      <c r="B60" s="4">
        <f t="shared" ca="1" si="1"/>
        <v>44105</v>
      </c>
      <c r="C60" s="11">
        <f t="shared" ca="1" si="0"/>
        <v>10447</v>
      </c>
      <c r="D60">
        <f t="shared" ca="1" si="19"/>
        <v>108</v>
      </c>
      <c r="E60" s="11">
        <f t="shared" ca="1" si="3"/>
        <v>29</v>
      </c>
      <c r="F60" s="11">
        <f t="shared" ca="1" si="4"/>
        <v>79</v>
      </c>
      <c r="M60" s="13">
        <v>44105</v>
      </c>
      <c r="N60">
        <v>10362</v>
      </c>
      <c r="O60">
        <v>79</v>
      </c>
      <c r="P60" s="13">
        <v>44105</v>
      </c>
      <c r="Q60">
        <v>10447</v>
      </c>
      <c r="R60">
        <v>108</v>
      </c>
    </row>
    <row r="61" spans="2:18">
      <c r="B61" s="4">
        <f ca="1">B62-1</f>
        <v>44106</v>
      </c>
      <c r="C61" s="11">
        <f t="shared" ca="1" si="0"/>
        <v>10525</v>
      </c>
      <c r="D61">
        <f t="shared" ca="1" si="19"/>
        <v>78</v>
      </c>
      <c r="E61" s="11">
        <f t="shared" ca="1" si="3"/>
        <v>49</v>
      </c>
      <c r="F61" s="11">
        <f t="shared" ca="1" si="4"/>
        <v>29</v>
      </c>
      <c r="M61" s="13">
        <v>44106</v>
      </c>
      <c r="N61">
        <v>10391</v>
      </c>
      <c r="O61">
        <v>29</v>
      </c>
      <c r="P61" s="13">
        <v>44106</v>
      </c>
      <c r="Q61">
        <v>10525</v>
      </c>
      <c r="R61">
        <v>78</v>
      </c>
    </row>
    <row r="62" spans="2:18">
      <c r="B62" s="4">
        <f ca="1">B63-1</f>
        <v>44107</v>
      </c>
      <c r="C62" s="11">
        <f t="shared" ca="1" si="0"/>
        <v>10538</v>
      </c>
      <c r="D62">
        <f ca="1">C62-C61</f>
        <v>13</v>
      </c>
      <c r="E62" s="11">
        <f t="shared" ca="1" si="3"/>
        <v>13</v>
      </c>
      <c r="F62" s="11">
        <f t="shared" ca="1" si="4"/>
        <v>0</v>
      </c>
      <c r="K62" s="4">
        <f ca="1">B62</f>
        <v>44107</v>
      </c>
      <c r="L62">
        <f ca="1">C62-N62</f>
        <v>147</v>
      </c>
      <c r="M62" s="4">
        <v>44107</v>
      </c>
      <c r="N62">
        <v>10391</v>
      </c>
      <c r="O62">
        <v>0</v>
      </c>
      <c r="P62" s="13">
        <v>44107</v>
      </c>
      <c r="Q62">
        <v>10538</v>
      </c>
      <c r="R62">
        <v>13</v>
      </c>
    </row>
    <row r="63" spans="2:18">
      <c r="B63" s="12">
        <f ca="1">FLOOR(NOW(),1)</f>
        <v>44108</v>
      </c>
      <c r="C63" s="11">
        <f t="shared" ca="1" si="0"/>
        <v>10538</v>
      </c>
      <c r="D63" s="11">
        <f ca="1">C63-C62</f>
        <v>0</v>
      </c>
      <c r="E63" s="11">
        <f ca="1">_xlfn.IFNA(D63-F63,"")</f>
        <v>0</v>
      </c>
      <c r="F63" s="11">
        <f t="shared" ca="1" si="4"/>
        <v>0</v>
      </c>
      <c r="K63" s="4">
        <f ca="1">B63</f>
        <v>44108</v>
      </c>
      <c r="L63">
        <f ca="1">C63-N63</f>
        <v>147</v>
      </c>
      <c r="M63" s="4">
        <v>44108</v>
      </c>
      <c r="N63">
        <v>10391</v>
      </c>
      <c r="O63">
        <v>0</v>
      </c>
      <c r="P63" s="13">
        <v>44108</v>
      </c>
      <c r="Q63">
        <v>10538</v>
      </c>
      <c r="R63">
        <v>0</v>
      </c>
    </row>
    <row r="65" spans="1:14">
      <c r="A65">
        <v>1</v>
      </c>
      <c r="B65">
        <v>2</v>
      </c>
      <c r="C65">
        <v>3</v>
      </c>
      <c r="D65">
        <v>4</v>
      </c>
      <c r="E65">
        <v>5</v>
      </c>
      <c r="F65">
        <v>6</v>
      </c>
      <c r="G65">
        <v>7</v>
      </c>
      <c r="H65">
        <v>8</v>
      </c>
      <c r="I65">
        <v>9</v>
      </c>
      <c r="J65">
        <v>10</v>
      </c>
      <c r="K65" s="4">
        <v>11</v>
      </c>
      <c r="L65">
        <v>12</v>
      </c>
      <c r="M65">
        <v>13</v>
      </c>
      <c r="N65">
        <v>14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473529</xdr:colOff>
                    <xdr:row>10</xdr:row>
                    <xdr:rowOff>168729</xdr:rowOff>
                  </from>
                  <to>
                    <xdr:col>11</xdr:col>
                    <xdr:colOff>174171</xdr:colOff>
                    <xdr:row>12</xdr:row>
                    <xdr:rowOff>174171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2020-10-04T10:27:37Z</dcterms:modified>
</cp:coreProperties>
</file>