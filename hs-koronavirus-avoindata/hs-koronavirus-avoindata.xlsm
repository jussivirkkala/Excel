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31C41F2-725C-42C5-81F0-9BA573E21708}"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<sst xmlns="http://schemas.openxmlformats.org/spreadsheetml/2006/main" count="641" uniqueCount="336">
  <si>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</si>
  <si>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</si>
  <si>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</si>
  <si>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</si>
  <si>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</si>
  <si>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</si>
  <si>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</si>
  <si>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</si>
  <si>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</si>
  <si>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</si>
  <si>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</si>
  <si>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</si>
  <si>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</si>
  <si>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</si>
  <si>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</si>
  <si>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</si>
  <si>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</si>
  <si>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</si>
  <si>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</si>
  <si>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</si>
  <si>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</si>
  <si>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</si>
  <si>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</si>
  <si>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</si>
  <si>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</si>
  <si>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</si>
  <si>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</si>
  <si>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</si>
  <si>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</si>
  <si>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</si>
  <si>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</si>
  <si>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</si>
  <si>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</si>
  <si>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</si>
  <si>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</si>
  <si>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</si>
  <si>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</si>
  <si>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</si>
  <si>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</si>
  <si>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</si>
  <si>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</si>
  <si>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</si>
  <si>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</si>
  <si>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</si>
  <si>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</si>
  <si>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</si>
  <si>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</si>
  <si>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</si>
  <si>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</si>
  <si>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</si>
  <si>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</si>
  <si>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</si>
  <si>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</si>
  <si>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</si>
  <si>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</si>
  <si>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</si>
  <si>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</si>
  <si>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</si>
  <si>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</si>
  <si>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</si>
  <si>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</si>
  <si>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</si>
  <si>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</si>
  <si>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</si>
  <si>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</si>
  <si>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</si>
  <si>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</si>
  <si>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</si>
  <si>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</si>
  <si>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</si>
  <si>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</si>
  <si>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</si>
  <si>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</si>
  <si>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</si>
  <si>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</si>
  <si>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</si>
  <si>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</si>
  <si>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</si>
  <si>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</si>
  <si>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</si>
  <si>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</si>
  <si>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</si>
  <si>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</si>
  <si>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</si>
  <si>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</si>
  <si>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</si>
  <si>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</si>
  <si>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</si>
  <si>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</si>
  <si>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</si>
  <si>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</si>
  <si>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</si>
  <si>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</si>
  <si>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</si>
  <si>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</si>
  <si>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</si>
  <si>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</si>
  <si>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</si>
  <si>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</si>
  <si>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</si>
  <si>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</si>
  <si>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</si>
  <si>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</si>
  <si>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</si>
  <si>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</si>
  <si>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</si>
  <si>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</si>
  <si>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</si>
  <si>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</si>
  <si>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</si>
  <si>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</si>
  <si>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</si>
  <si>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</si>
  <si>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</si>
  <si>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</si>
  <si>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</si>
  <si>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</si>
  <si>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</si>
  <si>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</si>
  <si>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</si>
  <si>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</si>
  <si>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</si>
  <si>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</si>
  <si>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</si>
  <si>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</si>
  <si>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</si>
  <si>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</si>
  <si>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</si>
  <si>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</si>
  <si>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</si>
  <si>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</si>
  <si>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</si>
  <si>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</si>
  <si>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</si>
  <si>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</si>
  <si>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</si>
  <si>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</si>
  <si>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</si>
  <si>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</si>
  <si>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</si>
  <si>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</si>
  <si>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</si>
  <si>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</si>
  <si>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</si>
  <si>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</si>
  <si>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</si>
  <si>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</si>
  <si>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</si>
  <si>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</si>
  <si>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</si>
  <si>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</si>
  <si>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</si>
  <si>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</si>
  <si>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</si>
  <si>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</si>
  <si>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</si>
  <si>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</si>
  <si>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</si>
  <si>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</si>
  <si>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</si>
  <si>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</si>
  <si>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</si>
  <si>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</si>
  <si>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</si>
  <si>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</si>
  <si>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</si>
  <si>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</si>
  <si>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</si>
  <si>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</si>
  <si>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</si>
  <si>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</si>
  <si>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</si>
  <si>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</si>
  <si>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</si>
  <si>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</si>
  <si>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</si>
  <si>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</si>
  <si>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</si>
  <si>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</si>
  <si>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</si>
  <si>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</si>
  <si>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</si>
  <si>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</si>
  <si>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</si>
  <si>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</si>
  <si>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</si>
  <si>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</si>
  <si>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</si>
  <si>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</si>
  <si>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</si>
  <si>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</si>
  <si>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</si>
  <si>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</si>
  <si>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</si>
  <si>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</si>
  <si>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</si>
  <si>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</si>
  <si>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</si>
  <si>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</si>
  <si>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</si>
  <si>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</si>
  <si>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</si>
  <si>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</si>
  <si>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</si>
  <si>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</si>
  <si>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</si>
  <si>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</si>
  <si>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</si>
  <si>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</si>
  <si>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</si>
  <si>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</si>
  <si>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</si>
  <si>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</si>
  <si>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</si>
  <si>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</si>
  <si>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</si>
  <si>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</si>
  <si>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</si>
  <si>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</si>
  <si>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</si>
  <si>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</si>
  <si>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</si>
  <si>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</si>
  <si>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</si>
  <si>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</si>
  <si>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</si>
  <si>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</si>
  <si>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</si>
  <si>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</si>
  <si>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</si>
  <si>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</si>
  <si>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</si>
  <si>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</si>
  <si>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</si>
  <si>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</si>
  <si>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</si>
  <si>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</si>
  <si>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</si>
  <si>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</si>
  <si>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</si>
  <si>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</si>
  <si>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</si>
  <si>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</si>
  <si>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</si>
  <si>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</si>
  <si>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</si>
  <si>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</si>
  <si>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</si>
  <si>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</si>
  <si>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</si>
  <si>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</si>
  <si>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</si>
  <si>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</si>
  <si>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</si>
  <si>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</si>
  <si>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</si>
  <si>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</si>
  <si>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</si>
  <si>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</si>
  <si>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</si>
  <si>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</si>
  <si>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</si>
  <si>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</si>
  <si>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</si>
  <si>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</si>
  <si>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</si>
  <si>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</si>
  <si>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</si>
  <si>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</si>
  <si>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</si>
  <si>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</si>
  <si>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</si>
  <si>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</si>
  <si>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</si>
  <si>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</si>
  <si>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</si>
  <si>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</si>
  <si>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</si>
  <si>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</si>
  <si>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</si>
  <si>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</si>
  <si>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</si>
  <si>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</si>
  <si>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</si>
  <si>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</si>
  <si>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</si>
  <si>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</si>
  <si>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</si>
  <si>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</si>
  <si>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</si>
  <si>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</si>
  <si>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</si>
  <si>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</si>
  <si>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</si>
  <si>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</si>
  <si>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</si>
  <si>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</si>
  <si>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</si>
  <si>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</si>
  <si>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</si>
  <si>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</si>
  <si>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</si>
  <si>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</si>
  <si>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</si>
  <si>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</si>
  <si>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</si>
  <si>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</si>
  <si>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</si>
  <si>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</si>
  <si>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</si>
  <si>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</si>
  <si>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</si>
  <si>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</si>
  <si>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</si>
  <si>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</si>
  <si>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</si>
  <si>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</si>
  <si>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</si>
  <si>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</si>
  <si>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</si>
  <si>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</si>
  <si>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</si>
  <si>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</si>
  <si>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</si>
  <si>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</si>
  <si>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</si>
  <si>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</si>
  <si>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</si>
  <si>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</si>
  <si>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</si>
  <si>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</si>
  <si>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</si>
  <si>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</si>
  <si>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</si>
  <si>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</si>
  <si>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2020-10-31T10:08:38.846Z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</si>
</sst>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26.10 saakka. Suurin arvo 306, joka 7.10. Uusimpien 5 päivien arvot tulevat viiveellä, joten ne jätetty pois 31.10.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162</c:v>
                </c:pt>
                <c:pt idx="294">
                  <c:v>189</c:v>
                </c:pt>
                <c:pt idx="295">
                  <c:v>212</c:v>
                </c:pt>
                <c:pt idx="296">
                  <c:v>192</c:v>
                </c:pt>
                <c:pt idx="297">
                  <c:v>107</c:v>
                </c:pt>
                <c:pt idx="298">
                  <c:v>123</c:v>
                </c:pt>
                <c:pt idx="299">
                  <c:v>254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Kuvaajat!$D$37:$D$64</c:f>
              <c:numCache>
                <c:formatCode>General</c:formatCode>
                <c:ptCount val="28"/>
                <c:pt idx="0">
                  <c:v>170</c:v>
                </c:pt>
                <c:pt idx="1">
                  <c:v>147</c:v>
                </c:pt>
                <c:pt idx="2">
                  <c:v>290</c:v>
                </c:pt>
                <c:pt idx="3">
                  <c:v>301</c:v>
                </c:pt>
                <c:pt idx="4">
                  <c:v>306</c:v>
                </c:pt>
                <c:pt idx="5">
                  <c:v>260</c:v>
                </c:pt>
                <c:pt idx="6">
                  <c:v>226</c:v>
                </c:pt>
                <c:pt idx="7">
                  <c:v>109</c:v>
                </c:pt>
                <c:pt idx="8">
                  <c:v>130</c:v>
                </c:pt>
                <c:pt idx="9">
                  <c:v>254</c:v>
                </c:pt>
                <c:pt idx="10">
                  <c:v>197</c:v>
                </c:pt>
                <c:pt idx="11">
                  <c:v>200</c:v>
                </c:pt>
                <c:pt idx="12">
                  <c:v>190</c:v>
                </c:pt>
                <c:pt idx="13">
                  <c:v>192</c:v>
                </c:pt>
                <c:pt idx="14">
                  <c:v>100</c:v>
                </c:pt>
                <c:pt idx="15">
                  <c:v>127</c:v>
                </c:pt>
                <c:pt idx="16">
                  <c:v>244</c:v>
                </c:pt>
                <c:pt idx="17">
                  <c:v>162</c:v>
                </c:pt>
                <c:pt idx="18">
                  <c:v>189</c:v>
                </c:pt>
                <c:pt idx="19">
                  <c:v>212</c:v>
                </c:pt>
                <c:pt idx="20">
                  <c:v>192</c:v>
                </c:pt>
                <c:pt idx="21">
                  <c:v>107</c:v>
                </c:pt>
                <c:pt idx="22">
                  <c:v>123</c:v>
                </c:pt>
                <c:pt idx="23">
                  <c:v>254</c:v>
                </c:pt>
                <c:pt idx="24">
                  <c:v>226</c:v>
                </c:pt>
                <c:pt idx="25">
                  <c:v>222</c:v>
                </c:pt>
                <c:pt idx="26">
                  <c:v>176</c:v>
                </c:pt>
                <c:pt idx="27">
                  <c:v>51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N=16113._x000d_Uusimmat 31.10 lisäykset punaisella n=203.</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Kuvaajat!$D$37:$D$64</c:f>
              <c:numCache>
                <c:formatCode>General</c:formatCode>
                <c:ptCount val="28"/>
                <c:pt idx="0">
                  <c:v>170</c:v>
                </c:pt>
                <c:pt idx="1">
                  <c:v>147</c:v>
                </c:pt>
                <c:pt idx="2">
                  <c:v>290</c:v>
                </c:pt>
                <c:pt idx="3">
                  <c:v>301</c:v>
                </c:pt>
                <c:pt idx="4">
                  <c:v>306</c:v>
                </c:pt>
                <c:pt idx="5">
                  <c:v>260</c:v>
                </c:pt>
                <c:pt idx="6">
                  <c:v>226</c:v>
                </c:pt>
                <c:pt idx="7">
                  <c:v>109</c:v>
                </c:pt>
                <c:pt idx="8">
                  <c:v>130</c:v>
                </c:pt>
                <c:pt idx="9">
                  <c:v>254</c:v>
                </c:pt>
                <c:pt idx="10">
                  <c:v>197</c:v>
                </c:pt>
                <c:pt idx="11">
                  <c:v>200</c:v>
                </c:pt>
                <c:pt idx="12">
                  <c:v>190</c:v>
                </c:pt>
                <c:pt idx="13">
                  <c:v>192</c:v>
                </c:pt>
                <c:pt idx="14">
                  <c:v>100</c:v>
                </c:pt>
                <c:pt idx="15">
                  <c:v>127</c:v>
                </c:pt>
                <c:pt idx="16">
                  <c:v>244</c:v>
                </c:pt>
                <c:pt idx="17">
                  <c:v>162</c:v>
                </c:pt>
                <c:pt idx="18">
                  <c:v>189</c:v>
                </c:pt>
                <c:pt idx="19">
                  <c:v>212</c:v>
                </c:pt>
                <c:pt idx="20">
                  <c:v>192</c:v>
                </c:pt>
                <c:pt idx="21">
                  <c:v>107</c:v>
                </c:pt>
                <c:pt idx="22">
                  <c:v>123</c:v>
                </c:pt>
                <c:pt idx="23">
                  <c:v>254</c:v>
                </c:pt>
                <c:pt idx="24">
                  <c:v>226</c:v>
                </c:pt>
                <c:pt idx="25">
                  <c:v>222</c:v>
                </c:pt>
                <c:pt idx="26">
                  <c:v>176</c:v>
                </c:pt>
                <c:pt idx="27">
                  <c:v>51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44107</c:v>
                </c:pt>
                <c:pt idx="1">
                  <c:v>44108</c:v>
                </c:pt>
                <c:pt idx="2">
                  <c:v>44109</c:v>
                </c:pt>
                <c:pt idx="3">
                  <c:v>44110</c:v>
                </c:pt>
                <c:pt idx="4">
                  <c:v>44111</c:v>
                </c:pt>
                <c:pt idx="5">
                  <c:v>44112</c:v>
                </c:pt>
                <c:pt idx="6">
                  <c:v>44113</c:v>
                </c:pt>
                <c:pt idx="7">
                  <c:v>44114</c:v>
                </c:pt>
                <c:pt idx="8">
                  <c:v>44115</c:v>
                </c:pt>
                <c:pt idx="9">
                  <c:v>44116</c:v>
                </c:pt>
                <c:pt idx="10">
                  <c:v>44117</c:v>
                </c:pt>
                <c:pt idx="11">
                  <c:v>44118</c:v>
                </c:pt>
                <c:pt idx="12">
                  <c:v>44119</c:v>
                </c:pt>
                <c:pt idx="13">
                  <c:v>44120</c:v>
                </c:pt>
                <c:pt idx="14">
                  <c:v>44121</c:v>
                </c:pt>
                <c:pt idx="15">
                  <c:v>44122</c:v>
                </c:pt>
                <c:pt idx="16">
                  <c:v>44123</c:v>
                </c:pt>
                <c:pt idx="17">
                  <c:v>44124</c:v>
                </c:pt>
                <c:pt idx="18">
                  <c:v>44125</c:v>
                </c:pt>
                <c:pt idx="19">
                  <c:v>44126</c:v>
                </c:pt>
                <c:pt idx="20">
                  <c:v>44127</c:v>
                </c:pt>
                <c:pt idx="21">
                  <c:v>44128</c:v>
                </c:pt>
                <c:pt idx="22">
                  <c:v>44129</c:v>
                </c:pt>
                <c:pt idx="23">
                  <c:v>44130</c:v>
                </c:pt>
                <c:pt idx="24">
                  <c:v>44131</c:v>
                </c:pt>
                <c:pt idx="25">
                  <c:v>44132</c:v>
                </c:pt>
                <c:pt idx="26">
                  <c:v>44133</c:v>
                </c:pt>
                <c:pt idx="27">
                  <c:v>44134</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0</c:v>
                </c:pt>
                <c:pt idx="23">
                  <c:v>1</c:v>
                </c:pt>
                <c:pt idx="24">
                  <c:v>10</c:v>
                </c:pt>
                <c:pt idx="25">
                  <c:v>33</c:v>
                </c:pt>
                <c:pt idx="26">
                  <c:v>106</c:v>
                </c:pt>
                <c:pt idx="27">
                  <c:v>51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6"/>
  <sheetViews>
    <sheetView workbookViewId="0">
      <pane ySplit="1" topLeftCell="A2" activePane="bottomLeft" state="frozen"/>
      <selection pane="bottomLeft" activeCell="I6" sqref="I6"/>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16113</v>
      </c>
      <c r="I1" s="8">
        <v>44135.507349537038</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26.10 saakka. Suurin arvo 306, joka 7.10. Uusimpien 5 päivien arvot tulevat viiveellä, joten ne jätetty pois 31.10.</v>
      </c>
      <c r="M1" s="7">
        <f>COUNTA(Id)-2-5</f>
        <v>299</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254</v>
      </c>
      <c r="B301" t="s">
        <v>330</v>
      </c>
      <c r="C301" t="s">
        <v>8</v>
      </c>
      <c r="F301" s="5">
        <v>44130.625</v>
      </c>
    </row>
    <row r="302" spans="1:6">
      <c r="A302">
        <v>226</v>
      </c>
      <c r="B302" t="s">
        <v>331</v>
      </c>
      <c r="C302" t="s">
        <v>8</v>
      </c>
      <c r="F302" s="5">
        <v>44131.625</v>
      </c>
    </row>
    <row r="303" spans="1:6">
      <c r="A303">
        <v>222</v>
      </c>
      <c r="B303" t="s">
        <v>332</v>
      </c>
      <c r="C303" t="s">
        <v>8</v>
      </c>
      <c r="F303" s="5">
        <v>44132.625</v>
      </c>
    </row>
    <row r="304" spans="1:6">
      <c r="A304">
        <v>176</v>
      </c>
      <c r="B304" t="s">
        <v>333</v>
      </c>
      <c r="C304" t="s">
        <v>8</v>
      </c>
      <c r="F304" s="5">
        <v>44133.625</v>
      </c>
    </row>
    <row r="305" spans="1:6">
      <c r="A305">
        <v>51</v>
      </c>
      <c r="B305" t="s">
        <v>334</v>
      </c>
      <c r="C305" t="s">
        <v>8</v>
      </c>
      <c r="F305" s="5">
        <v>44134.625</v>
      </c>
    </row>
    <row r="306" spans="1:6">
      <c r="A306">
        <v>0</v>
      </c>
      <c r="B306" t="s">
        <v>335</v>
      </c>
      <c r="C306" t="s">
        <v>8</v>
      </c>
      <c r="F306" s="5">
        <v>44135.422662037039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F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31.10 n=203 (joista vanhoja yli 28 päivän takaisia kirjauksia 1). Yhteensä N=16113. Edelliset 7 päivää 1159 (päivittyy), 1226 (muutos -4 %), 1272 (-25 %) ja 1700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1)</v>
      </c>
    </row>
    <row r="33" spans="1:84">
      <c r="A33" t="str">
        <f ca="1">"Kirjattuja COVID-19 tapauksia N="&amp;C65&amp;"."&amp;CHAR(13)&amp;"Uusimmat "&amp;TEXT(MAX(M:M),"p.kk")&amp;" lisäykset punaisella n="&amp;L65&amp;"."</f>
        <v>Kirjattuja COVID-19 tapauksia N=16113._x000D_Uusimmat 31.10 lisäykset punaisella n=203.</v>
      </c>
      <c r="B33" s="4"/>
    </row>
    <row r="34" spans="1:84">
      <c r="B34" s="4"/>
    </row>
    <row r="35" spans="1:84">
      <c r="B35" s="4" t="s">
        <v>5</v>
      </c>
      <c r="C35" t="s">
        <v>0</v>
      </c>
      <c r="D35" t="s">
        <v>6</v>
      </c>
      <c r="E35">
        <f ca="1">SUM(E37:E65)</f>
        <v>202</v>
      </c>
      <c r="F35" t="s">
        <v>228</v>
      </c>
      <c r="M35" s="17" t="s">
        <v>312</v>
      </c>
      <c r="P35" s="17" t="s">
        <v>313</v>
      </c>
      <c r="S35" s="17" t="s">
        <v>314</v>
      </c>
    </row>
    <row r="36" spans="1:84">
      <c r="A36" t="str">
        <f ca="1">IF(WEEKDAY(B36,2)=1,"Ma","")</f>
        <v/>
      </c>
      <c r="B36" s="4">
        <f ca="1">B37-1</f>
        <v>44106</v>
      </c>
      <c r="C36" s="11">
        <f t="shared" ref="C36:C65" ca="1" si="0">SUMIF(aika,"&lt;"&amp;(B36+1),Id)</f>
        <v>10756</v>
      </c>
    </row>
    <row r="37" spans="1:84" s="10" customFormat="1">
      <c r="A37" t="str">
        <f t="shared" ref="A37:A60" ca="1" si="1">IF(WEEKDAY(B37,2)=1,"Ma","")</f>
        <v/>
      </c>
      <c r="B37" s="9">
        <f t="shared" ref="B37:B62" ca="1" si="2">B38-1</f>
        <v>44107</v>
      </c>
      <c r="C37" s="10">
        <f t="shared" ca="1" si="0"/>
        <v>10926</v>
      </c>
      <c r="D37" s="10">
        <f t="shared" ref="D37" ca="1" si="3">C37-C36</f>
        <v>170</v>
      </c>
      <c r="E37" s="10">
        <f t="shared" ref="E37:E64" ca="1" si="4">_xlfn.IFNA(D37-F37,"")</f>
        <v>0</v>
      </c>
      <c r="F37" s="10">
        <f ca="1">VLOOKUP(B37,Previous,3,FALSE)</f>
        <v>170</v>
      </c>
      <c r="G37" s="10">
        <f ca="1">SUM(D37:D43)</f>
        <v>1700</v>
      </c>
      <c r="I37" s="10">
        <f ca="1">SUM(D37:D50)</f>
        <v>2972</v>
      </c>
      <c r="K37" s="14"/>
      <c r="M37" s="18">
        <v>44107</v>
      </c>
      <c r="N37" s="10">
        <v>10925</v>
      </c>
      <c r="O37" s="10">
        <v>170</v>
      </c>
      <c r="P37" s="18">
        <v>44107</v>
      </c>
      <c r="Q37" s="10">
        <v>10925</v>
      </c>
      <c r="R37" s="10">
        <v>170</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c r="BX37" s="10">
        <v>44105</v>
      </c>
      <c r="BY37" s="10">
        <v>10560</v>
      </c>
      <c r="BZ37" s="10">
        <v>188</v>
      </c>
      <c r="CA37" s="10">
        <v>44106</v>
      </c>
      <c r="CB37" s="10">
        <v>10748</v>
      </c>
      <c r="CC37" s="10">
        <v>188</v>
      </c>
      <c r="CD37" s="10">
        <v>44107</v>
      </c>
      <c r="CE37" s="10">
        <v>10925</v>
      </c>
      <c r="CF37" s="10">
        <v>170</v>
      </c>
    </row>
    <row r="38" spans="1:84">
      <c r="A38" t="str">
        <f t="shared" ca="1" si="1"/>
        <v/>
      </c>
      <c r="B38" s="4">
        <f t="shared" ca="1" si="2"/>
        <v>44108</v>
      </c>
      <c r="C38" s="11">
        <f t="shared" ca="1" si="0"/>
        <v>11073</v>
      </c>
      <c r="D38">
        <f t="shared" ref="D38" ca="1" si="5">C38-C37</f>
        <v>147</v>
      </c>
      <c r="E38" s="11">
        <f t="shared" ca="1" si="4"/>
        <v>0</v>
      </c>
      <c r="F38" s="11">
        <f t="shared" ref="F38:F65" ca="1" si="6">VLOOKUP(B38,Previous,3,FALSE)</f>
        <v>147</v>
      </c>
      <c r="K38" s="3"/>
      <c r="M38" s="17">
        <v>44108</v>
      </c>
      <c r="N38">
        <v>11072</v>
      </c>
      <c r="O38">
        <v>147</v>
      </c>
      <c r="P38" s="17">
        <v>44108</v>
      </c>
      <c r="Q38">
        <v>11072</v>
      </c>
      <c r="R38">
        <v>147</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c r="BX38">
        <v>44106</v>
      </c>
      <c r="BY38">
        <v>10748</v>
      </c>
      <c r="BZ38">
        <v>188</v>
      </c>
      <c r="CA38">
        <v>44107</v>
      </c>
      <c r="CB38">
        <v>10918</v>
      </c>
      <c r="CC38">
        <v>170</v>
      </c>
      <c r="CD38">
        <v>44108</v>
      </c>
      <c r="CE38">
        <v>11072</v>
      </c>
      <c r="CF38">
        <v>147</v>
      </c>
    </row>
    <row r="39" spans="1:84">
      <c r="A39" t="str">
        <f t="shared" ca="1" si="1"/>
        <v>Ma</v>
      </c>
      <c r="B39" s="4">
        <f t="shared" ca="1" si="2"/>
        <v>44109</v>
      </c>
      <c r="C39" s="11">
        <f t="shared" ca="1" si="0"/>
        <v>11363</v>
      </c>
      <c r="D39">
        <f t="shared" ref="D39" ca="1" si="7">C39-C38</f>
        <v>290</v>
      </c>
      <c r="E39" s="11">
        <f t="shared" ca="1" si="4"/>
        <v>0</v>
      </c>
      <c r="F39" s="11">
        <f t="shared" ca="1" si="6"/>
        <v>290</v>
      </c>
      <c r="K39" s="3"/>
      <c r="M39" s="17">
        <v>44109</v>
      </c>
      <c r="N39">
        <v>11362</v>
      </c>
      <c r="O39">
        <v>290</v>
      </c>
      <c r="P39" s="17">
        <v>44109</v>
      </c>
      <c r="Q39">
        <v>11362</v>
      </c>
      <c r="R39">
        <v>290</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c r="BX39">
        <v>44107</v>
      </c>
      <c r="BY39">
        <v>10918</v>
      </c>
      <c r="BZ39">
        <v>170</v>
      </c>
      <c r="CA39">
        <v>44108</v>
      </c>
      <c r="CB39">
        <v>11065</v>
      </c>
      <c r="CC39">
        <v>147</v>
      </c>
      <c r="CD39">
        <v>44109</v>
      </c>
      <c r="CE39">
        <v>11362</v>
      </c>
      <c r="CF39">
        <v>290</v>
      </c>
    </row>
    <row r="40" spans="1:84">
      <c r="A40" t="str">
        <f t="shared" ca="1" si="1"/>
        <v/>
      </c>
      <c r="B40" s="4">
        <f t="shared" ca="1" si="2"/>
        <v>44110</v>
      </c>
      <c r="C40" s="11">
        <f t="shared" ca="1" si="0"/>
        <v>11664</v>
      </c>
      <c r="D40">
        <f t="shared" ref="D40" ca="1" si="8">C40-C39</f>
        <v>301</v>
      </c>
      <c r="E40" s="11">
        <f t="shared" ca="1" si="4"/>
        <v>0</v>
      </c>
      <c r="F40" s="11">
        <f t="shared" ca="1" si="6"/>
        <v>301</v>
      </c>
      <c r="K40" s="3"/>
      <c r="M40" s="17">
        <v>44110</v>
      </c>
      <c r="N40">
        <v>11663</v>
      </c>
      <c r="O40">
        <v>301</v>
      </c>
      <c r="P40" s="17">
        <v>44110</v>
      </c>
      <c r="Q40">
        <v>11663</v>
      </c>
      <c r="R40">
        <v>301</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c r="BX40">
        <v>44108</v>
      </c>
      <c r="BY40">
        <v>11065</v>
      </c>
      <c r="BZ40">
        <v>147</v>
      </c>
      <c r="CA40">
        <v>44109</v>
      </c>
      <c r="CB40">
        <v>11355</v>
      </c>
      <c r="CC40">
        <v>290</v>
      </c>
      <c r="CD40">
        <v>44110</v>
      </c>
      <c r="CE40">
        <v>11663</v>
      </c>
      <c r="CF40">
        <v>301</v>
      </c>
    </row>
    <row r="41" spans="1:84">
      <c r="A41" t="str">
        <f t="shared" ca="1" si="1"/>
        <v/>
      </c>
      <c r="B41" s="4">
        <f t="shared" ca="1" si="2"/>
        <v>44111</v>
      </c>
      <c r="C41" s="11">
        <f t="shared" ca="1" si="0"/>
        <v>11970</v>
      </c>
      <c r="D41">
        <f t="shared" ref="D41" ca="1" si="9">C41-C40</f>
        <v>306</v>
      </c>
      <c r="E41" s="11">
        <f t="shared" ca="1" si="4"/>
        <v>0</v>
      </c>
      <c r="F41" s="11">
        <f t="shared" ca="1" si="6"/>
        <v>306</v>
      </c>
      <c r="K41" s="3"/>
      <c r="M41" s="17">
        <v>44111</v>
      </c>
      <c r="N41">
        <v>11969</v>
      </c>
      <c r="O41">
        <v>306</v>
      </c>
      <c r="P41" s="17">
        <v>44111</v>
      </c>
      <c r="Q41">
        <v>11969</v>
      </c>
      <c r="R41">
        <v>306</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c r="BX41">
        <v>44109</v>
      </c>
      <c r="BY41">
        <v>11354</v>
      </c>
      <c r="BZ41">
        <v>289</v>
      </c>
      <c r="CA41">
        <v>44110</v>
      </c>
      <c r="CB41">
        <v>11656</v>
      </c>
      <c r="CC41">
        <v>301</v>
      </c>
      <c r="CD41">
        <v>44111</v>
      </c>
      <c r="CE41">
        <v>11969</v>
      </c>
      <c r="CF41">
        <v>306</v>
      </c>
    </row>
    <row r="42" spans="1:84">
      <c r="A42" t="str">
        <f t="shared" ca="1" si="1"/>
        <v/>
      </c>
      <c r="B42" s="4">
        <f t="shared" ca="1" si="2"/>
        <v>44112</v>
      </c>
      <c r="C42" s="11">
        <f t="shared" ca="1" si="0"/>
        <v>12230</v>
      </c>
      <c r="D42">
        <f t="shared" ref="D42" ca="1" si="10">C42-C41</f>
        <v>260</v>
      </c>
      <c r="E42" s="11">
        <f t="shared" ca="1" si="4"/>
        <v>0</v>
      </c>
      <c r="F42" s="11">
        <f t="shared" ca="1" si="6"/>
        <v>260</v>
      </c>
      <c r="K42" s="3"/>
      <c r="M42" s="17">
        <v>44112</v>
      </c>
      <c r="N42">
        <v>12229</v>
      </c>
      <c r="O42">
        <v>260</v>
      </c>
      <c r="P42" s="17">
        <v>44112</v>
      </c>
      <c r="Q42">
        <v>12229</v>
      </c>
      <c r="R42">
        <v>260</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c r="BX42">
        <v>44110</v>
      </c>
      <c r="BY42">
        <v>11653</v>
      </c>
      <c r="BZ42">
        <v>299</v>
      </c>
      <c r="CA42">
        <v>44111</v>
      </c>
      <c r="CB42">
        <v>11962</v>
      </c>
      <c r="CC42">
        <v>306</v>
      </c>
      <c r="CD42">
        <v>44112</v>
      </c>
      <c r="CE42">
        <v>12229</v>
      </c>
      <c r="CF42">
        <v>260</v>
      </c>
    </row>
    <row r="43" spans="1:84">
      <c r="A43" t="str">
        <f t="shared" ca="1" si="1"/>
        <v/>
      </c>
      <c r="B43" s="4">
        <f t="shared" ca="1" si="2"/>
        <v>44113</v>
      </c>
      <c r="C43" s="11">
        <f t="shared" ca="1" si="0"/>
        <v>12456</v>
      </c>
      <c r="D43">
        <f t="shared" ref="D43" ca="1" si="11">C43-C42</f>
        <v>226</v>
      </c>
      <c r="E43" s="11">
        <f t="shared" ca="1" si="4"/>
        <v>0</v>
      </c>
      <c r="F43" s="11">
        <f t="shared" ca="1" si="6"/>
        <v>226</v>
      </c>
      <c r="G43" s="10"/>
      <c r="K43" s="3"/>
      <c r="M43" s="17">
        <v>44113</v>
      </c>
      <c r="N43">
        <v>12455</v>
      </c>
      <c r="O43">
        <v>226</v>
      </c>
      <c r="P43" s="17">
        <v>44113</v>
      </c>
      <c r="Q43">
        <v>12455</v>
      </c>
      <c r="R43">
        <v>226</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c r="BX43">
        <v>44111</v>
      </c>
      <c r="BY43">
        <v>11959</v>
      </c>
      <c r="BZ43">
        <v>306</v>
      </c>
      <c r="CA43">
        <v>44112</v>
      </c>
      <c r="CB43">
        <v>12222</v>
      </c>
      <c r="CC43">
        <v>260</v>
      </c>
      <c r="CD43">
        <v>44113</v>
      </c>
      <c r="CE43">
        <v>12455</v>
      </c>
      <c r="CF43">
        <v>226</v>
      </c>
    </row>
    <row r="44" spans="1:84" s="10" customFormat="1">
      <c r="A44" t="str">
        <f t="shared" ca="1" si="1"/>
        <v/>
      </c>
      <c r="B44" s="9">
        <f t="shared" ca="1" si="2"/>
        <v>44114</v>
      </c>
      <c r="C44" s="10">
        <f t="shared" ca="1" si="0"/>
        <v>12565</v>
      </c>
      <c r="D44" s="10">
        <f t="shared" ref="D44" ca="1" si="12">C44-C43</f>
        <v>109</v>
      </c>
      <c r="E44" s="10">
        <f t="shared" ca="1" si="4"/>
        <v>0</v>
      </c>
      <c r="F44" s="10">
        <f t="shared" ca="1" si="6"/>
        <v>109</v>
      </c>
      <c r="G44" s="10">
        <f ca="1">SUM(D44:D50)</f>
        <v>1272</v>
      </c>
      <c r="H44" s="10" t="str">
        <f ca="1">TEXT(G44/G37-1,"0 %")</f>
        <v>-25 %</v>
      </c>
      <c r="I44" s="10">
        <f ca="1">SUM(D44:D57)</f>
        <v>2498</v>
      </c>
      <c r="K44" s="14"/>
      <c r="L44"/>
      <c r="M44" s="18">
        <v>44114</v>
      </c>
      <c r="N44" s="10">
        <v>12564</v>
      </c>
      <c r="O44" s="10">
        <v>109</v>
      </c>
      <c r="P44" s="18">
        <v>44114</v>
      </c>
      <c r="Q44" s="10">
        <v>12564</v>
      </c>
      <c r="R44" s="10">
        <v>109</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c r="BX44" s="10">
        <v>44112</v>
      </c>
      <c r="BY44" s="10">
        <v>12219</v>
      </c>
      <c r="BZ44" s="10">
        <v>260</v>
      </c>
      <c r="CA44" s="10">
        <v>44113</v>
      </c>
      <c r="CB44" s="10">
        <v>12448</v>
      </c>
      <c r="CC44" s="10">
        <v>226</v>
      </c>
      <c r="CD44" s="10">
        <v>44114</v>
      </c>
      <c r="CE44" s="10">
        <v>12564</v>
      </c>
      <c r="CF44" s="10">
        <v>109</v>
      </c>
    </row>
    <row r="45" spans="1:84">
      <c r="A45" t="str">
        <f t="shared" ca="1" si="1"/>
        <v/>
      </c>
      <c r="B45" s="4">
        <f t="shared" ca="1" si="2"/>
        <v>44115</v>
      </c>
      <c r="C45" s="11">
        <f t="shared" ca="1" si="0"/>
        <v>12695</v>
      </c>
      <c r="D45">
        <f t="shared" ref="D45" ca="1" si="13">C45-C44</f>
        <v>130</v>
      </c>
      <c r="E45" s="11">
        <f t="shared" ca="1" si="4"/>
        <v>0</v>
      </c>
      <c r="F45" s="11">
        <f t="shared" ca="1" si="6"/>
        <v>130</v>
      </c>
      <c r="K45" s="3"/>
      <c r="M45" s="17">
        <v>44115</v>
      </c>
      <c r="N45">
        <v>12694</v>
      </c>
      <c r="O45">
        <v>130</v>
      </c>
      <c r="P45" s="17">
        <v>44115</v>
      </c>
      <c r="Q45">
        <v>12694</v>
      </c>
      <c r="R45">
        <v>130</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c r="BX45">
        <v>44113</v>
      </c>
      <c r="BY45">
        <v>12445</v>
      </c>
      <c r="BZ45">
        <v>226</v>
      </c>
      <c r="CA45">
        <v>44114</v>
      </c>
      <c r="CB45">
        <v>12557</v>
      </c>
      <c r="CC45">
        <v>109</v>
      </c>
      <c r="CD45">
        <v>44115</v>
      </c>
      <c r="CE45">
        <v>12694</v>
      </c>
      <c r="CF45">
        <v>130</v>
      </c>
    </row>
    <row r="46" spans="1:84">
      <c r="A46" t="str">
        <f t="shared" ca="1" si="1"/>
        <v>Ma</v>
      </c>
      <c r="B46" s="4">
        <f t="shared" ca="1" si="2"/>
        <v>44116</v>
      </c>
      <c r="C46" s="11">
        <f t="shared" ca="1" si="0"/>
        <v>12949</v>
      </c>
      <c r="D46">
        <f t="shared" ref="D46" ca="1" si="14">C46-C45</f>
        <v>254</v>
      </c>
      <c r="E46" s="11">
        <f t="shared" ca="1" si="4"/>
        <v>0</v>
      </c>
      <c r="F46" s="11">
        <f t="shared" ca="1" si="6"/>
        <v>254</v>
      </c>
      <c r="K46" s="3"/>
      <c r="M46" s="17">
        <v>44116</v>
      </c>
      <c r="N46">
        <v>12948</v>
      </c>
      <c r="O46">
        <v>254</v>
      </c>
      <c r="P46" s="17">
        <v>44116</v>
      </c>
      <c r="Q46">
        <v>12948</v>
      </c>
      <c r="R46">
        <v>254</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c r="BX46">
        <v>44114</v>
      </c>
      <c r="BY46">
        <v>12554</v>
      </c>
      <c r="BZ46">
        <v>109</v>
      </c>
      <c r="CA46">
        <v>44115</v>
      </c>
      <c r="CB46">
        <v>12687</v>
      </c>
      <c r="CC46">
        <v>130</v>
      </c>
      <c r="CD46">
        <v>44116</v>
      </c>
      <c r="CE46">
        <v>12948</v>
      </c>
      <c r="CF46">
        <v>254</v>
      </c>
    </row>
    <row r="47" spans="1:84">
      <c r="A47" t="str">
        <f t="shared" ca="1" si="1"/>
        <v/>
      </c>
      <c r="B47" s="4">
        <f t="shared" ca="1" si="2"/>
        <v>44117</v>
      </c>
      <c r="C47" s="11">
        <f t="shared" ca="1" si="0"/>
        <v>13146</v>
      </c>
      <c r="D47">
        <f t="shared" ref="D47" ca="1" si="15">C47-C46</f>
        <v>197</v>
      </c>
      <c r="E47" s="11">
        <f t="shared" ca="1" si="4"/>
        <v>0</v>
      </c>
      <c r="F47" s="11">
        <f t="shared" ca="1" si="6"/>
        <v>197</v>
      </c>
      <c r="K47" s="3"/>
      <c r="M47" s="17">
        <v>44117</v>
      </c>
      <c r="N47">
        <v>13145</v>
      </c>
      <c r="O47">
        <v>197</v>
      </c>
      <c r="P47" s="17">
        <v>44117</v>
      </c>
      <c r="Q47">
        <v>13145</v>
      </c>
      <c r="R47">
        <v>197</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c r="BX47">
        <v>44115</v>
      </c>
      <c r="BY47">
        <v>12684</v>
      </c>
      <c r="BZ47">
        <v>130</v>
      </c>
      <c r="CA47">
        <v>44116</v>
      </c>
      <c r="CB47">
        <v>12940</v>
      </c>
      <c r="CC47">
        <v>253</v>
      </c>
      <c r="CD47">
        <v>44117</v>
      </c>
      <c r="CE47">
        <v>13145</v>
      </c>
      <c r="CF47">
        <v>197</v>
      </c>
    </row>
    <row r="48" spans="1:84">
      <c r="A48" t="str">
        <f t="shared" ca="1" si="1"/>
        <v/>
      </c>
      <c r="B48" s="4">
        <f t="shared" ca="1" si="2"/>
        <v>44118</v>
      </c>
      <c r="C48" s="11">
        <f t="shared" ca="1" si="0"/>
        <v>13346</v>
      </c>
      <c r="D48">
        <f t="shared" ref="D48" ca="1" si="16">C48-C47</f>
        <v>200</v>
      </c>
      <c r="E48" s="11">
        <f t="shared" ca="1" si="4"/>
        <v>0</v>
      </c>
      <c r="F48" s="11">
        <f t="shared" ca="1" si="6"/>
        <v>200</v>
      </c>
      <c r="K48" s="3"/>
      <c r="M48" s="17">
        <v>44118</v>
      </c>
      <c r="N48">
        <v>13345</v>
      </c>
      <c r="O48">
        <v>200</v>
      </c>
      <c r="P48" s="17">
        <v>44118</v>
      </c>
      <c r="Q48">
        <v>13345</v>
      </c>
      <c r="R48">
        <v>200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c r="BX48">
        <v>44116</v>
      </c>
      <c r="BY48">
        <v>12936</v>
      </c>
      <c r="BZ48">
        <v>252</v>
      </c>
      <c r="CA48">
        <v>44117</v>
      </c>
      <c r="CB48">
        <v>13137</v>
      </c>
      <c r="CC48">
        <v>197</v>
      </c>
      <c r="CD48">
        <v>44118</v>
      </c>
      <c r="CE48">
        <v>13345</v>
      </c>
      <c r="CF48">
        <v>200</v>
      </c>
    </row>
    <row r="49" spans="1:84">
      <c r="A49" t="str">
        <f t="shared" ca="1" si="1"/>
        <v/>
      </c>
      <c r="B49" s="4">
        <f t="shared" ca="1" si="2"/>
        <v>44119</v>
      </c>
      <c r="C49" s="11">
        <f t="shared" ca="1" si="0"/>
        <v>13536</v>
      </c>
      <c r="D49">
        <f t="shared" ref="D49" ca="1" si="17">C49-C48</f>
        <v>190</v>
      </c>
      <c r="E49" s="11">
        <f t="shared" ca="1" si="4"/>
        <v>0</v>
      </c>
      <c r="F49" s="11">
        <f t="shared" ca="1" si="6"/>
        <v>190</v>
      </c>
      <c r="K49" s="3"/>
      <c r="M49" s="17">
        <v>44119</v>
      </c>
      <c r="N49">
        <v>13535</v>
      </c>
      <c r="O49">
        <v>190</v>
      </c>
      <c r="P49" s="17">
        <v>44119</v>
      </c>
      <c r="Q49">
        <v>13535</v>
      </c>
      <c r="R49">
        <v>190</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c r="BX49">
        <v>44117</v>
      </c>
      <c r="BY49">
        <v>13133</v>
      </c>
      <c r="BZ49">
        <v>197</v>
      </c>
      <c r="CA49">
        <v>44118</v>
      </c>
      <c r="CB49">
        <v>13337</v>
      </c>
      <c r="CC49">
        <v>200</v>
      </c>
      <c r="CD49">
        <v>44119</v>
      </c>
      <c r="CE49">
        <v>13535</v>
      </c>
      <c r="CF49">
        <v>190</v>
      </c>
    </row>
    <row r="50" spans="1:84">
      <c r="A50" t="str">
        <f t="shared" ca="1" si="1"/>
        <v/>
      </c>
      <c r="B50" s="4">
        <f t="shared" ca="1" si="2"/>
        <v>44120</v>
      </c>
      <c r="C50" s="11">
        <f t="shared" ca="1" si="0"/>
        <v>13728</v>
      </c>
      <c r="D50">
        <f t="shared" ref="D50" ca="1" si="18">C50-C49</f>
        <v>192</v>
      </c>
      <c r="E50" s="11">
        <f t="shared" ca="1" si="4"/>
        <v>0</v>
      </c>
      <c r="F50" s="11">
        <f ca="1">VLOOKUP(B50,Previous,3,FALSE)</f>
        <v>192</v>
      </c>
      <c r="K50" s="3"/>
      <c r="M50" s="17">
        <v>44120</v>
      </c>
      <c r="N50">
        <v>13727</v>
      </c>
      <c r="O50">
        <v>192</v>
      </c>
      <c r="P50" s="17">
        <v>44120</v>
      </c>
      <c r="Q50">
        <v>13727</v>
      </c>
      <c r="R50">
        <v>192</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c r="BX50">
        <v>44118</v>
      </c>
      <c r="BY50">
        <v>13333</v>
      </c>
      <c r="BZ50">
        <v>200</v>
      </c>
      <c r="CA50">
        <v>44119</v>
      </c>
      <c r="CB50">
        <v>13527</v>
      </c>
      <c r="CC50">
        <v>190</v>
      </c>
      <c r="CD50">
        <v>44120</v>
      </c>
      <c r="CE50">
        <v>13727</v>
      </c>
      <c r="CF50">
        <v>192</v>
      </c>
    </row>
    <row r="51" spans="1:84" s="10" customFormat="1">
      <c r="A51" t="str">
        <f t="shared" ca="1" si="1"/>
        <v/>
      </c>
      <c r="B51" s="9">
        <f t="shared" ca="1" si="2"/>
        <v>44121</v>
      </c>
      <c r="C51" s="10">
        <f t="shared" ca="1" si="0"/>
        <v>13828</v>
      </c>
      <c r="D51" s="10">
        <f t="shared" ref="D51" ca="1" si="19">C51-C50</f>
        <v>100</v>
      </c>
      <c r="E51" s="10">
        <f t="shared" ca="1" si="4"/>
        <v>0</v>
      </c>
      <c r="F51" s="10">
        <f t="shared" ca="1" si="6"/>
        <v>100</v>
      </c>
      <c r="G51" s="10">
        <f ca="1">SUM(D51:D57)</f>
        <v>1226</v>
      </c>
      <c r="H51" s="10" t="str">
        <f ca="1">TEXT(G51/G44-1,"0 %")</f>
        <v>-4 %</v>
      </c>
      <c r="I51" s="10">
        <f ca="1">SUM(D51:D64)</f>
        <v>2385</v>
      </c>
      <c r="K51" s="14"/>
      <c r="L51"/>
      <c r="M51" s="18">
        <v>44121</v>
      </c>
      <c r="N51" s="10">
        <v>13827</v>
      </c>
      <c r="O51" s="10">
        <v>100</v>
      </c>
      <c r="P51" s="18">
        <v>44121</v>
      </c>
      <c r="Q51" s="10">
        <v>13827</v>
      </c>
      <c r="R51" s="10">
        <v>100</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c r="BX51" s="10">
        <v>44119</v>
      </c>
      <c r="BY51" s="10">
        <v>13522</v>
      </c>
      <c r="BZ51" s="10">
        <v>189</v>
      </c>
      <c r="CA51" s="10">
        <v>44120</v>
      </c>
      <c r="CB51" s="10">
        <v>13719</v>
      </c>
      <c r="CC51" s="10">
        <v>192</v>
      </c>
      <c r="CD51" s="10">
        <v>44121</v>
      </c>
      <c r="CE51" s="10">
        <v>13827</v>
      </c>
      <c r="CF51" s="10">
        <v>100</v>
      </c>
    </row>
    <row r="52" spans="1:84">
      <c r="A52" t="str">
        <f t="shared" ca="1" si="1"/>
        <v/>
      </c>
      <c r="B52" s="4">
        <f t="shared" ca="1" si="2"/>
        <v>44122</v>
      </c>
      <c r="C52" s="11">
        <f t="shared" ca="1" si="0"/>
        <v>13955</v>
      </c>
      <c r="D52">
        <f t="shared" ref="D52:D63" ca="1" si="20">C52-C51</f>
        <v>127</v>
      </c>
      <c r="E52" s="11">
        <f t="shared" ca="1" si="4"/>
        <v>0</v>
      </c>
      <c r="F52" s="11">
        <f t="shared" ca="1" si="6"/>
        <v>127</v>
      </c>
      <c r="G52" s="10"/>
      <c r="K52" s="3"/>
      <c r="M52" s="17">
        <v>44122</v>
      </c>
      <c r="N52">
        <v>13954</v>
      </c>
      <c r="O52">
        <v>127</v>
      </c>
      <c r="P52" s="17">
        <v>44122</v>
      </c>
      <c r="Q52">
        <v>13954</v>
      </c>
      <c r="R52">
        <v>127</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c r="BX52">
        <v>44120</v>
      </c>
      <c r="BY52">
        <v>13714</v>
      </c>
      <c r="BZ52">
        <v>192</v>
      </c>
      <c r="CA52">
        <v>44121</v>
      </c>
      <c r="CB52">
        <v>13819</v>
      </c>
      <c r="CC52">
        <v>100</v>
      </c>
      <c r="CD52">
        <v>44122</v>
      </c>
      <c r="CE52">
        <v>13954</v>
      </c>
      <c r="CF52">
        <v>127</v>
      </c>
    </row>
    <row r="53" spans="1:84">
      <c r="A53" t="str">
        <f t="shared" ca="1" si="1"/>
        <v>Ma</v>
      </c>
      <c r="B53" s="4">
        <f t="shared" ca="1" si="2"/>
        <v>44123</v>
      </c>
      <c r="C53" s="11">
        <f t="shared" ca="1" si="0"/>
        <v>14199</v>
      </c>
      <c r="D53">
        <f t="shared" ca="1" si="20"/>
        <v>244</v>
      </c>
      <c r="E53" s="11">
        <f t="shared" ca="1" si="4"/>
        <v>0</v>
      </c>
      <c r="F53" s="11">
        <f t="shared" ca="1" si="6"/>
        <v>244</v>
      </c>
      <c r="J53" s="13"/>
      <c r="K53" s="3"/>
      <c r="M53" s="17">
        <v>44123</v>
      </c>
      <c r="N53">
        <v>14198</v>
      </c>
      <c r="O53">
        <v>244</v>
      </c>
      <c r="P53" s="17">
        <v>44123</v>
      </c>
      <c r="Q53">
        <v>14198</v>
      </c>
      <c r="R53">
        <v>244</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c r="BX53">
        <v>44121</v>
      </c>
      <c r="BY53">
        <v>13814</v>
      </c>
      <c r="BZ53">
        <v>100</v>
      </c>
      <c r="CA53">
        <v>44122</v>
      </c>
      <c r="CB53">
        <v>13946</v>
      </c>
      <c r="CC53">
        <v>127</v>
      </c>
      <c r="CD53">
        <v>44123</v>
      </c>
      <c r="CE53">
        <v>14198</v>
      </c>
      <c r="CF53">
        <v>244</v>
      </c>
    </row>
    <row r="54" spans="1:84">
      <c r="A54" t="str">
        <f t="shared" ca="1" si="1"/>
        <v/>
      </c>
      <c r="B54" s="4">
        <f t="shared" ca="1" si="2"/>
        <v>44124</v>
      </c>
      <c r="C54" s="11">
        <f t="shared" ca="1" si="0"/>
        <v>14361</v>
      </c>
      <c r="D54">
        <f t="shared" ca="1" si="20"/>
        <v>162</v>
      </c>
      <c r="E54" s="11">
        <f t="shared" ca="1" si="4"/>
        <v>1</v>
      </c>
      <c r="F54" s="11">
        <f t="shared" ca="1" si="6"/>
        <v>161</v>
      </c>
      <c r="J54" s="13"/>
      <c r="K54" s="3"/>
      <c r="M54" s="17">
        <v>44124</v>
      </c>
      <c r="N54">
        <v>14359</v>
      </c>
      <c r="O54">
        <v>161</v>
      </c>
      <c r="P54" s="17">
        <v>44124</v>
      </c>
      <c r="Q54">
        <v>14359</v>
      </c>
      <c r="R54">
        <v>161</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c r="BX54">
        <v>44122</v>
      </c>
      <c r="BY54">
        <v>13941</v>
      </c>
      <c r="BZ54">
        <v>127</v>
      </c>
      <c r="CA54">
        <v>44123</v>
      </c>
      <c r="CB54">
        <v>14188</v>
      </c>
      <c r="CC54">
        <v>242</v>
      </c>
      <c r="CD54">
        <v>44124</v>
      </c>
      <c r="CE54">
        <v>14359</v>
      </c>
      <c r="CF54">
        <v>161</v>
      </c>
    </row>
    <row r="55" spans="1:84">
      <c r="A55" t="str">
        <f t="shared" ca="1" si="1"/>
        <v/>
      </c>
      <c r="B55" s="4">
        <f t="shared" ca="1" si="2"/>
        <v>44125</v>
      </c>
      <c r="C55" s="11">
        <f t="shared" ca="1" si="0"/>
        <v>14550</v>
      </c>
      <c r="D55">
        <f t="shared" ca="1" si="20"/>
        <v>189</v>
      </c>
      <c r="E55" s="11">
        <f t="shared" ca="1" si="4"/>
        <v>0</v>
      </c>
      <c r="F55" s="11">
        <f t="shared" ca="1" si="6"/>
        <v>189</v>
      </c>
      <c r="J55" s="13"/>
      <c r="K55" s="3"/>
      <c r="M55" s="17">
        <v>44125</v>
      </c>
      <c r="N55">
        <v>14548</v>
      </c>
      <c r="O55">
        <v>189</v>
      </c>
      <c r="P55" s="17">
        <v>44125</v>
      </c>
      <c r="Q55">
        <v>14548</v>
      </c>
      <c r="R55">
        <v>189</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c r="BX55">
        <v>44123</v>
      </c>
      <c r="BY55">
        <v>14183</v>
      </c>
      <c r="BZ55">
        <v>242</v>
      </c>
      <c r="CA55">
        <v>44124</v>
      </c>
      <c r="CB55">
        <v>14348</v>
      </c>
      <c r="CC55">
        <v>160</v>
      </c>
      <c r="CD55">
        <v>44125</v>
      </c>
      <c r="CE55">
        <v>14548</v>
      </c>
      <c r="CF55">
        <v>189</v>
      </c>
    </row>
    <row r="56" spans="1:84">
      <c r="A56" t="str">
        <f t="shared" ca="1" si="1"/>
        <v/>
      </c>
      <c r="B56" s="4">
        <f t="shared" ca="1" si="2"/>
        <v>44126</v>
      </c>
      <c r="C56" s="11">
        <f t="shared" ca="1" si="0"/>
        <v>14762</v>
      </c>
      <c r="D56">
        <f t="shared" ca="1" si="20"/>
        <v>212</v>
      </c>
      <c r="E56" s="11">
        <f t="shared" ca="1" si="4"/>
        <v>0</v>
      </c>
      <c r="F56" s="11">
        <f t="shared" ca="1" si="6"/>
        <v>212</v>
      </c>
      <c r="J56" s="13"/>
      <c r="K56" s="3"/>
      <c r="M56" s="17">
        <v>44126</v>
      </c>
      <c r="N56">
        <v>14760</v>
      </c>
      <c r="O56">
        <v>212</v>
      </c>
      <c r="P56" s="17">
        <v>44126</v>
      </c>
      <c r="Q56">
        <v>14760</v>
      </c>
      <c r="R56">
        <v>212</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c r="BX56">
        <v>44124</v>
      </c>
      <c r="BY56">
        <v>14342</v>
      </c>
      <c r="BZ56">
        <v>159</v>
      </c>
      <c r="CA56">
        <v>44125</v>
      </c>
      <c r="CB56">
        <v>14538</v>
      </c>
      <c r="CC56">
        <v>190</v>
      </c>
      <c r="CD56">
        <v>44126</v>
      </c>
      <c r="CE56">
        <v>14760</v>
      </c>
      <c r="CF56">
        <v>212</v>
      </c>
    </row>
    <row r="57" spans="1:84">
      <c r="A57" t="str">
        <f ca="1">IF(WEEKDAY(B57,2)=1,"Ma","")</f>
        <v/>
      </c>
      <c r="B57" s="4">
        <f t="shared" ca="1" si="2"/>
        <v>44127</v>
      </c>
      <c r="C57" s="11">
        <f t="shared" ca="1" si="0"/>
        <v>14954</v>
      </c>
      <c r="D57">
        <f t="shared" ca="1" si="20"/>
        <v>192</v>
      </c>
      <c r="E57" s="11">
        <f t="shared" ca="1" si="4"/>
        <v>0</v>
      </c>
      <c r="F57" s="11">
        <f t="shared" ca="1" si="6"/>
        <v>192</v>
      </c>
      <c r="J57" s="13"/>
      <c r="K57" s="3"/>
      <c r="M57" s="17">
        <v>44127</v>
      </c>
      <c r="N57">
        <v>14952</v>
      </c>
      <c r="O57">
        <v>192</v>
      </c>
      <c r="P57" s="17">
        <v>44127</v>
      </c>
      <c r="Q57">
        <v>14952</v>
      </c>
      <c r="R57">
        <v>192</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c r="BX57">
        <v>44125</v>
      </c>
      <c r="BY57">
        <v>14532</v>
      </c>
      <c r="BZ57">
        <v>190</v>
      </c>
      <c r="CA57">
        <v>44126</v>
      </c>
      <c r="CB57">
        <v>14751</v>
      </c>
      <c r="CC57">
        <v>213</v>
      </c>
      <c r="CD57">
        <v>44127</v>
      </c>
      <c r="CE57">
        <v>14952</v>
      </c>
      <c r="CF57">
        <v>192</v>
      </c>
    </row>
    <row r="58" spans="1:84" s="10" customFormat="1">
      <c r="A58" t="str">
        <f t="shared" ca="1" si="1"/>
        <v/>
      </c>
      <c r="B58" s="9">
        <f t="shared" ca="1" si="2"/>
        <v>44128</v>
      </c>
      <c r="C58" s="10">
        <f t="shared" ca="1" si="0"/>
        <v>15061</v>
      </c>
      <c r="D58" s="10">
        <f t="shared" ca="1" si="20"/>
        <v>107</v>
      </c>
      <c r="E58" s="10">
        <f t="shared" ca="1" si="4"/>
        <v>0</v>
      </c>
      <c r="F58" s="10">
        <f t="shared" ca="1" si="6"/>
        <v>107</v>
      </c>
      <c r="G58" s="10">
        <f ca="1">SUM(D58:D64)</f>
        <v>1159</v>
      </c>
      <c r="J58" s="15"/>
      <c r="K58" s="14"/>
      <c r="L58"/>
      <c r="M58" s="18">
        <v>44128</v>
      </c>
      <c r="N58" s="10">
        <v>15059</v>
      </c>
      <c r="O58" s="10">
        <v>107</v>
      </c>
      <c r="P58" s="18">
        <v>44128</v>
      </c>
      <c r="Q58" s="10">
        <v>15059</v>
      </c>
      <c r="R58" s="10">
        <v>107</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c r="BX58" s="10">
        <v>44126</v>
      </c>
      <c r="BY58" s="10">
        <v>14744</v>
      </c>
      <c r="BZ58" s="10">
        <v>212</v>
      </c>
      <c r="CA58" s="10">
        <v>44127</v>
      </c>
      <c r="CB58" s="10">
        <v>14944</v>
      </c>
      <c r="CC58" s="10">
        <v>193</v>
      </c>
      <c r="CD58" s="10">
        <v>44128</v>
      </c>
      <c r="CE58" s="10">
        <v>15059</v>
      </c>
      <c r="CF58" s="10">
        <v>107</v>
      </c>
    </row>
    <row r="59" spans="1:84">
      <c r="A59" t="str">
        <f t="shared" ca="1" si="1"/>
        <v/>
      </c>
      <c r="B59" s="4">
        <f t="shared" ca="1" si="2"/>
        <v>44129</v>
      </c>
      <c r="C59" s="11">
        <f t="shared" ca="1" si="0"/>
        <v>15184</v>
      </c>
      <c r="D59">
        <f t="shared" ca="1" si="20"/>
        <v>123</v>
      </c>
      <c r="E59" s="11">
        <f t="shared" ca="1" si="4"/>
        <v>0</v>
      </c>
      <c r="F59" s="11">
        <f t="shared" ca="1" si="6"/>
        <v>123</v>
      </c>
      <c r="H59" s="10"/>
      <c r="J59" s="13"/>
      <c r="K59" s="3"/>
      <c r="M59" s="17">
        <v>44129</v>
      </c>
      <c r="N59">
        <v>15182</v>
      </c>
      <c r="O59">
        <v>123</v>
      </c>
      <c r="P59" s="17">
        <v>44129</v>
      </c>
      <c r="Q59">
        <v>15182</v>
      </c>
      <c r="R59">
        <v>123</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c r="BX59">
        <v>44127</v>
      </c>
      <c r="BY59">
        <v>14935</v>
      </c>
      <c r="BZ59">
        <v>191</v>
      </c>
      <c r="CA59">
        <v>44128</v>
      </c>
      <c r="CB59">
        <v>15052</v>
      </c>
      <c r="CC59">
        <v>108</v>
      </c>
      <c r="CD59">
        <v>44129</v>
      </c>
      <c r="CE59">
        <v>15182</v>
      </c>
      <c r="CF59">
        <v>123</v>
      </c>
    </row>
    <row r="60" spans="1:84">
      <c r="A60" t="str">
        <f t="shared" ca="1" si="1"/>
        <v>Ma</v>
      </c>
      <c r="B60" s="4">
        <f t="shared" ca="1" si="2"/>
        <v>44130</v>
      </c>
      <c r="C60" s="11">
        <f t="shared" ca="1" si="0"/>
        <v>15438</v>
      </c>
      <c r="D60">
        <f t="shared" ca="1" si="20"/>
        <v>254</v>
      </c>
      <c r="E60" s="11">
        <f t="shared" ca="1" si="4"/>
        <v>1</v>
      </c>
      <c r="F60" s="11">
        <f t="shared" ca="1" si="6"/>
        <v>253</v>
      </c>
      <c r="J60" s="4"/>
      <c r="K60" s="3"/>
      <c r="M60" s="17">
        <v>44130</v>
      </c>
      <c r="N60">
        <v>15435</v>
      </c>
      <c r="O60">
        <v>253</v>
      </c>
      <c r="P60" s="17">
        <v>44130</v>
      </c>
      <c r="Q60">
        <v>15435</v>
      </c>
      <c r="R60">
        <v>253</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c r="BX60">
        <v>44128</v>
      </c>
      <c r="BY60">
        <v>15041</v>
      </c>
      <c r="BZ60">
        <v>106</v>
      </c>
      <c r="CA60">
        <v>44129</v>
      </c>
      <c r="CB60">
        <v>15173</v>
      </c>
      <c r="CC60">
        <v>121</v>
      </c>
      <c r="CD60">
        <v>44130</v>
      </c>
      <c r="CE60">
        <v>15435</v>
      </c>
      <c r="CF60">
        <v>253</v>
      </c>
    </row>
    <row r="61" spans="1:84">
      <c r="A61" t="str">
        <f t="shared" ref="A61:A64" ca="1" si="21">IF(WEEKDAY(B61,2)=1,"Ma","")</f>
        <v/>
      </c>
      <c r="B61" s="4">
        <f t="shared" ca="1" si="2"/>
        <v>44131</v>
      </c>
      <c r="C61" s="11">
        <f t="shared" ca="1" si="0"/>
        <v>15664</v>
      </c>
      <c r="D61">
        <f t="shared" ca="1" si="20"/>
        <v>226</v>
      </c>
      <c r="E61" s="11">
        <f t="shared" ca="1" si="4"/>
        <v>10</v>
      </c>
      <c r="F61" s="11">
        <f t="shared" ca="1" si="6"/>
        <v>216</v>
      </c>
      <c r="J61" s="4"/>
      <c r="K61" s="3"/>
      <c r="M61" s="17">
        <v>44131</v>
      </c>
      <c r="N61">
        <v>15651</v>
      </c>
      <c r="O61">
        <v>216</v>
      </c>
      <c r="P61" s="17">
        <v>44131</v>
      </c>
      <c r="Q61">
        <v>15651</v>
      </c>
      <c r="R61">
        <v>216</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c r="BX61">
        <v>44129</v>
      </c>
      <c r="BY61">
        <v>15162</v>
      </c>
      <c r="BZ61">
        <v>121</v>
      </c>
      <c r="CA61">
        <v>44130</v>
      </c>
      <c r="CB61">
        <v>15395</v>
      </c>
      <c r="CC61">
        <v>222</v>
      </c>
      <c r="CD61">
        <v>44131</v>
      </c>
      <c r="CE61">
        <v>15651</v>
      </c>
      <c r="CF61">
        <v>216</v>
      </c>
    </row>
    <row r="62" spans="1:84">
      <c r="A62" t="str">
        <f t="shared" ca="1" si="21"/>
        <v/>
      </c>
      <c r="B62" s="4">
        <f t="shared" ca="1" si="2"/>
        <v>44132</v>
      </c>
      <c r="C62" s="11">
        <f t="shared" ca="1" si="0"/>
        <v>15886</v>
      </c>
      <c r="D62">
        <f t="shared" ca="1" si="20"/>
        <v>222</v>
      </c>
      <c r="E62" s="11">
        <f t="shared" ca="1" si="4"/>
        <v>33</v>
      </c>
      <c r="F62" s="11">
        <f t="shared" ca="1" si="6"/>
        <v>189</v>
      </c>
      <c r="J62" s="4"/>
      <c r="K62" s="3"/>
      <c r="M62" s="17">
        <v>44132</v>
      </c>
      <c r="N62">
        <v>15840</v>
      </c>
      <c r="O62">
        <v>189</v>
      </c>
      <c r="P62" s="17">
        <v>44132</v>
      </c>
      <c r="Q62">
        <v>15840</v>
      </c>
      <c r="R62">
        <v>189</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c r="BX62">
        <v>44130</v>
      </c>
      <c r="BY62">
        <v>15336</v>
      </c>
      <c r="BZ62">
        <v>174</v>
      </c>
      <c r="CA62">
        <v>44131</v>
      </c>
      <c r="CB62">
        <v>15534</v>
      </c>
      <c r="CC62">
        <v>139</v>
      </c>
      <c r="CD62">
        <v>44132</v>
      </c>
      <c r="CE62">
        <v>15840</v>
      </c>
      <c r="CF62">
        <v>189</v>
      </c>
    </row>
    <row r="63" spans="1:84">
      <c r="A63" t="str">
        <f t="shared" ca="1" si="21"/>
        <v/>
      </c>
      <c r="B63" s="4">
        <f ca="1">B64-1</f>
        <v>44133</v>
      </c>
      <c r="C63" s="11">
        <f t="shared" ca="1" si="0"/>
        <v>16062</v>
      </c>
      <c r="D63">
        <f t="shared" ca="1" si="20"/>
        <v>176</v>
      </c>
      <c r="E63" s="11">
        <f t="shared" ca="1" si="4"/>
        <v>106</v>
      </c>
      <c r="F63" s="11">
        <f t="shared" ca="1" si="6"/>
        <v>70</v>
      </c>
      <c r="J63" s="4"/>
      <c r="K63" s="3"/>
      <c r="M63" s="17">
        <v>44133</v>
      </c>
      <c r="N63">
        <v>15910</v>
      </c>
      <c r="O63">
        <v>70</v>
      </c>
      <c r="P63" s="17">
        <v>44133</v>
      </c>
      <c r="Q63">
        <v>15910</v>
      </c>
      <c r="R63">
        <v>70</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c r="BX63">
        <v>44131</v>
      </c>
      <c r="BY63">
        <v>15378</v>
      </c>
      <c r="BZ63">
        <v>42</v>
      </c>
      <c r="CA63">
        <v>44132</v>
      </c>
      <c r="CB63">
        <v>15566</v>
      </c>
      <c r="CC63">
        <v>32</v>
      </c>
      <c r="CD63">
        <v>44133</v>
      </c>
      <c r="CE63">
        <v>15910</v>
      </c>
      <c r="CF63">
        <v>70</v>
      </c>
    </row>
    <row r="64" spans="1:84" s="10" customFormat="1">
      <c r="A64" t="str">
        <f t="shared" ca="1" si="21"/>
        <v/>
      </c>
      <c r="B64" s="9">
        <f ca="1">B65-1</f>
        <v>44134</v>
      </c>
      <c r="C64" s="10">
        <f t="shared" ca="1" si="0"/>
        <v>16113</v>
      </c>
      <c r="D64" s="10">
        <f ca="1">C64-C63</f>
        <v>51</v>
      </c>
      <c r="E64" s="10">
        <f t="shared" ca="1" si="4"/>
        <v>51</v>
      </c>
      <c r="F64" s="10">
        <f t="shared" ca="1" si="6"/>
        <v>0</v>
      </c>
      <c r="J64" s="9"/>
      <c r="K64" s="14"/>
      <c r="M64" s="18">
        <v>44134</v>
      </c>
      <c r="N64" s="10">
        <v>15910</v>
      </c>
      <c r="O64" s="10">
        <v>0</v>
      </c>
      <c r="P64" s="18">
        <v>44134</v>
      </c>
      <c r="Q64" s="10">
        <v>15910</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c r="BX64" s="10">
        <v>44132</v>
      </c>
      <c r="BY64" s="10">
        <v>15378</v>
      </c>
      <c r="BZ64" s="10">
        <v>0</v>
      </c>
      <c r="CA64" s="10">
        <v>44133</v>
      </c>
      <c r="CB64" s="10">
        <v>15566</v>
      </c>
      <c r="CC64" s="10">
        <v>0</v>
      </c>
      <c r="CD64" s="10">
        <v>44134</v>
      </c>
      <c r="CE64" s="10">
        <v>15910</v>
      </c>
      <c r="CF64" s="10">
        <v>0</v>
      </c>
    </row>
    <row r="65" spans="1:84">
      <c r="A65" t="str">
        <f ca="1">IF(WEEKDAY(B65,2)=1,"Ma","")</f>
        <v/>
      </c>
      <c r="B65" s="12">
        <f ca="1">FLOOR(NOW(),1)</f>
        <v>44135</v>
      </c>
      <c r="C65" s="11">
        <f t="shared" ca="1" si="0"/>
        <v>16113</v>
      </c>
      <c r="D65" s="11">
        <f ca="1">C65-C64</f>
        <v>0</v>
      </c>
      <c r="E65" s="11">
        <f ca="1">_xlfn.IFNA(D65-F65,"")</f>
        <v>0</v>
      </c>
      <c r="F65" s="11">
        <f t="shared" ca="1" si="6"/>
        <v>0</v>
      </c>
      <c r="K65" t="s">
        <v>309</v>
      </c>
      <c r="L65">
        <f ca="1">C65-N65</f>
        <v>203</v>
      </c>
      <c r="M65" s="17">
        <v>44135</v>
      </c>
      <c r="N65">
        <v>15910</v>
      </c>
      <c r="O65">
        <v>0</v>
      </c>
      <c r="P65" s="17">
        <v>44135</v>
      </c>
      <c r="Q65">
        <v>15910</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c r="BX65">
        <v>44133</v>
      </c>
      <c r="BY65">
        <v>15378</v>
      </c>
      <c r="BZ65">
        <v>0</v>
      </c>
      <c r="CA65">
        <v>44134</v>
      </c>
      <c r="CB65">
        <v>15566</v>
      </c>
      <c r="CC65">
        <v>0</v>
      </c>
      <c r="CD65">
        <v>44135</v>
      </c>
      <c r="CE65">
        <v>15910</v>
      </c>
      <c r="CF65">
        <v>0</v>
      </c>
    </row>
    <row r="67" spans="1:84">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2020-10-31T12:00:31Z</dcterms:modified>
</cp:coreProperties>
</file>