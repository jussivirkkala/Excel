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3351022-648C-4CF8-AE21-1D0FD859DB7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O71" i="2" l="1"/>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N84" i="2" l="1"/>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N74" i="2" l="1"/>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N88" i="2" l="1"/>
  <c r="O86" i="2"/>
  <c r="Q83" i="2" s="1"/>
  <c r="N75" i="2"/>
  <c r="O74" i="2"/>
  <c r="CG67" i="2"/>
  <c r="CD67" i="2"/>
  <c r="CA67" i="2"/>
  <c r="BX67" i="2"/>
  <c r="BU67" i="2"/>
  <c r="BR67" i="2"/>
  <c r="BO67" i="2"/>
  <c r="N76" i="2" l="1"/>
  <c r="O75" i="2"/>
  <c r="N90" i="2"/>
  <c r="O88" i="2"/>
  <c r="Q84" i="2" s="1"/>
  <c r="BL67" i="2"/>
  <c r="BI67" i="2"/>
  <c r="AT67" i="2"/>
  <c r="N92" i="2" l="1"/>
  <c r="O90" i="2"/>
  <c r="Q85" i="2" s="1"/>
  <c r="N77" i="2"/>
  <c r="O77" i="2" s="1"/>
  <c r="O76" i="2"/>
  <c r="BC67" i="2"/>
  <c r="BF67" i="2"/>
  <c r="AZ67" i="2"/>
  <c r="N94" i="2" l="1"/>
  <c r="O92" i="2"/>
  <c r="Q86" i="2" s="1"/>
  <c r="AW67" i="2"/>
  <c r="N96" i="2" l="1"/>
  <c r="O94" i="2"/>
  <c r="Q87" i="2" s="1"/>
  <c r="AQ67" i="2"/>
  <c r="AN67" i="2"/>
  <c r="N98" i="2" l="1"/>
  <c r="O98" i="2" s="1"/>
  <c r="Q89" i="2" s="1"/>
  <c r="O96" i="2"/>
  <c r="Q88" i="2" s="1"/>
  <c r="AK67" i="2"/>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P67" i="2" l="1"/>
  <c r="O70" i="2" s="1"/>
  <c r="B64" i="2"/>
  <c r="A64" i="2" s="1"/>
  <c r="A34" i="2" l="1"/>
  <c r="C64" i="2"/>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<sst xmlns="http://schemas.openxmlformats.org/spreadsheetml/2006/main" count="714" uniqueCount="368">
  <si>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</si>
  <si>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</si>
  <si>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</si>
  <si>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</si>
  <si>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</si>
  <si>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</si>
  <si>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</si>
  <si>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</si>
  <si>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</si>
  <si>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</si>
  <si>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</si>
  <si>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</si>
  <si>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</si>
  <si>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</si>
  <si>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</si>
  <si>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</si>
  <si>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</si>
  <si>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</si>
  <si>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</si>
  <si>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</si>
  <si>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</si>
  <si>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</si>
  <si>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</si>
  <si>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</si>
  <si>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</si>
  <si>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</si>
  <si>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</si>
  <si>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</si>
  <si>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</si>
  <si>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</si>
  <si>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</si>
  <si>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</si>
  <si>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</si>
  <si>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</si>
  <si>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</si>
  <si>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</si>
  <si>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</si>
  <si>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</si>
  <si>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</si>
  <si>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</si>
  <si>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</si>
  <si>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</si>
  <si>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</si>
  <si>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</si>
  <si>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</si>
  <si>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</si>
  <si>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</si>
  <si>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</si>
  <si>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</si>
  <si>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</si>
  <si>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</si>
  <si>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</si>
  <si>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</si>
  <si>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</si>
  <si>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</si>
  <si>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</si>
  <si>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</si>
  <si>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</si>
  <si>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</si>
  <si>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</si>
  <si>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</si>
  <si>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</si>
  <si>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</si>
  <si>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</si>
  <si>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</si>
  <si>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</si>
  <si>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</si>
  <si>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</si>
  <si>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</si>
  <si>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</si>
  <si>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</si>
  <si>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</si>
  <si>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</si>
  <si>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</si>
  <si>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</si>
  <si>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</si>
  <si>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</si>
  <si>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</si>
  <si>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</si>
  <si>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</si>
  <si>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</si>
  <si>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</si>
  <si>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</si>
  <si>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</si>
  <si>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</si>
  <si>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</si>
  <si>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</si>
  <si>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</si>
  <si>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</si>
  <si>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</si>
  <si>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</si>
  <si>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</si>
  <si>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</si>
  <si>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</si>
  <si>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</si>
  <si>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</si>
  <si>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</si>
  <si>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</si>
  <si>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</si>
  <si>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</si>
  <si>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</si>
  <si>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</si>
  <si>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</si>
  <si>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</si>
  <si>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</si>
  <si>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</si>
  <si>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</si>
  <si>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</si>
  <si>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</si>
  <si>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</si>
  <si>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</si>
  <si>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</si>
  <si>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</si>
  <si>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</si>
  <si>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</si>
  <si>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</si>
  <si>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</si>
  <si>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</si>
  <si>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</si>
  <si>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</si>
  <si>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</si>
  <si>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</si>
  <si>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</si>
  <si>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</si>
  <si>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</si>
  <si>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</si>
  <si>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</si>
  <si>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</si>
  <si>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</si>
  <si>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</si>
  <si>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</si>
  <si>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</si>
  <si>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</si>
  <si>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</si>
  <si>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</si>
  <si>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</si>
  <si>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</si>
  <si>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</si>
  <si>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</si>
  <si>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</si>
  <si>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</si>
  <si>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</si>
  <si>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</si>
  <si>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</si>
  <si>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</si>
  <si>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</si>
  <si>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</si>
  <si>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</si>
  <si>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</si>
  <si>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</si>
  <si>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</si>
  <si>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</si>
  <si>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</si>
  <si>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</si>
  <si>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</si>
  <si>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</si>
  <si>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</si>
  <si>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</si>
  <si>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</si>
  <si>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</si>
  <si>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</si>
  <si>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</si>
  <si>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</si>
  <si>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</si>
  <si>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</si>
  <si>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</si>
  <si>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</si>
  <si>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</si>
  <si>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</si>
  <si>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</si>
  <si>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</si>
  <si>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</si>
  <si>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</si>
  <si>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</si>
  <si>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</si>
  <si>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</si>
  <si>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</si>
  <si>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</si>
  <si>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</si>
  <si>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</si>
  <si>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</si>
  <si>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</si>
  <si>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</si>
  <si>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</si>
  <si>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</si>
  <si>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</si>
  <si>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</si>
  <si>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</si>
  <si>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</si>
  <si>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</si>
  <si>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</si>
  <si>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</si>
  <si>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</si>
  <si>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</si>
  <si>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</si>
  <si>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</si>
  <si>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</si>
  <si>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</si>
  <si>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</si>
  <si>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</si>
  <si>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</si>
  <si>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</si>
  <si>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</si>
  <si>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</si>
  <si>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</si>
  <si>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</si>
  <si>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</si>
  <si>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</si>
  <si>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</si>
  <si>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</si>
  <si>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</si>
  <si>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</si>
  <si>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</si>
  <si>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</si>
  <si>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</si>
  <si>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</si>
  <si>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</si>
  <si>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</si>
  <si>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</si>
  <si>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</si>
  <si>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</si>
  <si>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</si>
  <si>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</si>
  <si>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</si>
  <si>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</si>
  <si>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</si>
  <si>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</si>
  <si>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</si>
  <si>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</si>
  <si>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</si>
  <si>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</si>
  <si>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</si>
  <si>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</si>
  <si>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</si>
  <si>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</si>
  <si>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</si>
  <si>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</si>
  <si>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</si>
  <si>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</si>
  <si>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</si>
  <si>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</si>
  <si>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</si>
  <si>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</si>
  <si>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</si>
  <si>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</si>
  <si>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</si>
  <si>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</si>
  <si>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</si>
  <si>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</si>
  <si>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</si>
  <si>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</si>
  <si>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</si>
  <si>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</si>
  <si>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</si>
  <si>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</si>
  <si>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</si>
  <si>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</si>
  <si>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</si>
  <si>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</si>
  <si>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</si>
  <si>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</si>
  <si>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</si>
  <si>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</si>
  <si>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</si>
  <si>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</si>
  <si>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</si>
  <si>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</si>
  <si>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</si>
  <si>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</si>
  <si>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</si>
  <si>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</si>
  <si>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</si>
  <si>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</si>
  <si>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</si>
  <si>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</si>
  <si>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</si>
  <si>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</si>
  <si>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</si>
  <si>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</si>
  <si>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</si>
  <si>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</si>
  <si>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</si>
  <si>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</si>
  <si>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</si>
  <si>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</si>
  <si>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</si>
  <si>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</si>
  <si>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</si>
  <si>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</si>
  <si>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</si>
  <si>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</si>
  <si>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</si>
  <si>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</si>
  <si>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</si>
  <si>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</si>
  <si>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</si>
  <si>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</si>
  <si>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</si>
  <si>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</si>
  <si>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</si>
  <si>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</si>
  <si>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</si>
  <si>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</si>
  <si>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</si>
  <si>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</si>
  <si>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</si>
  <si>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</si>
  <si>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</si>
  <si>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</si>
  <si>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</si>
  <si>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</si>
  <si>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</si>
  <si>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</si>
  <si>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</si>
  <si>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</si>
  <si>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</si>
  <si>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</si>
  <si>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</si>
  <si>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</si>
  <si>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</si>
  <si>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</si>
  <si>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</si>
  <si>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</si>
  <si>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</si>
  <si>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</si>
  <si>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</si>
  <si>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</si>
  <si>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</si>
  <si>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</si>
  <si>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</si>
  <si>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</si>
  <si>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</si>
  <si>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</si>
  <si>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</si>
  <si>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</si>
  <si>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</si>
  <si>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</si>
  <si>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</si>
  <si>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</si>
  <si>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</si>
  <si>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</si>
  <si>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</si>
  <si>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</si>
  <si>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</si>
  <si>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</si>
  <si>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</si>
  <si>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</si>
  <si>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</si>
  <si>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</si>
  <si>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</si>
  <si>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</si>
  <si>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</si>
  <si>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</si>
  <si>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</si>
  <si>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</si>
  <si>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</si>
  <si>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</si>
  <si>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</si>
  <si>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</si>
  <si>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</si>
  <si>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</si>
  <si>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</si>
  <si>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</si>
  <si>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</si>
  <si>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</si>
  <si>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</si>
  <si>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</si>
  <si>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2020-11-30T09:37:24.521Z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</si>
</sst>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26.11 saakka. Suurin arvo 575, joka 25.11. Uusimpien 4 päivien arvot tulevat viiveellä, joten ne jätetty pois kuvaajasta 30.11.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92</c:v>
                </c:pt>
                <c:pt idx="115">
                  <c:v>76</c:v>
                </c:pt>
                <c:pt idx="116">
                  <c:v>73</c:v>
                </c:pt>
                <c:pt idx="117">
                  <c:v>125</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169</c:v>
                </c:pt>
                <c:pt idx="277">
                  <c:v>146</c:v>
                </c:pt>
                <c:pt idx="278">
                  <c:v>290</c:v>
                </c:pt>
                <c:pt idx="279">
                  <c:v>303</c:v>
                </c:pt>
                <c:pt idx="280">
                  <c:v>306</c:v>
                </c:pt>
                <c:pt idx="281">
                  <c:v>260</c:v>
                </c:pt>
                <c:pt idx="282">
                  <c:v>226</c:v>
                </c:pt>
                <c:pt idx="283">
                  <c:v>109</c:v>
                </c:pt>
                <c:pt idx="284">
                  <c:v>130</c:v>
                </c:pt>
                <c:pt idx="285">
                  <c:v>255</c:v>
                </c:pt>
                <c:pt idx="286">
                  <c:v>197</c:v>
                </c:pt>
                <c:pt idx="287">
                  <c:v>201</c:v>
                </c:pt>
                <c:pt idx="288">
                  <c:v>190</c:v>
                </c:pt>
                <c:pt idx="289">
                  <c:v>193</c:v>
                </c:pt>
                <c:pt idx="290">
                  <c:v>103</c:v>
                </c:pt>
                <c:pt idx="291">
                  <c:v>128</c:v>
                </c:pt>
                <c:pt idx="292">
                  <c:v>242</c:v>
                </c:pt>
                <c:pt idx="293">
                  <c:v>166</c:v>
                </c:pt>
                <c:pt idx="294">
                  <c:v>190</c:v>
                </c:pt>
                <c:pt idx="295">
                  <c:v>219</c:v>
                </c:pt>
                <c:pt idx="296">
                  <c:v>193</c:v>
                </c:pt>
                <c:pt idx="297">
                  <c:v>108</c:v>
                </c:pt>
                <c:pt idx="298">
                  <c:v>123</c:v>
                </c:pt>
                <c:pt idx="299">
                  <c:v>256</c:v>
                </c:pt>
                <c:pt idx="300">
                  <c:v>230</c:v>
                </c:pt>
                <c:pt idx="301">
                  <c:v>240</c:v>
                </c:pt>
                <c:pt idx="302">
                  <c:v>237</c:v>
                </c:pt>
                <c:pt idx="303">
                  <c:v>219</c:v>
                </c:pt>
                <c:pt idx="304">
                  <c:v>121</c:v>
                </c:pt>
                <c:pt idx="305">
                  <c:v>150</c:v>
                </c:pt>
                <c:pt idx="306">
                  <c:v>281</c:v>
                </c:pt>
                <c:pt idx="307">
                  <c:v>241</c:v>
                </c:pt>
                <c:pt idx="308">
                  <c:v>211</c:v>
                </c:pt>
                <c:pt idx="309">
                  <c:v>222</c:v>
                </c:pt>
                <c:pt idx="310">
                  <c:v>195</c:v>
                </c:pt>
                <c:pt idx="311">
                  <c:v>128</c:v>
                </c:pt>
                <c:pt idx="312">
                  <c:v>133</c:v>
                </c:pt>
                <c:pt idx="313">
                  <c:v>276</c:v>
                </c:pt>
                <c:pt idx="314">
                  <c:v>205</c:v>
                </c:pt>
                <c:pt idx="315">
                  <c:v>292</c:v>
                </c:pt>
                <c:pt idx="316">
                  <c:v>282</c:v>
                </c:pt>
                <c:pt idx="317">
                  <c:v>264</c:v>
                </c:pt>
                <c:pt idx="318">
                  <c:v>145</c:v>
                </c:pt>
                <c:pt idx="319">
                  <c:v>181</c:v>
                </c:pt>
                <c:pt idx="320">
                  <c:v>393</c:v>
                </c:pt>
                <c:pt idx="321">
                  <c:v>394</c:v>
                </c:pt>
                <c:pt idx="322">
                  <c:v>372</c:v>
                </c:pt>
                <c:pt idx="323">
                  <c:v>479</c:v>
                </c:pt>
                <c:pt idx="324">
                  <c:v>428</c:v>
                </c:pt>
                <c:pt idx="325">
                  <c:v>270</c:v>
                </c:pt>
                <c:pt idx="326">
                  <c:v>264</c:v>
                </c:pt>
                <c:pt idx="327">
                  <c:v>480</c:v>
                </c:pt>
                <c:pt idx="328">
                  <c:v>437</c:v>
                </c:pt>
                <c:pt idx="329">
                  <c:v>575</c:v>
                </c:pt>
                <c:pt idx="330">
                  <c:v>428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4257</c:v>
                </c:pt>
                <c:pt idx="1">
                  <c:v>3951</c:v>
                </c:pt>
                <c:pt idx="2">
                  <c:v>4171</c:v>
                </c:pt>
                <c:pt idx="3">
                  <c:v>4082</c:v>
                </c:pt>
                <c:pt idx="4">
                  <c:v>3681</c:v>
                </c:pt>
                <c:pt idx="5">
                  <c:v>2300</c:v>
                </c:pt>
                <c:pt idx="6">
                  <c:v>2470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44137</c:v>
                </c:pt>
                <c:pt idx="1">
                  <c:v>44138</c:v>
                </c:pt>
                <c:pt idx="2">
                  <c:v>44139</c:v>
                </c:pt>
                <c:pt idx="3">
                  <c:v>44140</c:v>
                </c:pt>
                <c:pt idx="4">
                  <c:v>44141</c:v>
                </c:pt>
                <c:pt idx="5">
                  <c:v>44142</c:v>
                </c:pt>
                <c:pt idx="6">
                  <c:v>44143</c:v>
                </c:pt>
                <c:pt idx="7">
                  <c:v>44144</c:v>
                </c:pt>
                <c:pt idx="8">
                  <c:v>44145</c:v>
                </c:pt>
                <c:pt idx="9">
                  <c:v>44146</c:v>
                </c:pt>
                <c:pt idx="10">
                  <c:v>44147</c:v>
                </c:pt>
                <c:pt idx="11">
                  <c:v>44148</c:v>
                </c:pt>
                <c:pt idx="12">
                  <c:v>44149</c:v>
                </c:pt>
                <c:pt idx="13">
                  <c:v>44150</c:v>
                </c:pt>
                <c:pt idx="14">
                  <c:v>44151</c:v>
                </c:pt>
                <c:pt idx="15">
                  <c:v>44152</c:v>
                </c:pt>
                <c:pt idx="16">
                  <c:v>44153</c:v>
                </c:pt>
                <c:pt idx="17">
                  <c:v>44154</c:v>
                </c:pt>
                <c:pt idx="18">
                  <c:v>44155</c:v>
                </c:pt>
                <c:pt idx="19">
                  <c:v>44156</c:v>
                </c:pt>
                <c:pt idx="20">
                  <c:v>44157</c:v>
                </c:pt>
                <c:pt idx="21">
                  <c:v>44158</c:v>
                </c:pt>
                <c:pt idx="22">
                  <c:v>44159</c:v>
                </c:pt>
                <c:pt idx="23">
                  <c:v>44160</c:v>
                </c:pt>
                <c:pt idx="24">
                  <c:v>44161</c:v>
                </c:pt>
                <c:pt idx="25">
                  <c:v>44162</c:v>
                </c:pt>
                <c:pt idx="26">
                  <c:v>44163</c:v>
                </c:pt>
                <c:pt idx="27">
                  <c:v>44164</c:v>
                </c:pt>
              </c:numCache>
            </c:numRef>
          </c:cat>
          <c:val>
            <c:numRef>
              <c:f>Kuvaajat!$D$37:$D$64</c:f>
              <c:numCache>
                <c:formatCode>General</c:formatCode>
                <c:ptCount val="28"/>
                <c:pt idx="0">
                  <c:v>281</c:v>
                </c:pt>
                <c:pt idx="1">
                  <c:v>241</c:v>
                </c:pt>
                <c:pt idx="2">
                  <c:v>211</c:v>
                </c:pt>
                <c:pt idx="3">
                  <c:v>222</c:v>
                </c:pt>
                <c:pt idx="4">
                  <c:v>195</c:v>
                </c:pt>
                <c:pt idx="5">
                  <c:v>128</c:v>
                </c:pt>
                <c:pt idx="6">
                  <c:v>133</c:v>
                </c:pt>
                <c:pt idx="7">
                  <c:v>276</c:v>
                </c:pt>
                <c:pt idx="8">
                  <c:v>205</c:v>
                </c:pt>
                <c:pt idx="9">
                  <c:v>292</c:v>
                </c:pt>
                <c:pt idx="10">
                  <c:v>282</c:v>
                </c:pt>
                <c:pt idx="11">
                  <c:v>264</c:v>
                </c:pt>
                <c:pt idx="12">
                  <c:v>145</c:v>
                </c:pt>
                <c:pt idx="13">
                  <c:v>181</c:v>
                </c:pt>
                <c:pt idx="14">
                  <c:v>393</c:v>
                </c:pt>
                <c:pt idx="15">
                  <c:v>394</c:v>
                </c:pt>
                <c:pt idx="16">
                  <c:v>372</c:v>
                </c:pt>
                <c:pt idx="17">
                  <c:v>479</c:v>
                </c:pt>
                <c:pt idx="18">
                  <c:v>428</c:v>
                </c:pt>
                <c:pt idx="19">
                  <c:v>270</c:v>
                </c:pt>
                <c:pt idx="20">
                  <c:v>264</c:v>
                </c:pt>
                <c:pt idx="21">
                  <c:v>480</c:v>
                </c:pt>
                <c:pt idx="22">
                  <c:v>437</c:v>
                </c:pt>
                <c:pt idx="23">
                  <c:v>575</c:v>
                </c:pt>
                <c:pt idx="24">
                  <c:v>428</c:v>
                </c:pt>
                <c:pt idx="25">
                  <c:v>350</c:v>
                </c:pt>
                <c:pt idx="26">
                  <c:v>198</c:v>
                </c:pt>
                <c:pt idx="27">
                  <c:v>126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N=24912. Uusimmat 30.11 lisäykset punaisella n=283.</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c:v>
                </c:pt>
                <c:pt idx="1">
                  <c:v>3.11</c:v>
                </c:pt>
                <c:pt idx="2">
                  <c:v>4.11</c:v>
                </c:pt>
                <c:pt idx="3">
                  <c:v>5.11</c:v>
                </c:pt>
                <c:pt idx="4">
                  <c:v>6.11</c:v>
                </c:pt>
                <c:pt idx="5">
                  <c:v>7.11</c:v>
                </c:pt>
                <c:pt idx="6">
                  <c:v>8.11</c:v>
                </c:pt>
                <c:pt idx="7">
                  <c:v>Ma 9</c:v>
                </c:pt>
                <c:pt idx="8">
                  <c:v>10.11</c:v>
                </c:pt>
                <c:pt idx="9">
                  <c:v>11.11</c:v>
                </c:pt>
                <c:pt idx="10">
                  <c:v>12.11</c:v>
                </c:pt>
                <c:pt idx="11">
                  <c:v>13.11</c:v>
                </c:pt>
                <c:pt idx="12">
                  <c:v>14.11</c:v>
                </c:pt>
                <c:pt idx="13">
                  <c:v>15.11</c:v>
                </c:pt>
                <c:pt idx="14">
                  <c:v>Ma 16</c:v>
                </c:pt>
                <c:pt idx="15">
                  <c:v>17.11</c:v>
                </c:pt>
                <c:pt idx="16">
                  <c:v>18.11</c:v>
                </c:pt>
                <c:pt idx="17">
                  <c:v>19.11</c:v>
                </c:pt>
                <c:pt idx="18">
                  <c:v>20.11</c:v>
                </c:pt>
                <c:pt idx="19">
                  <c:v>21.11</c:v>
                </c:pt>
                <c:pt idx="20">
                  <c:v>22.11</c:v>
                </c:pt>
                <c:pt idx="21">
                  <c:v>Ma 23</c:v>
                </c:pt>
                <c:pt idx="22">
                  <c:v>24.11</c:v>
                </c:pt>
                <c:pt idx="23">
                  <c:v>25.11</c:v>
                </c:pt>
                <c:pt idx="24">
                  <c:v>26.11</c:v>
                </c:pt>
                <c:pt idx="25">
                  <c:v>27.11</c:v>
                </c:pt>
                <c:pt idx="26">
                  <c:v>28.11</c:v>
                </c:pt>
                <c:pt idx="27">
                  <c:v>29.11</c:v>
                </c:pt>
              </c:strCache>
            </c:strRef>
          </c:cat>
          <c:val>
            <c:numRef>
              <c:f>Kuvaajat!$D$37:$D$64</c:f>
              <c:numCache>
                <c:formatCode>General</c:formatCode>
                <c:ptCount val="28"/>
                <c:pt idx="0">
                  <c:v>281</c:v>
                </c:pt>
                <c:pt idx="1">
                  <c:v>241</c:v>
                </c:pt>
                <c:pt idx="2">
                  <c:v>211</c:v>
                </c:pt>
                <c:pt idx="3">
                  <c:v>222</c:v>
                </c:pt>
                <c:pt idx="4">
                  <c:v>195</c:v>
                </c:pt>
                <c:pt idx="5">
                  <c:v>128</c:v>
                </c:pt>
                <c:pt idx="6">
                  <c:v>133</c:v>
                </c:pt>
                <c:pt idx="7">
                  <c:v>276</c:v>
                </c:pt>
                <c:pt idx="8">
                  <c:v>205</c:v>
                </c:pt>
                <c:pt idx="9">
                  <c:v>292</c:v>
                </c:pt>
                <c:pt idx="10">
                  <c:v>282</c:v>
                </c:pt>
                <c:pt idx="11">
                  <c:v>264</c:v>
                </c:pt>
                <c:pt idx="12">
                  <c:v>145</c:v>
                </c:pt>
                <c:pt idx="13">
                  <c:v>181</c:v>
                </c:pt>
                <c:pt idx="14">
                  <c:v>393</c:v>
                </c:pt>
                <c:pt idx="15">
                  <c:v>394</c:v>
                </c:pt>
                <c:pt idx="16">
                  <c:v>372</c:v>
                </c:pt>
                <c:pt idx="17">
                  <c:v>479</c:v>
                </c:pt>
                <c:pt idx="18">
                  <c:v>428</c:v>
                </c:pt>
                <c:pt idx="19">
                  <c:v>270</c:v>
                </c:pt>
                <c:pt idx="20">
                  <c:v>264</c:v>
                </c:pt>
                <c:pt idx="21">
                  <c:v>480</c:v>
                </c:pt>
                <c:pt idx="22">
                  <c:v>437</c:v>
                </c:pt>
                <c:pt idx="23">
                  <c:v>575</c:v>
                </c:pt>
                <c:pt idx="24">
                  <c:v>428</c:v>
                </c:pt>
                <c:pt idx="25">
                  <c:v>350</c:v>
                </c:pt>
                <c:pt idx="26">
                  <c:v>198</c:v>
                </c:pt>
                <c:pt idx="27">
                  <c:v>126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3.15370983055224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c:v>
                </c:pt>
                <c:pt idx="1">
                  <c:v>3.11</c:v>
                </c:pt>
                <c:pt idx="2">
                  <c:v>4.11</c:v>
                </c:pt>
                <c:pt idx="3">
                  <c:v>5.11</c:v>
                </c:pt>
                <c:pt idx="4">
                  <c:v>6.11</c:v>
                </c:pt>
                <c:pt idx="5">
                  <c:v>7.11</c:v>
                </c:pt>
                <c:pt idx="6">
                  <c:v>8.11</c:v>
                </c:pt>
                <c:pt idx="7">
                  <c:v>Ma 9</c:v>
                </c:pt>
                <c:pt idx="8">
                  <c:v>10.11</c:v>
                </c:pt>
                <c:pt idx="9">
                  <c:v>11.11</c:v>
                </c:pt>
                <c:pt idx="10">
                  <c:v>12.11</c:v>
                </c:pt>
                <c:pt idx="11">
                  <c:v>13.11</c:v>
                </c:pt>
                <c:pt idx="12">
                  <c:v>14.11</c:v>
                </c:pt>
                <c:pt idx="13">
                  <c:v>15.11</c:v>
                </c:pt>
                <c:pt idx="14">
                  <c:v>Ma 16</c:v>
                </c:pt>
                <c:pt idx="15">
                  <c:v>17.11</c:v>
                </c:pt>
                <c:pt idx="16">
                  <c:v>18.11</c:v>
                </c:pt>
                <c:pt idx="17">
                  <c:v>19.11</c:v>
                </c:pt>
                <c:pt idx="18">
                  <c:v>20.11</c:v>
                </c:pt>
                <c:pt idx="19">
                  <c:v>21.11</c:v>
                </c:pt>
                <c:pt idx="20">
                  <c:v>22.11</c:v>
                </c:pt>
                <c:pt idx="21">
                  <c:v>Ma 23</c:v>
                </c:pt>
                <c:pt idx="22">
                  <c:v>24.11</c:v>
                </c:pt>
                <c:pt idx="23">
                  <c:v>25.11</c:v>
                </c:pt>
                <c:pt idx="24">
                  <c:v>26.11</c:v>
                </c:pt>
                <c:pt idx="25">
                  <c:v>27.11</c:v>
                </c:pt>
                <c:pt idx="26">
                  <c:v>28.11</c:v>
                </c:pt>
                <c:pt idx="27">
                  <c:v>29.11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c:v>
                </c:pt>
                <c:pt idx="21">
                  <c:v>-3</c:v>
                </c:pt>
                <c:pt idx="22">
                  <c:v>-4</c:v>
                </c:pt>
                <c:pt idx="23">
                  <c:v>7</c:v>
                </c:pt>
                <c:pt idx="24">
                  <c:v>25</c:v>
                </c:pt>
                <c:pt idx="25">
                  <c:v>52</c:v>
                </c:pt>
                <c:pt idx="26">
                  <c:v>82</c:v>
                </c:pt>
                <c:pt idx="27">
                  <c:v>126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Kuvaajat!$N$70:$N$78</c:f>
              <c:numCache>
                <c:formatCode>d/m</c:formatCode>
                <c:ptCount val="9"/>
                <c:pt idx="0">
                  <c:v>44165</c:v>
                </c:pt>
                <c:pt idx="1">
                  <c:v>44158</c:v>
                </c:pt>
                <c:pt idx="2">
                  <c:v>44151</c:v>
                </c:pt>
                <c:pt idx="3">
                  <c:v>44144</c:v>
                </c:pt>
                <c:pt idx="4">
                  <c:v>44137</c:v>
                </c:pt>
                <c:pt idx="5">
                  <c:v>44130</c:v>
                </c:pt>
                <c:pt idx="6">
                  <c:v>44123</c:v>
                </c:pt>
                <c:pt idx="7">
                  <c:v>44116</c:v>
                </c:pt>
              </c:numCache>
            </c:numRef>
          </c:cat>
          <c:val>
            <c:numRef>
              <c:f>Kuvaajat!$O$70:$O$78</c:f>
              <c:numCache>
                <c:formatCode>General</c:formatCode>
                <c:ptCount val="9"/>
                <c:pt idx="0">
                  <c:v>283</c:v>
                </c:pt>
                <c:pt idx="1">
                  <c:v>297</c:v>
                </c:pt>
                <c:pt idx="2">
                  <c:v>104</c:v>
                </c:pt>
                <c:pt idx="3">
                  <c:v>90</c:v>
                </c:pt>
                <c:pt idx="4">
                  <c:v>109</c:v>
                </c:pt>
                <c:pt idx="5">
                  <c:v>122</c:v>
                </c:pt>
                <c:pt idx="6">
                  <c:v>131</c:v>
                </c:pt>
                <c:pt idx="7">
                  <c:v>214</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44161.625</c:v>
                </c:pt>
                <c:pt idx="1">
                  <c:v>44154.625</c:v>
                </c:pt>
                <c:pt idx="2">
                  <c:v>44147.625</c:v>
                </c:pt>
                <c:pt idx="3">
                  <c:v>44140.625</c:v>
                </c:pt>
                <c:pt idx="4">
                  <c:v>44133.625</c:v>
                </c:pt>
                <c:pt idx="5">
                  <c:v>44126.625</c:v>
                </c:pt>
                <c:pt idx="6">
                  <c:v>44119.625</c:v>
                </c:pt>
                <c:pt idx="7">
                  <c:v>44112.625</c:v>
                </c:pt>
                <c:pt idx="8">
                  <c:v>44105.625</c:v>
                </c:pt>
                <c:pt idx="9">
                  <c:v>44098.625</c:v>
                </c:pt>
              </c:numCache>
            </c:numRef>
          </c:cat>
          <c:val>
            <c:numRef>
              <c:f>Kuvaajat!$Q$80:$Q$89</c:f>
              <c:numCache>
                <c:formatCode>General</c:formatCode>
                <c:ptCount val="10"/>
                <c:pt idx="0">
                  <c:v>428</c:v>
                </c:pt>
                <c:pt idx="1">
                  <c:v>479</c:v>
                </c:pt>
                <c:pt idx="2">
                  <c:v>282</c:v>
                </c:pt>
                <c:pt idx="3">
                  <c:v>222</c:v>
                </c:pt>
                <c:pt idx="4">
                  <c:v>237</c:v>
                </c:pt>
                <c:pt idx="5">
                  <c:v>219</c:v>
                </c:pt>
                <c:pt idx="6">
                  <c:v>190</c:v>
                </c:pt>
                <c:pt idx="7">
                  <c:v>260</c:v>
                </c:pt>
                <c:pt idx="8">
                  <c:v>188</c:v>
                </c:pt>
                <c:pt idx="9">
                  <c:v>97</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70437</xdr:rowOff>
    </xdr:from>
    <xdr:to>
      <xdr:col>14</xdr:col>
      <xdr:colOff>89647</xdr:colOff>
      <xdr:row>28</xdr:row>
      <xdr:rowOff>166488</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3" t="s">
        <v>10</v>
      </c>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E31" sqref="E3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24912</v>
      </c>
      <c r="I1" s="8">
        <v>44165.484930555554</v>
      </c>
      <c r="J1" s="7">
        <f>MAX(Id)</f>
        <v>575</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26.11 saakka. Suurin arvo 575, joka 25.11. Uusimpien 4 päivien arvot tulevat viiveellä, joten ne jätetty pois kuvaajasta 30.11.</v>
      </c>
      <c r="M1" s="7">
        <f>COUNT(Id)-5</f>
        <v>330</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4257</v>
      </c>
    </row>
    <row r="31" spans="1:11">
      <c r="A31">
        <v>0</v>
      </c>
      <c r="B31" t="s">
        <v>263</v>
      </c>
      <c r="C31" t="s">
        <v>8</v>
      </c>
      <c r="E31" s="3">
        <f t="shared" si="0"/>
        <v>4</v>
      </c>
      <c r="F31" s="5">
        <v>43860.625</v>
      </c>
      <c r="H31" s="19" t="str">
        <f t="shared" si="1"/>
        <v/>
      </c>
      <c r="I31">
        <v>2</v>
      </c>
      <c r="J31" t="s">
        <v>303</v>
      </c>
      <c r="K31">
        <f t="shared" si="2"/>
        <v>3951</v>
      </c>
    </row>
    <row r="32" spans="1:11">
      <c r="A32">
        <v>0</v>
      </c>
      <c r="B32" t="s">
        <v>264</v>
      </c>
      <c r="C32" t="s">
        <v>8</v>
      </c>
      <c r="E32" s="3">
        <f t="shared" si="0"/>
        <v>5</v>
      </c>
      <c r="F32" s="5">
        <v>43861.625</v>
      </c>
      <c r="H32" s="19" t="str">
        <f t="shared" si="1"/>
        <v/>
      </c>
      <c r="I32">
        <v>3</v>
      </c>
      <c r="J32" t="s">
        <v>304</v>
      </c>
      <c r="K32">
        <f t="shared" si="2"/>
        <v>4171</v>
      </c>
    </row>
    <row r="33" spans="1:11">
      <c r="A33">
        <v>0</v>
      </c>
      <c r="B33" t="s">
        <v>265</v>
      </c>
      <c r="C33" t="s">
        <v>8</v>
      </c>
      <c r="E33" s="3">
        <f t="shared" si="0"/>
        <v>6</v>
      </c>
      <c r="F33" s="5">
        <v>43862.625</v>
      </c>
      <c r="H33" s="19" t="str">
        <f t="shared" si="1"/>
        <v/>
      </c>
      <c r="I33">
        <v>4</v>
      </c>
      <c r="J33" t="s">
        <v>305</v>
      </c>
      <c r="K33">
        <f t="shared" si="2"/>
        <v>4082</v>
      </c>
    </row>
    <row r="34" spans="1:11">
      <c r="A34">
        <v>0</v>
      </c>
      <c r="B34" t="s">
        <v>266</v>
      </c>
      <c r="C34" t="s">
        <v>8</v>
      </c>
      <c r="E34" s="3">
        <f t="shared" si="0"/>
        <v>7</v>
      </c>
      <c r="F34" s="5">
        <v>43863.625</v>
      </c>
      <c r="H34" s="19" t="str">
        <f t="shared" si="1"/>
        <v/>
      </c>
      <c r="I34">
        <v>5</v>
      </c>
      <c r="J34" t="s">
        <v>306</v>
      </c>
      <c r="K34">
        <f t="shared" si="2"/>
        <v>3681</v>
      </c>
    </row>
    <row r="35" spans="1:11">
      <c r="A35">
        <v>0</v>
      </c>
      <c r="B35" t="s">
        <v>267</v>
      </c>
      <c r="C35" t="s">
        <v>8</v>
      </c>
      <c r="E35" s="3">
        <f t="shared" si="0"/>
        <v>1</v>
      </c>
      <c r="F35" s="5">
        <v>43864.625</v>
      </c>
      <c r="H35" s="19" t="str">
        <f t="shared" si="1"/>
        <v>W6</v>
      </c>
      <c r="I35">
        <v>6</v>
      </c>
      <c r="J35" t="s">
        <v>307</v>
      </c>
      <c r="K35">
        <f t="shared" si="2"/>
        <v>2300</v>
      </c>
    </row>
    <row r="36" spans="1:11">
      <c r="A36">
        <v>0</v>
      </c>
      <c r="B36" t="s">
        <v>268</v>
      </c>
      <c r="C36" t="s">
        <v>8</v>
      </c>
      <c r="E36" s="3">
        <f t="shared" si="0"/>
        <v>2</v>
      </c>
      <c r="F36" s="5">
        <v>43865.625</v>
      </c>
      <c r="H36" s="19" t="str">
        <f t="shared" si="1"/>
        <v/>
      </c>
      <c r="I36">
        <v>7</v>
      </c>
      <c r="J36" t="s">
        <v>308</v>
      </c>
      <c r="K36">
        <f t="shared" si="2"/>
        <v>2470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169</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197</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193</v>
      </c>
      <c r="B291" t="s">
        <v>318</v>
      </c>
      <c r="C291" t="s">
        <v>8</v>
      </c>
      <c r="E291" s="3">
        <f t="shared" si="11"/>
        <v>5</v>
      </c>
      <c r="F291" s="5">
        <v>44120.625</v>
      </c>
      <c r="G291" t="str">
        <f t="shared" si="10"/>
        <v/>
      </c>
      <c r="H291" s="19" t="str">
        <f t="shared" si="12"/>
        <v/>
      </c>
    </row>
    <row r="292" spans="1:8">
      <c r="A292">
        <v>103</v>
      </c>
      <c r="B292" t="s">
        <v>319</v>
      </c>
      <c r="C292" t="s">
        <v>8</v>
      </c>
      <c r="E292" s="3">
        <f t="shared" si="11"/>
        <v>6</v>
      </c>
      <c r="F292" s="5">
        <v>44121.625</v>
      </c>
      <c r="G292" t="str">
        <f t="shared" si="10"/>
        <v/>
      </c>
      <c r="H292" s="19" t="str">
        <f t="shared" si="12"/>
        <v/>
      </c>
    </row>
    <row r="293" spans="1:8">
      <c r="A293">
        <v>128</v>
      </c>
      <c r="B293" t="s">
        <v>320</v>
      </c>
      <c r="C293" t="s">
        <v>8</v>
      </c>
      <c r="E293" s="3">
        <f t="shared" si="11"/>
        <v>7</v>
      </c>
      <c r="F293" s="5">
        <v>44122.625</v>
      </c>
      <c r="G293" t="str">
        <f t="shared" si="10"/>
        <v/>
      </c>
      <c r="H293" s="19" t="str">
        <f t="shared" si="12"/>
        <v/>
      </c>
    </row>
    <row r="294" spans="1:8" s="10" customFormat="1">
      <c r="A294" s="10">
        <v>242</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190</v>
      </c>
      <c r="B296" t="s">
        <v>323</v>
      </c>
      <c r="C296" t="s">
        <v>8</v>
      </c>
      <c r="E296" s="3">
        <f t="shared" si="11"/>
        <v>3</v>
      </c>
      <c r="F296" s="5">
        <v>44125.625</v>
      </c>
      <c r="G296" t="str">
        <f t="shared" si="10"/>
        <v/>
      </c>
      <c r="H296" s="19" t="str">
        <f t="shared" si="12"/>
        <v/>
      </c>
    </row>
    <row r="297" spans="1:8">
      <c r="A297">
        <v>219</v>
      </c>
      <c r="B297" t="s">
        <v>324</v>
      </c>
      <c r="C297" t="s">
        <v>8</v>
      </c>
      <c r="E297" s="3">
        <f t="shared" si="11"/>
        <v>4</v>
      </c>
      <c r="F297" s="5">
        <v>44126.625</v>
      </c>
      <c r="G297" t="str">
        <f t="shared" si="10"/>
        <v/>
      </c>
      <c r="H297" s="19" t="str">
        <f t="shared" si="12"/>
        <v/>
      </c>
    </row>
    <row r="298" spans="1:8">
      <c r="A298">
        <v>193</v>
      </c>
      <c r="B298" t="s">
        <v>325</v>
      </c>
      <c r="C298" t="s">
        <v>8</v>
      </c>
      <c r="E298" s="3">
        <f t="shared" si="11"/>
        <v>5</v>
      </c>
      <c r="F298" s="5">
        <v>44127.625</v>
      </c>
      <c r="G298" t="str">
        <f t="shared" si="10"/>
        <v/>
      </c>
      <c r="H298" s="19" t="str">
        <f t="shared" si="12"/>
        <v/>
      </c>
    </row>
    <row r="299" spans="1:8">
      <c r="A299">
        <v>108</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230</v>
      </c>
      <c r="B302" t="s">
        <v>329</v>
      </c>
      <c r="C302" t="s">
        <v>8</v>
      </c>
      <c r="E302" s="3">
        <f t="shared" si="11"/>
        <v>2</v>
      </c>
      <c r="F302" s="5">
        <v>44131.625</v>
      </c>
      <c r="G302" t="str">
        <f t="shared" si="10"/>
        <v/>
      </c>
      <c r="H302" s="19" t="str">
        <f t="shared" si="12"/>
        <v/>
      </c>
    </row>
    <row r="303" spans="1:8">
      <c r="A303">
        <v>240</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281</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211</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276</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181</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394</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428</v>
      </c>
      <c r="B326" t="s">
        <v>353</v>
      </c>
      <c r="C326" t="s">
        <v>8</v>
      </c>
      <c r="E326" s="3">
        <f t="shared" si="16"/>
        <v>5</v>
      </c>
      <c r="F326" s="5">
        <v>44155.625</v>
      </c>
      <c r="G326" s="10" t="str">
        <f t="shared" si="13"/>
        <v/>
      </c>
      <c r="H326" s="19" t="str">
        <f t="shared" si="14"/>
        <v/>
      </c>
    </row>
    <row r="327" spans="1:8">
      <c r="A327">
        <v>270</v>
      </c>
      <c r="B327" t="s">
        <v>356</v>
      </c>
      <c r="C327" t="s">
        <v>8</v>
      </c>
      <c r="E327" s="3">
        <f t="shared" si="16"/>
        <v>6</v>
      </c>
      <c r="F327" s="5">
        <v>44156.625</v>
      </c>
      <c r="G327" s="10" t="str">
        <f t="shared" si="13"/>
        <v/>
      </c>
      <c r="H327" s="19" t="str">
        <f t="shared" si="14"/>
        <v/>
      </c>
    </row>
    <row r="328" spans="1:8">
      <c r="A328">
        <v>264</v>
      </c>
      <c r="B328" t="s">
        <v>357</v>
      </c>
      <c r="C328" t="s">
        <v>8</v>
      </c>
      <c r="E328" s="3">
        <f t="shared" si="16"/>
        <v>7</v>
      </c>
      <c r="F328" s="5">
        <v>44157.625</v>
      </c>
      <c r="G328" s="10" t="str">
        <f t="shared" si="13"/>
        <v/>
      </c>
      <c r="H328" s="19" t="str">
        <f t="shared" si="14"/>
        <v/>
      </c>
    </row>
    <row r="329" spans="1:8">
      <c r="A329">
        <v>480</v>
      </c>
      <c r="B329" t="s">
        <v>358</v>
      </c>
      <c r="C329" t="s">
        <v>8</v>
      </c>
      <c r="E329" s="3">
        <f t="shared" si="16"/>
        <v>1</v>
      </c>
      <c r="F329" s="5">
        <v>44158.625</v>
      </c>
      <c r="G329" s="10" t="str">
        <f t="shared" si="13"/>
        <v>Maanantai</v>
      </c>
      <c r="H329" s="19" t="str">
        <f t="shared" si="14"/>
        <v>W48</v>
      </c>
    </row>
    <row r="330" spans="1:8">
      <c r="A330">
        <v>437</v>
      </c>
      <c r="B330" t="s">
        <v>359</v>
      </c>
      <c r="C330" t="s">
        <v>8</v>
      </c>
      <c r="E330" s="3">
        <f t="shared" si="16"/>
        <v>2</v>
      </c>
      <c r="F330" s="5">
        <v>44159.625</v>
      </c>
      <c r="G330" s="10" t="str">
        <f t="shared" si="13"/>
        <v/>
      </c>
      <c r="H330" s="19" t="str">
        <f t="shared" si="14"/>
        <v/>
      </c>
    </row>
    <row r="331" spans="1:8">
      <c r="A331">
        <v>575</v>
      </c>
      <c r="B331" t="s">
        <v>360</v>
      </c>
      <c r="C331" t="s">
        <v>8</v>
      </c>
      <c r="E331" s="3">
        <f t="shared" si="16"/>
        <v>3</v>
      </c>
      <c r="F331" s="5">
        <v>44160.625</v>
      </c>
      <c r="G331" s="10" t="str">
        <f t="shared" si="13"/>
        <v/>
      </c>
      <c r="H331" s="19" t="str">
        <f t="shared" si="14"/>
        <v/>
      </c>
    </row>
    <row r="332" spans="1:8">
      <c r="A332">
        <v>428</v>
      </c>
      <c r="B332" t="s">
        <v>363</v>
      </c>
      <c r="C332" t="s">
        <v>8</v>
      </c>
      <c r="E332" s="3">
        <f t="shared" si="16"/>
        <v>4</v>
      </c>
      <c r="F332" s="5">
        <v>44161.625</v>
      </c>
      <c r="G332" s="10" t="str">
        <f t="shared" si="13"/>
        <v/>
      </c>
      <c r="H332" s="19" t="str">
        <f t="shared" si="14"/>
        <v/>
      </c>
    </row>
    <row r="333" spans="1:8">
      <c r="A333">
        <v>350</v>
      </c>
      <c r="B333" t="s">
        <v>364</v>
      </c>
      <c r="C333" t="s">
        <v>8</v>
      </c>
      <c r="E333" s="3">
        <f t="shared" si="16"/>
        <v>5</v>
      </c>
      <c r="F333" s="5">
        <v>44162.625</v>
      </c>
      <c r="G333" s="10" t="str">
        <f>IF(WEEKDAY(F333,2)=1,"Maanantai","")</f>
        <v/>
      </c>
      <c r="H333" s="19" t="str">
        <f t="shared" si="14"/>
        <v/>
      </c>
    </row>
    <row r="334" spans="1:8">
      <c r="A334">
        <v>198</v>
      </c>
      <c r="B334" t="s">
        <v>365</v>
      </c>
      <c r="C334" t="s">
        <v>8</v>
      </c>
      <c r="E334" s="3">
        <f t="shared" si="16"/>
        <v>6</v>
      </c>
      <c r="F334" s="5">
        <v>44163.625</v>
      </c>
      <c r="G334" s="10" t="str">
        <f t="shared" si="13"/>
        <v/>
      </c>
      <c r="H334" s="19" t="str">
        <f t="shared" si="14"/>
        <v/>
      </c>
    </row>
    <row r="335" spans="1:8">
      <c r="A335">
        <v>126</v>
      </c>
      <c r="B335" t="s">
        <v>366</v>
      </c>
      <c r="C335" t="s">
        <v>8</v>
      </c>
      <c r="E335" s="3">
        <f t="shared" si="16"/>
        <v>7</v>
      </c>
      <c r="F335" s="5">
        <v>44164.625</v>
      </c>
      <c r="G335" s="10" t="str">
        <f t="shared" si="13"/>
        <v/>
      </c>
      <c r="H335" s="19" t="str">
        <f t="shared" si="14"/>
        <v/>
      </c>
    </row>
    <row r="336" spans="1:8">
      <c r="A336">
        <v>0</v>
      </c>
      <c r="B336" t="s">
        <v>367</v>
      </c>
      <c r="C336" t="s">
        <v>8</v>
      </c>
      <c r="E336" s="3">
        <f t="shared" si="16"/>
        <v>1</v>
      </c>
      <c r="F336" s="5">
        <v>44165.400972222225</v>
      </c>
      <c r="G336" s="10" t="str">
        <f t="shared" si="13"/>
        <v>Maanantai</v>
      </c>
      <c r="H336" s="19" t="str">
        <f t="shared" si="14"/>
        <v>W49</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98"/>
  <sheetViews>
    <sheetView tabSelected="1" zoomScale="85" zoomScaleNormal="85" workbookViewId="0">
      <selection activeCell="K4" sqref="K4"/>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30.11 n=283. Yhteensä N=24912. Edelliset 7 päivää 2594 (päivittyy), 2600 (muutos 58 %), 1645 (17 %) ja 1411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30.11 n=283. Yhteensä N=24912. Melko pysyvät 7 päivää 20.11-26.11 yhteensä 2882 (muutos 29 %), aiemmat 7 päivää 2228 (47 %) ja 1511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N=24912. Uusimmat 30.11 lisäykset punaisella n=283.</v>
      </c>
      <c r="B34" s="4"/>
    </row>
    <row r="35" spans="1:247">
      <c r="B35" s="4" t="s">
        <v>5</v>
      </c>
      <c r="C35" t="s">
        <v>0</v>
      </c>
      <c r="D35" t="s">
        <v>6</v>
      </c>
      <c r="E35">
        <f ca="1">SUM(E37:E65)</f>
        <v>283</v>
      </c>
      <c r="F35" t="s">
        <v>228</v>
      </c>
      <c r="G35" t="s">
        <v>354</v>
      </c>
      <c r="I35" t="s">
        <v>355</v>
      </c>
      <c r="J35" t="s">
        <v>354</v>
      </c>
      <c r="M35" s="16" t="s">
        <v>311</v>
      </c>
      <c r="P35" s="16" t="s">
        <v>312</v>
      </c>
      <c r="S35" s="16" t="s">
        <v>313</v>
      </c>
    </row>
    <row r="36" spans="1:247">
      <c r="A36" t="str">
        <f ca="1">IF(WEEKDAY(B36,2)=1,"Ma "&amp;TEXT(B36,"p"),TEXT(B36,"p.k"))</f>
        <v>1.11</v>
      </c>
      <c r="B36" s="4">
        <f ca="1">B37-1</f>
        <v>44136</v>
      </c>
      <c r="C36" s="11">
        <f t="shared" ref="C36:C65" ca="1" si="0">SUMIF(aika,"&lt;"&amp;(B36+1),Id)</f>
        <v>16662</v>
      </c>
    </row>
    <row r="37" spans="1:247" s="10" customFormat="1">
      <c r="A37" t="str">
        <f t="shared" ref="A37:A65" ca="1" si="1">IF(WEEKDAY(B37,2)=1,"Ma "&amp;TEXT(B37,"p"),TEXT(B37,"p.k"))</f>
        <v>Ma 2</v>
      </c>
      <c r="B37" s="9">
        <f t="shared" ref="B37:B62" ca="1" si="2">B38-1</f>
        <v>44137</v>
      </c>
      <c r="C37" s="10">
        <f t="shared" ca="1" si="0"/>
        <v>16943</v>
      </c>
      <c r="D37" s="10">
        <f t="shared" ref="D37" ca="1" si="3">C37-C36</f>
        <v>281</v>
      </c>
      <c r="E37" s="10">
        <f t="shared" ref="E37:E64" ca="1" si="4">_xlfn.IFNA(D37-F37,"")</f>
        <v>0</v>
      </c>
      <c r="F37" s="10">
        <f ca="1">VLOOKUP(B37,Previous,3,FALSE)</f>
        <v>281</v>
      </c>
      <c r="G37" s="10">
        <f ca="1">SUM(D37:D43)</f>
        <v>1411</v>
      </c>
      <c r="I37" s="10">
        <f ca="1">SUM(D37:D50)</f>
        <v>3056</v>
      </c>
      <c r="K37" s="14"/>
      <c r="M37" s="17">
        <v>44137</v>
      </c>
      <c r="N37" s="10">
        <v>16943</v>
      </c>
      <c r="O37" s="10">
        <v>281</v>
      </c>
      <c r="P37" s="17">
        <v>44137</v>
      </c>
      <c r="Q37" s="10">
        <v>16943</v>
      </c>
      <c r="R37" s="10">
        <v>281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3.11</v>
      </c>
      <c r="B38" s="4">
        <f t="shared" ca="1" si="2"/>
        <v>44138</v>
      </c>
      <c r="C38" s="11">
        <f t="shared" ca="1" si="0"/>
        <v>17184</v>
      </c>
      <c r="D38">
        <f t="shared" ref="D38" ca="1" si="5">C38-C37</f>
        <v>241</v>
      </c>
      <c r="E38" s="11">
        <f t="shared" ca="1" si="4"/>
        <v>0</v>
      </c>
      <c r="F38" s="11">
        <f t="shared" ref="F38:F65" ca="1" si="6">VLOOKUP(B38,Previous,3,FALSE)</f>
        <v>241</v>
      </c>
      <c r="K38" s="3"/>
      <c r="M38" s="16">
        <v>44138</v>
      </c>
      <c r="N38">
        <v>17184</v>
      </c>
      <c r="O38">
        <v>241</v>
      </c>
      <c r="P38" s="16">
        <v>44138</v>
      </c>
      <c r="Q38">
        <v>17184</v>
      </c>
      <c r="R38">
        <v>241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4.11</v>
      </c>
      <c r="B39" s="4">
        <f t="shared" ca="1" si="2"/>
        <v>44139</v>
      </c>
      <c r="C39" s="11">
        <f t="shared" ca="1" si="0"/>
        <v>17395</v>
      </c>
      <c r="D39">
        <f t="shared" ref="D39" ca="1" si="7">C39-C38</f>
        <v>211</v>
      </c>
      <c r="E39" s="11">
        <f t="shared" ca="1" si="4"/>
        <v>0</v>
      </c>
      <c r="F39" s="11">
        <f t="shared" ca="1" si="6"/>
        <v>211</v>
      </c>
      <c r="K39" s="3"/>
      <c r="M39" s="16">
        <v>44139</v>
      </c>
      <c r="N39">
        <v>17395</v>
      </c>
      <c r="O39">
        <v>211</v>
      </c>
      <c r="P39" s="16">
        <v>44139</v>
      </c>
      <c r="Q39">
        <v>17395</v>
      </c>
      <c r="R39">
        <v>211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5.11</v>
      </c>
      <c r="B40" s="4">
        <f t="shared" ca="1" si="2"/>
        <v>44140</v>
      </c>
      <c r="C40" s="11">
        <f t="shared" ca="1" si="0"/>
        <v>17617</v>
      </c>
      <c r="D40">
        <f t="shared" ref="D40" ca="1" si="8">C40-C39</f>
        <v>222</v>
      </c>
      <c r="E40" s="11">
        <f t="shared" ca="1" si="4"/>
        <v>0</v>
      </c>
      <c r="F40" s="11">
        <f t="shared" ca="1" si="6"/>
        <v>222</v>
      </c>
      <c r="K40" s="10"/>
      <c r="M40" s="16">
        <v>44140</v>
      </c>
      <c r="N40">
        <v>17617</v>
      </c>
      <c r="O40">
        <v>222</v>
      </c>
      <c r="P40" s="16">
        <v>44140</v>
      </c>
      <c r="Q40">
        <v>17617</v>
      </c>
      <c r="R40">
        <v>222</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6.11</v>
      </c>
      <c r="B41" s="4">
        <f t="shared" ca="1" si="2"/>
        <v>44141</v>
      </c>
      <c r="C41" s="11">
        <f t="shared" ca="1" si="0"/>
        <v>17812</v>
      </c>
      <c r="D41">
        <f t="shared" ref="D41" ca="1" si="9">C41-C40</f>
        <v>195</v>
      </c>
      <c r="E41" s="11">
        <f t="shared" ca="1" si="4"/>
        <v>0</v>
      </c>
      <c r="F41" s="11">
        <f t="shared" ca="1" si="6"/>
        <v>195</v>
      </c>
      <c r="J41" s="10">
        <f ca="1">SUM(D41:D47)</f>
        <v>1511</v>
      </c>
      <c r="K41" s="3"/>
      <c r="M41" s="16">
        <v>44141</v>
      </c>
      <c r="N41">
        <v>17812</v>
      </c>
      <c r="O41">
        <v>195</v>
      </c>
      <c r="P41" s="16">
        <v>44141</v>
      </c>
      <c r="Q41">
        <v>17812</v>
      </c>
      <c r="R41">
        <v>195</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7.11</v>
      </c>
      <c r="B42" s="4">
        <f t="shared" ca="1" si="2"/>
        <v>44142</v>
      </c>
      <c r="C42" s="11">
        <f t="shared" ca="1" si="0"/>
        <v>17940</v>
      </c>
      <c r="D42">
        <f t="shared" ref="D42" ca="1" si="10">C42-C41</f>
        <v>128</v>
      </c>
      <c r="E42" s="11">
        <f t="shared" ca="1" si="4"/>
        <v>0</v>
      </c>
      <c r="F42" s="11">
        <f t="shared" ca="1" si="6"/>
        <v>128</v>
      </c>
      <c r="K42" s="3"/>
      <c r="M42" s="16">
        <v>44142</v>
      </c>
      <c r="N42">
        <v>17940</v>
      </c>
      <c r="O42">
        <v>128</v>
      </c>
      <c r="P42" s="16">
        <v>44142</v>
      </c>
      <c r="Q42">
        <v>17940</v>
      </c>
      <c r="R42">
        <v>128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8.11</v>
      </c>
      <c r="B43" s="4">
        <f t="shared" ca="1" si="2"/>
        <v>44143</v>
      </c>
      <c r="C43" s="11">
        <f t="shared" ca="1" si="0"/>
        <v>18073</v>
      </c>
      <c r="D43">
        <f t="shared" ref="D43" ca="1" si="11">C43-C42</f>
        <v>133</v>
      </c>
      <c r="E43" s="11">
        <f t="shared" ca="1" si="4"/>
        <v>0</v>
      </c>
      <c r="F43" s="11">
        <f t="shared" ca="1" si="6"/>
        <v>133</v>
      </c>
      <c r="G43" s="10"/>
      <c r="K43" s="3"/>
      <c r="M43" s="16">
        <v>44143</v>
      </c>
      <c r="N43">
        <v>18073</v>
      </c>
      <c r="O43">
        <v>133</v>
      </c>
      <c r="P43" s="16">
        <v>44143</v>
      </c>
      <c r="Q43">
        <v>18073</v>
      </c>
      <c r="R43">
        <v>133</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9</v>
      </c>
      <c r="B44" s="9">
        <f t="shared" ca="1" si="2"/>
        <v>44144</v>
      </c>
      <c r="C44" s="10">
        <f t="shared" ca="1" si="0"/>
        <v>18349</v>
      </c>
      <c r="D44" s="10">
        <f t="shared" ref="D44" ca="1" si="12">C44-C43</f>
        <v>276</v>
      </c>
      <c r="E44" s="10">
        <f t="shared" ca="1" si="4"/>
        <v>0</v>
      </c>
      <c r="F44" s="10">
        <f t="shared" ca="1" si="6"/>
        <v>276</v>
      </c>
      <c r="G44" s="10">
        <f ca="1">SUM(D44:D50)</f>
        <v>1645</v>
      </c>
      <c r="H44" s="10" t="str">
        <f ca="1">TEXT(G44/G37-1,"0 %")</f>
        <v>17 %</v>
      </c>
      <c r="K44" s="14"/>
      <c r="L44"/>
      <c r="M44" s="17">
        <v>44144</v>
      </c>
      <c r="N44" s="10">
        <v>18349</v>
      </c>
      <c r="O44" s="10">
        <v>276</v>
      </c>
      <c r="P44" s="17">
        <v>44144</v>
      </c>
      <c r="Q44" s="10">
        <v>18349</v>
      </c>
      <c r="R44" s="10">
        <v>276</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10.11</v>
      </c>
      <c r="B45" s="4">
        <f t="shared" ca="1" si="2"/>
        <v>44145</v>
      </c>
      <c r="C45" s="11">
        <f t="shared" ca="1" si="0"/>
        <v>18554</v>
      </c>
      <c r="D45">
        <f t="shared" ref="D45" ca="1" si="13">C45-C44</f>
        <v>205</v>
      </c>
      <c r="E45" s="11">
        <f t="shared" ca="1" si="4"/>
        <v>0</v>
      </c>
      <c r="F45" s="11">
        <f t="shared" ca="1" si="6"/>
        <v>205</v>
      </c>
      <c r="K45" s="3"/>
      <c r="M45" s="16">
        <v>44145</v>
      </c>
      <c r="N45">
        <v>18554</v>
      </c>
      <c r="O45">
        <v>205</v>
      </c>
      <c r="P45" s="16">
        <v>44145</v>
      </c>
      <c r="Q45">
        <v>18554</v>
      </c>
      <c r="R45">
        <v>205</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11.11</v>
      </c>
      <c r="B46" s="4">
        <f t="shared" ca="1" si="2"/>
        <v>44146</v>
      </c>
      <c r="C46" s="11">
        <f t="shared" ca="1" si="0"/>
        <v>18846</v>
      </c>
      <c r="D46">
        <f t="shared" ref="D46" ca="1" si="14">C46-C45</f>
        <v>292</v>
      </c>
      <c r="E46" s="11">
        <f t="shared" ca="1" si="4"/>
        <v>0</v>
      </c>
      <c r="F46" s="11">
        <f t="shared" ca="1" si="6"/>
        <v>292</v>
      </c>
      <c r="K46" s="3"/>
      <c r="M46" s="16">
        <v>44146</v>
      </c>
      <c r="N46">
        <v>18846</v>
      </c>
      <c r="O46">
        <v>292</v>
      </c>
      <c r="P46" s="16">
        <v>44146</v>
      </c>
      <c r="Q46">
        <v>18846</v>
      </c>
      <c r="R46">
        <v>292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12.11</v>
      </c>
      <c r="B47" s="4">
        <f t="shared" ca="1" si="2"/>
        <v>44147</v>
      </c>
      <c r="C47" s="11">
        <f t="shared" ca="1" si="0"/>
        <v>19128</v>
      </c>
      <c r="D47">
        <f t="shared" ref="D47" ca="1" si="15">C47-C46</f>
        <v>282</v>
      </c>
      <c r="E47" s="11">
        <f t="shared" ca="1" si="4"/>
        <v>0</v>
      </c>
      <c r="F47" s="11">
        <f t="shared" ca="1" si="6"/>
        <v>282</v>
      </c>
      <c r="M47" s="16">
        <v>44147</v>
      </c>
      <c r="N47">
        <v>19128</v>
      </c>
      <c r="O47">
        <v>282</v>
      </c>
      <c r="P47" s="16">
        <v>44147</v>
      </c>
      <c r="Q47">
        <v>19128</v>
      </c>
      <c r="R47">
        <v>282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13.11</v>
      </c>
      <c r="B48" s="4">
        <f t="shared" ca="1" si="2"/>
        <v>44148</v>
      </c>
      <c r="C48" s="11">
        <f t="shared" ca="1" si="0"/>
        <v>19392</v>
      </c>
      <c r="D48">
        <f t="shared" ref="D48" ca="1" si="16">C48-C47</f>
        <v>264</v>
      </c>
      <c r="E48" s="11">
        <f t="shared" ca="1" si="4"/>
        <v>0</v>
      </c>
      <c r="F48" s="11">
        <f t="shared" ca="1" si="6"/>
        <v>264</v>
      </c>
      <c r="J48" s="10">
        <f ca="1">SUM(D48:D54)</f>
        <v>2228</v>
      </c>
      <c r="K48" s="10" t="str">
        <f ca="1">TEXT(J48/J41-1,"0 %")</f>
        <v>47 %</v>
      </c>
      <c r="M48" s="16">
        <v>44148</v>
      </c>
      <c r="N48">
        <v>19392</v>
      </c>
      <c r="O48">
        <v>264</v>
      </c>
      <c r="P48" s="16">
        <v>44148</v>
      </c>
      <c r="Q48">
        <v>19392</v>
      </c>
      <c r="R48">
        <v>264</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14.11</v>
      </c>
      <c r="B49" s="4">
        <f t="shared" ca="1" si="2"/>
        <v>44149</v>
      </c>
      <c r="C49" s="11">
        <f t="shared" ca="1" si="0"/>
        <v>19537</v>
      </c>
      <c r="D49">
        <f t="shared" ref="D49" ca="1" si="17">C49-C48</f>
        <v>145</v>
      </c>
      <c r="E49" s="11">
        <f t="shared" ca="1" si="4"/>
        <v>0</v>
      </c>
      <c r="F49" s="11">
        <f t="shared" ca="1" si="6"/>
        <v>145</v>
      </c>
      <c r="K49" s="3"/>
      <c r="M49" s="16">
        <v>44149</v>
      </c>
      <c r="N49">
        <v>19537</v>
      </c>
      <c r="O49">
        <v>145</v>
      </c>
      <c r="P49" s="16">
        <v>44149</v>
      </c>
      <c r="Q49">
        <v>19537</v>
      </c>
      <c r="R49">
        <v>145</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15.11</v>
      </c>
      <c r="B50" s="4">
        <f t="shared" ca="1" si="2"/>
        <v>44150</v>
      </c>
      <c r="C50" s="11">
        <f t="shared" ca="1" si="0"/>
        <v>19718</v>
      </c>
      <c r="D50">
        <f t="shared" ref="D50" ca="1" si="18">C50-C49</f>
        <v>181</v>
      </c>
      <c r="E50" s="11">
        <f t="shared" ca="1" si="4"/>
        <v>0</v>
      </c>
      <c r="F50" s="11">
        <f ca="1">VLOOKUP(B50,Previous,3,FALSE)</f>
        <v>181</v>
      </c>
      <c r="K50" s="3"/>
      <c r="M50" s="16">
        <v>44150</v>
      </c>
      <c r="N50">
        <v>19718</v>
      </c>
      <c r="O50">
        <v>181</v>
      </c>
      <c r="P50" s="16">
        <v>44150</v>
      </c>
      <c r="Q50">
        <v>19718</v>
      </c>
      <c r="R50">
        <v>181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16</v>
      </c>
      <c r="B51" s="9">
        <f t="shared" ca="1" si="2"/>
        <v>44151</v>
      </c>
      <c r="C51" s="10">
        <f t="shared" ca="1" si="0"/>
        <v>20111</v>
      </c>
      <c r="D51" s="10">
        <f t="shared" ref="D51" ca="1" si="19">C51-C50</f>
        <v>393</v>
      </c>
      <c r="E51" s="10">
        <f t="shared" ca="1" si="4"/>
        <v>0</v>
      </c>
      <c r="F51" s="10">
        <f t="shared" ca="1" si="6"/>
        <v>393</v>
      </c>
      <c r="G51" s="10">
        <f ca="1">SUM(D51:D57)</f>
        <v>2600</v>
      </c>
      <c r="H51" s="10" t="str">
        <f ca="1">TEXT(G51/G44-1,"0 %")</f>
        <v>58 %</v>
      </c>
      <c r="I51" s="10">
        <f ca="1">SUM(D51:D64)</f>
        <v>5194</v>
      </c>
      <c r="K51" s="14"/>
      <c r="L51"/>
      <c r="M51" s="17">
        <v>44151</v>
      </c>
      <c r="N51" s="10">
        <v>20111</v>
      </c>
      <c r="O51" s="10">
        <v>393</v>
      </c>
      <c r="P51" s="17">
        <v>44151</v>
      </c>
      <c r="Q51" s="10">
        <v>20111</v>
      </c>
      <c r="R51" s="10">
        <v>393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17.11</v>
      </c>
      <c r="B52" s="4">
        <f t="shared" ca="1" si="2"/>
        <v>44152</v>
      </c>
      <c r="C52" s="11">
        <f t="shared" ca="1" si="0"/>
        <v>20505</v>
      </c>
      <c r="D52">
        <f t="shared" ref="D52:D63" ca="1" si="20">C52-C51</f>
        <v>394</v>
      </c>
      <c r="E52" s="11">
        <f t="shared" ca="1" si="4"/>
        <v>0</v>
      </c>
      <c r="F52" s="11">
        <f t="shared" ca="1" si="6"/>
        <v>394</v>
      </c>
      <c r="G52" s="10"/>
      <c r="K52" s="3"/>
      <c r="M52" s="16">
        <v>44152</v>
      </c>
      <c r="N52">
        <v>20505</v>
      </c>
      <c r="O52">
        <v>394</v>
      </c>
      <c r="P52" s="16">
        <v>44152</v>
      </c>
      <c r="Q52">
        <v>20505</v>
      </c>
      <c r="R52">
        <v>394</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18.11</v>
      </c>
      <c r="B53" s="4">
        <f t="shared" ca="1" si="2"/>
        <v>44153</v>
      </c>
      <c r="C53" s="11">
        <f t="shared" ca="1" si="0"/>
        <v>20877</v>
      </c>
      <c r="D53">
        <f t="shared" ca="1" si="20"/>
        <v>372</v>
      </c>
      <c r="E53" s="11">
        <f t="shared" ca="1" si="4"/>
        <v>0</v>
      </c>
      <c r="F53" s="11">
        <f t="shared" ca="1" si="6"/>
        <v>372</v>
      </c>
      <c r="J53" s="13"/>
      <c r="K53" s="3"/>
      <c r="M53" s="16">
        <v>44153</v>
      </c>
      <c r="N53">
        <v>20877</v>
      </c>
      <c r="O53">
        <v>372</v>
      </c>
      <c r="P53" s="16">
        <v>44153</v>
      </c>
      <c r="Q53">
        <v>20877</v>
      </c>
      <c r="R53">
        <v>372</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19.11</v>
      </c>
      <c r="B54" s="4">
        <f t="shared" ca="1" si="2"/>
        <v>44154</v>
      </c>
      <c r="C54" s="11">
        <f t="shared" ca="1" si="0"/>
        <v>21356</v>
      </c>
      <c r="D54">
        <f t="shared" ca="1" si="20"/>
        <v>479</v>
      </c>
      <c r="E54" s="11">
        <f t="shared" ca="1" si="4"/>
        <v>0</v>
      </c>
      <c r="F54" s="11">
        <f t="shared" ca="1" si="6"/>
        <v>479</v>
      </c>
      <c r="M54" s="16">
        <v>44154</v>
      </c>
      <c r="N54">
        <v>21356</v>
      </c>
      <c r="O54">
        <v>479</v>
      </c>
      <c r="P54" s="16">
        <v>44154</v>
      </c>
      <c r="Q54">
        <v>21356</v>
      </c>
      <c r="R54">
        <v>479</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20.11</v>
      </c>
      <c r="B55" s="4">
        <f t="shared" ca="1" si="2"/>
        <v>44155</v>
      </c>
      <c r="C55" s="11">
        <f t="shared" ca="1" si="0"/>
        <v>21784</v>
      </c>
      <c r="D55">
        <f t="shared" ca="1" si="20"/>
        <v>428</v>
      </c>
      <c r="E55" s="11">
        <f t="shared" ca="1" si="4"/>
        <v>0</v>
      </c>
      <c r="F55" s="11">
        <f t="shared" ca="1" si="6"/>
        <v>428</v>
      </c>
      <c r="I55" s="10"/>
      <c r="J55" s="10">
        <f ca="1">SUM(D55:D61)</f>
        <v>2882</v>
      </c>
      <c r="K55" s="10" t="str">
        <f ca="1">TEXT(J55/J48-1,"0 %")</f>
        <v>29 %</v>
      </c>
      <c r="M55" s="16">
        <v>44155</v>
      </c>
      <c r="N55">
        <v>21784</v>
      </c>
      <c r="O55">
        <v>428</v>
      </c>
      <c r="P55" s="16">
        <v>44155</v>
      </c>
      <c r="Q55">
        <v>21784</v>
      </c>
      <c r="R55">
        <v>428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21.11</v>
      </c>
      <c r="B56" s="4">
        <f t="shared" ca="1" si="2"/>
        <v>44156</v>
      </c>
      <c r="C56" s="11">
        <f t="shared" ca="1" si="0"/>
        <v>22054</v>
      </c>
      <c r="D56">
        <f t="shared" ca="1" si="20"/>
        <v>270</v>
      </c>
      <c r="E56" s="11">
        <f t="shared" ca="1" si="4"/>
        <v>0</v>
      </c>
      <c r="F56" s="11">
        <f t="shared" ca="1" si="6"/>
        <v>270</v>
      </c>
      <c r="K56" s="3"/>
      <c r="M56" s="16">
        <v>44156</v>
      </c>
      <c r="N56">
        <v>22054</v>
      </c>
      <c r="O56">
        <v>270</v>
      </c>
      <c r="P56" s="16">
        <v>44156</v>
      </c>
      <c r="Q56">
        <v>22054</v>
      </c>
      <c r="R56">
        <v>270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22.11</v>
      </c>
      <c r="B57" s="4">
        <f t="shared" ca="1" si="2"/>
        <v>44157</v>
      </c>
      <c r="C57" s="11">
        <f t="shared" ca="1" si="0"/>
        <v>22318</v>
      </c>
      <c r="D57">
        <f t="shared" ca="1" si="20"/>
        <v>264</v>
      </c>
      <c r="E57" s="11">
        <f t="shared" ca="1" si="4"/>
        <v>-2</v>
      </c>
      <c r="F57" s="11">
        <f t="shared" ca="1" si="6"/>
        <v>266</v>
      </c>
      <c r="J57" s="13"/>
      <c r="K57" s="3"/>
      <c r="M57" s="16">
        <v>44157</v>
      </c>
      <c r="N57">
        <v>22320</v>
      </c>
      <c r="O57">
        <v>266</v>
      </c>
      <c r="P57" s="16">
        <v>44157</v>
      </c>
      <c r="Q57">
        <v>22320</v>
      </c>
      <c r="R57">
        <v>266</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23</v>
      </c>
      <c r="B58" s="9">
        <f t="shared" ca="1" si="2"/>
        <v>44158</v>
      </c>
      <c r="C58" s="10">
        <f t="shared" ca="1" si="0"/>
        <v>22798</v>
      </c>
      <c r="D58" s="10">
        <f t="shared" ca="1" si="20"/>
        <v>480</v>
      </c>
      <c r="E58" s="10">
        <f t="shared" ca="1" si="4"/>
        <v>-3</v>
      </c>
      <c r="F58" s="10">
        <f t="shared" ca="1" si="6"/>
        <v>483</v>
      </c>
      <c r="G58" s="10">
        <f ca="1">SUM(D58:D64)</f>
        <v>2594</v>
      </c>
      <c r="H58" s="10" t="str">
        <f ca="1">TEXT(G58/G51-1,"0 %")</f>
        <v>0 %</v>
      </c>
      <c r="K58" s="14"/>
      <c r="L58"/>
      <c r="M58" s="17">
        <v>44158</v>
      </c>
      <c r="N58" s="10">
        <v>22803</v>
      </c>
      <c r="O58" s="10">
        <v>483</v>
      </c>
      <c r="P58" s="17">
        <v>44158</v>
      </c>
      <c r="Q58" s="10">
        <v>22803</v>
      </c>
      <c r="R58" s="10">
        <v>483</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24.11</v>
      </c>
      <c r="B59" s="4">
        <f t="shared" ca="1" si="2"/>
        <v>44159</v>
      </c>
      <c r="C59" s="11">
        <f t="shared" ca="1" si="0"/>
        <v>23235</v>
      </c>
      <c r="D59">
        <f t="shared" ca="1" si="20"/>
        <v>437</v>
      </c>
      <c r="E59" s="11">
        <f t="shared" ca="1" si="4"/>
        <v>-4</v>
      </c>
      <c r="F59" s="11">
        <f t="shared" ca="1" si="6"/>
        <v>441</v>
      </c>
      <c r="H59" s="10"/>
      <c r="J59" s="13"/>
      <c r="K59" s="3"/>
      <c r="M59" s="16">
        <v>44159</v>
      </c>
      <c r="N59">
        <v>23244</v>
      </c>
      <c r="O59">
        <v>441</v>
      </c>
      <c r="P59" s="16">
        <v>44159</v>
      </c>
      <c r="Q59">
        <v>23244</v>
      </c>
      <c r="R59">
        <v>441</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25.11</v>
      </c>
      <c r="B60" s="4">
        <f t="shared" ca="1" si="2"/>
        <v>44160</v>
      </c>
      <c r="C60" s="11">
        <f t="shared" ca="1" si="0"/>
        <v>23810</v>
      </c>
      <c r="D60">
        <f t="shared" ca="1" si="20"/>
        <v>575</v>
      </c>
      <c r="E60" s="11">
        <f t="shared" ca="1" si="4"/>
        <v>7</v>
      </c>
      <c r="F60" s="11">
        <f t="shared" ca="1" si="6"/>
        <v>568</v>
      </c>
      <c r="J60" s="4"/>
      <c r="K60" s="3"/>
      <c r="M60" s="16">
        <v>44160</v>
      </c>
      <c r="N60">
        <v>23812</v>
      </c>
      <c r="O60">
        <v>568</v>
      </c>
      <c r="P60" s="16">
        <v>44160</v>
      </c>
      <c r="Q60">
        <v>23812</v>
      </c>
      <c r="R60">
        <v>568</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26.11</v>
      </c>
      <c r="B61" s="4">
        <f t="shared" ca="1" si="2"/>
        <v>44161</v>
      </c>
      <c r="C61" s="11">
        <f t="shared" ca="1" si="0"/>
        <v>24238</v>
      </c>
      <c r="D61">
        <f t="shared" ca="1" si="20"/>
        <v>428</v>
      </c>
      <c r="E61" s="11">
        <f t="shared" ca="1" si="4"/>
        <v>25</v>
      </c>
      <c r="F61" s="11">
        <f t="shared" ca="1" si="6"/>
        <v>403</v>
      </c>
      <c r="J61" s="4"/>
      <c r="K61" s="3"/>
      <c r="M61" s="16">
        <v>44161</v>
      </c>
      <c r="N61">
        <v>24215</v>
      </c>
      <c r="O61">
        <v>403</v>
      </c>
      <c r="P61" s="16">
        <v>44161</v>
      </c>
      <c r="Q61">
        <v>24215</v>
      </c>
      <c r="R61">
        <v>403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27.11</v>
      </c>
      <c r="B62" s="4">
        <f t="shared" ca="1" si="2"/>
        <v>44162</v>
      </c>
      <c r="C62" s="11">
        <f t="shared" ca="1" si="0"/>
        <v>24588</v>
      </c>
      <c r="D62">
        <f t="shared" ca="1" si="20"/>
        <v>350</v>
      </c>
      <c r="E62" s="11">
        <f t="shared" ca="1" si="4"/>
        <v>52</v>
      </c>
      <c r="F62" s="11">
        <f t="shared" ca="1" si="6"/>
        <v>298</v>
      </c>
      <c r="J62" s="4"/>
      <c r="K62" s="3"/>
      <c r="M62" s="16">
        <v>44162</v>
      </c>
      <c r="N62">
        <v>24513</v>
      </c>
      <c r="O62">
        <v>298</v>
      </c>
      <c r="P62" s="16">
        <v>44162</v>
      </c>
      <c r="Q62">
        <v>24513</v>
      </c>
      <c r="R62">
        <v>298</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28.11</v>
      </c>
      <c r="B63" s="4">
        <f ca="1">B64-1</f>
        <v>44163</v>
      </c>
      <c r="C63" s="11">
        <f t="shared" ca="1" si="0"/>
        <v>24786</v>
      </c>
      <c r="D63">
        <f t="shared" ca="1" si="20"/>
        <v>198</v>
      </c>
      <c r="E63" s="11">
        <f t="shared" ca="1" si="4"/>
        <v>82</v>
      </c>
      <c r="F63" s="11">
        <f t="shared" ca="1" si="6"/>
        <v>116</v>
      </c>
      <c r="J63" s="4"/>
      <c r="K63" s="3"/>
      <c r="M63" s="16">
        <v>44163</v>
      </c>
      <c r="N63">
        <v>24629</v>
      </c>
      <c r="O63">
        <v>116</v>
      </c>
      <c r="P63" s="16">
        <v>44163</v>
      </c>
      <c r="Q63">
        <v>24629</v>
      </c>
      <c r="R63">
        <v>116</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29.11</v>
      </c>
      <c r="B64" s="9">
        <f ca="1">B65-1</f>
        <v>44164</v>
      </c>
      <c r="C64" s="10">
        <f t="shared" ca="1" si="0"/>
        <v>24912</v>
      </c>
      <c r="D64" s="10">
        <f ca="1">C64-C63</f>
        <v>126</v>
      </c>
      <c r="E64" s="10">
        <f t="shared" ca="1" si="4"/>
        <v>126</v>
      </c>
      <c r="F64" s="10">
        <f t="shared" ca="1" si="6"/>
        <v>0</v>
      </c>
      <c r="J64" s="9"/>
      <c r="K64" s="14"/>
      <c r="M64" s="17">
        <v>44164</v>
      </c>
      <c r="N64" s="10">
        <v>24629</v>
      </c>
      <c r="O64" s="10">
        <v>0</v>
      </c>
      <c r="P64" s="17">
        <v>44164</v>
      </c>
      <c r="Q64" s="10">
        <v>24629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30</v>
      </c>
      <c r="B65" s="12">
        <f ca="1">FLOOR(NOW(),1)</f>
        <v>44165</v>
      </c>
      <c r="C65" s="11">
        <f t="shared" ca="1" si="0"/>
        <v>24912</v>
      </c>
      <c r="D65" s="11">
        <f ca="1">C65-C64</f>
        <v>0</v>
      </c>
      <c r="E65" s="11">
        <f ca="1">_xlfn.IFNA(D65-F65,"")</f>
        <v>0</v>
      </c>
      <c r="F65" s="11">
        <f t="shared" ca="1" si="6"/>
        <v>0</v>
      </c>
      <c r="M65" s="16">
        <v>44165</v>
      </c>
      <c r="N65">
        <v>24629</v>
      </c>
      <c r="O65">
        <v>0</v>
      </c>
      <c r="P65" s="16">
        <v>44165</v>
      </c>
      <c r="Q65">
        <v>24629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44165</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0</v>
      </c>
      <c r="FS66" s="16">
        <f>FS65</f>
        <v>0</v>
      </c>
      <c r="FV66" s="16">
        <f>FV65</f>
        <v>0</v>
      </c>
      <c r="FY66" s="16">
        <f>FY65</f>
        <v>0</v>
      </c>
      <c r="GB66" s="16">
        <f>GB65</f>
        <v>0</v>
      </c>
      <c r="GE66" s="16">
        <f>GE65</f>
        <v>0</v>
      </c>
    </row>
    <row r="67" spans="1:247">
      <c r="A67">
        <v>1</v>
      </c>
      <c r="B67">
        <v>2</v>
      </c>
      <c r="C67">
        <v>3</v>
      </c>
      <c r="D67">
        <v>4</v>
      </c>
      <c r="E67">
        <v>5</v>
      </c>
      <c r="F67">
        <v>6</v>
      </c>
      <c r="G67">
        <v>7</v>
      </c>
      <c r="H67">
        <v>8</v>
      </c>
      <c r="I67">
        <v>9</v>
      </c>
      <c r="J67">
        <v>10</v>
      </c>
      <c r="K67">
        <v>11</v>
      </c>
      <c r="L67">
        <v>12</v>
      </c>
      <c r="M67"/>
      <c r="N67" t="s">
        <v>361</v>
      </c>
      <c r="P67">
        <f ca="1">C65-N65</f>
        <v>283</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-24629</v>
      </c>
      <c r="FP67">
        <f>FT65-FQ65</f>
        <v>0</v>
      </c>
      <c r="FS67">
        <f>FW65-FT65</f>
        <v>0</v>
      </c>
      <c r="FV67">
        <f>FZ65-FW65</f>
        <v>0</v>
      </c>
      <c r="FY67">
        <f>GC65-FZ65</f>
        <v>0</v>
      </c>
    </row>
    <row r="69" spans="1:247">
      <c r="P69" s="20"/>
      <c r="S69" s="20"/>
    </row>
    <row r="70" spans="1:247">
      <c r="N70" s="21">
        <f>P66</f>
        <v>44165</v>
      </c>
      <c r="O70">
        <f ca="1">HLOOKUP(N70,$66:$67,2,FALSE)</f>
        <v>283</v>
      </c>
    </row>
    <row r="71" spans="1:247">
      <c r="N71" s="21">
        <f>N70-7</f>
        <v>44158</v>
      </c>
      <c r="O71">
        <f t="shared" ref="O71:O77" si="21">HLOOKUP(N71,$66:$67,2,FALSE)</f>
        <v>297</v>
      </c>
    </row>
    <row r="72" spans="1:247">
      <c r="N72" s="21">
        <f t="shared" ref="N72:N77" si="22">N71-7</f>
        <v>44151</v>
      </c>
      <c r="O72">
        <f t="shared" si="21"/>
        <v>104</v>
      </c>
    </row>
    <row r="73" spans="1:247">
      <c r="N73" s="21">
        <f t="shared" si="22"/>
        <v>44144</v>
      </c>
      <c r="O73">
        <f t="shared" si="21"/>
        <v>90</v>
      </c>
    </row>
    <row r="74" spans="1:247">
      <c r="N74" s="21">
        <f t="shared" si="22"/>
        <v>44137</v>
      </c>
      <c r="O74">
        <f t="shared" si="21"/>
        <v>109</v>
      </c>
    </row>
    <row r="75" spans="1:247">
      <c r="N75" s="21">
        <f t="shared" si="22"/>
        <v>44130</v>
      </c>
      <c r="O75">
        <f t="shared" si="21"/>
        <v>122</v>
      </c>
    </row>
    <row r="76" spans="1:247">
      <c r="N76" s="21">
        <f t="shared" si="22"/>
        <v>44123</v>
      </c>
      <c r="O76">
        <f t="shared" si="21"/>
        <v>131</v>
      </c>
    </row>
    <row r="77" spans="1:247">
      <c r="N77" s="21">
        <f t="shared" si="22"/>
        <v>44116</v>
      </c>
      <c r="O77">
        <f t="shared" si="21"/>
        <v>214</v>
      </c>
    </row>
    <row r="78" spans="1:247">
      <c r="N78" s="16"/>
    </row>
    <row r="79" spans="1:247">
      <c r="N79" t="s">
        <v>7</v>
      </c>
    </row>
    <row r="80" spans="1:247">
      <c r="N80" s="22">
        <f>(N70-4)+15/24</f>
        <v>44161.625</v>
      </c>
      <c r="O80">
        <f>DMAX(_xlnm.database,"n",N79:N80)</f>
        <v>428</v>
      </c>
      <c r="P80" s="21">
        <f>N80</f>
        <v>44161.625</v>
      </c>
      <c r="Q80">
        <f>O80</f>
        <v>428</v>
      </c>
    </row>
    <row r="81" spans="14:17">
      <c r="N81" t="s">
        <v>7</v>
      </c>
      <c r="P81" s="16">
        <f>P80-7</f>
        <v>44154.625</v>
      </c>
      <c r="Q81">
        <f>O82</f>
        <v>479</v>
      </c>
    </row>
    <row r="82" spans="14:17">
      <c r="N82" s="22">
        <f>N80-7</f>
        <v>44154.625</v>
      </c>
      <c r="O82">
        <f>DMAX(_xlnm.database,"n",N81:N82)</f>
        <v>479</v>
      </c>
      <c r="P82" s="16">
        <f t="shared" ref="P82:P89" si="23">P81-7</f>
        <v>44147.625</v>
      </c>
      <c r="Q82">
        <f>O84</f>
        <v>282</v>
      </c>
    </row>
    <row r="83" spans="14:17">
      <c r="N83" t="s">
        <v>7</v>
      </c>
      <c r="P83" s="16">
        <f t="shared" si="23"/>
        <v>44140.625</v>
      </c>
      <c r="Q83">
        <f>O86</f>
        <v>222</v>
      </c>
    </row>
    <row r="84" spans="14:17">
      <c r="N84" s="22">
        <f>N82-7</f>
        <v>44147.625</v>
      </c>
      <c r="O84">
        <f>DMAX(_xlnm.database,"n",N83:N84)</f>
        <v>282</v>
      </c>
      <c r="P84" s="16">
        <f t="shared" si="23"/>
        <v>44133.625</v>
      </c>
      <c r="Q84">
        <f>O88</f>
        <v>237</v>
      </c>
    </row>
    <row r="85" spans="14:17">
      <c r="N85" t="s">
        <v>7</v>
      </c>
      <c r="P85" s="16">
        <f t="shared" si="23"/>
        <v>44126.625</v>
      </c>
      <c r="Q85">
        <f>O90</f>
        <v>219</v>
      </c>
    </row>
    <row r="86" spans="14:17">
      <c r="N86" s="22">
        <f>N84-7</f>
        <v>44140.625</v>
      </c>
      <c r="O86">
        <f>DMAX(_xlnm.database,"n",N85:N86)</f>
        <v>222</v>
      </c>
      <c r="P86" s="16">
        <f t="shared" si="23"/>
        <v>44119.625</v>
      </c>
      <c r="Q86">
        <f>O92</f>
        <v>190</v>
      </c>
    </row>
    <row r="87" spans="14:17">
      <c r="N87" t="s">
        <v>7</v>
      </c>
      <c r="P87" s="16">
        <f t="shared" si="23"/>
        <v>44112.625</v>
      </c>
      <c r="Q87">
        <f>O94</f>
        <v>260</v>
      </c>
    </row>
    <row r="88" spans="14:17">
      <c r="N88" s="22">
        <f>N86-7</f>
        <v>44133.625</v>
      </c>
      <c r="O88">
        <f>DMAX(_xlnm.database,"n",N87:N88)</f>
        <v>237</v>
      </c>
      <c r="P88" s="16">
        <f>P87-7</f>
        <v>44105.625</v>
      </c>
      <c r="Q88">
        <f>O96</f>
        <v>188</v>
      </c>
    </row>
    <row r="89" spans="14:17">
      <c r="N89" t="s">
        <v>7</v>
      </c>
      <c r="P89" s="16">
        <f t="shared" si="23"/>
        <v>44098.625</v>
      </c>
      <c r="Q89">
        <f>O98</f>
        <v>97</v>
      </c>
    </row>
    <row r="90" spans="14:17">
      <c r="N90" s="22">
        <f>N88-7</f>
        <v>44126.625</v>
      </c>
      <c r="O90">
        <f>DMAX(_xlnm.database,"n",N89:N90)</f>
        <v>219</v>
      </c>
    </row>
    <row r="91" spans="14:17">
      <c r="N91" t="s">
        <v>7</v>
      </c>
    </row>
    <row r="92" spans="14:17">
      <c r="N92" s="22">
        <f>N90-7</f>
        <v>44119.625</v>
      </c>
      <c r="O92">
        <f>DMAX(_xlnm.database,"n",N91:N92)</f>
        <v>190</v>
      </c>
    </row>
    <row r="93" spans="14:17">
      <c r="N93" t="s">
        <v>7</v>
      </c>
    </row>
    <row r="94" spans="14:17">
      <c r="N94" s="22">
        <f>N92-7</f>
        <v>44112.625</v>
      </c>
      <c r="O94">
        <f>DMAX(_xlnm.database,"n",N93:N94)</f>
        <v>260</v>
      </c>
    </row>
    <row r="95" spans="14:17">
      <c r="N95" t="s">
        <v>7</v>
      </c>
    </row>
    <row r="96" spans="14:17">
      <c r="N96" s="22">
        <f>N94-7</f>
        <v>44105.625</v>
      </c>
      <c r="O96">
        <f>DMAX(_xlnm.database,"n",N95:N96)</f>
        <v>188</v>
      </c>
    </row>
    <row r="97" spans="14:15">
      <c r="N97" t="s">
        <v>7</v>
      </c>
    </row>
    <row r="98" spans="14:15">
      <c r="N98" s="22">
        <f>N96-7</f>
        <v>44098.625</v>
      </c>
      <c r="O98">
        <f>DMAX(_xlnm.database,"n",N97:N98)</f>
        <v>97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2020-11-30T10:00:26Z</dcterms:modified>
</cp:coreProperties>
</file>