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F7A230CB-57B4-4E9D-9A46-45B294D23C5C}"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<sst xmlns="http://schemas.openxmlformats.org/spreadsheetml/2006/main" count="694" uniqueCount="363">
  <si>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</si>
  <si>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</si>
  <si>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</si>
  <si>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</si>
  <si>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</si>
  <si>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</si>
  <si>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</si>
  <si>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</si>
  <si>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</si>
  <si>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</si>
  <si>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</si>
  <si>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</si>
  <si>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</si>
  <si>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</si>
  <si>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</si>
  <si>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</si>
  <si>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</si>
  <si>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</si>
  <si>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</si>
  <si>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</si>
  <si>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</si>
  <si>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</si>
  <si>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</si>
  <si>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</si>
  <si>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</si>
  <si>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</si>
  <si>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</si>
  <si>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</si>
  <si>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</si>
  <si>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</si>
  <si>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</si>
  <si>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</si>
  <si>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</si>
  <si>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</si>
  <si>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</si>
  <si>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</si>
  <si>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</si>
  <si>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</si>
  <si>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</si>
  <si>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</si>
  <si>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</si>
  <si>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</si>
  <si>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</si>
  <si>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</si>
  <si>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</si>
  <si>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</si>
  <si>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</si>
  <si>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</si>
  <si>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</si>
  <si>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</si>
  <si>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</si>
  <si>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</si>
  <si>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</si>
  <si>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</si>
  <si>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</si>
  <si>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</si>
  <si>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</si>
  <si>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</si>
  <si>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</si>
  <si>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</si>
  <si>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</si>
  <si>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</si>
  <si>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</si>
  <si>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</si>
  <si>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</si>
  <si>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</si>
  <si>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</si>
  <si>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</si>
  <si>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</si>
  <si>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</si>
  <si>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</si>
  <si>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</si>
  <si>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</si>
  <si>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</si>
  <si>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</si>
  <si>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</si>
  <si>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</si>
  <si>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</si>
  <si>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</si>
  <si>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</si>
  <si>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</si>
  <si>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</si>
  <si>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</si>
  <si>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</si>
  <si>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</si>
  <si>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</si>
  <si>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</si>
  <si>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</si>
  <si>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</si>
  <si>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</si>
  <si>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</si>
  <si>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</si>
  <si>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</si>
  <si>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</si>
  <si>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</si>
  <si>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</si>
  <si>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</si>
  <si>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</si>
  <si>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</si>
  <si>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</si>
  <si>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</si>
  <si>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</si>
  <si>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</si>
  <si>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</si>
  <si>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</si>
  <si>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</si>
  <si>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</si>
  <si>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</si>
  <si>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</si>
  <si>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</si>
  <si>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</si>
  <si>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</si>
  <si>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</si>
  <si>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</si>
  <si>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</si>
  <si>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</si>
  <si>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</si>
  <si>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</si>
  <si>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</si>
  <si>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</si>
  <si>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</si>
  <si>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</si>
  <si>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</si>
  <si>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</si>
  <si>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</si>
  <si>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</si>
  <si>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</si>
  <si>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</si>
  <si>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</si>
  <si>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</si>
  <si>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</si>
  <si>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</si>
  <si>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</si>
  <si>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</si>
  <si>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</si>
  <si>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</si>
  <si>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</si>
  <si>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</si>
  <si>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</si>
  <si>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</si>
  <si>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</si>
  <si>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</si>
  <si>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</si>
  <si>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</si>
  <si>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</si>
  <si>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</si>
  <si>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</si>
  <si>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</si>
  <si>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</si>
  <si>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</si>
  <si>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</si>
  <si>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</si>
  <si>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</si>
  <si>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</si>
  <si>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</si>
  <si>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</si>
  <si>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</si>
  <si>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</si>
  <si>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</si>
  <si>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</si>
  <si>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</si>
  <si>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</si>
  <si>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</si>
  <si>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</si>
  <si>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</si>
  <si>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</si>
  <si>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</si>
  <si>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</si>
  <si>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</si>
  <si>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</si>
  <si>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</si>
  <si>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</si>
  <si>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</si>
  <si>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</si>
  <si>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</si>
  <si>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</si>
  <si>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</si>
  <si>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</si>
  <si>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</si>
  <si>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</si>
  <si>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</si>
  <si>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</si>
  <si>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</si>
  <si>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</si>
  <si>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</si>
  <si>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</si>
  <si>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</si>
  <si>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</si>
  <si>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</si>
  <si>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</si>
  <si>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</si>
  <si>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</si>
  <si>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</si>
  <si>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</si>
  <si>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</si>
  <si>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</si>
  <si>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</si>
  <si>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</si>
  <si>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</si>
  <si>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</si>
  <si>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</si>
  <si>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</si>
  <si>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</si>
  <si>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</si>
  <si>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</si>
  <si>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</si>
  <si>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</si>
  <si>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</si>
  <si>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</si>
  <si>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</si>
  <si>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</si>
  <si>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</si>
  <si>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</si>
  <si>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</si>
  <si>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</si>
  <si>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</si>
  <si>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</si>
  <si>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</si>
  <si>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</si>
  <si>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</si>
  <si>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</si>
  <si>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</si>
  <si>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</si>
  <si>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</si>
  <si>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</si>
  <si>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</si>
  <si>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</si>
  <si>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</si>
  <si>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</si>
  <si>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</si>
  <si>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</si>
  <si>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</si>
  <si>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</si>
  <si>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</si>
  <si>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</si>
  <si>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</si>
  <si>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</si>
  <si>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</si>
  <si>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</si>
  <si>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</si>
  <si>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</si>
  <si>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</si>
  <si>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</si>
  <si>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</si>
  <si>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</si>
  <si>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</si>
  <si>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</si>
  <si>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</si>
  <si>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</si>
  <si>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</si>
  <si>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</si>
  <si>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</si>
  <si>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</si>
  <si>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</si>
  <si>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</si>
  <si>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</si>
  <si>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</si>
  <si>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</si>
  <si>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</si>
  <si>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</si>
  <si>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</si>
  <si>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</si>
  <si>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</si>
  <si>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</si>
  <si>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</si>
  <si>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</si>
  <si>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</si>
  <si>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</si>
  <si>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</si>
  <si>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</si>
  <si>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</si>
  <si>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</si>
  <si>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</si>
  <si>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</si>
  <si>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</si>
  <si>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</si>
  <si>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</si>
  <si>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</si>
  <si>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</si>
  <si>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</si>
  <si>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</si>
  <si>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</si>
  <si>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</si>
  <si>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</si>
  <si>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</si>
  <si>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</si>
  <si>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</si>
  <si>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</si>
  <si>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</si>
  <si>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</si>
  <si>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</si>
  <si>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</si>
  <si>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</si>
  <si>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</si>
  <si>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</si>
  <si>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</si>
  <si>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</si>
  <si>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</si>
  <si>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</si>
  <si>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</si>
  <si>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</si>
  <si>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</si>
  <si>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</si>
  <si>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</si>
  <si>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</si>
  <si>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</si>
  <si>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</si>
  <si>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</si>
  <si>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</si>
  <si>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</si>
  <si>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</si>
  <si>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</si>
  <si>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</si>
  <si>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</si>
  <si>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</si>
  <si>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</si>
  <si>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</si>
  <si>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</si>
  <si>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</si>
  <si>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</si>
  <si>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</si>
  <si>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</si>
  <si>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</si>
  <si>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</si>
  <si>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</si>
  <si>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</si>
  <si>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</si>
  <si>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</si>
  <si>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</si>
  <si>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</si>
  <si>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</si>
  <si>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</si>
  <si>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</si>
  <si>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</si>
  <si>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</si>
  <si>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</si>
  <si>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</si>
  <si>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</si>
  <si>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</si>
  <si>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</si>
  <si>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</si>
  <si>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</si>
  <si>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</si>
  <si>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</si>
  <si>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</si>
  <si>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</si>
  <si>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</si>
  <si>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</si>
  <si>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</si>
  <si>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</si>
  <si>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</si>
  <si>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</si>
  <si>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</si>
  <si>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</si>
  <si>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</si>
  <si>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</si>
  <si>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</si>
  <si>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</si>
  <si>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</si>
  <si>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</si>
  <si>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</si>
  <si>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</si>
  <si>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2020-11-25T09:36:51.137Z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</si>
</sst>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21.11 saakka. Suurin arvo 479, joka 19.11. Uusimpien 4 päivien arvot tulevat viiveellä, joten ne jätetty pois kuvaajasta 25.11.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221</c:v>
                </c:pt>
                <c:pt idx="310">
                  <c:v>194</c:v>
                </c:pt>
                <c:pt idx="311">
                  <c:v>128</c:v>
                </c:pt>
                <c:pt idx="312">
                  <c:v>133</c:v>
                </c:pt>
                <c:pt idx="313">
                  <c:v>275</c:v>
                </c:pt>
                <c:pt idx="314">
                  <c:v>205</c:v>
                </c:pt>
                <c:pt idx="315">
                  <c:v>291</c:v>
                </c:pt>
                <c:pt idx="316">
                  <c:v>277</c:v>
                </c:pt>
                <c:pt idx="317">
                  <c:v>262</c:v>
                </c:pt>
                <c:pt idx="318">
                  <c:v>144</c:v>
                </c:pt>
                <c:pt idx="319">
                  <c:v>181</c:v>
                </c:pt>
                <c:pt idx="320">
                  <c:v>395</c:v>
                </c:pt>
                <c:pt idx="321">
                  <c:v>394</c:v>
                </c:pt>
                <c:pt idx="322">
                  <c:v>372</c:v>
                </c:pt>
                <c:pt idx="323">
                  <c:v>479</c:v>
                </c:pt>
                <c:pt idx="324">
                  <c:v>426</c:v>
                </c:pt>
                <c:pt idx="325">
                  <c:v>248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4111</c:v>
                </c:pt>
                <c:pt idx="1">
                  <c:v>3596</c:v>
                </c:pt>
                <c:pt idx="2">
                  <c:v>3592</c:v>
                </c:pt>
                <c:pt idx="3">
                  <c:v>3647</c:v>
                </c:pt>
                <c:pt idx="4">
                  <c:v>3325</c:v>
                </c:pt>
                <c:pt idx="5">
                  <c:v>2075</c:v>
                </c:pt>
                <c:pt idx="6">
                  <c:v>2306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44132</c:v>
                </c:pt>
                <c:pt idx="1">
                  <c:v>44133</c:v>
                </c:pt>
                <c:pt idx="2">
                  <c:v>44134</c:v>
                </c:pt>
                <c:pt idx="3">
                  <c:v>44135</c:v>
                </c:pt>
                <c:pt idx="4">
                  <c:v>44136</c:v>
                </c:pt>
                <c:pt idx="5">
                  <c:v>44137</c:v>
                </c:pt>
                <c:pt idx="6">
                  <c:v>44138</c:v>
                </c:pt>
                <c:pt idx="7">
                  <c:v>44139</c:v>
                </c:pt>
                <c:pt idx="8">
                  <c:v>44140</c:v>
                </c:pt>
                <c:pt idx="9">
                  <c:v>44141</c:v>
                </c:pt>
                <c:pt idx="10">
                  <c:v>44142</c:v>
                </c:pt>
                <c:pt idx="11">
                  <c:v>44143</c:v>
                </c:pt>
                <c:pt idx="12">
                  <c:v>44144</c:v>
                </c:pt>
                <c:pt idx="13">
                  <c:v>44145</c:v>
                </c:pt>
                <c:pt idx="14">
                  <c:v>44146</c:v>
                </c:pt>
                <c:pt idx="15">
                  <c:v>44147</c:v>
                </c:pt>
                <c:pt idx="16">
                  <c:v>44148</c:v>
                </c:pt>
                <c:pt idx="17">
                  <c:v>44149</c:v>
                </c:pt>
                <c:pt idx="18">
                  <c:v>44150</c:v>
                </c:pt>
                <c:pt idx="19">
                  <c:v>44151</c:v>
                </c:pt>
                <c:pt idx="20">
                  <c:v>44152</c:v>
                </c:pt>
                <c:pt idx="21">
                  <c:v>44153</c:v>
                </c:pt>
                <c:pt idx="22">
                  <c:v>44154</c:v>
                </c:pt>
                <c:pt idx="23">
                  <c:v>44155</c:v>
                </c:pt>
                <c:pt idx="24">
                  <c:v>44156</c:v>
                </c:pt>
                <c:pt idx="25">
                  <c:v>44157</c:v>
                </c:pt>
                <c:pt idx="26">
                  <c:v>44158</c:v>
                </c:pt>
                <c:pt idx="27">
                  <c:v>44159</c:v>
                </c:pt>
              </c:numCache>
            </c:numRef>
          </c:cat>
          <c:val>
            <c:numRef>
              <c:f>Kuvaajat!$D$37:$D$64</c:f>
              <c:numCache>
                <c:formatCode>General</c:formatCode>
                <c:ptCount val="28"/>
                <c:pt idx="0">
                  <c:v>240</c:v>
                </c:pt>
                <c:pt idx="1">
                  <c:v>237</c:v>
                </c:pt>
                <c:pt idx="2">
                  <c:v>219</c:v>
                </c:pt>
                <c:pt idx="3">
                  <c:v>121</c:v>
                </c:pt>
                <c:pt idx="4">
                  <c:v>150</c:v>
                </c:pt>
                <c:pt idx="5">
                  <c:v>281</c:v>
                </c:pt>
                <c:pt idx="6">
                  <c:v>241</c:v>
                </c:pt>
                <c:pt idx="7">
                  <c:v>210</c:v>
                </c:pt>
                <c:pt idx="8">
                  <c:v>221</c:v>
                </c:pt>
                <c:pt idx="9">
                  <c:v>194</c:v>
                </c:pt>
                <c:pt idx="10">
                  <c:v>128</c:v>
                </c:pt>
                <c:pt idx="11">
                  <c:v>133</c:v>
                </c:pt>
                <c:pt idx="12">
                  <c:v>275</c:v>
                </c:pt>
                <c:pt idx="13">
                  <c:v>205</c:v>
                </c:pt>
                <c:pt idx="14">
                  <c:v>291</c:v>
                </c:pt>
                <c:pt idx="15">
                  <c:v>277</c:v>
                </c:pt>
                <c:pt idx="16">
                  <c:v>262</c:v>
                </c:pt>
                <c:pt idx="17">
                  <c:v>144</c:v>
                </c:pt>
                <c:pt idx="18">
                  <c:v>181</c:v>
                </c:pt>
                <c:pt idx="19">
                  <c:v>395</c:v>
                </c:pt>
                <c:pt idx="20">
                  <c:v>394</c:v>
                </c:pt>
                <c:pt idx="21">
                  <c:v>372</c:v>
                </c:pt>
                <c:pt idx="22">
                  <c:v>479</c:v>
                </c:pt>
                <c:pt idx="23">
                  <c:v>426</c:v>
                </c:pt>
                <c:pt idx="24">
                  <c:v>248</c:v>
                </c:pt>
                <c:pt idx="25">
                  <c:v>227</c:v>
                </c:pt>
                <c:pt idx="26">
                  <c:v>337</c:v>
                </c:pt>
                <c:pt idx="27">
                  <c:v>85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N=22652. Uusimmat 25.11 lisäykset punaisella n=363.</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28.10</c:v>
                </c:pt>
                <c:pt idx="1">
                  <c:v>29.10</c:v>
                </c:pt>
                <c:pt idx="2">
                  <c:v>30.10</c:v>
                </c:pt>
                <c:pt idx="3">
                  <c:v>31.10</c:v>
                </c:pt>
                <c:pt idx="4">
                  <c:v>1.11</c:v>
                </c:pt>
                <c:pt idx="5">
                  <c:v>Ma 2</c:v>
                </c:pt>
                <c:pt idx="6">
                  <c:v>3.11</c:v>
                </c:pt>
                <c:pt idx="7">
                  <c:v>4.11</c:v>
                </c:pt>
                <c:pt idx="8">
                  <c:v>5.11</c:v>
                </c:pt>
                <c:pt idx="9">
                  <c:v>6.11</c:v>
                </c:pt>
                <c:pt idx="10">
                  <c:v>7.11</c:v>
                </c:pt>
                <c:pt idx="11">
                  <c:v>8.11</c:v>
                </c:pt>
                <c:pt idx="12">
                  <c:v>Ma 9</c:v>
                </c:pt>
                <c:pt idx="13">
                  <c:v>10.11</c:v>
                </c:pt>
                <c:pt idx="14">
                  <c:v>11.11</c:v>
                </c:pt>
                <c:pt idx="15">
                  <c:v>12.11</c:v>
                </c:pt>
                <c:pt idx="16">
                  <c:v>13.11</c:v>
                </c:pt>
                <c:pt idx="17">
                  <c:v>14.11</c:v>
                </c:pt>
                <c:pt idx="18">
                  <c:v>15.11</c:v>
                </c:pt>
                <c:pt idx="19">
                  <c:v>Ma 16</c:v>
                </c:pt>
                <c:pt idx="20">
                  <c:v>17.11</c:v>
                </c:pt>
                <c:pt idx="21">
                  <c:v>18.11</c:v>
                </c:pt>
                <c:pt idx="22">
                  <c:v>19.11</c:v>
                </c:pt>
                <c:pt idx="23">
                  <c:v>20.11</c:v>
                </c:pt>
                <c:pt idx="24">
                  <c:v>21.11</c:v>
                </c:pt>
                <c:pt idx="25">
                  <c:v>22.11</c:v>
                </c:pt>
                <c:pt idx="26">
                  <c:v>Ma 23</c:v>
                </c:pt>
                <c:pt idx="27">
                  <c:v>24.11</c:v>
                </c:pt>
              </c:strCache>
            </c:strRef>
          </c:cat>
          <c:val>
            <c:numRef>
              <c:f>Kuvaajat!$D$37:$D$64</c:f>
              <c:numCache>
                <c:formatCode>General</c:formatCode>
                <c:ptCount val="28"/>
                <c:pt idx="0">
                  <c:v>240</c:v>
                </c:pt>
                <c:pt idx="1">
                  <c:v>237</c:v>
                </c:pt>
                <c:pt idx="2">
                  <c:v>219</c:v>
                </c:pt>
                <c:pt idx="3">
                  <c:v>121</c:v>
                </c:pt>
                <c:pt idx="4">
                  <c:v>150</c:v>
                </c:pt>
                <c:pt idx="5">
                  <c:v>281</c:v>
                </c:pt>
                <c:pt idx="6">
                  <c:v>241</c:v>
                </c:pt>
                <c:pt idx="7">
                  <c:v>210</c:v>
                </c:pt>
                <c:pt idx="8">
                  <c:v>221</c:v>
                </c:pt>
                <c:pt idx="9">
                  <c:v>194</c:v>
                </c:pt>
                <c:pt idx="10">
                  <c:v>128</c:v>
                </c:pt>
                <c:pt idx="11">
                  <c:v>133</c:v>
                </c:pt>
                <c:pt idx="12">
                  <c:v>275</c:v>
                </c:pt>
                <c:pt idx="13">
                  <c:v>205</c:v>
                </c:pt>
                <c:pt idx="14">
                  <c:v>291</c:v>
                </c:pt>
                <c:pt idx="15">
                  <c:v>277</c:v>
                </c:pt>
                <c:pt idx="16">
                  <c:v>262</c:v>
                </c:pt>
                <c:pt idx="17">
                  <c:v>144</c:v>
                </c:pt>
                <c:pt idx="18">
                  <c:v>181</c:v>
                </c:pt>
                <c:pt idx="19">
                  <c:v>395</c:v>
                </c:pt>
                <c:pt idx="20">
                  <c:v>394</c:v>
                </c:pt>
                <c:pt idx="21">
                  <c:v>372</c:v>
                </c:pt>
                <c:pt idx="22">
                  <c:v>479</c:v>
                </c:pt>
                <c:pt idx="23">
                  <c:v>426</c:v>
                </c:pt>
                <c:pt idx="24">
                  <c:v>248</c:v>
                </c:pt>
                <c:pt idx="25">
                  <c:v>227</c:v>
                </c:pt>
                <c:pt idx="26">
                  <c:v>337</c:v>
                </c:pt>
                <c:pt idx="27">
                  <c:v>85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0804673829654958E-2"/>
                  <c:y val="-7.00824406789394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28.10</c:v>
                </c:pt>
                <c:pt idx="1">
                  <c:v>29.10</c:v>
                </c:pt>
                <c:pt idx="2">
                  <c:v>30.10</c:v>
                </c:pt>
                <c:pt idx="3">
                  <c:v>31.10</c:v>
                </c:pt>
                <c:pt idx="4">
                  <c:v>1.11</c:v>
                </c:pt>
                <c:pt idx="5">
                  <c:v>Ma 2</c:v>
                </c:pt>
                <c:pt idx="6">
                  <c:v>3.11</c:v>
                </c:pt>
                <c:pt idx="7">
                  <c:v>4.11</c:v>
                </c:pt>
                <c:pt idx="8">
                  <c:v>5.11</c:v>
                </c:pt>
                <c:pt idx="9">
                  <c:v>6.11</c:v>
                </c:pt>
                <c:pt idx="10">
                  <c:v>7.11</c:v>
                </c:pt>
                <c:pt idx="11">
                  <c:v>8.11</c:v>
                </c:pt>
                <c:pt idx="12">
                  <c:v>Ma 9</c:v>
                </c:pt>
                <c:pt idx="13">
                  <c:v>10.11</c:v>
                </c:pt>
                <c:pt idx="14">
                  <c:v>11.11</c:v>
                </c:pt>
                <c:pt idx="15">
                  <c:v>12.11</c:v>
                </c:pt>
                <c:pt idx="16">
                  <c:v>13.11</c:v>
                </c:pt>
                <c:pt idx="17">
                  <c:v>14.11</c:v>
                </c:pt>
                <c:pt idx="18">
                  <c:v>15.11</c:v>
                </c:pt>
                <c:pt idx="19">
                  <c:v>Ma 16</c:v>
                </c:pt>
                <c:pt idx="20">
                  <c:v>17.11</c:v>
                </c:pt>
                <c:pt idx="21">
                  <c:v>18.11</c:v>
                </c:pt>
                <c:pt idx="22">
                  <c:v>19.11</c:v>
                </c:pt>
                <c:pt idx="23">
                  <c:v>20.11</c:v>
                </c:pt>
                <c:pt idx="24">
                  <c:v>21.11</c:v>
                </c:pt>
                <c:pt idx="25">
                  <c:v>22.11</c:v>
                </c:pt>
                <c:pt idx="26">
                  <c:v>Ma 23</c:v>
                </c:pt>
                <c:pt idx="27">
                  <c:v>24.11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2</c:v>
                </c:pt>
                <c:pt idx="20">
                  <c:v>1</c:v>
                </c:pt>
                <c:pt idx="21">
                  <c:v>3</c:v>
                </c:pt>
                <c:pt idx="22">
                  <c:v>1</c:v>
                </c:pt>
                <c:pt idx="23">
                  <c:v>2</c:v>
                </c:pt>
                <c:pt idx="24">
                  <c:v>10</c:v>
                </c:pt>
                <c:pt idx="25">
                  <c:v>29</c:v>
                </c:pt>
                <c:pt idx="26">
                  <c:v>230</c:v>
                </c:pt>
                <c:pt idx="27">
                  <c:v>85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3" sqref="A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22652</v>
      </c>
      <c r="I1" s="8">
        <v>44160.485474537039</v>
      </c>
      <c r="J1" s="7">
        <f>MAX(Id)</f>
        <v>479</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21.11 saakka. Suurin arvo 479, joka 19.11. Uusimpien 4 päivien arvot tulevat viiveellä, joten ne jätetty pois kuvaajasta 25.11.</v>
      </c>
      <c r="M1" s="7">
        <f>COUNT(Id)-5</f>
        <v>325</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4111</v>
      </c>
    </row>
    <row r="31" spans="1:11">
      <c r="A31">
        <v>0</v>
      </c>
      <c r="B31" t="s">
        <v>263</v>
      </c>
      <c r="C31" t="s">
        <v>8</v>
      </c>
      <c r="E31" s="3">
        <f t="shared" si="0"/>
        <v>4</v>
      </c>
      <c r="F31" s="5">
        <v>43860.625</v>
      </c>
      <c r="H31" s="19" t="str">
        <f t="shared" si="1"/>
        <v/>
      </c>
      <c r="I31">
        <v>2</v>
      </c>
      <c r="J31" t="s">
        <v>303</v>
      </c>
      <c r="K31">
        <f t="shared" si="2"/>
        <v>3596</v>
      </c>
    </row>
    <row r="32" spans="1:11">
      <c r="A32">
        <v>0</v>
      </c>
      <c r="B32" t="s">
        <v>264</v>
      </c>
      <c r="C32" t="s">
        <v>8</v>
      </c>
      <c r="E32" s="3">
        <f t="shared" si="0"/>
        <v>5</v>
      </c>
      <c r="F32" s="5">
        <v>43861.625</v>
      </c>
      <c r="H32" s="19" t="str">
        <f t="shared" si="1"/>
        <v/>
      </c>
      <c r="I32">
        <v>3</v>
      </c>
      <c r="J32" t="s">
        <v>304</v>
      </c>
      <c r="K32">
        <f t="shared" si="2"/>
        <v>3592</v>
      </c>
    </row>
    <row r="33" spans="1:11">
      <c r="A33">
        <v>0</v>
      </c>
      <c r="B33" t="s">
        <v>265</v>
      </c>
      <c r="C33" t="s">
        <v>8</v>
      </c>
      <c r="E33" s="3">
        <f t="shared" si="0"/>
        <v>6</v>
      </c>
      <c r="F33" s="5">
        <v>43862.625</v>
      </c>
      <c r="H33" s="19" t="str">
        <f t="shared" si="1"/>
        <v/>
      </c>
      <c r="I33">
        <v>4</v>
      </c>
      <c r="J33" t="s">
        <v>305</v>
      </c>
      <c r="K33">
        <f t="shared" si="2"/>
        <v>3647</v>
      </c>
    </row>
    <row r="34" spans="1:11">
      <c r="A34">
        <v>0</v>
      </c>
      <c r="B34" t="s">
        <v>266</v>
      </c>
      <c r="C34" t="s">
        <v>8</v>
      </c>
      <c r="E34" s="3">
        <f t="shared" si="0"/>
        <v>7</v>
      </c>
      <c r="F34" s="5">
        <v>43863.625</v>
      </c>
      <c r="H34" s="19" t="str">
        <f t="shared" si="1"/>
        <v/>
      </c>
      <c r="I34">
        <v>5</v>
      </c>
      <c r="J34" t="s">
        <v>306</v>
      </c>
      <c r="K34">
        <f t="shared" si="2"/>
        <v>3325</v>
      </c>
    </row>
    <row r="35" spans="1:11">
      <c r="A35">
        <v>0</v>
      </c>
      <c r="B35" t="s">
        <v>267</v>
      </c>
      <c r="C35" t="s">
        <v>8</v>
      </c>
      <c r="E35" s="3">
        <f t="shared" si="0"/>
        <v>1</v>
      </c>
      <c r="F35" s="5">
        <v>43864.625</v>
      </c>
      <c r="H35" s="19" t="str">
        <f t="shared" si="1"/>
        <v>W6</v>
      </c>
      <c r="I35">
        <v>6</v>
      </c>
      <c r="J35" t="s">
        <v>307</v>
      </c>
      <c r="K35">
        <f t="shared" si="2"/>
        <v>2075</v>
      </c>
    </row>
    <row r="36" spans="1:11">
      <c r="A36">
        <v>0</v>
      </c>
      <c r="B36" t="s">
        <v>268</v>
      </c>
      <c r="C36" t="s">
        <v>8</v>
      </c>
      <c r="E36" s="3">
        <f t="shared" si="0"/>
        <v>2</v>
      </c>
      <c r="F36" s="5">
        <v>43865.625</v>
      </c>
      <c r="H36" s="19" t="str">
        <f t="shared" si="1"/>
        <v/>
      </c>
      <c r="I36">
        <v>7</v>
      </c>
      <c r="J36" t="s">
        <v>308</v>
      </c>
      <c r="K36">
        <f t="shared" si="2"/>
        <v>2306</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221</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262</v>
      </c>
      <c r="B319" t="s">
        <v>348</v>
      </c>
      <c r="C319" t="s">
        <v>8</v>
      </c>
      <c r="E319" s="3">
        <f t="shared" si="11"/>
        <v>5</v>
      </c>
      <c r="F319" s="5">
        <v>44148.625</v>
      </c>
      <c r="G319" s="10" t="str">
        <f t="shared" si="13"/>
        <v/>
      </c>
      <c r="H319" s="19" t="str">
        <f t="shared" si="14"/>
        <v/>
      </c>
    </row>
    <row r="320" spans="1:8">
      <c r="A320">
        <v>144</v>
      </c>
      <c r="B320" t="s">
        <v>349</v>
      </c>
      <c r="C320" t="s">
        <v>8</v>
      </c>
      <c r="E320" s="3">
        <f t="shared" si="11"/>
        <v>6</v>
      </c>
      <c r="F320" s="5">
        <v>44149.625</v>
      </c>
      <c r="G320" s="10" t="str">
        <f t="shared" si="13"/>
        <v/>
      </c>
      <c r="H320" s="19" t="str">
        <f t="shared" si="14"/>
        <v/>
      </c>
    </row>
    <row r="321" spans="1:8">
      <c r="A321">
        <v>181</v>
      </c>
      <c r="B321" t="s">
        <v>350</v>
      </c>
      <c r="C321" t="s">
        <v>8</v>
      </c>
      <c r="E321" s="3">
        <f t="shared" si="11"/>
        <v>7</v>
      </c>
      <c r="F321" s="5">
        <v>44150.625</v>
      </c>
      <c r="G321" s="10" t="str">
        <f t="shared" si="13"/>
        <v/>
      </c>
      <c r="H321" s="19" t="str">
        <f t="shared" si="14"/>
        <v/>
      </c>
    </row>
    <row r="322" spans="1:8">
      <c r="A322">
        <v>395</v>
      </c>
      <c r="B322" t="s">
        <v>351</v>
      </c>
      <c r="C322" t="s">
        <v>8</v>
      </c>
      <c r="E322" s="3">
        <f t="shared" si="11"/>
        <v>1</v>
      </c>
      <c r="F322" s="5">
        <v>44151.625</v>
      </c>
      <c r="G322" s="10" t="str">
        <f t="shared" si="13"/>
        <v>Maanantai</v>
      </c>
      <c r="H322" s="19" t="str">
        <f t="shared" si="14"/>
        <v>W47</v>
      </c>
    </row>
    <row r="323" spans="1:8">
      <c r="A323">
        <v>394</v>
      </c>
      <c r="B323" t="s">
        <v>352</v>
      </c>
      <c r="C323" t="s">
        <v>8</v>
      </c>
      <c r="E323" s="3">
        <f t="shared" ref="E323" si="15">WEEKDAY(F323,2)</f>
        <v>2</v>
      </c>
      <c r="F323" s="5">
        <v>44152.625</v>
      </c>
      <c r="G323" s="10" t="str">
        <f t="shared" si="13"/>
        <v/>
      </c>
      <c r="H323" s="19" t="str">
        <f t="shared" si="14"/>
        <v/>
      </c>
    </row>
    <row r="324" spans="1:8">
      <c r="A324">
        <v>372</v>
      </c>
      <c r="B324" t="s">
        <v>353</v>
      </c>
      <c r="C324" t="s">
        <v>8</v>
      </c>
      <c r="E324" s="3">
        <f t="shared" si="11"/>
        <v>3</v>
      </c>
      <c r="F324" s="5">
        <v>44153.625</v>
      </c>
      <c r="G324" s="10" t="str">
        <f t="shared" si="13"/>
        <v/>
      </c>
      <c r="H324" s="19" t="str">
        <f t="shared" si="14"/>
        <v/>
      </c>
    </row>
    <row r="325" spans="1:8">
      <c r="A325">
        <v>479</v>
      </c>
      <c r="B325" t="s">
        <v>354</v>
      </c>
      <c r="C325" t="s">
        <v>8</v>
      </c>
      <c r="E325" s="3">
        <f t="shared" ref="E325:E366" si="16">WEEKDAY(F325,2)</f>
        <v>4</v>
      </c>
      <c r="F325" s="5">
        <v>44154.625</v>
      </c>
      <c r="G325" s="10" t="str">
        <f t="shared" si="13"/>
        <v/>
      </c>
      <c r="H325" s="19" t="str">
        <f t="shared" si="14"/>
        <v/>
      </c>
    </row>
    <row r="326" spans="1:8">
      <c r="A326">
        <v>426</v>
      </c>
      <c r="B326" t="s">
        <v>355</v>
      </c>
      <c r="C326" t="s">
        <v>8</v>
      </c>
      <c r="E326" s="3">
        <f t="shared" si="16"/>
        <v>5</v>
      </c>
      <c r="F326" s="5">
        <v>44155.625</v>
      </c>
      <c r="G326" s="10" t="str">
        <f t="shared" si="13"/>
        <v/>
      </c>
      <c r="H326" s="19" t="str">
        <f t="shared" si="14"/>
        <v/>
      </c>
    </row>
    <row r="327" spans="1:8">
      <c r="A327">
        <v>248</v>
      </c>
      <c r="B327" t="s">
        <v>358</v>
      </c>
      <c r="C327" t="s">
        <v>8</v>
      </c>
      <c r="E327" s="3">
        <f t="shared" si="16"/>
        <v>6</v>
      </c>
      <c r="F327" s="5">
        <v>44156.625</v>
      </c>
      <c r="G327" s="10" t="str">
        <f t="shared" si="13"/>
        <v/>
      </c>
      <c r="H327" s="19" t="str">
        <f t="shared" si="14"/>
        <v/>
      </c>
    </row>
    <row r="328" spans="1:8">
      <c r="A328">
        <v>227</v>
      </c>
      <c r="B328" t="s">
        <v>359</v>
      </c>
      <c r="C328" t="s">
        <v>8</v>
      </c>
      <c r="E328" s="3">
        <f t="shared" si="16"/>
        <v>7</v>
      </c>
      <c r="F328" s="5">
        <v>44157.625</v>
      </c>
      <c r="G328" s="10" t="str">
        <f t="shared" si="13"/>
        <v/>
      </c>
      <c r="H328" s="19" t="str">
        <f t="shared" si="14"/>
        <v/>
      </c>
    </row>
    <row r="329" spans="1:8">
      <c r="A329">
        <v>337</v>
      </c>
      <c r="B329" t="s">
        <v>360</v>
      </c>
      <c r="C329" t="s">
        <v>8</v>
      </c>
      <c r="E329" s="3">
        <f t="shared" si="16"/>
        <v>1</v>
      </c>
      <c r="F329" s="5">
        <v>44158.625</v>
      </c>
      <c r="G329" s="10" t="str">
        <f t="shared" si="13"/>
        <v>Maanantai</v>
      </c>
      <c r="H329" s="19" t="str">
        <f t="shared" si="14"/>
        <v>W48</v>
      </c>
    </row>
    <row r="330" spans="1:8">
      <c r="A330">
        <v>85</v>
      </c>
      <c r="B330" t="s">
        <v>361</v>
      </c>
      <c r="C330" t="s">
        <v>8</v>
      </c>
      <c r="E330" s="3">
        <f t="shared" si="16"/>
        <v>2</v>
      </c>
      <c r="F330" s="5">
        <v>44159.625</v>
      </c>
      <c r="G330" s="10" t="str">
        <f t="shared" si="13"/>
        <v/>
      </c>
      <c r="H330" s="19" t="str">
        <f t="shared" si="14"/>
        <v/>
      </c>
    </row>
    <row r="331" spans="1:8">
      <c r="A331">
        <v>0</v>
      </c>
      <c r="B331" t="s">
        <v>362</v>
      </c>
      <c r="C331" t="s">
        <v>8</v>
      </c>
      <c r="E331" s="3">
        <f t="shared" si="16"/>
        <v>3</v>
      </c>
      <c r="F331" s="5">
        <v>44160.400590277779</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67"/>
  <sheetViews>
    <sheetView tabSelected="1" zoomScale="85" zoomScaleNormal="85" workbookViewId="0">
      <selection activeCell="M6" sqref="M6"/>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25.11 n=363 (joista vanhoja yli 28 päivän takaisia kirjauksia -1). Yhteensä N=22652. Edelliset 7 päivää 2174 (päivittyy), 1944 (muutos 42 %), 1366 (-8 %) ja 1489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25.11 n=363 (joista vanhoja yli 28 päivän takaisia kirjauksia -1). Yhteensä N=22652. Melko pysyvät 7 päivää 15.11-21.11 yhteensä 2495 (muutos 57 %), aiemmat 7 päivää 1587 (11 %) ja 1425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N=22652. Uusimmat 25.11 lisäykset punaisella n=363.</v>
      </c>
      <c r="B34" s="4"/>
    </row>
    <row r="35" spans="1:247">
      <c r="B35" s="4" t="s">
        <v>5</v>
      </c>
      <c r="C35" t="s">
        <v>0</v>
      </c>
      <c r="D35" t="s">
        <v>6</v>
      </c>
      <c r="E35">
        <f ca="1">SUM(E37:E65)</f>
        <v>364</v>
      </c>
      <c r="F35" t="s">
        <v>228</v>
      </c>
      <c r="G35" t="s">
        <v>356</v>
      </c>
      <c r="I35" t="s">
        <v>357</v>
      </c>
      <c r="J35" t="s">
        <v>356</v>
      </c>
      <c r="M35" s="16" t="s">
        <v>312</v>
      </c>
      <c r="P35" s="16" t="s">
        <v>313</v>
      </c>
      <c r="S35" s="16" t="s">
        <v>314</v>
      </c>
    </row>
    <row r="36" spans="1:247">
      <c r="A36" t="str">
        <f ca="1">IF(WEEKDAY(B36,2)=1,"Ma "&amp;TEXT(B36,"p"),TEXT(B36,"p.k"))</f>
        <v>27.10</v>
      </c>
      <c r="B36" s="4">
        <f ca="1">B37-1</f>
        <v>44131</v>
      </c>
      <c r="C36" s="11">
        <f t="shared" ref="C36:C65" ca="1" si="0">SUMIF(aika,"&lt;"&amp;(B36+1),Id)</f>
        <v>15679</v>
      </c>
    </row>
    <row r="37" spans="1:247" s="10" customFormat="1">
      <c r="A37" t="str">
        <f t="shared" ref="A37:A65" ca="1" si="1">IF(WEEKDAY(B37,2)=1,"Ma "&amp;TEXT(B37,"p"),TEXT(B37,"p.k"))</f>
        <v>28.10</v>
      </c>
      <c r="B37" s="9">
        <f t="shared" ref="B37:B62" ca="1" si="2">B38-1</f>
        <v>44132</v>
      </c>
      <c r="C37" s="10">
        <f t="shared" ca="1" si="0"/>
        <v>15919</v>
      </c>
      <c r="D37" s="10">
        <f t="shared" ref="D37" ca="1" si="3">C37-C36</f>
        <v>240</v>
      </c>
      <c r="E37" s="10">
        <f t="shared" ref="E37:E64" ca="1" si="4">_xlfn.IFNA(D37-F37,"")</f>
        <v>0</v>
      </c>
      <c r="F37" s="10">
        <f ca="1">VLOOKUP(B37,Previous,3,FALSE)</f>
        <v>240</v>
      </c>
      <c r="G37" s="10">
        <f ca="1">SUM(D37:D43)</f>
        <v>1489</v>
      </c>
      <c r="I37" s="10">
        <f ca="1">SUM(D37:D50)</f>
        <v>2855</v>
      </c>
      <c r="K37" s="14"/>
      <c r="M37" s="17">
        <v>44132</v>
      </c>
      <c r="N37" s="10">
        <v>15920</v>
      </c>
      <c r="O37" s="10">
        <v>240</v>
      </c>
      <c r="P37" s="17">
        <v>44132</v>
      </c>
      <c r="Q37" s="10">
        <v>15920</v>
      </c>
      <c r="R37" s="10">
        <v>240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29.10</v>
      </c>
      <c r="B38" s="4">
        <f t="shared" ca="1" si="2"/>
        <v>44133</v>
      </c>
      <c r="C38" s="11">
        <f t="shared" ca="1" si="0"/>
        <v>16156</v>
      </c>
      <c r="D38">
        <f t="shared" ref="D38" ca="1" si="5">C38-C37</f>
        <v>237</v>
      </c>
      <c r="E38" s="11">
        <f t="shared" ca="1" si="4"/>
        <v>0</v>
      </c>
      <c r="F38" s="11">
        <f t="shared" ref="F38:F65" ca="1" si="6">VLOOKUP(B38,Previous,3,FALSE)</f>
        <v>237</v>
      </c>
      <c r="K38" s="3"/>
      <c r="M38" s="16">
        <v>44133</v>
      </c>
      <c r="N38">
        <v>16157</v>
      </c>
      <c r="O38">
        <v>237</v>
      </c>
      <c r="P38" s="16">
        <v>44133</v>
      </c>
      <c r="Q38">
        <v>16157</v>
      </c>
      <c r="R38">
        <v>237</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30.10</v>
      </c>
      <c r="B39" s="4">
        <f t="shared" ca="1" si="2"/>
        <v>44134</v>
      </c>
      <c r="C39" s="11">
        <f t="shared" ca="1" si="0"/>
        <v>16375</v>
      </c>
      <c r="D39">
        <f t="shared" ref="D39" ca="1" si="7">C39-C38</f>
        <v>219</v>
      </c>
      <c r="E39" s="11">
        <f t="shared" ca="1" si="4"/>
        <v>0</v>
      </c>
      <c r="F39" s="11">
        <f t="shared" ca="1" si="6"/>
        <v>219</v>
      </c>
      <c r="K39" s="3"/>
      <c r="M39" s="16">
        <v>44134</v>
      </c>
      <c r="N39">
        <v>16376</v>
      </c>
      <c r="O39">
        <v>219</v>
      </c>
      <c r="P39" s="16">
        <v>44134</v>
      </c>
      <c r="Q39">
        <v>16376</v>
      </c>
      <c r="R39">
        <v>219</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31.10</v>
      </c>
      <c r="B40" s="4">
        <f t="shared" ca="1" si="2"/>
        <v>44135</v>
      </c>
      <c r="C40" s="11">
        <f t="shared" ca="1" si="0"/>
        <v>16496</v>
      </c>
      <c r="D40">
        <f t="shared" ref="D40" ca="1" si="8">C40-C39</f>
        <v>121</v>
      </c>
      <c r="E40" s="11">
        <f t="shared" ca="1" si="4"/>
        <v>0</v>
      </c>
      <c r="F40" s="11">
        <f t="shared" ca="1" si="6"/>
        <v>121</v>
      </c>
      <c r="K40" s="10"/>
      <c r="M40" s="16">
        <v>44135</v>
      </c>
      <c r="N40">
        <v>16497</v>
      </c>
      <c r="O40">
        <v>121</v>
      </c>
      <c r="P40" s="16">
        <v>44135</v>
      </c>
      <c r="Q40">
        <v>16497</v>
      </c>
      <c r="R40">
        <v>121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1.11</v>
      </c>
      <c r="B41" s="4">
        <f t="shared" ca="1" si="2"/>
        <v>44136</v>
      </c>
      <c r="C41" s="11">
        <f t="shared" ca="1" si="0"/>
        <v>16646</v>
      </c>
      <c r="D41">
        <f t="shared" ref="D41" ca="1" si="9">C41-C40</f>
        <v>150</v>
      </c>
      <c r="E41" s="11">
        <f t="shared" ca="1" si="4"/>
        <v>0</v>
      </c>
      <c r="F41" s="11">
        <f t="shared" ca="1" si="6"/>
        <v>150</v>
      </c>
      <c r="J41" s="10">
        <f ca="1">SUM(D41:D47)</f>
        <v>1425</v>
      </c>
      <c r="K41" s="3"/>
      <c r="M41" s="16">
        <v>44136</v>
      </c>
      <c r="N41">
        <v>16647</v>
      </c>
      <c r="O41">
        <v>150</v>
      </c>
      <c r="P41" s="16">
        <v>44136</v>
      </c>
      <c r="Q41">
        <v>16647</v>
      </c>
      <c r="R41">
        <v>150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Ma 2</v>
      </c>
      <c r="B42" s="4">
        <f t="shared" ca="1" si="2"/>
        <v>44137</v>
      </c>
      <c r="C42" s="11">
        <f t="shared" ca="1" si="0"/>
        <v>16927</v>
      </c>
      <c r="D42">
        <f t="shared" ref="D42" ca="1" si="10">C42-C41</f>
        <v>281</v>
      </c>
      <c r="E42" s="11">
        <f t="shared" ca="1" si="4"/>
        <v>0</v>
      </c>
      <c r="F42" s="11">
        <f t="shared" ca="1" si="6"/>
        <v>281</v>
      </c>
      <c r="K42" s="3"/>
      <c r="M42" s="16">
        <v>44137</v>
      </c>
      <c r="N42">
        <v>16928</v>
      </c>
      <c r="O42">
        <v>281</v>
      </c>
      <c r="P42" s="16">
        <v>44137</v>
      </c>
      <c r="Q42">
        <v>16928</v>
      </c>
      <c r="R42">
        <v>281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3.11</v>
      </c>
      <c r="B43" s="4">
        <f t="shared" ca="1" si="2"/>
        <v>44138</v>
      </c>
      <c r="C43" s="11">
        <f t="shared" ca="1" si="0"/>
        <v>17168</v>
      </c>
      <c r="D43">
        <f t="shared" ref="D43" ca="1" si="11">C43-C42</f>
        <v>241</v>
      </c>
      <c r="E43" s="11">
        <f t="shared" ca="1" si="4"/>
        <v>0</v>
      </c>
      <c r="F43" s="11">
        <f t="shared" ca="1" si="6"/>
        <v>241</v>
      </c>
      <c r="G43" s="10"/>
      <c r="K43" s="3"/>
      <c r="M43" s="16">
        <v>44138</v>
      </c>
      <c r="N43">
        <v>17169</v>
      </c>
      <c r="O43">
        <v>241</v>
      </c>
      <c r="P43" s="16">
        <v>44138</v>
      </c>
      <c r="Q43">
        <v>17169</v>
      </c>
      <c r="R43">
        <v>241</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4.11</v>
      </c>
      <c r="B44" s="9">
        <f t="shared" ca="1" si="2"/>
        <v>44139</v>
      </c>
      <c r="C44" s="10">
        <f t="shared" ca="1" si="0"/>
        <v>17378</v>
      </c>
      <c r="D44" s="10">
        <f t="shared" ref="D44" ca="1" si="12">C44-C43</f>
        <v>210</v>
      </c>
      <c r="E44" s="10">
        <f t="shared" ca="1" si="4"/>
        <v>0</v>
      </c>
      <c r="F44" s="10">
        <f t="shared" ca="1" si="6"/>
        <v>210</v>
      </c>
      <c r="G44" s="10">
        <f ca="1">SUM(D44:D50)</f>
        <v>1366</v>
      </c>
      <c r="H44" s="10" t="str">
        <f ca="1">TEXT(G44/G37-1,"0 %")</f>
        <v>-8 %</v>
      </c>
      <c r="K44" s="14"/>
      <c r="L44"/>
      <c r="M44" s="17">
        <v>44139</v>
      </c>
      <c r="N44" s="10">
        <v>17379</v>
      </c>
      <c r="O44" s="10">
        <v>210</v>
      </c>
      <c r="P44" s="17">
        <v>44139</v>
      </c>
      <c r="Q44" s="10">
        <v>17379</v>
      </c>
      <c r="R44" s="10">
        <v>210</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5.11</v>
      </c>
      <c r="B45" s="4">
        <f t="shared" ca="1" si="2"/>
        <v>44140</v>
      </c>
      <c r="C45" s="11">
        <f t="shared" ca="1" si="0"/>
        <v>17599</v>
      </c>
      <c r="D45">
        <f t="shared" ref="D45" ca="1" si="13">C45-C44</f>
        <v>221</v>
      </c>
      <c r="E45" s="11">
        <f t="shared" ca="1" si="4"/>
        <v>0</v>
      </c>
      <c r="F45" s="11">
        <f t="shared" ca="1" si="6"/>
        <v>221</v>
      </c>
      <c r="K45" s="3"/>
      <c r="M45" s="16">
        <v>44140</v>
      </c>
      <c r="N45">
        <v>17600</v>
      </c>
      <c r="O45">
        <v>221</v>
      </c>
      <c r="P45" s="16">
        <v>44140</v>
      </c>
      <c r="Q45">
        <v>17600</v>
      </c>
      <c r="R45">
        <v>221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6.11</v>
      </c>
      <c r="B46" s="4">
        <f t="shared" ca="1" si="2"/>
        <v>44141</v>
      </c>
      <c r="C46" s="11">
        <f t="shared" ca="1" si="0"/>
        <v>17793</v>
      </c>
      <c r="D46">
        <f t="shared" ref="D46" ca="1" si="14">C46-C45</f>
        <v>194</v>
      </c>
      <c r="E46" s="11">
        <f t="shared" ca="1" si="4"/>
        <v>0</v>
      </c>
      <c r="F46" s="11">
        <f t="shared" ca="1" si="6"/>
        <v>194</v>
      </c>
      <c r="K46" s="3"/>
      <c r="M46" s="16">
        <v>44141</v>
      </c>
      <c r="N46">
        <v>17794</v>
      </c>
      <c r="O46">
        <v>194</v>
      </c>
      <c r="P46" s="16">
        <v>44141</v>
      </c>
      <c r="Q46">
        <v>17794</v>
      </c>
      <c r="R46">
        <v>194</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7.11</v>
      </c>
      <c r="B47" s="4">
        <f t="shared" ca="1" si="2"/>
        <v>44142</v>
      </c>
      <c r="C47" s="11">
        <f t="shared" ca="1" si="0"/>
        <v>17921</v>
      </c>
      <c r="D47">
        <f t="shared" ref="D47" ca="1" si="15">C47-C46</f>
        <v>128</v>
      </c>
      <c r="E47" s="11">
        <f t="shared" ca="1" si="4"/>
        <v>0</v>
      </c>
      <c r="F47" s="11">
        <f t="shared" ca="1" si="6"/>
        <v>128</v>
      </c>
      <c r="M47" s="16">
        <v>44142</v>
      </c>
      <c r="N47">
        <v>17922</v>
      </c>
      <c r="O47">
        <v>128</v>
      </c>
      <c r="P47" s="16">
        <v>44142</v>
      </c>
      <c r="Q47">
        <v>17922</v>
      </c>
      <c r="R47">
        <v>128</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8.11</v>
      </c>
      <c r="B48" s="4">
        <f t="shared" ca="1" si="2"/>
        <v>44143</v>
      </c>
      <c r="C48" s="11">
        <f t="shared" ca="1" si="0"/>
        <v>18054</v>
      </c>
      <c r="D48">
        <f t="shared" ref="D48" ca="1" si="16">C48-C47</f>
        <v>133</v>
      </c>
      <c r="E48" s="11">
        <f t="shared" ca="1" si="4"/>
        <v>0</v>
      </c>
      <c r="F48" s="11">
        <f t="shared" ca="1" si="6"/>
        <v>133</v>
      </c>
      <c r="J48" s="10">
        <f ca="1">SUM(D48:D54)</f>
        <v>1587</v>
      </c>
      <c r="K48" s="10" t="str">
        <f ca="1">TEXT(J48/J41-1,"0 %")</f>
        <v>11 %</v>
      </c>
      <c r="M48" s="16">
        <v>44143</v>
      </c>
      <c r="N48">
        <v>18055</v>
      </c>
      <c r="O48">
        <v>133</v>
      </c>
      <c r="P48" s="16">
        <v>44143</v>
      </c>
      <c r="Q48">
        <v>18055</v>
      </c>
      <c r="R48">
        <v>133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Ma 9</v>
      </c>
      <c r="B49" s="4">
        <f t="shared" ca="1" si="2"/>
        <v>44144</v>
      </c>
      <c r="C49" s="11">
        <f t="shared" ca="1" si="0"/>
        <v>18329</v>
      </c>
      <c r="D49">
        <f t="shared" ref="D49" ca="1" si="17">C49-C48</f>
        <v>275</v>
      </c>
      <c r="E49" s="11">
        <f t="shared" ca="1" si="4"/>
        <v>0</v>
      </c>
      <c r="F49" s="11">
        <f t="shared" ca="1" si="6"/>
        <v>275</v>
      </c>
      <c r="K49" s="3"/>
      <c r="M49" s="16">
        <v>44144</v>
      </c>
      <c r="N49">
        <v>18330</v>
      </c>
      <c r="O49">
        <v>275</v>
      </c>
      <c r="P49" s="16">
        <v>44144</v>
      </c>
      <c r="Q49">
        <v>18330</v>
      </c>
      <c r="R49">
        <v>275</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10.11</v>
      </c>
      <c r="B50" s="4">
        <f t="shared" ca="1" si="2"/>
        <v>44145</v>
      </c>
      <c r="C50" s="11">
        <f t="shared" ca="1" si="0"/>
        <v>18534</v>
      </c>
      <c r="D50">
        <f t="shared" ref="D50" ca="1" si="18">C50-C49</f>
        <v>205</v>
      </c>
      <c r="E50" s="11">
        <f t="shared" ca="1" si="4"/>
        <v>0</v>
      </c>
      <c r="F50" s="11">
        <f ca="1">VLOOKUP(B50,Previous,3,FALSE)</f>
        <v>205</v>
      </c>
      <c r="K50" s="3"/>
      <c r="M50" s="16">
        <v>44145</v>
      </c>
      <c r="N50">
        <v>18535</v>
      </c>
      <c r="O50">
        <v>205</v>
      </c>
      <c r="P50" s="16">
        <v>44145</v>
      </c>
      <c r="Q50">
        <v>18535</v>
      </c>
      <c r="R50">
        <v>205</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11.11</v>
      </c>
      <c r="B51" s="9">
        <f t="shared" ca="1" si="2"/>
        <v>44146</v>
      </c>
      <c r="C51" s="10">
        <f t="shared" ca="1" si="0"/>
        <v>18825</v>
      </c>
      <c r="D51" s="10">
        <f t="shared" ref="D51" ca="1" si="19">C51-C50</f>
        <v>291</v>
      </c>
      <c r="E51" s="10">
        <f t="shared" ca="1" si="4"/>
        <v>0</v>
      </c>
      <c r="F51" s="10">
        <f t="shared" ca="1" si="6"/>
        <v>291</v>
      </c>
      <c r="G51" s="10">
        <f ca="1">SUM(D51:D57)</f>
        <v>1944</v>
      </c>
      <c r="H51" s="10" t="str">
        <f ca="1">TEXT(G51/G44-1,"0 %")</f>
        <v>42 %</v>
      </c>
      <c r="I51" s="10">
        <f ca="1">SUM(D51:D64)</f>
        <v>4118</v>
      </c>
      <c r="K51" s="14"/>
      <c r="L51"/>
      <c r="M51" s="17">
        <v>44146</v>
      </c>
      <c r="N51" s="10">
        <v>18826</v>
      </c>
      <c r="O51" s="10">
        <v>291</v>
      </c>
      <c r="P51" s="17">
        <v>44146</v>
      </c>
      <c r="Q51" s="10">
        <v>18826</v>
      </c>
      <c r="R51" s="10">
        <v>291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12.11</v>
      </c>
      <c r="B52" s="4">
        <f t="shared" ca="1" si="2"/>
        <v>44147</v>
      </c>
      <c r="C52" s="11">
        <f t="shared" ca="1" si="0"/>
        <v>19102</v>
      </c>
      <c r="D52">
        <f t="shared" ref="D52:D63" ca="1" si="20">C52-C51</f>
        <v>277</v>
      </c>
      <c r="E52" s="11">
        <f t="shared" ca="1" si="4"/>
        <v>0</v>
      </c>
      <c r="F52" s="11">
        <f t="shared" ca="1" si="6"/>
        <v>277</v>
      </c>
      <c r="G52" s="10"/>
      <c r="K52" s="3"/>
      <c r="M52" s="16">
        <v>44147</v>
      </c>
      <c r="N52">
        <v>19103</v>
      </c>
      <c r="O52">
        <v>277</v>
      </c>
      <c r="P52" s="16">
        <v>44147</v>
      </c>
      <c r="Q52">
        <v>19103</v>
      </c>
      <c r="R52">
        <v>277</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13.11</v>
      </c>
      <c r="B53" s="4">
        <f t="shared" ca="1" si="2"/>
        <v>44148</v>
      </c>
      <c r="C53" s="11">
        <f t="shared" ca="1" si="0"/>
        <v>19364</v>
      </c>
      <c r="D53">
        <f t="shared" ca="1" si="20"/>
        <v>262</v>
      </c>
      <c r="E53" s="11">
        <f t="shared" ca="1" si="4"/>
        <v>0</v>
      </c>
      <c r="F53" s="11">
        <f t="shared" ca="1" si="6"/>
        <v>262</v>
      </c>
      <c r="J53" s="13"/>
      <c r="K53" s="3"/>
      <c r="M53" s="16">
        <v>44148</v>
      </c>
      <c r="N53">
        <v>19365</v>
      </c>
      <c r="O53">
        <v>262</v>
      </c>
      <c r="P53" s="16">
        <v>44148</v>
      </c>
      <c r="Q53">
        <v>19365</v>
      </c>
      <c r="R53">
        <v>262</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14.11</v>
      </c>
      <c r="B54" s="4">
        <f t="shared" ca="1" si="2"/>
        <v>44149</v>
      </c>
      <c r="C54" s="11">
        <f t="shared" ca="1" si="0"/>
        <v>19508</v>
      </c>
      <c r="D54">
        <f t="shared" ca="1" si="20"/>
        <v>144</v>
      </c>
      <c r="E54" s="11">
        <f t="shared" ca="1" si="4"/>
        <v>1</v>
      </c>
      <c r="F54" s="11">
        <f t="shared" ca="1" si="6"/>
        <v>143</v>
      </c>
      <c r="M54" s="16">
        <v>44149</v>
      </c>
      <c r="N54">
        <v>19508</v>
      </c>
      <c r="O54">
        <v>143</v>
      </c>
      <c r="P54" s="16">
        <v>44149</v>
      </c>
      <c r="Q54">
        <v>19508</v>
      </c>
      <c r="R54">
        <v>143</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15.11</v>
      </c>
      <c r="B55" s="4">
        <f t="shared" ca="1" si="2"/>
        <v>44150</v>
      </c>
      <c r="C55" s="11">
        <f t="shared" ca="1" si="0"/>
        <v>19689</v>
      </c>
      <c r="D55">
        <f t="shared" ca="1" si="20"/>
        <v>181</v>
      </c>
      <c r="E55" s="11">
        <f t="shared" ca="1" si="4"/>
        <v>0</v>
      </c>
      <c r="F55" s="11">
        <f t="shared" ca="1" si="6"/>
        <v>181</v>
      </c>
      <c r="I55" s="10"/>
      <c r="J55" s="10">
        <f ca="1">SUM(D55:D61)</f>
        <v>2495</v>
      </c>
      <c r="K55" s="10" t="str">
        <f ca="1">TEXT(J55/J48-1,"0 %")</f>
        <v>57 %</v>
      </c>
      <c r="M55" s="16">
        <v>44150</v>
      </c>
      <c r="N55">
        <v>19689</v>
      </c>
      <c r="O55">
        <v>181</v>
      </c>
      <c r="P55" s="16">
        <v>44150</v>
      </c>
      <c r="Q55">
        <v>19689</v>
      </c>
      <c r="R55">
        <v>181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Ma 16</v>
      </c>
      <c r="B56" s="4">
        <f t="shared" ca="1" si="2"/>
        <v>44151</v>
      </c>
      <c r="C56" s="11">
        <f t="shared" ca="1" si="0"/>
        <v>20084</v>
      </c>
      <c r="D56">
        <f t="shared" ca="1" si="20"/>
        <v>395</v>
      </c>
      <c r="E56" s="11">
        <f t="shared" ca="1" si="4"/>
        <v>2</v>
      </c>
      <c r="F56" s="11">
        <f t="shared" ca="1" si="6"/>
        <v>393</v>
      </c>
      <c r="K56" s="3"/>
      <c r="M56" s="16">
        <v>44151</v>
      </c>
      <c r="N56">
        <v>20082</v>
      </c>
      <c r="O56">
        <v>393</v>
      </c>
      <c r="P56" s="16">
        <v>44151</v>
      </c>
      <c r="Q56">
        <v>20082</v>
      </c>
      <c r="R56">
        <v>393</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17.11</v>
      </c>
      <c r="B57" s="4">
        <f t="shared" ca="1" si="2"/>
        <v>44152</v>
      </c>
      <c r="C57" s="11">
        <f t="shared" ca="1" si="0"/>
        <v>20478</v>
      </c>
      <c r="D57">
        <f t="shared" ca="1" si="20"/>
        <v>394</v>
      </c>
      <c r="E57" s="11">
        <f t="shared" ca="1" si="4"/>
        <v>1</v>
      </c>
      <c r="F57" s="11">
        <f t="shared" ca="1" si="6"/>
        <v>393</v>
      </c>
      <c r="J57" s="13"/>
      <c r="K57" s="3"/>
      <c r="M57" s="16">
        <v>44152</v>
      </c>
      <c r="N57">
        <v>20475</v>
      </c>
      <c r="O57">
        <v>393</v>
      </c>
      <c r="P57" s="16">
        <v>44152</v>
      </c>
      <c r="Q57">
        <v>20475</v>
      </c>
      <c r="R57">
        <v>393</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18.11</v>
      </c>
      <c r="B58" s="9">
        <f t="shared" ca="1" si="2"/>
        <v>44153</v>
      </c>
      <c r="C58" s="10">
        <f t="shared" ca="1" si="0"/>
        <v>20850</v>
      </c>
      <c r="D58" s="10">
        <f t="shared" ca="1" si="20"/>
        <v>372</v>
      </c>
      <c r="E58" s="10">
        <f t="shared" ca="1" si="4"/>
        <v>3</v>
      </c>
      <c r="F58" s="10">
        <f t="shared" ca="1" si="6"/>
        <v>369</v>
      </c>
      <c r="G58" s="10">
        <f ca="1">SUM(D58:D64)</f>
        <v>2174</v>
      </c>
      <c r="H58" s="10" t="str">
        <f ca="1">TEXT(G58/G51-1,"0 %")</f>
        <v>12 %</v>
      </c>
      <c r="K58" s="14"/>
      <c r="L58"/>
      <c r="M58" s="17">
        <v>44153</v>
      </c>
      <c r="N58" s="10">
        <v>20844</v>
      </c>
      <c r="O58" s="10">
        <v>369</v>
      </c>
      <c r="P58" s="17">
        <v>44153</v>
      </c>
      <c r="Q58" s="10">
        <v>20844</v>
      </c>
      <c r="R58" s="10">
        <v>369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19.11</v>
      </c>
      <c r="B59" s="4">
        <f t="shared" ca="1" si="2"/>
        <v>44154</v>
      </c>
      <c r="C59" s="11">
        <f t="shared" ca="1" si="0"/>
        <v>21329</v>
      </c>
      <c r="D59">
        <f t="shared" ca="1" si="20"/>
        <v>479</v>
      </c>
      <c r="E59" s="11">
        <f t="shared" ca="1" si="4"/>
        <v>1</v>
      </c>
      <c r="F59" s="11">
        <f t="shared" ca="1" si="6"/>
        <v>478</v>
      </c>
      <c r="H59" s="10"/>
      <c r="J59" s="13"/>
      <c r="K59" s="3"/>
      <c r="M59" s="16">
        <v>44154</v>
      </c>
      <c r="N59">
        <v>21322</v>
      </c>
      <c r="O59">
        <v>478</v>
      </c>
      <c r="P59" s="16">
        <v>44154</v>
      </c>
      <c r="Q59">
        <v>21322</v>
      </c>
      <c r="R59">
        <v>478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20.11</v>
      </c>
      <c r="B60" s="4">
        <f t="shared" ca="1" si="2"/>
        <v>44155</v>
      </c>
      <c r="C60" s="11">
        <f t="shared" ca="1" si="0"/>
        <v>21755</v>
      </c>
      <c r="D60">
        <f t="shared" ca="1" si="20"/>
        <v>426</v>
      </c>
      <c r="E60" s="11">
        <f t="shared" ca="1" si="4"/>
        <v>2</v>
      </c>
      <c r="F60" s="11">
        <f t="shared" ca="1" si="6"/>
        <v>424</v>
      </c>
      <c r="J60" s="4"/>
      <c r="K60" s="3"/>
      <c r="M60" s="16">
        <v>44155</v>
      </c>
      <c r="N60">
        <v>21746</v>
      </c>
      <c r="O60">
        <v>424</v>
      </c>
      <c r="P60" s="16">
        <v>44155</v>
      </c>
      <c r="Q60">
        <v>21746</v>
      </c>
      <c r="R60">
        <v>424</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21.11</v>
      </c>
      <c r="B61" s="4">
        <f t="shared" ca="1" si="2"/>
        <v>44156</v>
      </c>
      <c r="C61" s="11">
        <f t="shared" ca="1" si="0"/>
        <v>22003</v>
      </c>
      <c r="D61">
        <f t="shared" ca="1" si="20"/>
        <v>248</v>
      </c>
      <c r="E61" s="11">
        <f t="shared" ca="1" si="4"/>
        <v>10</v>
      </c>
      <c r="F61" s="11">
        <f t="shared" ca="1" si="6"/>
        <v>238</v>
      </c>
      <c r="J61" s="4"/>
      <c r="K61" s="3"/>
      <c r="M61" s="16">
        <v>44156</v>
      </c>
      <c r="N61">
        <v>21984</v>
      </c>
      <c r="O61">
        <v>238</v>
      </c>
      <c r="P61" s="16">
        <v>44156</v>
      </c>
      <c r="Q61">
        <v>21984</v>
      </c>
      <c r="R61">
        <v>238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22.11</v>
      </c>
      <c r="B62" s="4">
        <f t="shared" ca="1" si="2"/>
        <v>44157</v>
      </c>
      <c r="C62" s="11">
        <f t="shared" ca="1" si="0"/>
        <v>22230</v>
      </c>
      <c r="D62">
        <f t="shared" ca="1" si="20"/>
        <v>227</v>
      </c>
      <c r="E62" s="11">
        <f t="shared" ca="1" si="4"/>
        <v>29</v>
      </c>
      <c r="F62" s="11">
        <f t="shared" ca="1" si="6"/>
        <v>198</v>
      </c>
      <c r="J62" s="4"/>
      <c r="K62" s="3"/>
      <c r="M62" s="16">
        <v>44157</v>
      </c>
      <c r="N62">
        <v>22182</v>
      </c>
      <c r="O62">
        <v>198</v>
      </c>
      <c r="P62" s="16">
        <v>44157</v>
      </c>
      <c r="Q62">
        <v>22182</v>
      </c>
      <c r="R62">
        <v>198</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Ma 23</v>
      </c>
      <c r="B63" s="4">
        <f ca="1">B64-1</f>
        <v>44158</v>
      </c>
      <c r="C63" s="11">
        <f t="shared" ca="1" si="0"/>
        <v>22567</v>
      </c>
      <c r="D63">
        <f t="shared" ca="1" si="20"/>
        <v>337</v>
      </c>
      <c r="E63" s="11">
        <f t="shared" ca="1" si="4"/>
        <v>230</v>
      </c>
      <c r="F63" s="11">
        <f t="shared" ca="1" si="6"/>
        <v>107</v>
      </c>
      <c r="J63" s="4"/>
      <c r="K63" s="3"/>
      <c r="M63" s="16">
        <v>44158</v>
      </c>
      <c r="N63">
        <v>22289</v>
      </c>
      <c r="O63">
        <v>107</v>
      </c>
      <c r="P63" s="16">
        <v>44158</v>
      </c>
      <c r="Q63">
        <v>22289</v>
      </c>
      <c r="R63">
        <v>107</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24.11</v>
      </c>
      <c r="B64" s="9">
        <f ca="1">B65-1</f>
        <v>44159</v>
      </c>
      <c r="C64" s="10">
        <f t="shared" ca="1" si="0"/>
        <v>22652</v>
      </c>
      <c r="D64" s="10">
        <f ca="1">C64-C63</f>
        <v>85</v>
      </c>
      <c r="E64" s="10">
        <f t="shared" ca="1" si="4"/>
        <v>85</v>
      </c>
      <c r="F64" s="10">
        <f t="shared" ca="1" si="6"/>
        <v>0</v>
      </c>
      <c r="J64" s="9"/>
      <c r="K64" s="14"/>
      <c r="M64" s="17">
        <v>44159</v>
      </c>
      <c r="N64" s="10">
        <v>22289</v>
      </c>
      <c r="O64" s="10">
        <v>0</v>
      </c>
      <c r="P64" s="17">
        <v>44159</v>
      </c>
      <c r="Q64" s="10">
        <v>22289</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25.11</v>
      </c>
      <c r="B65" s="12">
        <f ca="1">FLOOR(NOW(),1)</f>
        <v>44160</v>
      </c>
      <c r="C65" s="11">
        <f t="shared" ca="1" si="0"/>
        <v>22652</v>
      </c>
      <c r="D65" s="11">
        <f ca="1">C65-C64</f>
        <v>0</v>
      </c>
      <c r="E65" s="11">
        <f ca="1">_xlfn.IFNA(D65-F65,"")</f>
        <v>0</v>
      </c>
      <c r="F65" s="11">
        <f t="shared" ca="1" si="6"/>
        <v>0</v>
      </c>
      <c r="K65" t="s">
        <v>309</v>
      </c>
      <c r="L65">
        <f ca="1">C65-N65</f>
        <v>363</v>
      </c>
      <c r="M65" s="16">
        <v>44160</v>
      </c>
      <c r="N65">
        <v>22289</v>
      </c>
      <c r="O65">
        <v>0</v>
      </c>
      <c r="P65" s="16">
        <v>44160</v>
      </c>
      <c r="Q65">
        <v>22289</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-22289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2020-11-25T10:21:51Z</dcterms:modified>
</cp:coreProperties>
</file>