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402813" documentId="8_{76E6A986-D793-401C-87F2-E080D00F8B9D}" xr6:coauthVersionLast="47" xr6:coauthVersionMax="47" xr10:uidLastSave="{39660BAE-377A-4662-B540-BC20A1DEBD46}"/>
  <bookViews>
    <workbookView xWindow="888" yWindow="-108" windowWidth="22260" windowHeight="13176"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Kaikki!$A$1:$O$805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1" i="1" l="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20"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679"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645" i="1"/>
  <c r="J646" i="1"/>
  <c r="J647" i="1"/>
  <c r="J648" i="1"/>
  <c r="J642" i="1"/>
  <c r="J643" i="1"/>
  <c r="K581"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20" i="1"/>
  <c r="ALV37" i="2"/>
  <c r="ALS37" i="2"/>
  <c r="ALP37" i="2"/>
  <c r="ALM37" i="2"/>
  <c r="ALJ37" i="2"/>
  <c r="ALG37" i="2"/>
  <c r="ALD37" i="2"/>
  <c r="ALA37" i="2"/>
  <c r="AKX37" i="2"/>
  <c r="AKU37" i="2"/>
  <c r="AKR37" i="2"/>
  <c r="AKO37" i="2"/>
  <c r="AKL37" i="2"/>
  <c r="AKI37" i="2"/>
  <c r="AKF37" i="2"/>
  <c r="AKC37" i="2"/>
  <c r="AJZ37" i="2"/>
  <c r="AJW37" i="2"/>
  <c r="AJT37" i="2"/>
  <c r="AJQ37" i="2"/>
  <c r="AJN37" i="2"/>
  <c r="AJK37" i="2"/>
  <c r="AJH37" i="2"/>
  <c r="AJE37" i="2"/>
  <c r="AJB37" i="2"/>
  <c r="AIY37" i="2"/>
  <c r="AIV37" i="2"/>
  <c r="AIS37" i="2"/>
  <c r="AIP37" i="2"/>
  <c r="AIM37" i="2"/>
  <c r="AIJ37" i="2"/>
  <c r="AIG37" i="2"/>
  <c r="AID37" i="2"/>
  <c r="AIA37" i="2"/>
  <c r="AHX37" i="2"/>
  <c r="AHU37" i="2"/>
  <c r="AHR37" i="2"/>
  <c r="AHO37" i="2"/>
  <c r="AHL37" i="2"/>
  <c r="AHI37" i="2"/>
  <c r="AHF37" i="2"/>
  <c r="AHC37" i="2"/>
  <c r="AGZ37" i="2"/>
  <c r="AGW37" i="2"/>
  <c r="AGT37" i="2"/>
  <c r="AGQ37" i="2"/>
  <c r="AGN37" i="2"/>
  <c r="AGK37" i="2"/>
  <c r="AGH37" i="2"/>
  <c r="AGE37" i="2"/>
  <c r="AGB37" i="2"/>
  <c r="AFY37" i="2"/>
  <c r="AFV37" i="2"/>
  <c r="AFS37" i="2"/>
  <c r="AFP37" i="2"/>
  <c r="AFM37" i="2"/>
  <c r="AFJ37" i="2"/>
  <c r="AFG37" i="2"/>
  <c r="AFD37" i="2"/>
  <c r="AFA37" i="2"/>
  <c r="AEX37" i="2"/>
  <c r="AEU37" i="2"/>
  <c r="AER37" i="2"/>
  <c r="AEO37" i="2"/>
  <c r="AEL37" i="2"/>
  <c r="AEI37" i="2"/>
  <c r="AEF37" i="2"/>
  <c r="AEC37" i="2"/>
  <c r="ADZ37" i="2"/>
  <c r="ADW37" i="2"/>
  <c r="ADT37" i="2"/>
  <c r="ADQ37" i="2"/>
  <c r="ADN37" i="2"/>
  <c r="ADK37" i="2"/>
  <c r="ADH37" i="2"/>
  <c r="ADE37" i="2"/>
  <c r="ADB37" i="2"/>
  <c r="ACY37" i="2"/>
  <c r="ACV37" i="2"/>
  <c r="ACS37" i="2"/>
  <c r="ACP37" i="2"/>
  <c r="ACM37" i="2"/>
  <c r="ACJ37" i="2"/>
  <c r="ACG37" i="2"/>
  <c r="ACD37" i="2"/>
  <c r="ACA37" i="2"/>
  <c r="ABX37" i="2"/>
  <c r="ABU37" i="2"/>
  <c r="ABR37" i="2"/>
  <c r="ALV36" i="2"/>
  <c r="ALS36" i="2"/>
  <c r="ALP36" i="2"/>
  <c r="ALM36" i="2"/>
  <c r="ALJ36" i="2"/>
  <c r="ALJ38" i="2" s="1"/>
  <c r="ALG36" i="2"/>
  <c r="ALG38" i="2" s="1"/>
  <c r="ALD36" i="2"/>
  <c r="ALD38" i="2" s="1"/>
  <c r="ALA36" i="2"/>
  <c r="ALA38" i="2" s="1"/>
  <c r="AKX36" i="2"/>
  <c r="AKX38" i="2" s="1"/>
  <c r="AKU36" i="2"/>
  <c r="AKU38" i="2" s="1"/>
  <c r="AKR36" i="2"/>
  <c r="AKR38" i="2" s="1"/>
  <c r="AKO36" i="2"/>
  <c r="AKO38" i="2" s="1"/>
  <c r="AKL36" i="2"/>
  <c r="AKL38" i="2" s="1"/>
  <c r="AKI36" i="2"/>
  <c r="AKI38" i="2" s="1"/>
  <c r="AKF36" i="2"/>
  <c r="AKF38" i="2" s="1"/>
  <c r="AKC36" i="2"/>
  <c r="AKC38" i="2" s="1"/>
  <c r="AJZ36" i="2"/>
  <c r="AJZ38" i="2" s="1"/>
  <c r="AJW36" i="2"/>
  <c r="AJW38" i="2" s="1"/>
  <c r="AJT36" i="2"/>
  <c r="AJT38" i="2" s="1"/>
  <c r="AJQ36" i="2"/>
  <c r="AJQ38" i="2" s="1"/>
  <c r="AJN36" i="2"/>
  <c r="AJN38" i="2" s="1"/>
  <c r="AJK36" i="2"/>
  <c r="AJK38" i="2" s="1"/>
  <c r="AJH36" i="2"/>
  <c r="AJH38" i="2" s="1"/>
  <c r="AJE36" i="2"/>
  <c r="AJE38" i="2" s="1"/>
  <c r="AJB36" i="2"/>
  <c r="AJB38" i="2" s="1"/>
  <c r="AIY36" i="2"/>
  <c r="AIY38" i="2" s="1"/>
  <c r="AIV36" i="2"/>
  <c r="AIV38" i="2" s="1"/>
  <c r="AIS36" i="2"/>
  <c r="AIS38" i="2" s="1"/>
  <c r="AIP36" i="2"/>
  <c r="AIP38" i="2" s="1"/>
  <c r="AIM36" i="2"/>
  <c r="AIM38" i="2" s="1"/>
  <c r="AIJ36" i="2"/>
  <c r="AIJ38" i="2" s="1"/>
  <c r="AIG36" i="2"/>
  <c r="AIG38" i="2" s="1"/>
  <c r="AID36" i="2"/>
  <c r="AID38" i="2" s="1"/>
  <c r="AIA36" i="2"/>
  <c r="AIA38" i="2" s="1"/>
  <c r="AHX36" i="2"/>
  <c r="AHX38" i="2" s="1"/>
  <c r="AHU36" i="2"/>
  <c r="AHU38" i="2" s="1"/>
  <c r="AHR36" i="2"/>
  <c r="AHR38" i="2" s="1"/>
  <c r="AHO36" i="2"/>
  <c r="AHO38" i="2" s="1"/>
  <c r="AHL36" i="2"/>
  <c r="AHL38" i="2" s="1"/>
  <c r="AHI36" i="2"/>
  <c r="AHI38" i="2" s="1"/>
  <c r="AHF36" i="2"/>
  <c r="AHF38" i="2" s="1"/>
  <c r="AHC36" i="2"/>
  <c r="AHC38" i="2" s="1"/>
  <c r="AGZ36" i="2"/>
  <c r="AGZ38" i="2" s="1"/>
  <c r="AGW36" i="2"/>
  <c r="AGW38" i="2" s="1"/>
  <c r="AGT36" i="2"/>
  <c r="AGT38" i="2" s="1"/>
  <c r="AGQ36" i="2"/>
  <c r="AGQ38" i="2" s="1"/>
  <c r="AGN36" i="2"/>
  <c r="AGN38" i="2" s="1"/>
  <c r="AGK36" i="2"/>
  <c r="AGK38" i="2" s="1"/>
  <c r="AGH36" i="2"/>
  <c r="AGH38" i="2" s="1"/>
  <c r="AGE36" i="2"/>
  <c r="AGE38" i="2" s="1"/>
  <c r="AGB36" i="2"/>
  <c r="AGB38" i="2" s="1"/>
  <c r="AFY36" i="2"/>
  <c r="AFY38" i="2" s="1"/>
  <c r="AFV36" i="2"/>
  <c r="AFV38" i="2" s="1"/>
  <c r="AFS36" i="2"/>
  <c r="AFS38" i="2" s="1"/>
  <c r="AFP36" i="2"/>
  <c r="AFP38" i="2" s="1"/>
  <c r="AFM36" i="2"/>
  <c r="AFM38" i="2" s="1"/>
  <c r="AFJ36" i="2"/>
  <c r="AFJ38" i="2" s="1"/>
  <c r="AFG36" i="2"/>
  <c r="AFG38" i="2" s="1"/>
  <c r="AFD36" i="2"/>
  <c r="AFD38" i="2" s="1"/>
  <c r="AFA36" i="2"/>
  <c r="AFA38" i="2" s="1"/>
  <c r="AEX36" i="2"/>
  <c r="AEX38" i="2" s="1"/>
  <c r="AEU36" i="2"/>
  <c r="AEU38" i="2" s="1"/>
  <c r="AER36" i="2"/>
  <c r="AER38" i="2" s="1"/>
  <c r="AEO36" i="2"/>
  <c r="AEO38" i="2" s="1"/>
  <c r="AEL36" i="2"/>
  <c r="AEL38" i="2" s="1"/>
  <c r="AEI36" i="2"/>
  <c r="AEI38" i="2" s="1"/>
  <c r="AEF36" i="2"/>
  <c r="AEF38" i="2" s="1"/>
  <c r="AEC36" i="2"/>
  <c r="AEC38" i="2" s="1"/>
  <c r="ADZ36" i="2"/>
  <c r="ADZ38" i="2" s="1"/>
  <c r="ADW36" i="2"/>
  <c r="ADW38" i="2" s="1"/>
  <c r="ADT36" i="2"/>
  <c r="ADT38" i="2" s="1"/>
  <c r="ADQ36" i="2"/>
  <c r="ADQ38" i="2" s="1"/>
  <c r="ADN36" i="2"/>
  <c r="ADN38" i="2" s="1"/>
  <c r="ADK36" i="2"/>
  <c r="ADK38" i="2" s="1"/>
  <c r="ADH36" i="2"/>
  <c r="ADH38" i="2" s="1"/>
  <c r="ADE36" i="2"/>
  <c r="ADE38" i="2" s="1"/>
  <c r="ADB36" i="2"/>
  <c r="ADB38" i="2" s="1"/>
  <c r="ACY36" i="2"/>
  <c r="ACY38" i="2" s="1"/>
  <c r="ACV36" i="2"/>
  <c r="ACV38" i="2" s="1"/>
  <c r="ACS36" i="2"/>
  <c r="ACS38" i="2" s="1"/>
  <c r="ACP36" i="2"/>
  <c r="ACP38" i="2" s="1"/>
  <c r="ACM36" i="2"/>
  <c r="ACM38" i="2" s="1"/>
  <c r="ACJ36" i="2"/>
  <c r="ACJ38" i="2" s="1"/>
  <c r="ACG36" i="2"/>
  <c r="ACG38" i="2" s="1"/>
  <c r="ACD36" i="2"/>
  <c r="ACD38" i="2" s="1"/>
  <c r="ACA36" i="2"/>
  <c r="ACA38" i="2" s="1"/>
  <c r="ABX36" i="2"/>
  <c r="ABX38" i="2" s="1"/>
  <c r="ABU36" i="2"/>
  <c r="ABU38" i="2" s="1"/>
  <c r="ABR36" i="2"/>
  <c r="ABR38" i="2" s="1"/>
  <c r="ABO37" i="2"/>
  <c r="ABL37" i="2"/>
  <c r="ABI37" i="2"/>
  <c r="ABF37" i="2"/>
  <c r="ABO36" i="2"/>
  <c r="ABO38" i="2" s="1"/>
  <c r="ABL36" i="2"/>
  <c r="ABL38" i="2" s="1"/>
  <c r="ABI36" i="2"/>
  <c r="ABI38" i="2" s="1"/>
  <c r="ABF36" i="2"/>
  <c r="ABF38" i="2" s="1"/>
  <c r="ABC37" i="2"/>
  <c r="AAZ37" i="2"/>
  <c r="AAW37" i="2"/>
  <c r="AAT37" i="2"/>
  <c r="ABC36" i="2"/>
  <c r="ABC38" i="2" s="1"/>
  <c r="AAZ36" i="2"/>
  <c r="AAZ38" i="2" s="1"/>
  <c r="AAW36" i="2"/>
  <c r="AAW38" i="2" s="1"/>
  <c r="AAT36" i="2"/>
  <c r="AAT38" i="2" s="1"/>
  <c r="AAQ37" i="2"/>
  <c r="AAN37" i="2"/>
  <c r="AAK37" i="2"/>
  <c r="AAH37" i="2"/>
  <c r="AAQ36" i="2"/>
  <c r="AAQ38" i="2" s="1"/>
  <c r="AAN36" i="2"/>
  <c r="AAN38" i="2" s="1"/>
  <c r="AAK36" i="2"/>
  <c r="AAK38" i="2" s="1"/>
  <c r="AAH36" i="2"/>
  <c r="AAH38" i="2" s="1"/>
  <c r="AAE37" i="2"/>
  <c r="AAB37" i="2"/>
  <c r="ZY37" i="2"/>
  <c r="ZV37" i="2"/>
  <c r="AAE36" i="2"/>
  <c r="AAE38" i="2" s="1"/>
  <c r="AAB36" i="2"/>
  <c r="AAB38" i="2" s="1"/>
  <c r="ZY36" i="2"/>
  <c r="ZY38" i="2" s="1"/>
  <c r="ZV36" i="2"/>
  <c r="ZV38" i="2" s="1"/>
  <c r="ZS37" i="2"/>
  <c r="ZP37" i="2"/>
  <c r="ZM37" i="2"/>
  <c r="ZJ37" i="2"/>
  <c r="ZS36" i="2"/>
  <c r="ZS38" i="2" s="1"/>
  <c r="ZP36" i="2"/>
  <c r="ZP38" i="2" s="1"/>
  <c r="ZM36" i="2"/>
  <c r="ZM38" i="2" s="1"/>
  <c r="ZJ36" i="2"/>
  <c r="ZJ38" i="2" s="1"/>
  <c r="ZG37" i="2"/>
  <c r="ZD37" i="2"/>
  <c r="ZA37" i="2"/>
  <c r="YX37" i="2"/>
  <c r="ZG36" i="2"/>
  <c r="ZG38" i="2" s="1"/>
  <c r="ZD36" i="2"/>
  <c r="ZD38" i="2" s="1"/>
  <c r="ZA36" i="2"/>
  <c r="ZA38" i="2" s="1"/>
  <c r="YX36" i="2"/>
  <c r="YX38" i="2" s="1"/>
  <c r="YU37" i="2"/>
  <c r="YR37" i="2"/>
  <c r="YO37" i="2"/>
  <c r="YL37" i="2"/>
  <c r="YU36" i="2"/>
  <c r="YU38" i="2" s="1"/>
  <c r="YR36" i="2"/>
  <c r="YR38" i="2" s="1"/>
  <c r="YO36" i="2"/>
  <c r="YO38" i="2" s="1"/>
  <c r="YL36" i="2"/>
  <c r="YL38" i="2" s="1"/>
  <c r="YI37" i="2"/>
  <c r="YF37" i="2"/>
  <c r="YC37" i="2"/>
  <c r="XZ37" i="2"/>
  <c r="YI36" i="2"/>
  <c r="YI38" i="2" s="1"/>
  <c r="YF36" i="2"/>
  <c r="YF38" i="2" s="1"/>
  <c r="YC36" i="2"/>
  <c r="YC38" i="2" s="1"/>
  <c r="XZ36" i="2"/>
  <c r="XZ38" i="2" s="1"/>
  <c r="XW37" i="2"/>
  <c r="XT37" i="2"/>
  <c r="XQ37" i="2"/>
  <c r="XN37" i="2"/>
  <c r="XW36" i="2"/>
  <c r="XW38" i="2" s="1"/>
  <c r="XT36" i="2"/>
  <c r="XT38" i="2" s="1"/>
  <c r="XQ36" i="2"/>
  <c r="XQ38" i="2" s="1"/>
  <c r="XN36" i="2"/>
  <c r="XN38" i="2" s="1"/>
  <c r="XK37" i="2"/>
  <c r="XH37" i="2"/>
  <c r="XE37" i="2"/>
  <c r="XB37" i="2"/>
  <c r="WY37" i="2"/>
  <c r="WV37" i="2"/>
  <c r="WS37" i="2"/>
  <c r="WP37" i="2"/>
  <c r="WM37" i="2"/>
  <c r="WJ37" i="2"/>
  <c r="WG37" i="2"/>
  <c r="WD37" i="2"/>
  <c r="WA37" i="2"/>
  <c r="VX37" i="2"/>
  <c r="VU37" i="2"/>
  <c r="VR37" i="2"/>
  <c r="VO37" i="2"/>
  <c r="VL37" i="2"/>
  <c r="VI37" i="2"/>
  <c r="VF37" i="2"/>
  <c r="VC37" i="2"/>
  <c r="UZ37" i="2"/>
  <c r="XK36" i="2"/>
  <c r="XK38" i="2" s="1"/>
  <c r="XH36" i="2"/>
  <c r="XH38" i="2" s="1"/>
  <c r="XE36" i="2"/>
  <c r="XE38" i="2" s="1"/>
  <c r="XB36" i="2"/>
  <c r="XB38" i="2" s="1"/>
  <c r="WY36" i="2"/>
  <c r="WY38" i="2" s="1"/>
  <c r="WV36" i="2"/>
  <c r="WV38" i="2" s="1"/>
  <c r="WS36" i="2"/>
  <c r="WS38" i="2" s="1"/>
  <c r="WP36" i="2"/>
  <c r="WP38" i="2" s="1"/>
  <c r="WM36" i="2"/>
  <c r="WM38" i="2" s="1"/>
  <c r="WJ36" i="2"/>
  <c r="WJ38" i="2" s="1"/>
  <c r="WG36" i="2"/>
  <c r="WG38" i="2" s="1"/>
  <c r="WD36" i="2"/>
  <c r="WD38" i="2" s="1"/>
  <c r="WA36" i="2"/>
  <c r="WA38" i="2" s="1"/>
  <c r="VX36" i="2"/>
  <c r="VX38" i="2" s="1"/>
  <c r="VU36" i="2"/>
  <c r="VU38" i="2" s="1"/>
  <c r="VR36" i="2"/>
  <c r="VR38" i="2" s="1"/>
  <c r="VO36" i="2"/>
  <c r="VO38" i="2" s="1"/>
  <c r="VL36" i="2"/>
  <c r="VL38" i="2" s="1"/>
  <c r="VI36" i="2"/>
  <c r="VI38" i="2" s="1"/>
  <c r="VF36" i="2"/>
  <c r="VF38" i="2" s="1"/>
  <c r="VC36" i="2"/>
  <c r="VC38" i="2" s="1"/>
  <c r="UZ36" i="2"/>
  <c r="UZ38" i="2" s="1"/>
  <c r="UW37" i="2"/>
  <c r="UW36" i="2"/>
  <c r="UW38" i="2" s="1"/>
  <c r="UT37" i="2"/>
  <c r="UT36" i="2"/>
  <c r="UT38" i="2" s="1"/>
  <c r="UQ37" i="2"/>
  <c r="UQ36" i="2"/>
  <c r="UQ38" i="2" s="1"/>
  <c r="UN37" i="2"/>
  <c r="UN36" i="2"/>
  <c r="UN38" i="2" s="1"/>
  <c r="UK37" i="2"/>
  <c r="UK36" i="2"/>
  <c r="UK38" i="2" s="1"/>
  <c r="UH37" i="2"/>
  <c r="UH36" i="2"/>
  <c r="UH38" i="2" s="1"/>
  <c r="UE37" i="2"/>
  <c r="UE36" i="2"/>
  <c r="UE38" i="2" s="1"/>
  <c r="UB37" i="2"/>
  <c r="UB36" i="2"/>
  <c r="UB38" i="2" s="1"/>
  <c r="TY37" i="2"/>
  <c r="TY36" i="2"/>
  <c r="TY38" i="2" s="1"/>
  <c r="TV37" i="2"/>
  <c r="TV36" i="2"/>
  <c r="TV38" i="2" s="1"/>
  <c r="TS37" i="2"/>
  <c r="TS36" i="2"/>
  <c r="TS38" i="2" s="1"/>
  <c r="TP37" i="2"/>
  <c r="TP36" i="2"/>
  <c r="TP38" i="2" s="1"/>
  <c r="TM37" i="2"/>
  <c r="TM36" i="2"/>
  <c r="TM38" i="2" s="1"/>
  <c r="TJ37" i="2"/>
  <c r="TJ36" i="2"/>
  <c r="TJ38" i="2" s="1"/>
  <c r="TG37" i="2"/>
  <c r="TG36" i="2"/>
  <c r="TG38" i="2" s="1"/>
  <c r="K1" i="1"/>
  <c r="J1" i="7"/>
  <c r="K1" i="7" s="1"/>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I1" i="7"/>
  <c r="I665" i="7" l="1"/>
  <c r="I721" i="7"/>
  <c r="I777" i="7"/>
  <c r="I679" i="7"/>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59" i="4" l="1"/>
  <c r="B41"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<sst xmlns="http://schemas.openxmlformats.org/spreadsheetml/2006/main" count="3479" uniqueCount="766">
  <si>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</si>
  <si>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</si>
  <si>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</si>
  <si>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</si>
  <si>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</si>
  <si>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</si>
  <si>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</si>
  <si>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</si>
  <si>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</si>
  <si>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</si>
  <si>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</si>
  <si>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</si>
  <si>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</si>
  <si>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</si>
  <si>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</si>
  <si>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</si>
  <si>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</si>
  <si>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</si>
  <si>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</si>
  <si>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</si>
  <si>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</si>
  <si>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</si>
  <si>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</si>
  <si>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</si>
  <si>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</si>
  <si>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</si>
  <si>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</si>
  <si>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</si>
  <si>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</si>
  <si>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</si>
  <si>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</si>
  <si>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</si>
  <si>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</si>
  <si>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</si>
  <si>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</si>
  <si>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</si>
  <si>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</si>
  <si>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</si>
  <si>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</si>
  <si>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</si>
  <si>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</si>
  <si>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</si>
  <si>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</si>
  <si>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</si>
  <si>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</si>
  <si>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</si>
  <si>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</si>
  <si>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</si>
  <si>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</si>
  <si>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</si>
  <si>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</si>
  <si>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</si>
  <si>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</si>
  <si>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</si>
  <si>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</si>
  <si>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</si>
  <si>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</si>
  <si>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</si>
  <si>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</si>
  <si>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</si>
  <si>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</si>
  <si>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</si>
  <si>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</si>
  <si>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</si>
  <si>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</si>
  <si>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</si>
  <si>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</si>
  <si>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</si>
  <si>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</si>
  <si>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</si>
  <si>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</si>
  <si>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</si>
  <si>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</si>
  <si>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</si>
  <si>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</si>
  <si>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</si>
  <si>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</si>
  <si>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</si>
  <si>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</si>
  <si>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</si>
  <si>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</si>
  <si>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</si>
  <si>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</si>
  <si>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</si>
  <si>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</si>
  <si>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</si>
  <si>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</si>
  <si>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</si>
  <si>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</si>
  <si>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</si>
  <si>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</si>
  <si>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</si>
  <si>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</si>
  <si>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</si>
  <si>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</si>
  <si>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</si>
  <si>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</si>
  <si>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</si>
  <si>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</si>
  <si>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</si>
  <si>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</si>
  <si>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</si>
  <si>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</si>
  <si>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</si>
  <si>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</si>
  <si>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</si>
  <si>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</si>
  <si>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</si>
  <si>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</si>
  <si>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</si>
  <si>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</si>
  <si>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</si>
  <si>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</si>
  <si>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</si>
  <si>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</si>
  <si>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</si>
  <si>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</si>
  <si>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</si>
  <si>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</si>
  <si>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</si>
  <si>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</si>
  <si>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</si>
  <si>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</si>
  <si>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</si>
  <si>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</si>
  <si>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</si>
  <si>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</si>
  <si>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</si>
  <si>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</si>
  <si>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</si>
  <si>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</si>
  <si>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</si>
  <si>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</si>
  <si>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</si>
  <si>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</si>
  <si>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</si>
  <si>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</si>
  <si>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</si>
  <si>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</si>
  <si>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</si>
  <si>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</si>
  <si>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</si>
  <si>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</si>
  <si>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</si>
  <si>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</si>
  <si>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</si>
  <si>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</si>
  <si>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</si>
  <si>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</si>
  <si>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</si>
  <si>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</si>
  <si>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</si>
  <si>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</si>
  <si>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</si>
  <si>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</si>
  <si>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</si>
  <si>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</si>
  <si>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</si>
  <si>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</si>
  <si>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</si>
  <si>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</si>
  <si>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</si>
  <si>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</si>
  <si>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</si>
  <si>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</si>
  <si>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</si>
  <si>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</si>
  <si>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</si>
  <si>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</si>
  <si>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</si>
  <si>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</si>
  <si>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</si>
  <si>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</si>
  <si>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</si>
  <si>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</si>
  <si>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</si>
  <si>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</si>
  <si>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</si>
  <si>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</si>
  <si>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</si>
  <si>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</si>
  <si>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</si>
  <si>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</si>
  <si>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</si>
  <si>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</si>
  <si>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</si>
  <si>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</si>
  <si>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</si>
  <si>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</si>
  <si>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</si>
  <si>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</si>
  <si>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</si>
  <si>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</si>
  <si>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</si>
  <si>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</si>
  <si>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</si>
  <si>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</si>
  <si>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</si>
  <si>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</si>
  <si>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</si>
  <si>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</si>
  <si>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</si>
  <si>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</si>
  <si>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</si>
  <si>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</si>
  <si>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</si>
  <si>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</si>
  <si>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</si>
  <si>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</si>
  <si>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</si>
  <si>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</si>
  <si>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</si>
  <si>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</si>
  <si>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</si>
  <si>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</si>
  <si>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</si>
  <si>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</si>
  <si>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</si>
  <si>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</si>
  <si>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</si>
  <si>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</si>
  <si>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</si>
  <si>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</si>
  <si>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</si>
  <si>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</si>
  <si>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</si>
  <si>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</si>
  <si>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</si>
  <si>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</si>
  <si>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</si>
  <si>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</si>
  <si>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</si>
  <si>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</si>
  <si>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</si>
  <si>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</si>
  <si>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</si>
  <si>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</si>
  <si>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</si>
  <si>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</si>
  <si>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</si>
  <si>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</si>
  <si>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</si>
  <si>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</si>
  <si>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</si>
  <si>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</si>
  <si>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</si>
  <si>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</si>
  <si>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</si>
  <si>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</si>
  <si>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</si>
  <si>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</si>
  <si>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</si>
  <si>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</si>
  <si>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</si>
  <si>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</si>
  <si>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</si>
  <si>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</si>
  <si>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</si>
  <si>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</si>
  <si>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</si>
  <si>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</si>
  <si>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</si>
  <si>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</si>
  <si>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</si>
  <si>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</si>
  <si>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</si>
  <si>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</si>
  <si>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</si>
  <si>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</si>
  <si>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</si>
  <si>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</si>
  <si>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</si>
  <si>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</si>
  <si>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</si>
  <si>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</si>
  <si>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</si>
  <si>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</si>
  <si>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</si>
  <si>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</si>
  <si>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</si>
  <si>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</si>
  <si>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</si>
  <si>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</si>
  <si>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</si>
  <si>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</si>
  <si>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</si>
  <si>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</si>
  <si>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</si>
  <si>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</si>
  <si>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</si>
  <si>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</si>
  <si>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</si>
  <si>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</si>
  <si>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</si>
  <si>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</si>
  <si>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</si>
  <si>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</si>
  <si>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</si>
  <si>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</si>
  <si>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</si>
  <si>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</si>
  <si>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</si>
  <si>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</si>
  <si>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</si>
  <si>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</si>
  <si>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</si>
  <si>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</si>
  <si>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</si>
  <si>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</si>
  <si>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</si>
  <si>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</si>
  <si>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</si>
  <si>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</si>
  <si>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</si>
  <si>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</si>
  <si>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</si>
  <si>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</si>
  <si>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</si>
  <si>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</si>
  <si>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</si>
  <si>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</si>
  <si>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</si>
  <si>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</si>
  <si>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</si>
  <si>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</si>
  <si>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</si>
  <si>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</si>
  <si>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</si>
  <si>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</si>
  <si>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</si>
  <si>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</si>
  <si>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</si>
  <si>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</si>
  <si>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</si>
  <si>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</si>
  <si>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</si>
  <si>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</si>
  <si>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</si>
  <si>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</si>
  <si>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</si>
  <si>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</si>
  <si>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</si>
  <si>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</si>
  <si>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</si>
  <si>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</si>
  <si>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</si>
  <si>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</si>
  <si>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</si>
  <si>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</si>
  <si>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</si>
  <si>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</si>
  <si>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</si>
  <si>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</si>
  <si>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</si>
  <si>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</si>
  <si>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</si>
  <si>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</si>
  <si>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</si>
  <si>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</si>
  <si>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</si>
  <si>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</si>
  <si>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</si>
  <si>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</si>
  <si>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</si>
  <si>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</si>
  <si>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</si>
  <si>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</si>
  <si>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</si>
  <si>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</si>
  <si>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</si>
  <si>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</si>
  <si>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</si>
  <si>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</si>
  <si>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</si>
  <si>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</si>
  <si>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</si>
  <si>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</si>
  <si>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</si>
  <si>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</si>
  <si>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</si>
  <si>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</si>
  <si>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</si>
  <si>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</si>
  <si>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</si>
  <si>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</si>
  <si>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</si>
  <si>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</si>
  <si>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</si>
  <si>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</si>
  <si>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</si>
  <si>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</si>
  <si>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</si>
  <si>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</si>
  <si>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</si>
  <si>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</si>
  <si>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</si>
  <si>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</si>
  <si>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</si>
  <si>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</si>
  <si>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</si>
  <si>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</si>
  <si>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</si>
  <si>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</si>
  <si>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</si>
  <si>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</si>
  <si>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</si>
  <si>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</si>
  <si>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</si>
  <si>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</si>
  <si>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</si>
  <si>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</si>
  <si>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</si>
  <si>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</si>
  <si>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</si>
  <si>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</si>
  <si>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</si>
  <si>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</si>
  <si>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</si>
  <si>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</si>
  <si>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</si>
  <si>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</si>
  <si>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</si>
  <si>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</si>
  <si>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</si>
  <si>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</si>
  <si>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</si>
  <si>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</si>
  <si>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</si>
  <si>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</si>
  <si>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</si>
  <si>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</si>
  <si>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</si>
  <si>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</si>
  <si>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</si>
  <si>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</si>
  <si>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</si>
  <si>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</si>
  <si>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</si>
  <si>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</si>
  <si>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</si>
  <si>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</si>
  <si>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</si>
  <si>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</si>
  <si>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</si>
  <si>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</si>
  <si>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</si>
  <si>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</si>
  <si>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</si>
  <si>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</si>
  <si>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</si>
  <si>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</si>
  <si>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</si>
  <si>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</si>
  <si>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</si>
  <si>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</si>
  <si>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</si>
  <si>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</si>
  <si>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</si>
  <si>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</si>
  <si>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</si>
  <si>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</si>
  <si>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</si>
  <si>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</si>
  <si>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</si>
  <si>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</si>
  <si>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</si>
  <si>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</si>
  <si>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</si>
  <si>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</si>
  <si>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</si>
  <si>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</si>
  <si>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</si>
  <si>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</si>
  <si>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</si>
  <si>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</si>
  <si>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</si>
  <si>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</si>
  <si>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</si>
  <si>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</si>
  <si>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</si>
  <si>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</si>
  <si>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</si>
  <si>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</si>
  <si>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</si>
  <si>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</si>
  <si>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</si>
  <si>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</si>
  <si>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</si>
  <si>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</si>
  <si>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</si>
  <si>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</si>
  <si>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</si>
  <si>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</si>
  <si>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</si>
  <si>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</si>
  <si>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</si>
  <si>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</si>
  <si>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</si>
  <si>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</si>
  <si>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</si>
  <si>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</si>
  <si>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</si>
  <si>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</si>
  <si>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</si>
  <si>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</si>
  <si>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</si>
  <si>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</si>
  <si>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</si>
  <si>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</si>
  <si>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</si>
  <si>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</si>
  <si>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</si>
  <si>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</si>
  <si>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</si>
  <si>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</si>
  <si>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</si>
  <si>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</si>
  <si>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</si>
  <si>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</si>
  <si>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</si>
  <si>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</si>
  <si>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</si>
  <si>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</si>
  <si>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</si>
  <si>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</si>
  <si>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</si>
  <si>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</si>
  <si>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</si>
  <si>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</si>
  <si>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</si>
  <si>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</si>
  <si>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</si>
  <si>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</si>
  <si>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</si>
  <si>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</si>
  <si>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</si>
  <si>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</si>
  <si>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</si>
  <si>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</si>
  <si>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</si>
  <si>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</si>
  <si>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</si>
  <si>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</si>
  <si>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</si>
  <si>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</si>
  <si>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</si>
  <si>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</si>
  <si>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</si>
  <si>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</si>
  <si>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2021-05-16T15:00:00.000Z</t>
  </si>
  <si>
    <t>2021-05-17T15:00:00.000Z</t>
  </si>
  <si>
    <t>2021-05-18T15:00:00.000Z</t>
  </si>
  <si>
    <t>2021-05-19T15:00:00.000Z</t>
  </si>
  <si>
    <t>2021-05-20T15:00:00.000Z</t>
  </si>
  <si>
    <t>2021-05-21T15:00:00.000Z</t>
  </si>
  <si>
    <t>2021-05-22T15:00:00.000Z</t>
  </si>
  <si>
    <t>2021-05-23T15:00:00.000Z</t>
  </si>
  <si>
    <t>2021-05-24T15:00:00.000Z</t>
  </si>
  <si>
    <t>2021-05-25T15:00:00.000Z</t>
  </si>
  <si>
    <t>2021-05-26T15:00:00.000Z</t>
  </si>
  <si>
    <t>2021-05-27T15:00:00.000Z</t>
  </si>
  <si>
    <t>2021-05-28T15:00:00.000Z</t>
  </si>
  <si>
    <t>2021-05-29T15:00:00.000Z</t>
  </si>
  <si>
    <t>2021-05-30T15:00:00.000Z</t>
  </si>
  <si>
    <t>2021-05-31T15:00:00.000Z</t>
  </si>
  <si>
    <t>2021-06-01T15:00:00.000Z</t>
  </si>
  <si>
    <t>2021-06-02T15:00:00.000Z</t>
  </si>
  <si>
    <t>2021-06-03T15:00:00.000Z</t>
  </si>
  <si>
    <t>2021-06-04T15:00:00.000Z</t>
  </si>
  <si>
    <t>2021-06-05T15:00:00.000Z</t>
  </si>
  <si>
    <t>2021-06-06T15:00:00.000Z</t>
  </si>
  <si>
    <t>2021-06-07T15:00:00.000Z</t>
  </si>
  <si>
    <t>2021-06-08T15:00:00.000Z</t>
  </si>
  <si>
    <t>2021-06-09T15:00:00.000Z</t>
  </si>
  <si>
    <t>2021-06-10T15:00:00.000Z</t>
  </si>
  <si>
    <t>2021-06-11T15:00:00.000Z</t>
  </si>
  <si>
    <t>2021-06-12T15:00:00.000Z</t>
  </si>
  <si>
    <t>2021-06-13T15:00:00.000Z</t>
  </si>
  <si>
    <t>2021-06-14T15:00:00.000Z</t>
  </si>
  <si>
    <t>2021-06-15T15:00:00.000Z</t>
  </si>
  <si>
    <t>2021-06-16T15:00:00.000Z</t>
  </si>
  <si>
    <t>2021-06-17T15:00:00.000Z</t>
  </si>
  <si>
    <t>2021-06-18T15:00:00.000Z</t>
  </si>
  <si>
    <t>2021-06-19T15:00:00.000Z</t>
  </si>
  <si>
    <t>2021-06-20T15:00:00.000Z</t>
  </si>
  <si>
    <t>2021-06-21T15:00:00.000Z</t>
  </si>
  <si>
    <t>2021-06-22T15:00:00.000Z</t>
  </si>
  <si>
    <t>2021-06-23T15:00:00.000Z</t>
  </si>
  <si>
    <t>2021-06-24T15:00:00.000Z</t>
  </si>
  <si>
    <t>2021-06-25T15:00:00.000Z</t>
  </si>
  <si>
    <t>2021-06-26T15:00:00.000Z</t>
  </si>
  <si>
    <t>2021-06-27T15:00:00.000Z</t>
  </si>
  <si>
    <t>2021-06-28T15:00:00.000Z</t>
  </si>
  <si>
    <t>2021-06-29T15:00:00.000Z</t>
  </si>
  <si>
    <t>2021-06-30T15:00:00.000Z</t>
  </si>
  <si>
    <t>2021-07-01T15:00:00.000Z</t>
  </si>
  <si>
    <t>2021-07-02T15:00:00.000Z</t>
  </si>
  <si>
    <t>2021-07-03T15:00:00.000Z</t>
  </si>
  <si>
    <t>2021-07-04T15:00:00.000Z</t>
  </si>
  <si>
    <t>2021-07-05T15:00:00.000Z</t>
  </si>
  <si>
    <t>2021-07-06T15:00:00.000Z</t>
  </si>
  <si>
    <t>2021-07-07T15:00:00.000Z</t>
  </si>
  <si>
    <t>2021-07-08T15:00:00.000Z</t>
  </si>
  <si>
    <t>2021-07-09T15:00:00.000Z</t>
  </si>
  <si>
    <t>2021-07-10T15:00:00.000Z</t>
  </si>
  <si>
    <t>2021-07-11T15:00:00.000Z</t>
  </si>
  <si>
    <t>2021-07-12T15:00:00.000Z</t>
  </si>
  <si>
    <t>2021-07-13T15:00:00.000Z</t>
  </si>
  <si>
    <t>2021-07-14T15:00:00.000Z</t>
  </si>
  <si>
    <t>2021-07-15T15:00:00.000Z</t>
  </si>
  <si>
    <t>2021-07-16T15:00:00.000Z</t>
  </si>
  <si>
    <t>2021-07-17T15:00:00.000Z</t>
  </si>
  <si>
    <t>2021-07-18T15:00:00.000Z</t>
  </si>
  <si>
    <t>2021-07-19T15:00:00.000Z</t>
  </si>
  <si>
    <t>2021-07-20T15:00:00.000Z</t>
  </si>
  <si>
    <t>2021-07-21T15:00:00.000Z</t>
  </si>
  <si>
    <t>2021-07-22T15:00:00.000Z</t>
  </si>
  <si>
    <t>2021-07-23T15:00:00.000Z</t>
  </si>
  <si>
    <t>2021-07-24T15:00:00.000Z</t>
  </si>
  <si>
    <t>2021-07-25T15:00:00.000Z</t>
  </si>
  <si>
    <t>2021-07-26T15:00:00.000Z</t>
  </si>
  <si>
    <t>2021-07-27T15:00:00.000Z</t>
  </si>
  <si>
    <t>2021-07-28T15:00:00.000Z</t>
  </si>
  <si>
    <t>2021-07-29T15:00:00.000Z</t>
  </si>
  <si>
    <t>2021-07-30T15:00:00.000Z</t>
  </si>
  <si>
    <t>2021-07-31T15:00:00.000Z</t>
  </si>
  <si>
    <t>2021-08-01T15:00:00.000Z</t>
  </si>
  <si>
    <t>2021-08-02T15:00:00.000Z</t>
  </si>
  <si>
    <t>2021-08-03T15:00:00.000Z</t>
  </si>
  <si>
    <t>2021-08-04T15:00:00.000Z</t>
  </si>
  <si>
    <t>2021-08-05T15:00:00.000Z</t>
  </si>
  <si>
    <t>2021-08-06T15:00:00.000Z</t>
  </si>
  <si>
    <t>2021-08-07T15:00:00.000Z</t>
  </si>
  <si>
    <t>2021-08-08T15:00:00.000Z</t>
  </si>
  <si>
    <t>2021-08-09T15:00:00.000Z</t>
  </si>
  <si>
    <t>2021-08-10T15:00:00.000Z</t>
  </si>
  <si>
    <t>2021-08-11T15:00:00.000Z</t>
  </si>
  <si>
    <t>2021-08-12T15:00:00.000Z</t>
  </si>
  <si>
    <t>2021-08-13T15:00:00.000Z</t>
  </si>
  <si>
    <t>2021-08-14T15:00:00.000Z</t>
  </si>
  <si>
    <t>2021-08-15T15:00:00.000Z</t>
  </si>
  <si>
    <t>2021-08-16T15:00:00.000Z</t>
  </si>
  <si>
    <t>2021-08-17T15:00:00.000Z</t>
  </si>
  <si>
    <t>2021-08-18T15:00:00.000Z</t>
  </si>
  <si>
    <t>2021-08-19T15:00:00.000Z</t>
  </si>
  <si>
    <t>2021-08-20T15:00:00.000Z</t>
  </si>
  <si>
    <t>2021-08-21T15:00:00.000Z</t>
  </si>
  <si>
    <t>2021-08-22T15:00:00.000Z</t>
  </si>
  <si>
    <t>2021-08-23T15:00:00.000Z</t>
  </si>
  <si>
    <t>2021-08-24T15:00:00.000Z</t>
  </si>
  <si>
    <t>2021-08-25T15:00:00.000Z</t>
  </si>
  <si>
    <t>2021-08-26T15:00:00.000Z</t>
  </si>
  <si>
    <t>2021-08-27T15:00:00.000Z</t>
  </si>
  <si>
    <t>2021-08-28T15:00:00.000Z</t>
  </si>
  <si>
    <t>2021-08-29T15:00:00.000Z</t>
  </si>
  <si>
    <t>2021-08-30T15:00:00.000Z</t>
  </si>
  <si>
    <t>2021-08-31T15:00:00.000Z</t>
  </si>
  <si>
    <t>2021-09-01T15:00:00.000Z</t>
  </si>
  <si>
    <t>2021-09-02T15:00:00.000Z</t>
  </si>
  <si>
    <t>2021-09-03T15:00:00.000Z</t>
  </si>
  <si>
    <t>2021-09-04T15:00:00.000Z</t>
  </si>
  <si>
    <t>2021-09-05T15:00:00.000Z</t>
  </si>
  <si>
    <t>2021-09-06T15:00:00.000Z</t>
  </si>
  <si>
    <t>2021-09-07T15:00:00.000Z</t>
  </si>
  <si>
    <t>2021-09-08T15:00:00.000Z</t>
  </si>
  <si>
    <t>2021-09-09T15:00:00.000Z</t>
  </si>
  <si>
    <t>2021-09-10T15:00:00.000Z</t>
  </si>
  <si>
    <t>2021-09-11T15:00:00.000Z</t>
  </si>
  <si>
    <t>2021-09-12T15:00:00.000Z</t>
  </si>
  <si>
    <t>2021-09-13T15:00:00.000Z</t>
  </si>
  <si>
    <t>2021-09-14T15:00:00.000Z</t>
  </si>
  <si>
    <t>2021-09-15T15:00:00.000Z</t>
  </si>
  <si>
    <t>2021-09-16T15:00:00.000Z</t>
  </si>
  <si>
    <t>2021-09-17T15:00:00.000Z</t>
  </si>
  <si>
    <t>2021-09-18T15:00:00.000Z</t>
  </si>
  <si>
    <t>2021-09-19T15:00:00.000Z</t>
  </si>
  <si>
    <t>2021-09-20T15:00:00.000Z</t>
  </si>
  <si>
    <t>2021-09-21T15:00:00.000Z</t>
  </si>
  <si>
    <t>2021-09-22T15:00:00.000Z</t>
  </si>
  <si>
    <t>2021-09-23T15:00:00.000Z</t>
  </si>
  <si>
    <t>2021-09-24T15:00:00.000Z</t>
  </si>
  <si>
    <t>2021-09-25T15:00:00.000Z</t>
  </si>
  <si>
    <t>2021-09-26T15:00:00.000Z</t>
  </si>
  <si>
    <t>2021-09-27T15:00:00.000Z</t>
  </si>
  <si>
    <t>2021-09-28T15:00:00.000Z</t>
  </si>
  <si>
    <t>2021-09-29T15:00:00.000Z</t>
  </si>
  <si>
    <t>2021-09-30T15:00:00.000Z</t>
  </si>
  <si>
    <t>2021-10-01T15:00:00.000Z</t>
  </si>
  <si>
    <t>2021-10-02T15:00:00.000Z</t>
  </si>
  <si>
    <t>2021-10-03T15:00:00.000Z</t>
  </si>
  <si>
    <t>2021-10-04T15:00:00.000Z</t>
  </si>
  <si>
    <t>2021-10-05T15:00:00.000Z</t>
  </si>
  <si>
    <t>2021-10-06T15:00:00.000Z</t>
  </si>
  <si>
    <t>2021-10-07T15:00:00.000Z</t>
  </si>
  <si>
    <t>2021-10-08T15:00:00.000Z</t>
  </si>
  <si>
    <t>2021-10-09T15:00:00.000Z</t>
  </si>
  <si>
    <t>2021-10-10T15:00:00.000Z</t>
  </si>
  <si>
    <t>2021-10-11T15:00:00.000Z</t>
  </si>
  <si>
    <t>2021-10-12T15:00:00.000Z</t>
  </si>
  <si>
    <t>2021-10-13T15:00:00.000Z</t>
  </si>
  <si>
    <t>2021-10-14T15:00:00.000Z</t>
  </si>
  <si>
    <t>2021-10-15T15:00:00.000Z</t>
  </si>
  <si>
    <t>2021-10-16T15:00:00.000Z</t>
  </si>
  <si>
    <t>2021-10-17T15:00:00.000Z</t>
  </si>
  <si>
    <t>2021-10-18T15:00:00.000Z</t>
  </si>
  <si>
    <t>2021-10-19T15:00:00.000Z</t>
  </si>
  <si>
    <t>2021-10-20T15:00:00.000Z</t>
  </si>
  <si>
    <t>2021-10-21T15:00:00.000Z</t>
  </si>
  <si>
    <t>2021-10-22T15:00:00.000Z</t>
  </si>
  <si>
    <t>2021-10-23T15:00:00.000Z</t>
  </si>
  <si>
    <t>2021-10-24T15:00:00.000Z</t>
  </si>
  <si>
    <t>2021-10-25T15:00:00.000Z</t>
  </si>
  <si>
    <t>2021-10-26T15:00:00.000Z</t>
  </si>
  <si>
    <t>2021-10-27T15:00:00.000Z</t>
  </si>
  <si>
    <t>2021-10-28T15:00:00.000Z</t>
  </si>
  <si>
    <t>2021-10-29T15:00:00.000Z</t>
  </si>
  <si>
    <t>2021-10-30T15:00:00.000Z</t>
  </si>
  <si>
    <t>2021-10-31T15:00:00.000Z</t>
  </si>
  <si>
    <t>2021-11-01T15:00:00.000Z</t>
  </si>
  <si>
    <t>2021-11-02T15:00:00.000Z</t>
  </si>
  <si>
    <t>2021-11-03T15:00:00.000Z</t>
  </si>
  <si>
    <t>2021-11-04T15:00:00.000Z</t>
  </si>
  <si>
    <t>2021-11-05T15:00:00.000Z</t>
  </si>
  <si>
    <t>2021-11-06T15:00:00.000Z</t>
  </si>
  <si>
    <t>2021-11-07T15:00:00.000Z</t>
  </si>
  <si>
    <t>2021-11-08T15:00:00.000Z</t>
  </si>
  <si>
    <t>2021-11-09T15:00:00.000Z</t>
  </si>
  <si>
    <t>2021-11-10T15:00:00.000Z</t>
  </si>
  <si>
    <t>2021-11-11T15:00:00.000Z</t>
  </si>
  <si>
    <t>2021-11-12T15:00:00.000Z</t>
  </si>
  <si>
    <t>2021-11-13T15:00:00.000Z</t>
  </si>
  <si>
    <t>2021-11-14T15:00:00.000Z</t>
  </si>
  <si>
    <t>2021-11-15T15:00:00.000Z</t>
  </si>
  <si>
    <t>2021-11-16T15:00:00.000Z</t>
  </si>
  <si>
    <t>2021-11-17T15:00:00.000Z</t>
  </si>
  <si>
    <t>2021-11-18T15:00:00.000Z</t>
  </si>
  <si>
    <t>2021-11-19T15:00:00.000Z</t>
  </si>
  <si>
    <t>2021-11-20T15:00:00.000Z</t>
  </si>
  <si>
    <t>2021-11-21T15:00:00.000Z</t>
  </si>
  <si>
    <t>2021-11-22  Tekstin korjausta.</t>
  </si>
  <si>
    <t>2021-11-22T15:00:00.000Z</t>
  </si>
  <si>
    <t>2021-11-23T15:00:00.000Z</t>
  </si>
  <si>
    <t>2021-11-24T15:00:00.000Z</t>
  </si>
  <si>
    <t>2021-11-25T15:00:00.000Z</t>
  </si>
  <si>
    <t>2021-11-26T15:00:00.000Z</t>
  </si>
  <si>
    <t>2021-11-27T15:00:00.000Z</t>
  </si>
  <si>
    <t>2021-11-28T15:00:00.000Z</t>
  </si>
  <si>
    <t>2021-11-29T15:00:00.000Z</t>
  </si>
  <si>
    <t>2021-11-30T15:00:00.000Z</t>
  </si>
  <si>
    <t>2021-12-01T15:00:00.000Z</t>
  </si>
  <si>
    <t>2021-12-02T15:00:00.000Z</t>
  </si>
  <si>
    <t>2021-12-03T15:00:00.000Z</t>
  </si>
  <si>
    <t>2021-12-04T15:00:00.000Z</t>
  </si>
  <si>
    <t>2021-12-05T15:00:00.000Z</t>
  </si>
  <si>
    <t>2021-12-06T15:00:00.000Z</t>
  </si>
  <si>
    <t>2021-12-07T15:00:00.000Z</t>
  </si>
  <si>
    <t>2021-12-08T15:00:00.000Z</t>
  </si>
  <si>
    <t>2021-12-09T15:00:00.000Z</t>
  </si>
  <si>
    <t>2021-12-10T15:00:00.000Z</t>
  </si>
  <si>
    <t>2021-12-11T15:00:00.000Z</t>
  </si>
  <si>
    <t>2021-12-12T15:00:00.000Z</t>
  </si>
  <si>
    <t>2021-12-13T15:00:00.000Z</t>
  </si>
  <si>
    <t>2021-12-14T15:00:00.000Z</t>
  </si>
  <si>
    <t>2021-12-15T15:00:00.000Z</t>
  </si>
  <si>
    <t>2021-12-16T15:00:00.000Z</t>
  </si>
  <si>
    <t>2021-12-17T15:16:04.492Z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</si>
</sst>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5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NumberFormat="1" applyFill="1"/>
    <xf numFmtId="0" fontId="0" fillId="0" borderId="0" xfId="0" applyFill="1"/>
    <xf numFmtId="165" fontId="0" fillId="0" borderId="0" xfId="0" applyNumberFormat="1" applyFill="1"/>
    <xf numFmtId="1" fontId="3" fillId="0" borderId="0" xfId="0" applyNumberFormat="1" applyFont="1" applyFill="1"/>
    <xf numFmtId="9" fontId="0" fillId="0" borderId="0" xfId="2" applyFont="1" applyFill="1"/>
    <xf numFmtId="0" fontId="3" fillId="3" borderId="0" xfId="0" applyNumberFormat="1" applyFont="1" applyFill="1"/>
    <xf numFmtId="0" fontId="3" fillId="3" borderId="0" xfId="0" applyFont="1" applyFill="1"/>
    <xf numFmtId="165" fontId="3" fillId="3" borderId="0" xfId="0" applyNumberFormat="1" applyFont="1" applyFill="1"/>
    <xf numFmtId="9" fontId="3" fillId="3" borderId="0" xfId="2" applyFont="1" applyFill="1"/>
    <xf numFmtId="1" fontId="0" fillId="3" borderId="0" xfId="0" applyNumberFormat="1" applyFill="1"/>
    <xf numFmtId="1" fontId="0" fillId="0" borderId="0" xfId="0" applyNumberForma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11</c:v>
                </c:pt>
                <c:pt idx="230">
                  <c:v>17</c:v>
                </c:pt>
                <c:pt idx="231">
                  <c:v>15</c:v>
                </c:pt>
                <c:pt idx="232">
                  <c:v>20</c:v>
                </c:pt>
                <c:pt idx="233">
                  <c:v>32</c:v>
                </c:pt>
                <c:pt idx="234">
                  <c:v>35</c:v>
                </c:pt>
                <c:pt idx="235">
                  <c:v>19</c:v>
                </c:pt>
                <c:pt idx="236">
                  <c:v>18</c:v>
                </c:pt>
                <c:pt idx="237">
                  <c:v>48</c:v>
                </c:pt>
                <c:pt idx="238">
                  <c:v>29</c:v>
                </c:pt>
                <c:pt idx="239">
                  <c:v>26</c:v>
                </c:pt>
                <c:pt idx="240">
                  <c:v>36</c:v>
                </c:pt>
                <c:pt idx="241">
                  <c:v>42</c:v>
                </c:pt>
                <c:pt idx="242">
                  <c:v>22</c:v>
                </c:pt>
                <c:pt idx="243">
                  <c:v>33</c:v>
                </c:pt>
                <c:pt idx="244">
                  <c:v>45</c:v>
                </c:pt>
                <c:pt idx="245">
                  <c:v>57</c:v>
                </c:pt>
                <c:pt idx="246">
                  <c:v>55</c:v>
                </c:pt>
                <c:pt idx="247">
                  <c:v>54</c:v>
                </c:pt>
                <c:pt idx="248">
                  <c:v>58</c:v>
                </c:pt>
                <c:pt idx="249">
                  <c:v>40</c:v>
                </c:pt>
                <c:pt idx="250">
                  <c:v>45</c:v>
                </c:pt>
                <c:pt idx="251">
                  <c:v>59</c:v>
                </c:pt>
                <c:pt idx="252">
                  <c:v>53</c:v>
                </c:pt>
                <c:pt idx="253">
                  <c:v>58</c:v>
                </c:pt>
                <c:pt idx="254">
                  <c:v>85</c:v>
                </c:pt>
                <c:pt idx="255">
                  <c:v>77</c:v>
                </c:pt>
                <c:pt idx="256">
                  <c:v>64</c:v>
                </c:pt>
                <c:pt idx="257">
                  <c:v>74</c:v>
                </c:pt>
                <c:pt idx="258">
                  <c:v>120</c:v>
                </c:pt>
                <c:pt idx="259">
                  <c:v>110</c:v>
                </c:pt>
                <c:pt idx="260">
                  <c:v>117</c:v>
                </c:pt>
                <c:pt idx="261">
                  <c:v>98</c:v>
                </c:pt>
                <c:pt idx="262">
                  <c:v>128</c:v>
                </c:pt>
                <c:pt idx="263">
                  <c:v>74</c:v>
                </c:pt>
                <c:pt idx="264">
                  <c:v>70</c:v>
                </c:pt>
                <c:pt idx="265">
                  <c:v>124</c:v>
                </c:pt>
                <c:pt idx="266">
                  <c:v>134</c:v>
                </c:pt>
                <c:pt idx="267">
                  <c:v>167</c:v>
                </c:pt>
                <c:pt idx="268">
                  <c:v>191</c:v>
                </c:pt>
                <c:pt idx="269">
                  <c:v>187</c:v>
                </c:pt>
                <c:pt idx="270">
                  <c:v>178</c:v>
                </c:pt>
                <c:pt idx="271">
                  <c:v>148</c:v>
                </c:pt>
                <c:pt idx="272">
                  <c:v>291</c:v>
                </c:pt>
                <c:pt idx="273">
                  <c:v>301</c:v>
                </c:pt>
                <c:pt idx="274">
                  <c:v>306</c:v>
                </c:pt>
                <c:pt idx="275">
                  <c:v>259</c:v>
                </c:pt>
                <c:pt idx="276">
                  <c:v>226</c:v>
                </c:pt>
                <c:pt idx="277">
                  <c:v>111</c:v>
                </c:pt>
                <c:pt idx="278">
                  <c:v>132</c:v>
                </c:pt>
                <c:pt idx="279">
                  <c:v>256</c:v>
                </c:pt>
                <c:pt idx="280">
                  <c:v>199</c:v>
                </c:pt>
                <c:pt idx="281">
                  <c:v>202</c:v>
                </c:pt>
                <c:pt idx="282">
                  <c:v>190</c:v>
                </c:pt>
                <c:pt idx="283">
                  <c:v>195</c:v>
                </c:pt>
                <c:pt idx="284">
                  <c:v>104</c:v>
                </c:pt>
                <c:pt idx="285">
                  <c:v>129</c:v>
                </c:pt>
                <c:pt idx="286">
                  <c:v>243</c:v>
                </c:pt>
                <c:pt idx="287">
                  <c:v>167</c:v>
                </c:pt>
                <c:pt idx="288">
                  <c:v>188</c:v>
                </c:pt>
                <c:pt idx="289">
                  <c:v>222</c:v>
                </c:pt>
                <c:pt idx="290">
                  <c:v>194</c:v>
                </c:pt>
                <c:pt idx="291">
                  <c:v>107</c:v>
                </c:pt>
                <c:pt idx="292">
                  <c:v>124</c:v>
                </c:pt>
                <c:pt idx="293">
                  <c:v>255</c:v>
                </c:pt>
                <c:pt idx="294">
                  <c:v>234</c:v>
                </c:pt>
                <c:pt idx="295">
                  <c:v>240</c:v>
                </c:pt>
                <c:pt idx="296">
                  <c:v>236</c:v>
                </c:pt>
                <c:pt idx="297">
                  <c:v>220</c:v>
                </c:pt>
                <c:pt idx="298">
                  <c:v>121</c:v>
                </c:pt>
                <c:pt idx="299">
                  <c:v>151</c:v>
                </c:pt>
                <c:pt idx="300">
                  <c:v>287</c:v>
                </c:pt>
                <c:pt idx="301">
                  <c:v>241</c:v>
                </c:pt>
                <c:pt idx="302">
                  <c:v>214</c:v>
                </c:pt>
                <c:pt idx="303">
                  <c:v>218</c:v>
                </c:pt>
                <c:pt idx="304">
                  <c:v>196</c:v>
                </c:pt>
                <c:pt idx="305">
                  <c:v>128</c:v>
                </c:pt>
                <c:pt idx="306">
                  <c:v>132</c:v>
                </c:pt>
                <c:pt idx="307">
                  <c:v>273</c:v>
                </c:pt>
                <c:pt idx="308">
                  <c:v>206</c:v>
                </c:pt>
                <c:pt idx="309">
                  <c:v>295</c:v>
                </c:pt>
                <c:pt idx="310">
                  <c:v>284</c:v>
                </c:pt>
                <c:pt idx="311">
                  <c:v>268</c:v>
                </c:pt>
                <c:pt idx="312">
                  <c:v>145</c:v>
                </c:pt>
                <c:pt idx="313">
                  <c:v>180</c:v>
                </c:pt>
                <c:pt idx="314">
                  <c:v>393</c:v>
                </c:pt>
                <c:pt idx="315">
                  <c:v>388</c:v>
                </c:pt>
                <c:pt idx="316">
                  <c:v>377</c:v>
                </c:pt>
                <c:pt idx="317">
                  <c:v>478</c:v>
                </c:pt>
                <c:pt idx="318">
                  <c:v>428</c:v>
                </c:pt>
                <c:pt idx="319">
                  <c:v>270</c:v>
                </c:pt>
                <c:pt idx="320">
                  <c:v>266</c:v>
                </c:pt>
                <c:pt idx="321">
                  <c:v>504</c:v>
                </c:pt>
                <c:pt idx="322">
                  <c:v>471</c:v>
                </c:pt>
                <c:pt idx="323">
                  <c:v>619</c:v>
                </c:pt>
                <c:pt idx="324">
                  <c:v>509</c:v>
                </c:pt>
                <c:pt idx="325">
                  <c:v>456</c:v>
                </c:pt>
                <c:pt idx="326">
                  <c:v>284</c:v>
                </c:pt>
                <c:pt idx="327">
                  <c:v>293</c:v>
                </c:pt>
                <c:pt idx="328">
                  <c:v>595</c:v>
                </c:pt>
                <c:pt idx="329">
                  <c:v>440</c:v>
                </c:pt>
                <c:pt idx="330">
                  <c:v>495</c:v>
                </c:pt>
                <c:pt idx="331">
                  <c:v>478</c:v>
                </c:pt>
                <c:pt idx="332">
                  <c:v>473</c:v>
                </c:pt>
                <c:pt idx="333">
                  <c:v>250</c:v>
                </c:pt>
                <c:pt idx="334">
                  <c:v>283</c:v>
                </c:pt>
                <c:pt idx="335">
                  <c:v>587</c:v>
                </c:pt>
                <c:pt idx="336">
                  <c:v>478</c:v>
                </c:pt>
                <c:pt idx="337">
                  <c:v>462</c:v>
                </c:pt>
                <c:pt idx="338">
                  <c:v>407</c:v>
                </c:pt>
                <c:pt idx="339">
                  <c:v>447</c:v>
                </c:pt>
                <c:pt idx="340">
                  <c:v>249</c:v>
                </c:pt>
                <c:pt idx="341">
                  <c:v>276</c:v>
                </c:pt>
                <c:pt idx="342">
                  <c:v>463</c:v>
                </c:pt>
                <c:pt idx="343">
                  <c:v>360</c:v>
                </c:pt>
                <c:pt idx="344">
                  <c:v>352</c:v>
                </c:pt>
                <c:pt idx="345">
                  <c:v>324</c:v>
                </c:pt>
                <c:pt idx="346">
                  <c:v>394</c:v>
                </c:pt>
                <c:pt idx="347">
                  <c:v>191</c:v>
                </c:pt>
                <c:pt idx="348">
                  <c:v>244</c:v>
                </c:pt>
                <c:pt idx="349">
                  <c:v>375</c:v>
                </c:pt>
                <c:pt idx="350">
                  <c:v>332</c:v>
                </c:pt>
                <c:pt idx="351">
                  <c:v>277</c:v>
                </c:pt>
                <c:pt idx="352">
                  <c:v>138</c:v>
                </c:pt>
                <c:pt idx="353">
                  <c:v>157</c:v>
                </c:pt>
                <c:pt idx="354">
                  <c:v>183</c:v>
                </c:pt>
                <c:pt idx="355">
                  <c:v>191</c:v>
                </c:pt>
                <c:pt idx="356">
                  <c:v>435</c:v>
                </c:pt>
                <c:pt idx="357">
                  <c:v>308</c:v>
                </c:pt>
                <c:pt idx="358">
                  <c:v>255</c:v>
                </c:pt>
                <c:pt idx="359">
                  <c:v>254</c:v>
                </c:pt>
                <c:pt idx="360">
                  <c:v>128</c:v>
                </c:pt>
                <c:pt idx="361">
                  <c:v>205</c:v>
                </c:pt>
                <c:pt idx="362">
                  <c:v>169</c:v>
                </c:pt>
                <c:pt idx="363">
                  <c:v>396</c:v>
                </c:pt>
                <c:pt idx="364">
                  <c:v>262</c:v>
                </c:pt>
                <c:pt idx="365">
                  <c:v>208</c:v>
                </c:pt>
                <c:pt idx="366">
                  <c:v>332</c:v>
                </c:pt>
                <c:pt idx="367">
                  <c:v>252</c:v>
                </c:pt>
                <c:pt idx="368">
                  <c:v>193</c:v>
                </c:pt>
                <c:pt idx="369">
                  <c:v>188</c:v>
                </c:pt>
                <c:pt idx="370">
                  <c:v>386</c:v>
                </c:pt>
                <c:pt idx="371">
                  <c:v>229</c:v>
                </c:pt>
                <c:pt idx="372">
                  <c:v>259</c:v>
                </c:pt>
                <c:pt idx="373">
                  <c:v>248</c:v>
                </c:pt>
                <c:pt idx="374">
                  <c:v>266</c:v>
                </c:pt>
                <c:pt idx="375">
                  <c:v>171</c:v>
                </c:pt>
                <c:pt idx="376">
                  <c:v>198</c:v>
                </c:pt>
                <c:pt idx="377">
                  <c:v>448</c:v>
                </c:pt>
                <c:pt idx="378">
                  <c:v>342</c:v>
                </c:pt>
                <c:pt idx="379">
                  <c:v>406</c:v>
                </c:pt>
                <c:pt idx="380">
                  <c:v>377</c:v>
                </c:pt>
                <c:pt idx="381">
                  <c:v>361</c:v>
                </c:pt>
                <c:pt idx="382">
                  <c:v>168</c:v>
                </c:pt>
                <c:pt idx="383">
                  <c:v>247</c:v>
                </c:pt>
                <c:pt idx="384">
                  <c:v>604</c:v>
                </c:pt>
                <c:pt idx="385">
                  <c:v>397</c:v>
                </c:pt>
                <c:pt idx="386">
                  <c:v>382</c:v>
                </c:pt>
                <c:pt idx="387">
                  <c:v>435</c:v>
                </c:pt>
                <c:pt idx="388">
                  <c:v>379</c:v>
                </c:pt>
                <c:pt idx="389">
                  <c:v>233</c:v>
                </c:pt>
                <c:pt idx="390">
                  <c:v>274</c:v>
                </c:pt>
                <c:pt idx="391">
                  <c:v>534</c:v>
                </c:pt>
                <c:pt idx="392">
                  <c:v>396</c:v>
                </c:pt>
                <c:pt idx="393">
                  <c:v>441</c:v>
                </c:pt>
                <c:pt idx="394">
                  <c:v>372</c:v>
                </c:pt>
                <c:pt idx="395">
                  <c:v>367</c:v>
                </c:pt>
                <c:pt idx="396">
                  <c:v>237</c:v>
                </c:pt>
                <c:pt idx="397">
                  <c:v>264</c:v>
                </c:pt>
                <c:pt idx="398">
                  <c:v>461</c:v>
                </c:pt>
                <c:pt idx="399">
                  <c:v>373</c:v>
                </c:pt>
                <c:pt idx="400">
                  <c:v>383</c:v>
                </c:pt>
                <c:pt idx="401">
                  <c:v>361</c:v>
                </c:pt>
                <c:pt idx="402">
                  <c:v>418</c:v>
                </c:pt>
                <c:pt idx="403">
                  <c:v>279</c:v>
                </c:pt>
                <c:pt idx="404">
                  <c:v>281</c:v>
                </c:pt>
                <c:pt idx="405">
                  <c:v>617</c:v>
                </c:pt>
                <c:pt idx="406">
                  <c:v>514</c:v>
                </c:pt>
                <c:pt idx="407">
                  <c:v>553</c:v>
                </c:pt>
                <c:pt idx="408">
                  <c:v>613</c:v>
                </c:pt>
                <c:pt idx="409">
                  <c:v>573</c:v>
                </c:pt>
                <c:pt idx="410">
                  <c:v>318</c:v>
                </c:pt>
                <c:pt idx="411">
                  <c:v>355</c:v>
                </c:pt>
                <c:pt idx="412">
                  <c:v>624</c:v>
                </c:pt>
                <c:pt idx="413">
                  <c:v>626</c:v>
                </c:pt>
                <c:pt idx="414">
                  <c:v>599</c:v>
                </c:pt>
                <c:pt idx="415">
                  <c:v>629</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8.6444007858546166E-4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2.1337126600284497E-3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5.3571428571428572E-3</c:v>
                </c:pt>
                <c:pt idx="251">
                  <c:v>6.4242160278745646E-3</c:v>
                </c:pt>
                <c:pt idx="252">
                  <c:v>3.9013617960986383E-3</c:v>
                </c:pt>
                <c:pt idx="253">
                  <c:v>3.3827131692523039E-3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1.1009500133179436E-2</c:v>
                </c:pt>
                <c:pt idx="266">
                  <c:v>1.1383909608359527E-2</c:v>
                </c:pt>
                <c:pt idx="267">
                  <c:v>1.0843451723914032E-2</c:v>
                </c:pt>
                <c:pt idx="268">
                  <c:v>1.5740893357507828E-2</c:v>
                </c:pt>
                <c:pt idx="269">
                  <c:v>1.4945652173913044E-2</c:v>
                </c:pt>
                <c:pt idx="270">
                  <c:v>1.4701024116286753E-2</c:v>
                </c:pt>
                <c:pt idx="271">
                  <c:v>1.5019281510046681E-2</c:v>
                </c:pt>
                <c:pt idx="272">
                  <c:v>2.5497239989485675E-2</c:v>
                </c:pt>
                <c:pt idx="273">
                  <c:v>1.9429382907306999E-2</c:v>
                </c:pt>
                <c:pt idx="274">
                  <c:v>1.7384388137711624E-2</c:v>
                </c:pt>
                <c:pt idx="275">
                  <c:v>1.5033666124912932E-2</c:v>
                </c:pt>
                <c:pt idx="276">
                  <c:v>1.3092341559494845E-2</c:v>
                </c:pt>
                <c:pt idx="277">
                  <c:v>7.5131988628671991E-3</c:v>
                </c:pt>
                <c:pt idx="278">
                  <c:v>1.3452914798206279E-2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1.2716961677264134E-2</c:v>
                </c:pt>
                <c:pt idx="290">
                  <c:v>1.1849499144881506E-2</c:v>
                </c:pt>
                <c:pt idx="291">
                  <c:v>9.2011350933012305E-3</c:v>
                </c:pt>
                <c:pt idx="292">
                  <c:v>1.7215049285020132E-2</c:v>
                </c:pt>
                <c:pt idx="293">
                  <c:v>2.1439381200605349E-2</c:v>
                </c:pt>
                <c:pt idx="294">
                  <c:v>1.2591476538958243E-2</c:v>
                </c:pt>
                <c:pt idx="295">
                  <c:v>1.4746543778801843E-2</c:v>
                </c:pt>
                <c:pt idx="296">
                  <c:v>1.5652981362339988E-2</c:v>
                </c:pt>
                <c:pt idx="297">
                  <c:v>1.7815207709126243E-2</c:v>
                </c:pt>
                <c:pt idx="298">
                  <c:v>1.3659968390155791E-2</c:v>
                </c:pt>
                <c:pt idx="299">
                  <c:v>2.5233957219251337E-2</c:v>
                </c:pt>
                <c:pt idx="300">
                  <c:v>2.9420809841107124E-2</c:v>
                </c:pt>
                <c:pt idx="301">
                  <c:v>1.4990358897804318E-2</c:v>
                </c:pt>
                <c:pt idx="302">
                  <c:v>1.2374949401491933E-2</c:v>
                </c:pt>
                <c:pt idx="303">
                  <c:v>1.4234410708455762E-2</c:v>
                </c:pt>
                <c:pt idx="304">
                  <c:v>1.2956107879428873E-2</c:v>
                </c:pt>
                <c:pt idx="305">
                  <c:v>1.3017390420014237E-2</c:v>
                </c:pt>
                <c:pt idx="306">
                  <c:v>2.2813688212927757E-2</c:v>
                </c:pt>
                <c:pt idx="307">
                  <c:v>2.3228111971411555E-2</c:v>
                </c:pt>
                <c:pt idx="308">
                  <c:v>1.2339762789025998E-2</c:v>
                </c:pt>
                <c:pt idx="309">
                  <c:v>1.8002074815402454E-2</c:v>
                </c:pt>
                <c:pt idx="310">
                  <c:v>1.7915720413827909E-2</c:v>
                </c:pt>
                <c:pt idx="311">
                  <c:v>2.001194743130227E-2</c:v>
                </c:pt>
                <c:pt idx="312">
                  <c:v>1.3381321520856405E-2</c:v>
                </c:pt>
                <c:pt idx="313">
                  <c:v>2.7075812274368231E-2</c:v>
                </c:pt>
                <c:pt idx="314">
                  <c:v>3.1025499328965027E-2</c:v>
                </c:pt>
                <c:pt idx="315">
                  <c:v>2.1264934780225803E-2</c:v>
                </c:pt>
                <c:pt idx="316">
                  <c:v>2.205581232083309E-2</c:v>
                </c:pt>
                <c:pt idx="317">
                  <c:v>2.8471022693430222E-2</c:v>
                </c:pt>
                <c:pt idx="318">
                  <c:v>2.4115393283750283E-2</c:v>
                </c:pt>
                <c:pt idx="319">
                  <c:v>2.0694412508622671E-2</c:v>
                </c:pt>
                <c:pt idx="320">
                  <c:v>3.0511585225969258E-2</c:v>
                </c:pt>
                <c:pt idx="321">
                  <c:v>3.4313725490196081E-2</c:v>
                </c:pt>
                <c:pt idx="322">
                  <c:v>2.2445672893633244E-2</c:v>
                </c:pt>
                <c:pt idx="323">
                  <c:v>2.6540325001071903E-2</c:v>
                </c:pt>
                <c:pt idx="324">
                  <c:v>2.3212331265961329E-2</c:v>
                </c:pt>
                <c:pt idx="325">
                  <c:v>2.1054575676424415E-2</c:v>
                </c:pt>
                <c:pt idx="326">
                  <c:v>1.7425450975579827E-2</c:v>
                </c:pt>
                <c:pt idx="327">
                  <c:v>2.1026193039110155E-2</c:v>
                </c:pt>
                <c:pt idx="328">
                  <c:v>4.0876614454520475E-2</c:v>
                </c:pt>
                <c:pt idx="329">
                  <c:v>2.1063717746182202E-2</c:v>
                </c:pt>
                <c:pt idx="330">
                  <c:v>2.0836841219060449E-2</c:v>
                </c:pt>
                <c:pt idx="331">
                  <c:v>2.1832465515666394E-2</c:v>
                </c:pt>
                <c:pt idx="332">
                  <c:v>2.1793217840029487E-2</c:v>
                </c:pt>
                <c:pt idx="333">
                  <c:v>1.3993059442516512E-2</c:v>
                </c:pt>
                <c:pt idx="334">
                  <c:v>2.4690280928284767E-2</c:v>
                </c:pt>
                <c:pt idx="335">
                  <c:v>3.7522372794681666E-2</c:v>
                </c:pt>
                <c:pt idx="336">
                  <c:v>2.2557810287871637E-2</c:v>
                </c:pt>
                <c:pt idx="337">
                  <c:v>2.1344421344421344E-2</c:v>
                </c:pt>
                <c:pt idx="338">
                  <c:v>2.1789175009368809E-2</c:v>
                </c:pt>
                <c:pt idx="339">
                  <c:v>2.3292168203845554E-2</c:v>
                </c:pt>
                <c:pt idx="340">
                  <c:v>1.7943359515745477E-2</c:v>
                </c:pt>
                <c:pt idx="341">
                  <c:v>2.6502784712886498E-2</c:v>
                </c:pt>
                <c:pt idx="342">
                  <c:v>3.048258608203305E-2</c:v>
                </c:pt>
                <c:pt idx="343">
                  <c:v>1.5908086610693768E-2</c:v>
                </c:pt>
                <c:pt idx="344">
                  <c:v>1.8953262976523798E-2</c:v>
                </c:pt>
                <c:pt idx="345">
                  <c:v>1.5851272015655577E-2</c:v>
                </c:pt>
                <c:pt idx="346">
                  <c:v>1.9945327528601803E-2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3.743223474743998E-2</c:v>
                </c:pt>
                <c:pt idx="357">
                  <c:v>1.9587891121851945E-2</c:v>
                </c:pt>
                <c:pt idx="358">
                  <c:v>1.7804775869291998E-2</c:v>
                </c:pt>
                <c:pt idx="359">
                  <c:v>2.1212627359278438E-2</c:v>
                </c:pt>
                <c:pt idx="360">
                  <c:v>1.8743593498316006E-2</c:v>
                </c:pt>
                <c:pt idx="361">
                  <c:v>3.6066150598170303E-2</c:v>
                </c:pt>
                <c:pt idx="362">
                  <c:v>2.6020015396458814E-2</c:v>
                </c:pt>
                <c:pt idx="363">
                  <c:v>3.7089069963472887E-2</c:v>
                </c:pt>
                <c:pt idx="364">
                  <c:v>1.7488819170949872E-2</c:v>
                </c:pt>
                <c:pt idx="365">
                  <c:v>1.9151091059755088E-2</c:v>
                </c:pt>
                <c:pt idx="366">
                  <c:v>3.6991643454038999E-2</c:v>
                </c:pt>
                <c:pt idx="367">
                  <c:v>1.8340611353711789E-2</c:v>
                </c:pt>
                <c:pt idx="368">
                  <c:v>2.0597652081109925E-2</c:v>
                </c:pt>
                <c:pt idx="369">
                  <c:v>2.8918627903399476E-2</c:v>
                </c:pt>
                <c:pt idx="370">
                  <c:v>4.1173333333333333E-2</c:v>
                </c:pt>
                <c:pt idx="371">
                  <c:v>1.5869715869715868E-2</c:v>
                </c:pt>
                <c:pt idx="372">
                  <c:v>1.9967620075553156E-2</c:v>
                </c:pt>
                <c:pt idx="373">
                  <c:v>2.3050469374477182E-2</c:v>
                </c:pt>
                <c:pt idx="374">
                  <c:v>2.3773348824738583E-2</c:v>
                </c:pt>
                <c:pt idx="375">
                  <c:v>1.8341735492867103E-2</c:v>
                </c:pt>
                <c:pt idx="376">
                  <c:v>3.8372093023255817E-2</c:v>
                </c:pt>
                <c:pt idx="377">
                  <c:v>4.7827479449129927E-2</c:v>
                </c:pt>
                <c:pt idx="378">
                  <c:v>2.0270270270270271E-2</c:v>
                </c:pt>
                <c:pt idx="379">
                  <c:v>2.5705964290236798E-2</c:v>
                </c:pt>
                <c:pt idx="380">
                  <c:v>2.3942588593928615E-2</c:v>
                </c:pt>
                <c:pt idx="381">
                  <c:v>2.1412895189513021E-2</c:v>
                </c:pt>
                <c:pt idx="382">
                  <c:v>1.4588398749565822E-2</c:v>
                </c:pt>
                <c:pt idx="383">
                  <c:v>2.8704241719930274E-2</c:v>
                </c:pt>
                <c:pt idx="384">
                  <c:v>5.3267483905106272E-2</c:v>
                </c:pt>
                <c:pt idx="385">
                  <c:v>1.9851985198519852E-2</c:v>
                </c:pt>
                <c:pt idx="386">
                  <c:v>2.3101112723754234E-2</c:v>
                </c:pt>
                <c:pt idx="387">
                  <c:v>2.6252263126131561E-2</c:v>
                </c:pt>
                <c:pt idx="388">
                  <c:v>2.0315180102915952E-2</c:v>
                </c:pt>
                <c:pt idx="389">
                  <c:v>1.8840462521225843E-2</c:v>
                </c:pt>
                <c:pt idx="390">
                  <c:v>2.5890579230841915E-2</c:v>
                </c:pt>
                <c:pt idx="391">
                  <c:v>4.1695947528695244E-2</c:v>
                </c:pt>
                <c:pt idx="392">
                  <c:v>2.0205112505740089E-2</c:v>
                </c:pt>
                <c:pt idx="393">
                  <c:v>1.9340408736075784E-2</c:v>
                </c:pt>
                <c:pt idx="394">
                  <c:v>1.91980182690819E-2</c:v>
                </c:pt>
                <c:pt idx="395">
                  <c:v>2.0438850523501893E-2</c:v>
                </c:pt>
                <c:pt idx="396">
                  <c:v>1.6828800681672938E-2</c:v>
                </c:pt>
                <c:pt idx="397">
                  <c:v>2.9310536249583657E-2</c:v>
                </c:pt>
                <c:pt idx="398">
                  <c:v>3.3072673792955018E-2</c:v>
                </c:pt>
                <c:pt idx="399">
                  <c:v>1.7053767373811264E-2</c:v>
                </c:pt>
                <c:pt idx="400">
                  <c:v>1.8576001552041903E-2</c:v>
                </c:pt>
                <c:pt idx="401">
                  <c:v>1.9286248530825945E-2</c:v>
                </c:pt>
                <c:pt idx="402">
                  <c:v>2.2690261643686895E-2</c:v>
                </c:pt>
                <c:pt idx="403">
                  <c:v>2.1885786005647945E-2</c:v>
                </c:pt>
                <c:pt idx="404">
                  <c:v>2.9209979209979212E-2</c:v>
                </c:pt>
                <c:pt idx="405">
                  <c:v>4.2681239623685668E-2</c:v>
                </c:pt>
                <c:pt idx="406">
                  <c:v>2.3844869177955093E-2</c:v>
                </c:pt>
                <c:pt idx="407">
                  <c:v>2.7175782593739251E-2</c:v>
                </c:pt>
                <c:pt idx="408">
                  <c:v>2.9023247005350125E-2</c:v>
                </c:pt>
                <c:pt idx="409">
                  <c:v>2.9743057357902933E-2</c:v>
                </c:pt>
                <c:pt idx="410">
                  <c:v>2.0173824779547041E-2</c:v>
                </c:pt>
                <c:pt idx="411">
                  <c:v>3.1449326718639266E-2</c:v>
                </c:pt>
                <c:pt idx="412">
                  <c:v>3.0331016380693143E-2</c:v>
                </c:pt>
                <c:pt idx="413">
                  <c:v>2.996362243921118E-2</c:v>
                </c:pt>
                <c:pt idx="414">
                  <c:v>2.506276150627615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13.12.2021 saakka. Suurin arvo 2319, joka 13.12.2021. Uusimpien 4 päivien arvot tulevat viiveellä, joten ne on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71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pt idx="677">
                  <c:v>2021-W45</c:v>
                </c:pt>
                <c:pt idx="684">
                  <c:v>2021-W46</c:v>
                </c:pt>
                <c:pt idx="691">
                  <c:v>2021-W47</c:v>
                </c:pt>
                <c:pt idx="698">
                  <c:v>2021-W48</c:v>
                </c:pt>
                <c:pt idx="705">
                  <c:v>2021-W49</c:v>
                </c:pt>
                <c:pt idx="712">
                  <c:v>2021-W50</c:v>
                </c:pt>
              </c:strCache>
            </c:strRef>
          </c:cat>
          <c:val>
            <c:numRef>
              <c:f>[0]!PlotY</c:f>
              <c:numCache>
                <c:formatCode>General</c:formatCode>
                <c:ptCount val="7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45</c:v>
                </c:pt>
                <c:pt idx="257">
                  <c:v>59</c:v>
                </c:pt>
                <c:pt idx="258">
                  <c:v>53</c:v>
                </c:pt>
                <c:pt idx="259">
                  <c:v>58</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301</c:v>
                </c:pt>
                <c:pt idx="280">
                  <c:v>306</c:v>
                </c:pt>
                <c:pt idx="281">
                  <c:v>259</c:v>
                </c:pt>
                <c:pt idx="282">
                  <c:v>226</c:v>
                </c:pt>
                <c:pt idx="283">
                  <c:v>111</c:v>
                </c:pt>
                <c:pt idx="284">
                  <c:v>132</c:v>
                </c:pt>
                <c:pt idx="285">
                  <c:v>256</c:v>
                </c:pt>
                <c:pt idx="286">
                  <c:v>199</c:v>
                </c:pt>
                <c:pt idx="287">
                  <c:v>202</c:v>
                </c:pt>
                <c:pt idx="288">
                  <c:v>190</c:v>
                </c:pt>
                <c:pt idx="289">
                  <c:v>195</c:v>
                </c:pt>
                <c:pt idx="290">
                  <c:v>104</c:v>
                </c:pt>
                <c:pt idx="291">
                  <c:v>129</c:v>
                </c:pt>
                <c:pt idx="292">
                  <c:v>243</c:v>
                </c:pt>
                <c:pt idx="293">
                  <c:v>167</c:v>
                </c:pt>
                <c:pt idx="294">
                  <c:v>188</c:v>
                </c:pt>
                <c:pt idx="295">
                  <c:v>222</c:v>
                </c:pt>
                <c:pt idx="296">
                  <c:v>194</c:v>
                </c:pt>
                <c:pt idx="297">
                  <c:v>107</c:v>
                </c:pt>
                <c:pt idx="298">
                  <c:v>124</c:v>
                </c:pt>
                <c:pt idx="299">
                  <c:v>255</c:v>
                </c:pt>
                <c:pt idx="300">
                  <c:v>234</c:v>
                </c:pt>
                <c:pt idx="301">
                  <c:v>240</c:v>
                </c:pt>
                <c:pt idx="302">
                  <c:v>236</c:v>
                </c:pt>
                <c:pt idx="303">
                  <c:v>220</c:v>
                </c:pt>
                <c:pt idx="304">
                  <c:v>121</c:v>
                </c:pt>
                <c:pt idx="305">
                  <c:v>151</c:v>
                </c:pt>
                <c:pt idx="306">
                  <c:v>287</c:v>
                </c:pt>
                <c:pt idx="307">
                  <c:v>241</c:v>
                </c:pt>
                <c:pt idx="308">
                  <c:v>214</c:v>
                </c:pt>
                <c:pt idx="309">
                  <c:v>218</c:v>
                </c:pt>
                <c:pt idx="310">
                  <c:v>196</c:v>
                </c:pt>
                <c:pt idx="311">
                  <c:v>128</c:v>
                </c:pt>
                <c:pt idx="312">
                  <c:v>132</c:v>
                </c:pt>
                <c:pt idx="313">
                  <c:v>273</c:v>
                </c:pt>
                <c:pt idx="314">
                  <c:v>206</c:v>
                </c:pt>
                <c:pt idx="315">
                  <c:v>295</c:v>
                </c:pt>
                <c:pt idx="316">
                  <c:v>284</c:v>
                </c:pt>
                <c:pt idx="317">
                  <c:v>268</c:v>
                </c:pt>
                <c:pt idx="318">
                  <c:v>145</c:v>
                </c:pt>
                <c:pt idx="319">
                  <c:v>180</c:v>
                </c:pt>
                <c:pt idx="320">
                  <c:v>393</c:v>
                </c:pt>
                <c:pt idx="321">
                  <c:v>388</c:v>
                </c:pt>
                <c:pt idx="322">
                  <c:v>377</c:v>
                </c:pt>
                <c:pt idx="323">
                  <c:v>478</c:v>
                </c:pt>
                <c:pt idx="324">
                  <c:v>428</c:v>
                </c:pt>
                <c:pt idx="325">
                  <c:v>270</c:v>
                </c:pt>
                <c:pt idx="326">
                  <c:v>266</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283</c:v>
                </c:pt>
                <c:pt idx="341">
                  <c:v>587</c:v>
                </c:pt>
                <c:pt idx="342">
                  <c:v>478</c:v>
                </c:pt>
                <c:pt idx="343">
                  <c:v>462</c:v>
                </c:pt>
                <c:pt idx="344">
                  <c:v>407</c:v>
                </c:pt>
                <c:pt idx="345">
                  <c:v>447</c:v>
                </c:pt>
                <c:pt idx="346">
                  <c:v>249</c:v>
                </c:pt>
                <c:pt idx="347">
                  <c:v>276</c:v>
                </c:pt>
                <c:pt idx="348">
                  <c:v>463</c:v>
                </c:pt>
                <c:pt idx="349">
                  <c:v>360</c:v>
                </c:pt>
                <c:pt idx="350">
                  <c:v>352</c:v>
                </c:pt>
                <c:pt idx="351">
                  <c:v>324</c:v>
                </c:pt>
                <c:pt idx="352">
                  <c:v>394</c:v>
                </c:pt>
                <c:pt idx="353">
                  <c:v>191</c:v>
                </c:pt>
                <c:pt idx="354">
                  <c:v>244</c:v>
                </c:pt>
                <c:pt idx="355">
                  <c:v>375</c:v>
                </c:pt>
                <c:pt idx="356">
                  <c:v>332</c:v>
                </c:pt>
                <c:pt idx="357">
                  <c:v>277</c:v>
                </c:pt>
                <c:pt idx="358">
                  <c:v>138</c:v>
                </c:pt>
                <c:pt idx="359">
                  <c:v>157</c:v>
                </c:pt>
                <c:pt idx="360">
                  <c:v>183</c:v>
                </c:pt>
                <c:pt idx="361">
                  <c:v>191</c:v>
                </c:pt>
                <c:pt idx="362">
                  <c:v>435</c:v>
                </c:pt>
                <c:pt idx="363">
                  <c:v>308</c:v>
                </c:pt>
                <c:pt idx="364">
                  <c:v>255</c:v>
                </c:pt>
                <c:pt idx="365">
                  <c:v>254</c:v>
                </c:pt>
                <c:pt idx="366">
                  <c:v>128</c:v>
                </c:pt>
                <c:pt idx="367">
                  <c:v>205</c:v>
                </c:pt>
                <c:pt idx="368">
                  <c:v>169</c:v>
                </c:pt>
                <c:pt idx="369">
                  <c:v>396</c:v>
                </c:pt>
                <c:pt idx="370">
                  <c:v>262</c:v>
                </c:pt>
                <c:pt idx="371">
                  <c:v>208</c:v>
                </c:pt>
                <c:pt idx="372">
                  <c:v>332</c:v>
                </c:pt>
                <c:pt idx="373">
                  <c:v>252</c:v>
                </c:pt>
                <c:pt idx="374">
                  <c:v>193</c:v>
                </c:pt>
                <c:pt idx="375">
                  <c:v>188</c:v>
                </c:pt>
                <c:pt idx="376">
                  <c:v>386</c:v>
                </c:pt>
                <c:pt idx="377">
                  <c:v>229</c:v>
                </c:pt>
                <c:pt idx="378">
                  <c:v>259</c:v>
                </c:pt>
                <c:pt idx="379">
                  <c:v>248</c:v>
                </c:pt>
                <c:pt idx="380">
                  <c:v>266</c:v>
                </c:pt>
                <c:pt idx="381">
                  <c:v>171</c:v>
                </c:pt>
                <c:pt idx="382">
                  <c:v>198</c:v>
                </c:pt>
                <c:pt idx="383">
                  <c:v>448</c:v>
                </c:pt>
                <c:pt idx="384">
                  <c:v>342</c:v>
                </c:pt>
                <c:pt idx="385">
                  <c:v>406</c:v>
                </c:pt>
                <c:pt idx="386">
                  <c:v>377</c:v>
                </c:pt>
                <c:pt idx="387">
                  <c:v>361</c:v>
                </c:pt>
                <c:pt idx="388">
                  <c:v>168</c:v>
                </c:pt>
                <c:pt idx="389">
                  <c:v>247</c:v>
                </c:pt>
                <c:pt idx="390">
                  <c:v>604</c:v>
                </c:pt>
                <c:pt idx="391">
                  <c:v>397</c:v>
                </c:pt>
                <c:pt idx="392">
                  <c:v>382</c:v>
                </c:pt>
                <c:pt idx="393">
                  <c:v>435</c:v>
                </c:pt>
                <c:pt idx="394">
                  <c:v>379</c:v>
                </c:pt>
                <c:pt idx="395">
                  <c:v>233</c:v>
                </c:pt>
                <c:pt idx="396">
                  <c:v>274</c:v>
                </c:pt>
                <c:pt idx="397">
                  <c:v>534</c:v>
                </c:pt>
                <c:pt idx="398">
                  <c:v>396</c:v>
                </c:pt>
                <c:pt idx="399">
                  <c:v>441</c:v>
                </c:pt>
                <c:pt idx="400">
                  <c:v>372</c:v>
                </c:pt>
                <c:pt idx="401">
                  <c:v>367</c:v>
                </c:pt>
                <c:pt idx="402">
                  <c:v>237</c:v>
                </c:pt>
                <c:pt idx="403">
                  <c:v>264</c:v>
                </c:pt>
                <c:pt idx="404">
                  <c:v>461</c:v>
                </c:pt>
                <c:pt idx="405">
                  <c:v>373</c:v>
                </c:pt>
                <c:pt idx="406">
                  <c:v>383</c:v>
                </c:pt>
                <c:pt idx="407">
                  <c:v>361</c:v>
                </c:pt>
                <c:pt idx="408">
                  <c:v>418</c:v>
                </c:pt>
                <c:pt idx="409">
                  <c:v>279</c:v>
                </c:pt>
                <c:pt idx="410">
                  <c:v>281</c:v>
                </c:pt>
                <c:pt idx="411">
                  <c:v>617</c:v>
                </c:pt>
                <c:pt idx="412">
                  <c:v>514</c:v>
                </c:pt>
                <c:pt idx="413">
                  <c:v>553</c:v>
                </c:pt>
                <c:pt idx="414">
                  <c:v>613</c:v>
                </c:pt>
                <c:pt idx="415">
                  <c:v>573</c:v>
                </c:pt>
                <c:pt idx="416">
                  <c:v>318</c:v>
                </c:pt>
                <c:pt idx="417">
                  <c:v>355</c:v>
                </c:pt>
                <c:pt idx="418">
                  <c:v>624</c:v>
                </c:pt>
                <c:pt idx="419">
                  <c:v>626</c:v>
                </c:pt>
                <c:pt idx="420">
                  <c:v>599</c:v>
                </c:pt>
                <c:pt idx="421">
                  <c:v>629</c:v>
                </c:pt>
                <c:pt idx="422">
                  <c:v>688</c:v>
                </c:pt>
                <c:pt idx="423">
                  <c:v>405</c:v>
                </c:pt>
                <c:pt idx="424">
                  <c:v>422</c:v>
                </c:pt>
                <c:pt idx="425">
                  <c:v>873</c:v>
                </c:pt>
                <c:pt idx="426">
                  <c:v>758</c:v>
                </c:pt>
                <c:pt idx="427">
                  <c:v>733</c:v>
                </c:pt>
                <c:pt idx="428">
                  <c:v>639</c:v>
                </c:pt>
                <c:pt idx="429">
                  <c:v>630</c:v>
                </c:pt>
                <c:pt idx="430">
                  <c:v>433</c:v>
                </c:pt>
                <c:pt idx="431">
                  <c:v>396</c:v>
                </c:pt>
                <c:pt idx="432">
                  <c:v>834</c:v>
                </c:pt>
                <c:pt idx="433">
                  <c:v>773</c:v>
                </c:pt>
                <c:pt idx="434">
                  <c:v>822</c:v>
                </c:pt>
                <c:pt idx="435">
                  <c:v>780</c:v>
                </c:pt>
                <c:pt idx="436">
                  <c:v>808</c:v>
                </c:pt>
                <c:pt idx="437">
                  <c:v>495</c:v>
                </c:pt>
                <c:pt idx="438">
                  <c:v>435</c:v>
                </c:pt>
                <c:pt idx="439">
                  <c:v>893</c:v>
                </c:pt>
                <c:pt idx="440">
                  <c:v>767</c:v>
                </c:pt>
                <c:pt idx="441">
                  <c:v>744</c:v>
                </c:pt>
                <c:pt idx="442">
                  <c:v>739</c:v>
                </c:pt>
                <c:pt idx="443">
                  <c:v>745</c:v>
                </c:pt>
                <c:pt idx="444">
                  <c:v>404</c:v>
                </c:pt>
                <c:pt idx="445">
                  <c:v>420</c:v>
                </c:pt>
                <c:pt idx="446">
                  <c:v>768</c:v>
                </c:pt>
                <c:pt idx="447">
                  <c:v>704</c:v>
                </c:pt>
                <c:pt idx="448">
                  <c:v>695</c:v>
                </c:pt>
                <c:pt idx="449">
                  <c:v>606</c:v>
                </c:pt>
                <c:pt idx="450">
                  <c:v>688</c:v>
                </c:pt>
                <c:pt idx="451">
                  <c:v>352</c:v>
                </c:pt>
                <c:pt idx="452">
                  <c:v>376</c:v>
                </c:pt>
                <c:pt idx="453">
                  <c:v>655</c:v>
                </c:pt>
                <c:pt idx="454">
                  <c:v>572</c:v>
                </c:pt>
                <c:pt idx="455">
                  <c:v>550</c:v>
                </c:pt>
                <c:pt idx="456">
                  <c:v>486</c:v>
                </c:pt>
                <c:pt idx="457">
                  <c:v>361</c:v>
                </c:pt>
                <c:pt idx="458">
                  <c:v>324</c:v>
                </c:pt>
                <c:pt idx="459">
                  <c:v>322</c:v>
                </c:pt>
                <c:pt idx="460">
                  <c:v>360</c:v>
                </c:pt>
                <c:pt idx="461">
                  <c:v>544</c:v>
                </c:pt>
                <c:pt idx="462">
                  <c:v>426</c:v>
                </c:pt>
                <c:pt idx="463">
                  <c:v>407</c:v>
                </c:pt>
                <c:pt idx="464">
                  <c:v>352</c:v>
                </c:pt>
                <c:pt idx="465">
                  <c:v>227</c:v>
                </c:pt>
                <c:pt idx="466">
                  <c:v>240</c:v>
                </c:pt>
                <c:pt idx="467">
                  <c:v>399</c:v>
                </c:pt>
                <c:pt idx="468">
                  <c:v>323</c:v>
                </c:pt>
                <c:pt idx="469">
                  <c:v>344</c:v>
                </c:pt>
                <c:pt idx="470">
                  <c:v>274</c:v>
                </c:pt>
                <c:pt idx="471">
                  <c:v>265</c:v>
                </c:pt>
                <c:pt idx="472">
                  <c:v>172</c:v>
                </c:pt>
                <c:pt idx="473">
                  <c:v>156</c:v>
                </c:pt>
                <c:pt idx="474">
                  <c:v>286</c:v>
                </c:pt>
                <c:pt idx="475">
                  <c:v>286</c:v>
                </c:pt>
                <c:pt idx="476">
                  <c:v>233</c:v>
                </c:pt>
                <c:pt idx="477">
                  <c:v>257</c:v>
                </c:pt>
                <c:pt idx="478">
                  <c:v>255</c:v>
                </c:pt>
                <c:pt idx="479">
                  <c:v>155</c:v>
                </c:pt>
                <c:pt idx="480">
                  <c:v>140</c:v>
                </c:pt>
                <c:pt idx="481">
                  <c:v>242</c:v>
                </c:pt>
                <c:pt idx="482">
                  <c:v>229</c:v>
                </c:pt>
                <c:pt idx="483">
                  <c:v>274</c:v>
                </c:pt>
                <c:pt idx="484">
                  <c:v>201</c:v>
                </c:pt>
                <c:pt idx="485">
                  <c:v>197</c:v>
                </c:pt>
                <c:pt idx="486">
                  <c:v>109</c:v>
                </c:pt>
                <c:pt idx="487">
                  <c:v>135</c:v>
                </c:pt>
                <c:pt idx="488">
                  <c:v>318</c:v>
                </c:pt>
                <c:pt idx="489">
                  <c:v>206</c:v>
                </c:pt>
                <c:pt idx="490">
                  <c:v>265</c:v>
                </c:pt>
                <c:pt idx="491">
                  <c:v>239</c:v>
                </c:pt>
                <c:pt idx="492">
                  <c:v>214</c:v>
                </c:pt>
                <c:pt idx="493">
                  <c:v>134</c:v>
                </c:pt>
                <c:pt idx="494">
                  <c:v>130</c:v>
                </c:pt>
                <c:pt idx="495">
                  <c:v>257</c:v>
                </c:pt>
                <c:pt idx="496">
                  <c:v>215</c:v>
                </c:pt>
                <c:pt idx="497">
                  <c:v>256</c:v>
                </c:pt>
                <c:pt idx="498">
                  <c:v>157</c:v>
                </c:pt>
                <c:pt idx="499">
                  <c:v>249</c:v>
                </c:pt>
                <c:pt idx="500">
                  <c:v>164</c:v>
                </c:pt>
                <c:pt idx="501">
                  <c:v>134</c:v>
                </c:pt>
                <c:pt idx="502">
                  <c:v>285</c:v>
                </c:pt>
                <c:pt idx="503">
                  <c:v>217</c:v>
                </c:pt>
                <c:pt idx="504">
                  <c:v>231</c:v>
                </c:pt>
                <c:pt idx="505">
                  <c:v>217</c:v>
                </c:pt>
                <c:pt idx="506">
                  <c:v>168</c:v>
                </c:pt>
                <c:pt idx="507">
                  <c:v>108</c:v>
                </c:pt>
                <c:pt idx="508">
                  <c:v>93</c:v>
                </c:pt>
                <c:pt idx="509">
                  <c:v>188</c:v>
                </c:pt>
                <c:pt idx="510">
                  <c:v>153</c:v>
                </c:pt>
                <c:pt idx="511">
                  <c:v>143</c:v>
                </c:pt>
                <c:pt idx="512">
                  <c:v>127</c:v>
                </c:pt>
                <c:pt idx="513">
                  <c:v>136</c:v>
                </c:pt>
                <c:pt idx="514">
                  <c:v>64</c:v>
                </c:pt>
                <c:pt idx="515">
                  <c:v>79</c:v>
                </c:pt>
                <c:pt idx="516">
                  <c:v>151</c:v>
                </c:pt>
                <c:pt idx="517">
                  <c:v>121</c:v>
                </c:pt>
                <c:pt idx="518">
                  <c:v>119</c:v>
                </c:pt>
                <c:pt idx="519">
                  <c:v>111</c:v>
                </c:pt>
                <c:pt idx="520">
                  <c:v>103</c:v>
                </c:pt>
                <c:pt idx="521">
                  <c:v>64</c:v>
                </c:pt>
                <c:pt idx="522">
                  <c:v>60</c:v>
                </c:pt>
                <c:pt idx="523">
                  <c:v>139</c:v>
                </c:pt>
                <c:pt idx="524">
                  <c:v>101</c:v>
                </c:pt>
                <c:pt idx="525">
                  <c:v>81</c:v>
                </c:pt>
                <c:pt idx="526">
                  <c:v>73</c:v>
                </c:pt>
                <c:pt idx="527">
                  <c:v>70</c:v>
                </c:pt>
                <c:pt idx="528">
                  <c:v>46</c:v>
                </c:pt>
                <c:pt idx="529">
                  <c:v>48</c:v>
                </c:pt>
                <c:pt idx="530">
                  <c:v>93</c:v>
                </c:pt>
                <c:pt idx="531">
                  <c:v>78</c:v>
                </c:pt>
                <c:pt idx="532">
                  <c:v>64</c:v>
                </c:pt>
                <c:pt idx="533">
                  <c:v>91</c:v>
                </c:pt>
                <c:pt idx="534">
                  <c:v>81</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132</c:v>
                </c:pt>
                <c:pt idx="550">
                  <c:v>108</c:v>
                </c:pt>
                <c:pt idx="551">
                  <c:v>244</c:v>
                </c:pt>
                <c:pt idx="552">
                  <c:v>260</c:v>
                </c:pt>
                <c:pt idx="553">
                  <c:v>292</c:v>
                </c:pt>
                <c:pt idx="554">
                  <c:v>285</c:v>
                </c:pt>
                <c:pt idx="555">
                  <c:v>309</c:v>
                </c:pt>
                <c:pt idx="556">
                  <c:v>149</c:v>
                </c:pt>
                <c:pt idx="557">
                  <c:v>160</c:v>
                </c:pt>
                <c:pt idx="558">
                  <c:v>330</c:v>
                </c:pt>
                <c:pt idx="559">
                  <c:v>342</c:v>
                </c:pt>
                <c:pt idx="560">
                  <c:v>385</c:v>
                </c:pt>
                <c:pt idx="561">
                  <c:v>382</c:v>
                </c:pt>
                <c:pt idx="562">
                  <c:v>355</c:v>
                </c:pt>
                <c:pt idx="563">
                  <c:v>206</c:v>
                </c:pt>
                <c:pt idx="564">
                  <c:v>249</c:v>
                </c:pt>
                <c:pt idx="565">
                  <c:v>422</c:v>
                </c:pt>
                <c:pt idx="566">
                  <c:v>424</c:v>
                </c:pt>
                <c:pt idx="567">
                  <c:v>468</c:v>
                </c:pt>
                <c:pt idx="568">
                  <c:v>487</c:v>
                </c:pt>
                <c:pt idx="569">
                  <c:v>478</c:v>
                </c:pt>
                <c:pt idx="570">
                  <c:v>301</c:v>
                </c:pt>
                <c:pt idx="571">
                  <c:v>352</c:v>
                </c:pt>
                <c:pt idx="572">
                  <c:v>770</c:v>
                </c:pt>
                <c:pt idx="573">
                  <c:v>724</c:v>
                </c:pt>
                <c:pt idx="574">
                  <c:v>810</c:v>
                </c:pt>
                <c:pt idx="575">
                  <c:v>772</c:v>
                </c:pt>
                <c:pt idx="576">
                  <c:v>697</c:v>
                </c:pt>
                <c:pt idx="577">
                  <c:v>408</c:v>
                </c:pt>
                <c:pt idx="578">
                  <c:v>477</c:v>
                </c:pt>
                <c:pt idx="579">
                  <c:v>893</c:v>
                </c:pt>
                <c:pt idx="580">
                  <c:v>840</c:v>
                </c:pt>
                <c:pt idx="581">
                  <c:v>784</c:v>
                </c:pt>
                <c:pt idx="582">
                  <c:v>876</c:v>
                </c:pt>
                <c:pt idx="583">
                  <c:v>684</c:v>
                </c:pt>
                <c:pt idx="584">
                  <c:v>486</c:v>
                </c:pt>
                <c:pt idx="585">
                  <c:v>537</c:v>
                </c:pt>
                <c:pt idx="586">
                  <c:v>1037</c:v>
                </c:pt>
                <c:pt idx="587">
                  <c:v>826</c:v>
                </c:pt>
                <c:pt idx="588">
                  <c:v>925</c:v>
                </c:pt>
                <c:pt idx="589">
                  <c:v>789</c:v>
                </c:pt>
                <c:pt idx="590">
                  <c:v>740</c:v>
                </c:pt>
                <c:pt idx="591">
                  <c:v>426</c:v>
                </c:pt>
                <c:pt idx="592">
                  <c:v>445</c:v>
                </c:pt>
                <c:pt idx="593">
                  <c:v>768</c:v>
                </c:pt>
                <c:pt idx="594">
                  <c:v>741</c:v>
                </c:pt>
                <c:pt idx="595">
                  <c:v>708</c:v>
                </c:pt>
                <c:pt idx="596">
                  <c:v>671</c:v>
                </c:pt>
                <c:pt idx="597">
                  <c:v>655</c:v>
                </c:pt>
                <c:pt idx="598">
                  <c:v>398</c:v>
                </c:pt>
                <c:pt idx="599">
                  <c:v>457</c:v>
                </c:pt>
                <c:pt idx="600">
                  <c:v>682</c:v>
                </c:pt>
                <c:pt idx="601">
                  <c:v>609</c:v>
                </c:pt>
                <c:pt idx="602">
                  <c:v>699</c:v>
                </c:pt>
                <c:pt idx="603">
                  <c:v>611</c:v>
                </c:pt>
                <c:pt idx="604">
                  <c:v>706</c:v>
                </c:pt>
                <c:pt idx="605">
                  <c:v>439</c:v>
                </c:pt>
                <c:pt idx="606">
                  <c:v>464</c:v>
                </c:pt>
                <c:pt idx="607">
                  <c:v>744</c:v>
                </c:pt>
                <c:pt idx="608">
                  <c:v>650</c:v>
                </c:pt>
                <c:pt idx="609">
                  <c:v>648</c:v>
                </c:pt>
                <c:pt idx="610">
                  <c:v>651</c:v>
                </c:pt>
                <c:pt idx="611">
                  <c:v>520</c:v>
                </c:pt>
                <c:pt idx="612">
                  <c:v>336</c:v>
                </c:pt>
                <c:pt idx="613">
                  <c:v>346</c:v>
                </c:pt>
                <c:pt idx="614">
                  <c:v>581</c:v>
                </c:pt>
                <c:pt idx="615">
                  <c:v>523</c:v>
                </c:pt>
                <c:pt idx="616">
                  <c:v>482</c:v>
                </c:pt>
                <c:pt idx="617">
                  <c:v>459</c:v>
                </c:pt>
                <c:pt idx="618">
                  <c:v>496</c:v>
                </c:pt>
                <c:pt idx="619">
                  <c:v>329</c:v>
                </c:pt>
                <c:pt idx="620">
                  <c:v>283</c:v>
                </c:pt>
                <c:pt idx="621">
                  <c:v>535</c:v>
                </c:pt>
                <c:pt idx="622">
                  <c:v>481</c:v>
                </c:pt>
                <c:pt idx="623">
                  <c:v>454</c:v>
                </c:pt>
                <c:pt idx="624">
                  <c:v>437</c:v>
                </c:pt>
                <c:pt idx="625">
                  <c:v>389</c:v>
                </c:pt>
                <c:pt idx="626">
                  <c:v>240</c:v>
                </c:pt>
                <c:pt idx="627">
                  <c:v>285</c:v>
                </c:pt>
                <c:pt idx="628">
                  <c:v>489</c:v>
                </c:pt>
                <c:pt idx="629">
                  <c:v>489</c:v>
                </c:pt>
                <c:pt idx="630">
                  <c:v>483</c:v>
                </c:pt>
                <c:pt idx="631">
                  <c:v>479</c:v>
                </c:pt>
                <c:pt idx="632">
                  <c:v>424</c:v>
                </c:pt>
                <c:pt idx="633">
                  <c:v>298</c:v>
                </c:pt>
                <c:pt idx="634">
                  <c:v>354</c:v>
                </c:pt>
                <c:pt idx="635">
                  <c:v>684</c:v>
                </c:pt>
                <c:pt idx="636">
                  <c:v>643</c:v>
                </c:pt>
                <c:pt idx="637">
                  <c:v>669</c:v>
                </c:pt>
                <c:pt idx="638">
                  <c:v>618</c:v>
                </c:pt>
                <c:pt idx="639">
                  <c:v>531</c:v>
                </c:pt>
                <c:pt idx="640">
                  <c:v>355</c:v>
                </c:pt>
                <c:pt idx="641">
                  <c:v>383</c:v>
                </c:pt>
                <c:pt idx="642">
                  <c:v>742</c:v>
                </c:pt>
                <c:pt idx="643">
                  <c:v>729</c:v>
                </c:pt>
                <c:pt idx="644">
                  <c:v>746</c:v>
                </c:pt>
                <c:pt idx="645">
                  <c:v>611</c:v>
                </c:pt>
                <c:pt idx="646">
                  <c:v>596</c:v>
                </c:pt>
                <c:pt idx="647">
                  <c:v>426</c:v>
                </c:pt>
                <c:pt idx="648">
                  <c:v>399</c:v>
                </c:pt>
                <c:pt idx="649">
                  <c:v>691</c:v>
                </c:pt>
                <c:pt idx="650">
                  <c:v>610</c:v>
                </c:pt>
                <c:pt idx="651">
                  <c:v>638</c:v>
                </c:pt>
                <c:pt idx="652">
                  <c:v>557</c:v>
                </c:pt>
                <c:pt idx="653">
                  <c:v>562</c:v>
                </c:pt>
                <c:pt idx="654">
                  <c:v>344</c:v>
                </c:pt>
                <c:pt idx="655">
                  <c:v>320</c:v>
                </c:pt>
                <c:pt idx="656">
                  <c:v>661</c:v>
                </c:pt>
                <c:pt idx="657">
                  <c:v>550</c:v>
                </c:pt>
                <c:pt idx="658">
                  <c:v>516</c:v>
                </c:pt>
                <c:pt idx="659">
                  <c:v>623</c:v>
                </c:pt>
                <c:pt idx="660">
                  <c:v>580</c:v>
                </c:pt>
                <c:pt idx="661">
                  <c:v>374</c:v>
                </c:pt>
                <c:pt idx="662">
                  <c:v>389</c:v>
                </c:pt>
                <c:pt idx="663">
                  <c:v>793</c:v>
                </c:pt>
                <c:pt idx="664">
                  <c:v>679</c:v>
                </c:pt>
                <c:pt idx="665">
                  <c:v>640</c:v>
                </c:pt>
                <c:pt idx="666">
                  <c:v>589</c:v>
                </c:pt>
                <c:pt idx="667">
                  <c:v>656</c:v>
                </c:pt>
                <c:pt idx="668">
                  <c:v>402</c:v>
                </c:pt>
                <c:pt idx="669">
                  <c:v>439</c:v>
                </c:pt>
                <c:pt idx="670">
                  <c:v>973</c:v>
                </c:pt>
                <c:pt idx="671">
                  <c:v>756</c:v>
                </c:pt>
                <c:pt idx="672">
                  <c:v>770</c:v>
                </c:pt>
                <c:pt idx="673">
                  <c:v>804</c:v>
                </c:pt>
                <c:pt idx="674">
                  <c:v>843</c:v>
                </c:pt>
                <c:pt idx="675">
                  <c:v>514</c:v>
                </c:pt>
                <c:pt idx="676">
                  <c:v>508</c:v>
                </c:pt>
                <c:pt idx="677">
                  <c:v>1121</c:v>
                </c:pt>
                <c:pt idx="678">
                  <c:v>833</c:v>
                </c:pt>
                <c:pt idx="679">
                  <c:v>968</c:v>
                </c:pt>
                <c:pt idx="680">
                  <c:v>934</c:v>
                </c:pt>
                <c:pt idx="681">
                  <c:v>946</c:v>
                </c:pt>
                <c:pt idx="682">
                  <c:v>620</c:v>
                </c:pt>
                <c:pt idx="683">
                  <c:v>572</c:v>
                </c:pt>
                <c:pt idx="684">
                  <c:v>1252</c:v>
                </c:pt>
                <c:pt idx="685">
                  <c:v>1199</c:v>
                </c:pt>
                <c:pt idx="686">
                  <c:v>1168</c:v>
                </c:pt>
                <c:pt idx="687">
                  <c:v>1213</c:v>
                </c:pt>
                <c:pt idx="688">
                  <c:v>1273</c:v>
                </c:pt>
                <c:pt idx="689">
                  <c:v>709</c:v>
                </c:pt>
                <c:pt idx="690">
                  <c:v>675</c:v>
                </c:pt>
                <c:pt idx="691">
                  <c:v>1416</c:v>
                </c:pt>
                <c:pt idx="692">
                  <c:v>1334</c:v>
                </c:pt>
                <c:pt idx="693">
                  <c:v>1251</c:v>
                </c:pt>
                <c:pt idx="694">
                  <c:v>1269</c:v>
                </c:pt>
                <c:pt idx="695">
                  <c:v>1299</c:v>
                </c:pt>
                <c:pt idx="696">
                  <c:v>789</c:v>
                </c:pt>
                <c:pt idx="697">
                  <c:v>787</c:v>
                </c:pt>
                <c:pt idx="698">
                  <c:v>1685</c:v>
                </c:pt>
                <c:pt idx="699">
                  <c:v>1423</c:v>
                </c:pt>
                <c:pt idx="700">
                  <c:v>1442</c:v>
                </c:pt>
                <c:pt idx="701">
                  <c:v>1464</c:v>
                </c:pt>
                <c:pt idx="702">
                  <c:v>1525</c:v>
                </c:pt>
                <c:pt idx="703">
                  <c:v>976</c:v>
                </c:pt>
                <c:pt idx="704">
                  <c:v>1003</c:v>
                </c:pt>
                <c:pt idx="705">
                  <c:v>1075</c:v>
                </c:pt>
                <c:pt idx="706">
                  <c:v>1914</c:v>
                </c:pt>
                <c:pt idx="707">
                  <c:v>1721</c:v>
                </c:pt>
                <c:pt idx="708">
                  <c:v>1696</c:v>
                </c:pt>
                <c:pt idx="709">
                  <c:v>1800</c:v>
                </c:pt>
                <c:pt idx="710">
                  <c:v>1115</c:v>
                </c:pt>
                <c:pt idx="711">
                  <c:v>1266</c:v>
                </c:pt>
                <c:pt idx="712">
                  <c:v>2319</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13.12.2021 saakka. Suurin arvo 899, joka 15.12.2021.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71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pt idx="677">
                  <c:v>2021-W45</c:v>
                </c:pt>
                <c:pt idx="684">
                  <c:v>2021-W46</c:v>
                </c:pt>
                <c:pt idx="691">
                  <c:v>2021-W47</c:v>
                </c:pt>
                <c:pt idx="698">
                  <c:v>2021-W48</c:v>
                </c:pt>
                <c:pt idx="705">
                  <c:v>2021-W49</c:v>
                </c:pt>
                <c:pt idx="712">
                  <c:v>2021-W50</c:v>
                </c:pt>
              </c:strCache>
            </c:strRef>
          </c:cat>
          <c:val>
            <c:numRef>
              <c:f>HUS!PlotY</c:f>
              <c:numCache>
                <c:formatCode>General</c:formatCode>
                <c:ptCount val="7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100</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236</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95</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122</c:v>
                </c:pt>
                <c:pt idx="380">
                  <c:v>108</c:v>
                </c:pt>
                <c:pt idx="381">
                  <c:v>97</c:v>
                </c:pt>
                <c:pt idx="382">
                  <c:v>97</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224</c:v>
                </c:pt>
                <c:pt idx="401">
                  <c:v>216</c:v>
                </c:pt>
                <c:pt idx="402">
                  <c:v>152</c:v>
                </c:pt>
                <c:pt idx="403">
                  <c:v>172</c:v>
                </c:pt>
                <c:pt idx="404">
                  <c:v>294</c:v>
                </c:pt>
                <c:pt idx="405">
                  <c:v>241</c:v>
                </c:pt>
                <c:pt idx="406">
                  <c:v>229</c:v>
                </c:pt>
                <c:pt idx="407">
                  <c:v>236</c:v>
                </c:pt>
                <c:pt idx="408">
                  <c:v>260</c:v>
                </c:pt>
                <c:pt idx="409">
                  <c:v>192</c:v>
                </c:pt>
                <c:pt idx="410">
                  <c:v>181</c:v>
                </c:pt>
                <c:pt idx="411">
                  <c:v>362</c:v>
                </c:pt>
                <c:pt idx="412">
                  <c:v>328</c:v>
                </c:pt>
                <c:pt idx="413">
                  <c:v>329</c:v>
                </c:pt>
                <c:pt idx="414">
                  <c:v>327</c:v>
                </c:pt>
                <c:pt idx="415">
                  <c:v>306</c:v>
                </c:pt>
                <c:pt idx="416">
                  <c:v>185</c:v>
                </c:pt>
                <c:pt idx="417">
                  <c:v>218</c:v>
                </c:pt>
                <c:pt idx="418">
                  <c:v>387</c:v>
                </c:pt>
                <c:pt idx="419">
                  <c:v>383</c:v>
                </c:pt>
                <c:pt idx="420">
                  <c:v>417</c:v>
                </c:pt>
                <c:pt idx="421">
                  <c:v>361</c:v>
                </c:pt>
                <c:pt idx="422">
                  <c:v>428</c:v>
                </c:pt>
                <c:pt idx="423">
                  <c:v>268</c:v>
                </c:pt>
                <c:pt idx="424">
                  <c:v>267</c:v>
                </c:pt>
                <c:pt idx="425">
                  <c:v>480</c:v>
                </c:pt>
                <c:pt idx="426">
                  <c:v>492</c:v>
                </c:pt>
                <c:pt idx="427">
                  <c:v>476</c:v>
                </c:pt>
                <c:pt idx="428">
                  <c:v>389</c:v>
                </c:pt>
                <c:pt idx="429">
                  <c:v>420</c:v>
                </c:pt>
                <c:pt idx="430">
                  <c:v>276</c:v>
                </c:pt>
                <c:pt idx="431">
                  <c:v>257</c:v>
                </c:pt>
                <c:pt idx="432">
                  <c:v>500</c:v>
                </c:pt>
                <c:pt idx="433">
                  <c:v>506</c:v>
                </c:pt>
                <c:pt idx="434">
                  <c:v>504</c:v>
                </c:pt>
                <c:pt idx="435">
                  <c:v>477</c:v>
                </c:pt>
                <c:pt idx="436">
                  <c:v>519</c:v>
                </c:pt>
                <c:pt idx="437">
                  <c:v>329</c:v>
                </c:pt>
                <c:pt idx="438">
                  <c:v>262</c:v>
                </c:pt>
                <c:pt idx="439">
                  <c:v>508</c:v>
                </c:pt>
                <c:pt idx="440">
                  <c:v>453</c:v>
                </c:pt>
                <c:pt idx="441">
                  <c:v>417</c:v>
                </c:pt>
                <c:pt idx="442">
                  <c:v>455</c:v>
                </c:pt>
                <c:pt idx="443">
                  <c:v>444</c:v>
                </c:pt>
                <c:pt idx="444">
                  <c:v>287</c:v>
                </c:pt>
                <c:pt idx="445">
                  <c:v>288</c:v>
                </c:pt>
                <c:pt idx="446">
                  <c:v>450</c:v>
                </c:pt>
                <c:pt idx="447">
                  <c:v>452</c:v>
                </c:pt>
                <c:pt idx="448">
                  <c:v>394</c:v>
                </c:pt>
                <c:pt idx="449">
                  <c:v>355</c:v>
                </c:pt>
                <c:pt idx="450">
                  <c:v>407</c:v>
                </c:pt>
                <c:pt idx="451">
                  <c:v>199</c:v>
                </c:pt>
                <c:pt idx="452">
                  <c:v>248</c:v>
                </c:pt>
                <c:pt idx="453">
                  <c:v>378</c:v>
                </c:pt>
                <c:pt idx="454">
                  <c:v>323</c:v>
                </c:pt>
                <c:pt idx="455">
                  <c:v>333</c:v>
                </c:pt>
                <c:pt idx="456">
                  <c:v>252</c:v>
                </c:pt>
                <c:pt idx="457">
                  <c:v>223</c:v>
                </c:pt>
                <c:pt idx="458">
                  <c:v>191</c:v>
                </c:pt>
                <c:pt idx="459">
                  <c:v>206</c:v>
                </c:pt>
                <c:pt idx="460">
                  <c:v>233</c:v>
                </c:pt>
                <c:pt idx="461">
                  <c:v>306</c:v>
                </c:pt>
                <c:pt idx="462">
                  <c:v>246</c:v>
                </c:pt>
                <c:pt idx="463">
                  <c:v>211</c:v>
                </c:pt>
                <c:pt idx="464">
                  <c:v>175</c:v>
                </c:pt>
                <c:pt idx="465">
                  <c:v>138</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114</c:v>
                </c:pt>
                <c:pt idx="490">
                  <c:v>125</c:v>
                </c:pt>
                <c:pt idx="491">
                  <c:v>113</c:v>
                </c:pt>
                <c:pt idx="492">
                  <c:v>94</c:v>
                </c:pt>
                <c:pt idx="493">
                  <c:v>69</c:v>
                </c:pt>
                <c:pt idx="494">
                  <c:v>69</c:v>
                </c:pt>
                <c:pt idx="495">
                  <c:v>138</c:v>
                </c:pt>
                <c:pt idx="496">
                  <c:v>108</c:v>
                </c:pt>
                <c:pt idx="497">
                  <c:v>146</c:v>
                </c:pt>
                <c:pt idx="498">
                  <c:v>77</c:v>
                </c:pt>
                <c:pt idx="499">
                  <c:v>86</c:v>
                </c:pt>
                <c:pt idx="500">
                  <c:v>80</c:v>
                </c:pt>
                <c:pt idx="501">
                  <c:v>56</c:v>
                </c:pt>
                <c:pt idx="502">
                  <c:v>120</c:v>
                </c:pt>
                <c:pt idx="503">
                  <c:v>110</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127</c:v>
                </c:pt>
                <c:pt idx="542">
                  <c:v>81</c:v>
                </c:pt>
                <c:pt idx="543">
                  <c:v>58</c:v>
                </c:pt>
                <c:pt idx="544">
                  <c:v>115</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205</c:v>
                </c:pt>
                <c:pt idx="560">
                  <c:v>232</c:v>
                </c:pt>
                <c:pt idx="561">
                  <c:v>216</c:v>
                </c:pt>
                <c:pt idx="562">
                  <c:v>208</c:v>
                </c:pt>
                <c:pt idx="563">
                  <c:v>140</c:v>
                </c:pt>
                <c:pt idx="564">
                  <c:v>138</c:v>
                </c:pt>
                <c:pt idx="565">
                  <c:v>214</c:v>
                </c:pt>
                <c:pt idx="566">
                  <c:v>242</c:v>
                </c:pt>
                <c:pt idx="567">
                  <c:v>228</c:v>
                </c:pt>
                <c:pt idx="568">
                  <c:v>213</c:v>
                </c:pt>
                <c:pt idx="569">
                  <c:v>241</c:v>
                </c:pt>
                <c:pt idx="570">
                  <c:v>172</c:v>
                </c:pt>
                <c:pt idx="571">
                  <c:v>187</c:v>
                </c:pt>
                <c:pt idx="572">
                  <c:v>410</c:v>
                </c:pt>
                <c:pt idx="573">
                  <c:v>327</c:v>
                </c:pt>
                <c:pt idx="574">
                  <c:v>411</c:v>
                </c:pt>
                <c:pt idx="575">
                  <c:v>358</c:v>
                </c:pt>
                <c:pt idx="576">
                  <c:v>318</c:v>
                </c:pt>
                <c:pt idx="577">
                  <c:v>237</c:v>
                </c:pt>
                <c:pt idx="578">
                  <c:v>275</c:v>
                </c:pt>
                <c:pt idx="579">
                  <c:v>442</c:v>
                </c:pt>
                <c:pt idx="580">
                  <c:v>439</c:v>
                </c:pt>
                <c:pt idx="581">
                  <c:v>391</c:v>
                </c:pt>
                <c:pt idx="582">
                  <c:v>373</c:v>
                </c:pt>
                <c:pt idx="583">
                  <c:v>324</c:v>
                </c:pt>
                <c:pt idx="584">
                  <c:v>263</c:v>
                </c:pt>
                <c:pt idx="585">
                  <c:v>311</c:v>
                </c:pt>
                <c:pt idx="586">
                  <c:v>494</c:v>
                </c:pt>
                <c:pt idx="587">
                  <c:v>495</c:v>
                </c:pt>
                <c:pt idx="588">
                  <c:v>472</c:v>
                </c:pt>
                <c:pt idx="589">
                  <c:v>411</c:v>
                </c:pt>
                <c:pt idx="590">
                  <c:v>399</c:v>
                </c:pt>
                <c:pt idx="591">
                  <c:v>233</c:v>
                </c:pt>
                <c:pt idx="592">
                  <c:v>292</c:v>
                </c:pt>
                <c:pt idx="593">
                  <c:v>376</c:v>
                </c:pt>
                <c:pt idx="594">
                  <c:v>393</c:v>
                </c:pt>
                <c:pt idx="595">
                  <c:v>360</c:v>
                </c:pt>
                <c:pt idx="596">
                  <c:v>338</c:v>
                </c:pt>
                <c:pt idx="597">
                  <c:v>348</c:v>
                </c:pt>
                <c:pt idx="598">
                  <c:v>225</c:v>
                </c:pt>
                <c:pt idx="599">
                  <c:v>268</c:v>
                </c:pt>
                <c:pt idx="600">
                  <c:v>345</c:v>
                </c:pt>
                <c:pt idx="601">
                  <c:v>330</c:v>
                </c:pt>
                <c:pt idx="602">
                  <c:v>365</c:v>
                </c:pt>
                <c:pt idx="603">
                  <c:v>303</c:v>
                </c:pt>
                <c:pt idx="604">
                  <c:v>373</c:v>
                </c:pt>
                <c:pt idx="605">
                  <c:v>252</c:v>
                </c:pt>
                <c:pt idx="606">
                  <c:v>256</c:v>
                </c:pt>
                <c:pt idx="607">
                  <c:v>353</c:v>
                </c:pt>
                <c:pt idx="608">
                  <c:v>352</c:v>
                </c:pt>
                <c:pt idx="609">
                  <c:v>331</c:v>
                </c:pt>
                <c:pt idx="610">
                  <c:v>336</c:v>
                </c:pt>
                <c:pt idx="611">
                  <c:v>253</c:v>
                </c:pt>
                <c:pt idx="612">
                  <c:v>163</c:v>
                </c:pt>
                <c:pt idx="613">
                  <c:v>173</c:v>
                </c:pt>
                <c:pt idx="614">
                  <c:v>258</c:v>
                </c:pt>
                <c:pt idx="615">
                  <c:v>260</c:v>
                </c:pt>
                <c:pt idx="616">
                  <c:v>190</c:v>
                </c:pt>
                <c:pt idx="617">
                  <c:v>204</c:v>
                </c:pt>
                <c:pt idx="618">
                  <c:v>206</c:v>
                </c:pt>
                <c:pt idx="619">
                  <c:v>164</c:v>
                </c:pt>
                <c:pt idx="620">
                  <c:v>125</c:v>
                </c:pt>
                <c:pt idx="621">
                  <c:v>215</c:v>
                </c:pt>
                <c:pt idx="622">
                  <c:v>191</c:v>
                </c:pt>
                <c:pt idx="623">
                  <c:v>162</c:v>
                </c:pt>
                <c:pt idx="624">
                  <c:v>187</c:v>
                </c:pt>
                <c:pt idx="625">
                  <c:v>143</c:v>
                </c:pt>
                <c:pt idx="626">
                  <c:v>107</c:v>
                </c:pt>
                <c:pt idx="627">
                  <c:v>118</c:v>
                </c:pt>
                <c:pt idx="628">
                  <c:v>192</c:v>
                </c:pt>
                <c:pt idx="629">
                  <c:v>166</c:v>
                </c:pt>
                <c:pt idx="630">
                  <c:v>175</c:v>
                </c:pt>
                <c:pt idx="631">
                  <c:v>158</c:v>
                </c:pt>
                <c:pt idx="632">
                  <c:v>146</c:v>
                </c:pt>
                <c:pt idx="633">
                  <c:v>128</c:v>
                </c:pt>
                <c:pt idx="634">
                  <c:v>147</c:v>
                </c:pt>
                <c:pt idx="635">
                  <c:v>220</c:v>
                </c:pt>
                <c:pt idx="636">
                  <c:v>230</c:v>
                </c:pt>
                <c:pt idx="637">
                  <c:v>250</c:v>
                </c:pt>
                <c:pt idx="638">
                  <c:v>240</c:v>
                </c:pt>
                <c:pt idx="639">
                  <c:v>184</c:v>
                </c:pt>
                <c:pt idx="640">
                  <c:v>141</c:v>
                </c:pt>
                <c:pt idx="641">
                  <c:v>161</c:v>
                </c:pt>
                <c:pt idx="642">
                  <c:v>249</c:v>
                </c:pt>
                <c:pt idx="643">
                  <c:v>308</c:v>
                </c:pt>
                <c:pt idx="644">
                  <c:v>234</c:v>
                </c:pt>
                <c:pt idx="645">
                  <c:v>191</c:v>
                </c:pt>
                <c:pt idx="646">
                  <c:v>210</c:v>
                </c:pt>
                <c:pt idx="647">
                  <c:v>149</c:v>
                </c:pt>
                <c:pt idx="648">
                  <c:v>151</c:v>
                </c:pt>
                <c:pt idx="649">
                  <c:v>227</c:v>
                </c:pt>
                <c:pt idx="650">
                  <c:v>264</c:v>
                </c:pt>
                <c:pt idx="651">
                  <c:v>232</c:v>
                </c:pt>
                <c:pt idx="652">
                  <c:v>241</c:v>
                </c:pt>
                <c:pt idx="653">
                  <c:v>238</c:v>
                </c:pt>
                <c:pt idx="654">
                  <c:v>149</c:v>
                </c:pt>
                <c:pt idx="655">
                  <c:v>160</c:v>
                </c:pt>
                <c:pt idx="656">
                  <c:v>267</c:v>
                </c:pt>
                <c:pt idx="657">
                  <c:v>229</c:v>
                </c:pt>
                <c:pt idx="658">
                  <c:v>211</c:v>
                </c:pt>
                <c:pt idx="659">
                  <c:v>272</c:v>
                </c:pt>
                <c:pt idx="660">
                  <c:v>257</c:v>
                </c:pt>
                <c:pt idx="661">
                  <c:v>178</c:v>
                </c:pt>
                <c:pt idx="662">
                  <c:v>223</c:v>
                </c:pt>
                <c:pt idx="663">
                  <c:v>344</c:v>
                </c:pt>
                <c:pt idx="664">
                  <c:v>288</c:v>
                </c:pt>
                <c:pt idx="665">
                  <c:v>254</c:v>
                </c:pt>
                <c:pt idx="666">
                  <c:v>259</c:v>
                </c:pt>
                <c:pt idx="667">
                  <c:v>270</c:v>
                </c:pt>
                <c:pt idx="668">
                  <c:v>184</c:v>
                </c:pt>
                <c:pt idx="669">
                  <c:v>216</c:v>
                </c:pt>
                <c:pt idx="670">
                  <c:v>374</c:v>
                </c:pt>
                <c:pt idx="671">
                  <c:v>328</c:v>
                </c:pt>
                <c:pt idx="672">
                  <c:v>291</c:v>
                </c:pt>
                <c:pt idx="673">
                  <c:v>295</c:v>
                </c:pt>
                <c:pt idx="674">
                  <c:v>315</c:v>
                </c:pt>
                <c:pt idx="675">
                  <c:v>246</c:v>
                </c:pt>
                <c:pt idx="676">
                  <c:v>267</c:v>
                </c:pt>
                <c:pt idx="677">
                  <c:v>424</c:v>
                </c:pt>
                <c:pt idx="678">
                  <c:v>376</c:v>
                </c:pt>
                <c:pt idx="679">
                  <c:v>365</c:v>
                </c:pt>
                <c:pt idx="680">
                  <c:v>374</c:v>
                </c:pt>
                <c:pt idx="681">
                  <c:v>371</c:v>
                </c:pt>
                <c:pt idx="682">
                  <c:v>280</c:v>
                </c:pt>
                <c:pt idx="683">
                  <c:v>254</c:v>
                </c:pt>
                <c:pt idx="684">
                  <c:v>442</c:v>
                </c:pt>
                <c:pt idx="685">
                  <c:v>430</c:v>
                </c:pt>
                <c:pt idx="686">
                  <c:v>448</c:v>
                </c:pt>
                <c:pt idx="687">
                  <c:v>452</c:v>
                </c:pt>
                <c:pt idx="688">
                  <c:v>481</c:v>
                </c:pt>
                <c:pt idx="689">
                  <c:v>290</c:v>
                </c:pt>
                <c:pt idx="690">
                  <c:v>336</c:v>
                </c:pt>
                <c:pt idx="691">
                  <c:v>497</c:v>
                </c:pt>
                <c:pt idx="692">
                  <c:v>517</c:v>
                </c:pt>
                <c:pt idx="693">
                  <c:v>421</c:v>
                </c:pt>
                <c:pt idx="694">
                  <c:v>439</c:v>
                </c:pt>
                <c:pt idx="695">
                  <c:v>459</c:v>
                </c:pt>
                <c:pt idx="696">
                  <c:v>329</c:v>
                </c:pt>
                <c:pt idx="697">
                  <c:v>363</c:v>
                </c:pt>
                <c:pt idx="698">
                  <c:v>556</c:v>
                </c:pt>
                <c:pt idx="699">
                  <c:v>568</c:v>
                </c:pt>
                <c:pt idx="700">
                  <c:v>535</c:v>
                </c:pt>
                <c:pt idx="701">
                  <c:v>501</c:v>
                </c:pt>
                <c:pt idx="702">
                  <c:v>515</c:v>
                </c:pt>
                <c:pt idx="703">
                  <c:v>351</c:v>
                </c:pt>
                <c:pt idx="704">
                  <c:v>414</c:v>
                </c:pt>
                <c:pt idx="705">
                  <c:v>457</c:v>
                </c:pt>
                <c:pt idx="706">
                  <c:v>616</c:v>
                </c:pt>
                <c:pt idx="707">
                  <c:v>630</c:v>
                </c:pt>
                <c:pt idx="708">
                  <c:v>670</c:v>
                </c:pt>
                <c:pt idx="709">
                  <c:v>712</c:v>
                </c:pt>
                <c:pt idx="710">
                  <c:v>495</c:v>
                </c:pt>
                <c:pt idx="711">
                  <c:v>588</c:v>
                </c:pt>
                <c:pt idx="712">
                  <c:v>885</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0.66834170854271358</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0.63636363636363635</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0.44444444444444442</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0.33333333333333331</c:v>
                </c:pt>
                <c:pt idx="257">
                  <c:v>0.25423728813559321</c:v>
                </c:pt>
                <c:pt idx="258">
                  <c:v>0.47169811320754718</c:v>
                </c:pt>
                <c:pt idx="259">
                  <c:v>0.43103448275862066</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0.67741935483870963</c:v>
                </c:pt>
                <c:pt idx="272">
                  <c:v>0.60447761194029848</c:v>
                </c:pt>
                <c:pt idx="273">
                  <c:v>0.55688622754491013</c:v>
                </c:pt>
                <c:pt idx="274">
                  <c:v>0.41361256544502617</c:v>
                </c:pt>
                <c:pt idx="275">
                  <c:v>0.42245989304812837</c:v>
                </c:pt>
                <c:pt idx="276">
                  <c:v>0.4044943820224719</c:v>
                </c:pt>
                <c:pt idx="277">
                  <c:v>0.52702702702702697</c:v>
                </c:pt>
                <c:pt idx="278">
                  <c:v>0.40893470790378006</c:v>
                </c:pt>
                <c:pt idx="279">
                  <c:v>0.42857142857142855</c:v>
                </c:pt>
                <c:pt idx="280">
                  <c:v>0.39215686274509803</c:v>
                </c:pt>
                <c:pt idx="281">
                  <c:v>0.52509652509652505</c:v>
                </c:pt>
                <c:pt idx="282">
                  <c:v>0.55752212389380529</c:v>
                </c:pt>
                <c:pt idx="283">
                  <c:v>0.47747747747747749</c:v>
                </c:pt>
                <c:pt idx="284">
                  <c:v>0.56060606060606055</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c:v>
                </c:pt>
                <c:pt idx="296">
                  <c:v>0.53608247422680411</c:v>
                </c:pt>
                <c:pt idx="297">
                  <c:v>0.61682242990654201</c:v>
                </c:pt>
                <c:pt idx="298">
                  <c:v>0.57258064516129037</c:v>
                </c:pt>
                <c:pt idx="299">
                  <c:v>0.52156862745098043</c:v>
                </c:pt>
                <c:pt idx="300">
                  <c:v>0.51709401709401714</c:v>
                </c:pt>
                <c:pt idx="301">
                  <c:v>0.50416666666666665</c:v>
                </c:pt>
                <c:pt idx="302">
                  <c:v>0.42372881355932202</c:v>
                </c:pt>
                <c:pt idx="303">
                  <c:v>0.55909090909090908</c:v>
                </c:pt>
                <c:pt idx="304">
                  <c:v>0.5950413223140496</c:v>
                </c:pt>
                <c:pt idx="305">
                  <c:v>0.61589403973509937</c:v>
                </c:pt>
                <c:pt idx="306">
                  <c:v>0.54006968641114983</c:v>
                </c:pt>
                <c:pt idx="307">
                  <c:v>0.61825726141078841</c:v>
                </c:pt>
                <c:pt idx="308">
                  <c:v>0.58878504672897192</c:v>
                </c:pt>
                <c:pt idx="309">
                  <c:v>0.6330275229357798</c:v>
                </c:pt>
                <c:pt idx="310">
                  <c:v>0.59183673469387754</c:v>
                </c:pt>
                <c:pt idx="311">
                  <c:v>0.734375</c:v>
                </c:pt>
                <c:pt idx="312">
                  <c:v>0.60606060606060608</c:v>
                </c:pt>
                <c:pt idx="313">
                  <c:v>0.59340659340659341</c:v>
                </c:pt>
                <c:pt idx="314">
                  <c:v>0.61650485436893199</c:v>
                </c:pt>
                <c:pt idx="315">
                  <c:v>0.49830508474576274</c:v>
                </c:pt>
                <c:pt idx="316">
                  <c:v>0.68309859154929575</c:v>
                </c:pt>
                <c:pt idx="317">
                  <c:v>0.62313432835820892</c:v>
                </c:pt>
                <c:pt idx="318">
                  <c:v>0.62758620689655176</c:v>
                </c:pt>
                <c:pt idx="319">
                  <c:v>0.61111111111111116</c:v>
                </c:pt>
                <c:pt idx="320">
                  <c:v>0.61323155216284986</c:v>
                </c:pt>
                <c:pt idx="321">
                  <c:v>0.66494845360824739</c:v>
                </c:pt>
                <c:pt idx="322">
                  <c:v>0.63925729442970824</c:v>
                </c:pt>
                <c:pt idx="323">
                  <c:v>0.66945606694560666</c:v>
                </c:pt>
                <c:pt idx="324">
                  <c:v>0.61682242990654201</c:v>
                </c:pt>
                <c:pt idx="325">
                  <c:v>0.66666666666666663</c:v>
                </c:pt>
                <c:pt idx="326">
                  <c:v>0.60526315789473684</c:v>
                </c:pt>
                <c:pt idx="327">
                  <c:v>0.5178571428571429</c:v>
                </c:pt>
                <c:pt idx="328">
                  <c:v>0.60084925690021229</c:v>
                </c:pt>
                <c:pt idx="329">
                  <c:v>0.48303715670436187</c:v>
                </c:pt>
                <c:pt idx="330">
                  <c:v>0.51277013752455791</c:v>
                </c:pt>
                <c:pt idx="331">
                  <c:v>0.5307017543859649</c:v>
                </c:pt>
                <c:pt idx="332">
                  <c:v>0.53169014084507038</c:v>
                </c:pt>
                <c:pt idx="333">
                  <c:v>0.53924914675767921</c:v>
                </c:pt>
                <c:pt idx="334">
                  <c:v>0.52605042016806725</c:v>
                </c:pt>
                <c:pt idx="335">
                  <c:v>0.50227272727272732</c:v>
                </c:pt>
                <c:pt idx="336">
                  <c:v>0.50505050505050508</c:v>
                </c:pt>
                <c:pt idx="337">
                  <c:v>0.58786610878661083</c:v>
                </c:pt>
                <c:pt idx="338">
                  <c:v>0.47357293868921774</c:v>
                </c:pt>
                <c:pt idx="339">
                  <c:v>0.61199999999999999</c:v>
                </c:pt>
                <c:pt idx="340">
                  <c:v>0.55477031802120136</c:v>
                </c:pt>
                <c:pt idx="341">
                  <c:v>0.48381601362862009</c:v>
                </c:pt>
                <c:pt idx="342">
                  <c:v>0.52928870292887031</c:v>
                </c:pt>
                <c:pt idx="343">
                  <c:v>0.58008658008658009</c:v>
                </c:pt>
                <c:pt idx="344">
                  <c:v>0.54545454545454541</c:v>
                </c:pt>
                <c:pt idx="345">
                  <c:v>0.52796420581655479</c:v>
                </c:pt>
                <c:pt idx="346">
                  <c:v>0.59036144578313254</c:v>
                </c:pt>
                <c:pt idx="347">
                  <c:v>0.6123188405797102</c:v>
                </c:pt>
                <c:pt idx="348">
                  <c:v>0.5032397408207343</c:v>
                </c:pt>
                <c:pt idx="349">
                  <c:v>0.54166666666666663</c:v>
                </c:pt>
                <c:pt idx="350">
                  <c:v>0.54261363636363635</c:v>
                </c:pt>
                <c:pt idx="351">
                  <c:v>0.4660493827160494</c:v>
                </c:pt>
                <c:pt idx="352">
                  <c:v>0.45939086294416243</c:v>
                </c:pt>
                <c:pt idx="353">
                  <c:v>0.65445026178010468</c:v>
                </c:pt>
                <c:pt idx="354">
                  <c:v>0.60245901639344257</c:v>
                </c:pt>
                <c:pt idx="355">
                  <c:v>0.53866666666666663</c:v>
                </c:pt>
                <c:pt idx="356">
                  <c:v>0.59337349397590367</c:v>
                </c:pt>
                <c:pt idx="357">
                  <c:v>0.52707581227436828</c:v>
                </c:pt>
                <c:pt idx="358">
                  <c:v>0.68840579710144922</c:v>
                </c:pt>
                <c:pt idx="359">
                  <c:v>0.60509554140127386</c:v>
                </c:pt>
                <c:pt idx="360">
                  <c:v>0.50819672131147542</c:v>
                </c:pt>
                <c:pt idx="361">
                  <c:v>0.58115183246073299</c:v>
                </c:pt>
                <c:pt idx="362">
                  <c:v>0.51264367816091949</c:v>
                </c:pt>
                <c:pt idx="363">
                  <c:v>0.53246753246753242</c:v>
                </c:pt>
                <c:pt idx="364">
                  <c:v>0.43137254901960786</c:v>
                </c:pt>
                <c:pt idx="365">
                  <c:v>0.53543307086614178</c:v>
                </c:pt>
                <c:pt idx="366">
                  <c:v>0.515625</c:v>
                </c:pt>
                <c:pt idx="367">
                  <c:v>0.57073170731707312</c:v>
                </c:pt>
                <c:pt idx="368">
                  <c:v>0.55029585798816572</c:v>
                </c:pt>
                <c:pt idx="369">
                  <c:v>0.49242424242424243</c:v>
                </c:pt>
                <c:pt idx="370">
                  <c:v>0.58396946564885499</c:v>
                </c:pt>
                <c:pt idx="371">
                  <c:v>0.45192307692307693</c:v>
                </c:pt>
                <c:pt idx="372">
                  <c:v>0.48493975903614456</c:v>
                </c:pt>
                <c:pt idx="373">
                  <c:v>0.57936507936507942</c:v>
                </c:pt>
                <c:pt idx="374">
                  <c:v>0.51813471502590669</c:v>
                </c:pt>
                <c:pt idx="375">
                  <c:v>0.63297872340425532</c:v>
                </c:pt>
                <c:pt idx="376">
                  <c:v>0.4844559585492228</c:v>
                </c:pt>
                <c:pt idx="377">
                  <c:v>0.55458515283842791</c:v>
                </c:pt>
                <c:pt idx="378">
                  <c:v>0.45945945945945948</c:v>
                </c:pt>
                <c:pt idx="379">
                  <c:v>0.49193548387096775</c:v>
                </c:pt>
                <c:pt idx="380">
                  <c:v>0.40601503759398494</c:v>
                </c:pt>
                <c:pt idx="381">
                  <c:v>0.56725146198830412</c:v>
                </c:pt>
                <c:pt idx="382">
                  <c:v>0.48989898989898989</c:v>
                </c:pt>
                <c:pt idx="383">
                  <c:v>0.5736607142857143</c:v>
                </c:pt>
                <c:pt idx="384">
                  <c:v>0.55263157894736847</c:v>
                </c:pt>
                <c:pt idx="385">
                  <c:v>0.51970443349753692</c:v>
                </c:pt>
                <c:pt idx="386">
                  <c:v>0.47214854111405835</c:v>
                </c:pt>
                <c:pt idx="387">
                  <c:v>0.54293628808864269</c:v>
                </c:pt>
                <c:pt idx="388">
                  <c:v>0.5535714285714286</c:v>
                </c:pt>
                <c:pt idx="389">
                  <c:v>0.61943319838056676</c:v>
                </c:pt>
                <c:pt idx="390">
                  <c:v>0.42052980132450329</c:v>
                </c:pt>
                <c:pt idx="391">
                  <c:v>0.53400503778337527</c:v>
                </c:pt>
                <c:pt idx="392">
                  <c:v>0.49214659685863876</c:v>
                </c:pt>
                <c:pt idx="393">
                  <c:v>0.52643678160919538</c:v>
                </c:pt>
                <c:pt idx="394">
                  <c:v>0.50395778364116095</c:v>
                </c:pt>
                <c:pt idx="395">
                  <c:v>0.57510729613733902</c:v>
                </c:pt>
                <c:pt idx="396">
                  <c:v>0.60948905109489049</c:v>
                </c:pt>
                <c:pt idx="397">
                  <c:v>0.55430711610486894</c:v>
                </c:pt>
                <c:pt idx="398">
                  <c:v>0.63131313131313127</c:v>
                </c:pt>
                <c:pt idx="399">
                  <c:v>0.59637188208616776</c:v>
                </c:pt>
                <c:pt idx="400">
                  <c:v>0.60215053763440862</c:v>
                </c:pt>
                <c:pt idx="401">
                  <c:v>0.58855585831062673</c:v>
                </c:pt>
                <c:pt idx="402">
                  <c:v>0.64135021097046419</c:v>
                </c:pt>
                <c:pt idx="403">
                  <c:v>0.65151515151515149</c:v>
                </c:pt>
                <c:pt idx="404">
                  <c:v>0.63774403470715835</c:v>
                </c:pt>
                <c:pt idx="405">
                  <c:v>0.64611260053619302</c:v>
                </c:pt>
                <c:pt idx="406">
                  <c:v>0.59791122715404699</c:v>
                </c:pt>
                <c:pt idx="407">
                  <c:v>0.65373961218836563</c:v>
                </c:pt>
                <c:pt idx="408">
                  <c:v>0.62200956937799046</c:v>
                </c:pt>
                <c:pt idx="409">
                  <c:v>0.68817204301075274</c:v>
                </c:pt>
                <c:pt idx="410">
                  <c:v>0.64412811387900359</c:v>
                </c:pt>
                <c:pt idx="411">
                  <c:v>0.58670988654781198</c:v>
                </c:pt>
                <c:pt idx="412">
                  <c:v>0.63813229571984431</c:v>
                </c:pt>
                <c:pt idx="413">
                  <c:v>0.59493670886075944</c:v>
                </c:pt>
                <c:pt idx="414">
                  <c:v>0.53344208809135396</c:v>
                </c:pt>
                <c:pt idx="415">
                  <c:v>0.53403141361256545</c:v>
                </c:pt>
                <c:pt idx="416">
                  <c:v>0.58176100628930816</c:v>
                </c:pt>
                <c:pt idx="417">
                  <c:v>0.61408450704225348</c:v>
                </c:pt>
                <c:pt idx="418">
                  <c:v>0.62019230769230771</c:v>
                </c:pt>
                <c:pt idx="419">
                  <c:v>0.61182108626198084</c:v>
                </c:pt>
                <c:pt idx="420">
                  <c:v>0.69616026711185308</c:v>
                </c:pt>
                <c:pt idx="421">
                  <c:v>0.57392686804451509</c:v>
                </c:pt>
                <c:pt idx="422">
                  <c:v>0.62209302325581395</c:v>
                </c:pt>
                <c:pt idx="423">
                  <c:v>0.66172839506172842</c:v>
                </c:pt>
                <c:pt idx="424">
                  <c:v>0.63270142180094791</c:v>
                </c:pt>
                <c:pt idx="425">
                  <c:v>0.54982817869415812</c:v>
                </c:pt>
                <c:pt idx="426">
                  <c:v>0.64907651715039583</c:v>
                </c:pt>
                <c:pt idx="427">
                  <c:v>0.64938608458390179</c:v>
                </c:pt>
                <c:pt idx="428">
                  <c:v>0.60876369327073554</c:v>
                </c:pt>
                <c:pt idx="429">
                  <c:v>0.66666666666666663</c:v>
                </c:pt>
                <c:pt idx="430">
                  <c:v>0.6374133949191686</c:v>
                </c:pt>
                <c:pt idx="431">
                  <c:v>0.64898989898989901</c:v>
                </c:pt>
                <c:pt idx="432">
                  <c:v>0.59952038369304561</c:v>
                </c:pt>
                <c:pt idx="433">
                  <c:v>0.6545924967658473</c:v>
                </c:pt>
                <c:pt idx="434">
                  <c:v>0.61313868613138689</c:v>
                </c:pt>
                <c:pt idx="435">
                  <c:v>0.61153846153846159</c:v>
                </c:pt>
                <c:pt idx="436">
                  <c:v>0.64232673267326734</c:v>
                </c:pt>
                <c:pt idx="437">
                  <c:v>0.6646464646464646</c:v>
                </c:pt>
                <c:pt idx="438">
                  <c:v>0.60229885057471266</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100</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236</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95</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122</c:v>
                </c:pt>
                <c:pt idx="380">
                  <c:v>108</c:v>
                </c:pt>
                <c:pt idx="381">
                  <c:v>97</c:v>
                </c:pt>
                <c:pt idx="382">
                  <c:v>97</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224</c:v>
                </c:pt>
                <c:pt idx="401">
                  <c:v>216</c:v>
                </c:pt>
                <c:pt idx="402">
                  <c:v>152</c:v>
                </c:pt>
                <c:pt idx="403">
                  <c:v>172</c:v>
                </c:pt>
                <c:pt idx="404">
                  <c:v>294</c:v>
                </c:pt>
                <c:pt idx="405">
                  <c:v>241</c:v>
                </c:pt>
                <c:pt idx="406">
                  <c:v>229</c:v>
                </c:pt>
                <c:pt idx="407">
                  <c:v>236</c:v>
                </c:pt>
                <c:pt idx="408">
                  <c:v>260</c:v>
                </c:pt>
                <c:pt idx="409">
                  <c:v>192</c:v>
                </c:pt>
                <c:pt idx="410">
                  <c:v>181</c:v>
                </c:pt>
                <c:pt idx="411">
                  <c:v>362</c:v>
                </c:pt>
                <c:pt idx="412">
                  <c:v>328</c:v>
                </c:pt>
                <c:pt idx="413">
                  <c:v>329</c:v>
                </c:pt>
                <c:pt idx="414">
                  <c:v>327</c:v>
                </c:pt>
                <c:pt idx="415">
                  <c:v>306</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45</c:v>
                </c:pt>
                <c:pt idx="257">
                  <c:v>59</c:v>
                </c:pt>
                <c:pt idx="258">
                  <c:v>53</c:v>
                </c:pt>
                <c:pt idx="259">
                  <c:v>58</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301</c:v>
                </c:pt>
                <c:pt idx="280">
                  <c:v>306</c:v>
                </c:pt>
                <c:pt idx="281">
                  <c:v>259</c:v>
                </c:pt>
                <c:pt idx="282">
                  <c:v>226</c:v>
                </c:pt>
                <c:pt idx="283">
                  <c:v>111</c:v>
                </c:pt>
                <c:pt idx="284">
                  <c:v>132</c:v>
                </c:pt>
                <c:pt idx="285">
                  <c:v>256</c:v>
                </c:pt>
                <c:pt idx="286">
                  <c:v>199</c:v>
                </c:pt>
                <c:pt idx="287">
                  <c:v>202</c:v>
                </c:pt>
                <c:pt idx="288">
                  <c:v>190</c:v>
                </c:pt>
                <c:pt idx="289">
                  <c:v>195</c:v>
                </c:pt>
                <c:pt idx="290">
                  <c:v>104</c:v>
                </c:pt>
                <c:pt idx="291">
                  <c:v>129</c:v>
                </c:pt>
                <c:pt idx="292">
                  <c:v>243</c:v>
                </c:pt>
                <c:pt idx="293">
                  <c:v>167</c:v>
                </c:pt>
                <c:pt idx="294">
                  <c:v>188</c:v>
                </c:pt>
                <c:pt idx="295">
                  <c:v>222</c:v>
                </c:pt>
                <c:pt idx="296">
                  <c:v>194</c:v>
                </c:pt>
                <c:pt idx="297">
                  <c:v>107</c:v>
                </c:pt>
                <c:pt idx="298">
                  <c:v>124</c:v>
                </c:pt>
                <c:pt idx="299">
                  <c:v>255</c:v>
                </c:pt>
                <c:pt idx="300">
                  <c:v>234</c:v>
                </c:pt>
                <c:pt idx="301">
                  <c:v>240</c:v>
                </c:pt>
                <c:pt idx="302">
                  <c:v>236</c:v>
                </c:pt>
                <c:pt idx="303">
                  <c:v>220</c:v>
                </c:pt>
                <c:pt idx="304">
                  <c:v>121</c:v>
                </c:pt>
                <c:pt idx="305">
                  <c:v>151</c:v>
                </c:pt>
                <c:pt idx="306">
                  <c:v>287</c:v>
                </c:pt>
                <c:pt idx="307">
                  <c:v>241</c:v>
                </c:pt>
                <c:pt idx="308">
                  <c:v>214</c:v>
                </c:pt>
                <c:pt idx="309">
                  <c:v>218</c:v>
                </c:pt>
                <c:pt idx="310">
                  <c:v>196</c:v>
                </c:pt>
                <c:pt idx="311">
                  <c:v>128</c:v>
                </c:pt>
                <c:pt idx="312">
                  <c:v>132</c:v>
                </c:pt>
                <c:pt idx="313">
                  <c:v>273</c:v>
                </c:pt>
                <c:pt idx="314">
                  <c:v>206</c:v>
                </c:pt>
                <c:pt idx="315">
                  <c:v>295</c:v>
                </c:pt>
                <c:pt idx="316">
                  <c:v>284</c:v>
                </c:pt>
                <c:pt idx="317">
                  <c:v>268</c:v>
                </c:pt>
                <c:pt idx="318">
                  <c:v>145</c:v>
                </c:pt>
                <c:pt idx="319">
                  <c:v>180</c:v>
                </c:pt>
                <c:pt idx="320">
                  <c:v>393</c:v>
                </c:pt>
                <c:pt idx="321">
                  <c:v>388</c:v>
                </c:pt>
                <c:pt idx="322">
                  <c:v>377</c:v>
                </c:pt>
                <c:pt idx="323">
                  <c:v>478</c:v>
                </c:pt>
                <c:pt idx="324">
                  <c:v>428</c:v>
                </c:pt>
                <c:pt idx="325">
                  <c:v>270</c:v>
                </c:pt>
                <c:pt idx="326">
                  <c:v>266</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283</c:v>
                </c:pt>
                <c:pt idx="341">
                  <c:v>587</c:v>
                </c:pt>
                <c:pt idx="342">
                  <c:v>478</c:v>
                </c:pt>
                <c:pt idx="343">
                  <c:v>462</c:v>
                </c:pt>
                <c:pt idx="344">
                  <c:v>407</c:v>
                </c:pt>
                <c:pt idx="345">
                  <c:v>447</c:v>
                </c:pt>
                <c:pt idx="346">
                  <c:v>249</c:v>
                </c:pt>
                <c:pt idx="347">
                  <c:v>276</c:v>
                </c:pt>
                <c:pt idx="348">
                  <c:v>463</c:v>
                </c:pt>
                <c:pt idx="349">
                  <c:v>360</c:v>
                </c:pt>
                <c:pt idx="350">
                  <c:v>352</c:v>
                </c:pt>
                <c:pt idx="351">
                  <c:v>324</c:v>
                </c:pt>
                <c:pt idx="352">
                  <c:v>394</c:v>
                </c:pt>
                <c:pt idx="353">
                  <c:v>191</c:v>
                </c:pt>
                <c:pt idx="354">
                  <c:v>244</c:v>
                </c:pt>
                <c:pt idx="355">
                  <c:v>375</c:v>
                </c:pt>
                <c:pt idx="356">
                  <c:v>332</c:v>
                </c:pt>
                <c:pt idx="357">
                  <c:v>277</c:v>
                </c:pt>
                <c:pt idx="358">
                  <c:v>138</c:v>
                </c:pt>
                <c:pt idx="359">
                  <c:v>157</c:v>
                </c:pt>
                <c:pt idx="360">
                  <c:v>183</c:v>
                </c:pt>
                <c:pt idx="361">
                  <c:v>191</c:v>
                </c:pt>
                <c:pt idx="362">
                  <c:v>435</c:v>
                </c:pt>
                <c:pt idx="363">
                  <c:v>308</c:v>
                </c:pt>
                <c:pt idx="364">
                  <c:v>255</c:v>
                </c:pt>
                <c:pt idx="365">
                  <c:v>254</c:v>
                </c:pt>
                <c:pt idx="366">
                  <c:v>128</c:v>
                </c:pt>
                <c:pt idx="367">
                  <c:v>205</c:v>
                </c:pt>
                <c:pt idx="368">
                  <c:v>169</c:v>
                </c:pt>
                <c:pt idx="369">
                  <c:v>396</c:v>
                </c:pt>
                <c:pt idx="370">
                  <c:v>262</c:v>
                </c:pt>
                <c:pt idx="371">
                  <c:v>208</c:v>
                </c:pt>
                <c:pt idx="372">
                  <c:v>332</c:v>
                </c:pt>
                <c:pt idx="373">
                  <c:v>252</c:v>
                </c:pt>
                <c:pt idx="374">
                  <c:v>193</c:v>
                </c:pt>
                <c:pt idx="375">
                  <c:v>188</c:v>
                </c:pt>
                <c:pt idx="376">
                  <c:v>386</c:v>
                </c:pt>
                <c:pt idx="377">
                  <c:v>229</c:v>
                </c:pt>
                <c:pt idx="378">
                  <c:v>259</c:v>
                </c:pt>
                <c:pt idx="379">
                  <c:v>248</c:v>
                </c:pt>
                <c:pt idx="380">
                  <c:v>266</c:v>
                </c:pt>
                <c:pt idx="381">
                  <c:v>171</c:v>
                </c:pt>
                <c:pt idx="382">
                  <c:v>198</c:v>
                </c:pt>
                <c:pt idx="383">
                  <c:v>448</c:v>
                </c:pt>
                <c:pt idx="384">
                  <c:v>342</c:v>
                </c:pt>
                <c:pt idx="385">
                  <c:v>406</c:v>
                </c:pt>
                <c:pt idx="386">
                  <c:v>377</c:v>
                </c:pt>
                <c:pt idx="387">
                  <c:v>361</c:v>
                </c:pt>
                <c:pt idx="388">
                  <c:v>168</c:v>
                </c:pt>
                <c:pt idx="389">
                  <c:v>247</c:v>
                </c:pt>
                <c:pt idx="390">
                  <c:v>604</c:v>
                </c:pt>
                <c:pt idx="391">
                  <c:v>397</c:v>
                </c:pt>
                <c:pt idx="392">
                  <c:v>382</c:v>
                </c:pt>
                <c:pt idx="393">
                  <c:v>435</c:v>
                </c:pt>
                <c:pt idx="394">
                  <c:v>379</c:v>
                </c:pt>
                <c:pt idx="395">
                  <c:v>233</c:v>
                </c:pt>
                <c:pt idx="396">
                  <c:v>274</c:v>
                </c:pt>
                <c:pt idx="397">
                  <c:v>534</c:v>
                </c:pt>
                <c:pt idx="398">
                  <c:v>396</c:v>
                </c:pt>
                <c:pt idx="399">
                  <c:v>441</c:v>
                </c:pt>
                <c:pt idx="400">
                  <c:v>372</c:v>
                </c:pt>
                <c:pt idx="401">
                  <c:v>367</c:v>
                </c:pt>
                <c:pt idx="402">
                  <c:v>237</c:v>
                </c:pt>
                <c:pt idx="403">
                  <c:v>264</c:v>
                </c:pt>
                <c:pt idx="404">
                  <c:v>461</c:v>
                </c:pt>
                <c:pt idx="405">
                  <c:v>373</c:v>
                </c:pt>
                <c:pt idx="406">
                  <c:v>383</c:v>
                </c:pt>
                <c:pt idx="407">
                  <c:v>361</c:v>
                </c:pt>
                <c:pt idx="408">
                  <c:v>418</c:v>
                </c:pt>
                <c:pt idx="409">
                  <c:v>279</c:v>
                </c:pt>
                <c:pt idx="410">
                  <c:v>281</c:v>
                </c:pt>
                <c:pt idx="411">
                  <c:v>617</c:v>
                </c:pt>
                <c:pt idx="412">
                  <c:v>514</c:v>
                </c:pt>
                <c:pt idx="413">
                  <c:v>553</c:v>
                </c:pt>
                <c:pt idx="414">
                  <c:v>613</c:v>
                </c:pt>
                <c:pt idx="415">
                  <c:v>573</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fi-FI"/>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13.12.2021 saakka. Suurin arvo 2319, joka 13.12.2021. Uusimpien 4 päivien arvot tulevat viiveellä, joten ne on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71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pt idx="677">
                  <c:v>2021-W45</c:v>
                </c:pt>
                <c:pt idx="684">
                  <c:v>2021-W46</c:v>
                </c:pt>
                <c:pt idx="691">
                  <c:v>2021-W47</c:v>
                </c:pt>
                <c:pt idx="698">
                  <c:v>2021-W48</c:v>
                </c:pt>
                <c:pt idx="705">
                  <c:v>2021-W49</c:v>
                </c:pt>
                <c:pt idx="712">
                  <c:v>2021-W50</c:v>
                </c:pt>
              </c:strCache>
            </c:strRef>
          </c:cat>
          <c:val>
            <c:numRef>
              <c:f>[0]!PlotY</c:f>
              <c:numCache>
                <c:formatCode>General</c:formatCode>
                <c:ptCount val="7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45</c:v>
                </c:pt>
                <c:pt idx="257">
                  <c:v>59</c:v>
                </c:pt>
                <c:pt idx="258">
                  <c:v>53</c:v>
                </c:pt>
                <c:pt idx="259">
                  <c:v>58</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301</c:v>
                </c:pt>
                <c:pt idx="280">
                  <c:v>306</c:v>
                </c:pt>
                <c:pt idx="281">
                  <c:v>259</c:v>
                </c:pt>
                <c:pt idx="282">
                  <c:v>226</c:v>
                </c:pt>
                <c:pt idx="283">
                  <c:v>111</c:v>
                </c:pt>
                <c:pt idx="284">
                  <c:v>132</c:v>
                </c:pt>
                <c:pt idx="285">
                  <c:v>256</c:v>
                </c:pt>
                <c:pt idx="286">
                  <c:v>199</c:v>
                </c:pt>
                <c:pt idx="287">
                  <c:v>202</c:v>
                </c:pt>
                <c:pt idx="288">
                  <c:v>190</c:v>
                </c:pt>
                <c:pt idx="289">
                  <c:v>195</c:v>
                </c:pt>
                <c:pt idx="290">
                  <c:v>104</c:v>
                </c:pt>
                <c:pt idx="291">
                  <c:v>129</c:v>
                </c:pt>
                <c:pt idx="292">
                  <c:v>243</c:v>
                </c:pt>
                <c:pt idx="293">
                  <c:v>167</c:v>
                </c:pt>
                <c:pt idx="294">
                  <c:v>188</c:v>
                </c:pt>
                <c:pt idx="295">
                  <c:v>222</c:v>
                </c:pt>
                <c:pt idx="296">
                  <c:v>194</c:v>
                </c:pt>
                <c:pt idx="297">
                  <c:v>107</c:v>
                </c:pt>
                <c:pt idx="298">
                  <c:v>124</c:v>
                </c:pt>
                <c:pt idx="299">
                  <c:v>255</c:v>
                </c:pt>
                <c:pt idx="300">
                  <c:v>234</c:v>
                </c:pt>
                <c:pt idx="301">
                  <c:v>240</c:v>
                </c:pt>
                <c:pt idx="302">
                  <c:v>236</c:v>
                </c:pt>
                <c:pt idx="303">
                  <c:v>220</c:v>
                </c:pt>
                <c:pt idx="304">
                  <c:v>121</c:v>
                </c:pt>
                <c:pt idx="305">
                  <c:v>151</c:v>
                </c:pt>
                <c:pt idx="306">
                  <c:v>287</c:v>
                </c:pt>
                <c:pt idx="307">
                  <c:v>241</c:v>
                </c:pt>
                <c:pt idx="308">
                  <c:v>214</c:v>
                </c:pt>
                <c:pt idx="309">
                  <c:v>218</c:v>
                </c:pt>
                <c:pt idx="310">
                  <c:v>196</c:v>
                </c:pt>
                <c:pt idx="311">
                  <c:v>128</c:v>
                </c:pt>
                <c:pt idx="312">
                  <c:v>132</c:v>
                </c:pt>
                <c:pt idx="313">
                  <c:v>273</c:v>
                </c:pt>
                <c:pt idx="314">
                  <c:v>206</c:v>
                </c:pt>
                <c:pt idx="315">
                  <c:v>295</c:v>
                </c:pt>
                <c:pt idx="316">
                  <c:v>284</c:v>
                </c:pt>
                <c:pt idx="317">
                  <c:v>268</c:v>
                </c:pt>
                <c:pt idx="318">
                  <c:v>145</c:v>
                </c:pt>
                <c:pt idx="319">
                  <c:v>180</c:v>
                </c:pt>
                <c:pt idx="320">
                  <c:v>393</c:v>
                </c:pt>
                <c:pt idx="321">
                  <c:v>388</c:v>
                </c:pt>
                <c:pt idx="322">
                  <c:v>377</c:v>
                </c:pt>
                <c:pt idx="323">
                  <c:v>478</c:v>
                </c:pt>
                <c:pt idx="324">
                  <c:v>428</c:v>
                </c:pt>
                <c:pt idx="325">
                  <c:v>270</c:v>
                </c:pt>
                <c:pt idx="326">
                  <c:v>266</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283</c:v>
                </c:pt>
                <c:pt idx="341">
                  <c:v>587</c:v>
                </c:pt>
                <c:pt idx="342">
                  <c:v>478</c:v>
                </c:pt>
                <c:pt idx="343">
                  <c:v>462</c:v>
                </c:pt>
                <c:pt idx="344">
                  <c:v>407</c:v>
                </c:pt>
                <c:pt idx="345">
                  <c:v>447</c:v>
                </c:pt>
                <c:pt idx="346">
                  <c:v>249</c:v>
                </c:pt>
                <c:pt idx="347">
                  <c:v>276</c:v>
                </c:pt>
                <c:pt idx="348">
                  <c:v>463</c:v>
                </c:pt>
                <c:pt idx="349">
                  <c:v>360</c:v>
                </c:pt>
                <c:pt idx="350">
                  <c:v>352</c:v>
                </c:pt>
                <c:pt idx="351">
                  <c:v>324</c:v>
                </c:pt>
                <c:pt idx="352">
                  <c:v>394</c:v>
                </c:pt>
                <c:pt idx="353">
                  <c:v>191</c:v>
                </c:pt>
                <c:pt idx="354">
                  <c:v>244</c:v>
                </c:pt>
                <c:pt idx="355">
                  <c:v>375</c:v>
                </c:pt>
                <c:pt idx="356">
                  <c:v>332</c:v>
                </c:pt>
                <c:pt idx="357">
                  <c:v>277</c:v>
                </c:pt>
                <c:pt idx="358">
                  <c:v>138</c:v>
                </c:pt>
                <c:pt idx="359">
                  <c:v>157</c:v>
                </c:pt>
                <c:pt idx="360">
                  <c:v>183</c:v>
                </c:pt>
                <c:pt idx="361">
                  <c:v>191</c:v>
                </c:pt>
                <c:pt idx="362">
                  <c:v>435</c:v>
                </c:pt>
                <c:pt idx="363">
                  <c:v>308</c:v>
                </c:pt>
                <c:pt idx="364">
                  <c:v>255</c:v>
                </c:pt>
                <c:pt idx="365">
                  <c:v>254</c:v>
                </c:pt>
                <c:pt idx="366">
                  <c:v>128</c:v>
                </c:pt>
                <c:pt idx="367">
                  <c:v>205</c:v>
                </c:pt>
                <c:pt idx="368">
                  <c:v>169</c:v>
                </c:pt>
                <c:pt idx="369">
                  <c:v>396</c:v>
                </c:pt>
                <c:pt idx="370">
                  <c:v>262</c:v>
                </c:pt>
                <c:pt idx="371">
                  <c:v>208</c:v>
                </c:pt>
                <c:pt idx="372">
                  <c:v>332</c:v>
                </c:pt>
                <c:pt idx="373">
                  <c:v>252</c:v>
                </c:pt>
                <c:pt idx="374">
                  <c:v>193</c:v>
                </c:pt>
                <c:pt idx="375">
                  <c:v>188</c:v>
                </c:pt>
                <c:pt idx="376">
                  <c:v>386</c:v>
                </c:pt>
                <c:pt idx="377">
                  <c:v>229</c:v>
                </c:pt>
                <c:pt idx="378">
                  <c:v>259</c:v>
                </c:pt>
                <c:pt idx="379">
                  <c:v>248</c:v>
                </c:pt>
                <c:pt idx="380">
                  <c:v>266</c:v>
                </c:pt>
                <c:pt idx="381">
                  <c:v>171</c:v>
                </c:pt>
                <c:pt idx="382">
                  <c:v>198</c:v>
                </c:pt>
                <c:pt idx="383">
                  <c:v>448</c:v>
                </c:pt>
                <c:pt idx="384">
                  <c:v>342</c:v>
                </c:pt>
                <c:pt idx="385">
                  <c:v>406</c:v>
                </c:pt>
                <c:pt idx="386">
                  <c:v>377</c:v>
                </c:pt>
                <c:pt idx="387">
                  <c:v>361</c:v>
                </c:pt>
                <c:pt idx="388">
                  <c:v>168</c:v>
                </c:pt>
                <c:pt idx="389">
                  <c:v>247</c:v>
                </c:pt>
                <c:pt idx="390">
                  <c:v>604</c:v>
                </c:pt>
                <c:pt idx="391">
                  <c:v>397</c:v>
                </c:pt>
                <c:pt idx="392">
                  <c:v>382</c:v>
                </c:pt>
                <c:pt idx="393">
                  <c:v>435</c:v>
                </c:pt>
                <c:pt idx="394">
                  <c:v>379</c:v>
                </c:pt>
                <c:pt idx="395">
                  <c:v>233</c:v>
                </c:pt>
                <c:pt idx="396">
                  <c:v>274</c:v>
                </c:pt>
                <c:pt idx="397">
                  <c:v>534</c:v>
                </c:pt>
                <c:pt idx="398">
                  <c:v>396</c:v>
                </c:pt>
                <c:pt idx="399">
                  <c:v>441</c:v>
                </c:pt>
                <c:pt idx="400">
                  <c:v>372</c:v>
                </c:pt>
                <c:pt idx="401">
                  <c:v>367</c:v>
                </c:pt>
                <c:pt idx="402">
                  <c:v>237</c:v>
                </c:pt>
                <c:pt idx="403">
                  <c:v>264</c:v>
                </c:pt>
                <c:pt idx="404">
                  <c:v>461</c:v>
                </c:pt>
                <c:pt idx="405">
                  <c:v>373</c:v>
                </c:pt>
                <c:pt idx="406">
                  <c:v>383</c:v>
                </c:pt>
                <c:pt idx="407">
                  <c:v>361</c:v>
                </c:pt>
                <c:pt idx="408">
                  <c:v>418</c:v>
                </c:pt>
                <c:pt idx="409">
                  <c:v>279</c:v>
                </c:pt>
                <c:pt idx="410">
                  <c:v>281</c:v>
                </c:pt>
                <c:pt idx="411">
                  <c:v>617</c:v>
                </c:pt>
                <c:pt idx="412">
                  <c:v>514</c:v>
                </c:pt>
                <c:pt idx="413">
                  <c:v>553</c:v>
                </c:pt>
                <c:pt idx="414">
                  <c:v>613</c:v>
                </c:pt>
                <c:pt idx="415">
                  <c:v>573</c:v>
                </c:pt>
                <c:pt idx="416">
                  <c:v>318</c:v>
                </c:pt>
                <c:pt idx="417">
                  <c:v>355</c:v>
                </c:pt>
                <c:pt idx="418">
                  <c:v>624</c:v>
                </c:pt>
                <c:pt idx="419">
                  <c:v>626</c:v>
                </c:pt>
                <c:pt idx="420">
                  <c:v>599</c:v>
                </c:pt>
                <c:pt idx="421">
                  <c:v>629</c:v>
                </c:pt>
                <c:pt idx="422">
                  <c:v>688</c:v>
                </c:pt>
                <c:pt idx="423">
                  <c:v>405</c:v>
                </c:pt>
                <c:pt idx="424">
                  <c:v>422</c:v>
                </c:pt>
                <c:pt idx="425">
                  <c:v>873</c:v>
                </c:pt>
                <c:pt idx="426">
                  <c:v>758</c:v>
                </c:pt>
                <c:pt idx="427">
                  <c:v>733</c:v>
                </c:pt>
                <c:pt idx="428">
                  <c:v>639</c:v>
                </c:pt>
                <c:pt idx="429">
                  <c:v>630</c:v>
                </c:pt>
                <c:pt idx="430">
                  <c:v>433</c:v>
                </c:pt>
                <c:pt idx="431">
                  <c:v>396</c:v>
                </c:pt>
                <c:pt idx="432">
                  <c:v>834</c:v>
                </c:pt>
                <c:pt idx="433">
                  <c:v>773</c:v>
                </c:pt>
                <c:pt idx="434">
                  <c:v>822</c:v>
                </c:pt>
                <c:pt idx="435">
                  <c:v>780</c:v>
                </c:pt>
                <c:pt idx="436">
                  <c:v>808</c:v>
                </c:pt>
                <c:pt idx="437">
                  <c:v>495</c:v>
                </c:pt>
                <c:pt idx="438">
                  <c:v>435</c:v>
                </c:pt>
                <c:pt idx="439">
                  <c:v>893</c:v>
                </c:pt>
                <c:pt idx="440">
                  <c:v>767</c:v>
                </c:pt>
                <c:pt idx="441">
                  <c:v>744</c:v>
                </c:pt>
                <c:pt idx="442">
                  <c:v>739</c:v>
                </c:pt>
                <c:pt idx="443">
                  <c:v>745</c:v>
                </c:pt>
                <c:pt idx="444">
                  <c:v>404</c:v>
                </c:pt>
                <c:pt idx="445">
                  <c:v>420</c:v>
                </c:pt>
                <c:pt idx="446">
                  <c:v>768</c:v>
                </c:pt>
                <c:pt idx="447">
                  <c:v>704</c:v>
                </c:pt>
                <c:pt idx="448">
                  <c:v>695</c:v>
                </c:pt>
                <c:pt idx="449">
                  <c:v>606</c:v>
                </c:pt>
                <c:pt idx="450">
                  <c:v>688</c:v>
                </c:pt>
                <c:pt idx="451">
                  <c:v>352</c:v>
                </c:pt>
                <c:pt idx="452">
                  <c:v>376</c:v>
                </c:pt>
                <c:pt idx="453">
                  <c:v>655</c:v>
                </c:pt>
                <c:pt idx="454">
                  <c:v>572</c:v>
                </c:pt>
                <c:pt idx="455">
                  <c:v>550</c:v>
                </c:pt>
                <c:pt idx="456">
                  <c:v>486</c:v>
                </c:pt>
                <c:pt idx="457">
                  <c:v>361</c:v>
                </c:pt>
                <c:pt idx="458">
                  <c:v>324</c:v>
                </c:pt>
                <c:pt idx="459">
                  <c:v>322</c:v>
                </c:pt>
                <c:pt idx="460">
                  <c:v>360</c:v>
                </c:pt>
                <c:pt idx="461">
                  <c:v>544</c:v>
                </c:pt>
                <c:pt idx="462">
                  <c:v>426</c:v>
                </c:pt>
                <c:pt idx="463">
                  <c:v>407</c:v>
                </c:pt>
                <c:pt idx="464">
                  <c:v>352</c:v>
                </c:pt>
                <c:pt idx="465">
                  <c:v>227</c:v>
                </c:pt>
                <c:pt idx="466">
                  <c:v>240</c:v>
                </c:pt>
                <c:pt idx="467">
                  <c:v>399</c:v>
                </c:pt>
                <c:pt idx="468">
                  <c:v>323</c:v>
                </c:pt>
                <c:pt idx="469">
                  <c:v>344</c:v>
                </c:pt>
                <c:pt idx="470">
                  <c:v>274</c:v>
                </c:pt>
                <c:pt idx="471">
                  <c:v>265</c:v>
                </c:pt>
                <c:pt idx="472">
                  <c:v>172</c:v>
                </c:pt>
                <c:pt idx="473">
                  <c:v>156</c:v>
                </c:pt>
                <c:pt idx="474">
                  <c:v>286</c:v>
                </c:pt>
                <c:pt idx="475">
                  <c:v>286</c:v>
                </c:pt>
                <c:pt idx="476">
                  <c:v>233</c:v>
                </c:pt>
                <c:pt idx="477">
                  <c:v>257</c:v>
                </c:pt>
                <c:pt idx="478">
                  <c:v>255</c:v>
                </c:pt>
                <c:pt idx="479">
                  <c:v>155</c:v>
                </c:pt>
                <c:pt idx="480">
                  <c:v>140</c:v>
                </c:pt>
                <c:pt idx="481">
                  <c:v>242</c:v>
                </c:pt>
                <c:pt idx="482">
                  <c:v>229</c:v>
                </c:pt>
                <c:pt idx="483">
                  <c:v>274</c:v>
                </c:pt>
                <c:pt idx="484">
                  <c:v>201</c:v>
                </c:pt>
                <c:pt idx="485">
                  <c:v>197</c:v>
                </c:pt>
                <c:pt idx="486">
                  <c:v>109</c:v>
                </c:pt>
                <c:pt idx="487">
                  <c:v>135</c:v>
                </c:pt>
                <c:pt idx="488">
                  <c:v>318</c:v>
                </c:pt>
                <c:pt idx="489">
                  <c:v>206</c:v>
                </c:pt>
                <c:pt idx="490">
                  <c:v>265</c:v>
                </c:pt>
                <c:pt idx="491">
                  <c:v>239</c:v>
                </c:pt>
                <c:pt idx="492">
                  <c:v>214</c:v>
                </c:pt>
                <c:pt idx="493">
                  <c:v>134</c:v>
                </c:pt>
                <c:pt idx="494">
                  <c:v>130</c:v>
                </c:pt>
                <c:pt idx="495">
                  <c:v>257</c:v>
                </c:pt>
                <c:pt idx="496">
                  <c:v>215</c:v>
                </c:pt>
                <c:pt idx="497">
                  <c:v>256</c:v>
                </c:pt>
                <c:pt idx="498">
                  <c:v>157</c:v>
                </c:pt>
                <c:pt idx="499">
                  <c:v>249</c:v>
                </c:pt>
                <c:pt idx="500">
                  <c:v>164</c:v>
                </c:pt>
                <c:pt idx="501">
                  <c:v>134</c:v>
                </c:pt>
                <c:pt idx="502">
                  <c:v>285</c:v>
                </c:pt>
                <c:pt idx="503">
                  <c:v>217</c:v>
                </c:pt>
                <c:pt idx="504">
                  <c:v>231</c:v>
                </c:pt>
                <c:pt idx="505">
                  <c:v>217</c:v>
                </c:pt>
                <c:pt idx="506">
                  <c:v>168</c:v>
                </c:pt>
                <c:pt idx="507">
                  <c:v>108</c:v>
                </c:pt>
                <c:pt idx="508">
                  <c:v>93</c:v>
                </c:pt>
                <c:pt idx="509">
                  <c:v>188</c:v>
                </c:pt>
                <c:pt idx="510">
                  <c:v>153</c:v>
                </c:pt>
                <c:pt idx="511">
                  <c:v>143</c:v>
                </c:pt>
                <c:pt idx="512">
                  <c:v>127</c:v>
                </c:pt>
                <c:pt idx="513">
                  <c:v>136</c:v>
                </c:pt>
                <c:pt idx="514">
                  <c:v>64</c:v>
                </c:pt>
                <c:pt idx="515">
                  <c:v>79</c:v>
                </c:pt>
                <c:pt idx="516">
                  <c:v>151</c:v>
                </c:pt>
                <c:pt idx="517">
                  <c:v>121</c:v>
                </c:pt>
                <c:pt idx="518">
                  <c:v>119</c:v>
                </c:pt>
                <c:pt idx="519">
                  <c:v>111</c:v>
                </c:pt>
                <c:pt idx="520">
                  <c:v>103</c:v>
                </c:pt>
                <c:pt idx="521">
                  <c:v>64</c:v>
                </c:pt>
                <c:pt idx="522">
                  <c:v>60</c:v>
                </c:pt>
                <c:pt idx="523">
                  <c:v>139</c:v>
                </c:pt>
                <c:pt idx="524">
                  <c:v>101</c:v>
                </c:pt>
                <c:pt idx="525">
                  <c:v>81</c:v>
                </c:pt>
                <c:pt idx="526">
                  <c:v>73</c:v>
                </c:pt>
                <c:pt idx="527">
                  <c:v>70</c:v>
                </c:pt>
                <c:pt idx="528">
                  <c:v>46</c:v>
                </c:pt>
                <c:pt idx="529">
                  <c:v>48</c:v>
                </c:pt>
                <c:pt idx="530">
                  <c:v>93</c:v>
                </c:pt>
                <c:pt idx="531">
                  <c:v>78</c:v>
                </c:pt>
                <c:pt idx="532">
                  <c:v>64</c:v>
                </c:pt>
                <c:pt idx="533">
                  <c:v>91</c:v>
                </c:pt>
                <c:pt idx="534">
                  <c:v>81</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132</c:v>
                </c:pt>
                <c:pt idx="550">
                  <c:v>108</c:v>
                </c:pt>
                <c:pt idx="551">
                  <c:v>244</c:v>
                </c:pt>
                <c:pt idx="552">
                  <c:v>260</c:v>
                </c:pt>
                <c:pt idx="553">
                  <c:v>292</c:v>
                </c:pt>
                <c:pt idx="554">
                  <c:v>285</c:v>
                </c:pt>
                <c:pt idx="555">
                  <c:v>309</c:v>
                </c:pt>
                <c:pt idx="556">
                  <c:v>149</c:v>
                </c:pt>
                <c:pt idx="557">
                  <c:v>160</c:v>
                </c:pt>
                <c:pt idx="558">
                  <c:v>330</c:v>
                </c:pt>
                <c:pt idx="559">
                  <c:v>342</c:v>
                </c:pt>
                <c:pt idx="560">
                  <c:v>385</c:v>
                </c:pt>
                <c:pt idx="561">
                  <c:v>382</c:v>
                </c:pt>
                <c:pt idx="562">
                  <c:v>355</c:v>
                </c:pt>
                <c:pt idx="563">
                  <c:v>206</c:v>
                </c:pt>
                <c:pt idx="564">
                  <c:v>249</c:v>
                </c:pt>
                <c:pt idx="565">
                  <c:v>422</c:v>
                </c:pt>
                <c:pt idx="566">
                  <c:v>424</c:v>
                </c:pt>
                <c:pt idx="567">
                  <c:v>468</c:v>
                </c:pt>
                <c:pt idx="568">
                  <c:v>487</c:v>
                </c:pt>
                <c:pt idx="569">
                  <c:v>478</c:v>
                </c:pt>
                <c:pt idx="570">
                  <c:v>301</c:v>
                </c:pt>
                <c:pt idx="571">
                  <c:v>352</c:v>
                </c:pt>
                <c:pt idx="572">
                  <c:v>770</c:v>
                </c:pt>
                <c:pt idx="573">
                  <c:v>724</c:v>
                </c:pt>
                <c:pt idx="574">
                  <c:v>810</c:v>
                </c:pt>
                <c:pt idx="575">
                  <c:v>772</c:v>
                </c:pt>
                <c:pt idx="576">
                  <c:v>697</c:v>
                </c:pt>
                <c:pt idx="577">
                  <c:v>408</c:v>
                </c:pt>
                <c:pt idx="578">
                  <c:v>477</c:v>
                </c:pt>
                <c:pt idx="579">
                  <c:v>893</c:v>
                </c:pt>
                <c:pt idx="580">
                  <c:v>840</c:v>
                </c:pt>
                <c:pt idx="581">
                  <c:v>784</c:v>
                </c:pt>
                <c:pt idx="582">
                  <c:v>876</c:v>
                </c:pt>
                <c:pt idx="583">
                  <c:v>684</c:v>
                </c:pt>
                <c:pt idx="584">
                  <c:v>486</c:v>
                </c:pt>
                <c:pt idx="585">
                  <c:v>537</c:v>
                </c:pt>
                <c:pt idx="586">
                  <c:v>1037</c:v>
                </c:pt>
                <c:pt idx="587">
                  <c:v>826</c:v>
                </c:pt>
                <c:pt idx="588">
                  <c:v>925</c:v>
                </c:pt>
                <c:pt idx="589">
                  <c:v>789</c:v>
                </c:pt>
                <c:pt idx="590">
                  <c:v>740</c:v>
                </c:pt>
                <c:pt idx="591">
                  <c:v>426</c:v>
                </c:pt>
                <c:pt idx="592">
                  <c:v>445</c:v>
                </c:pt>
                <c:pt idx="593">
                  <c:v>768</c:v>
                </c:pt>
                <c:pt idx="594">
                  <c:v>741</c:v>
                </c:pt>
                <c:pt idx="595">
                  <c:v>708</c:v>
                </c:pt>
                <c:pt idx="596">
                  <c:v>671</c:v>
                </c:pt>
                <c:pt idx="597">
                  <c:v>655</c:v>
                </c:pt>
                <c:pt idx="598">
                  <c:v>398</c:v>
                </c:pt>
                <c:pt idx="599">
                  <c:v>457</c:v>
                </c:pt>
                <c:pt idx="600">
                  <c:v>682</c:v>
                </c:pt>
                <c:pt idx="601">
                  <c:v>609</c:v>
                </c:pt>
                <c:pt idx="602">
                  <c:v>699</c:v>
                </c:pt>
                <c:pt idx="603">
                  <c:v>611</c:v>
                </c:pt>
                <c:pt idx="604">
                  <c:v>706</c:v>
                </c:pt>
                <c:pt idx="605">
                  <c:v>439</c:v>
                </c:pt>
                <c:pt idx="606">
                  <c:v>464</c:v>
                </c:pt>
                <c:pt idx="607">
                  <c:v>744</c:v>
                </c:pt>
                <c:pt idx="608">
                  <c:v>650</c:v>
                </c:pt>
                <c:pt idx="609">
                  <c:v>648</c:v>
                </c:pt>
                <c:pt idx="610">
                  <c:v>651</c:v>
                </c:pt>
                <c:pt idx="611">
                  <c:v>520</c:v>
                </c:pt>
                <c:pt idx="612">
                  <c:v>336</c:v>
                </c:pt>
                <c:pt idx="613">
                  <c:v>346</c:v>
                </c:pt>
                <c:pt idx="614">
                  <c:v>581</c:v>
                </c:pt>
                <c:pt idx="615">
                  <c:v>523</c:v>
                </c:pt>
                <c:pt idx="616">
                  <c:v>482</c:v>
                </c:pt>
                <c:pt idx="617">
                  <c:v>459</c:v>
                </c:pt>
                <c:pt idx="618">
                  <c:v>496</c:v>
                </c:pt>
                <c:pt idx="619">
                  <c:v>329</c:v>
                </c:pt>
                <c:pt idx="620">
                  <c:v>283</c:v>
                </c:pt>
                <c:pt idx="621">
                  <c:v>535</c:v>
                </c:pt>
                <c:pt idx="622">
                  <c:v>481</c:v>
                </c:pt>
                <c:pt idx="623">
                  <c:v>454</c:v>
                </c:pt>
                <c:pt idx="624">
                  <c:v>437</c:v>
                </c:pt>
                <c:pt idx="625">
                  <c:v>389</c:v>
                </c:pt>
                <c:pt idx="626">
                  <c:v>240</c:v>
                </c:pt>
                <c:pt idx="627">
                  <c:v>285</c:v>
                </c:pt>
                <c:pt idx="628">
                  <c:v>489</c:v>
                </c:pt>
                <c:pt idx="629">
                  <c:v>489</c:v>
                </c:pt>
                <c:pt idx="630">
                  <c:v>483</c:v>
                </c:pt>
                <c:pt idx="631">
                  <c:v>479</c:v>
                </c:pt>
                <c:pt idx="632">
                  <c:v>424</c:v>
                </c:pt>
                <c:pt idx="633">
                  <c:v>298</c:v>
                </c:pt>
                <c:pt idx="634">
                  <c:v>354</c:v>
                </c:pt>
                <c:pt idx="635">
                  <c:v>684</c:v>
                </c:pt>
                <c:pt idx="636">
                  <c:v>643</c:v>
                </c:pt>
                <c:pt idx="637">
                  <c:v>669</c:v>
                </c:pt>
                <c:pt idx="638">
                  <c:v>618</c:v>
                </c:pt>
                <c:pt idx="639">
                  <c:v>531</c:v>
                </c:pt>
                <c:pt idx="640">
                  <c:v>355</c:v>
                </c:pt>
                <c:pt idx="641">
                  <c:v>383</c:v>
                </c:pt>
                <c:pt idx="642">
                  <c:v>742</c:v>
                </c:pt>
                <c:pt idx="643">
                  <c:v>729</c:v>
                </c:pt>
                <c:pt idx="644">
                  <c:v>746</c:v>
                </c:pt>
                <c:pt idx="645">
                  <c:v>611</c:v>
                </c:pt>
                <c:pt idx="646">
                  <c:v>596</c:v>
                </c:pt>
                <c:pt idx="647">
                  <c:v>426</c:v>
                </c:pt>
                <c:pt idx="648">
                  <c:v>399</c:v>
                </c:pt>
                <c:pt idx="649">
                  <c:v>691</c:v>
                </c:pt>
                <c:pt idx="650">
                  <c:v>610</c:v>
                </c:pt>
                <c:pt idx="651">
                  <c:v>638</c:v>
                </c:pt>
                <c:pt idx="652">
                  <c:v>557</c:v>
                </c:pt>
                <c:pt idx="653">
                  <c:v>562</c:v>
                </c:pt>
                <c:pt idx="654">
                  <c:v>344</c:v>
                </c:pt>
                <c:pt idx="655">
                  <c:v>320</c:v>
                </c:pt>
                <c:pt idx="656">
                  <c:v>661</c:v>
                </c:pt>
                <c:pt idx="657">
                  <c:v>550</c:v>
                </c:pt>
                <c:pt idx="658">
                  <c:v>516</c:v>
                </c:pt>
                <c:pt idx="659">
                  <c:v>623</c:v>
                </c:pt>
                <c:pt idx="660">
                  <c:v>580</c:v>
                </c:pt>
                <c:pt idx="661">
                  <c:v>374</c:v>
                </c:pt>
                <c:pt idx="662">
                  <c:v>389</c:v>
                </c:pt>
                <c:pt idx="663">
                  <c:v>793</c:v>
                </c:pt>
                <c:pt idx="664">
                  <c:v>679</c:v>
                </c:pt>
                <c:pt idx="665">
                  <c:v>640</c:v>
                </c:pt>
                <c:pt idx="666">
                  <c:v>589</c:v>
                </c:pt>
                <c:pt idx="667">
                  <c:v>656</c:v>
                </c:pt>
                <c:pt idx="668">
                  <c:v>402</c:v>
                </c:pt>
                <c:pt idx="669">
                  <c:v>439</c:v>
                </c:pt>
                <c:pt idx="670">
                  <c:v>973</c:v>
                </c:pt>
                <c:pt idx="671">
                  <c:v>756</c:v>
                </c:pt>
                <c:pt idx="672">
                  <c:v>770</c:v>
                </c:pt>
                <c:pt idx="673">
                  <c:v>804</c:v>
                </c:pt>
                <c:pt idx="674">
                  <c:v>843</c:v>
                </c:pt>
                <c:pt idx="675">
                  <c:v>514</c:v>
                </c:pt>
                <c:pt idx="676">
                  <c:v>508</c:v>
                </c:pt>
                <c:pt idx="677">
                  <c:v>1121</c:v>
                </c:pt>
                <c:pt idx="678">
                  <c:v>833</c:v>
                </c:pt>
                <c:pt idx="679">
                  <c:v>968</c:v>
                </c:pt>
                <c:pt idx="680">
                  <c:v>934</c:v>
                </c:pt>
                <c:pt idx="681">
                  <c:v>946</c:v>
                </c:pt>
                <c:pt idx="682">
                  <c:v>620</c:v>
                </c:pt>
                <c:pt idx="683">
                  <c:v>572</c:v>
                </c:pt>
                <c:pt idx="684">
                  <c:v>1252</c:v>
                </c:pt>
                <c:pt idx="685">
                  <c:v>1199</c:v>
                </c:pt>
                <c:pt idx="686">
                  <c:v>1168</c:v>
                </c:pt>
                <c:pt idx="687">
                  <c:v>1213</c:v>
                </c:pt>
                <c:pt idx="688">
                  <c:v>1273</c:v>
                </c:pt>
                <c:pt idx="689">
                  <c:v>709</c:v>
                </c:pt>
                <c:pt idx="690">
                  <c:v>675</c:v>
                </c:pt>
                <c:pt idx="691">
                  <c:v>1416</c:v>
                </c:pt>
                <c:pt idx="692">
                  <c:v>1334</c:v>
                </c:pt>
                <c:pt idx="693">
                  <c:v>1251</c:v>
                </c:pt>
                <c:pt idx="694">
                  <c:v>1269</c:v>
                </c:pt>
                <c:pt idx="695">
                  <c:v>1299</c:v>
                </c:pt>
                <c:pt idx="696">
                  <c:v>789</c:v>
                </c:pt>
                <c:pt idx="697">
                  <c:v>787</c:v>
                </c:pt>
                <c:pt idx="698">
                  <c:v>1685</c:v>
                </c:pt>
                <c:pt idx="699">
                  <c:v>1423</c:v>
                </c:pt>
                <c:pt idx="700">
                  <c:v>1442</c:v>
                </c:pt>
                <c:pt idx="701">
                  <c:v>1464</c:v>
                </c:pt>
                <c:pt idx="702">
                  <c:v>1525</c:v>
                </c:pt>
                <c:pt idx="703">
                  <c:v>976</c:v>
                </c:pt>
                <c:pt idx="704">
                  <c:v>1003</c:v>
                </c:pt>
                <c:pt idx="705">
                  <c:v>1075</c:v>
                </c:pt>
                <c:pt idx="706">
                  <c:v>1914</c:v>
                </c:pt>
                <c:pt idx="707">
                  <c:v>1721</c:v>
                </c:pt>
                <c:pt idx="708">
                  <c:v>1696</c:v>
                </c:pt>
                <c:pt idx="709">
                  <c:v>1800</c:v>
                </c:pt>
                <c:pt idx="710">
                  <c:v>1115</c:v>
                </c:pt>
                <c:pt idx="711">
                  <c:v>1266</c:v>
                </c:pt>
                <c:pt idx="712">
                  <c:v>2319</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380.38235294117646</c:v>
                </c:pt>
                <c:pt idx="1">
                  <c:v>341.11764705882354</c:v>
                </c:pt>
                <c:pt idx="2">
                  <c:v>339.64077669902912</c:v>
                </c:pt>
                <c:pt idx="3">
                  <c:v>319.79611650485435</c:v>
                </c:pt>
                <c:pt idx="4">
                  <c:v>305.33980582524271</c:v>
                </c:pt>
                <c:pt idx="5">
                  <c:v>193.07843137254903</c:v>
                </c:pt>
                <c:pt idx="6">
                  <c:v>202.5392156862745</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N=213318. Uusimmat 17.12.2021 lisäykset 2079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20.11</c:v>
                </c:pt>
                <c:pt idx="1">
                  <c:v>21.11</c:v>
                </c:pt>
                <c:pt idx="2">
                  <c:v>Ma 22</c:v>
                </c:pt>
                <c:pt idx="3">
                  <c:v>23.11</c:v>
                </c:pt>
                <c:pt idx="4">
                  <c:v>24.11</c:v>
                </c:pt>
                <c:pt idx="5">
                  <c:v>25.11</c:v>
                </c:pt>
                <c:pt idx="6">
                  <c:v>26.11</c:v>
                </c:pt>
                <c:pt idx="7">
                  <c:v>27.11</c:v>
                </c:pt>
                <c:pt idx="8">
                  <c:v>28.11</c:v>
                </c:pt>
                <c:pt idx="9">
                  <c:v>Ma 29</c:v>
                </c:pt>
                <c:pt idx="10">
                  <c:v>30.11</c:v>
                </c:pt>
                <c:pt idx="11">
                  <c:v>1.12</c:v>
                </c:pt>
                <c:pt idx="12">
                  <c:v>2.12</c:v>
                </c:pt>
                <c:pt idx="13">
                  <c:v>3.12</c:v>
                </c:pt>
                <c:pt idx="14">
                  <c:v>4.12</c:v>
                </c:pt>
                <c:pt idx="15">
                  <c:v>5.12</c:v>
                </c:pt>
                <c:pt idx="16">
                  <c:v>Ma 6</c:v>
                </c:pt>
                <c:pt idx="17">
                  <c:v>7.12</c:v>
                </c:pt>
                <c:pt idx="18">
                  <c:v>8.12</c:v>
                </c:pt>
                <c:pt idx="19">
                  <c:v>9.12</c:v>
                </c:pt>
                <c:pt idx="20">
                  <c:v>10.12</c:v>
                </c:pt>
                <c:pt idx="21">
                  <c:v>11.12</c:v>
                </c:pt>
                <c:pt idx="22">
                  <c:v>12.12</c:v>
                </c:pt>
                <c:pt idx="23">
                  <c:v>Ma 13</c:v>
                </c:pt>
                <c:pt idx="24">
                  <c:v>14.12</c:v>
                </c:pt>
                <c:pt idx="25">
                  <c:v>15.12</c:v>
                </c:pt>
                <c:pt idx="26">
                  <c:v>16.12</c:v>
                </c:pt>
                <c:pt idx="27">
                  <c:v>17.12</c:v>
                </c:pt>
              </c:strCache>
            </c:strRef>
          </c:cat>
          <c:val>
            <c:numRef>
              <c:f>Lisäys!$E$7:$E$34</c:f>
              <c:numCache>
                <c:formatCode>General</c:formatCode>
                <c:ptCount val="28"/>
                <c:pt idx="0">
                  <c:v>709</c:v>
                </c:pt>
                <c:pt idx="1">
                  <c:v>675</c:v>
                </c:pt>
                <c:pt idx="2">
                  <c:v>1416</c:v>
                </c:pt>
                <c:pt idx="3">
                  <c:v>1334</c:v>
                </c:pt>
                <c:pt idx="4">
                  <c:v>1251</c:v>
                </c:pt>
                <c:pt idx="5">
                  <c:v>1269</c:v>
                </c:pt>
                <c:pt idx="6">
                  <c:v>1299</c:v>
                </c:pt>
                <c:pt idx="7">
                  <c:v>789</c:v>
                </c:pt>
                <c:pt idx="8">
                  <c:v>787</c:v>
                </c:pt>
                <c:pt idx="9">
                  <c:v>1685</c:v>
                </c:pt>
                <c:pt idx="10">
                  <c:v>1423</c:v>
                </c:pt>
                <c:pt idx="11">
                  <c:v>1442</c:v>
                </c:pt>
                <c:pt idx="12">
                  <c:v>1464</c:v>
                </c:pt>
                <c:pt idx="13">
                  <c:v>1525</c:v>
                </c:pt>
                <c:pt idx="14">
                  <c:v>976</c:v>
                </c:pt>
                <c:pt idx="15">
                  <c:v>1003</c:v>
                </c:pt>
                <c:pt idx="16">
                  <c:v>1075</c:v>
                </c:pt>
                <c:pt idx="17">
                  <c:v>1914</c:v>
                </c:pt>
                <c:pt idx="18">
                  <c:v>1721</c:v>
                </c:pt>
                <c:pt idx="19">
                  <c:v>1696</c:v>
                </c:pt>
                <c:pt idx="20">
                  <c:v>1800</c:v>
                </c:pt>
                <c:pt idx="21">
                  <c:v>1115</c:v>
                </c:pt>
                <c:pt idx="22">
                  <c:v>1266</c:v>
                </c:pt>
                <c:pt idx="23">
                  <c:v>2319</c:v>
                </c:pt>
                <c:pt idx="24">
                  <c:v>1752</c:v>
                </c:pt>
                <c:pt idx="25">
                  <c:v>1691</c:v>
                </c:pt>
                <c:pt idx="26">
                  <c:v>758</c:v>
                </c:pt>
                <c:pt idx="27">
                  <c:v>0</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20.11</c:v>
                </c:pt>
                <c:pt idx="1">
                  <c:v>21.11</c:v>
                </c:pt>
                <c:pt idx="2">
                  <c:v>Ma 22</c:v>
                </c:pt>
                <c:pt idx="3">
                  <c:v>23.11</c:v>
                </c:pt>
                <c:pt idx="4">
                  <c:v>24.11</c:v>
                </c:pt>
                <c:pt idx="5">
                  <c:v>25.11</c:v>
                </c:pt>
                <c:pt idx="6">
                  <c:v>26.11</c:v>
                </c:pt>
                <c:pt idx="7">
                  <c:v>27.11</c:v>
                </c:pt>
                <c:pt idx="8">
                  <c:v>28.11</c:v>
                </c:pt>
                <c:pt idx="9">
                  <c:v>Ma 29</c:v>
                </c:pt>
                <c:pt idx="10">
                  <c:v>30.11</c:v>
                </c:pt>
                <c:pt idx="11">
                  <c:v>1.12</c:v>
                </c:pt>
                <c:pt idx="12">
                  <c:v>2.12</c:v>
                </c:pt>
                <c:pt idx="13">
                  <c:v>3.12</c:v>
                </c:pt>
                <c:pt idx="14">
                  <c:v>4.12</c:v>
                </c:pt>
                <c:pt idx="15">
                  <c:v>5.12</c:v>
                </c:pt>
                <c:pt idx="16">
                  <c:v>Ma 6</c:v>
                </c:pt>
                <c:pt idx="17">
                  <c:v>7.12</c:v>
                </c:pt>
                <c:pt idx="18">
                  <c:v>8.12</c:v>
                </c:pt>
                <c:pt idx="19">
                  <c:v>9.12</c:v>
                </c:pt>
                <c:pt idx="20">
                  <c:v>10.12</c:v>
                </c:pt>
                <c:pt idx="21">
                  <c:v>11.12</c:v>
                </c:pt>
                <c:pt idx="22">
                  <c:v>12.12</c:v>
                </c:pt>
                <c:pt idx="23">
                  <c:v>Ma 13</c:v>
                </c:pt>
                <c:pt idx="24">
                  <c:v>14.12</c:v>
                </c:pt>
                <c:pt idx="25">
                  <c:v>15.12</c:v>
                </c:pt>
                <c:pt idx="26">
                  <c:v>16.12</c:v>
                </c:pt>
                <c:pt idx="27">
                  <c:v>17.12</c:v>
                </c:pt>
              </c:strCache>
            </c:strRef>
          </c:cat>
          <c:val>
            <c:numRef>
              <c:f>Lisäys!$F$7:$F$34</c:f>
              <c:numCache>
                <c:formatCode>General</c:formatCode>
                <c:ptCount val="28"/>
                <c:pt idx="0">
                  <c:v>0</c:v>
                </c:pt>
                <c:pt idx="1">
                  <c:v>0</c:v>
                </c:pt>
                <c:pt idx="2">
                  <c:v>0</c:v>
                </c:pt>
                <c:pt idx="3">
                  <c:v>1</c:v>
                </c:pt>
                <c:pt idx="4">
                  <c:v>0</c:v>
                </c:pt>
                <c:pt idx="5">
                  <c:v>0</c:v>
                </c:pt>
                <c:pt idx="6">
                  <c:v>0</c:v>
                </c:pt>
                <c:pt idx="7">
                  <c:v>1</c:v>
                </c:pt>
                <c:pt idx="8">
                  <c:v>1</c:v>
                </c:pt>
                <c:pt idx="9">
                  <c:v>1</c:v>
                </c:pt>
                <c:pt idx="10">
                  <c:v>2</c:v>
                </c:pt>
                <c:pt idx="11">
                  <c:v>4</c:v>
                </c:pt>
                <c:pt idx="12">
                  <c:v>5</c:v>
                </c:pt>
                <c:pt idx="13">
                  <c:v>0</c:v>
                </c:pt>
                <c:pt idx="14">
                  <c:v>6</c:v>
                </c:pt>
                <c:pt idx="15">
                  <c:v>4</c:v>
                </c:pt>
                <c:pt idx="16">
                  <c:v>11</c:v>
                </c:pt>
                <c:pt idx="17">
                  <c:v>2</c:v>
                </c:pt>
                <c:pt idx="18">
                  <c:v>3</c:v>
                </c:pt>
                <c:pt idx="19">
                  <c:v>0</c:v>
                </c:pt>
                <c:pt idx="20">
                  <c:v>6</c:v>
                </c:pt>
                <c:pt idx="21">
                  <c:v>7</c:v>
                </c:pt>
                <c:pt idx="22">
                  <c:v>2</c:v>
                </c:pt>
                <c:pt idx="23">
                  <c:v>78</c:v>
                </c:pt>
                <c:pt idx="24">
                  <c:v>216</c:v>
                </c:pt>
                <c:pt idx="25">
                  <c:v>970</c:v>
                </c:pt>
                <c:pt idx="26">
                  <c:v>757</c:v>
                </c:pt>
                <c:pt idx="27">
                  <c:v>0</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13.12.2021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44543.625</c:v>
                </c:pt>
                <c:pt idx="1">
                  <c:v>44536.625</c:v>
                </c:pt>
                <c:pt idx="2">
                  <c:v>44529.625</c:v>
                </c:pt>
                <c:pt idx="3">
                  <c:v>44522.625</c:v>
                </c:pt>
                <c:pt idx="4">
                  <c:v>44515.625</c:v>
                </c:pt>
                <c:pt idx="5">
                  <c:v>44508.625</c:v>
                </c:pt>
                <c:pt idx="6">
                  <c:v>44501.625</c:v>
                </c:pt>
                <c:pt idx="7">
                  <c:v>44494.625</c:v>
                </c:pt>
                <c:pt idx="8">
                  <c:v>44487.625</c:v>
                </c:pt>
                <c:pt idx="9">
                  <c:v>44480.625</c:v>
                </c:pt>
              </c:numCache>
            </c:numRef>
          </c:xVal>
          <c:yVal>
            <c:numRef>
              <c:f>Lisäys!$E$50:$E$59</c:f>
              <c:numCache>
                <c:formatCode>General</c:formatCode>
                <c:ptCount val="10"/>
                <c:pt idx="0">
                  <c:v>2319</c:v>
                </c:pt>
                <c:pt idx="1">
                  <c:v>1075</c:v>
                </c:pt>
                <c:pt idx="2">
                  <c:v>1685</c:v>
                </c:pt>
                <c:pt idx="3">
                  <c:v>1416</c:v>
                </c:pt>
                <c:pt idx="4">
                  <c:v>1252</c:v>
                </c:pt>
                <c:pt idx="5">
                  <c:v>1121</c:v>
                </c:pt>
                <c:pt idx="6">
                  <c:v>973</c:v>
                </c:pt>
                <c:pt idx="7">
                  <c:v>793</c:v>
                </c:pt>
                <c:pt idx="8">
                  <c:v>661</c:v>
                </c:pt>
                <c:pt idx="9">
                  <c:v>691</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44542.625</c:v>
                </c:pt>
                <c:pt idx="1">
                  <c:v>44535.625</c:v>
                </c:pt>
                <c:pt idx="2">
                  <c:v>44528.625</c:v>
                </c:pt>
                <c:pt idx="3">
                  <c:v>44521.625</c:v>
                </c:pt>
                <c:pt idx="4">
                  <c:v>44514.625</c:v>
                </c:pt>
                <c:pt idx="5">
                  <c:v>44507.625</c:v>
                </c:pt>
                <c:pt idx="6">
                  <c:v>44500.625</c:v>
                </c:pt>
                <c:pt idx="7">
                  <c:v>44493.625</c:v>
                </c:pt>
                <c:pt idx="8">
                  <c:v>44486.625</c:v>
                </c:pt>
                <c:pt idx="9">
                  <c:v>44479.625</c:v>
                </c:pt>
              </c:numCache>
            </c:numRef>
          </c:xVal>
          <c:yVal>
            <c:numRef>
              <c:f>Lisäys!$I$50:$I$59</c:f>
              <c:numCache>
                <c:formatCode>General</c:formatCode>
                <c:ptCount val="10"/>
                <c:pt idx="0">
                  <c:v>1266</c:v>
                </c:pt>
                <c:pt idx="1">
                  <c:v>1003</c:v>
                </c:pt>
                <c:pt idx="2">
                  <c:v>787</c:v>
                </c:pt>
                <c:pt idx="3">
                  <c:v>675</c:v>
                </c:pt>
                <c:pt idx="4">
                  <c:v>572</c:v>
                </c:pt>
                <c:pt idx="5">
                  <c:v>508</c:v>
                </c:pt>
                <c:pt idx="6">
                  <c:v>439</c:v>
                </c:pt>
                <c:pt idx="7">
                  <c:v>389</c:v>
                </c:pt>
                <c:pt idx="8">
                  <c:v>320</c:v>
                </c:pt>
                <c:pt idx="9">
                  <c:v>399</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44541.625</c:v>
                </c:pt>
                <c:pt idx="1">
                  <c:v>44534.625</c:v>
                </c:pt>
                <c:pt idx="2">
                  <c:v>44527.625</c:v>
                </c:pt>
                <c:pt idx="3">
                  <c:v>44520.625</c:v>
                </c:pt>
                <c:pt idx="4">
                  <c:v>44513.625</c:v>
                </c:pt>
                <c:pt idx="5">
                  <c:v>44506.625</c:v>
                </c:pt>
                <c:pt idx="6">
                  <c:v>44499.625</c:v>
                </c:pt>
                <c:pt idx="7">
                  <c:v>44492.625</c:v>
                </c:pt>
                <c:pt idx="8">
                  <c:v>44485.625</c:v>
                </c:pt>
                <c:pt idx="9">
                  <c:v>44478.625</c:v>
                </c:pt>
              </c:numCache>
            </c:numRef>
          </c:xVal>
          <c:yVal>
            <c:numRef>
              <c:f>Lisäys!$M$50:$M$59</c:f>
              <c:numCache>
                <c:formatCode>General</c:formatCode>
                <c:ptCount val="10"/>
                <c:pt idx="0">
                  <c:v>1115</c:v>
                </c:pt>
                <c:pt idx="1">
                  <c:v>976</c:v>
                </c:pt>
                <c:pt idx="2">
                  <c:v>789</c:v>
                </c:pt>
                <c:pt idx="3">
                  <c:v>709</c:v>
                </c:pt>
                <c:pt idx="4">
                  <c:v>620</c:v>
                </c:pt>
                <c:pt idx="5">
                  <c:v>514</c:v>
                </c:pt>
                <c:pt idx="6">
                  <c:v>402</c:v>
                </c:pt>
                <c:pt idx="7">
                  <c:v>374</c:v>
                </c:pt>
                <c:pt idx="8">
                  <c:v>344</c:v>
                </c:pt>
                <c:pt idx="9">
                  <c:v>426</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44540.625</c:v>
                </c:pt>
                <c:pt idx="1">
                  <c:v>44533.625</c:v>
                </c:pt>
                <c:pt idx="2">
                  <c:v>44526.625</c:v>
                </c:pt>
                <c:pt idx="3">
                  <c:v>44519.625</c:v>
                </c:pt>
                <c:pt idx="4">
                  <c:v>44512.625</c:v>
                </c:pt>
                <c:pt idx="5">
                  <c:v>44505.625</c:v>
                </c:pt>
                <c:pt idx="6">
                  <c:v>44498.625</c:v>
                </c:pt>
                <c:pt idx="7">
                  <c:v>44491.625</c:v>
                </c:pt>
                <c:pt idx="8">
                  <c:v>44484.625</c:v>
                </c:pt>
                <c:pt idx="9">
                  <c:v>44477.625</c:v>
                </c:pt>
              </c:numCache>
            </c:numRef>
          </c:xVal>
          <c:yVal>
            <c:numRef>
              <c:f>Lisäys!$Q$50:$Q$59</c:f>
              <c:numCache>
                <c:formatCode>General</c:formatCode>
                <c:ptCount val="10"/>
                <c:pt idx="0">
                  <c:v>1800</c:v>
                </c:pt>
                <c:pt idx="1">
                  <c:v>1525</c:v>
                </c:pt>
                <c:pt idx="2">
                  <c:v>1299</c:v>
                </c:pt>
                <c:pt idx="3">
                  <c:v>1273</c:v>
                </c:pt>
                <c:pt idx="4">
                  <c:v>946</c:v>
                </c:pt>
                <c:pt idx="5">
                  <c:v>843</c:v>
                </c:pt>
                <c:pt idx="6">
                  <c:v>656</c:v>
                </c:pt>
                <c:pt idx="7">
                  <c:v>580</c:v>
                </c:pt>
                <c:pt idx="8">
                  <c:v>562</c:v>
                </c:pt>
                <c:pt idx="9">
                  <c:v>596</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44539.625</c:v>
                </c:pt>
                <c:pt idx="1">
                  <c:v>44532.625</c:v>
                </c:pt>
                <c:pt idx="2">
                  <c:v>44525.625</c:v>
                </c:pt>
                <c:pt idx="3">
                  <c:v>44518.625</c:v>
                </c:pt>
                <c:pt idx="4">
                  <c:v>44511.625</c:v>
                </c:pt>
                <c:pt idx="5">
                  <c:v>44504.625</c:v>
                </c:pt>
                <c:pt idx="6">
                  <c:v>44497.625</c:v>
                </c:pt>
                <c:pt idx="7">
                  <c:v>44490.625</c:v>
                </c:pt>
                <c:pt idx="8">
                  <c:v>44483.625</c:v>
                </c:pt>
                <c:pt idx="9">
                  <c:v>44476.625</c:v>
                </c:pt>
              </c:numCache>
            </c:numRef>
          </c:xVal>
          <c:yVal>
            <c:numRef>
              <c:f>Lisäys!$U$50:$U$59</c:f>
              <c:numCache>
                <c:formatCode>General</c:formatCode>
                <c:ptCount val="10"/>
                <c:pt idx="0">
                  <c:v>1696</c:v>
                </c:pt>
                <c:pt idx="1">
                  <c:v>1464</c:v>
                </c:pt>
                <c:pt idx="2">
                  <c:v>1269</c:v>
                </c:pt>
                <c:pt idx="3">
                  <c:v>1213</c:v>
                </c:pt>
                <c:pt idx="4">
                  <c:v>934</c:v>
                </c:pt>
                <c:pt idx="5">
                  <c:v>804</c:v>
                </c:pt>
                <c:pt idx="6">
                  <c:v>589</c:v>
                </c:pt>
                <c:pt idx="7">
                  <c:v>623</c:v>
                </c:pt>
                <c:pt idx="8">
                  <c:v>557</c:v>
                </c:pt>
                <c:pt idx="9">
                  <c:v>611</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44538.625</c:v>
                </c:pt>
                <c:pt idx="1">
                  <c:v>44531.625</c:v>
                </c:pt>
                <c:pt idx="2">
                  <c:v>44524.625</c:v>
                </c:pt>
                <c:pt idx="3">
                  <c:v>44517.625</c:v>
                </c:pt>
                <c:pt idx="4">
                  <c:v>44510.625</c:v>
                </c:pt>
                <c:pt idx="5">
                  <c:v>44503.625</c:v>
                </c:pt>
                <c:pt idx="6">
                  <c:v>44496.625</c:v>
                </c:pt>
                <c:pt idx="7">
                  <c:v>44489.625</c:v>
                </c:pt>
                <c:pt idx="8">
                  <c:v>44482.625</c:v>
                </c:pt>
                <c:pt idx="9">
                  <c:v>44475.625</c:v>
                </c:pt>
              </c:numCache>
            </c:numRef>
          </c:xVal>
          <c:yVal>
            <c:numRef>
              <c:f>Lisäys!$Y$50:$Y$59</c:f>
              <c:numCache>
                <c:formatCode>General</c:formatCode>
                <c:ptCount val="10"/>
                <c:pt idx="0">
                  <c:v>1721</c:v>
                </c:pt>
                <c:pt idx="1">
                  <c:v>1442</c:v>
                </c:pt>
                <c:pt idx="2">
                  <c:v>1251</c:v>
                </c:pt>
                <c:pt idx="3">
                  <c:v>1168</c:v>
                </c:pt>
                <c:pt idx="4">
                  <c:v>968</c:v>
                </c:pt>
                <c:pt idx="5">
                  <c:v>770</c:v>
                </c:pt>
                <c:pt idx="6">
                  <c:v>640</c:v>
                </c:pt>
                <c:pt idx="7">
                  <c:v>516</c:v>
                </c:pt>
                <c:pt idx="8">
                  <c:v>638</c:v>
                </c:pt>
                <c:pt idx="9">
                  <c:v>746</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44537.625</c:v>
                </c:pt>
                <c:pt idx="1">
                  <c:v>44530.625</c:v>
                </c:pt>
                <c:pt idx="2">
                  <c:v>44523.625</c:v>
                </c:pt>
                <c:pt idx="3">
                  <c:v>44516.625</c:v>
                </c:pt>
                <c:pt idx="4">
                  <c:v>44509.625</c:v>
                </c:pt>
                <c:pt idx="5">
                  <c:v>44502.625</c:v>
                </c:pt>
                <c:pt idx="6">
                  <c:v>44495.625</c:v>
                </c:pt>
                <c:pt idx="7">
                  <c:v>44488.625</c:v>
                </c:pt>
                <c:pt idx="8">
                  <c:v>44481.625</c:v>
                </c:pt>
                <c:pt idx="9">
                  <c:v>44474.625</c:v>
                </c:pt>
              </c:numCache>
            </c:numRef>
          </c:xVal>
          <c:yVal>
            <c:numRef>
              <c:f>Lisäys!$AC$50:$AC$59</c:f>
              <c:numCache>
                <c:formatCode>General</c:formatCode>
                <c:ptCount val="10"/>
                <c:pt idx="0">
                  <c:v>1914</c:v>
                </c:pt>
                <c:pt idx="1">
                  <c:v>1423</c:v>
                </c:pt>
                <c:pt idx="2">
                  <c:v>1334</c:v>
                </c:pt>
                <c:pt idx="3">
                  <c:v>1199</c:v>
                </c:pt>
                <c:pt idx="4">
                  <c:v>833</c:v>
                </c:pt>
                <c:pt idx="5">
                  <c:v>756</c:v>
                </c:pt>
                <c:pt idx="6">
                  <c:v>679</c:v>
                </c:pt>
                <c:pt idx="7">
                  <c:v>550</c:v>
                </c:pt>
                <c:pt idx="8">
                  <c:v>610</c:v>
                </c:pt>
                <c:pt idx="9">
                  <c:v>729</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2319</c:v>
                </c:pt>
                <c:pt idx="1">
                  <c:v>1914</c:v>
                </c:pt>
                <c:pt idx="2">
                  <c:v>1721</c:v>
                </c:pt>
                <c:pt idx="3">
                  <c:v>1696</c:v>
                </c:pt>
                <c:pt idx="4">
                  <c:v>1800</c:v>
                </c:pt>
                <c:pt idx="5">
                  <c:v>1115</c:v>
                </c:pt>
                <c:pt idx="6">
                  <c:v>1266</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2AB97AC0-61A6-451F-AFED-AC61120CE22E}" type="CELLRANGE">
                      <a:rPr lang="en-US"/>
                      <a:pPr/>
                      <a:t>[CELLRANGE]</a:t>
                    </a:fld>
                    <a:r>
                      <a:rPr lang="en-US" baseline="0"/>
                      <a:t>; </a:t>
                    </a:r>
                    <a:fld id="{92354747-4188-4212-A831-91123ED1BD7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651DBE02-D8B7-4607-8DE5-82B8C856AF74}" type="CELLRANGE">
                      <a:rPr lang="en-US"/>
                      <a:pPr/>
                      <a:t>[CELLRANGE]</a:t>
                    </a:fld>
                    <a:r>
                      <a:rPr lang="en-US" baseline="0"/>
                      <a:t>; </a:t>
                    </a:r>
                    <a:fld id="{ACCAA14E-F84E-49E1-A8AC-C80C78242EE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215D30EB-EC4B-4D4F-B396-FDB4B1FA2275}" type="CELLRANGE">
                      <a:rPr lang="en-US"/>
                      <a:pPr/>
                      <a:t>[CELLRANGE]</a:t>
                    </a:fld>
                    <a:r>
                      <a:rPr lang="en-US" baseline="0"/>
                      <a:t>; </a:t>
                    </a:r>
                    <a:fld id="{0F1E6235-FE94-4660-A85C-9A2DB798A86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F5D0A4EF-41C5-4C14-B921-2C921AE97DD3}" type="CELLRANGE">
                      <a:rPr lang="en-US"/>
                      <a:pPr/>
                      <a:t>[CELLRANGE]</a:t>
                    </a:fld>
                    <a:r>
                      <a:rPr lang="en-US" baseline="0"/>
                      <a:t>; </a:t>
                    </a:r>
                    <a:fld id="{1874BBB1-92BD-49BD-A64A-AD96B918499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62A5A0C3-370F-4D73-AF69-E4B31846BE05}" type="CELLRANGE">
                      <a:rPr lang="en-US"/>
                      <a:pPr/>
                      <a:t>[CELLRANGE]</a:t>
                    </a:fld>
                    <a:r>
                      <a:rPr lang="en-US" baseline="0"/>
                      <a:t>; </a:t>
                    </a:r>
                    <a:fld id="{98AACC0F-24CE-49AF-9BDE-664D1AC04B3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25C0616D-2CEC-47E4-BE7D-6D00F97E2BC2}" type="CELLRANGE">
                      <a:rPr lang="en-US"/>
                      <a:pPr/>
                      <a:t>[CELLRANGE]</a:t>
                    </a:fld>
                    <a:r>
                      <a:rPr lang="en-US" baseline="0"/>
                      <a:t>; </a:t>
                    </a:r>
                    <a:fld id="{DD28C40F-A608-44AE-83E2-83B517F3D3A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E2B29CA0-F2C7-402B-9EA3-52FA9257A5A8}" type="CELLRANGE">
                      <a:rPr lang="en-US"/>
                      <a:pPr/>
                      <a:t>[CELLRANGE]</a:t>
                    </a:fld>
                    <a:r>
                      <a:rPr lang="en-US" baseline="0"/>
                      <a:t>; </a:t>
                    </a:r>
                    <a:fld id="{CF1E3C8E-8DBE-4DE9-ACDB-54AF1E13DE4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2319</c:v>
                </c:pt>
                <c:pt idx="1">
                  <c:v>1914</c:v>
                </c:pt>
                <c:pt idx="2">
                  <c:v>1721</c:v>
                </c:pt>
                <c:pt idx="3">
                  <c:v>1696</c:v>
                </c:pt>
                <c:pt idx="4">
                  <c:v>1800</c:v>
                </c:pt>
                <c:pt idx="5">
                  <c:v>1115</c:v>
                </c:pt>
                <c:pt idx="6">
                  <c:v>1266</c:v>
                </c:pt>
              </c:numCache>
            </c:numRef>
          </c:val>
          <c:extLst>
            <c:ext xmlns:c15="http://schemas.microsoft.com/office/drawing/2012/chart" uri="{02D57815-91ED-43cb-92C2-25804820EDAC}">
              <c15:datalabelsRange>
                <c15:f>Kuvaajat!$P$25:$P$31</c15:f>
                <c15:dlblRangeCache>
                  <c:ptCount val="7"/>
                  <c:pt idx="0">
                    <c:v>13.12.</c:v>
                  </c:pt>
                  <c:pt idx="1">
                    <c:v>7.12.</c:v>
                  </c:pt>
                  <c:pt idx="2">
                    <c:v>8.12.</c:v>
                  </c:pt>
                  <c:pt idx="3">
                    <c:v>9.12.</c:v>
                  </c:pt>
                  <c:pt idx="4">
                    <c:v>10.12.</c:v>
                  </c:pt>
                  <c:pt idx="5">
                    <c:v>11.12.</c:v>
                  </c:pt>
                  <c:pt idx="6">
                    <c:v>12.12.</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13.12.2021 saakka. Suurin arvo 2319, joka 13.12.2021. Uusimpien 4 päivien arvot tulevat viiveellä, joten ne on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HUS!PlotX</c:f>
              <c:strCache>
                <c:ptCount val="71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pt idx="677">
                  <c:v>2021-W45</c:v>
                </c:pt>
                <c:pt idx="684">
                  <c:v>2021-W46</c:v>
                </c:pt>
                <c:pt idx="691">
                  <c:v>2021-W47</c:v>
                </c:pt>
                <c:pt idx="698">
                  <c:v>2021-W48</c:v>
                </c:pt>
                <c:pt idx="705">
                  <c:v>2021-W49</c:v>
                </c:pt>
                <c:pt idx="712">
                  <c:v>2021-W50</c:v>
                </c:pt>
              </c:strCache>
            </c:strRef>
          </c:cat>
          <c:val>
            <c:numRef>
              <c:f>HUS!PlotY</c:f>
              <c:numCache>
                <c:formatCode>General</c:formatCode>
                <c:ptCount val="7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84</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100</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236</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95</c:v>
                </c:pt>
                <c:pt idx="360">
                  <c:v>93</c:v>
                </c:pt>
                <c:pt idx="361">
                  <c:v>111</c:v>
                </c:pt>
                <c:pt idx="362">
                  <c:v>223</c:v>
                </c:pt>
                <c:pt idx="363">
                  <c:v>164</c:v>
                </c:pt>
                <c:pt idx="364">
                  <c:v>110</c:v>
                </c:pt>
                <c:pt idx="365">
                  <c:v>136</c:v>
                </c:pt>
                <c:pt idx="366">
                  <c:v>66</c:v>
                </c:pt>
                <c:pt idx="367">
                  <c:v>117</c:v>
                </c:pt>
                <c:pt idx="368">
                  <c:v>93</c:v>
                </c:pt>
                <c:pt idx="369">
                  <c:v>195</c:v>
                </c:pt>
                <c:pt idx="370">
                  <c:v>153</c:v>
                </c:pt>
                <c:pt idx="371">
                  <c:v>94</c:v>
                </c:pt>
                <c:pt idx="372">
                  <c:v>161</c:v>
                </c:pt>
                <c:pt idx="373">
                  <c:v>146</c:v>
                </c:pt>
                <c:pt idx="374">
                  <c:v>100</c:v>
                </c:pt>
                <c:pt idx="375">
                  <c:v>119</c:v>
                </c:pt>
                <c:pt idx="376">
                  <c:v>187</c:v>
                </c:pt>
                <c:pt idx="377">
                  <c:v>127</c:v>
                </c:pt>
                <c:pt idx="378">
                  <c:v>119</c:v>
                </c:pt>
                <c:pt idx="379">
                  <c:v>122</c:v>
                </c:pt>
                <c:pt idx="380">
                  <c:v>108</c:v>
                </c:pt>
                <c:pt idx="381">
                  <c:v>97</c:v>
                </c:pt>
                <c:pt idx="382">
                  <c:v>97</c:v>
                </c:pt>
                <c:pt idx="383">
                  <c:v>257</c:v>
                </c:pt>
                <c:pt idx="384">
                  <c:v>189</c:v>
                </c:pt>
                <c:pt idx="385">
                  <c:v>211</c:v>
                </c:pt>
                <c:pt idx="386">
                  <c:v>178</c:v>
                </c:pt>
                <c:pt idx="387">
                  <c:v>196</c:v>
                </c:pt>
                <c:pt idx="388">
                  <c:v>93</c:v>
                </c:pt>
                <c:pt idx="389">
                  <c:v>153</c:v>
                </c:pt>
                <c:pt idx="390">
                  <c:v>254</c:v>
                </c:pt>
                <c:pt idx="391">
                  <c:v>212</c:v>
                </c:pt>
                <c:pt idx="392">
                  <c:v>188</c:v>
                </c:pt>
                <c:pt idx="393">
                  <c:v>229</c:v>
                </c:pt>
                <c:pt idx="394">
                  <c:v>191</c:v>
                </c:pt>
                <c:pt idx="395">
                  <c:v>134</c:v>
                </c:pt>
                <c:pt idx="396">
                  <c:v>167</c:v>
                </c:pt>
                <c:pt idx="397">
                  <c:v>296</c:v>
                </c:pt>
                <c:pt idx="398">
                  <c:v>250</c:v>
                </c:pt>
                <c:pt idx="399">
                  <c:v>263</c:v>
                </c:pt>
                <c:pt idx="400">
                  <c:v>224</c:v>
                </c:pt>
                <c:pt idx="401">
                  <c:v>216</c:v>
                </c:pt>
                <c:pt idx="402">
                  <c:v>152</c:v>
                </c:pt>
                <c:pt idx="403">
                  <c:v>172</c:v>
                </c:pt>
                <c:pt idx="404">
                  <c:v>294</c:v>
                </c:pt>
                <c:pt idx="405">
                  <c:v>241</c:v>
                </c:pt>
                <c:pt idx="406">
                  <c:v>229</c:v>
                </c:pt>
                <c:pt idx="407">
                  <c:v>236</c:v>
                </c:pt>
                <c:pt idx="408">
                  <c:v>260</c:v>
                </c:pt>
                <c:pt idx="409">
                  <c:v>192</c:v>
                </c:pt>
                <c:pt idx="410">
                  <c:v>181</c:v>
                </c:pt>
                <c:pt idx="411">
                  <c:v>362</c:v>
                </c:pt>
                <c:pt idx="412">
                  <c:v>328</c:v>
                </c:pt>
                <c:pt idx="413">
                  <c:v>329</c:v>
                </c:pt>
                <c:pt idx="414">
                  <c:v>327</c:v>
                </c:pt>
                <c:pt idx="415">
                  <c:v>306</c:v>
                </c:pt>
                <c:pt idx="416">
                  <c:v>185</c:v>
                </c:pt>
                <c:pt idx="417">
                  <c:v>218</c:v>
                </c:pt>
                <c:pt idx="418">
                  <c:v>387</c:v>
                </c:pt>
                <c:pt idx="419">
                  <c:v>383</c:v>
                </c:pt>
                <c:pt idx="420">
                  <c:v>417</c:v>
                </c:pt>
                <c:pt idx="421">
                  <c:v>361</c:v>
                </c:pt>
                <c:pt idx="422">
                  <c:v>428</c:v>
                </c:pt>
                <c:pt idx="423">
                  <c:v>268</c:v>
                </c:pt>
                <c:pt idx="424">
                  <c:v>267</c:v>
                </c:pt>
                <c:pt idx="425">
                  <c:v>480</c:v>
                </c:pt>
                <c:pt idx="426">
                  <c:v>492</c:v>
                </c:pt>
                <c:pt idx="427">
                  <c:v>476</c:v>
                </c:pt>
                <c:pt idx="428">
                  <c:v>389</c:v>
                </c:pt>
                <c:pt idx="429">
                  <c:v>420</c:v>
                </c:pt>
                <c:pt idx="430">
                  <c:v>276</c:v>
                </c:pt>
                <c:pt idx="431">
                  <c:v>257</c:v>
                </c:pt>
                <c:pt idx="432">
                  <c:v>500</c:v>
                </c:pt>
                <c:pt idx="433">
                  <c:v>506</c:v>
                </c:pt>
                <c:pt idx="434">
                  <c:v>504</c:v>
                </c:pt>
                <c:pt idx="435">
                  <c:v>477</c:v>
                </c:pt>
                <c:pt idx="436">
                  <c:v>519</c:v>
                </c:pt>
                <c:pt idx="437">
                  <c:v>329</c:v>
                </c:pt>
                <c:pt idx="438">
                  <c:v>262</c:v>
                </c:pt>
                <c:pt idx="439">
                  <c:v>508</c:v>
                </c:pt>
                <c:pt idx="440">
                  <c:v>453</c:v>
                </c:pt>
                <c:pt idx="441">
                  <c:v>417</c:v>
                </c:pt>
                <c:pt idx="442">
                  <c:v>455</c:v>
                </c:pt>
                <c:pt idx="443">
                  <c:v>444</c:v>
                </c:pt>
                <c:pt idx="444">
                  <c:v>287</c:v>
                </c:pt>
                <c:pt idx="445">
                  <c:v>288</c:v>
                </c:pt>
                <c:pt idx="446">
                  <c:v>450</c:v>
                </c:pt>
                <c:pt idx="447">
                  <c:v>452</c:v>
                </c:pt>
                <c:pt idx="448">
                  <c:v>394</c:v>
                </c:pt>
                <c:pt idx="449">
                  <c:v>355</c:v>
                </c:pt>
                <c:pt idx="450">
                  <c:v>407</c:v>
                </c:pt>
                <c:pt idx="451">
                  <c:v>199</c:v>
                </c:pt>
                <c:pt idx="452">
                  <c:v>248</c:v>
                </c:pt>
                <c:pt idx="453">
                  <c:v>378</c:v>
                </c:pt>
                <c:pt idx="454">
                  <c:v>323</c:v>
                </c:pt>
                <c:pt idx="455">
                  <c:v>333</c:v>
                </c:pt>
                <c:pt idx="456">
                  <c:v>252</c:v>
                </c:pt>
                <c:pt idx="457">
                  <c:v>223</c:v>
                </c:pt>
                <c:pt idx="458">
                  <c:v>191</c:v>
                </c:pt>
                <c:pt idx="459">
                  <c:v>206</c:v>
                </c:pt>
                <c:pt idx="460">
                  <c:v>233</c:v>
                </c:pt>
                <c:pt idx="461">
                  <c:v>306</c:v>
                </c:pt>
                <c:pt idx="462">
                  <c:v>246</c:v>
                </c:pt>
                <c:pt idx="463">
                  <c:v>211</c:v>
                </c:pt>
                <c:pt idx="464">
                  <c:v>175</c:v>
                </c:pt>
                <c:pt idx="465">
                  <c:v>138</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114</c:v>
                </c:pt>
                <c:pt idx="490">
                  <c:v>125</c:v>
                </c:pt>
                <c:pt idx="491">
                  <c:v>113</c:v>
                </c:pt>
                <c:pt idx="492">
                  <c:v>94</c:v>
                </c:pt>
                <c:pt idx="493">
                  <c:v>69</c:v>
                </c:pt>
                <c:pt idx="494">
                  <c:v>69</c:v>
                </c:pt>
                <c:pt idx="495">
                  <c:v>138</c:v>
                </c:pt>
                <c:pt idx="496">
                  <c:v>108</c:v>
                </c:pt>
                <c:pt idx="497">
                  <c:v>146</c:v>
                </c:pt>
                <c:pt idx="498">
                  <c:v>77</c:v>
                </c:pt>
                <c:pt idx="499">
                  <c:v>86</c:v>
                </c:pt>
                <c:pt idx="500">
                  <c:v>80</c:v>
                </c:pt>
                <c:pt idx="501">
                  <c:v>56</c:v>
                </c:pt>
                <c:pt idx="502">
                  <c:v>120</c:v>
                </c:pt>
                <c:pt idx="503">
                  <c:v>110</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127</c:v>
                </c:pt>
                <c:pt idx="542">
                  <c:v>81</c:v>
                </c:pt>
                <c:pt idx="543">
                  <c:v>58</c:v>
                </c:pt>
                <c:pt idx="544">
                  <c:v>115</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205</c:v>
                </c:pt>
                <c:pt idx="560">
                  <c:v>232</c:v>
                </c:pt>
                <c:pt idx="561">
                  <c:v>216</c:v>
                </c:pt>
                <c:pt idx="562">
                  <c:v>208</c:v>
                </c:pt>
                <c:pt idx="563">
                  <c:v>140</c:v>
                </c:pt>
                <c:pt idx="564">
                  <c:v>138</c:v>
                </c:pt>
                <c:pt idx="565">
                  <c:v>214</c:v>
                </c:pt>
                <c:pt idx="566">
                  <c:v>242</c:v>
                </c:pt>
                <c:pt idx="567">
                  <c:v>228</c:v>
                </c:pt>
                <c:pt idx="568">
                  <c:v>213</c:v>
                </c:pt>
                <c:pt idx="569">
                  <c:v>241</c:v>
                </c:pt>
                <c:pt idx="570">
                  <c:v>172</c:v>
                </c:pt>
                <c:pt idx="571">
                  <c:v>187</c:v>
                </c:pt>
                <c:pt idx="572">
                  <c:v>410</c:v>
                </c:pt>
                <c:pt idx="573">
                  <c:v>327</c:v>
                </c:pt>
                <c:pt idx="574">
                  <c:v>411</c:v>
                </c:pt>
                <c:pt idx="575">
                  <c:v>358</c:v>
                </c:pt>
                <c:pt idx="576">
                  <c:v>318</c:v>
                </c:pt>
                <c:pt idx="577">
                  <c:v>237</c:v>
                </c:pt>
                <c:pt idx="578">
                  <c:v>275</c:v>
                </c:pt>
                <c:pt idx="579">
                  <c:v>442</c:v>
                </c:pt>
                <c:pt idx="580">
                  <c:v>439</c:v>
                </c:pt>
                <c:pt idx="581">
                  <c:v>391</c:v>
                </c:pt>
                <c:pt idx="582">
                  <c:v>373</c:v>
                </c:pt>
                <c:pt idx="583">
                  <c:v>324</c:v>
                </c:pt>
                <c:pt idx="584">
                  <c:v>263</c:v>
                </c:pt>
                <c:pt idx="585">
                  <c:v>311</c:v>
                </c:pt>
                <c:pt idx="586">
                  <c:v>494</c:v>
                </c:pt>
                <c:pt idx="587">
                  <c:v>495</c:v>
                </c:pt>
                <c:pt idx="588">
                  <c:v>472</c:v>
                </c:pt>
                <c:pt idx="589">
                  <c:v>411</c:v>
                </c:pt>
                <c:pt idx="590">
                  <c:v>399</c:v>
                </c:pt>
                <c:pt idx="591">
                  <c:v>233</c:v>
                </c:pt>
                <c:pt idx="592">
                  <c:v>292</c:v>
                </c:pt>
                <c:pt idx="593">
                  <c:v>376</c:v>
                </c:pt>
                <c:pt idx="594">
                  <c:v>393</c:v>
                </c:pt>
                <c:pt idx="595">
                  <c:v>360</c:v>
                </c:pt>
                <c:pt idx="596">
                  <c:v>338</c:v>
                </c:pt>
                <c:pt idx="597">
                  <c:v>348</c:v>
                </c:pt>
                <c:pt idx="598">
                  <c:v>225</c:v>
                </c:pt>
                <c:pt idx="599">
                  <c:v>268</c:v>
                </c:pt>
                <c:pt idx="600">
                  <c:v>345</c:v>
                </c:pt>
                <c:pt idx="601">
                  <c:v>330</c:v>
                </c:pt>
                <c:pt idx="602">
                  <c:v>365</c:v>
                </c:pt>
                <c:pt idx="603">
                  <c:v>303</c:v>
                </c:pt>
                <c:pt idx="604">
                  <c:v>373</c:v>
                </c:pt>
                <c:pt idx="605">
                  <c:v>252</c:v>
                </c:pt>
                <c:pt idx="606">
                  <c:v>256</c:v>
                </c:pt>
                <c:pt idx="607">
                  <c:v>353</c:v>
                </c:pt>
                <c:pt idx="608">
                  <c:v>352</c:v>
                </c:pt>
                <c:pt idx="609">
                  <c:v>331</c:v>
                </c:pt>
                <c:pt idx="610">
                  <c:v>336</c:v>
                </c:pt>
                <c:pt idx="611">
                  <c:v>253</c:v>
                </c:pt>
                <c:pt idx="612">
                  <c:v>163</c:v>
                </c:pt>
                <c:pt idx="613">
                  <c:v>173</c:v>
                </c:pt>
                <c:pt idx="614">
                  <c:v>258</c:v>
                </c:pt>
                <c:pt idx="615">
                  <c:v>260</c:v>
                </c:pt>
                <c:pt idx="616">
                  <c:v>190</c:v>
                </c:pt>
                <c:pt idx="617">
                  <c:v>204</c:v>
                </c:pt>
                <c:pt idx="618">
                  <c:v>206</c:v>
                </c:pt>
                <c:pt idx="619">
                  <c:v>164</c:v>
                </c:pt>
                <c:pt idx="620">
                  <c:v>125</c:v>
                </c:pt>
                <c:pt idx="621">
                  <c:v>215</c:v>
                </c:pt>
                <c:pt idx="622">
                  <c:v>191</c:v>
                </c:pt>
                <c:pt idx="623">
                  <c:v>162</c:v>
                </c:pt>
                <c:pt idx="624">
                  <c:v>187</c:v>
                </c:pt>
                <c:pt idx="625">
                  <c:v>143</c:v>
                </c:pt>
                <c:pt idx="626">
                  <c:v>107</c:v>
                </c:pt>
                <c:pt idx="627">
                  <c:v>118</c:v>
                </c:pt>
                <c:pt idx="628">
                  <c:v>192</c:v>
                </c:pt>
                <c:pt idx="629">
                  <c:v>166</c:v>
                </c:pt>
                <c:pt idx="630">
                  <c:v>175</c:v>
                </c:pt>
                <c:pt idx="631">
                  <c:v>158</c:v>
                </c:pt>
                <c:pt idx="632">
                  <c:v>146</c:v>
                </c:pt>
                <c:pt idx="633">
                  <c:v>128</c:v>
                </c:pt>
                <c:pt idx="634">
                  <c:v>147</c:v>
                </c:pt>
                <c:pt idx="635">
                  <c:v>220</c:v>
                </c:pt>
                <c:pt idx="636">
                  <c:v>230</c:v>
                </c:pt>
                <c:pt idx="637">
                  <c:v>250</c:v>
                </c:pt>
                <c:pt idx="638">
                  <c:v>240</c:v>
                </c:pt>
                <c:pt idx="639">
                  <c:v>184</c:v>
                </c:pt>
                <c:pt idx="640">
                  <c:v>141</c:v>
                </c:pt>
                <c:pt idx="641">
                  <c:v>161</c:v>
                </c:pt>
                <c:pt idx="642">
                  <c:v>249</c:v>
                </c:pt>
                <c:pt idx="643">
                  <c:v>308</c:v>
                </c:pt>
                <c:pt idx="644">
                  <c:v>234</c:v>
                </c:pt>
                <c:pt idx="645">
                  <c:v>191</c:v>
                </c:pt>
                <c:pt idx="646">
                  <c:v>210</c:v>
                </c:pt>
                <c:pt idx="647">
                  <c:v>149</c:v>
                </c:pt>
                <c:pt idx="648">
                  <c:v>151</c:v>
                </c:pt>
                <c:pt idx="649">
                  <c:v>227</c:v>
                </c:pt>
                <c:pt idx="650">
                  <c:v>264</c:v>
                </c:pt>
                <c:pt idx="651">
                  <c:v>232</c:v>
                </c:pt>
                <c:pt idx="652">
                  <c:v>241</c:v>
                </c:pt>
                <c:pt idx="653">
                  <c:v>238</c:v>
                </c:pt>
                <c:pt idx="654">
                  <c:v>149</c:v>
                </c:pt>
                <c:pt idx="655">
                  <c:v>160</c:v>
                </c:pt>
                <c:pt idx="656">
                  <c:v>267</c:v>
                </c:pt>
                <c:pt idx="657">
                  <c:v>229</c:v>
                </c:pt>
                <c:pt idx="658">
                  <c:v>211</c:v>
                </c:pt>
                <c:pt idx="659">
                  <c:v>272</c:v>
                </c:pt>
                <c:pt idx="660">
                  <c:v>257</c:v>
                </c:pt>
                <c:pt idx="661">
                  <c:v>178</c:v>
                </c:pt>
                <c:pt idx="662">
                  <c:v>223</c:v>
                </c:pt>
                <c:pt idx="663">
                  <c:v>344</c:v>
                </c:pt>
                <c:pt idx="664">
                  <c:v>288</c:v>
                </c:pt>
                <c:pt idx="665">
                  <c:v>254</c:v>
                </c:pt>
                <c:pt idx="666">
                  <c:v>259</c:v>
                </c:pt>
                <c:pt idx="667">
                  <c:v>270</c:v>
                </c:pt>
                <c:pt idx="668">
                  <c:v>184</c:v>
                </c:pt>
                <c:pt idx="669">
                  <c:v>216</c:v>
                </c:pt>
                <c:pt idx="670">
                  <c:v>374</c:v>
                </c:pt>
                <c:pt idx="671">
                  <c:v>328</c:v>
                </c:pt>
                <c:pt idx="672">
                  <c:v>291</c:v>
                </c:pt>
                <c:pt idx="673">
                  <c:v>295</c:v>
                </c:pt>
                <c:pt idx="674">
                  <c:v>315</c:v>
                </c:pt>
                <c:pt idx="675">
                  <c:v>246</c:v>
                </c:pt>
                <c:pt idx="676">
                  <c:v>267</c:v>
                </c:pt>
                <c:pt idx="677">
                  <c:v>424</c:v>
                </c:pt>
                <c:pt idx="678">
                  <c:v>376</c:v>
                </c:pt>
                <c:pt idx="679">
                  <c:v>365</c:v>
                </c:pt>
                <c:pt idx="680">
                  <c:v>374</c:v>
                </c:pt>
                <c:pt idx="681">
                  <c:v>371</c:v>
                </c:pt>
                <c:pt idx="682">
                  <c:v>280</c:v>
                </c:pt>
                <c:pt idx="683">
                  <c:v>254</c:v>
                </c:pt>
                <c:pt idx="684">
                  <c:v>442</c:v>
                </c:pt>
                <c:pt idx="685">
                  <c:v>430</c:v>
                </c:pt>
                <c:pt idx="686">
                  <c:v>448</c:v>
                </c:pt>
                <c:pt idx="687">
                  <c:v>452</c:v>
                </c:pt>
                <c:pt idx="688">
                  <c:v>481</c:v>
                </c:pt>
                <c:pt idx="689">
                  <c:v>290</c:v>
                </c:pt>
                <c:pt idx="690">
                  <c:v>336</c:v>
                </c:pt>
                <c:pt idx="691">
                  <c:v>497</c:v>
                </c:pt>
                <c:pt idx="692">
                  <c:v>517</c:v>
                </c:pt>
                <c:pt idx="693">
                  <c:v>421</c:v>
                </c:pt>
                <c:pt idx="694">
                  <c:v>439</c:v>
                </c:pt>
                <c:pt idx="695">
                  <c:v>459</c:v>
                </c:pt>
                <c:pt idx="696">
                  <c:v>329</c:v>
                </c:pt>
                <c:pt idx="697">
                  <c:v>363</c:v>
                </c:pt>
                <c:pt idx="698">
                  <c:v>556</c:v>
                </c:pt>
                <c:pt idx="699">
                  <c:v>568</c:v>
                </c:pt>
                <c:pt idx="700">
                  <c:v>535</c:v>
                </c:pt>
                <c:pt idx="701">
                  <c:v>501</c:v>
                </c:pt>
                <c:pt idx="702">
                  <c:v>515</c:v>
                </c:pt>
                <c:pt idx="703">
                  <c:v>351</c:v>
                </c:pt>
                <c:pt idx="704">
                  <c:v>414</c:v>
                </c:pt>
                <c:pt idx="705">
                  <c:v>457</c:v>
                </c:pt>
                <c:pt idx="706">
                  <c:v>616</c:v>
                </c:pt>
                <c:pt idx="707">
                  <c:v>630</c:v>
                </c:pt>
                <c:pt idx="708">
                  <c:v>670</c:v>
                </c:pt>
                <c:pt idx="709">
                  <c:v>712</c:v>
                </c:pt>
                <c:pt idx="710">
                  <c:v>495</c:v>
                </c:pt>
                <c:pt idx="711">
                  <c:v>588</c:v>
                </c:pt>
                <c:pt idx="712">
                  <c:v>885</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71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pt idx="586">
                  <c:v>2021-W32</c:v>
                </c:pt>
                <c:pt idx="593">
                  <c:v>2021-W33</c:v>
                </c:pt>
                <c:pt idx="600">
                  <c:v>2021-W34</c:v>
                </c:pt>
                <c:pt idx="607">
                  <c:v>2021-W35</c:v>
                </c:pt>
                <c:pt idx="614">
                  <c:v>2021-W36</c:v>
                </c:pt>
                <c:pt idx="621">
                  <c:v>2021-W37</c:v>
                </c:pt>
                <c:pt idx="628">
                  <c:v>2021-W38</c:v>
                </c:pt>
                <c:pt idx="635">
                  <c:v>2021-W39</c:v>
                </c:pt>
                <c:pt idx="642">
                  <c:v>2021-W40</c:v>
                </c:pt>
                <c:pt idx="649">
                  <c:v>2021-W41</c:v>
                </c:pt>
                <c:pt idx="656">
                  <c:v>2021-W42</c:v>
                </c:pt>
                <c:pt idx="663">
                  <c:v>2021-W43</c:v>
                </c:pt>
                <c:pt idx="670">
                  <c:v>2021-W44</c:v>
                </c:pt>
                <c:pt idx="677">
                  <c:v>2021-W45</c:v>
                </c:pt>
                <c:pt idx="684">
                  <c:v>2021-W46</c:v>
                </c:pt>
                <c:pt idx="691">
                  <c:v>2021-W47</c:v>
                </c:pt>
                <c:pt idx="698">
                  <c:v>2021-W48</c:v>
                </c:pt>
                <c:pt idx="705">
                  <c:v>2021-W49</c:v>
                </c:pt>
                <c:pt idx="712">
                  <c:v>2021-W50</c:v>
                </c:pt>
              </c:strCache>
            </c:strRef>
          </c:cat>
          <c:val>
            <c:numRef>
              <c:f>[0]!PlotY</c:f>
              <c:numCache>
                <c:formatCode>General</c:formatCode>
                <c:ptCount val="7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45</c:v>
                </c:pt>
                <c:pt idx="257">
                  <c:v>59</c:v>
                </c:pt>
                <c:pt idx="258">
                  <c:v>53</c:v>
                </c:pt>
                <c:pt idx="259">
                  <c:v>58</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301</c:v>
                </c:pt>
                <c:pt idx="280">
                  <c:v>306</c:v>
                </c:pt>
                <c:pt idx="281">
                  <c:v>259</c:v>
                </c:pt>
                <c:pt idx="282">
                  <c:v>226</c:v>
                </c:pt>
                <c:pt idx="283">
                  <c:v>111</c:v>
                </c:pt>
                <c:pt idx="284">
                  <c:v>132</c:v>
                </c:pt>
                <c:pt idx="285">
                  <c:v>256</c:v>
                </c:pt>
                <c:pt idx="286">
                  <c:v>199</c:v>
                </c:pt>
                <c:pt idx="287">
                  <c:v>202</c:v>
                </c:pt>
                <c:pt idx="288">
                  <c:v>190</c:v>
                </c:pt>
                <c:pt idx="289">
                  <c:v>195</c:v>
                </c:pt>
                <c:pt idx="290">
                  <c:v>104</c:v>
                </c:pt>
                <c:pt idx="291">
                  <c:v>129</c:v>
                </c:pt>
                <c:pt idx="292">
                  <c:v>243</c:v>
                </c:pt>
                <c:pt idx="293">
                  <c:v>167</c:v>
                </c:pt>
                <c:pt idx="294">
                  <c:v>188</c:v>
                </c:pt>
                <c:pt idx="295">
                  <c:v>222</c:v>
                </c:pt>
                <c:pt idx="296">
                  <c:v>194</c:v>
                </c:pt>
                <c:pt idx="297">
                  <c:v>107</c:v>
                </c:pt>
                <c:pt idx="298">
                  <c:v>124</c:v>
                </c:pt>
                <c:pt idx="299">
                  <c:v>255</c:v>
                </c:pt>
                <c:pt idx="300">
                  <c:v>234</c:v>
                </c:pt>
                <c:pt idx="301">
                  <c:v>240</c:v>
                </c:pt>
                <c:pt idx="302">
                  <c:v>236</c:v>
                </c:pt>
                <c:pt idx="303">
                  <c:v>220</c:v>
                </c:pt>
                <c:pt idx="304">
                  <c:v>121</c:v>
                </c:pt>
                <c:pt idx="305">
                  <c:v>151</c:v>
                </c:pt>
                <c:pt idx="306">
                  <c:v>287</c:v>
                </c:pt>
                <c:pt idx="307">
                  <c:v>241</c:v>
                </c:pt>
                <c:pt idx="308">
                  <c:v>214</c:v>
                </c:pt>
                <c:pt idx="309">
                  <c:v>218</c:v>
                </c:pt>
                <c:pt idx="310">
                  <c:v>196</c:v>
                </c:pt>
                <c:pt idx="311">
                  <c:v>128</c:v>
                </c:pt>
                <c:pt idx="312">
                  <c:v>132</c:v>
                </c:pt>
                <c:pt idx="313">
                  <c:v>273</c:v>
                </c:pt>
                <c:pt idx="314">
                  <c:v>206</c:v>
                </c:pt>
                <c:pt idx="315">
                  <c:v>295</c:v>
                </c:pt>
                <c:pt idx="316">
                  <c:v>284</c:v>
                </c:pt>
                <c:pt idx="317">
                  <c:v>268</c:v>
                </c:pt>
                <c:pt idx="318">
                  <c:v>145</c:v>
                </c:pt>
                <c:pt idx="319">
                  <c:v>180</c:v>
                </c:pt>
                <c:pt idx="320">
                  <c:v>393</c:v>
                </c:pt>
                <c:pt idx="321">
                  <c:v>388</c:v>
                </c:pt>
                <c:pt idx="322">
                  <c:v>377</c:v>
                </c:pt>
                <c:pt idx="323">
                  <c:v>478</c:v>
                </c:pt>
                <c:pt idx="324">
                  <c:v>428</c:v>
                </c:pt>
                <c:pt idx="325">
                  <c:v>270</c:v>
                </c:pt>
                <c:pt idx="326">
                  <c:v>266</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283</c:v>
                </c:pt>
                <c:pt idx="341">
                  <c:v>587</c:v>
                </c:pt>
                <c:pt idx="342">
                  <c:v>478</c:v>
                </c:pt>
                <c:pt idx="343">
                  <c:v>462</c:v>
                </c:pt>
                <c:pt idx="344">
                  <c:v>407</c:v>
                </c:pt>
                <c:pt idx="345">
                  <c:v>447</c:v>
                </c:pt>
                <c:pt idx="346">
                  <c:v>249</c:v>
                </c:pt>
                <c:pt idx="347">
                  <c:v>276</c:v>
                </c:pt>
                <c:pt idx="348">
                  <c:v>463</c:v>
                </c:pt>
                <c:pt idx="349">
                  <c:v>360</c:v>
                </c:pt>
                <c:pt idx="350">
                  <c:v>352</c:v>
                </c:pt>
                <c:pt idx="351">
                  <c:v>324</c:v>
                </c:pt>
                <c:pt idx="352">
                  <c:v>394</c:v>
                </c:pt>
                <c:pt idx="353">
                  <c:v>191</c:v>
                </c:pt>
                <c:pt idx="354">
                  <c:v>244</c:v>
                </c:pt>
                <c:pt idx="355">
                  <c:v>375</c:v>
                </c:pt>
                <c:pt idx="356">
                  <c:v>332</c:v>
                </c:pt>
                <c:pt idx="357">
                  <c:v>277</c:v>
                </c:pt>
                <c:pt idx="358">
                  <c:v>138</c:v>
                </c:pt>
                <c:pt idx="359">
                  <c:v>157</c:v>
                </c:pt>
                <c:pt idx="360">
                  <c:v>183</c:v>
                </c:pt>
                <c:pt idx="361">
                  <c:v>191</c:v>
                </c:pt>
                <c:pt idx="362">
                  <c:v>435</c:v>
                </c:pt>
                <c:pt idx="363">
                  <c:v>308</c:v>
                </c:pt>
                <c:pt idx="364">
                  <c:v>255</c:v>
                </c:pt>
                <c:pt idx="365">
                  <c:v>254</c:v>
                </c:pt>
                <c:pt idx="366">
                  <c:v>128</c:v>
                </c:pt>
                <c:pt idx="367">
                  <c:v>205</c:v>
                </c:pt>
                <c:pt idx="368">
                  <c:v>169</c:v>
                </c:pt>
                <c:pt idx="369">
                  <c:v>396</c:v>
                </c:pt>
                <c:pt idx="370">
                  <c:v>262</c:v>
                </c:pt>
                <c:pt idx="371">
                  <c:v>208</c:v>
                </c:pt>
                <c:pt idx="372">
                  <c:v>332</c:v>
                </c:pt>
                <c:pt idx="373">
                  <c:v>252</c:v>
                </c:pt>
                <c:pt idx="374">
                  <c:v>193</c:v>
                </c:pt>
                <c:pt idx="375">
                  <c:v>188</c:v>
                </c:pt>
                <c:pt idx="376">
                  <c:v>386</c:v>
                </c:pt>
                <c:pt idx="377">
                  <c:v>229</c:v>
                </c:pt>
                <c:pt idx="378">
                  <c:v>259</c:v>
                </c:pt>
                <c:pt idx="379">
                  <c:v>248</c:v>
                </c:pt>
                <c:pt idx="380">
                  <c:v>266</c:v>
                </c:pt>
                <c:pt idx="381">
                  <c:v>171</c:v>
                </c:pt>
                <c:pt idx="382">
                  <c:v>198</c:v>
                </c:pt>
                <c:pt idx="383">
                  <c:v>448</c:v>
                </c:pt>
                <c:pt idx="384">
                  <c:v>342</c:v>
                </c:pt>
                <c:pt idx="385">
                  <c:v>406</c:v>
                </c:pt>
                <c:pt idx="386">
                  <c:v>377</c:v>
                </c:pt>
                <c:pt idx="387">
                  <c:v>361</c:v>
                </c:pt>
                <c:pt idx="388">
                  <c:v>168</c:v>
                </c:pt>
                <c:pt idx="389">
                  <c:v>247</c:v>
                </c:pt>
                <c:pt idx="390">
                  <c:v>604</c:v>
                </c:pt>
                <c:pt idx="391">
                  <c:v>397</c:v>
                </c:pt>
                <c:pt idx="392">
                  <c:v>382</c:v>
                </c:pt>
                <c:pt idx="393">
                  <c:v>435</c:v>
                </c:pt>
                <c:pt idx="394">
                  <c:v>379</c:v>
                </c:pt>
                <c:pt idx="395">
                  <c:v>233</c:v>
                </c:pt>
                <c:pt idx="396">
                  <c:v>274</c:v>
                </c:pt>
                <c:pt idx="397">
                  <c:v>534</c:v>
                </c:pt>
                <c:pt idx="398">
                  <c:v>396</c:v>
                </c:pt>
                <c:pt idx="399">
                  <c:v>441</c:v>
                </c:pt>
                <c:pt idx="400">
                  <c:v>372</c:v>
                </c:pt>
                <c:pt idx="401">
                  <c:v>367</c:v>
                </c:pt>
                <c:pt idx="402">
                  <c:v>237</c:v>
                </c:pt>
                <c:pt idx="403">
                  <c:v>264</c:v>
                </c:pt>
                <c:pt idx="404">
                  <c:v>461</c:v>
                </c:pt>
                <c:pt idx="405">
                  <c:v>373</c:v>
                </c:pt>
                <c:pt idx="406">
                  <c:v>383</c:v>
                </c:pt>
                <c:pt idx="407">
                  <c:v>361</c:v>
                </c:pt>
                <c:pt idx="408">
                  <c:v>418</c:v>
                </c:pt>
                <c:pt idx="409">
                  <c:v>279</c:v>
                </c:pt>
                <c:pt idx="410">
                  <c:v>281</c:v>
                </c:pt>
                <c:pt idx="411">
                  <c:v>617</c:v>
                </c:pt>
                <c:pt idx="412">
                  <c:v>514</c:v>
                </c:pt>
                <c:pt idx="413">
                  <c:v>553</c:v>
                </c:pt>
                <c:pt idx="414">
                  <c:v>613</c:v>
                </c:pt>
                <c:pt idx="415">
                  <c:v>573</c:v>
                </c:pt>
                <c:pt idx="416">
                  <c:v>318</c:v>
                </c:pt>
                <c:pt idx="417">
                  <c:v>355</c:v>
                </c:pt>
                <c:pt idx="418">
                  <c:v>624</c:v>
                </c:pt>
                <c:pt idx="419">
                  <c:v>626</c:v>
                </c:pt>
                <c:pt idx="420">
                  <c:v>599</c:v>
                </c:pt>
                <c:pt idx="421">
                  <c:v>629</c:v>
                </c:pt>
                <c:pt idx="422">
                  <c:v>688</c:v>
                </c:pt>
                <c:pt idx="423">
                  <c:v>405</c:v>
                </c:pt>
                <c:pt idx="424">
                  <c:v>422</c:v>
                </c:pt>
                <c:pt idx="425">
                  <c:v>873</c:v>
                </c:pt>
                <c:pt idx="426">
                  <c:v>758</c:v>
                </c:pt>
                <c:pt idx="427">
                  <c:v>733</c:v>
                </c:pt>
                <c:pt idx="428">
                  <c:v>639</c:v>
                </c:pt>
                <c:pt idx="429">
                  <c:v>630</c:v>
                </c:pt>
                <c:pt idx="430">
                  <c:v>433</c:v>
                </c:pt>
                <c:pt idx="431">
                  <c:v>396</c:v>
                </c:pt>
                <c:pt idx="432">
                  <c:v>834</c:v>
                </c:pt>
                <c:pt idx="433">
                  <c:v>773</c:v>
                </c:pt>
                <c:pt idx="434">
                  <c:v>822</c:v>
                </c:pt>
                <c:pt idx="435">
                  <c:v>780</c:v>
                </c:pt>
                <c:pt idx="436">
                  <c:v>808</c:v>
                </c:pt>
                <c:pt idx="437">
                  <c:v>495</c:v>
                </c:pt>
                <c:pt idx="438">
                  <c:v>435</c:v>
                </c:pt>
                <c:pt idx="439">
                  <c:v>893</c:v>
                </c:pt>
                <c:pt idx="440">
                  <c:v>767</c:v>
                </c:pt>
                <c:pt idx="441">
                  <c:v>744</c:v>
                </c:pt>
                <c:pt idx="442">
                  <c:v>739</c:v>
                </c:pt>
                <c:pt idx="443">
                  <c:v>745</c:v>
                </c:pt>
                <c:pt idx="444">
                  <c:v>404</c:v>
                </c:pt>
                <c:pt idx="445">
                  <c:v>420</c:v>
                </c:pt>
                <c:pt idx="446">
                  <c:v>768</c:v>
                </c:pt>
                <c:pt idx="447">
                  <c:v>704</c:v>
                </c:pt>
                <c:pt idx="448">
                  <c:v>695</c:v>
                </c:pt>
                <c:pt idx="449">
                  <c:v>606</c:v>
                </c:pt>
                <c:pt idx="450">
                  <c:v>688</c:v>
                </c:pt>
                <c:pt idx="451">
                  <c:v>352</c:v>
                </c:pt>
                <c:pt idx="452">
                  <c:v>376</c:v>
                </c:pt>
                <c:pt idx="453">
                  <c:v>655</c:v>
                </c:pt>
                <c:pt idx="454">
                  <c:v>572</c:v>
                </c:pt>
                <c:pt idx="455">
                  <c:v>550</c:v>
                </c:pt>
                <c:pt idx="456">
                  <c:v>486</c:v>
                </c:pt>
                <c:pt idx="457">
                  <c:v>361</c:v>
                </c:pt>
                <c:pt idx="458">
                  <c:v>324</c:v>
                </c:pt>
                <c:pt idx="459">
                  <c:v>322</c:v>
                </c:pt>
                <c:pt idx="460">
                  <c:v>360</c:v>
                </c:pt>
                <c:pt idx="461">
                  <c:v>544</c:v>
                </c:pt>
                <c:pt idx="462">
                  <c:v>426</c:v>
                </c:pt>
                <c:pt idx="463">
                  <c:v>407</c:v>
                </c:pt>
                <c:pt idx="464">
                  <c:v>352</c:v>
                </c:pt>
                <c:pt idx="465">
                  <c:v>227</c:v>
                </c:pt>
                <c:pt idx="466">
                  <c:v>240</c:v>
                </c:pt>
                <c:pt idx="467">
                  <c:v>399</c:v>
                </c:pt>
                <c:pt idx="468">
                  <c:v>323</c:v>
                </c:pt>
                <c:pt idx="469">
                  <c:v>344</c:v>
                </c:pt>
                <c:pt idx="470">
                  <c:v>274</c:v>
                </c:pt>
                <c:pt idx="471">
                  <c:v>265</c:v>
                </c:pt>
                <c:pt idx="472">
                  <c:v>172</c:v>
                </c:pt>
                <c:pt idx="473">
                  <c:v>156</c:v>
                </c:pt>
                <c:pt idx="474">
                  <c:v>286</c:v>
                </c:pt>
                <c:pt idx="475">
                  <c:v>286</c:v>
                </c:pt>
                <c:pt idx="476">
                  <c:v>233</c:v>
                </c:pt>
                <c:pt idx="477">
                  <c:v>257</c:v>
                </c:pt>
                <c:pt idx="478">
                  <c:v>255</c:v>
                </c:pt>
                <c:pt idx="479">
                  <c:v>155</c:v>
                </c:pt>
                <c:pt idx="480">
                  <c:v>140</c:v>
                </c:pt>
                <c:pt idx="481">
                  <c:v>242</c:v>
                </c:pt>
                <c:pt idx="482">
                  <c:v>229</c:v>
                </c:pt>
                <c:pt idx="483">
                  <c:v>274</c:v>
                </c:pt>
                <c:pt idx="484">
                  <c:v>201</c:v>
                </c:pt>
                <c:pt idx="485">
                  <c:v>197</c:v>
                </c:pt>
                <c:pt idx="486">
                  <c:v>109</c:v>
                </c:pt>
                <c:pt idx="487">
                  <c:v>135</c:v>
                </c:pt>
                <c:pt idx="488">
                  <c:v>318</c:v>
                </c:pt>
                <c:pt idx="489">
                  <c:v>206</c:v>
                </c:pt>
                <c:pt idx="490">
                  <c:v>265</c:v>
                </c:pt>
                <c:pt idx="491">
                  <c:v>239</c:v>
                </c:pt>
                <c:pt idx="492">
                  <c:v>214</c:v>
                </c:pt>
                <c:pt idx="493">
                  <c:v>134</c:v>
                </c:pt>
                <c:pt idx="494">
                  <c:v>130</c:v>
                </c:pt>
                <c:pt idx="495">
                  <c:v>257</c:v>
                </c:pt>
                <c:pt idx="496">
                  <c:v>215</c:v>
                </c:pt>
                <c:pt idx="497">
                  <c:v>256</c:v>
                </c:pt>
                <c:pt idx="498">
                  <c:v>157</c:v>
                </c:pt>
                <c:pt idx="499">
                  <c:v>249</c:v>
                </c:pt>
                <c:pt idx="500">
                  <c:v>164</c:v>
                </c:pt>
                <c:pt idx="501">
                  <c:v>134</c:v>
                </c:pt>
                <c:pt idx="502">
                  <c:v>285</c:v>
                </c:pt>
                <c:pt idx="503">
                  <c:v>217</c:v>
                </c:pt>
                <c:pt idx="504">
                  <c:v>231</c:v>
                </c:pt>
                <c:pt idx="505">
                  <c:v>217</c:v>
                </c:pt>
                <c:pt idx="506">
                  <c:v>168</c:v>
                </c:pt>
                <c:pt idx="507">
                  <c:v>108</c:v>
                </c:pt>
                <c:pt idx="508">
                  <c:v>93</c:v>
                </c:pt>
                <c:pt idx="509">
                  <c:v>188</c:v>
                </c:pt>
                <c:pt idx="510">
                  <c:v>153</c:v>
                </c:pt>
                <c:pt idx="511">
                  <c:v>143</c:v>
                </c:pt>
                <c:pt idx="512">
                  <c:v>127</c:v>
                </c:pt>
                <c:pt idx="513">
                  <c:v>136</c:v>
                </c:pt>
                <c:pt idx="514">
                  <c:v>64</c:v>
                </c:pt>
                <c:pt idx="515">
                  <c:v>79</c:v>
                </c:pt>
                <c:pt idx="516">
                  <c:v>151</c:v>
                </c:pt>
                <c:pt idx="517">
                  <c:v>121</c:v>
                </c:pt>
                <c:pt idx="518">
                  <c:v>119</c:v>
                </c:pt>
                <c:pt idx="519">
                  <c:v>111</c:v>
                </c:pt>
                <c:pt idx="520">
                  <c:v>103</c:v>
                </c:pt>
                <c:pt idx="521">
                  <c:v>64</c:v>
                </c:pt>
                <c:pt idx="522">
                  <c:v>60</c:v>
                </c:pt>
                <c:pt idx="523">
                  <c:v>139</c:v>
                </c:pt>
                <c:pt idx="524">
                  <c:v>101</c:v>
                </c:pt>
                <c:pt idx="525">
                  <c:v>81</c:v>
                </c:pt>
                <c:pt idx="526">
                  <c:v>73</c:v>
                </c:pt>
                <c:pt idx="527">
                  <c:v>70</c:v>
                </c:pt>
                <c:pt idx="528">
                  <c:v>46</c:v>
                </c:pt>
                <c:pt idx="529">
                  <c:v>48</c:v>
                </c:pt>
                <c:pt idx="530">
                  <c:v>93</c:v>
                </c:pt>
                <c:pt idx="531">
                  <c:v>78</c:v>
                </c:pt>
                <c:pt idx="532">
                  <c:v>64</c:v>
                </c:pt>
                <c:pt idx="533">
                  <c:v>91</c:v>
                </c:pt>
                <c:pt idx="534">
                  <c:v>81</c:v>
                </c:pt>
                <c:pt idx="535">
                  <c:v>57</c:v>
                </c:pt>
                <c:pt idx="536">
                  <c:v>80</c:v>
                </c:pt>
                <c:pt idx="537">
                  <c:v>112</c:v>
                </c:pt>
                <c:pt idx="538">
                  <c:v>110</c:v>
                </c:pt>
                <c:pt idx="539">
                  <c:v>145</c:v>
                </c:pt>
                <c:pt idx="540">
                  <c:v>162</c:v>
                </c:pt>
                <c:pt idx="541">
                  <c:v>196</c:v>
                </c:pt>
                <c:pt idx="542">
                  <c:v>131</c:v>
                </c:pt>
                <c:pt idx="543">
                  <c:v>119</c:v>
                </c:pt>
                <c:pt idx="544">
                  <c:v>230</c:v>
                </c:pt>
                <c:pt idx="545">
                  <c:v>261</c:v>
                </c:pt>
                <c:pt idx="546">
                  <c:v>196</c:v>
                </c:pt>
                <c:pt idx="547">
                  <c:v>205</c:v>
                </c:pt>
                <c:pt idx="548">
                  <c:v>167</c:v>
                </c:pt>
                <c:pt idx="549">
                  <c:v>132</c:v>
                </c:pt>
                <c:pt idx="550">
                  <c:v>108</c:v>
                </c:pt>
                <c:pt idx="551">
                  <c:v>244</c:v>
                </c:pt>
                <c:pt idx="552">
                  <c:v>260</c:v>
                </c:pt>
                <c:pt idx="553">
                  <c:v>292</c:v>
                </c:pt>
                <c:pt idx="554">
                  <c:v>285</c:v>
                </c:pt>
                <c:pt idx="555">
                  <c:v>309</c:v>
                </c:pt>
                <c:pt idx="556">
                  <c:v>149</c:v>
                </c:pt>
                <c:pt idx="557">
                  <c:v>160</c:v>
                </c:pt>
                <c:pt idx="558">
                  <c:v>330</c:v>
                </c:pt>
                <c:pt idx="559">
                  <c:v>342</c:v>
                </c:pt>
                <c:pt idx="560">
                  <c:v>385</c:v>
                </c:pt>
                <c:pt idx="561">
                  <c:v>382</c:v>
                </c:pt>
                <c:pt idx="562">
                  <c:v>355</c:v>
                </c:pt>
                <c:pt idx="563">
                  <c:v>206</c:v>
                </c:pt>
                <c:pt idx="564">
                  <c:v>249</c:v>
                </c:pt>
                <c:pt idx="565">
                  <c:v>422</c:v>
                </c:pt>
                <c:pt idx="566">
                  <c:v>424</c:v>
                </c:pt>
                <c:pt idx="567">
                  <c:v>468</c:v>
                </c:pt>
                <c:pt idx="568">
                  <c:v>487</c:v>
                </c:pt>
                <c:pt idx="569">
                  <c:v>478</c:v>
                </c:pt>
                <c:pt idx="570">
                  <c:v>301</c:v>
                </c:pt>
                <c:pt idx="571">
                  <c:v>352</c:v>
                </c:pt>
                <c:pt idx="572">
                  <c:v>770</c:v>
                </c:pt>
                <c:pt idx="573">
                  <c:v>724</c:v>
                </c:pt>
                <c:pt idx="574">
                  <c:v>810</c:v>
                </c:pt>
                <c:pt idx="575">
                  <c:v>772</c:v>
                </c:pt>
                <c:pt idx="576">
                  <c:v>697</c:v>
                </c:pt>
                <c:pt idx="577">
                  <c:v>408</c:v>
                </c:pt>
                <c:pt idx="578">
                  <c:v>477</c:v>
                </c:pt>
                <c:pt idx="579">
                  <c:v>893</c:v>
                </c:pt>
                <c:pt idx="580">
                  <c:v>840</c:v>
                </c:pt>
                <c:pt idx="581">
                  <c:v>784</c:v>
                </c:pt>
                <c:pt idx="582">
                  <c:v>876</c:v>
                </c:pt>
                <c:pt idx="583">
                  <c:v>684</c:v>
                </c:pt>
                <c:pt idx="584">
                  <c:v>486</c:v>
                </c:pt>
                <c:pt idx="585">
                  <c:v>537</c:v>
                </c:pt>
                <c:pt idx="586">
                  <c:v>1037</c:v>
                </c:pt>
                <c:pt idx="587">
                  <c:v>826</c:v>
                </c:pt>
                <c:pt idx="588">
                  <c:v>925</c:v>
                </c:pt>
                <c:pt idx="589">
                  <c:v>789</c:v>
                </c:pt>
                <c:pt idx="590">
                  <c:v>740</c:v>
                </c:pt>
                <c:pt idx="591">
                  <c:v>426</c:v>
                </c:pt>
                <c:pt idx="592">
                  <c:v>445</c:v>
                </c:pt>
                <c:pt idx="593">
                  <c:v>768</c:v>
                </c:pt>
                <c:pt idx="594">
                  <c:v>741</c:v>
                </c:pt>
                <c:pt idx="595">
                  <c:v>708</c:v>
                </c:pt>
                <c:pt idx="596">
                  <c:v>671</c:v>
                </c:pt>
                <c:pt idx="597">
                  <c:v>655</c:v>
                </c:pt>
                <c:pt idx="598">
                  <c:v>398</c:v>
                </c:pt>
                <c:pt idx="599">
                  <c:v>457</c:v>
                </c:pt>
                <c:pt idx="600">
                  <c:v>682</c:v>
                </c:pt>
                <c:pt idx="601">
                  <c:v>609</c:v>
                </c:pt>
                <c:pt idx="602">
                  <c:v>699</c:v>
                </c:pt>
                <c:pt idx="603">
                  <c:v>611</c:v>
                </c:pt>
                <c:pt idx="604">
                  <c:v>706</c:v>
                </c:pt>
                <c:pt idx="605">
                  <c:v>439</c:v>
                </c:pt>
                <c:pt idx="606">
                  <c:v>464</c:v>
                </c:pt>
                <c:pt idx="607">
                  <c:v>744</c:v>
                </c:pt>
                <c:pt idx="608">
                  <c:v>650</c:v>
                </c:pt>
                <c:pt idx="609">
                  <c:v>648</c:v>
                </c:pt>
                <c:pt idx="610">
                  <c:v>651</c:v>
                </c:pt>
                <c:pt idx="611">
                  <c:v>520</c:v>
                </c:pt>
                <c:pt idx="612">
                  <c:v>336</c:v>
                </c:pt>
                <c:pt idx="613">
                  <c:v>346</c:v>
                </c:pt>
                <c:pt idx="614">
                  <c:v>581</c:v>
                </c:pt>
                <c:pt idx="615">
                  <c:v>523</c:v>
                </c:pt>
                <c:pt idx="616">
                  <c:v>482</c:v>
                </c:pt>
                <c:pt idx="617">
                  <c:v>459</c:v>
                </c:pt>
                <c:pt idx="618">
                  <c:v>496</c:v>
                </c:pt>
                <c:pt idx="619">
                  <c:v>329</c:v>
                </c:pt>
                <c:pt idx="620">
                  <c:v>283</c:v>
                </c:pt>
                <c:pt idx="621">
                  <c:v>535</c:v>
                </c:pt>
                <c:pt idx="622">
                  <c:v>481</c:v>
                </c:pt>
                <c:pt idx="623">
                  <c:v>454</c:v>
                </c:pt>
                <c:pt idx="624">
                  <c:v>437</c:v>
                </c:pt>
                <c:pt idx="625">
                  <c:v>389</c:v>
                </c:pt>
                <c:pt idx="626">
                  <c:v>240</c:v>
                </c:pt>
                <c:pt idx="627">
                  <c:v>285</c:v>
                </c:pt>
                <c:pt idx="628">
                  <c:v>489</c:v>
                </c:pt>
                <c:pt idx="629">
                  <c:v>489</c:v>
                </c:pt>
                <c:pt idx="630">
                  <c:v>483</c:v>
                </c:pt>
                <c:pt idx="631">
                  <c:v>479</c:v>
                </c:pt>
                <c:pt idx="632">
                  <c:v>424</c:v>
                </c:pt>
                <c:pt idx="633">
                  <c:v>298</c:v>
                </c:pt>
                <c:pt idx="634">
                  <c:v>354</c:v>
                </c:pt>
                <c:pt idx="635">
                  <c:v>684</c:v>
                </c:pt>
                <c:pt idx="636">
                  <c:v>643</c:v>
                </c:pt>
                <c:pt idx="637">
                  <c:v>669</c:v>
                </c:pt>
                <c:pt idx="638">
                  <c:v>618</c:v>
                </c:pt>
                <c:pt idx="639">
                  <c:v>531</c:v>
                </c:pt>
                <c:pt idx="640">
                  <c:v>355</c:v>
                </c:pt>
                <c:pt idx="641">
                  <c:v>383</c:v>
                </c:pt>
                <c:pt idx="642">
                  <c:v>742</c:v>
                </c:pt>
                <c:pt idx="643">
                  <c:v>729</c:v>
                </c:pt>
                <c:pt idx="644">
                  <c:v>746</c:v>
                </c:pt>
                <c:pt idx="645">
                  <c:v>611</c:v>
                </c:pt>
                <c:pt idx="646">
                  <c:v>596</c:v>
                </c:pt>
                <c:pt idx="647">
                  <c:v>426</c:v>
                </c:pt>
                <c:pt idx="648">
                  <c:v>399</c:v>
                </c:pt>
                <c:pt idx="649">
                  <c:v>691</c:v>
                </c:pt>
                <c:pt idx="650">
                  <c:v>610</c:v>
                </c:pt>
                <c:pt idx="651">
                  <c:v>638</c:v>
                </c:pt>
                <c:pt idx="652">
                  <c:v>557</c:v>
                </c:pt>
                <c:pt idx="653">
                  <c:v>562</c:v>
                </c:pt>
                <c:pt idx="654">
                  <c:v>344</c:v>
                </c:pt>
                <c:pt idx="655">
                  <c:v>320</c:v>
                </c:pt>
                <c:pt idx="656">
                  <c:v>661</c:v>
                </c:pt>
                <c:pt idx="657">
                  <c:v>550</c:v>
                </c:pt>
                <c:pt idx="658">
                  <c:v>516</c:v>
                </c:pt>
                <c:pt idx="659">
                  <c:v>623</c:v>
                </c:pt>
                <c:pt idx="660">
                  <c:v>580</c:v>
                </c:pt>
                <c:pt idx="661">
                  <c:v>374</c:v>
                </c:pt>
                <c:pt idx="662">
                  <c:v>389</c:v>
                </c:pt>
                <c:pt idx="663">
                  <c:v>793</c:v>
                </c:pt>
                <c:pt idx="664">
                  <c:v>679</c:v>
                </c:pt>
                <c:pt idx="665">
                  <c:v>640</c:v>
                </c:pt>
                <c:pt idx="666">
                  <c:v>589</c:v>
                </c:pt>
                <c:pt idx="667">
                  <c:v>656</c:v>
                </c:pt>
                <c:pt idx="668">
                  <c:v>402</c:v>
                </c:pt>
                <c:pt idx="669">
                  <c:v>439</c:v>
                </c:pt>
                <c:pt idx="670">
                  <c:v>973</c:v>
                </c:pt>
                <c:pt idx="671">
                  <c:v>756</c:v>
                </c:pt>
                <c:pt idx="672">
                  <c:v>770</c:v>
                </c:pt>
                <c:pt idx="673">
                  <c:v>804</c:v>
                </c:pt>
                <c:pt idx="674">
                  <c:v>843</c:v>
                </c:pt>
                <c:pt idx="675">
                  <c:v>514</c:v>
                </c:pt>
                <c:pt idx="676">
                  <c:v>508</c:v>
                </c:pt>
                <c:pt idx="677">
                  <c:v>1121</c:v>
                </c:pt>
                <c:pt idx="678">
                  <c:v>833</c:v>
                </c:pt>
                <c:pt idx="679">
                  <c:v>968</c:v>
                </c:pt>
                <c:pt idx="680">
                  <c:v>934</c:v>
                </c:pt>
                <c:pt idx="681">
                  <c:v>946</c:v>
                </c:pt>
                <c:pt idx="682">
                  <c:v>620</c:v>
                </c:pt>
                <c:pt idx="683">
                  <c:v>572</c:v>
                </c:pt>
                <c:pt idx="684">
                  <c:v>1252</c:v>
                </c:pt>
                <c:pt idx="685">
                  <c:v>1199</c:v>
                </c:pt>
                <c:pt idx="686">
                  <c:v>1168</c:v>
                </c:pt>
                <c:pt idx="687">
                  <c:v>1213</c:v>
                </c:pt>
                <c:pt idx="688">
                  <c:v>1273</c:v>
                </c:pt>
                <c:pt idx="689">
                  <c:v>709</c:v>
                </c:pt>
                <c:pt idx="690">
                  <c:v>675</c:v>
                </c:pt>
                <c:pt idx="691">
                  <c:v>1416</c:v>
                </c:pt>
                <c:pt idx="692">
                  <c:v>1334</c:v>
                </c:pt>
                <c:pt idx="693">
                  <c:v>1251</c:v>
                </c:pt>
                <c:pt idx="694">
                  <c:v>1269</c:v>
                </c:pt>
                <c:pt idx="695">
                  <c:v>1299</c:v>
                </c:pt>
                <c:pt idx="696">
                  <c:v>789</c:v>
                </c:pt>
                <c:pt idx="697">
                  <c:v>787</c:v>
                </c:pt>
                <c:pt idx="698">
                  <c:v>1685</c:v>
                </c:pt>
                <c:pt idx="699">
                  <c:v>1423</c:v>
                </c:pt>
                <c:pt idx="700">
                  <c:v>1442</c:v>
                </c:pt>
                <c:pt idx="701">
                  <c:v>1464</c:v>
                </c:pt>
                <c:pt idx="702">
                  <c:v>1525</c:v>
                </c:pt>
                <c:pt idx="703">
                  <c:v>976</c:v>
                </c:pt>
                <c:pt idx="704">
                  <c:v>1003</c:v>
                </c:pt>
                <c:pt idx="705">
                  <c:v>1075</c:v>
                </c:pt>
                <c:pt idx="706">
                  <c:v>1914</c:v>
                </c:pt>
                <c:pt idx="707">
                  <c:v>1721</c:v>
                </c:pt>
                <c:pt idx="708">
                  <c:v>1696</c:v>
                </c:pt>
                <c:pt idx="709">
                  <c:v>1800</c:v>
                </c:pt>
                <c:pt idx="710">
                  <c:v>1115</c:v>
                </c:pt>
                <c:pt idx="711">
                  <c:v>1266</c:v>
                </c:pt>
                <c:pt idx="712">
                  <c:v>2319</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showDLblsOverMax val="0"/>
    <c:extLst/>
  </c:chart>
  <c:txPr>
    <a:bodyPr/>
    <a:lstStyle/>
    <a:p>
      <a:pPr>
        <a:defRPr/>
      </a:pPr>
      <a:endParaRPr lang="fi-F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68580</xdr:rowOff>
        </xdr:from>
        <xdr:to>
          <xdr:col>1</xdr:col>
          <xdr:colOff>1363980</xdr:colOff>
          <xdr:row>0</xdr:row>
          <xdr:rowOff>449580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480060</xdr:colOff>
      <xdr:row>719</xdr:row>
      <xdr:rowOff>24765</xdr:rowOff>
    </xdr:from>
    <xdr:to>
      <xdr:col>12</xdr:col>
      <xdr:colOff>266700</xdr:colOff>
      <xdr:row>736</xdr:row>
      <xdr:rowOff>163558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45720</xdr:rowOff>
        </xdr:from>
        <xdr:to>
          <xdr:col>1</xdr:col>
          <xdr:colOff>1363980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xdr:colOff>
          <xdr:row>0</xdr:row>
          <xdr:rowOff>114300</xdr:rowOff>
        </xdr:from>
        <xdr:to>
          <xdr:col>3</xdr:col>
          <xdr:colOff>312420</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4</xdr:row>
      <xdr:rowOff>66675</xdr:rowOff>
    </xdr:from>
    <xdr:to>
      <xdr:col>17</xdr:col>
      <xdr:colOff>123824</xdr:colOff>
      <xdr:row>22</xdr:row>
      <xdr:rowOff>14968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22</xdr:row>
      <xdr:rowOff>114300</xdr:rowOff>
    </xdr:from>
    <xdr:to>
      <xdr:col>9</xdr:col>
      <xdr:colOff>400050</xdr:colOff>
      <xdr:row>37</xdr:row>
      <xdr:rowOff>81643</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397328</xdr:colOff>
      <xdr:row>59</xdr:row>
      <xdr:rowOff>180975</xdr:rowOff>
    </xdr:from>
    <xdr:to>
      <xdr:col>17</xdr:col>
      <xdr:colOff>549810</xdr:colOff>
      <xdr:row>78</xdr:row>
      <xdr:rowOff>66114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5442</xdr:colOff>
      <xdr:row>81</xdr:row>
      <xdr:rowOff>66675</xdr:rowOff>
    </xdr:from>
    <xdr:to>
      <xdr:col>14</xdr:col>
      <xdr:colOff>344181</xdr:colOff>
      <xdr:row>99</xdr:row>
      <xdr:rowOff>38100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106680</xdr:colOff>
          <xdr:row>1</xdr:row>
          <xdr:rowOff>76200</xdr:rowOff>
        </xdr:from>
        <xdr:to>
          <xdr:col>2</xdr:col>
          <xdr:colOff>449580</xdr:colOff>
          <xdr:row>3</xdr:row>
          <xdr:rowOff>30480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352425</xdr:colOff>
      <xdr:row>4</xdr:row>
      <xdr:rowOff>108585</xdr:rowOff>
    </xdr:from>
    <xdr:to>
      <xdr:col>33</xdr:col>
      <xdr:colOff>272415</xdr:colOff>
      <xdr:row>22</xdr:row>
      <xdr:rowOff>56878</xdr:rowOff>
    </xdr:to>
    <xdr:graphicFrame macro="">
      <xdr:nvGraphicFramePr>
        <xdr:cNvPr id="6" name="Chart 1">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20"/>
  <sheetViews>
    <sheetView workbookViewId="0">
      <selection activeCell="B17" sqref="B17"/>
    </sheetView>
  </sheetViews>
  <sheetFormatPr defaultRowHeight="14.4"/>
  <cols>
    <col min="2" max="2" width="10.109375" bestFit="1" customWidth="1"/>
  </cols>
  <sheetData>
    <row r="2" spans="2:12" ht="14.85" customHeight="1">
      <c r="B2" s="56" t="s">
        <v>523</v>
      </c>
      <c r="C2" s="57"/>
      <c r="D2" s="57"/>
      <c r="E2" s="57"/>
      <c r="F2" s="57"/>
      <c r="G2" s="57"/>
      <c r="H2" s="57"/>
      <c r="I2" s="58"/>
      <c r="J2" s="58"/>
      <c r="K2" s="58"/>
      <c r="L2" s="58"/>
    </row>
    <row r="3" spans="2:12">
      <c r="B3" s="57"/>
      <c r="C3" s="57"/>
      <c r="D3" s="57"/>
      <c r="E3" s="57"/>
      <c r="F3" s="57"/>
      <c r="G3" s="57"/>
      <c r="H3" s="57"/>
      <c r="I3" s="58"/>
      <c r="J3" s="58"/>
      <c r="K3" s="58"/>
      <c r="L3" s="58"/>
    </row>
    <row r="4" spans="2:12">
      <c r="B4" s="57"/>
      <c r="C4" s="57"/>
      <c r="D4" s="57"/>
      <c r="E4" s="57"/>
      <c r="F4" s="57"/>
      <c r="G4" s="57"/>
      <c r="H4" s="57"/>
      <c r="I4" s="58"/>
      <c r="J4" s="58"/>
      <c r="K4" s="58"/>
      <c r="L4" s="58"/>
    </row>
    <row r="5" spans="2:12">
      <c r="B5" s="57"/>
      <c r="C5" s="57"/>
      <c r="D5" s="57"/>
      <c r="E5" s="57"/>
      <c r="F5" s="57"/>
      <c r="G5" s="57"/>
      <c r="H5" s="57"/>
      <c r="I5" s="58"/>
      <c r="J5" s="58"/>
      <c r="K5" s="58"/>
      <c r="L5" s="58"/>
    </row>
    <row r="6" spans="2:12">
      <c r="B6" s="57"/>
      <c r="C6" s="57"/>
      <c r="D6" s="57"/>
      <c r="E6" s="57"/>
      <c r="F6" s="57"/>
      <c r="G6" s="57"/>
      <c r="H6" s="57"/>
      <c r="I6" s="58"/>
      <c r="J6" s="58"/>
      <c r="K6" s="58"/>
      <c r="L6" s="58"/>
    </row>
    <row r="7" spans="2:12">
      <c r="B7" s="57"/>
      <c r="C7" s="57"/>
      <c r="D7" s="57"/>
      <c r="E7" s="57"/>
      <c r="F7" s="57"/>
      <c r="G7" s="57"/>
      <c r="H7" s="57"/>
      <c r="I7" s="58"/>
      <c r="J7" s="58"/>
      <c r="K7" s="58"/>
      <c r="L7" s="58"/>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s="13" t="s">
        <v>739</v>
      </c>
    </row>
    <row r="18" spans="2:2">
      <c r="B18" t="s">
        <v>538</v>
      </c>
    </row>
    <row r="19" spans="2:2">
      <c r="B19" s="13" t="s">
        <v>466</v>
      </c>
    </row>
    <row r="20" spans="2:2">
      <c r="B20"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396" workbookViewId="0">
      <selection activeCell="A423" sqref="A423"/>
    </sheetView>
  </sheetViews>
  <sheetFormatPr defaultRowHeight="14.4"/>
  <cols>
    <col min="1" max="1" width="23.554687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11</v>
      </c>
      <c r="D237" s="39">
        <f t="shared" si="3"/>
        <v>8.6444007858546166E-4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36</v>
      </c>
      <c r="D248" s="39">
        <f t="shared" si="3"/>
        <v>2.1337126600284497E-3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45</v>
      </c>
      <c r="D258" s="39">
        <f t="shared" si="3"/>
        <v>5.3571428571428572E-3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58</v>
      </c>
      <c r="D261" s="39">
        <f t="shared" si="3"/>
        <v>3.3827131692523039E-3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124</v>
      </c>
      <c r="D273" s="39">
        <f t="shared" si="4"/>
        <v>1.1009500133179436E-2</v>
      </c>
    </row>
    <row r="274" spans="1:4">
      <c r="A274" t="s">
        <v>226</v>
      </c>
      <c r="B274">
        <v>11771</v>
      </c>
      <c r="C274">
        <f>Kaikki!A274</f>
        <v>134</v>
      </c>
      <c r="D274" s="39">
        <f t="shared" si="4"/>
        <v>1.1383909608359527E-2</v>
      </c>
    </row>
    <row r="275" spans="1:4">
      <c r="A275" t="s">
        <v>228</v>
      </c>
      <c r="B275">
        <v>15401</v>
      </c>
      <c r="C275">
        <f>Kaikki!A275</f>
        <v>167</v>
      </c>
      <c r="D275" s="39">
        <f t="shared" si="4"/>
        <v>1.0843451723914032E-2</v>
      </c>
    </row>
    <row r="276" spans="1:4">
      <c r="A276" t="s">
        <v>230</v>
      </c>
      <c r="B276">
        <v>12134</v>
      </c>
      <c r="C276">
        <f>Kaikki!A276</f>
        <v>191</v>
      </c>
      <c r="D276" s="39">
        <f t="shared" si="4"/>
        <v>1.5740893357507828E-2</v>
      </c>
    </row>
    <row r="277" spans="1:4">
      <c r="A277" t="s">
        <v>231</v>
      </c>
      <c r="B277">
        <v>12512</v>
      </c>
      <c r="C277">
        <f>Kaikki!A277</f>
        <v>187</v>
      </c>
      <c r="D277" s="39">
        <f t="shared" si="4"/>
        <v>1.4945652173913044E-2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301</v>
      </c>
      <c r="D281" s="39">
        <f t="shared" si="4"/>
        <v>1.9429382907306999E-2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111</v>
      </c>
      <c r="D285" s="39">
        <f t="shared" si="4"/>
        <v>7.5131988628671991E-3</v>
      </c>
    </row>
    <row r="286" spans="1:4">
      <c r="A286" t="s">
        <v>301</v>
      </c>
      <c r="B286">
        <v>9812</v>
      </c>
      <c r="C286">
        <f>Kaikki!A286</f>
        <v>132</v>
      </c>
      <c r="D286" s="39">
        <f t="shared" si="4"/>
        <v>1.3452914798206279E-2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222</v>
      </c>
      <c r="D297" s="39">
        <f t="shared" si="4"/>
        <v>1.2716961677264134E-2</v>
      </c>
    </row>
    <row r="298" spans="1:4">
      <c r="A298" t="s">
        <v>316</v>
      </c>
      <c r="B298">
        <v>16372</v>
      </c>
      <c r="C298">
        <f>Kaikki!A298</f>
        <v>194</v>
      </c>
      <c r="D298" s="39">
        <f t="shared" si="4"/>
        <v>1.1849499144881506E-2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234</v>
      </c>
      <c r="D302" s="39">
        <f t="shared" si="4"/>
        <v>1.2591476538958243E-2</v>
      </c>
    </row>
    <row r="303" spans="1:4">
      <c r="A303" t="s">
        <v>321</v>
      </c>
      <c r="B303">
        <v>16275</v>
      </c>
      <c r="C303">
        <f>Kaikki!A303</f>
        <v>240</v>
      </c>
      <c r="D303" s="39">
        <f t="shared" si="4"/>
        <v>1.4746543778801843E-2</v>
      </c>
    </row>
    <row r="304" spans="1:4">
      <c r="A304" t="s">
        <v>322</v>
      </c>
      <c r="B304">
        <v>15077</v>
      </c>
      <c r="C304">
        <f>Kaikki!A304</f>
        <v>236</v>
      </c>
      <c r="D304" s="39">
        <f t="shared" si="4"/>
        <v>1.5652981362339988E-2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287</v>
      </c>
      <c r="D308" s="39">
        <f t="shared" si="4"/>
        <v>2.9420809841107124E-2</v>
      </c>
    </row>
    <row r="309" spans="1:4">
      <c r="A309" t="s">
        <v>327</v>
      </c>
      <c r="B309">
        <v>16077</v>
      </c>
      <c r="C309">
        <f>Kaikki!A309</f>
        <v>241</v>
      </c>
      <c r="D309" s="39">
        <f t="shared" si="4"/>
        <v>1.4990358897804318E-2</v>
      </c>
    </row>
    <row r="310" spans="1:4">
      <c r="A310" t="s">
        <v>328</v>
      </c>
      <c r="B310">
        <v>17293</v>
      </c>
      <c r="C310">
        <f>Kaikki!A310</f>
        <v>214</v>
      </c>
      <c r="D310" s="39">
        <f t="shared" si="4"/>
        <v>1.2374949401491933E-2</v>
      </c>
    </row>
    <row r="311" spans="1:4">
      <c r="A311" t="s">
        <v>329</v>
      </c>
      <c r="B311">
        <v>15315</v>
      </c>
      <c r="C311">
        <f>Kaikki!A311</f>
        <v>218</v>
      </c>
      <c r="D311" s="39">
        <f t="shared" si="4"/>
        <v>1.4234410708455762E-2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295</v>
      </c>
      <c r="D317" s="39">
        <f t="shared" si="4"/>
        <v>1.8002074815402454E-2</v>
      </c>
    </row>
    <row r="318" spans="1:4">
      <c r="A318" t="s">
        <v>336</v>
      </c>
      <c r="B318">
        <v>15852</v>
      </c>
      <c r="C318">
        <f>Kaikki!A318</f>
        <v>284</v>
      </c>
      <c r="D318" s="39">
        <f t="shared" si="4"/>
        <v>1.7915720413827909E-2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180</v>
      </c>
      <c r="D321" s="39">
        <f t="shared" si="4"/>
        <v>2.7075812274368231E-2</v>
      </c>
    </row>
    <row r="322" spans="1:4">
      <c r="A322" t="s">
        <v>340</v>
      </c>
      <c r="B322">
        <v>12667</v>
      </c>
      <c r="C322">
        <f>Kaikki!A322</f>
        <v>393</v>
      </c>
      <c r="D322" s="39">
        <f t="shared" si="4"/>
        <v>3.1025499328965027E-2</v>
      </c>
    </row>
    <row r="323" spans="1:4">
      <c r="A323" t="s">
        <v>341</v>
      </c>
      <c r="B323">
        <v>18246</v>
      </c>
      <c r="C323">
        <f>Kaikki!A323</f>
        <v>388</v>
      </c>
      <c r="D323" s="39">
        <f t="shared" si="4"/>
        <v>2.1264934780225803E-2</v>
      </c>
    </row>
    <row r="324" spans="1:4">
      <c r="A324" t="s">
        <v>342</v>
      </c>
      <c r="B324">
        <v>17093</v>
      </c>
      <c r="C324">
        <f>Kaikki!A324</f>
        <v>377</v>
      </c>
      <c r="D324" s="39">
        <f t="shared" si="4"/>
        <v>2.205581232083309E-2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270</v>
      </c>
      <c r="D327" s="39">
        <f t="shared" si="4"/>
        <v>2.0694412508622671E-2</v>
      </c>
    </row>
    <row r="328" spans="1:4">
      <c r="A328" t="s">
        <v>348</v>
      </c>
      <c r="B328">
        <v>8718</v>
      </c>
      <c r="C328">
        <f>Kaikki!A328</f>
        <v>266</v>
      </c>
      <c r="D328" s="39">
        <f t="shared" ref="D328:D391" si="5">C328/B328</f>
        <v>3.0511585225969258E-2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509</v>
      </c>
      <c r="D332" s="39">
        <f t="shared" si="5"/>
        <v>2.3212331265961329E-2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440</v>
      </c>
      <c r="D337" s="39">
        <f t="shared" si="5"/>
        <v>2.1063717746182202E-2</v>
      </c>
    </row>
    <row r="338" spans="1:4">
      <c r="A338" t="s">
        <v>361</v>
      </c>
      <c r="B338">
        <v>23756</v>
      </c>
      <c r="C338">
        <f>Kaikki!A338</f>
        <v>495</v>
      </c>
      <c r="D338" s="39">
        <f t="shared" si="5"/>
        <v>2.0836841219060449E-2</v>
      </c>
    </row>
    <row r="339" spans="1:4">
      <c r="A339" t="s">
        <v>362</v>
      </c>
      <c r="B339">
        <v>21894</v>
      </c>
      <c r="C339">
        <f>Kaikki!A339</f>
        <v>478</v>
      </c>
      <c r="D339" s="39">
        <f t="shared" si="5"/>
        <v>2.1832465515666394E-2</v>
      </c>
    </row>
    <row r="340" spans="1:4">
      <c r="A340" t="s">
        <v>363</v>
      </c>
      <c r="B340">
        <v>21704</v>
      </c>
      <c r="C340">
        <f>Kaikki!A340</f>
        <v>473</v>
      </c>
      <c r="D340" s="39">
        <f t="shared" si="5"/>
        <v>2.1793217840029487E-2</v>
      </c>
    </row>
    <row r="341" spans="1:4">
      <c r="A341" t="s">
        <v>364</v>
      </c>
      <c r="B341">
        <v>17866</v>
      </c>
      <c r="C341">
        <f>Kaikki!A341</f>
        <v>250</v>
      </c>
      <c r="D341" s="39">
        <f t="shared" si="5"/>
        <v>1.3993059442516512E-2</v>
      </c>
    </row>
    <row r="342" spans="1:4">
      <c r="A342" t="s">
        <v>365</v>
      </c>
      <c r="B342">
        <v>11462</v>
      </c>
      <c r="C342">
        <f>Kaikki!A342</f>
        <v>283</v>
      </c>
      <c r="D342" s="39">
        <f t="shared" si="5"/>
        <v>2.4690280928284767E-2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447</v>
      </c>
      <c r="D347" s="39">
        <f t="shared" si="5"/>
        <v>2.3292168203845554E-2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360</v>
      </c>
      <c r="D351" s="39">
        <f t="shared" si="5"/>
        <v>1.5908086610693768E-2</v>
      </c>
    </row>
    <row r="352" spans="1:4">
      <c r="A352" t="s">
        <v>375</v>
      </c>
      <c r="B352">
        <v>18572</v>
      </c>
      <c r="C352">
        <f>Kaikki!A352</f>
        <v>352</v>
      </c>
      <c r="D352" s="39">
        <f t="shared" si="5"/>
        <v>1.8953262976523798E-2</v>
      </c>
    </row>
    <row r="353" spans="1:4">
      <c r="A353" t="s">
        <v>376</v>
      </c>
      <c r="B353">
        <v>20440</v>
      </c>
      <c r="C353">
        <f>Kaikki!A353</f>
        <v>324</v>
      </c>
      <c r="D353" s="39">
        <f t="shared" si="5"/>
        <v>1.5851272015655577E-2</v>
      </c>
    </row>
    <row r="354" spans="1:4">
      <c r="A354" t="s">
        <v>377</v>
      </c>
      <c r="B354">
        <v>19754</v>
      </c>
      <c r="C354">
        <f>Kaikki!A354</f>
        <v>394</v>
      </c>
      <c r="D354" s="39">
        <f t="shared" si="5"/>
        <v>1.9945327528601803E-2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308</v>
      </c>
      <c r="D365" s="39">
        <f t="shared" si="5"/>
        <v>1.9587891121851945E-2</v>
      </c>
    </row>
    <row r="366" spans="1:4">
      <c r="A366" t="s">
        <v>389</v>
      </c>
      <c r="B366">
        <v>14322</v>
      </c>
      <c r="C366">
        <f>Kaikki!A366</f>
        <v>255</v>
      </c>
      <c r="D366" s="39">
        <f t="shared" si="5"/>
        <v>1.7804775869291998E-2</v>
      </c>
    </row>
    <row r="367" spans="1:4">
      <c r="A367" t="s">
        <v>390</v>
      </c>
      <c r="B367">
        <v>11974</v>
      </c>
      <c r="C367">
        <f>Kaikki!A367</f>
        <v>254</v>
      </c>
      <c r="D367" s="39">
        <f t="shared" si="5"/>
        <v>2.1212627359278438E-2</v>
      </c>
    </row>
    <row r="368" spans="1:4">
      <c r="A368" t="s">
        <v>391</v>
      </c>
      <c r="B368">
        <v>6829</v>
      </c>
      <c r="C368">
        <f>Kaikki!A368</f>
        <v>128</v>
      </c>
      <c r="D368" s="39">
        <f t="shared" si="5"/>
        <v>1.8743593498316006E-2</v>
      </c>
    </row>
    <row r="369" spans="1:4">
      <c r="A369" t="s">
        <v>392</v>
      </c>
      <c r="B369">
        <v>5684</v>
      </c>
      <c r="C369">
        <f>Kaikki!A369</f>
        <v>205</v>
      </c>
      <c r="D369" s="39">
        <f t="shared" si="5"/>
        <v>3.6066150598170303E-2</v>
      </c>
    </row>
    <row r="370" spans="1:4">
      <c r="A370" t="s">
        <v>393</v>
      </c>
      <c r="B370">
        <v>6495</v>
      </c>
      <c r="C370">
        <f>Kaikki!A370</f>
        <v>169</v>
      </c>
      <c r="D370" s="39">
        <f t="shared" si="5"/>
        <v>2.6020015396458814E-2</v>
      </c>
    </row>
    <row r="371" spans="1:4">
      <c r="A371" t="s">
        <v>394</v>
      </c>
      <c r="B371">
        <v>10677</v>
      </c>
      <c r="C371">
        <f>Kaikki!A371</f>
        <v>396</v>
      </c>
      <c r="D371" s="39">
        <f t="shared" si="5"/>
        <v>3.7089069963472887E-2</v>
      </c>
    </row>
    <row r="372" spans="1:4">
      <c r="A372" t="s">
        <v>395</v>
      </c>
      <c r="B372">
        <v>14981</v>
      </c>
      <c r="C372">
        <f>Kaikki!A372</f>
        <v>262</v>
      </c>
      <c r="D372" s="39">
        <f t="shared" si="5"/>
        <v>1.7488819170949872E-2</v>
      </c>
    </row>
    <row r="373" spans="1:4">
      <c r="A373" t="s">
        <v>396</v>
      </c>
      <c r="B373">
        <v>10861</v>
      </c>
      <c r="C373">
        <f>Kaikki!A373</f>
        <v>208</v>
      </c>
      <c r="D373" s="39">
        <f t="shared" si="5"/>
        <v>1.9151091059755088E-2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193</v>
      </c>
      <c r="D376" s="39">
        <f t="shared" si="5"/>
        <v>2.0597652081109925E-2</v>
      </c>
    </row>
    <row r="377" spans="1:4">
      <c r="A377" t="s">
        <v>400</v>
      </c>
      <c r="B377">
        <v>6501</v>
      </c>
      <c r="C377">
        <f>Kaikki!A377</f>
        <v>188</v>
      </c>
      <c r="D377" s="39">
        <f t="shared" si="5"/>
        <v>2.8918627903399476E-2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248</v>
      </c>
      <c r="D381" s="39">
        <f t="shared" si="5"/>
        <v>2.3050469374477182E-2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198</v>
      </c>
      <c r="D384" s="39">
        <f t="shared" si="5"/>
        <v>3.8372093023255817E-2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406</v>
      </c>
      <c r="D387" s="39">
        <f t="shared" si="5"/>
        <v>2.5705964290236798E-2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604</v>
      </c>
      <c r="D392" s="39">
        <f t="shared" ref="D392:D406" si="6">C392/B392</f>
        <v>5.3267483905106272E-2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379</v>
      </c>
      <c r="D396" s="39">
        <f t="shared" si="6"/>
        <v>2.0315180102915952E-2</v>
      </c>
    </row>
    <row r="397" spans="1:4">
      <c r="A397" t="s">
        <v>421</v>
      </c>
      <c r="B397">
        <v>12367</v>
      </c>
      <c r="C397">
        <f>Kaikki!A397</f>
        <v>233</v>
      </c>
      <c r="D397" s="39">
        <f t="shared" si="6"/>
        <v>1.8840462521225843E-2</v>
      </c>
    </row>
    <row r="398" spans="1:4">
      <c r="A398" t="s">
        <v>422</v>
      </c>
      <c r="B398">
        <v>10583</v>
      </c>
      <c r="C398">
        <f>Kaikki!A398</f>
        <v>274</v>
      </c>
      <c r="D398" s="39">
        <f t="shared" si="6"/>
        <v>2.5890579230841915E-2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372</v>
      </c>
      <c r="D402" s="39">
        <f t="shared" si="6"/>
        <v>1.91980182690819E-2</v>
      </c>
    </row>
    <row r="403" spans="1:4">
      <c r="A403" t="s">
        <v>427</v>
      </c>
      <c r="B403">
        <v>17956</v>
      </c>
      <c r="C403">
        <f>Kaikki!A403</f>
        <v>367</v>
      </c>
      <c r="D403" s="39">
        <f t="shared" si="6"/>
        <v>2.0438850523501893E-2</v>
      </c>
    </row>
    <row r="404" spans="1:4">
      <c r="A404" t="s">
        <v>428</v>
      </c>
      <c r="B404">
        <v>14083</v>
      </c>
      <c r="C404">
        <f>Kaikki!A404</f>
        <v>237</v>
      </c>
      <c r="D404" s="39">
        <f t="shared" si="6"/>
        <v>1.6828800681672938E-2</v>
      </c>
    </row>
    <row r="405" spans="1:4">
      <c r="A405" t="s">
        <v>429</v>
      </c>
      <c r="B405">
        <v>9007</v>
      </c>
      <c r="C405">
        <f>Kaikki!A405</f>
        <v>264</v>
      </c>
      <c r="D405" s="39">
        <f t="shared" si="6"/>
        <v>2.9310536249583657E-2</v>
      </c>
    </row>
    <row r="406" spans="1:4">
      <c r="A406" t="s">
        <v>437</v>
      </c>
      <c r="B406">
        <v>13939</v>
      </c>
      <c r="C406">
        <f>Kaikki!A406</f>
        <v>461</v>
      </c>
      <c r="D406" s="39">
        <f t="shared" si="6"/>
        <v>3.3072673792955018E-2</v>
      </c>
    </row>
    <row r="407" spans="1:4">
      <c r="A407" t="s">
        <v>438</v>
      </c>
      <c r="B407">
        <v>21872</v>
      </c>
      <c r="C407">
        <f>Kaikki!A407</f>
        <v>373</v>
      </c>
      <c r="D407" s="39">
        <f>C407/B407</f>
        <v>1.7053767373811264E-2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418</v>
      </c>
      <c r="D410" s="39">
        <f t="shared" si="7"/>
        <v>2.2690261643686895E-2</v>
      </c>
    </row>
    <row r="411" spans="1:4">
      <c r="A411" t="s">
        <v>442</v>
      </c>
      <c r="B411">
        <v>12748</v>
      </c>
      <c r="C411">
        <f>Kaikki!A411</f>
        <v>279</v>
      </c>
      <c r="D411" s="39">
        <f t="shared" si="7"/>
        <v>2.1885786005647945E-2</v>
      </c>
    </row>
    <row r="412" spans="1:4">
      <c r="A412" t="s">
        <v>443</v>
      </c>
      <c r="B412">
        <v>9620</v>
      </c>
      <c r="C412">
        <f>Kaikki!A412</f>
        <v>281</v>
      </c>
      <c r="D412" s="39">
        <f t="shared" si="7"/>
        <v>2.9209979209979212E-2</v>
      </c>
    </row>
    <row r="413" spans="1:4">
      <c r="A413" t="s">
        <v>444</v>
      </c>
      <c r="B413">
        <v>14456</v>
      </c>
      <c r="C413">
        <f>Kaikki!A413</f>
        <v>617</v>
      </c>
      <c r="D413" s="39">
        <f t="shared" si="7"/>
        <v>4.2681239623685668E-2</v>
      </c>
    </row>
    <row r="414" spans="1:4">
      <c r="A414" t="s">
        <v>445</v>
      </c>
      <c r="B414">
        <v>21556</v>
      </c>
      <c r="C414">
        <f>Kaikki!A414</f>
        <v>514</v>
      </c>
      <c r="D414" s="39">
        <f t="shared" si="7"/>
        <v>2.3844869177955093E-2</v>
      </c>
    </row>
    <row r="415" spans="1:4">
      <c r="A415" t="s">
        <v>446</v>
      </c>
      <c r="B415">
        <v>20349</v>
      </c>
      <c r="C415">
        <f>Kaikki!A415</f>
        <v>553</v>
      </c>
      <c r="D415" s="39">
        <f t="shared" si="7"/>
        <v>2.7175782593739251E-2</v>
      </c>
    </row>
    <row r="416" spans="1:4">
      <c r="A416" t="s">
        <v>447</v>
      </c>
      <c r="B416">
        <v>21121</v>
      </c>
      <c r="C416">
        <f>Kaikki!A416</f>
        <v>613</v>
      </c>
      <c r="D416" s="39">
        <f t="shared" si="7"/>
        <v>2.9023247005350125E-2</v>
      </c>
    </row>
    <row r="417" spans="1:4">
      <c r="A417" t="s">
        <v>448</v>
      </c>
      <c r="B417">
        <v>19265</v>
      </c>
      <c r="C417">
        <f>Kaikki!A417</f>
        <v>573</v>
      </c>
      <c r="D417" s="39">
        <f t="shared" si="7"/>
        <v>2.9743057357902933E-2</v>
      </c>
    </row>
    <row r="418" spans="1:4">
      <c r="A418" t="s">
        <v>450</v>
      </c>
      <c r="B418">
        <v>15763</v>
      </c>
      <c r="C418">
        <f>Kaikki!A418</f>
        <v>318</v>
      </c>
      <c r="D418" s="39">
        <f t="shared" si="7"/>
        <v>2.0173824779547041E-2</v>
      </c>
    </row>
    <row r="419" spans="1:4">
      <c r="A419" t="s">
        <v>451</v>
      </c>
      <c r="B419">
        <v>11288</v>
      </c>
      <c r="C419">
        <f>Kaikki!A419</f>
        <v>355</v>
      </c>
      <c r="D419" s="39">
        <f t="shared" si="7"/>
        <v>3.1449326718639266E-2</v>
      </c>
    </row>
    <row r="420" spans="1:4">
      <c r="A420" t="s">
        <v>452</v>
      </c>
      <c r="B420">
        <v>20573</v>
      </c>
      <c r="C420">
        <f>Kaikki!A420</f>
        <v>624</v>
      </c>
      <c r="D420" s="39">
        <f t="shared" si="7"/>
        <v>3.0331016380693143E-2</v>
      </c>
    </row>
    <row r="421" spans="1:4">
      <c r="A421" t="s">
        <v>455</v>
      </c>
      <c r="B421">
        <v>20892</v>
      </c>
      <c r="C421">
        <f>Kaikki!A421</f>
        <v>626</v>
      </c>
      <c r="D421" s="39">
        <f t="shared" si="7"/>
        <v>2.996362243921118E-2</v>
      </c>
    </row>
    <row r="422" spans="1:4">
      <c r="A422" t="s">
        <v>461</v>
      </c>
      <c r="B422">
        <v>239</v>
      </c>
      <c r="C422">
        <f>Kaikki!A422</f>
        <v>599</v>
      </c>
      <c r="D422" s="39">
        <f t="shared" si="7"/>
        <v>2.506276150627615</v>
      </c>
    </row>
    <row r="423" spans="1:4">
      <c r="A423" t="s">
        <v>462</v>
      </c>
      <c r="B423">
        <v>0</v>
      </c>
      <c r="C423">
        <f>Kaikki!A423</f>
        <v>629</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565" activePane="bottomLeft" state="frozen"/>
      <selection pane="bottomLeft" activeCell="A590" sqref="A590"/>
    </sheetView>
  </sheetViews>
  <sheetFormatPr defaultRowHeight="14.4"/>
  <cols>
    <col min="1" max="1" width="9.1093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4.88671875" bestFit="1" customWidth="1"/>
    <col min="11" max="11" width="14" bestFit="1" customWidth="1"/>
    <col min="12" max="12" width="10.109375" style="37" bestFit="1" customWidth="1"/>
    <col min="13" max="13" width="14.109375" bestFit="1" customWidth="1"/>
  </cols>
  <sheetData>
    <row r="1" spans="1:15" s="7" customFormat="1" ht="39.9" customHeight="1">
      <c r="A1" s="31" t="s">
        <v>290</v>
      </c>
      <c r="B1" s="1" t="s">
        <v>1</v>
      </c>
      <c r="C1" s="1" t="s">
        <v>9</v>
      </c>
      <c r="D1" s="1" t="s">
        <v>291</v>
      </c>
      <c r="E1" s="1" t="s">
        <v>299</v>
      </c>
      <c r="F1" s="6" t="s">
        <v>7</v>
      </c>
      <c r="G1" s="7" t="s">
        <v>465</v>
      </c>
      <c r="H1" s="7" t="s">
        <v>467</v>
      </c>
      <c r="I1" s="7">
        <f>SUM(A:A)</f>
        <v>213318</v>
      </c>
      <c r="J1" s="8">
        <v>44547.913101851853</v>
      </c>
      <c r="K1" s="7">
        <f>MAX(A:A)</f>
        <v>2319</v>
      </c>
      <c r="L1" s="33">
        <f>VLOOKUP(K1,A:F,6,FALSE)</f>
        <v>44543.625</v>
      </c>
      <c r="M1" s="7">
        <f>COUNT(DataN)-5</f>
        <v>712</v>
      </c>
      <c r="O1" s="7" t="str">
        <f>"Päivittäisiä COVID-19 tapauksia vuoden 2020 alusta lähtien "&amp;TEXT(MAX(Kaikki!F:F)-4,"[$-40B]p.k.vvvv")&amp;" saakka. Suurin arvo "&amp;Kaikki!K1&amp;", joka "&amp;TEXT(Kaikki!L1,"[$-40B]p.k.vvvv")&amp;". Uusimpien 4 päivien arvot tulevat viiveellä, joten ne on jätetty pois kuvaajasta."</f>
        <v>Päivittäisiä COVID-19 tapauksia vuoden 2020 alusta lähtien 13.12.2021 saakka. Suurin arvo 2319, joka 13.12.2021. Uusimpien 4 päivien arvot tulevat viiveellä, joten ne on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2">
      <c r="A17" s="3">
        <v>0</v>
      </c>
      <c r="B17" t="s">
        <v>249</v>
      </c>
      <c r="C17" t="s">
        <v>8</v>
      </c>
      <c r="E17" s="3">
        <f t="shared" si="0"/>
        <v>4</v>
      </c>
      <c r="F17" s="5">
        <v>43846.625</v>
      </c>
      <c r="G17" s="19" t="str">
        <f t="shared" si="1"/>
        <v/>
      </c>
      <c r="J17" s="28" t="e">
        <f t="shared" si="2"/>
        <v>#DIV/0!</v>
      </c>
    </row>
    <row r="18" spans="1:12">
      <c r="A18" s="3">
        <v>0</v>
      </c>
      <c r="B18" t="s">
        <v>250</v>
      </c>
      <c r="C18" t="s">
        <v>8</v>
      </c>
      <c r="E18" s="3">
        <f t="shared" si="0"/>
        <v>5</v>
      </c>
      <c r="F18" s="5">
        <v>43847.625</v>
      </c>
      <c r="G18" s="19" t="str">
        <f t="shared" si="1"/>
        <v/>
      </c>
      <c r="J18" s="28" t="e">
        <f t="shared" si="2"/>
        <v>#DIV/0!</v>
      </c>
    </row>
    <row r="19" spans="1:12">
      <c r="A19" s="3">
        <v>0</v>
      </c>
      <c r="B19" t="s">
        <v>251</v>
      </c>
      <c r="C19" t="s">
        <v>8</v>
      </c>
      <c r="E19" s="3">
        <f t="shared" si="0"/>
        <v>6</v>
      </c>
      <c r="F19" s="5">
        <v>43848.625</v>
      </c>
      <c r="G19" s="19" t="str">
        <f t="shared" si="1"/>
        <v/>
      </c>
      <c r="J19" s="28" t="e">
        <f t="shared" si="2"/>
        <v>#DIV/0!</v>
      </c>
    </row>
    <row r="20" spans="1:12">
      <c r="A20" s="3">
        <v>0</v>
      </c>
      <c r="B20" t="s">
        <v>252</v>
      </c>
      <c r="C20" t="s">
        <v>8</v>
      </c>
      <c r="E20" s="3">
        <f t="shared" si="0"/>
        <v>7</v>
      </c>
      <c r="F20" s="5">
        <v>43849.625</v>
      </c>
      <c r="G20" s="19" t="str">
        <f t="shared" si="1"/>
        <v/>
      </c>
      <c r="J20" s="28" t="e">
        <f t="shared" si="2"/>
        <v>#DIV/0!</v>
      </c>
      <c r="K20">
        <f>SUM(A14:A20)</f>
        <v>0</v>
      </c>
      <c r="L20" s="37">
        <f>SUM(A7:A20)</f>
        <v>0</v>
      </c>
    </row>
    <row r="21" spans="1:12">
      <c r="A21" s="3">
        <v>0</v>
      </c>
      <c r="B21" t="s">
        <v>253</v>
      </c>
      <c r="C21" t="s">
        <v>8</v>
      </c>
      <c r="E21" s="3">
        <f t="shared" si="0"/>
        <v>1</v>
      </c>
      <c r="F21" s="5">
        <v>43850.625</v>
      </c>
      <c r="G21" s="19" t="str">
        <f t="shared" si="1"/>
        <v>2020-W04</v>
      </c>
      <c r="H21">
        <f>SUM(A21:A27)</f>
        <v>0</v>
      </c>
      <c r="I21" s="28" t="e">
        <f>H21/H14-1</f>
        <v>#DIV/0!</v>
      </c>
      <c r="J21" s="28" t="e">
        <f t="shared" si="2"/>
        <v>#DIV/0!</v>
      </c>
      <c r="K21">
        <f t="shared" ref="K21:K84" si="3">SUM(A15:A21)</f>
        <v>0</v>
      </c>
      <c r="L21" s="37">
        <f t="shared" ref="L21:L84" si="4">SUM(A8:A21)</f>
        <v>0</v>
      </c>
    </row>
    <row r="22" spans="1:12">
      <c r="A22" s="3">
        <v>0</v>
      </c>
      <c r="B22" t="s">
        <v>254</v>
      </c>
      <c r="C22" t="s">
        <v>8</v>
      </c>
      <c r="E22" s="3">
        <f t="shared" si="0"/>
        <v>2</v>
      </c>
      <c r="F22" s="5">
        <v>43851.625</v>
      </c>
      <c r="G22" s="19" t="str">
        <f t="shared" si="1"/>
        <v/>
      </c>
      <c r="J22" s="28" t="e">
        <f t="shared" si="2"/>
        <v>#DIV/0!</v>
      </c>
      <c r="K22">
        <f t="shared" si="3"/>
        <v>0</v>
      </c>
      <c r="L22" s="37">
        <f t="shared" si="4"/>
        <v>0</v>
      </c>
    </row>
    <row r="23" spans="1:12">
      <c r="A23" s="3">
        <v>0</v>
      </c>
      <c r="B23" t="s">
        <v>255</v>
      </c>
      <c r="C23" t="s">
        <v>8</v>
      </c>
      <c r="E23" s="3">
        <f t="shared" si="0"/>
        <v>3</v>
      </c>
      <c r="F23" s="5">
        <v>43852.625</v>
      </c>
      <c r="G23" s="19" t="str">
        <f t="shared" si="1"/>
        <v/>
      </c>
      <c r="J23" s="28" t="e">
        <f t="shared" si="2"/>
        <v>#DIV/0!</v>
      </c>
      <c r="K23">
        <f t="shared" si="3"/>
        <v>0</v>
      </c>
      <c r="L23" s="37">
        <f t="shared" si="4"/>
        <v>0</v>
      </c>
    </row>
    <row r="24" spans="1:12">
      <c r="A24" s="3">
        <v>0</v>
      </c>
      <c r="B24" t="s">
        <v>256</v>
      </c>
      <c r="C24" t="s">
        <v>8</v>
      </c>
      <c r="E24" s="3">
        <f t="shared" si="0"/>
        <v>4</v>
      </c>
      <c r="F24" s="5">
        <v>43853.625</v>
      </c>
      <c r="G24" s="19" t="str">
        <f t="shared" si="1"/>
        <v/>
      </c>
      <c r="J24" s="28" t="e">
        <f t="shared" si="2"/>
        <v>#DIV/0!</v>
      </c>
      <c r="K24">
        <f t="shared" si="3"/>
        <v>0</v>
      </c>
      <c r="L24" s="37">
        <f t="shared" si="4"/>
        <v>0</v>
      </c>
    </row>
    <row r="25" spans="1:12">
      <c r="A25" s="3">
        <v>0</v>
      </c>
      <c r="B25" t="s">
        <v>257</v>
      </c>
      <c r="C25" t="s">
        <v>8</v>
      </c>
      <c r="E25" s="3">
        <f t="shared" si="0"/>
        <v>5</v>
      </c>
      <c r="F25" s="5">
        <v>43854.625</v>
      </c>
      <c r="G25" s="19" t="str">
        <f t="shared" si="1"/>
        <v/>
      </c>
      <c r="J25" s="28" t="e">
        <f t="shared" si="2"/>
        <v>#DIV/0!</v>
      </c>
      <c r="K25">
        <f t="shared" si="3"/>
        <v>0</v>
      </c>
      <c r="L25" s="37">
        <f t="shared" si="4"/>
        <v>0</v>
      </c>
    </row>
    <row r="26" spans="1:12">
      <c r="A26" s="3">
        <v>0</v>
      </c>
      <c r="B26" t="s">
        <v>258</v>
      </c>
      <c r="C26" t="s">
        <v>8</v>
      </c>
      <c r="E26" s="3">
        <f t="shared" si="0"/>
        <v>6</v>
      </c>
      <c r="F26" s="5">
        <v>43855.625</v>
      </c>
      <c r="G26" s="19" t="str">
        <f t="shared" si="1"/>
        <v/>
      </c>
      <c r="J26" s="28" t="e">
        <f t="shared" si="2"/>
        <v>#DIV/0!</v>
      </c>
      <c r="K26">
        <f t="shared" si="3"/>
        <v>0</v>
      </c>
      <c r="L26" s="37">
        <f t="shared" si="4"/>
        <v>0</v>
      </c>
    </row>
    <row r="27" spans="1:12">
      <c r="A27" s="3">
        <v>0</v>
      </c>
      <c r="B27" t="s">
        <v>259</v>
      </c>
      <c r="C27" t="s">
        <v>8</v>
      </c>
      <c r="E27" s="3">
        <f t="shared" si="0"/>
        <v>7</v>
      </c>
      <c r="F27" s="5">
        <v>43856.625</v>
      </c>
      <c r="G27" s="19" t="str">
        <f t="shared" si="1"/>
        <v/>
      </c>
      <c r="J27" s="28" t="e">
        <f t="shared" si="2"/>
        <v>#DIV/0!</v>
      </c>
      <c r="K27">
        <f t="shared" si="3"/>
        <v>0</v>
      </c>
      <c r="L27" s="37">
        <f t="shared" si="4"/>
        <v>0</v>
      </c>
    </row>
    <row r="28" spans="1:12">
      <c r="A28" s="3">
        <v>0</v>
      </c>
      <c r="B28" t="s">
        <v>260</v>
      </c>
      <c r="C28" t="s">
        <v>8</v>
      </c>
      <c r="E28" s="3">
        <f t="shared" si="0"/>
        <v>1</v>
      </c>
      <c r="F28" s="5">
        <v>43857.625</v>
      </c>
      <c r="G28" s="19" t="str">
        <f t="shared" si="1"/>
        <v>2020-W05</v>
      </c>
      <c r="H28">
        <f>SUM(A28:A34)</f>
        <v>1</v>
      </c>
      <c r="I28" s="28" t="e">
        <f>H28/H21-1</f>
        <v>#DIV/0!</v>
      </c>
      <c r="J28" s="28" t="e">
        <f t="shared" si="2"/>
        <v>#DIV/0!</v>
      </c>
      <c r="K28">
        <f t="shared" si="3"/>
        <v>0</v>
      </c>
      <c r="L28" s="37">
        <f t="shared" si="4"/>
        <v>0</v>
      </c>
    </row>
    <row r="29" spans="1:12">
      <c r="A29" s="3">
        <v>1</v>
      </c>
      <c r="B29" t="s">
        <v>10</v>
      </c>
      <c r="C29" t="s">
        <v>8</v>
      </c>
      <c r="E29" s="3">
        <f t="shared" si="0"/>
        <v>2</v>
      </c>
      <c r="F29" s="5">
        <v>43858.625</v>
      </c>
      <c r="G29" s="19" t="str">
        <f t="shared" si="1"/>
        <v/>
      </c>
      <c r="J29" s="28" t="e">
        <f t="shared" si="2"/>
        <v>#DIV/0!</v>
      </c>
      <c r="K29">
        <f t="shared" si="3"/>
        <v>1</v>
      </c>
      <c r="L29" s="37">
        <f t="shared" si="4"/>
        <v>1</v>
      </c>
    </row>
    <row r="30" spans="1:12">
      <c r="A30" s="3">
        <v>0</v>
      </c>
      <c r="B30" t="s">
        <v>261</v>
      </c>
      <c r="C30" t="s">
        <v>8</v>
      </c>
      <c r="E30" s="3">
        <f t="shared" si="0"/>
        <v>3</v>
      </c>
      <c r="F30" s="5">
        <v>43859.625</v>
      </c>
      <c r="G30" s="19" t="str">
        <f t="shared" si="1"/>
        <v/>
      </c>
      <c r="J30" s="28" t="e">
        <f t="shared" si="2"/>
        <v>#DIV/0!</v>
      </c>
      <c r="K30">
        <f t="shared" si="3"/>
        <v>1</v>
      </c>
      <c r="L30" s="37">
        <f t="shared" si="4"/>
        <v>1</v>
      </c>
    </row>
    <row r="31" spans="1:12">
      <c r="A31" s="3">
        <v>0</v>
      </c>
      <c r="B31" t="s">
        <v>262</v>
      </c>
      <c r="C31" t="s">
        <v>8</v>
      </c>
      <c r="E31" s="3">
        <f t="shared" si="0"/>
        <v>4</v>
      </c>
      <c r="F31" s="5">
        <v>43860.625</v>
      </c>
      <c r="G31" s="19" t="str">
        <f t="shared" si="1"/>
        <v/>
      </c>
      <c r="J31" s="28" t="e">
        <f t="shared" si="2"/>
        <v>#DIV/0!</v>
      </c>
      <c r="K31">
        <f t="shared" si="3"/>
        <v>1</v>
      </c>
      <c r="L31" s="37">
        <f t="shared" si="4"/>
        <v>1</v>
      </c>
    </row>
    <row r="32" spans="1:12">
      <c r="A32" s="3">
        <v>0</v>
      </c>
      <c r="B32" t="s">
        <v>263</v>
      </c>
      <c r="C32" t="s">
        <v>8</v>
      </c>
      <c r="E32" s="3">
        <f t="shared" si="0"/>
        <v>5</v>
      </c>
      <c r="F32" s="5">
        <v>43861.625</v>
      </c>
      <c r="G32" s="19" t="str">
        <f t="shared" si="1"/>
        <v/>
      </c>
      <c r="J32" s="28" t="e">
        <f t="shared" si="2"/>
        <v>#DIV/0!</v>
      </c>
      <c r="K32">
        <f t="shared" si="3"/>
        <v>1</v>
      </c>
      <c r="L32" s="37">
        <f t="shared" si="4"/>
        <v>1</v>
      </c>
    </row>
    <row r="33" spans="1:12">
      <c r="A33" s="3">
        <v>0</v>
      </c>
      <c r="B33" t="s">
        <v>264</v>
      </c>
      <c r="C33" t="s">
        <v>8</v>
      </c>
      <c r="E33" s="3">
        <f t="shared" si="0"/>
        <v>6</v>
      </c>
      <c r="F33" s="5">
        <v>43862.625</v>
      </c>
      <c r="G33" s="19" t="str">
        <f t="shared" si="1"/>
        <v/>
      </c>
      <c r="J33" s="28" t="e">
        <f t="shared" si="2"/>
        <v>#DIV/0!</v>
      </c>
      <c r="K33">
        <f t="shared" si="3"/>
        <v>1</v>
      </c>
      <c r="L33" s="37">
        <f t="shared" si="4"/>
        <v>1</v>
      </c>
    </row>
    <row r="34" spans="1:12">
      <c r="A34" s="3">
        <v>0</v>
      </c>
      <c r="B34" t="s">
        <v>265</v>
      </c>
      <c r="C34" t="s">
        <v>8</v>
      </c>
      <c r="E34" s="3">
        <f t="shared" si="0"/>
        <v>7</v>
      </c>
      <c r="F34" s="5">
        <v>43863.625</v>
      </c>
      <c r="G34" s="19" t="str">
        <f t="shared" si="1"/>
        <v/>
      </c>
      <c r="J34" s="28" t="e">
        <f t="shared" si="2"/>
        <v>#DIV/0!</v>
      </c>
      <c r="K34">
        <f t="shared" si="3"/>
        <v>1</v>
      </c>
      <c r="L34" s="37">
        <f t="shared" si="4"/>
        <v>1</v>
      </c>
    </row>
    <row r="35" spans="1:12">
      <c r="A35" s="3">
        <v>0</v>
      </c>
      <c r="B35" t="s">
        <v>266</v>
      </c>
      <c r="C35" t="s">
        <v>8</v>
      </c>
      <c r="E35" s="3">
        <f t="shared" si="0"/>
        <v>1</v>
      </c>
      <c r="F35" s="5">
        <v>43864.625</v>
      </c>
      <c r="G35" s="19" t="str">
        <f t="shared" si="1"/>
        <v>2020-W06</v>
      </c>
      <c r="H35">
        <f>SUM(A35:A41)</f>
        <v>0</v>
      </c>
      <c r="I35" s="28">
        <f>H35/H28-1</f>
        <v>-1</v>
      </c>
      <c r="J35" s="28" t="e">
        <f t="shared" si="2"/>
        <v>#DIV/0!</v>
      </c>
      <c r="K35">
        <f t="shared" si="3"/>
        <v>1</v>
      </c>
      <c r="L35" s="37">
        <f t="shared" si="4"/>
        <v>1</v>
      </c>
    </row>
    <row r="36" spans="1:12">
      <c r="A36" s="3">
        <v>0</v>
      </c>
      <c r="B36" t="s">
        <v>267</v>
      </c>
      <c r="C36" t="s">
        <v>8</v>
      </c>
      <c r="E36" s="3">
        <f t="shared" si="0"/>
        <v>2</v>
      </c>
      <c r="F36" s="5">
        <v>43865.625</v>
      </c>
      <c r="G36" s="19" t="str">
        <f t="shared" si="1"/>
        <v/>
      </c>
      <c r="J36" s="28">
        <f t="shared" si="2"/>
        <v>-1</v>
      </c>
      <c r="K36">
        <f t="shared" si="3"/>
        <v>0</v>
      </c>
      <c r="L36" s="37">
        <f t="shared" si="4"/>
        <v>1</v>
      </c>
    </row>
    <row r="37" spans="1:12">
      <c r="A37" s="3">
        <v>0</v>
      </c>
      <c r="B37" t="s">
        <v>268</v>
      </c>
      <c r="C37" t="s">
        <v>8</v>
      </c>
      <c r="E37" s="3">
        <f t="shared" si="0"/>
        <v>3</v>
      </c>
      <c r="F37" s="5">
        <v>43866.625</v>
      </c>
      <c r="G37" s="19" t="str">
        <f t="shared" si="1"/>
        <v/>
      </c>
      <c r="J37" s="28" t="e">
        <f t="shared" si="2"/>
        <v>#DIV/0!</v>
      </c>
      <c r="K37">
        <f t="shared" si="3"/>
        <v>0</v>
      </c>
      <c r="L37" s="37">
        <f t="shared" si="4"/>
        <v>1</v>
      </c>
    </row>
    <row r="38" spans="1:12">
      <c r="A38" s="3">
        <v>0</v>
      </c>
      <c r="B38" t="s">
        <v>269</v>
      </c>
      <c r="C38" t="s">
        <v>8</v>
      </c>
      <c r="E38" s="3">
        <f t="shared" si="0"/>
        <v>4</v>
      </c>
      <c r="F38" s="5">
        <v>43867.625</v>
      </c>
      <c r="G38" s="19" t="str">
        <f t="shared" si="1"/>
        <v/>
      </c>
      <c r="J38" s="28" t="e">
        <f t="shared" si="2"/>
        <v>#DIV/0!</v>
      </c>
      <c r="K38">
        <f t="shared" si="3"/>
        <v>0</v>
      </c>
      <c r="L38" s="37">
        <f t="shared" si="4"/>
        <v>1</v>
      </c>
    </row>
    <row r="39" spans="1:12">
      <c r="A39" s="3">
        <v>0</v>
      </c>
      <c r="B39" t="s">
        <v>270</v>
      </c>
      <c r="C39" t="s">
        <v>8</v>
      </c>
      <c r="E39" s="3">
        <f t="shared" si="0"/>
        <v>5</v>
      </c>
      <c r="F39" s="5">
        <v>43868.625</v>
      </c>
      <c r="G39" s="19" t="str">
        <f t="shared" si="1"/>
        <v/>
      </c>
      <c r="J39" s="28" t="e">
        <f t="shared" si="2"/>
        <v>#DIV/0!</v>
      </c>
      <c r="K39">
        <f t="shared" si="3"/>
        <v>0</v>
      </c>
      <c r="L39" s="37">
        <f t="shared" si="4"/>
        <v>1</v>
      </c>
    </row>
    <row r="40" spans="1:12">
      <c r="A40" s="3">
        <v>0</v>
      </c>
      <c r="B40" t="s">
        <v>271</v>
      </c>
      <c r="C40" t="s">
        <v>8</v>
      </c>
      <c r="E40" s="3">
        <f t="shared" si="0"/>
        <v>6</v>
      </c>
      <c r="F40" s="5">
        <v>43869.625</v>
      </c>
      <c r="G40" s="19" t="str">
        <f t="shared" si="1"/>
        <v/>
      </c>
      <c r="J40" s="28" t="e">
        <f t="shared" si="2"/>
        <v>#DIV/0!</v>
      </c>
      <c r="K40">
        <f t="shared" si="3"/>
        <v>0</v>
      </c>
      <c r="L40" s="37">
        <f t="shared" si="4"/>
        <v>1</v>
      </c>
    </row>
    <row r="41" spans="1:12">
      <c r="A41" s="3">
        <v>0</v>
      </c>
      <c r="B41" t="s">
        <v>272</v>
      </c>
      <c r="C41" t="s">
        <v>8</v>
      </c>
      <c r="E41" s="3">
        <f t="shared" si="0"/>
        <v>7</v>
      </c>
      <c r="F41" s="5">
        <v>43870.625</v>
      </c>
      <c r="G41" s="19" t="str">
        <f t="shared" si="1"/>
        <v/>
      </c>
      <c r="J41" s="28" t="e">
        <f t="shared" si="2"/>
        <v>#DIV/0!</v>
      </c>
      <c r="K41">
        <f t="shared" si="3"/>
        <v>0</v>
      </c>
      <c r="L41" s="37">
        <f t="shared" si="4"/>
        <v>1</v>
      </c>
    </row>
    <row r="42" spans="1:12">
      <c r="A42" s="3">
        <v>1</v>
      </c>
      <c r="B42" t="s">
        <v>11</v>
      </c>
      <c r="C42" t="s">
        <v>8</v>
      </c>
      <c r="E42" s="3">
        <f t="shared" si="0"/>
        <v>1</v>
      </c>
      <c r="F42" s="5">
        <v>43871.625</v>
      </c>
      <c r="G42" s="19" t="str">
        <f t="shared" si="1"/>
        <v>2020-W07</v>
      </c>
      <c r="H42">
        <f>SUM(A42:A48)</f>
        <v>1</v>
      </c>
      <c r="I42" s="28" t="e">
        <f>H42/H35-1</f>
        <v>#DIV/0!</v>
      </c>
      <c r="J42" s="28" t="e">
        <f t="shared" si="2"/>
        <v>#DIV/0!</v>
      </c>
      <c r="K42">
        <f t="shared" si="3"/>
        <v>1</v>
      </c>
      <c r="L42" s="37">
        <f t="shared" si="4"/>
        <v>2</v>
      </c>
    </row>
    <row r="43" spans="1:12">
      <c r="A43" s="3">
        <v>0</v>
      </c>
      <c r="B43" t="s">
        <v>273</v>
      </c>
      <c r="C43" t="s">
        <v>8</v>
      </c>
      <c r="E43" s="3">
        <f t="shared" si="0"/>
        <v>2</v>
      </c>
      <c r="F43" s="5">
        <v>43872.625</v>
      </c>
      <c r="G43" s="19" t="str">
        <f t="shared" si="1"/>
        <v/>
      </c>
      <c r="J43" s="28" t="e">
        <f t="shared" si="2"/>
        <v>#DIV/0!</v>
      </c>
      <c r="K43">
        <f t="shared" si="3"/>
        <v>1</v>
      </c>
      <c r="L43" s="37">
        <f t="shared" si="4"/>
        <v>1</v>
      </c>
    </row>
    <row r="44" spans="1:12">
      <c r="A44" s="3">
        <v>0</v>
      </c>
      <c r="B44" t="s">
        <v>274</v>
      </c>
      <c r="C44" t="s">
        <v>8</v>
      </c>
      <c r="E44" s="3">
        <f t="shared" si="0"/>
        <v>3</v>
      </c>
      <c r="F44" s="5">
        <v>43873.625</v>
      </c>
      <c r="G44" s="19" t="str">
        <f t="shared" si="1"/>
        <v/>
      </c>
      <c r="J44" s="28" t="e">
        <f t="shared" si="2"/>
        <v>#DIV/0!</v>
      </c>
      <c r="K44">
        <f t="shared" si="3"/>
        <v>1</v>
      </c>
      <c r="L44" s="37">
        <f t="shared" si="4"/>
        <v>1</v>
      </c>
    </row>
    <row r="45" spans="1:12">
      <c r="A45" s="3">
        <v>0</v>
      </c>
      <c r="B45" t="s">
        <v>275</v>
      </c>
      <c r="C45" t="s">
        <v>8</v>
      </c>
      <c r="E45" s="3">
        <f t="shared" si="0"/>
        <v>4</v>
      </c>
      <c r="F45" s="5">
        <v>43874.625</v>
      </c>
      <c r="G45" s="19" t="str">
        <f t="shared" si="1"/>
        <v/>
      </c>
      <c r="J45" s="28" t="e">
        <f t="shared" si="2"/>
        <v>#DIV/0!</v>
      </c>
      <c r="K45">
        <f t="shared" si="3"/>
        <v>1</v>
      </c>
      <c r="L45" s="37">
        <f t="shared" si="4"/>
        <v>1</v>
      </c>
    </row>
    <row r="46" spans="1:12">
      <c r="A46" s="3">
        <v>0</v>
      </c>
      <c r="B46" t="s">
        <v>276</v>
      </c>
      <c r="C46" t="s">
        <v>8</v>
      </c>
      <c r="E46" s="3">
        <f t="shared" si="0"/>
        <v>5</v>
      </c>
      <c r="F46" s="5">
        <v>43875.625</v>
      </c>
      <c r="G46" s="19" t="str">
        <f t="shared" si="1"/>
        <v/>
      </c>
      <c r="J46" s="28" t="e">
        <f t="shared" si="2"/>
        <v>#DIV/0!</v>
      </c>
      <c r="K46">
        <f t="shared" si="3"/>
        <v>1</v>
      </c>
      <c r="L46" s="37">
        <f t="shared" si="4"/>
        <v>1</v>
      </c>
    </row>
    <row r="47" spans="1:12">
      <c r="A47" s="3">
        <v>0</v>
      </c>
      <c r="B47" t="s">
        <v>277</v>
      </c>
      <c r="C47" t="s">
        <v>8</v>
      </c>
      <c r="E47" s="3">
        <f t="shared" si="0"/>
        <v>6</v>
      </c>
      <c r="F47" s="5">
        <v>43876.625</v>
      </c>
      <c r="G47" s="19" t="str">
        <f t="shared" si="1"/>
        <v/>
      </c>
      <c r="J47" s="28" t="e">
        <f t="shared" si="2"/>
        <v>#DIV/0!</v>
      </c>
      <c r="K47">
        <f t="shared" si="3"/>
        <v>1</v>
      </c>
      <c r="L47" s="37">
        <f t="shared" si="4"/>
        <v>1</v>
      </c>
    </row>
    <row r="48" spans="1:12">
      <c r="A48" s="3">
        <v>0</v>
      </c>
      <c r="B48" t="s">
        <v>278</v>
      </c>
      <c r="C48" t="s">
        <v>8</v>
      </c>
      <c r="E48" s="3">
        <f t="shared" si="0"/>
        <v>7</v>
      </c>
      <c r="F48" s="5">
        <v>43877.625</v>
      </c>
      <c r="G48" s="19" t="str">
        <f t="shared" si="1"/>
        <v/>
      </c>
      <c r="J48" s="28" t="e">
        <f t="shared" si="2"/>
        <v>#DIV/0!</v>
      </c>
      <c r="K48">
        <f t="shared" si="3"/>
        <v>1</v>
      </c>
      <c r="L48" s="37">
        <f t="shared" si="4"/>
        <v>1</v>
      </c>
    </row>
    <row r="49" spans="1:12">
      <c r="A49" s="3">
        <v>0</v>
      </c>
      <c r="B49" t="s">
        <v>279</v>
      </c>
      <c r="C49" t="s">
        <v>8</v>
      </c>
      <c r="E49" s="3">
        <f t="shared" si="0"/>
        <v>1</v>
      </c>
      <c r="F49" s="5">
        <v>43878.625</v>
      </c>
      <c r="G49" s="19" t="str">
        <f t="shared" si="1"/>
        <v>2020-W08</v>
      </c>
      <c r="H49">
        <f>SUM(A49:A55)</f>
        <v>1</v>
      </c>
      <c r="I49" s="28">
        <f>H49/H42-1</f>
        <v>0</v>
      </c>
      <c r="J49" s="28">
        <f t="shared" si="2"/>
        <v>-1</v>
      </c>
      <c r="K49">
        <f t="shared" si="3"/>
        <v>0</v>
      </c>
      <c r="L49" s="37">
        <f t="shared" si="4"/>
        <v>1</v>
      </c>
    </row>
    <row r="50" spans="1:12">
      <c r="A50" s="3">
        <v>0</v>
      </c>
      <c r="B50" t="s">
        <v>280</v>
      </c>
      <c r="C50" t="s">
        <v>8</v>
      </c>
      <c r="E50" s="3">
        <f t="shared" si="0"/>
        <v>2</v>
      </c>
      <c r="F50" s="5">
        <v>43879.625</v>
      </c>
      <c r="G50" s="19" t="str">
        <f t="shared" si="1"/>
        <v/>
      </c>
      <c r="J50" s="28" t="e">
        <f t="shared" si="2"/>
        <v>#DIV/0!</v>
      </c>
      <c r="K50">
        <f t="shared" si="3"/>
        <v>0</v>
      </c>
      <c r="L50" s="37">
        <f t="shared" si="4"/>
        <v>1</v>
      </c>
    </row>
    <row r="51" spans="1:12">
      <c r="A51" s="3">
        <v>0</v>
      </c>
      <c r="B51" t="s">
        <v>281</v>
      </c>
      <c r="C51" t="s">
        <v>8</v>
      </c>
      <c r="E51" s="3">
        <f t="shared" si="0"/>
        <v>3</v>
      </c>
      <c r="F51" s="5">
        <v>43880.625</v>
      </c>
      <c r="G51" s="19" t="str">
        <f t="shared" si="1"/>
        <v/>
      </c>
      <c r="J51" s="28" t="e">
        <f t="shared" si="2"/>
        <v>#DIV/0!</v>
      </c>
      <c r="K51">
        <f t="shared" si="3"/>
        <v>0</v>
      </c>
      <c r="L51" s="37">
        <f t="shared" si="4"/>
        <v>1</v>
      </c>
    </row>
    <row r="52" spans="1:12">
      <c r="A52" s="3">
        <v>0</v>
      </c>
      <c r="B52" t="s">
        <v>282</v>
      </c>
      <c r="C52" t="s">
        <v>8</v>
      </c>
      <c r="E52" s="3">
        <f t="shared" si="0"/>
        <v>4</v>
      </c>
      <c r="F52" s="5">
        <v>43881.625</v>
      </c>
      <c r="G52" s="19" t="str">
        <f t="shared" si="1"/>
        <v/>
      </c>
      <c r="J52" s="28" t="e">
        <f t="shared" si="2"/>
        <v>#DIV/0!</v>
      </c>
      <c r="K52">
        <f t="shared" si="3"/>
        <v>0</v>
      </c>
      <c r="L52" s="37">
        <f t="shared" si="4"/>
        <v>1</v>
      </c>
    </row>
    <row r="53" spans="1:12">
      <c r="A53" s="3">
        <v>0</v>
      </c>
      <c r="B53" t="s">
        <v>283</v>
      </c>
      <c r="C53" t="s">
        <v>8</v>
      </c>
      <c r="E53" s="3">
        <f t="shared" si="0"/>
        <v>5</v>
      </c>
      <c r="F53" s="5">
        <v>43882.625</v>
      </c>
      <c r="G53" s="19" t="str">
        <f t="shared" si="1"/>
        <v/>
      </c>
      <c r="J53" s="28" t="e">
        <f t="shared" si="2"/>
        <v>#DIV/0!</v>
      </c>
      <c r="K53">
        <f t="shared" si="3"/>
        <v>0</v>
      </c>
      <c r="L53" s="37">
        <f t="shared" si="4"/>
        <v>1</v>
      </c>
    </row>
    <row r="54" spans="1:12">
      <c r="A54" s="3">
        <v>1</v>
      </c>
      <c r="B54" t="s">
        <v>12</v>
      </c>
      <c r="C54" t="s">
        <v>8</v>
      </c>
      <c r="E54" s="3">
        <f t="shared" si="0"/>
        <v>6</v>
      </c>
      <c r="F54" s="5">
        <v>43883.625</v>
      </c>
      <c r="G54" s="19" t="str">
        <f t="shared" si="1"/>
        <v/>
      </c>
      <c r="J54" s="28" t="e">
        <f t="shared" si="2"/>
        <v>#DIV/0!</v>
      </c>
      <c r="K54">
        <f t="shared" si="3"/>
        <v>1</v>
      </c>
      <c r="L54" s="37">
        <f t="shared" si="4"/>
        <v>2</v>
      </c>
    </row>
    <row r="55" spans="1:12">
      <c r="A55" s="3">
        <v>0</v>
      </c>
      <c r="B55" t="s">
        <v>284</v>
      </c>
      <c r="C55" t="s">
        <v>8</v>
      </c>
      <c r="E55" s="3">
        <f t="shared" si="0"/>
        <v>7</v>
      </c>
      <c r="F55" s="5">
        <v>43884.625</v>
      </c>
      <c r="G55" s="19" t="str">
        <f t="shared" si="1"/>
        <v/>
      </c>
      <c r="J55" s="28" t="e">
        <f t="shared" si="2"/>
        <v>#DIV/0!</v>
      </c>
      <c r="K55">
        <f t="shared" si="3"/>
        <v>1</v>
      </c>
      <c r="L55" s="37">
        <f t="shared" si="4"/>
        <v>2</v>
      </c>
    </row>
    <row r="56" spans="1:12">
      <c r="A56" s="3">
        <v>0</v>
      </c>
      <c r="B56" t="s">
        <v>285</v>
      </c>
      <c r="C56" t="s">
        <v>8</v>
      </c>
      <c r="E56" s="3">
        <f t="shared" si="0"/>
        <v>1</v>
      </c>
      <c r="F56" s="5">
        <v>43885.625</v>
      </c>
      <c r="G56" s="19" t="str">
        <f t="shared" si="1"/>
        <v>2020-W09</v>
      </c>
      <c r="H56">
        <f>SUM(A56:A62)</f>
        <v>7</v>
      </c>
      <c r="I56" s="28">
        <f>H56/H49-1</f>
        <v>6</v>
      </c>
      <c r="J56" s="28" t="e">
        <f t="shared" si="2"/>
        <v>#DIV/0!</v>
      </c>
      <c r="K56">
        <f t="shared" si="3"/>
        <v>1</v>
      </c>
      <c r="L56" s="37">
        <f t="shared" si="4"/>
        <v>1</v>
      </c>
    </row>
    <row r="57" spans="1:12">
      <c r="A57" s="3">
        <v>1</v>
      </c>
      <c r="B57" t="s">
        <v>13</v>
      </c>
      <c r="C57" t="s">
        <v>8</v>
      </c>
      <c r="E57" s="3">
        <f t="shared" si="0"/>
        <v>2</v>
      </c>
      <c r="F57" s="5">
        <v>43886.625</v>
      </c>
      <c r="G57" s="19" t="str">
        <f t="shared" si="1"/>
        <v/>
      </c>
      <c r="J57" s="28" t="e">
        <f t="shared" si="2"/>
        <v>#DIV/0!</v>
      </c>
      <c r="K57">
        <f t="shared" si="3"/>
        <v>2</v>
      </c>
      <c r="L57" s="37">
        <f t="shared" si="4"/>
        <v>2</v>
      </c>
    </row>
    <row r="58" spans="1:12">
      <c r="A58" s="3">
        <v>0</v>
      </c>
      <c r="B58" t="s">
        <v>286</v>
      </c>
      <c r="C58" t="s">
        <v>8</v>
      </c>
      <c r="E58" s="3">
        <f t="shared" si="0"/>
        <v>3</v>
      </c>
      <c r="F58" s="5">
        <v>43887.625</v>
      </c>
      <c r="G58" s="19" t="str">
        <f t="shared" si="1"/>
        <v/>
      </c>
      <c r="J58" s="28" t="e">
        <f t="shared" si="2"/>
        <v>#DIV/0!</v>
      </c>
      <c r="K58">
        <f t="shared" si="3"/>
        <v>2</v>
      </c>
      <c r="L58" s="37">
        <f t="shared" si="4"/>
        <v>2</v>
      </c>
    </row>
    <row r="59" spans="1:12">
      <c r="A59" s="3">
        <v>1</v>
      </c>
      <c r="B59" t="s">
        <v>14</v>
      </c>
      <c r="C59" t="s">
        <v>8</v>
      </c>
      <c r="E59" s="3">
        <f t="shared" si="0"/>
        <v>4</v>
      </c>
      <c r="F59" s="5">
        <v>43888.625</v>
      </c>
      <c r="G59" s="19" t="str">
        <f t="shared" si="1"/>
        <v/>
      </c>
      <c r="J59" s="28" t="e">
        <f t="shared" si="2"/>
        <v>#DIV/0!</v>
      </c>
      <c r="K59">
        <f t="shared" si="3"/>
        <v>3</v>
      </c>
      <c r="L59" s="37">
        <f t="shared" si="4"/>
        <v>3</v>
      </c>
    </row>
    <row r="60" spans="1:12">
      <c r="A60" s="3">
        <v>3</v>
      </c>
      <c r="B60" t="s">
        <v>15</v>
      </c>
      <c r="C60" t="s">
        <v>8</v>
      </c>
      <c r="E60" s="3">
        <f t="shared" si="0"/>
        <v>5</v>
      </c>
      <c r="F60" s="5">
        <v>43889.625</v>
      </c>
      <c r="G60" s="19" t="str">
        <f t="shared" si="1"/>
        <v/>
      </c>
      <c r="J60" s="28" t="e">
        <f t="shared" si="2"/>
        <v>#DIV/0!</v>
      </c>
      <c r="K60">
        <f t="shared" si="3"/>
        <v>6</v>
      </c>
      <c r="L60" s="37">
        <f t="shared" si="4"/>
        <v>6</v>
      </c>
    </row>
    <row r="61" spans="1:12">
      <c r="A61" s="3">
        <v>1</v>
      </c>
      <c r="B61" t="s">
        <v>16</v>
      </c>
      <c r="C61" t="s">
        <v>8</v>
      </c>
      <c r="E61" s="3">
        <f t="shared" si="0"/>
        <v>6</v>
      </c>
      <c r="F61" s="5">
        <v>43890.625</v>
      </c>
      <c r="G61" s="19" t="str">
        <f t="shared" si="1"/>
        <v/>
      </c>
      <c r="J61" s="28">
        <f t="shared" si="2"/>
        <v>0</v>
      </c>
      <c r="K61">
        <f t="shared" si="3"/>
        <v>6</v>
      </c>
      <c r="L61" s="37">
        <f t="shared" si="4"/>
        <v>7</v>
      </c>
    </row>
    <row r="62" spans="1:12">
      <c r="A62" s="3">
        <v>1</v>
      </c>
      <c r="B62" t="s">
        <v>17</v>
      </c>
      <c r="C62" t="s">
        <v>8</v>
      </c>
      <c r="E62" s="3">
        <f t="shared" si="0"/>
        <v>7</v>
      </c>
      <c r="F62" s="5">
        <v>43891.625</v>
      </c>
      <c r="G62" s="19" t="str">
        <f t="shared" si="1"/>
        <v/>
      </c>
      <c r="J62" s="28" t="e">
        <f t="shared" si="2"/>
        <v>#DIV/0!</v>
      </c>
      <c r="K62">
        <f t="shared" si="3"/>
        <v>7</v>
      </c>
      <c r="L62" s="37">
        <f t="shared" si="4"/>
        <v>8</v>
      </c>
    </row>
    <row r="63" spans="1:12">
      <c r="A63" s="3">
        <v>0</v>
      </c>
      <c r="B63" t="s">
        <v>287</v>
      </c>
      <c r="C63" t="s">
        <v>8</v>
      </c>
      <c r="E63" s="3">
        <f t="shared" si="0"/>
        <v>1</v>
      </c>
      <c r="F63" s="5">
        <v>43892.625</v>
      </c>
      <c r="G63" s="19" t="str">
        <f t="shared" si="1"/>
        <v>2020-W10</v>
      </c>
      <c r="H63">
        <f>SUM(A63:A69)</f>
        <v>34</v>
      </c>
      <c r="I63" s="28">
        <f>H63/H56-1</f>
        <v>3.8571428571428568</v>
      </c>
      <c r="J63" s="28" t="e">
        <f t="shared" si="2"/>
        <v>#DIV/0!</v>
      </c>
      <c r="K63">
        <f t="shared" si="3"/>
        <v>7</v>
      </c>
      <c r="L63" s="37">
        <f t="shared" si="4"/>
        <v>8</v>
      </c>
    </row>
    <row r="64" spans="1:12">
      <c r="A64" s="3">
        <v>4</v>
      </c>
      <c r="B64" t="s">
        <v>18</v>
      </c>
      <c r="C64" t="s">
        <v>8</v>
      </c>
      <c r="E64" s="3">
        <f t="shared" si="0"/>
        <v>2</v>
      </c>
      <c r="F64" s="5">
        <v>43893.625</v>
      </c>
      <c r="G64" s="19" t="str">
        <f t="shared" si="1"/>
        <v/>
      </c>
      <c r="J64" s="28">
        <f t="shared" si="2"/>
        <v>3</v>
      </c>
      <c r="K64">
        <f t="shared" si="3"/>
        <v>10</v>
      </c>
      <c r="L64" s="37">
        <f t="shared" si="4"/>
        <v>12</v>
      </c>
    </row>
    <row r="65" spans="1:12">
      <c r="A65" s="3">
        <v>6</v>
      </c>
      <c r="B65" t="s">
        <v>19</v>
      </c>
      <c r="C65" t="s">
        <v>8</v>
      </c>
      <c r="E65" s="3">
        <f t="shared" si="0"/>
        <v>3</v>
      </c>
      <c r="F65" s="5">
        <v>43894.625</v>
      </c>
      <c r="G65" s="19" t="str">
        <f t="shared" si="1"/>
        <v/>
      </c>
      <c r="J65" s="28" t="e">
        <f t="shared" si="2"/>
        <v>#DIV/0!</v>
      </c>
      <c r="K65">
        <f t="shared" si="3"/>
        <v>16</v>
      </c>
      <c r="L65" s="37">
        <f t="shared" si="4"/>
        <v>18</v>
      </c>
    </row>
    <row r="66" spans="1:12">
      <c r="A66" s="3">
        <v>1</v>
      </c>
      <c r="B66" t="s">
        <v>20</v>
      </c>
      <c r="C66" t="s">
        <v>8</v>
      </c>
      <c r="E66" s="3">
        <f t="shared" si="0"/>
        <v>4</v>
      </c>
      <c r="F66" s="5">
        <v>43895.625</v>
      </c>
      <c r="G66" s="19" t="str">
        <f t="shared" si="1"/>
        <v/>
      </c>
      <c r="J66" s="28">
        <f t="shared" si="2"/>
        <v>0</v>
      </c>
      <c r="K66">
        <f t="shared" si="3"/>
        <v>16</v>
      </c>
      <c r="L66" s="37">
        <f t="shared" si="4"/>
        <v>19</v>
      </c>
    </row>
    <row r="67" spans="1:12">
      <c r="A67" s="3">
        <v>7</v>
      </c>
      <c r="B67" t="s">
        <v>21</v>
      </c>
      <c r="C67" t="s">
        <v>8</v>
      </c>
      <c r="E67" s="3">
        <f t="shared" ref="E67:E130" si="5">WEEKDAY(F67,2)</f>
        <v>5</v>
      </c>
      <c r="F67" s="5">
        <v>43896.625</v>
      </c>
      <c r="G67" s="19" t="str">
        <f t="shared" ref="G67:G130" si="6">IF(WEEKDAY(F67,2)=1,YEAR(F67)&amp;"-W"&amp;TEXT(WEEKNUM(F67,14),"00"),"")</f>
        <v/>
      </c>
      <c r="J67" s="28">
        <f t="shared" si="2"/>
        <v>1.3333333333333335</v>
      </c>
      <c r="K67">
        <f t="shared" si="3"/>
        <v>20</v>
      </c>
      <c r="L67" s="37">
        <f t="shared" si="4"/>
        <v>26</v>
      </c>
    </row>
    <row r="68" spans="1:12">
      <c r="A68" s="3">
        <v>7</v>
      </c>
      <c r="B68" t="s">
        <v>22</v>
      </c>
      <c r="C68" t="s">
        <v>8</v>
      </c>
      <c r="E68" s="3">
        <f t="shared" si="5"/>
        <v>6</v>
      </c>
      <c r="F68" s="5">
        <v>43897.625</v>
      </c>
      <c r="G68" s="19" t="str">
        <f t="shared" si="6"/>
        <v/>
      </c>
      <c r="J68" s="28">
        <f t="shared" si="2"/>
        <v>6</v>
      </c>
      <c r="K68">
        <f t="shared" si="3"/>
        <v>26</v>
      </c>
      <c r="L68" s="37">
        <f t="shared" si="4"/>
        <v>32</v>
      </c>
    </row>
    <row r="69" spans="1:12">
      <c r="A69" s="3">
        <v>9</v>
      </c>
      <c r="B69" t="s">
        <v>23</v>
      </c>
      <c r="C69" t="s">
        <v>8</v>
      </c>
      <c r="E69" s="3">
        <f t="shared" si="5"/>
        <v>7</v>
      </c>
      <c r="F69" s="5">
        <v>43898.625</v>
      </c>
      <c r="G69" s="19" t="str">
        <f t="shared" si="6"/>
        <v/>
      </c>
      <c r="J69" s="28">
        <f t="shared" si="2"/>
        <v>8</v>
      </c>
      <c r="K69">
        <f t="shared" si="3"/>
        <v>34</v>
      </c>
      <c r="L69" s="37">
        <f t="shared" si="4"/>
        <v>41</v>
      </c>
    </row>
    <row r="70" spans="1:12">
      <c r="A70" s="3">
        <v>17</v>
      </c>
      <c r="B70" t="s">
        <v>24</v>
      </c>
      <c r="C70" t="s">
        <v>8</v>
      </c>
      <c r="E70" s="3">
        <f t="shared" si="5"/>
        <v>1</v>
      </c>
      <c r="F70" s="5">
        <v>43899.625</v>
      </c>
      <c r="G70" s="19" t="str">
        <f t="shared" si="6"/>
        <v>2020-W11</v>
      </c>
      <c r="H70">
        <f>SUM(A70:A76)</f>
        <v>317</v>
      </c>
      <c r="I70" s="28">
        <f>H70/H63-1</f>
        <v>8.3235294117647065</v>
      </c>
      <c r="J70" s="28" t="e">
        <f t="shared" si="2"/>
        <v>#DIV/0!</v>
      </c>
      <c r="K70">
        <f t="shared" si="3"/>
        <v>51</v>
      </c>
      <c r="L70" s="37">
        <f t="shared" si="4"/>
        <v>58</v>
      </c>
    </row>
    <row r="71" spans="1:12">
      <c r="A71" s="3">
        <v>54</v>
      </c>
      <c r="B71" t="s">
        <v>25</v>
      </c>
      <c r="C71" t="s">
        <v>8</v>
      </c>
      <c r="E71" s="3">
        <f t="shared" si="5"/>
        <v>2</v>
      </c>
      <c r="F71" s="5">
        <v>43900.625</v>
      </c>
      <c r="G71" s="19" t="str">
        <f t="shared" si="6"/>
        <v/>
      </c>
      <c r="J71" s="28">
        <f t="shared" si="2"/>
        <v>12.5</v>
      </c>
      <c r="K71">
        <f t="shared" si="3"/>
        <v>101</v>
      </c>
      <c r="L71" s="37">
        <f t="shared" si="4"/>
        <v>111</v>
      </c>
    </row>
    <row r="72" spans="1:12">
      <c r="A72" s="3">
        <v>76</v>
      </c>
      <c r="B72" t="s">
        <v>26</v>
      </c>
      <c r="C72" t="s">
        <v>8</v>
      </c>
      <c r="E72" s="3">
        <f t="shared" si="5"/>
        <v>3</v>
      </c>
      <c r="F72" s="5">
        <v>43901.625</v>
      </c>
      <c r="G72" s="19" t="str">
        <f t="shared" si="6"/>
        <v/>
      </c>
      <c r="J72" s="28">
        <f t="shared" si="2"/>
        <v>11.666666666666666</v>
      </c>
      <c r="K72">
        <f t="shared" si="3"/>
        <v>171</v>
      </c>
      <c r="L72" s="37">
        <f t="shared" si="4"/>
        <v>187</v>
      </c>
    </row>
    <row r="73" spans="1:12">
      <c r="A73" s="3">
        <v>60</v>
      </c>
      <c r="B73" t="s">
        <v>27</v>
      </c>
      <c r="C73" t="s">
        <v>8</v>
      </c>
      <c r="E73" s="3">
        <f t="shared" si="5"/>
        <v>4</v>
      </c>
      <c r="F73" s="5">
        <v>43902.625</v>
      </c>
      <c r="G73" s="19" t="str">
        <f t="shared" si="6"/>
        <v/>
      </c>
      <c r="J73" s="28">
        <f t="shared" ref="J73:J136" si="7">A73/A66-1</f>
        <v>59</v>
      </c>
      <c r="K73">
        <f t="shared" si="3"/>
        <v>230</v>
      </c>
      <c r="L73" s="37">
        <f t="shared" si="4"/>
        <v>246</v>
      </c>
    </row>
    <row r="74" spans="1:12">
      <c r="A74" s="3">
        <v>28</v>
      </c>
      <c r="B74" t="s">
        <v>28</v>
      </c>
      <c r="C74" t="s">
        <v>8</v>
      </c>
      <c r="E74" s="3">
        <f t="shared" si="5"/>
        <v>5</v>
      </c>
      <c r="F74" s="5">
        <v>43903.625</v>
      </c>
      <c r="G74" s="19" t="str">
        <f t="shared" si="6"/>
        <v/>
      </c>
      <c r="J74" s="28">
        <f t="shared" si="7"/>
        <v>3</v>
      </c>
      <c r="K74">
        <f t="shared" si="3"/>
        <v>251</v>
      </c>
      <c r="L74" s="37">
        <f t="shared" si="4"/>
        <v>271</v>
      </c>
    </row>
    <row r="75" spans="1:12">
      <c r="A75" s="3">
        <v>29</v>
      </c>
      <c r="B75" t="s">
        <v>29</v>
      </c>
      <c r="C75" t="s">
        <v>8</v>
      </c>
      <c r="E75" s="3">
        <f t="shared" si="5"/>
        <v>6</v>
      </c>
      <c r="F75" s="5">
        <v>43904.625</v>
      </c>
      <c r="G75" s="19" t="str">
        <f t="shared" si="6"/>
        <v/>
      </c>
      <c r="J75" s="28">
        <f t="shared" si="7"/>
        <v>3.1428571428571432</v>
      </c>
      <c r="K75">
        <f t="shared" si="3"/>
        <v>273</v>
      </c>
      <c r="L75" s="37">
        <f t="shared" si="4"/>
        <v>299</v>
      </c>
    </row>
    <row r="76" spans="1:12">
      <c r="A76" s="3">
        <v>53</v>
      </c>
      <c r="B76" t="s">
        <v>30</v>
      </c>
      <c r="C76" t="s">
        <v>8</v>
      </c>
      <c r="E76" s="3">
        <f t="shared" si="5"/>
        <v>7</v>
      </c>
      <c r="F76" s="5">
        <v>43905.625</v>
      </c>
      <c r="G76" s="19" t="str">
        <f t="shared" si="6"/>
        <v/>
      </c>
      <c r="J76" s="28">
        <f t="shared" si="7"/>
        <v>4.8888888888888893</v>
      </c>
      <c r="K76">
        <f t="shared" si="3"/>
        <v>317</v>
      </c>
      <c r="L76" s="37">
        <f t="shared" si="4"/>
        <v>351</v>
      </c>
    </row>
    <row r="77" spans="1:12">
      <c r="A77" s="3">
        <v>52</v>
      </c>
      <c r="B77" t="s">
        <v>31</v>
      </c>
      <c r="C77" t="s">
        <v>8</v>
      </c>
      <c r="E77" s="3">
        <f t="shared" si="5"/>
        <v>1</v>
      </c>
      <c r="F77" s="5">
        <v>43906.625</v>
      </c>
      <c r="G77" s="19" t="str">
        <f t="shared" si="6"/>
        <v>2020-W12</v>
      </c>
      <c r="H77">
        <f>SUM(A77:A83)</f>
        <v>540</v>
      </c>
      <c r="I77" s="28">
        <f>H77/H70-1</f>
        <v>0.70347003154574139</v>
      </c>
      <c r="J77" s="28">
        <f t="shared" si="7"/>
        <v>2.0588235294117645</v>
      </c>
      <c r="K77">
        <f t="shared" si="3"/>
        <v>352</v>
      </c>
      <c r="L77" s="37">
        <f t="shared" si="4"/>
        <v>403</v>
      </c>
    </row>
    <row r="78" spans="1:12">
      <c r="A78" s="3">
        <v>47</v>
      </c>
      <c r="B78" t="s">
        <v>32</v>
      </c>
      <c r="C78" t="s">
        <v>8</v>
      </c>
      <c r="E78" s="3">
        <f t="shared" si="5"/>
        <v>2</v>
      </c>
      <c r="F78" s="5">
        <v>43907.625</v>
      </c>
      <c r="G78" s="19" t="str">
        <f t="shared" si="6"/>
        <v/>
      </c>
      <c r="J78" s="28">
        <f t="shared" si="7"/>
        <v>-0.12962962962962965</v>
      </c>
      <c r="K78">
        <f t="shared" si="3"/>
        <v>345</v>
      </c>
      <c r="L78" s="37">
        <f t="shared" si="4"/>
        <v>446</v>
      </c>
    </row>
    <row r="79" spans="1:12">
      <c r="A79" s="3">
        <v>90</v>
      </c>
      <c r="B79" t="s">
        <v>33</v>
      </c>
      <c r="C79" t="s">
        <v>8</v>
      </c>
      <c r="E79" s="3">
        <f t="shared" si="5"/>
        <v>3</v>
      </c>
      <c r="F79" s="5">
        <v>43908.625</v>
      </c>
      <c r="G79" s="19" t="str">
        <f t="shared" si="6"/>
        <v/>
      </c>
      <c r="J79" s="28">
        <f t="shared" si="7"/>
        <v>0.18421052631578938</v>
      </c>
      <c r="K79">
        <f t="shared" si="3"/>
        <v>359</v>
      </c>
      <c r="L79" s="37">
        <f t="shared" si="4"/>
        <v>530</v>
      </c>
    </row>
    <row r="80" spans="1:12">
      <c r="A80" s="3">
        <v>99</v>
      </c>
      <c r="B80" t="s">
        <v>34</v>
      </c>
      <c r="C80" t="s">
        <v>8</v>
      </c>
      <c r="E80" s="3">
        <f t="shared" si="5"/>
        <v>4</v>
      </c>
      <c r="F80" s="5">
        <v>43909.625</v>
      </c>
      <c r="G80" s="19" t="str">
        <f t="shared" si="6"/>
        <v/>
      </c>
      <c r="J80" s="28">
        <f t="shared" si="7"/>
        <v>0.64999999999999991</v>
      </c>
      <c r="K80">
        <f t="shared" si="3"/>
        <v>398</v>
      </c>
      <c r="L80" s="37">
        <f t="shared" si="4"/>
        <v>628</v>
      </c>
    </row>
    <row r="81" spans="1:12">
      <c r="A81" s="3">
        <v>87</v>
      </c>
      <c r="B81" t="s">
        <v>35</v>
      </c>
      <c r="C81" t="s">
        <v>8</v>
      </c>
      <c r="E81" s="3">
        <f t="shared" si="5"/>
        <v>5</v>
      </c>
      <c r="F81" s="5">
        <v>43910.625</v>
      </c>
      <c r="G81" s="19" t="str">
        <f t="shared" si="6"/>
        <v/>
      </c>
      <c r="J81" s="28">
        <f t="shared" si="7"/>
        <v>2.1071428571428572</v>
      </c>
      <c r="K81">
        <f t="shared" si="3"/>
        <v>457</v>
      </c>
      <c r="L81" s="37">
        <f t="shared" si="4"/>
        <v>708</v>
      </c>
    </row>
    <row r="82" spans="1:12">
      <c r="A82" s="3">
        <v>87</v>
      </c>
      <c r="B82" t="s">
        <v>36</v>
      </c>
      <c r="C82" t="s">
        <v>8</v>
      </c>
      <c r="E82" s="3">
        <f t="shared" si="5"/>
        <v>6</v>
      </c>
      <c r="F82" s="5">
        <v>43911.625</v>
      </c>
      <c r="G82" s="19" t="str">
        <f t="shared" si="6"/>
        <v/>
      </c>
      <c r="J82" s="28">
        <f t="shared" si="7"/>
        <v>2</v>
      </c>
      <c r="K82">
        <f t="shared" si="3"/>
        <v>515</v>
      </c>
      <c r="L82" s="37">
        <f t="shared" si="4"/>
        <v>788</v>
      </c>
    </row>
    <row r="83" spans="1:12">
      <c r="A83" s="3">
        <v>78</v>
      </c>
      <c r="B83" t="s">
        <v>37</v>
      </c>
      <c r="C83" t="s">
        <v>8</v>
      </c>
      <c r="E83" s="3">
        <f t="shared" si="5"/>
        <v>7</v>
      </c>
      <c r="F83" s="5">
        <v>43912.625</v>
      </c>
      <c r="G83" s="19" t="str">
        <f t="shared" si="6"/>
        <v/>
      </c>
      <c r="J83" s="28">
        <f t="shared" si="7"/>
        <v>0.47169811320754707</v>
      </c>
      <c r="K83">
        <f t="shared" si="3"/>
        <v>540</v>
      </c>
      <c r="L83" s="37">
        <f t="shared" si="4"/>
        <v>857</v>
      </c>
    </row>
    <row r="84" spans="1:12">
      <c r="A84" s="3">
        <v>84</v>
      </c>
      <c r="B84" t="s">
        <v>38</v>
      </c>
      <c r="C84" t="s">
        <v>8</v>
      </c>
      <c r="E84" s="3">
        <f t="shared" si="5"/>
        <v>1</v>
      </c>
      <c r="F84" s="5">
        <v>43913.625</v>
      </c>
      <c r="G84" s="19" t="str">
        <f t="shared" si="6"/>
        <v>2020-W13</v>
      </c>
      <c r="H84">
        <f>SUM(A84:A90)</f>
        <v>642</v>
      </c>
      <c r="I84" s="28">
        <f>H84/H77-1</f>
        <v>0.18888888888888888</v>
      </c>
      <c r="J84" s="28">
        <f t="shared" si="7"/>
        <v>0.61538461538461542</v>
      </c>
      <c r="K84">
        <f t="shared" si="3"/>
        <v>572</v>
      </c>
      <c r="L84" s="37">
        <f t="shared" si="4"/>
        <v>924</v>
      </c>
    </row>
    <row r="85" spans="1:12">
      <c r="A85" s="3">
        <v>99</v>
      </c>
      <c r="B85" t="s">
        <v>39</v>
      </c>
      <c r="C85" t="s">
        <v>8</v>
      </c>
      <c r="E85" s="3">
        <f t="shared" si="5"/>
        <v>2</v>
      </c>
      <c r="F85" s="5">
        <v>43914.625</v>
      </c>
      <c r="G85" s="19" t="str">
        <f t="shared" si="6"/>
        <v/>
      </c>
      <c r="J85" s="28">
        <f t="shared" si="7"/>
        <v>1.1063829787234041</v>
      </c>
      <c r="K85">
        <f t="shared" ref="K85:K148" si="8">SUM(A79:A85)</f>
        <v>624</v>
      </c>
      <c r="L85" s="37">
        <f t="shared" ref="L85:L148" si="9">SUM(A72:A85)</f>
        <v>969</v>
      </c>
    </row>
    <row r="86" spans="1:12">
      <c r="A86" s="3">
        <v>104</v>
      </c>
      <c r="B86" t="s">
        <v>40</v>
      </c>
      <c r="C86" t="s">
        <v>8</v>
      </c>
      <c r="E86" s="3">
        <f t="shared" si="5"/>
        <v>3</v>
      </c>
      <c r="F86" s="5">
        <v>43915.625</v>
      </c>
      <c r="G86" s="19" t="str">
        <f t="shared" si="6"/>
        <v/>
      </c>
      <c r="J86" s="28">
        <f t="shared" si="7"/>
        <v>0.15555555555555545</v>
      </c>
      <c r="K86">
        <f t="shared" si="8"/>
        <v>638</v>
      </c>
      <c r="L86" s="37">
        <f t="shared" si="9"/>
        <v>997</v>
      </c>
    </row>
    <row r="87" spans="1:12">
      <c r="A87" s="3">
        <v>113</v>
      </c>
      <c r="B87" t="s">
        <v>41</v>
      </c>
      <c r="C87" t="s">
        <v>8</v>
      </c>
      <c r="E87" s="3">
        <f t="shared" si="5"/>
        <v>4</v>
      </c>
      <c r="F87" s="5">
        <v>43916.625</v>
      </c>
      <c r="G87" s="19" t="str">
        <f t="shared" si="6"/>
        <v/>
      </c>
      <c r="J87" s="28">
        <f t="shared" si="7"/>
        <v>0.14141414141414144</v>
      </c>
      <c r="K87">
        <f t="shared" si="8"/>
        <v>652</v>
      </c>
      <c r="L87" s="37">
        <f t="shared" si="9"/>
        <v>1050</v>
      </c>
    </row>
    <row r="88" spans="1:12">
      <c r="A88" s="3">
        <v>95</v>
      </c>
      <c r="B88" t="s">
        <v>42</v>
      </c>
      <c r="C88" t="s">
        <v>8</v>
      </c>
      <c r="E88" s="3">
        <f t="shared" si="5"/>
        <v>5</v>
      </c>
      <c r="F88" s="5">
        <v>43917.625</v>
      </c>
      <c r="G88" s="19" t="str">
        <f t="shared" si="6"/>
        <v/>
      </c>
      <c r="J88" s="28">
        <f t="shared" si="7"/>
        <v>9.1954022988505857E-2</v>
      </c>
      <c r="K88">
        <f t="shared" si="8"/>
        <v>660</v>
      </c>
      <c r="L88" s="37">
        <f t="shared" si="9"/>
        <v>1117</v>
      </c>
    </row>
    <row r="89" spans="1:12">
      <c r="A89" s="3">
        <v>77</v>
      </c>
      <c r="B89" t="s">
        <v>43</v>
      </c>
      <c r="C89" t="s">
        <v>8</v>
      </c>
      <c r="E89" s="3">
        <f t="shared" si="5"/>
        <v>6</v>
      </c>
      <c r="F89" s="5">
        <v>43918.625</v>
      </c>
      <c r="G89" s="19" t="str">
        <f t="shared" si="6"/>
        <v/>
      </c>
      <c r="J89" s="28">
        <f t="shared" si="7"/>
        <v>-0.11494252873563215</v>
      </c>
      <c r="K89">
        <f t="shared" si="8"/>
        <v>650</v>
      </c>
      <c r="L89" s="37">
        <f t="shared" si="9"/>
        <v>1165</v>
      </c>
    </row>
    <row r="90" spans="1:12">
      <c r="A90" s="3">
        <v>70</v>
      </c>
      <c r="B90" t="s">
        <v>44</v>
      </c>
      <c r="C90" t="s">
        <v>8</v>
      </c>
      <c r="E90" s="3">
        <f t="shared" si="5"/>
        <v>7</v>
      </c>
      <c r="F90" s="5">
        <v>43919.625</v>
      </c>
      <c r="G90" s="19" t="str">
        <f t="shared" si="6"/>
        <v/>
      </c>
      <c r="J90" s="28">
        <f t="shared" si="7"/>
        <v>-0.10256410256410253</v>
      </c>
      <c r="K90">
        <f t="shared" si="8"/>
        <v>642</v>
      </c>
      <c r="L90" s="37">
        <f t="shared" si="9"/>
        <v>1182</v>
      </c>
    </row>
    <row r="91" spans="1:12">
      <c r="A91" s="3">
        <v>129</v>
      </c>
      <c r="B91" t="s">
        <v>45</v>
      </c>
      <c r="C91" t="s">
        <v>8</v>
      </c>
      <c r="E91" s="3">
        <f t="shared" si="5"/>
        <v>1</v>
      </c>
      <c r="F91" s="5">
        <v>43920.625</v>
      </c>
      <c r="G91" s="19" t="str">
        <f t="shared" si="6"/>
        <v>2020-W14</v>
      </c>
      <c r="H91">
        <f>SUM(A91:A97)</f>
        <v>966</v>
      </c>
      <c r="I91" s="28">
        <f>H91/H84-1</f>
        <v>0.50467289719626174</v>
      </c>
      <c r="J91" s="28">
        <f t="shared" si="7"/>
        <v>0.53571428571428581</v>
      </c>
      <c r="K91">
        <f t="shared" si="8"/>
        <v>687</v>
      </c>
      <c r="L91" s="37">
        <f t="shared" si="9"/>
        <v>1259</v>
      </c>
    </row>
    <row r="92" spans="1:12">
      <c r="A92" s="3">
        <v>125</v>
      </c>
      <c r="B92" t="s">
        <v>46</v>
      </c>
      <c r="C92" t="s">
        <v>8</v>
      </c>
      <c r="E92" s="3">
        <f t="shared" si="5"/>
        <v>2</v>
      </c>
      <c r="F92" s="5">
        <v>43921.625</v>
      </c>
      <c r="G92" s="19" t="str">
        <f t="shared" si="6"/>
        <v/>
      </c>
      <c r="J92" s="28">
        <f t="shared" si="7"/>
        <v>0.26262626262626254</v>
      </c>
      <c r="K92">
        <f t="shared" si="8"/>
        <v>713</v>
      </c>
      <c r="L92" s="37">
        <f t="shared" si="9"/>
        <v>1337</v>
      </c>
    </row>
    <row r="93" spans="1:12">
      <c r="A93" s="3">
        <v>149</v>
      </c>
      <c r="B93" t="s">
        <v>47</v>
      </c>
      <c r="C93" t="s">
        <v>8</v>
      </c>
      <c r="E93" s="3">
        <f t="shared" si="5"/>
        <v>3</v>
      </c>
      <c r="F93" s="5">
        <v>43922.625</v>
      </c>
      <c r="G93" s="19" t="str">
        <f t="shared" si="6"/>
        <v/>
      </c>
      <c r="J93" s="28">
        <f t="shared" si="7"/>
        <v>0.43269230769230771</v>
      </c>
      <c r="K93">
        <f t="shared" si="8"/>
        <v>758</v>
      </c>
      <c r="L93" s="37">
        <f t="shared" si="9"/>
        <v>1396</v>
      </c>
    </row>
    <row r="94" spans="1:12">
      <c r="A94" s="3">
        <v>161</v>
      </c>
      <c r="B94" t="s">
        <v>48</v>
      </c>
      <c r="C94" t="s">
        <v>8</v>
      </c>
      <c r="E94" s="3">
        <f t="shared" si="5"/>
        <v>4</v>
      </c>
      <c r="F94" s="5">
        <v>43923.625</v>
      </c>
      <c r="G94" s="19" t="str">
        <f t="shared" si="6"/>
        <v/>
      </c>
      <c r="J94" s="28">
        <f t="shared" si="7"/>
        <v>0.4247787610619469</v>
      </c>
      <c r="K94">
        <f t="shared" si="8"/>
        <v>806</v>
      </c>
      <c r="L94" s="37">
        <f t="shared" si="9"/>
        <v>1458</v>
      </c>
    </row>
    <row r="95" spans="1:12">
      <c r="A95" s="3">
        <v>199</v>
      </c>
      <c r="B95" t="s">
        <v>49</v>
      </c>
      <c r="C95" t="s">
        <v>8</v>
      </c>
      <c r="E95" s="3">
        <f t="shared" si="5"/>
        <v>5</v>
      </c>
      <c r="F95" s="5">
        <v>43924.625</v>
      </c>
      <c r="G95" s="19" t="str">
        <f t="shared" si="6"/>
        <v/>
      </c>
      <c r="J95" s="28">
        <f t="shared" si="7"/>
        <v>1.094736842105263</v>
      </c>
      <c r="K95">
        <f t="shared" si="8"/>
        <v>910</v>
      </c>
      <c r="L95" s="37">
        <f t="shared" si="9"/>
        <v>1570</v>
      </c>
    </row>
    <row r="96" spans="1:12">
      <c r="A96" s="3">
        <v>81</v>
      </c>
      <c r="B96" t="s">
        <v>50</v>
      </c>
      <c r="C96" t="s">
        <v>8</v>
      </c>
      <c r="E96" s="3">
        <f t="shared" si="5"/>
        <v>6</v>
      </c>
      <c r="F96" s="5">
        <v>43925.625</v>
      </c>
      <c r="G96" s="19" t="str">
        <f t="shared" si="6"/>
        <v/>
      </c>
      <c r="J96" s="28">
        <f t="shared" si="7"/>
        <v>5.1948051948051965E-2</v>
      </c>
      <c r="K96">
        <f t="shared" si="8"/>
        <v>914</v>
      </c>
      <c r="L96" s="37">
        <f t="shared" si="9"/>
        <v>1564</v>
      </c>
    </row>
    <row r="97" spans="1:12">
      <c r="A97" s="3">
        <v>122</v>
      </c>
      <c r="B97" s="1" t="s">
        <v>51</v>
      </c>
      <c r="C97" t="s">
        <v>8</v>
      </c>
      <c r="D97" s="1"/>
      <c r="E97" s="3">
        <f t="shared" si="5"/>
        <v>7</v>
      </c>
      <c r="F97" s="6">
        <v>43926.625</v>
      </c>
      <c r="G97" s="19" t="str">
        <f t="shared" si="6"/>
        <v/>
      </c>
      <c r="J97" s="28">
        <f t="shared" si="7"/>
        <v>0.74285714285714288</v>
      </c>
      <c r="K97">
        <f t="shared" si="8"/>
        <v>966</v>
      </c>
      <c r="L97" s="37">
        <f t="shared" si="9"/>
        <v>1608</v>
      </c>
    </row>
    <row r="98" spans="1:12" s="41" customFormat="1">
      <c r="A98" s="40">
        <v>209</v>
      </c>
      <c r="B98" s="41" t="s">
        <v>52</v>
      </c>
      <c r="C98" s="41" t="s">
        <v>8</v>
      </c>
      <c r="E98" s="40">
        <f t="shared" si="5"/>
        <v>1</v>
      </c>
      <c r="F98" s="42">
        <v>43927.625</v>
      </c>
      <c r="G98" s="43" t="str">
        <f t="shared" si="6"/>
        <v>2020-W15</v>
      </c>
      <c r="H98" s="41">
        <f>SUM(A98:A104)</f>
        <v>931</v>
      </c>
      <c r="I98" s="44">
        <f>H98/H91-1</f>
        <v>-3.6231884057971064E-2</v>
      </c>
      <c r="J98" s="44">
        <f t="shared" si="7"/>
        <v>0.62015503875968991</v>
      </c>
      <c r="K98">
        <f t="shared" si="8"/>
        <v>1046</v>
      </c>
      <c r="L98" s="37">
        <f t="shared" si="9"/>
        <v>1733</v>
      </c>
    </row>
    <row r="99" spans="1:12">
      <c r="A99" s="3">
        <v>200</v>
      </c>
      <c r="B99" t="s">
        <v>53</v>
      </c>
      <c r="C99" t="s">
        <v>8</v>
      </c>
      <c r="E99" s="3">
        <f t="shared" si="5"/>
        <v>2</v>
      </c>
      <c r="F99" s="5">
        <v>43928.625</v>
      </c>
      <c r="G99" s="19" t="str">
        <f t="shared" si="6"/>
        <v/>
      </c>
      <c r="J99" s="28">
        <f t="shared" si="7"/>
        <v>0.60000000000000009</v>
      </c>
      <c r="K99">
        <f t="shared" si="8"/>
        <v>1121</v>
      </c>
      <c r="L99" s="37">
        <f t="shared" si="9"/>
        <v>1834</v>
      </c>
    </row>
    <row r="100" spans="1:12">
      <c r="A100" s="3">
        <v>138</v>
      </c>
      <c r="B100" t="s">
        <v>54</v>
      </c>
      <c r="C100" t="s">
        <v>8</v>
      </c>
      <c r="E100" s="3">
        <f t="shared" si="5"/>
        <v>3</v>
      </c>
      <c r="F100" s="5">
        <v>43929.625</v>
      </c>
      <c r="G100" s="19" t="str">
        <f t="shared" si="6"/>
        <v/>
      </c>
      <c r="J100" s="28">
        <f t="shared" si="7"/>
        <v>-7.3825503355704702E-2</v>
      </c>
      <c r="K100">
        <f t="shared" si="8"/>
        <v>1110</v>
      </c>
      <c r="L100" s="37">
        <f t="shared" si="9"/>
        <v>1868</v>
      </c>
    </row>
    <row r="101" spans="1:12">
      <c r="A101" s="3">
        <v>158</v>
      </c>
      <c r="B101" t="s">
        <v>55</v>
      </c>
      <c r="C101" t="s">
        <v>8</v>
      </c>
      <c r="E101" s="3">
        <f t="shared" si="5"/>
        <v>4</v>
      </c>
      <c r="F101" s="5">
        <v>43930.625</v>
      </c>
      <c r="G101" s="19" t="str">
        <f t="shared" si="6"/>
        <v/>
      </c>
      <c r="J101" s="28">
        <f t="shared" si="7"/>
        <v>-1.8633540372670843E-2</v>
      </c>
      <c r="K101">
        <f t="shared" si="8"/>
        <v>1107</v>
      </c>
      <c r="L101" s="37">
        <f t="shared" si="9"/>
        <v>1913</v>
      </c>
    </row>
    <row r="102" spans="1:12">
      <c r="A102" s="3">
        <v>71</v>
      </c>
      <c r="B102" t="s">
        <v>56</v>
      </c>
      <c r="C102" t="s">
        <v>8</v>
      </c>
      <c r="E102" s="3">
        <f t="shared" si="5"/>
        <v>5</v>
      </c>
      <c r="F102" s="5">
        <v>43931.625</v>
      </c>
      <c r="G102" s="19" t="str">
        <f t="shared" si="6"/>
        <v/>
      </c>
      <c r="J102" s="28">
        <f t="shared" si="7"/>
        <v>-0.64321608040201006</v>
      </c>
      <c r="K102">
        <f t="shared" si="8"/>
        <v>979</v>
      </c>
      <c r="L102" s="37">
        <f t="shared" si="9"/>
        <v>1889</v>
      </c>
    </row>
    <row r="103" spans="1:12">
      <c r="A103" s="3">
        <v>75</v>
      </c>
      <c r="B103" t="s">
        <v>57</v>
      </c>
      <c r="C103" t="s">
        <v>8</v>
      </c>
      <c r="E103" s="3">
        <f t="shared" si="5"/>
        <v>6</v>
      </c>
      <c r="F103" s="5">
        <v>43932.625</v>
      </c>
      <c r="G103" s="19" t="str">
        <f t="shared" si="6"/>
        <v/>
      </c>
      <c r="J103" s="28">
        <f t="shared" si="7"/>
        <v>-7.407407407407407E-2</v>
      </c>
      <c r="K103">
        <f t="shared" si="8"/>
        <v>973</v>
      </c>
      <c r="L103" s="37">
        <f t="shared" si="9"/>
        <v>1887</v>
      </c>
    </row>
    <row r="104" spans="1:12">
      <c r="A104" s="3">
        <v>80</v>
      </c>
      <c r="B104" t="s">
        <v>58</v>
      </c>
      <c r="C104" t="s">
        <v>8</v>
      </c>
      <c r="E104" s="3">
        <f t="shared" si="5"/>
        <v>7</v>
      </c>
      <c r="F104" s="5">
        <v>43933.625</v>
      </c>
      <c r="G104" s="19" t="str">
        <f t="shared" si="6"/>
        <v/>
      </c>
      <c r="J104" s="28">
        <f t="shared" si="7"/>
        <v>-0.34426229508196726</v>
      </c>
      <c r="K104">
        <f t="shared" si="8"/>
        <v>931</v>
      </c>
      <c r="L104" s="37">
        <f t="shared" si="9"/>
        <v>1897</v>
      </c>
    </row>
    <row r="105" spans="1:12">
      <c r="A105" s="3">
        <v>117</v>
      </c>
      <c r="B105" t="s">
        <v>59</v>
      </c>
      <c r="C105" t="s">
        <v>8</v>
      </c>
      <c r="E105" s="3">
        <f t="shared" si="5"/>
        <v>1</v>
      </c>
      <c r="F105" s="5">
        <v>43934.625</v>
      </c>
      <c r="G105" s="19" t="str">
        <f t="shared" si="6"/>
        <v>2020-W16</v>
      </c>
      <c r="H105">
        <f>SUM(A105:A111)</f>
        <v>790</v>
      </c>
      <c r="I105" s="28">
        <f>H105/H98-1</f>
        <v>-0.15145005370569276</v>
      </c>
      <c r="J105" s="28">
        <f t="shared" si="7"/>
        <v>-0.44019138755980858</v>
      </c>
      <c r="K105">
        <f t="shared" si="8"/>
        <v>839</v>
      </c>
      <c r="L105" s="37">
        <f t="shared" si="9"/>
        <v>1885</v>
      </c>
    </row>
    <row r="106" spans="1:12">
      <c r="A106" s="3">
        <v>175</v>
      </c>
      <c r="B106" t="s">
        <v>60</v>
      </c>
      <c r="C106" t="s">
        <v>8</v>
      </c>
      <c r="E106" s="3">
        <f t="shared" si="5"/>
        <v>2</v>
      </c>
      <c r="F106" s="5">
        <v>43935.625</v>
      </c>
      <c r="G106" s="19" t="str">
        <f t="shared" si="6"/>
        <v/>
      </c>
      <c r="J106" s="28">
        <f t="shared" si="7"/>
        <v>-0.125</v>
      </c>
      <c r="K106">
        <f t="shared" si="8"/>
        <v>814</v>
      </c>
      <c r="L106" s="37">
        <f t="shared" si="9"/>
        <v>1935</v>
      </c>
    </row>
    <row r="107" spans="1:12">
      <c r="A107" s="3">
        <v>130</v>
      </c>
      <c r="B107" t="s">
        <v>61</v>
      </c>
      <c r="C107" t="s">
        <v>8</v>
      </c>
      <c r="E107" s="3">
        <f t="shared" si="5"/>
        <v>3</v>
      </c>
      <c r="F107" s="5">
        <v>43936.625</v>
      </c>
      <c r="G107" s="19" t="str">
        <f t="shared" si="6"/>
        <v/>
      </c>
      <c r="J107" s="28">
        <f t="shared" si="7"/>
        <v>-5.7971014492753659E-2</v>
      </c>
      <c r="K107">
        <f t="shared" si="8"/>
        <v>806</v>
      </c>
      <c r="L107" s="37">
        <f t="shared" si="9"/>
        <v>1916</v>
      </c>
    </row>
    <row r="108" spans="1:12">
      <c r="A108" s="3">
        <v>120</v>
      </c>
      <c r="B108" t="s">
        <v>62</v>
      </c>
      <c r="C108" t="s">
        <v>8</v>
      </c>
      <c r="E108" s="3">
        <f t="shared" si="5"/>
        <v>4</v>
      </c>
      <c r="F108" s="5">
        <v>43937.625</v>
      </c>
      <c r="G108" s="19" t="str">
        <f t="shared" si="6"/>
        <v/>
      </c>
      <c r="J108" s="28">
        <f t="shared" si="7"/>
        <v>-0.240506329113924</v>
      </c>
      <c r="K108">
        <f t="shared" si="8"/>
        <v>768</v>
      </c>
      <c r="L108" s="37">
        <f t="shared" si="9"/>
        <v>1875</v>
      </c>
    </row>
    <row r="109" spans="1:12">
      <c r="A109" s="3">
        <v>125</v>
      </c>
      <c r="B109" t="s">
        <v>63</v>
      </c>
      <c r="C109" t="s">
        <v>8</v>
      </c>
      <c r="E109" s="3">
        <f t="shared" si="5"/>
        <v>5</v>
      </c>
      <c r="F109" s="5">
        <v>43938.625</v>
      </c>
      <c r="G109" s="19" t="str">
        <f t="shared" si="6"/>
        <v/>
      </c>
      <c r="J109" s="28">
        <f t="shared" si="7"/>
        <v>0.76056338028169024</v>
      </c>
      <c r="K109">
        <f t="shared" si="8"/>
        <v>822</v>
      </c>
      <c r="L109" s="37">
        <f t="shared" si="9"/>
        <v>1801</v>
      </c>
    </row>
    <row r="110" spans="1:12">
      <c r="A110" s="3">
        <v>56</v>
      </c>
      <c r="B110" t="s">
        <v>64</v>
      </c>
      <c r="C110" t="s">
        <v>8</v>
      </c>
      <c r="E110" s="3">
        <f t="shared" si="5"/>
        <v>6</v>
      </c>
      <c r="F110" s="5">
        <v>43939.625</v>
      </c>
      <c r="G110" s="19" t="str">
        <f t="shared" si="6"/>
        <v/>
      </c>
      <c r="J110" s="28">
        <f t="shared" si="7"/>
        <v>-0.2533333333333333</v>
      </c>
      <c r="K110">
        <f t="shared" si="8"/>
        <v>803</v>
      </c>
      <c r="L110" s="37">
        <f t="shared" si="9"/>
        <v>1776</v>
      </c>
    </row>
    <row r="111" spans="1:12">
      <c r="A111" s="3">
        <v>67</v>
      </c>
      <c r="B111" t="s">
        <v>65</v>
      </c>
      <c r="C111" t="s">
        <v>8</v>
      </c>
      <c r="E111" s="3">
        <f t="shared" si="5"/>
        <v>7</v>
      </c>
      <c r="F111" s="5">
        <v>43940.625</v>
      </c>
      <c r="G111" s="19" t="str">
        <f t="shared" si="6"/>
        <v/>
      </c>
      <c r="J111" s="28">
        <f t="shared" si="7"/>
        <v>-0.16249999999999998</v>
      </c>
      <c r="K111">
        <f t="shared" si="8"/>
        <v>790</v>
      </c>
      <c r="L111" s="37">
        <f t="shared" si="9"/>
        <v>1721</v>
      </c>
    </row>
    <row r="112" spans="1:12" s="41" customFormat="1">
      <c r="A112" s="40">
        <v>143</v>
      </c>
      <c r="B112" s="41" t="s">
        <v>66</v>
      </c>
      <c r="C112" s="41" t="s">
        <v>8</v>
      </c>
      <c r="E112" s="40">
        <f t="shared" si="5"/>
        <v>1</v>
      </c>
      <c r="F112" s="42">
        <v>43941.625</v>
      </c>
      <c r="G112" s="43" t="str">
        <f t="shared" si="6"/>
        <v>2020-W17</v>
      </c>
      <c r="H112" s="41">
        <f>SUM(A112:A118)</f>
        <v>736</v>
      </c>
      <c r="I112" s="44">
        <f>H112/H105-1</f>
        <v>-6.8354430379746867E-2</v>
      </c>
      <c r="J112" s="44">
        <f t="shared" si="7"/>
        <v>0.22222222222222232</v>
      </c>
      <c r="K112">
        <f t="shared" si="8"/>
        <v>816</v>
      </c>
      <c r="L112" s="37">
        <f t="shared" si="9"/>
        <v>1655</v>
      </c>
    </row>
    <row r="113" spans="1:12">
      <c r="A113" s="3">
        <v>112</v>
      </c>
      <c r="B113" t="s">
        <v>67</v>
      </c>
      <c r="C113" t="s">
        <v>8</v>
      </c>
      <c r="E113" s="3">
        <f t="shared" si="5"/>
        <v>2</v>
      </c>
      <c r="F113" s="5">
        <v>43942.625</v>
      </c>
      <c r="G113" s="19" t="str">
        <f t="shared" si="6"/>
        <v/>
      </c>
      <c r="J113" s="28">
        <f t="shared" si="7"/>
        <v>-0.36</v>
      </c>
      <c r="K113">
        <f t="shared" si="8"/>
        <v>753</v>
      </c>
      <c r="L113" s="37">
        <f t="shared" si="9"/>
        <v>1567</v>
      </c>
    </row>
    <row r="114" spans="1:12">
      <c r="A114" s="3">
        <v>124</v>
      </c>
      <c r="B114" t="s">
        <v>68</v>
      </c>
      <c r="C114" t="s">
        <v>8</v>
      </c>
      <c r="E114" s="3">
        <f t="shared" si="5"/>
        <v>3</v>
      </c>
      <c r="F114" s="5">
        <v>43943.625</v>
      </c>
      <c r="G114" s="19" t="str">
        <f t="shared" si="6"/>
        <v/>
      </c>
      <c r="J114" s="28">
        <f t="shared" si="7"/>
        <v>-4.6153846153846101E-2</v>
      </c>
      <c r="K114">
        <f t="shared" si="8"/>
        <v>747</v>
      </c>
      <c r="L114" s="37">
        <f t="shared" si="9"/>
        <v>1553</v>
      </c>
    </row>
    <row r="115" spans="1:12">
      <c r="A115" s="3">
        <v>116</v>
      </c>
      <c r="B115" t="s">
        <v>69</v>
      </c>
      <c r="C115" t="s">
        <v>8</v>
      </c>
      <c r="E115" s="3">
        <f t="shared" si="5"/>
        <v>4</v>
      </c>
      <c r="F115" s="5">
        <v>43944.625</v>
      </c>
      <c r="G115" s="19" t="str">
        <f t="shared" si="6"/>
        <v/>
      </c>
      <c r="J115" s="28">
        <f t="shared" si="7"/>
        <v>-3.3333333333333326E-2</v>
      </c>
      <c r="K115">
        <f t="shared" si="8"/>
        <v>743</v>
      </c>
      <c r="L115" s="37">
        <f t="shared" si="9"/>
        <v>1511</v>
      </c>
    </row>
    <row r="116" spans="1:12">
      <c r="A116" s="3">
        <v>92</v>
      </c>
      <c r="B116" t="s">
        <v>70</v>
      </c>
      <c r="C116" t="s">
        <v>8</v>
      </c>
      <c r="E116" s="3">
        <f t="shared" si="5"/>
        <v>5</v>
      </c>
      <c r="F116" s="5">
        <v>43945.625</v>
      </c>
      <c r="G116" s="19" t="str">
        <f t="shared" si="6"/>
        <v/>
      </c>
      <c r="J116" s="28">
        <f t="shared" si="7"/>
        <v>-0.26400000000000001</v>
      </c>
      <c r="K116">
        <f t="shared" si="8"/>
        <v>710</v>
      </c>
      <c r="L116" s="37">
        <f t="shared" si="9"/>
        <v>1532</v>
      </c>
    </row>
    <row r="117" spans="1:12">
      <c r="A117" s="3">
        <v>76</v>
      </c>
      <c r="B117" t="s">
        <v>71</v>
      </c>
      <c r="C117" t="s">
        <v>8</v>
      </c>
      <c r="E117" s="3">
        <f t="shared" si="5"/>
        <v>6</v>
      </c>
      <c r="F117" s="5">
        <v>43946.625</v>
      </c>
      <c r="G117" s="19" t="str">
        <f t="shared" si="6"/>
        <v/>
      </c>
      <c r="J117" s="28">
        <f t="shared" si="7"/>
        <v>0.35714285714285721</v>
      </c>
      <c r="K117">
        <f t="shared" si="8"/>
        <v>730</v>
      </c>
      <c r="L117" s="37">
        <f t="shared" si="9"/>
        <v>1533</v>
      </c>
    </row>
    <row r="118" spans="1:12">
      <c r="A118" s="3">
        <v>73</v>
      </c>
      <c r="B118" t="s">
        <v>72</v>
      </c>
      <c r="C118" t="s">
        <v>8</v>
      </c>
      <c r="E118" s="3">
        <f t="shared" si="5"/>
        <v>7</v>
      </c>
      <c r="F118" s="5">
        <v>43947.625</v>
      </c>
      <c r="G118" s="19" t="str">
        <f t="shared" si="6"/>
        <v/>
      </c>
      <c r="J118" s="28">
        <f t="shared" si="7"/>
        <v>8.9552238805970186E-2</v>
      </c>
      <c r="K118">
        <f t="shared" si="8"/>
        <v>736</v>
      </c>
      <c r="L118" s="37">
        <f t="shared" si="9"/>
        <v>1526</v>
      </c>
    </row>
    <row r="119" spans="1:12">
      <c r="A119" s="3">
        <v>123</v>
      </c>
      <c r="B119" t="s">
        <v>73</v>
      </c>
      <c r="C119" t="s">
        <v>8</v>
      </c>
      <c r="E119" s="3">
        <f t="shared" si="5"/>
        <v>1</v>
      </c>
      <c r="F119" s="5">
        <v>43948.625</v>
      </c>
      <c r="G119" s="19" t="str">
        <f t="shared" si="6"/>
        <v>2020-W18</v>
      </c>
      <c r="H119">
        <f>SUM(A119:A125)</f>
        <v>623</v>
      </c>
      <c r="I119" s="28">
        <f>H119/H112-1</f>
        <v>-0.15353260869565222</v>
      </c>
      <c r="J119" s="28">
        <f t="shared" si="7"/>
        <v>-0.1398601398601399</v>
      </c>
      <c r="K119">
        <f t="shared" si="8"/>
        <v>716</v>
      </c>
      <c r="L119" s="37">
        <f t="shared" si="9"/>
        <v>1532</v>
      </c>
    </row>
    <row r="120" spans="1:12" s="46" customFormat="1">
      <c r="A120" s="45">
        <v>139</v>
      </c>
      <c r="B120" s="46" t="s">
        <v>74</v>
      </c>
      <c r="C120" s="46" t="s">
        <v>8</v>
      </c>
      <c r="E120" s="45">
        <f t="shared" si="5"/>
        <v>2</v>
      </c>
      <c r="F120" s="47">
        <v>43949.625</v>
      </c>
      <c r="G120" s="48" t="str">
        <f t="shared" si="6"/>
        <v/>
      </c>
      <c r="J120" s="49">
        <f t="shared" si="7"/>
        <v>0.2410714285714286</v>
      </c>
      <c r="K120" s="46">
        <f t="shared" si="8"/>
        <v>743</v>
      </c>
      <c r="L120" s="55">
        <f t="shared" si="9"/>
        <v>1496</v>
      </c>
    </row>
    <row r="121" spans="1:12">
      <c r="A121" s="3">
        <v>108</v>
      </c>
      <c r="B121" t="s">
        <v>75</v>
      </c>
      <c r="C121" t="s">
        <v>8</v>
      </c>
      <c r="E121" s="3">
        <f t="shared" si="5"/>
        <v>3</v>
      </c>
      <c r="F121" s="5">
        <v>43950.625</v>
      </c>
      <c r="G121" s="19" t="str">
        <f t="shared" si="6"/>
        <v/>
      </c>
      <c r="J121" s="28">
        <f t="shared" si="7"/>
        <v>-0.12903225806451613</v>
      </c>
      <c r="K121">
        <f t="shared" si="8"/>
        <v>727</v>
      </c>
      <c r="L121" s="37">
        <f t="shared" si="9"/>
        <v>1474</v>
      </c>
    </row>
    <row r="122" spans="1:12">
      <c r="A122" s="3">
        <v>86</v>
      </c>
      <c r="B122" t="s">
        <v>76</v>
      </c>
      <c r="C122" t="s">
        <v>8</v>
      </c>
      <c r="E122" s="3">
        <f t="shared" si="5"/>
        <v>4</v>
      </c>
      <c r="F122" s="5">
        <v>43951.625</v>
      </c>
      <c r="G122" s="19" t="str">
        <f t="shared" si="6"/>
        <v/>
      </c>
      <c r="J122" s="28">
        <f t="shared" si="7"/>
        <v>-0.25862068965517238</v>
      </c>
      <c r="K122">
        <f t="shared" si="8"/>
        <v>697</v>
      </c>
      <c r="L122" s="37">
        <f t="shared" si="9"/>
        <v>1440</v>
      </c>
    </row>
    <row r="123" spans="1:12">
      <c r="A123" s="3">
        <v>48</v>
      </c>
      <c r="B123" t="s">
        <v>77</v>
      </c>
      <c r="C123" t="s">
        <v>8</v>
      </c>
      <c r="E123" s="3">
        <f t="shared" si="5"/>
        <v>5</v>
      </c>
      <c r="F123" s="5">
        <v>43952.625</v>
      </c>
      <c r="G123" s="19" t="str">
        <f t="shared" si="6"/>
        <v/>
      </c>
      <c r="J123" s="28">
        <f t="shared" si="7"/>
        <v>-0.47826086956521741</v>
      </c>
      <c r="K123">
        <f t="shared" si="8"/>
        <v>653</v>
      </c>
      <c r="L123" s="37">
        <f t="shared" si="9"/>
        <v>1363</v>
      </c>
    </row>
    <row r="124" spans="1:12">
      <c r="A124" s="3">
        <v>58</v>
      </c>
      <c r="B124" t="s">
        <v>78</v>
      </c>
      <c r="C124" t="s">
        <v>8</v>
      </c>
      <c r="E124" s="3">
        <f t="shared" si="5"/>
        <v>6</v>
      </c>
      <c r="F124" s="5">
        <v>43953.625</v>
      </c>
      <c r="G124" s="19" t="str">
        <f t="shared" si="6"/>
        <v/>
      </c>
      <c r="J124" s="28">
        <f t="shared" si="7"/>
        <v>-0.23684210526315785</v>
      </c>
      <c r="K124">
        <f t="shared" si="8"/>
        <v>635</v>
      </c>
      <c r="L124" s="37">
        <f t="shared" si="9"/>
        <v>1365</v>
      </c>
    </row>
    <row r="125" spans="1:12">
      <c r="A125" s="3">
        <v>61</v>
      </c>
      <c r="B125" t="s">
        <v>79</v>
      </c>
      <c r="C125" t="s">
        <v>8</v>
      </c>
      <c r="E125" s="3">
        <f t="shared" si="5"/>
        <v>7</v>
      </c>
      <c r="F125" s="5">
        <v>43954.625</v>
      </c>
      <c r="G125" s="19" t="str">
        <f t="shared" si="6"/>
        <v/>
      </c>
      <c r="J125" s="28">
        <f t="shared" si="7"/>
        <v>-0.16438356164383561</v>
      </c>
      <c r="K125">
        <f t="shared" si="8"/>
        <v>623</v>
      </c>
      <c r="L125" s="37">
        <f t="shared" si="9"/>
        <v>1359</v>
      </c>
    </row>
    <row r="126" spans="1:12">
      <c r="A126" s="3">
        <v>133</v>
      </c>
      <c r="B126" t="s">
        <v>80</v>
      </c>
      <c r="C126" t="s">
        <v>8</v>
      </c>
      <c r="E126" s="3">
        <f t="shared" si="5"/>
        <v>1</v>
      </c>
      <c r="F126" s="5">
        <v>43955.625</v>
      </c>
      <c r="G126" s="19" t="str">
        <f t="shared" si="6"/>
        <v>2020-W19</v>
      </c>
      <c r="H126">
        <f>SUM(A126:A132)</f>
        <v>617</v>
      </c>
      <c r="I126" s="28">
        <f>H126/H119-1</f>
        <v>-9.6308186195827039E-3</v>
      </c>
      <c r="J126" s="28">
        <f t="shared" si="7"/>
        <v>8.1300813008130079E-2</v>
      </c>
      <c r="K126">
        <f t="shared" si="8"/>
        <v>633</v>
      </c>
      <c r="L126" s="37">
        <f t="shared" si="9"/>
        <v>1349</v>
      </c>
    </row>
    <row r="127" spans="1:12">
      <c r="A127" s="3">
        <v>125</v>
      </c>
      <c r="B127" t="s">
        <v>81</v>
      </c>
      <c r="C127" t="s">
        <v>8</v>
      </c>
      <c r="E127" s="3">
        <f t="shared" si="5"/>
        <v>2</v>
      </c>
      <c r="F127" s="5">
        <v>43956.625</v>
      </c>
      <c r="G127" s="19" t="str">
        <f t="shared" si="6"/>
        <v/>
      </c>
      <c r="J127" s="28">
        <f t="shared" si="7"/>
        <v>-0.10071942446043169</v>
      </c>
      <c r="K127">
        <f t="shared" si="8"/>
        <v>619</v>
      </c>
      <c r="L127" s="37">
        <f t="shared" si="9"/>
        <v>1362</v>
      </c>
    </row>
    <row r="128" spans="1:12">
      <c r="A128" s="3">
        <v>95</v>
      </c>
      <c r="B128" t="s">
        <v>82</v>
      </c>
      <c r="C128" t="s">
        <v>8</v>
      </c>
      <c r="E128" s="3">
        <f t="shared" si="5"/>
        <v>3</v>
      </c>
      <c r="F128" s="5">
        <v>43957.625</v>
      </c>
      <c r="G128" s="19" t="str">
        <f t="shared" si="6"/>
        <v/>
      </c>
      <c r="J128" s="28">
        <f t="shared" si="7"/>
        <v>-0.12037037037037035</v>
      </c>
      <c r="K128">
        <f t="shared" si="8"/>
        <v>606</v>
      </c>
      <c r="L128" s="37">
        <f t="shared" si="9"/>
        <v>1333</v>
      </c>
    </row>
    <row r="129" spans="1:12" s="46" customFormat="1">
      <c r="A129" s="45">
        <v>108</v>
      </c>
      <c r="B129" s="46" t="s">
        <v>83</v>
      </c>
      <c r="C129" s="46" t="s">
        <v>8</v>
      </c>
      <c r="E129" s="45">
        <f t="shared" si="5"/>
        <v>4</v>
      </c>
      <c r="F129" s="47">
        <v>43958.625</v>
      </c>
      <c r="G129" s="48" t="str">
        <f t="shared" si="6"/>
        <v/>
      </c>
      <c r="J129" s="49">
        <f t="shared" si="7"/>
        <v>0.2558139534883721</v>
      </c>
      <c r="K129" s="46">
        <f t="shared" si="8"/>
        <v>628</v>
      </c>
      <c r="L129" s="55">
        <f t="shared" si="9"/>
        <v>1325</v>
      </c>
    </row>
    <row r="130" spans="1:12">
      <c r="A130" s="3">
        <v>81</v>
      </c>
      <c r="B130" t="s">
        <v>84</v>
      </c>
      <c r="C130" t="s">
        <v>8</v>
      </c>
      <c r="E130" s="3">
        <f t="shared" si="5"/>
        <v>5</v>
      </c>
      <c r="F130" s="5">
        <v>43959.625</v>
      </c>
      <c r="G130" s="19" t="str">
        <f t="shared" si="6"/>
        <v/>
      </c>
      <c r="J130" s="28">
        <f t="shared" si="7"/>
        <v>0.6875</v>
      </c>
      <c r="K130">
        <f t="shared" si="8"/>
        <v>661</v>
      </c>
      <c r="L130" s="37">
        <f t="shared" si="9"/>
        <v>1314</v>
      </c>
    </row>
    <row r="131" spans="1:12">
      <c r="A131" s="3">
        <v>47</v>
      </c>
      <c r="B131" t="s">
        <v>85</v>
      </c>
      <c r="C131" t="s">
        <v>8</v>
      </c>
      <c r="E131" s="3">
        <f t="shared" ref="E131:E194" si="10">WEEKDAY(F131,2)</f>
        <v>6</v>
      </c>
      <c r="F131" s="5">
        <v>43960.625</v>
      </c>
      <c r="G131" s="19" t="str">
        <f t="shared" ref="G131:G194" si="11">IF(WEEKDAY(F131,2)=1,YEAR(F131)&amp;"-W"&amp;TEXT(WEEKNUM(F131,14),"00"),"")</f>
        <v/>
      </c>
      <c r="J131" s="28">
        <f t="shared" si="7"/>
        <v>-0.18965517241379315</v>
      </c>
      <c r="K131">
        <f t="shared" si="8"/>
        <v>650</v>
      </c>
      <c r="L131" s="37">
        <f t="shared" si="9"/>
        <v>1285</v>
      </c>
    </row>
    <row r="132" spans="1:12">
      <c r="A132" s="3">
        <v>28</v>
      </c>
      <c r="B132" t="s">
        <v>86</v>
      </c>
      <c r="C132" t="s">
        <v>8</v>
      </c>
      <c r="E132" s="3">
        <f t="shared" si="10"/>
        <v>7</v>
      </c>
      <c r="F132" s="5">
        <v>43961.625</v>
      </c>
      <c r="G132" s="19" t="str">
        <f t="shared" si="11"/>
        <v/>
      </c>
      <c r="J132" s="28">
        <f t="shared" si="7"/>
        <v>-0.54098360655737698</v>
      </c>
      <c r="K132">
        <f t="shared" si="8"/>
        <v>617</v>
      </c>
      <c r="L132" s="37">
        <f t="shared" si="9"/>
        <v>1240</v>
      </c>
    </row>
    <row r="133" spans="1:12">
      <c r="A133" s="3">
        <v>92</v>
      </c>
      <c r="B133" t="s">
        <v>87</v>
      </c>
      <c r="C133" t="s">
        <v>8</v>
      </c>
      <c r="E133" s="3">
        <f t="shared" si="10"/>
        <v>1</v>
      </c>
      <c r="F133" s="5">
        <v>43962.625</v>
      </c>
      <c r="G133" s="19" t="str">
        <f t="shared" si="11"/>
        <v>2020-W20</v>
      </c>
      <c r="H133">
        <f>SUM(A133:A139)</f>
        <v>396</v>
      </c>
      <c r="I133" s="28">
        <f>H133/H126-1</f>
        <v>-0.35818476499189622</v>
      </c>
      <c r="J133" s="28">
        <f t="shared" si="7"/>
        <v>-0.30827067669172936</v>
      </c>
      <c r="K133">
        <f t="shared" si="8"/>
        <v>576</v>
      </c>
      <c r="L133" s="37">
        <f t="shared" si="9"/>
        <v>1209</v>
      </c>
    </row>
    <row r="134" spans="1:12">
      <c r="A134" s="3">
        <v>67</v>
      </c>
      <c r="B134" t="s">
        <v>88</v>
      </c>
      <c r="C134" t="s">
        <v>8</v>
      </c>
      <c r="E134" s="3">
        <f t="shared" si="10"/>
        <v>2</v>
      </c>
      <c r="F134" s="5">
        <v>43963.625</v>
      </c>
      <c r="G134" s="19" t="str">
        <f t="shared" si="11"/>
        <v/>
      </c>
      <c r="J134" s="28">
        <f t="shared" si="7"/>
        <v>-0.46399999999999997</v>
      </c>
      <c r="K134">
        <f t="shared" si="8"/>
        <v>518</v>
      </c>
      <c r="L134" s="37">
        <f t="shared" si="9"/>
        <v>1137</v>
      </c>
    </row>
    <row r="135" spans="1:12">
      <c r="A135" s="3">
        <v>78</v>
      </c>
      <c r="B135" t="s">
        <v>89</v>
      </c>
      <c r="C135" t="s">
        <v>8</v>
      </c>
      <c r="E135" s="3">
        <f t="shared" si="10"/>
        <v>3</v>
      </c>
      <c r="F135" s="5">
        <v>43964.625</v>
      </c>
      <c r="G135" s="19" t="str">
        <f t="shared" si="11"/>
        <v/>
      </c>
      <c r="J135" s="28">
        <f t="shared" si="7"/>
        <v>-0.17894736842105263</v>
      </c>
      <c r="K135">
        <f t="shared" si="8"/>
        <v>501</v>
      </c>
      <c r="L135" s="37">
        <f t="shared" si="9"/>
        <v>1107</v>
      </c>
    </row>
    <row r="136" spans="1:12">
      <c r="A136" s="3">
        <v>50</v>
      </c>
      <c r="B136" t="s">
        <v>90</v>
      </c>
      <c r="C136" t="s">
        <v>8</v>
      </c>
      <c r="E136" s="3">
        <f t="shared" si="10"/>
        <v>4</v>
      </c>
      <c r="F136" s="5">
        <v>43965.625</v>
      </c>
      <c r="G136" s="19" t="str">
        <f t="shared" si="11"/>
        <v/>
      </c>
      <c r="J136" s="28">
        <f t="shared" si="7"/>
        <v>-0.53703703703703698</v>
      </c>
      <c r="K136">
        <f t="shared" si="8"/>
        <v>443</v>
      </c>
      <c r="L136" s="37">
        <f t="shared" si="9"/>
        <v>1071</v>
      </c>
    </row>
    <row r="137" spans="1:12">
      <c r="A137" s="3">
        <v>55</v>
      </c>
      <c r="B137" t="s">
        <v>91</v>
      </c>
      <c r="C137" t="s">
        <v>8</v>
      </c>
      <c r="E137" s="3">
        <f t="shared" si="10"/>
        <v>5</v>
      </c>
      <c r="F137" s="5">
        <v>43966.625</v>
      </c>
      <c r="G137" s="19" t="str">
        <f t="shared" si="11"/>
        <v/>
      </c>
      <c r="J137" s="28">
        <f t="shared" ref="J137:J200" si="12">A137/A130-1</f>
        <v>-0.32098765432098764</v>
      </c>
      <c r="K137">
        <f t="shared" si="8"/>
        <v>417</v>
      </c>
      <c r="L137" s="37">
        <f t="shared" si="9"/>
        <v>1078</v>
      </c>
    </row>
    <row r="138" spans="1:12" s="46" customFormat="1">
      <c r="A138" s="45">
        <v>25</v>
      </c>
      <c r="B138" s="46" t="s">
        <v>92</v>
      </c>
      <c r="C138" s="46" t="s">
        <v>8</v>
      </c>
      <c r="E138" s="45">
        <f t="shared" si="10"/>
        <v>6</v>
      </c>
      <c r="F138" s="47">
        <v>43967.625</v>
      </c>
      <c r="G138" s="48" t="str">
        <f t="shared" si="11"/>
        <v/>
      </c>
      <c r="J138" s="49">
        <f t="shared" si="12"/>
        <v>-0.46808510638297873</v>
      </c>
      <c r="K138" s="46">
        <f t="shared" si="8"/>
        <v>395</v>
      </c>
      <c r="L138" s="55">
        <f t="shared" si="9"/>
        <v>1045</v>
      </c>
    </row>
    <row r="139" spans="1:12">
      <c r="A139" s="3">
        <v>29</v>
      </c>
      <c r="B139" t="s">
        <v>93</v>
      </c>
      <c r="C139" t="s">
        <v>8</v>
      </c>
      <c r="E139" s="3">
        <f t="shared" si="10"/>
        <v>7</v>
      </c>
      <c r="F139" s="5">
        <v>43968.625</v>
      </c>
      <c r="G139" s="19" t="str">
        <f t="shared" si="11"/>
        <v/>
      </c>
      <c r="J139" s="28">
        <f t="shared" si="12"/>
        <v>3.5714285714285809E-2</v>
      </c>
      <c r="K139">
        <f t="shared" si="8"/>
        <v>396</v>
      </c>
      <c r="L139" s="37">
        <f t="shared" si="9"/>
        <v>1013</v>
      </c>
    </row>
    <row r="140" spans="1:12">
      <c r="A140" s="3">
        <v>45</v>
      </c>
      <c r="B140" t="s">
        <v>94</v>
      </c>
      <c r="C140" t="s">
        <v>8</v>
      </c>
      <c r="E140" s="3">
        <f t="shared" si="10"/>
        <v>1</v>
      </c>
      <c r="F140" s="5">
        <v>43969.625</v>
      </c>
      <c r="G140" s="19" t="str">
        <f t="shared" si="11"/>
        <v>2020-W21</v>
      </c>
      <c r="H140">
        <f>SUM(A140:A146)</f>
        <v>221</v>
      </c>
      <c r="I140" s="28">
        <f>H140/H133-1</f>
        <v>-0.44191919191919193</v>
      </c>
      <c r="J140" s="28">
        <f t="shared" si="12"/>
        <v>-0.51086956521739135</v>
      </c>
      <c r="K140">
        <f t="shared" si="8"/>
        <v>349</v>
      </c>
      <c r="L140" s="37">
        <f t="shared" si="9"/>
        <v>925</v>
      </c>
    </row>
    <row r="141" spans="1:12">
      <c r="A141" s="3">
        <v>41</v>
      </c>
      <c r="B141" t="s">
        <v>95</v>
      </c>
      <c r="C141" t="s">
        <v>8</v>
      </c>
      <c r="E141" s="3">
        <f t="shared" si="10"/>
        <v>2</v>
      </c>
      <c r="F141" s="5">
        <v>43970.625</v>
      </c>
      <c r="G141" s="19" t="str">
        <f t="shared" si="11"/>
        <v/>
      </c>
      <c r="J141" s="28">
        <f t="shared" si="12"/>
        <v>-0.38805970149253732</v>
      </c>
      <c r="K141">
        <f t="shared" si="8"/>
        <v>323</v>
      </c>
      <c r="L141" s="37">
        <f t="shared" si="9"/>
        <v>841</v>
      </c>
    </row>
    <row r="142" spans="1:12">
      <c r="A142" s="3">
        <v>43</v>
      </c>
      <c r="B142" t="s">
        <v>96</v>
      </c>
      <c r="C142" t="s">
        <v>8</v>
      </c>
      <c r="E142" s="3">
        <f t="shared" si="10"/>
        <v>3</v>
      </c>
      <c r="F142" s="5">
        <v>43971.625</v>
      </c>
      <c r="G142" s="19" t="str">
        <f t="shared" si="11"/>
        <v/>
      </c>
      <c r="J142" s="28">
        <f t="shared" si="12"/>
        <v>-0.44871794871794868</v>
      </c>
      <c r="K142">
        <f t="shared" si="8"/>
        <v>288</v>
      </c>
      <c r="L142" s="37">
        <f t="shared" si="9"/>
        <v>789</v>
      </c>
    </row>
    <row r="143" spans="1:12">
      <c r="A143" s="3">
        <v>22</v>
      </c>
      <c r="B143" t="s">
        <v>97</v>
      </c>
      <c r="C143" t="s">
        <v>8</v>
      </c>
      <c r="E143" s="3">
        <f t="shared" si="10"/>
        <v>4</v>
      </c>
      <c r="F143" s="5">
        <v>43972.625</v>
      </c>
      <c r="G143" s="19" t="str">
        <f t="shared" si="11"/>
        <v/>
      </c>
      <c r="J143" s="28">
        <f t="shared" si="12"/>
        <v>-0.56000000000000005</v>
      </c>
      <c r="K143">
        <f t="shared" si="8"/>
        <v>260</v>
      </c>
      <c r="L143" s="37">
        <f t="shared" si="9"/>
        <v>703</v>
      </c>
    </row>
    <row r="144" spans="1:12">
      <c r="A144" s="3">
        <v>32</v>
      </c>
      <c r="B144" t="s">
        <v>98</v>
      </c>
      <c r="C144" t="s">
        <v>8</v>
      </c>
      <c r="E144" s="3">
        <f t="shared" si="10"/>
        <v>5</v>
      </c>
      <c r="F144" s="5">
        <v>43973.625</v>
      </c>
      <c r="G144" s="19" t="str">
        <f t="shared" si="11"/>
        <v/>
      </c>
      <c r="J144" s="28">
        <f t="shared" si="12"/>
        <v>-0.41818181818181821</v>
      </c>
      <c r="K144">
        <f t="shared" si="8"/>
        <v>237</v>
      </c>
      <c r="L144" s="37">
        <f t="shared" si="9"/>
        <v>654</v>
      </c>
    </row>
    <row r="145" spans="1:12">
      <c r="A145" s="3">
        <v>18</v>
      </c>
      <c r="B145" t="s">
        <v>99</v>
      </c>
      <c r="C145" t="s">
        <v>8</v>
      </c>
      <c r="E145" s="3">
        <f t="shared" si="10"/>
        <v>6</v>
      </c>
      <c r="F145" s="5">
        <v>43974.625</v>
      </c>
      <c r="G145" s="19" t="str">
        <f t="shared" si="11"/>
        <v/>
      </c>
      <c r="J145" s="28">
        <f t="shared" si="12"/>
        <v>-0.28000000000000003</v>
      </c>
      <c r="K145">
        <f t="shared" si="8"/>
        <v>230</v>
      </c>
      <c r="L145" s="37">
        <f t="shared" si="9"/>
        <v>625</v>
      </c>
    </row>
    <row r="146" spans="1:12">
      <c r="A146" s="3">
        <v>20</v>
      </c>
      <c r="B146" t="s">
        <v>100</v>
      </c>
      <c r="C146" t="s">
        <v>8</v>
      </c>
      <c r="E146" s="3">
        <f t="shared" si="10"/>
        <v>7</v>
      </c>
      <c r="F146" s="5">
        <v>43975.625</v>
      </c>
      <c r="G146" s="19" t="str">
        <f t="shared" si="11"/>
        <v/>
      </c>
      <c r="J146" s="28">
        <f t="shared" si="12"/>
        <v>-0.31034482758620685</v>
      </c>
      <c r="K146">
        <f t="shared" si="8"/>
        <v>221</v>
      </c>
      <c r="L146" s="37">
        <f t="shared" si="9"/>
        <v>617</v>
      </c>
    </row>
    <row r="147" spans="1:12">
      <c r="A147" s="3">
        <v>45</v>
      </c>
      <c r="B147" t="s">
        <v>101</v>
      </c>
      <c r="C147" t="s">
        <v>8</v>
      </c>
      <c r="E147" s="3">
        <f t="shared" si="10"/>
        <v>1</v>
      </c>
      <c r="F147" s="5">
        <v>43976.625</v>
      </c>
      <c r="G147" s="19" t="str">
        <f t="shared" si="11"/>
        <v>2020-W22</v>
      </c>
      <c r="H147">
        <f>SUM(A147:A153)</f>
        <v>163</v>
      </c>
      <c r="I147" s="28">
        <f>H147/H140-1</f>
        <v>-0.26244343891402711</v>
      </c>
      <c r="J147" s="28">
        <f t="shared" si="12"/>
        <v>0</v>
      </c>
      <c r="K147">
        <f t="shared" si="8"/>
        <v>221</v>
      </c>
      <c r="L147" s="37">
        <f t="shared" si="9"/>
        <v>570</v>
      </c>
    </row>
    <row r="148" spans="1:12">
      <c r="A148" s="3">
        <v>33</v>
      </c>
      <c r="B148" t="s">
        <v>102</v>
      </c>
      <c r="C148" t="s">
        <v>8</v>
      </c>
      <c r="E148" s="3">
        <f t="shared" si="10"/>
        <v>2</v>
      </c>
      <c r="F148" s="5">
        <v>43977.625</v>
      </c>
      <c r="G148" s="19" t="str">
        <f t="shared" si="11"/>
        <v/>
      </c>
      <c r="J148" s="28">
        <f t="shared" si="12"/>
        <v>-0.19512195121951215</v>
      </c>
      <c r="K148">
        <f t="shared" si="8"/>
        <v>213</v>
      </c>
      <c r="L148" s="37">
        <f t="shared" si="9"/>
        <v>536</v>
      </c>
    </row>
    <row r="149" spans="1:12">
      <c r="A149" s="3">
        <v>12</v>
      </c>
      <c r="B149" t="s">
        <v>103</v>
      </c>
      <c r="C149" t="s">
        <v>8</v>
      </c>
      <c r="E149" s="3">
        <f t="shared" si="10"/>
        <v>3</v>
      </c>
      <c r="F149" s="5">
        <v>43978.625</v>
      </c>
      <c r="G149" s="19" t="str">
        <f t="shared" si="11"/>
        <v/>
      </c>
      <c r="J149" s="28">
        <f t="shared" si="12"/>
        <v>-0.72093023255813948</v>
      </c>
      <c r="K149">
        <f t="shared" ref="K149:K212" si="13">SUM(A143:A149)</f>
        <v>182</v>
      </c>
      <c r="L149" s="37">
        <f t="shared" ref="L149:L212" si="14">SUM(A136:A149)</f>
        <v>470</v>
      </c>
    </row>
    <row r="150" spans="1:12">
      <c r="A150" s="3">
        <v>30</v>
      </c>
      <c r="B150" t="s">
        <v>104</v>
      </c>
      <c r="C150" t="s">
        <v>8</v>
      </c>
      <c r="E150" s="3">
        <f t="shared" si="10"/>
        <v>4</v>
      </c>
      <c r="F150" s="5">
        <v>43979.625</v>
      </c>
      <c r="G150" s="19" t="str">
        <f t="shared" si="11"/>
        <v/>
      </c>
      <c r="J150" s="28">
        <f t="shared" si="12"/>
        <v>0.36363636363636354</v>
      </c>
      <c r="K150">
        <f t="shared" si="13"/>
        <v>190</v>
      </c>
      <c r="L150" s="37">
        <f t="shared" si="14"/>
        <v>450</v>
      </c>
    </row>
    <row r="151" spans="1:12">
      <c r="A151" s="3">
        <v>21</v>
      </c>
      <c r="B151" t="s">
        <v>105</v>
      </c>
      <c r="C151" t="s">
        <v>8</v>
      </c>
      <c r="E151" s="3">
        <f t="shared" si="10"/>
        <v>5</v>
      </c>
      <c r="F151" s="5">
        <v>43980.625</v>
      </c>
      <c r="G151" s="19" t="str">
        <f t="shared" si="11"/>
        <v/>
      </c>
      <c r="J151" s="28">
        <f t="shared" si="12"/>
        <v>-0.34375</v>
      </c>
      <c r="K151">
        <f t="shared" si="13"/>
        <v>179</v>
      </c>
      <c r="L151" s="37">
        <f t="shared" si="14"/>
        <v>416</v>
      </c>
    </row>
    <row r="152" spans="1:12">
      <c r="A152" s="3">
        <v>10</v>
      </c>
      <c r="B152" t="s">
        <v>106</v>
      </c>
      <c r="C152" t="s">
        <v>8</v>
      </c>
      <c r="E152" s="3">
        <f t="shared" si="10"/>
        <v>6</v>
      </c>
      <c r="F152" s="5">
        <v>43981.625</v>
      </c>
      <c r="G152" s="19" t="str">
        <f t="shared" si="11"/>
        <v/>
      </c>
      <c r="J152" s="28">
        <f t="shared" si="12"/>
        <v>-0.44444444444444442</v>
      </c>
      <c r="K152">
        <f t="shared" si="13"/>
        <v>171</v>
      </c>
      <c r="L152" s="37">
        <f t="shared" si="14"/>
        <v>401</v>
      </c>
    </row>
    <row r="153" spans="1:12">
      <c r="A153" s="3">
        <v>12</v>
      </c>
      <c r="B153" t="s">
        <v>107</v>
      </c>
      <c r="C153" t="s">
        <v>8</v>
      </c>
      <c r="E153" s="3">
        <f t="shared" si="10"/>
        <v>7</v>
      </c>
      <c r="F153" s="5">
        <v>43982.625</v>
      </c>
      <c r="G153" s="19" t="str">
        <f t="shared" si="11"/>
        <v/>
      </c>
      <c r="J153" s="28">
        <f t="shared" si="12"/>
        <v>-0.4</v>
      </c>
      <c r="K153">
        <f t="shared" si="13"/>
        <v>163</v>
      </c>
      <c r="L153" s="37">
        <f t="shared" si="14"/>
        <v>384</v>
      </c>
    </row>
    <row r="154" spans="1:12">
      <c r="A154" s="45">
        <v>17</v>
      </c>
      <c r="B154" t="s">
        <v>108</v>
      </c>
      <c r="C154" t="s">
        <v>8</v>
      </c>
      <c r="E154" s="3">
        <f t="shared" si="10"/>
        <v>1</v>
      </c>
      <c r="F154" s="5">
        <v>43983.625</v>
      </c>
      <c r="G154" s="19" t="str">
        <f t="shared" si="11"/>
        <v>2020-W23</v>
      </c>
      <c r="H154">
        <f>SUM(A154:A160)</f>
        <v>99</v>
      </c>
      <c r="I154" s="28">
        <f>H154/H147-1</f>
        <v>-0.3926380368098159</v>
      </c>
      <c r="J154" s="28">
        <f t="shared" si="12"/>
        <v>-0.62222222222222223</v>
      </c>
      <c r="K154">
        <f t="shared" si="13"/>
        <v>135</v>
      </c>
      <c r="L154" s="37">
        <f t="shared" si="14"/>
        <v>356</v>
      </c>
    </row>
    <row r="155" spans="1:12">
      <c r="A155" s="3">
        <v>15</v>
      </c>
      <c r="B155" t="s">
        <v>109</v>
      </c>
      <c r="C155" t="s">
        <v>8</v>
      </c>
      <c r="E155" s="3">
        <f t="shared" si="10"/>
        <v>2</v>
      </c>
      <c r="F155" s="5">
        <v>43984.625</v>
      </c>
      <c r="G155" s="19" t="str">
        <f t="shared" si="11"/>
        <v/>
      </c>
      <c r="J155" s="28">
        <f t="shared" si="12"/>
        <v>-0.54545454545454541</v>
      </c>
      <c r="K155">
        <f t="shared" si="13"/>
        <v>117</v>
      </c>
      <c r="L155" s="37">
        <f t="shared" si="14"/>
        <v>330</v>
      </c>
    </row>
    <row r="156" spans="1:12">
      <c r="A156" s="3">
        <v>25</v>
      </c>
      <c r="B156" t="s">
        <v>110</v>
      </c>
      <c r="C156" t="s">
        <v>8</v>
      </c>
      <c r="E156" s="3">
        <f t="shared" si="10"/>
        <v>3</v>
      </c>
      <c r="F156" s="5">
        <v>43985.625</v>
      </c>
      <c r="G156" s="19" t="str">
        <f t="shared" si="11"/>
        <v/>
      </c>
      <c r="J156" s="28">
        <f t="shared" si="12"/>
        <v>1.0833333333333335</v>
      </c>
      <c r="K156">
        <f t="shared" si="13"/>
        <v>130</v>
      </c>
      <c r="L156" s="37">
        <f t="shared" si="14"/>
        <v>312</v>
      </c>
    </row>
    <row r="157" spans="1:12">
      <c r="A157" s="3">
        <v>12</v>
      </c>
      <c r="B157" t="s">
        <v>111</v>
      </c>
      <c r="C157" t="s">
        <v>8</v>
      </c>
      <c r="E157" s="3">
        <f t="shared" si="10"/>
        <v>4</v>
      </c>
      <c r="F157" s="5">
        <v>43986.625</v>
      </c>
      <c r="G157" s="19" t="str">
        <f t="shared" si="11"/>
        <v/>
      </c>
      <c r="J157" s="28">
        <f t="shared" si="12"/>
        <v>-0.6</v>
      </c>
      <c r="K157">
        <f t="shared" si="13"/>
        <v>112</v>
      </c>
      <c r="L157" s="37">
        <f t="shared" si="14"/>
        <v>302</v>
      </c>
    </row>
    <row r="158" spans="1:12">
      <c r="A158" s="3">
        <v>13</v>
      </c>
      <c r="B158" t="s">
        <v>112</v>
      </c>
      <c r="C158" t="s">
        <v>8</v>
      </c>
      <c r="E158" s="3">
        <f t="shared" si="10"/>
        <v>5</v>
      </c>
      <c r="F158" s="5">
        <v>43987.625</v>
      </c>
      <c r="G158" s="19" t="str">
        <f t="shared" si="11"/>
        <v/>
      </c>
      <c r="J158" s="28">
        <f t="shared" si="12"/>
        <v>-0.38095238095238093</v>
      </c>
      <c r="K158">
        <f t="shared" si="13"/>
        <v>104</v>
      </c>
      <c r="L158" s="37">
        <f t="shared" si="14"/>
        <v>283</v>
      </c>
    </row>
    <row r="159" spans="1:12">
      <c r="A159" s="3">
        <v>13</v>
      </c>
      <c r="B159" t="s">
        <v>113</v>
      </c>
      <c r="C159" t="s">
        <v>8</v>
      </c>
      <c r="E159" s="3">
        <f t="shared" si="10"/>
        <v>6</v>
      </c>
      <c r="F159" s="5">
        <v>43988.625</v>
      </c>
      <c r="G159" s="19" t="str">
        <f t="shared" si="11"/>
        <v/>
      </c>
      <c r="J159" s="28">
        <f t="shared" si="12"/>
        <v>0.30000000000000004</v>
      </c>
      <c r="K159">
        <f t="shared" si="13"/>
        <v>107</v>
      </c>
      <c r="L159" s="37">
        <f t="shared" si="14"/>
        <v>278</v>
      </c>
    </row>
    <row r="160" spans="1:12">
      <c r="A160" s="3">
        <v>4</v>
      </c>
      <c r="B160" t="s">
        <v>114</v>
      </c>
      <c r="C160" t="s">
        <v>8</v>
      </c>
      <c r="E160" s="3">
        <f t="shared" si="10"/>
        <v>7</v>
      </c>
      <c r="F160" s="5">
        <v>43989.625</v>
      </c>
      <c r="G160" s="19" t="str">
        <f t="shared" si="11"/>
        <v/>
      </c>
      <c r="J160" s="28">
        <f t="shared" si="12"/>
        <v>-0.66666666666666674</v>
      </c>
      <c r="K160">
        <f t="shared" si="13"/>
        <v>99</v>
      </c>
      <c r="L160" s="37">
        <f t="shared" si="14"/>
        <v>262</v>
      </c>
    </row>
    <row r="161" spans="1:12">
      <c r="A161" s="3">
        <v>10</v>
      </c>
      <c r="B161" t="s">
        <v>115</v>
      </c>
      <c r="C161" t="s">
        <v>8</v>
      </c>
      <c r="E161" s="3">
        <f t="shared" si="10"/>
        <v>1</v>
      </c>
      <c r="F161" s="5">
        <v>43990.625</v>
      </c>
      <c r="G161" s="19" t="str">
        <f t="shared" si="11"/>
        <v>2020-W24</v>
      </c>
      <c r="H161">
        <f>SUM(A161:A167)</f>
        <v>54</v>
      </c>
      <c r="I161" s="28">
        <f>H161/H154-1</f>
        <v>-0.45454545454545459</v>
      </c>
      <c r="J161" s="28">
        <f t="shared" si="12"/>
        <v>-0.41176470588235292</v>
      </c>
      <c r="K161">
        <f t="shared" si="13"/>
        <v>92</v>
      </c>
      <c r="L161" s="37">
        <f t="shared" si="14"/>
        <v>227</v>
      </c>
    </row>
    <row r="162" spans="1:12">
      <c r="A162" s="3">
        <v>8</v>
      </c>
      <c r="B162" t="s">
        <v>116</v>
      </c>
      <c r="C162" t="s">
        <v>8</v>
      </c>
      <c r="E162" s="3">
        <f t="shared" si="10"/>
        <v>2</v>
      </c>
      <c r="F162" s="5">
        <v>43991.625</v>
      </c>
      <c r="G162" s="19" t="str">
        <f t="shared" si="11"/>
        <v/>
      </c>
      <c r="J162" s="28">
        <f t="shared" si="12"/>
        <v>-0.46666666666666667</v>
      </c>
      <c r="K162">
        <f t="shared" si="13"/>
        <v>85</v>
      </c>
      <c r="L162" s="37">
        <f t="shared" si="14"/>
        <v>202</v>
      </c>
    </row>
    <row r="163" spans="1:12">
      <c r="A163" s="3">
        <v>7</v>
      </c>
      <c r="B163" t="s">
        <v>117</v>
      </c>
      <c r="C163" t="s">
        <v>8</v>
      </c>
      <c r="E163" s="3">
        <f t="shared" si="10"/>
        <v>3</v>
      </c>
      <c r="F163" s="5">
        <v>43992.625</v>
      </c>
      <c r="G163" s="19" t="str">
        <f t="shared" si="11"/>
        <v/>
      </c>
      <c r="J163" s="28">
        <f t="shared" si="12"/>
        <v>-0.72</v>
      </c>
      <c r="K163">
        <f t="shared" si="13"/>
        <v>67</v>
      </c>
      <c r="L163" s="37">
        <f t="shared" si="14"/>
        <v>197</v>
      </c>
    </row>
    <row r="164" spans="1:12">
      <c r="A164" s="3">
        <v>9</v>
      </c>
      <c r="B164" t="s">
        <v>118</v>
      </c>
      <c r="C164" t="s">
        <v>8</v>
      </c>
      <c r="E164" s="3">
        <f t="shared" si="10"/>
        <v>4</v>
      </c>
      <c r="F164" s="5">
        <v>43993.625</v>
      </c>
      <c r="G164" s="19" t="str">
        <f t="shared" si="11"/>
        <v/>
      </c>
      <c r="J164" s="28">
        <f t="shared" si="12"/>
        <v>-0.25</v>
      </c>
      <c r="K164">
        <f t="shared" si="13"/>
        <v>64</v>
      </c>
      <c r="L164" s="37">
        <f t="shared" si="14"/>
        <v>176</v>
      </c>
    </row>
    <row r="165" spans="1:12">
      <c r="A165" s="3">
        <v>13</v>
      </c>
      <c r="B165" t="s">
        <v>119</v>
      </c>
      <c r="C165" t="s">
        <v>8</v>
      </c>
      <c r="E165" s="3">
        <f t="shared" si="10"/>
        <v>5</v>
      </c>
      <c r="F165" s="5">
        <v>43994.625</v>
      </c>
      <c r="G165" s="19" t="str">
        <f t="shared" si="11"/>
        <v/>
      </c>
      <c r="J165" s="28">
        <f t="shared" si="12"/>
        <v>0</v>
      </c>
      <c r="K165">
        <f t="shared" si="13"/>
        <v>64</v>
      </c>
      <c r="L165" s="37">
        <f t="shared" si="14"/>
        <v>168</v>
      </c>
    </row>
    <row r="166" spans="1:12">
      <c r="A166" s="3">
        <v>2</v>
      </c>
      <c r="B166" t="s">
        <v>120</v>
      </c>
      <c r="C166" t="s">
        <v>8</v>
      </c>
      <c r="E166" s="3">
        <f t="shared" si="10"/>
        <v>6</v>
      </c>
      <c r="F166" s="5">
        <v>43995.625</v>
      </c>
      <c r="G166" s="19" t="str">
        <f t="shared" si="11"/>
        <v/>
      </c>
      <c r="J166" s="28">
        <f t="shared" si="12"/>
        <v>-0.84615384615384615</v>
      </c>
      <c r="K166">
        <f t="shared" si="13"/>
        <v>53</v>
      </c>
      <c r="L166" s="37">
        <f t="shared" si="14"/>
        <v>160</v>
      </c>
    </row>
    <row r="167" spans="1:12">
      <c r="A167" s="3">
        <v>5</v>
      </c>
      <c r="B167" t="s">
        <v>121</v>
      </c>
      <c r="C167" t="s">
        <v>8</v>
      </c>
      <c r="E167" s="3">
        <f t="shared" si="10"/>
        <v>7</v>
      </c>
      <c r="F167" s="5">
        <v>43996.625</v>
      </c>
      <c r="G167" s="19" t="str">
        <f t="shared" si="11"/>
        <v/>
      </c>
      <c r="J167" s="28">
        <f t="shared" si="12"/>
        <v>0.25</v>
      </c>
      <c r="K167">
        <f t="shared" si="13"/>
        <v>54</v>
      </c>
      <c r="L167" s="37">
        <f t="shared" si="14"/>
        <v>153</v>
      </c>
    </row>
    <row r="168" spans="1:12">
      <c r="A168" s="3">
        <v>16</v>
      </c>
      <c r="B168" t="s">
        <v>122</v>
      </c>
      <c r="C168" t="s">
        <v>8</v>
      </c>
      <c r="E168" s="3">
        <f t="shared" si="10"/>
        <v>1</v>
      </c>
      <c r="F168" s="5">
        <v>43997.625</v>
      </c>
      <c r="G168" s="19" t="str">
        <f t="shared" si="11"/>
        <v>2020-W25</v>
      </c>
      <c r="H168">
        <f>SUM(A168:A174)</f>
        <v>51</v>
      </c>
      <c r="I168" s="28">
        <f>H168/H161-1</f>
        <v>-5.555555555555558E-2</v>
      </c>
      <c r="J168" s="28">
        <f t="shared" si="12"/>
        <v>0.60000000000000009</v>
      </c>
      <c r="K168">
        <f t="shared" si="13"/>
        <v>60</v>
      </c>
      <c r="L168" s="37">
        <f t="shared" si="14"/>
        <v>152</v>
      </c>
    </row>
    <row r="169" spans="1:12">
      <c r="A169" s="3">
        <v>8</v>
      </c>
      <c r="B169" t="s">
        <v>123</v>
      </c>
      <c r="C169" t="s">
        <v>8</v>
      </c>
      <c r="E169" s="3">
        <f t="shared" si="10"/>
        <v>2</v>
      </c>
      <c r="F169" s="5">
        <v>43998.625</v>
      </c>
      <c r="G169" s="19" t="str">
        <f t="shared" si="11"/>
        <v/>
      </c>
      <c r="J169" s="28">
        <f t="shared" si="12"/>
        <v>0</v>
      </c>
      <c r="K169">
        <f t="shared" si="13"/>
        <v>60</v>
      </c>
      <c r="L169" s="37">
        <f t="shared" si="14"/>
        <v>145</v>
      </c>
    </row>
    <row r="170" spans="1:12">
      <c r="A170" s="3">
        <v>4</v>
      </c>
      <c r="B170" t="s">
        <v>124</v>
      </c>
      <c r="C170" t="s">
        <v>8</v>
      </c>
      <c r="E170" s="3">
        <f t="shared" si="10"/>
        <v>3</v>
      </c>
      <c r="F170" s="5">
        <v>43999.625</v>
      </c>
      <c r="G170" s="19" t="str">
        <f t="shared" si="11"/>
        <v/>
      </c>
      <c r="J170" s="28">
        <f t="shared" si="12"/>
        <v>-0.4285714285714286</v>
      </c>
      <c r="K170">
        <f t="shared" si="13"/>
        <v>57</v>
      </c>
      <c r="L170" s="37">
        <f t="shared" si="14"/>
        <v>124</v>
      </c>
    </row>
    <row r="171" spans="1:12">
      <c r="A171" s="3">
        <v>8</v>
      </c>
      <c r="B171" t="s">
        <v>125</v>
      </c>
      <c r="C171" t="s">
        <v>8</v>
      </c>
      <c r="E171" s="3">
        <f t="shared" si="10"/>
        <v>4</v>
      </c>
      <c r="F171" s="5">
        <v>44000.625</v>
      </c>
      <c r="G171" s="19" t="str">
        <f t="shared" si="11"/>
        <v/>
      </c>
      <c r="J171" s="28">
        <f t="shared" si="12"/>
        <v>-0.11111111111111116</v>
      </c>
      <c r="K171">
        <f t="shared" si="13"/>
        <v>56</v>
      </c>
      <c r="L171" s="37">
        <f t="shared" si="14"/>
        <v>120</v>
      </c>
    </row>
    <row r="172" spans="1:12" s="46" customFormat="1">
      <c r="A172" s="45">
        <v>0</v>
      </c>
      <c r="B172" s="46" t="s">
        <v>288</v>
      </c>
      <c r="C172" s="46" t="s">
        <v>8</v>
      </c>
      <c r="E172" s="45">
        <f t="shared" si="10"/>
        <v>5</v>
      </c>
      <c r="F172" s="47">
        <v>44001.625</v>
      </c>
      <c r="G172" s="48" t="str">
        <f t="shared" si="11"/>
        <v/>
      </c>
      <c r="J172" s="49">
        <f t="shared" si="12"/>
        <v>-1</v>
      </c>
      <c r="K172" s="46">
        <f t="shared" si="13"/>
        <v>43</v>
      </c>
      <c r="L172" s="55">
        <f t="shared" si="14"/>
        <v>107</v>
      </c>
    </row>
    <row r="173" spans="1:12">
      <c r="A173" s="3">
        <v>2</v>
      </c>
      <c r="B173" t="s">
        <v>126</v>
      </c>
      <c r="C173" t="s">
        <v>8</v>
      </c>
      <c r="E173" s="3">
        <f t="shared" si="10"/>
        <v>6</v>
      </c>
      <c r="F173" s="5">
        <v>44002.625</v>
      </c>
      <c r="G173" s="19" t="str">
        <f t="shared" si="11"/>
        <v/>
      </c>
      <c r="J173" s="28">
        <f t="shared" si="12"/>
        <v>0</v>
      </c>
      <c r="K173">
        <f t="shared" si="13"/>
        <v>43</v>
      </c>
      <c r="L173" s="37">
        <f t="shared" si="14"/>
        <v>96</v>
      </c>
    </row>
    <row r="174" spans="1:12">
      <c r="A174" s="3">
        <v>13</v>
      </c>
      <c r="B174" t="s">
        <v>127</v>
      </c>
      <c r="C174" t="s">
        <v>8</v>
      </c>
      <c r="E174" s="3">
        <f t="shared" si="10"/>
        <v>7</v>
      </c>
      <c r="F174" s="5">
        <v>44003.625</v>
      </c>
      <c r="G174" s="19" t="str">
        <f t="shared" si="11"/>
        <v/>
      </c>
      <c r="J174" s="28">
        <f t="shared" si="12"/>
        <v>1.6</v>
      </c>
      <c r="K174">
        <f t="shared" si="13"/>
        <v>51</v>
      </c>
      <c r="L174" s="37">
        <f t="shared" si="14"/>
        <v>105</v>
      </c>
    </row>
    <row r="175" spans="1:12">
      <c r="A175" s="3">
        <v>5</v>
      </c>
      <c r="B175" t="s">
        <v>128</v>
      </c>
      <c r="C175" t="s">
        <v>8</v>
      </c>
      <c r="E175" s="3">
        <f t="shared" si="10"/>
        <v>1</v>
      </c>
      <c r="F175" s="5">
        <v>44004.625</v>
      </c>
      <c r="G175" s="19" t="str">
        <f t="shared" si="11"/>
        <v>2020-W26</v>
      </c>
      <c r="H175">
        <f>SUM(A175:A181)</f>
        <v>53</v>
      </c>
      <c r="I175" s="28">
        <f>H175/H168-1</f>
        <v>3.9215686274509887E-2</v>
      </c>
      <c r="J175" s="28">
        <f t="shared" si="12"/>
        <v>-0.6875</v>
      </c>
      <c r="K175">
        <f t="shared" si="13"/>
        <v>40</v>
      </c>
      <c r="L175" s="37">
        <f t="shared" si="14"/>
        <v>100</v>
      </c>
    </row>
    <row r="176" spans="1:12">
      <c r="A176" s="3">
        <v>5</v>
      </c>
      <c r="B176" t="s">
        <v>129</v>
      </c>
      <c r="C176" t="s">
        <v>8</v>
      </c>
      <c r="E176" s="3">
        <f t="shared" si="10"/>
        <v>2</v>
      </c>
      <c r="F176" s="5">
        <v>44005.625</v>
      </c>
      <c r="G176" s="19" t="str">
        <f t="shared" si="11"/>
        <v/>
      </c>
      <c r="J176" s="28">
        <f t="shared" si="12"/>
        <v>-0.375</v>
      </c>
      <c r="K176">
        <f t="shared" si="13"/>
        <v>37</v>
      </c>
      <c r="L176" s="37">
        <f t="shared" si="14"/>
        <v>97</v>
      </c>
    </row>
    <row r="177" spans="1:12">
      <c r="A177" s="3">
        <v>17</v>
      </c>
      <c r="B177" t="s">
        <v>130</v>
      </c>
      <c r="C177" t="s">
        <v>8</v>
      </c>
      <c r="E177" s="3">
        <f t="shared" si="10"/>
        <v>3</v>
      </c>
      <c r="F177" s="5">
        <v>44006.625</v>
      </c>
      <c r="G177" s="19" t="str">
        <f t="shared" si="11"/>
        <v/>
      </c>
      <c r="J177" s="28">
        <f t="shared" si="12"/>
        <v>3.25</v>
      </c>
      <c r="K177">
        <f t="shared" si="13"/>
        <v>50</v>
      </c>
      <c r="L177" s="37">
        <f t="shared" si="14"/>
        <v>107</v>
      </c>
    </row>
    <row r="178" spans="1:12">
      <c r="A178" s="3">
        <v>14</v>
      </c>
      <c r="B178" t="s">
        <v>131</v>
      </c>
      <c r="C178" t="s">
        <v>8</v>
      </c>
      <c r="E178" s="3">
        <f t="shared" si="10"/>
        <v>4</v>
      </c>
      <c r="F178" s="5">
        <v>44007.625</v>
      </c>
      <c r="G178" s="19" t="str">
        <f t="shared" si="11"/>
        <v/>
      </c>
      <c r="J178" s="28">
        <f t="shared" si="12"/>
        <v>0.75</v>
      </c>
      <c r="K178">
        <f t="shared" si="13"/>
        <v>56</v>
      </c>
      <c r="L178" s="37">
        <f t="shared" si="14"/>
        <v>112</v>
      </c>
    </row>
    <row r="179" spans="1:12">
      <c r="A179" s="3">
        <v>3</v>
      </c>
      <c r="B179" t="s">
        <v>132</v>
      </c>
      <c r="C179" t="s">
        <v>8</v>
      </c>
      <c r="E179" s="3">
        <f t="shared" si="10"/>
        <v>5</v>
      </c>
      <c r="F179" s="5">
        <v>44008.625</v>
      </c>
      <c r="G179" s="19" t="str">
        <f t="shared" si="11"/>
        <v/>
      </c>
      <c r="J179" s="28" t="e">
        <f t="shared" si="12"/>
        <v>#DIV/0!</v>
      </c>
      <c r="K179">
        <f t="shared" si="13"/>
        <v>59</v>
      </c>
      <c r="L179" s="37">
        <f t="shared" si="14"/>
        <v>102</v>
      </c>
    </row>
    <row r="180" spans="1:12">
      <c r="A180" s="3">
        <v>2</v>
      </c>
      <c r="B180" t="s">
        <v>133</v>
      </c>
      <c r="C180" t="s">
        <v>8</v>
      </c>
      <c r="E180" s="3">
        <f t="shared" si="10"/>
        <v>6</v>
      </c>
      <c r="F180" s="5">
        <v>44009.625</v>
      </c>
      <c r="G180" s="19" t="str">
        <f t="shared" si="11"/>
        <v/>
      </c>
      <c r="J180" s="28">
        <f t="shared" si="12"/>
        <v>0</v>
      </c>
      <c r="K180">
        <f t="shared" si="13"/>
        <v>59</v>
      </c>
      <c r="L180" s="37">
        <f t="shared" si="14"/>
        <v>102</v>
      </c>
    </row>
    <row r="181" spans="1:12">
      <c r="A181" s="3">
        <v>7</v>
      </c>
      <c r="B181" t="s">
        <v>134</v>
      </c>
      <c r="C181" t="s">
        <v>8</v>
      </c>
      <c r="E181" s="3">
        <f t="shared" si="10"/>
        <v>7</v>
      </c>
      <c r="F181" s="5">
        <v>44010.625</v>
      </c>
      <c r="G181" s="19" t="str">
        <f t="shared" si="11"/>
        <v/>
      </c>
      <c r="J181" s="28">
        <f t="shared" si="12"/>
        <v>-0.46153846153846156</v>
      </c>
      <c r="K181">
        <f t="shared" si="13"/>
        <v>53</v>
      </c>
      <c r="L181" s="37">
        <f t="shared" si="14"/>
        <v>104</v>
      </c>
    </row>
    <row r="182" spans="1:12">
      <c r="A182" s="3">
        <v>16</v>
      </c>
      <c r="B182" t="s">
        <v>135</v>
      </c>
      <c r="C182" t="s">
        <v>8</v>
      </c>
      <c r="E182" s="3">
        <f t="shared" si="10"/>
        <v>1</v>
      </c>
      <c r="F182" s="5">
        <v>44011.625</v>
      </c>
      <c r="G182" s="19" t="str">
        <f t="shared" si="11"/>
        <v>2020-W27</v>
      </c>
      <c r="H182">
        <f>SUM(A182:A188)</f>
        <v>46</v>
      </c>
      <c r="I182" s="28">
        <f>H182/H175-1</f>
        <v>-0.13207547169811318</v>
      </c>
      <c r="J182" s="28">
        <f t="shared" si="12"/>
        <v>2.2000000000000002</v>
      </c>
      <c r="K182">
        <f t="shared" si="13"/>
        <v>64</v>
      </c>
      <c r="L182" s="37">
        <f t="shared" si="14"/>
        <v>104</v>
      </c>
    </row>
    <row r="183" spans="1:12">
      <c r="A183" s="3">
        <v>10</v>
      </c>
      <c r="B183" t="s">
        <v>136</v>
      </c>
      <c r="C183" t="s">
        <v>8</v>
      </c>
      <c r="E183" s="3">
        <f t="shared" si="10"/>
        <v>2</v>
      </c>
      <c r="F183" s="5">
        <v>44012.625</v>
      </c>
      <c r="G183" s="19" t="str">
        <f t="shared" si="11"/>
        <v/>
      </c>
      <c r="J183" s="28">
        <f t="shared" si="12"/>
        <v>1</v>
      </c>
      <c r="K183">
        <f t="shared" si="13"/>
        <v>69</v>
      </c>
      <c r="L183" s="37">
        <f t="shared" si="14"/>
        <v>106</v>
      </c>
    </row>
    <row r="184" spans="1:12">
      <c r="A184" s="3">
        <v>2</v>
      </c>
      <c r="B184" t="s">
        <v>137</v>
      </c>
      <c r="C184" t="s">
        <v>8</v>
      </c>
      <c r="E184" s="3">
        <f t="shared" si="10"/>
        <v>3</v>
      </c>
      <c r="F184" s="5">
        <v>44013.625</v>
      </c>
      <c r="G184" s="19" t="str">
        <f t="shared" si="11"/>
        <v/>
      </c>
      <c r="J184" s="28">
        <f t="shared" si="12"/>
        <v>-0.88235294117647056</v>
      </c>
      <c r="K184">
        <f t="shared" si="13"/>
        <v>54</v>
      </c>
      <c r="L184" s="37">
        <f t="shared" si="14"/>
        <v>104</v>
      </c>
    </row>
    <row r="185" spans="1:12">
      <c r="A185" s="3">
        <v>7</v>
      </c>
      <c r="B185" t="s">
        <v>138</v>
      </c>
      <c r="C185" t="s">
        <v>8</v>
      </c>
      <c r="E185" s="3">
        <f t="shared" si="10"/>
        <v>4</v>
      </c>
      <c r="F185" s="5">
        <v>44014.625</v>
      </c>
      <c r="G185" s="19" t="str">
        <f t="shared" si="11"/>
        <v/>
      </c>
      <c r="J185" s="28">
        <f t="shared" si="12"/>
        <v>-0.5</v>
      </c>
      <c r="K185">
        <f t="shared" si="13"/>
        <v>47</v>
      </c>
      <c r="L185" s="37">
        <f t="shared" si="14"/>
        <v>103</v>
      </c>
    </row>
    <row r="186" spans="1:12">
      <c r="A186" s="3">
        <v>6</v>
      </c>
      <c r="B186" t="s">
        <v>139</v>
      </c>
      <c r="C186" t="s">
        <v>8</v>
      </c>
      <c r="E186" s="3">
        <f t="shared" si="10"/>
        <v>5</v>
      </c>
      <c r="F186" s="5">
        <v>44015.625</v>
      </c>
      <c r="G186" s="19" t="str">
        <f t="shared" si="11"/>
        <v/>
      </c>
      <c r="J186" s="28">
        <f t="shared" si="12"/>
        <v>1</v>
      </c>
      <c r="K186">
        <f t="shared" si="13"/>
        <v>50</v>
      </c>
      <c r="L186" s="37">
        <f t="shared" si="14"/>
        <v>109</v>
      </c>
    </row>
    <row r="187" spans="1:12">
      <c r="A187" s="3">
        <v>2</v>
      </c>
      <c r="B187" t="s">
        <v>140</v>
      </c>
      <c r="C187" t="s">
        <v>8</v>
      </c>
      <c r="E187" s="3">
        <f t="shared" si="10"/>
        <v>6</v>
      </c>
      <c r="F187" s="5">
        <v>44016.625</v>
      </c>
      <c r="G187" s="19" t="str">
        <f t="shared" si="11"/>
        <v/>
      </c>
      <c r="J187" s="28">
        <f t="shared" si="12"/>
        <v>0</v>
      </c>
      <c r="K187">
        <f t="shared" si="13"/>
        <v>50</v>
      </c>
      <c r="L187" s="37">
        <f t="shared" si="14"/>
        <v>109</v>
      </c>
    </row>
    <row r="188" spans="1:12">
      <c r="A188" s="3">
        <v>3</v>
      </c>
      <c r="B188" t="s">
        <v>141</v>
      </c>
      <c r="C188" t="s">
        <v>8</v>
      </c>
      <c r="E188" s="3">
        <f t="shared" si="10"/>
        <v>7</v>
      </c>
      <c r="F188" s="5">
        <v>44017.625</v>
      </c>
      <c r="G188" s="19" t="str">
        <f t="shared" si="11"/>
        <v/>
      </c>
      <c r="J188" s="28">
        <f t="shared" si="12"/>
        <v>-0.5714285714285714</v>
      </c>
      <c r="K188">
        <f t="shared" si="13"/>
        <v>46</v>
      </c>
      <c r="L188" s="37">
        <f t="shared" si="14"/>
        <v>99</v>
      </c>
    </row>
    <row r="189" spans="1:12" s="46" customFormat="1">
      <c r="A189" s="45">
        <v>8</v>
      </c>
      <c r="B189" s="46" t="s">
        <v>142</v>
      </c>
      <c r="C189" s="46" t="s">
        <v>8</v>
      </c>
      <c r="E189" s="45">
        <f t="shared" si="10"/>
        <v>1</v>
      </c>
      <c r="F189" s="47">
        <v>44018.625</v>
      </c>
      <c r="G189" s="48" t="str">
        <f t="shared" si="11"/>
        <v>2020-W28</v>
      </c>
      <c r="H189" s="46">
        <f>SUM(A189:A195)</f>
        <v>38</v>
      </c>
      <c r="I189" s="49">
        <f>H189/H182-1</f>
        <v>-0.17391304347826086</v>
      </c>
      <c r="J189" s="49">
        <f t="shared" si="12"/>
        <v>-0.5</v>
      </c>
      <c r="K189" s="46">
        <f t="shared" si="13"/>
        <v>38</v>
      </c>
      <c r="L189" s="55">
        <f t="shared" si="14"/>
        <v>102</v>
      </c>
    </row>
    <row r="190" spans="1:12">
      <c r="A190" s="3">
        <v>3</v>
      </c>
      <c r="B190" t="s">
        <v>143</v>
      </c>
      <c r="C190" t="s">
        <v>8</v>
      </c>
      <c r="E190" s="3">
        <f t="shared" si="10"/>
        <v>2</v>
      </c>
      <c r="F190" s="5">
        <v>44019.625</v>
      </c>
      <c r="G190" s="19" t="str">
        <f t="shared" si="11"/>
        <v/>
      </c>
      <c r="J190" s="28">
        <f t="shared" si="12"/>
        <v>-0.7</v>
      </c>
      <c r="K190">
        <f t="shared" si="13"/>
        <v>31</v>
      </c>
      <c r="L190" s="37">
        <f t="shared" si="14"/>
        <v>100</v>
      </c>
    </row>
    <row r="191" spans="1:12">
      <c r="A191" s="3">
        <v>9</v>
      </c>
      <c r="B191" t="s">
        <v>144</v>
      </c>
      <c r="C191" t="s">
        <v>8</v>
      </c>
      <c r="E191" s="3">
        <f t="shared" si="10"/>
        <v>3</v>
      </c>
      <c r="F191" s="5">
        <v>44020.625</v>
      </c>
      <c r="G191" s="19" t="str">
        <f t="shared" si="11"/>
        <v/>
      </c>
      <c r="J191" s="28">
        <f t="shared" si="12"/>
        <v>3.5</v>
      </c>
      <c r="K191">
        <f t="shared" si="13"/>
        <v>38</v>
      </c>
      <c r="L191" s="37">
        <f t="shared" si="14"/>
        <v>92</v>
      </c>
    </row>
    <row r="192" spans="1:12">
      <c r="A192" s="3">
        <v>8</v>
      </c>
      <c r="B192" t="s">
        <v>145</v>
      </c>
      <c r="C192" t="s">
        <v>8</v>
      </c>
      <c r="E192" s="3">
        <f t="shared" si="10"/>
        <v>4</v>
      </c>
      <c r="F192" s="5">
        <v>44021.625</v>
      </c>
      <c r="G192" s="19" t="str">
        <f t="shared" si="11"/>
        <v/>
      </c>
      <c r="J192" s="28">
        <f t="shared" si="12"/>
        <v>0.14285714285714279</v>
      </c>
      <c r="K192">
        <f t="shared" si="13"/>
        <v>39</v>
      </c>
      <c r="L192" s="37">
        <f t="shared" si="14"/>
        <v>86</v>
      </c>
    </row>
    <row r="193" spans="1:12">
      <c r="A193" s="3">
        <v>6</v>
      </c>
      <c r="B193" t="s">
        <v>146</v>
      </c>
      <c r="C193" t="s">
        <v>8</v>
      </c>
      <c r="E193" s="3">
        <f t="shared" si="10"/>
        <v>5</v>
      </c>
      <c r="F193" s="5">
        <v>44022.625</v>
      </c>
      <c r="G193" s="19" t="str">
        <f t="shared" si="11"/>
        <v/>
      </c>
      <c r="J193" s="28">
        <f t="shared" si="12"/>
        <v>0</v>
      </c>
      <c r="K193">
        <f t="shared" si="13"/>
        <v>39</v>
      </c>
      <c r="L193" s="37">
        <f t="shared" si="14"/>
        <v>89</v>
      </c>
    </row>
    <row r="194" spans="1:12">
      <c r="A194" s="3">
        <v>0</v>
      </c>
      <c r="B194" t="s">
        <v>289</v>
      </c>
      <c r="C194" t="s">
        <v>8</v>
      </c>
      <c r="E194" s="3">
        <f t="shared" si="10"/>
        <v>6</v>
      </c>
      <c r="F194" s="5">
        <v>44023.625</v>
      </c>
      <c r="G194" s="19" t="str">
        <f t="shared" si="11"/>
        <v/>
      </c>
      <c r="J194" s="28">
        <f t="shared" si="12"/>
        <v>-1</v>
      </c>
      <c r="K194">
        <f t="shared" si="13"/>
        <v>37</v>
      </c>
      <c r="L194" s="37">
        <f t="shared" si="14"/>
        <v>87</v>
      </c>
    </row>
    <row r="195" spans="1:12">
      <c r="A195" s="3">
        <v>4</v>
      </c>
      <c r="B195" t="s">
        <v>147</v>
      </c>
      <c r="C195" t="s">
        <v>8</v>
      </c>
      <c r="E195" s="3">
        <f t="shared" ref="E195:E258" si="15">WEEKDAY(F195,2)</f>
        <v>7</v>
      </c>
      <c r="F195" s="5">
        <v>44024.625</v>
      </c>
      <c r="G195" s="19" t="str">
        <f t="shared" ref="G195:G258" si="16">IF(WEEKDAY(F195,2)=1,YEAR(F195)&amp;"-W"&amp;TEXT(WEEKNUM(F195,14),"00"),"")</f>
        <v/>
      </c>
      <c r="J195" s="28">
        <f t="shared" si="12"/>
        <v>0.33333333333333326</v>
      </c>
      <c r="K195">
        <f t="shared" si="13"/>
        <v>38</v>
      </c>
      <c r="L195" s="37">
        <f t="shared" si="14"/>
        <v>84</v>
      </c>
    </row>
    <row r="196" spans="1:12" s="41" customFormat="1">
      <c r="A196" s="40">
        <v>6</v>
      </c>
      <c r="B196" s="41" t="s">
        <v>148</v>
      </c>
      <c r="C196" s="41" t="s">
        <v>8</v>
      </c>
      <c r="E196" s="40">
        <f t="shared" si="15"/>
        <v>1</v>
      </c>
      <c r="F196" s="42">
        <v>44025.625</v>
      </c>
      <c r="G196" s="43" t="str">
        <f t="shared" si="16"/>
        <v>2020-W29</v>
      </c>
      <c r="H196" s="41">
        <f>SUM(A196:A202)</f>
        <v>43</v>
      </c>
      <c r="I196" s="44">
        <f>H196/H189-1</f>
        <v>0.13157894736842102</v>
      </c>
      <c r="J196" s="44">
        <f t="shared" si="12"/>
        <v>-0.25</v>
      </c>
      <c r="K196" s="41">
        <f t="shared" si="13"/>
        <v>36</v>
      </c>
      <c r="L196" s="54">
        <f t="shared" si="14"/>
        <v>74</v>
      </c>
    </row>
    <row r="197" spans="1:12">
      <c r="A197" s="3">
        <v>5</v>
      </c>
      <c r="B197" t="s">
        <v>149</v>
      </c>
      <c r="C197" t="s">
        <v>8</v>
      </c>
      <c r="E197" s="3">
        <f t="shared" si="15"/>
        <v>2</v>
      </c>
      <c r="F197" s="5">
        <v>44026.625</v>
      </c>
      <c r="G197" s="19" t="str">
        <f t="shared" si="16"/>
        <v/>
      </c>
      <c r="J197" s="28">
        <f t="shared" si="12"/>
        <v>0.66666666666666674</v>
      </c>
      <c r="K197">
        <f t="shared" si="13"/>
        <v>38</v>
      </c>
      <c r="L197" s="37">
        <f t="shared" si="14"/>
        <v>69</v>
      </c>
    </row>
    <row r="198" spans="1:12">
      <c r="A198" s="3">
        <v>5</v>
      </c>
      <c r="B198" t="s">
        <v>150</v>
      </c>
      <c r="C198" t="s">
        <v>8</v>
      </c>
      <c r="E198" s="3">
        <f t="shared" si="15"/>
        <v>3</v>
      </c>
      <c r="F198" s="5">
        <v>44027.625</v>
      </c>
      <c r="G198" s="19" t="str">
        <f t="shared" si="16"/>
        <v/>
      </c>
      <c r="J198" s="28">
        <f t="shared" si="12"/>
        <v>-0.44444444444444442</v>
      </c>
      <c r="K198">
        <f t="shared" si="13"/>
        <v>34</v>
      </c>
      <c r="L198" s="37">
        <f t="shared" si="14"/>
        <v>72</v>
      </c>
    </row>
    <row r="199" spans="1:12">
      <c r="A199" s="3">
        <v>9</v>
      </c>
      <c r="B199" t="s">
        <v>151</v>
      </c>
      <c r="C199" t="s">
        <v>8</v>
      </c>
      <c r="E199" s="3">
        <f t="shared" si="15"/>
        <v>4</v>
      </c>
      <c r="F199" s="5">
        <v>44028.625</v>
      </c>
      <c r="G199" s="19" t="str">
        <f t="shared" si="16"/>
        <v/>
      </c>
      <c r="J199" s="28">
        <f t="shared" si="12"/>
        <v>0.125</v>
      </c>
      <c r="K199">
        <f t="shared" si="13"/>
        <v>35</v>
      </c>
      <c r="L199" s="37">
        <f t="shared" si="14"/>
        <v>74</v>
      </c>
    </row>
    <row r="200" spans="1:12">
      <c r="A200" s="3">
        <v>6</v>
      </c>
      <c r="B200" t="s">
        <v>152</v>
      </c>
      <c r="C200" t="s">
        <v>8</v>
      </c>
      <c r="E200" s="3">
        <f t="shared" si="15"/>
        <v>5</v>
      </c>
      <c r="F200" s="5">
        <v>44029.625</v>
      </c>
      <c r="G200" s="19" t="str">
        <f t="shared" si="16"/>
        <v/>
      </c>
      <c r="J200" s="28">
        <f t="shared" si="12"/>
        <v>0</v>
      </c>
      <c r="K200">
        <f t="shared" si="13"/>
        <v>35</v>
      </c>
      <c r="L200" s="37">
        <f t="shared" si="14"/>
        <v>74</v>
      </c>
    </row>
    <row r="201" spans="1:12">
      <c r="A201" s="3">
        <v>7</v>
      </c>
      <c r="B201" t="s">
        <v>153</v>
      </c>
      <c r="C201" t="s">
        <v>8</v>
      </c>
      <c r="E201" s="3">
        <f t="shared" si="15"/>
        <v>6</v>
      </c>
      <c r="F201" s="5">
        <v>44030.625</v>
      </c>
      <c r="G201" s="19" t="str">
        <f t="shared" si="16"/>
        <v/>
      </c>
      <c r="J201" s="28" t="e">
        <f t="shared" ref="J201:J264" si="17">A201/A194-1</f>
        <v>#DIV/0!</v>
      </c>
      <c r="K201">
        <f t="shared" si="13"/>
        <v>42</v>
      </c>
      <c r="L201" s="37">
        <f t="shared" si="14"/>
        <v>79</v>
      </c>
    </row>
    <row r="202" spans="1:12">
      <c r="A202" s="3">
        <v>5</v>
      </c>
      <c r="B202" t="s">
        <v>154</v>
      </c>
      <c r="C202" t="s">
        <v>8</v>
      </c>
      <c r="E202" s="3">
        <f t="shared" si="15"/>
        <v>7</v>
      </c>
      <c r="F202" s="5">
        <v>44031.625</v>
      </c>
      <c r="G202" s="19" t="str">
        <f t="shared" si="16"/>
        <v/>
      </c>
      <c r="J202" s="28">
        <f t="shared" si="17"/>
        <v>0.25</v>
      </c>
      <c r="K202">
        <f t="shared" si="13"/>
        <v>43</v>
      </c>
      <c r="L202" s="37">
        <f t="shared" si="14"/>
        <v>81</v>
      </c>
    </row>
    <row r="203" spans="1:12" s="41" customFormat="1">
      <c r="A203" s="40">
        <v>12</v>
      </c>
      <c r="B203" s="41" t="s">
        <v>155</v>
      </c>
      <c r="C203" s="41" t="s">
        <v>8</v>
      </c>
      <c r="E203" s="40">
        <f t="shared" si="15"/>
        <v>1</v>
      </c>
      <c r="F203" s="42">
        <v>44032.625</v>
      </c>
      <c r="G203" s="43" t="str">
        <f t="shared" si="16"/>
        <v>2020-W30</v>
      </c>
      <c r="H203" s="41">
        <f>SUM(A203:A209)</f>
        <v>56</v>
      </c>
      <c r="I203" s="44">
        <f>H203/H196-1</f>
        <v>0.30232558139534893</v>
      </c>
      <c r="J203" s="44">
        <f t="shared" si="17"/>
        <v>1</v>
      </c>
      <c r="K203" s="41">
        <f t="shared" si="13"/>
        <v>49</v>
      </c>
      <c r="L203" s="54">
        <f t="shared" si="14"/>
        <v>85</v>
      </c>
    </row>
    <row r="204" spans="1:12">
      <c r="A204" s="3">
        <v>8</v>
      </c>
      <c r="B204" t="s">
        <v>156</v>
      </c>
      <c r="C204" t="s">
        <v>8</v>
      </c>
      <c r="E204" s="3">
        <f t="shared" si="15"/>
        <v>2</v>
      </c>
      <c r="F204" s="5">
        <v>44033.625</v>
      </c>
      <c r="G204" s="19" t="str">
        <f t="shared" si="16"/>
        <v/>
      </c>
      <c r="J204" s="28">
        <f t="shared" si="17"/>
        <v>0.60000000000000009</v>
      </c>
      <c r="K204">
        <f t="shared" si="13"/>
        <v>52</v>
      </c>
      <c r="L204" s="37">
        <f t="shared" si="14"/>
        <v>90</v>
      </c>
    </row>
    <row r="205" spans="1:12">
      <c r="A205" s="3">
        <v>11</v>
      </c>
      <c r="B205" t="s">
        <v>157</v>
      </c>
      <c r="C205" t="s">
        <v>8</v>
      </c>
      <c r="E205" s="3">
        <f t="shared" si="15"/>
        <v>3</v>
      </c>
      <c r="F205" s="5">
        <v>44034.625</v>
      </c>
      <c r="G205" s="19" t="str">
        <f t="shared" si="16"/>
        <v/>
      </c>
      <c r="J205" s="28">
        <f t="shared" si="17"/>
        <v>1.2000000000000002</v>
      </c>
      <c r="K205">
        <f t="shared" si="13"/>
        <v>58</v>
      </c>
      <c r="L205" s="37">
        <f t="shared" si="14"/>
        <v>92</v>
      </c>
    </row>
    <row r="206" spans="1:12">
      <c r="A206" s="3">
        <v>3</v>
      </c>
      <c r="B206" t="s">
        <v>158</v>
      </c>
      <c r="C206" t="s">
        <v>8</v>
      </c>
      <c r="E206" s="3">
        <f t="shared" si="15"/>
        <v>4</v>
      </c>
      <c r="F206" s="5">
        <v>44035.625</v>
      </c>
      <c r="G206" s="19" t="str">
        <f t="shared" si="16"/>
        <v/>
      </c>
      <c r="J206" s="28">
        <f t="shared" si="17"/>
        <v>-0.66666666666666674</v>
      </c>
      <c r="K206">
        <f t="shared" si="13"/>
        <v>52</v>
      </c>
      <c r="L206" s="37">
        <f t="shared" si="14"/>
        <v>87</v>
      </c>
    </row>
    <row r="207" spans="1:12">
      <c r="A207" s="3">
        <v>10</v>
      </c>
      <c r="B207" t="s">
        <v>159</v>
      </c>
      <c r="C207" t="s">
        <v>8</v>
      </c>
      <c r="E207" s="3">
        <f t="shared" si="15"/>
        <v>5</v>
      </c>
      <c r="F207" s="5">
        <v>44036.625</v>
      </c>
      <c r="G207" s="19" t="str">
        <f t="shared" si="16"/>
        <v/>
      </c>
      <c r="J207" s="28">
        <f t="shared" si="17"/>
        <v>0.66666666666666674</v>
      </c>
      <c r="K207">
        <f t="shared" si="13"/>
        <v>56</v>
      </c>
      <c r="L207" s="37">
        <f t="shared" si="14"/>
        <v>91</v>
      </c>
    </row>
    <row r="208" spans="1:12">
      <c r="A208" s="3">
        <v>4</v>
      </c>
      <c r="B208" t="s">
        <v>160</v>
      </c>
      <c r="C208" t="s">
        <v>8</v>
      </c>
      <c r="E208" s="3">
        <f t="shared" si="15"/>
        <v>6</v>
      </c>
      <c r="F208" s="5">
        <v>44037.625</v>
      </c>
      <c r="G208" s="19" t="str">
        <f t="shared" si="16"/>
        <v/>
      </c>
      <c r="J208" s="28">
        <f t="shared" si="17"/>
        <v>-0.4285714285714286</v>
      </c>
      <c r="K208">
        <f t="shared" si="13"/>
        <v>53</v>
      </c>
      <c r="L208" s="37">
        <f t="shared" si="14"/>
        <v>95</v>
      </c>
    </row>
    <row r="209" spans="1:12">
      <c r="A209" s="3">
        <v>8</v>
      </c>
      <c r="B209" t="s">
        <v>161</v>
      </c>
      <c r="C209" t="s">
        <v>8</v>
      </c>
      <c r="E209" s="3">
        <f t="shared" si="15"/>
        <v>7</v>
      </c>
      <c r="F209" s="5">
        <v>44038.625</v>
      </c>
      <c r="G209" s="19" t="str">
        <f t="shared" si="16"/>
        <v/>
      </c>
      <c r="J209" s="28">
        <f t="shared" si="17"/>
        <v>0.60000000000000009</v>
      </c>
      <c r="K209">
        <f t="shared" si="13"/>
        <v>56</v>
      </c>
      <c r="L209" s="37">
        <f t="shared" si="14"/>
        <v>99</v>
      </c>
    </row>
    <row r="210" spans="1:12" s="41" customFormat="1">
      <c r="A210" s="40">
        <v>12</v>
      </c>
      <c r="B210" s="41" t="s">
        <v>162</v>
      </c>
      <c r="C210" s="41" t="s">
        <v>8</v>
      </c>
      <c r="E210" s="40">
        <f t="shared" si="15"/>
        <v>1</v>
      </c>
      <c r="F210" s="42">
        <v>44039.625</v>
      </c>
      <c r="G210" s="43" t="str">
        <f t="shared" si="16"/>
        <v>2020-W31</v>
      </c>
      <c r="H210" s="41">
        <f>SUM(A210:A216)</f>
        <v>84</v>
      </c>
      <c r="I210" s="44">
        <f>H210/H203-1</f>
        <v>0.5</v>
      </c>
      <c r="J210" s="44">
        <f t="shared" si="17"/>
        <v>0</v>
      </c>
      <c r="K210" s="41">
        <f t="shared" si="13"/>
        <v>56</v>
      </c>
      <c r="L210" s="54">
        <f t="shared" si="14"/>
        <v>105</v>
      </c>
    </row>
    <row r="211" spans="1:12">
      <c r="A211" s="3">
        <v>9</v>
      </c>
      <c r="B211" t="s">
        <v>163</v>
      </c>
      <c r="C211" t="s">
        <v>8</v>
      </c>
      <c r="E211" s="3">
        <f t="shared" si="15"/>
        <v>2</v>
      </c>
      <c r="F211" s="5">
        <v>44040.625</v>
      </c>
      <c r="G211" s="19" t="str">
        <f t="shared" si="16"/>
        <v/>
      </c>
      <c r="J211" s="28">
        <f t="shared" si="17"/>
        <v>0.125</v>
      </c>
      <c r="K211">
        <f t="shared" si="13"/>
        <v>57</v>
      </c>
      <c r="L211" s="37">
        <f t="shared" si="14"/>
        <v>109</v>
      </c>
    </row>
    <row r="212" spans="1:12">
      <c r="A212" s="3">
        <v>12</v>
      </c>
      <c r="B212" t="s">
        <v>164</v>
      </c>
      <c r="C212" t="s">
        <v>8</v>
      </c>
      <c r="E212" s="3">
        <f t="shared" si="15"/>
        <v>3</v>
      </c>
      <c r="F212" s="5">
        <v>44041.625</v>
      </c>
      <c r="G212" s="19" t="str">
        <f t="shared" si="16"/>
        <v/>
      </c>
      <c r="J212" s="28">
        <f t="shared" si="17"/>
        <v>9.0909090909090828E-2</v>
      </c>
      <c r="K212">
        <f t="shared" si="13"/>
        <v>58</v>
      </c>
      <c r="L212" s="37">
        <f t="shared" si="14"/>
        <v>116</v>
      </c>
    </row>
    <row r="213" spans="1:12">
      <c r="A213" s="3">
        <v>8</v>
      </c>
      <c r="B213" t="s">
        <v>165</v>
      </c>
      <c r="C213" t="s">
        <v>8</v>
      </c>
      <c r="E213" s="3">
        <f t="shared" si="15"/>
        <v>4</v>
      </c>
      <c r="F213" s="5">
        <v>44042.625</v>
      </c>
      <c r="G213" s="19" t="str">
        <f t="shared" si="16"/>
        <v/>
      </c>
      <c r="J213" s="28">
        <f t="shared" si="17"/>
        <v>1.6666666666666665</v>
      </c>
      <c r="K213">
        <f t="shared" ref="K213:K276" si="18">SUM(A207:A213)</f>
        <v>63</v>
      </c>
      <c r="L213" s="37">
        <f t="shared" ref="L213:L276" si="19">SUM(A200:A213)</f>
        <v>115</v>
      </c>
    </row>
    <row r="214" spans="1:12">
      <c r="A214" s="3">
        <v>18</v>
      </c>
      <c r="B214" t="s">
        <v>166</v>
      </c>
      <c r="C214" t="s">
        <v>8</v>
      </c>
      <c r="E214" s="3">
        <f t="shared" si="15"/>
        <v>5</v>
      </c>
      <c r="F214" s="5">
        <v>44043.625</v>
      </c>
      <c r="G214" s="19" t="str">
        <f t="shared" si="16"/>
        <v/>
      </c>
      <c r="J214" s="28">
        <f t="shared" si="17"/>
        <v>0.8</v>
      </c>
      <c r="K214">
        <f t="shared" si="18"/>
        <v>71</v>
      </c>
      <c r="L214" s="37">
        <f t="shared" si="19"/>
        <v>127</v>
      </c>
    </row>
    <row r="215" spans="1:12">
      <c r="A215" s="3">
        <v>15</v>
      </c>
      <c r="B215" t="s">
        <v>167</v>
      </c>
      <c r="C215" t="s">
        <v>8</v>
      </c>
      <c r="E215" s="3">
        <f t="shared" si="15"/>
        <v>6</v>
      </c>
      <c r="F215" s="5">
        <v>44044.625</v>
      </c>
      <c r="G215" s="19" t="str">
        <f t="shared" si="16"/>
        <v/>
      </c>
      <c r="J215" s="28">
        <f t="shared" si="17"/>
        <v>2.75</v>
      </c>
      <c r="K215">
        <f t="shared" si="18"/>
        <v>82</v>
      </c>
      <c r="L215" s="37">
        <f t="shared" si="19"/>
        <v>135</v>
      </c>
    </row>
    <row r="216" spans="1:12">
      <c r="A216" s="3">
        <v>10</v>
      </c>
      <c r="B216" t="s">
        <v>168</v>
      </c>
      <c r="C216" t="s">
        <v>8</v>
      </c>
      <c r="E216" s="3">
        <f t="shared" si="15"/>
        <v>7</v>
      </c>
      <c r="F216" s="5">
        <v>44045.625</v>
      </c>
      <c r="G216" s="19" t="str">
        <f t="shared" si="16"/>
        <v/>
      </c>
      <c r="J216" s="28">
        <f t="shared" si="17"/>
        <v>0.25</v>
      </c>
      <c r="K216">
        <f t="shared" si="18"/>
        <v>84</v>
      </c>
      <c r="L216" s="37">
        <f t="shared" si="19"/>
        <v>140</v>
      </c>
    </row>
    <row r="217" spans="1:12" s="41" customFormat="1">
      <c r="A217" s="40">
        <v>35</v>
      </c>
      <c r="B217" s="41" t="s">
        <v>169</v>
      </c>
      <c r="C217" s="41" t="s">
        <v>8</v>
      </c>
      <c r="E217" s="40">
        <f t="shared" si="15"/>
        <v>1</v>
      </c>
      <c r="F217" s="42">
        <v>44046.625</v>
      </c>
      <c r="G217" s="43" t="str">
        <f t="shared" si="16"/>
        <v>2020-W32</v>
      </c>
      <c r="H217" s="41">
        <f>SUM(A217:A223)</f>
        <v>169</v>
      </c>
      <c r="I217" s="44">
        <f>H217/H210-1</f>
        <v>1.0119047619047619</v>
      </c>
      <c r="J217" s="44">
        <f t="shared" si="17"/>
        <v>1.9166666666666665</v>
      </c>
      <c r="K217" s="41">
        <f t="shared" si="18"/>
        <v>107</v>
      </c>
      <c r="L217" s="54">
        <f t="shared" si="19"/>
        <v>163</v>
      </c>
    </row>
    <row r="218" spans="1:12">
      <c r="A218" s="3">
        <v>22</v>
      </c>
      <c r="B218" t="s">
        <v>170</v>
      </c>
      <c r="C218" t="s">
        <v>8</v>
      </c>
      <c r="E218" s="3">
        <f t="shared" si="15"/>
        <v>2</v>
      </c>
      <c r="F218" s="5">
        <v>44047.625</v>
      </c>
      <c r="G218" s="19" t="str">
        <f t="shared" si="16"/>
        <v/>
      </c>
      <c r="J218" s="28">
        <f t="shared" si="17"/>
        <v>1.4444444444444446</v>
      </c>
      <c r="K218">
        <f t="shared" si="18"/>
        <v>120</v>
      </c>
      <c r="L218" s="37">
        <f t="shared" si="19"/>
        <v>177</v>
      </c>
    </row>
    <row r="219" spans="1:12">
      <c r="A219" s="3">
        <v>29</v>
      </c>
      <c r="B219" t="s">
        <v>171</v>
      </c>
      <c r="C219" t="s">
        <v>8</v>
      </c>
      <c r="E219" s="3">
        <f t="shared" si="15"/>
        <v>3</v>
      </c>
      <c r="F219" s="5">
        <v>44048.625</v>
      </c>
      <c r="G219" s="19" t="str">
        <f t="shared" si="16"/>
        <v/>
      </c>
      <c r="J219" s="28">
        <f t="shared" si="17"/>
        <v>1.4166666666666665</v>
      </c>
      <c r="K219">
        <f t="shared" si="18"/>
        <v>137</v>
      </c>
      <c r="L219" s="37">
        <f t="shared" si="19"/>
        <v>195</v>
      </c>
    </row>
    <row r="220" spans="1:12">
      <c r="A220" s="3">
        <v>22</v>
      </c>
      <c r="B220" t="s">
        <v>172</v>
      </c>
      <c r="C220" t="s">
        <v>8</v>
      </c>
      <c r="E220" s="3">
        <f t="shared" si="15"/>
        <v>4</v>
      </c>
      <c r="F220" s="5">
        <v>44049.625</v>
      </c>
      <c r="G220" s="19" t="str">
        <f t="shared" si="16"/>
        <v/>
      </c>
      <c r="J220" s="28">
        <f t="shared" si="17"/>
        <v>1.75</v>
      </c>
      <c r="K220">
        <f t="shared" si="18"/>
        <v>151</v>
      </c>
      <c r="L220" s="37">
        <f t="shared" si="19"/>
        <v>214</v>
      </c>
    </row>
    <row r="221" spans="1:12">
      <c r="A221" s="3">
        <v>17</v>
      </c>
      <c r="B221" t="s">
        <v>173</v>
      </c>
      <c r="C221" t="s">
        <v>8</v>
      </c>
      <c r="E221" s="3">
        <f t="shared" si="15"/>
        <v>5</v>
      </c>
      <c r="F221" s="5">
        <v>44050.625</v>
      </c>
      <c r="G221" s="19" t="str">
        <f t="shared" si="16"/>
        <v/>
      </c>
      <c r="J221" s="28">
        <f t="shared" si="17"/>
        <v>-5.555555555555558E-2</v>
      </c>
      <c r="K221">
        <f t="shared" si="18"/>
        <v>150</v>
      </c>
      <c r="L221" s="37">
        <f t="shared" si="19"/>
        <v>221</v>
      </c>
    </row>
    <row r="222" spans="1:12">
      <c r="A222" s="3">
        <v>9</v>
      </c>
      <c r="B222" t="s">
        <v>174</v>
      </c>
      <c r="C222" t="s">
        <v>8</v>
      </c>
      <c r="E222" s="3">
        <f t="shared" si="15"/>
        <v>6</v>
      </c>
      <c r="F222" s="5">
        <v>44051.625</v>
      </c>
      <c r="G222" s="19" t="str">
        <f t="shared" si="16"/>
        <v/>
      </c>
      <c r="J222" s="28">
        <f t="shared" si="17"/>
        <v>-0.4</v>
      </c>
      <c r="K222">
        <f t="shared" si="18"/>
        <v>144</v>
      </c>
      <c r="L222" s="37">
        <f t="shared" si="19"/>
        <v>226</v>
      </c>
    </row>
    <row r="223" spans="1:12">
      <c r="A223" s="3">
        <v>35</v>
      </c>
      <c r="B223" t="s">
        <v>175</v>
      </c>
      <c r="C223" t="s">
        <v>8</v>
      </c>
      <c r="E223" s="3">
        <f t="shared" si="15"/>
        <v>7</v>
      </c>
      <c r="F223" s="5">
        <v>44052.625</v>
      </c>
      <c r="G223" s="19" t="str">
        <f t="shared" si="16"/>
        <v/>
      </c>
      <c r="J223" s="28">
        <f t="shared" si="17"/>
        <v>2.5</v>
      </c>
      <c r="K223">
        <f t="shared" si="18"/>
        <v>169</v>
      </c>
      <c r="L223" s="37">
        <f t="shared" si="19"/>
        <v>253</v>
      </c>
    </row>
    <row r="224" spans="1:12" s="41" customFormat="1">
      <c r="A224" s="40">
        <v>15</v>
      </c>
      <c r="B224" s="41" t="s">
        <v>176</v>
      </c>
      <c r="C224" s="41" t="s">
        <v>8</v>
      </c>
      <c r="E224" s="40">
        <f t="shared" si="15"/>
        <v>1</v>
      </c>
      <c r="F224" s="42">
        <v>44053.625</v>
      </c>
      <c r="G224" s="43" t="str">
        <f t="shared" si="16"/>
        <v>2020-W33</v>
      </c>
      <c r="H224" s="41">
        <f>SUM(A224:A230)</f>
        <v>175</v>
      </c>
      <c r="I224" s="44">
        <f>H224/H217-1</f>
        <v>3.5502958579881616E-2</v>
      </c>
      <c r="J224" s="44">
        <f t="shared" si="17"/>
        <v>-0.5714285714285714</v>
      </c>
      <c r="K224" s="41">
        <f t="shared" si="18"/>
        <v>149</v>
      </c>
      <c r="L224" s="54">
        <f t="shared" si="19"/>
        <v>256</v>
      </c>
    </row>
    <row r="225" spans="1:12">
      <c r="A225" s="3">
        <v>28</v>
      </c>
      <c r="B225" t="s">
        <v>177</v>
      </c>
      <c r="C225" t="s">
        <v>8</v>
      </c>
      <c r="E225" s="3">
        <f t="shared" si="15"/>
        <v>2</v>
      </c>
      <c r="F225" s="5">
        <v>44054.625</v>
      </c>
      <c r="G225" s="19" t="str">
        <f t="shared" si="16"/>
        <v/>
      </c>
      <c r="J225" s="28">
        <f t="shared" si="17"/>
        <v>0.27272727272727271</v>
      </c>
      <c r="K225">
        <f t="shared" si="18"/>
        <v>155</v>
      </c>
      <c r="L225" s="37">
        <f t="shared" si="19"/>
        <v>275</v>
      </c>
    </row>
    <row r="226" spans="1:12">
      <c r="A226" s="3">
        <v>27</v>
      </c>
      <c r="B226" t="s">
        <v>178</v>
      </c>
      <c r="C226" t="s">
        <v>8</v>
      </c>
      <c r="E226" s="3">
        <f t="shared" si="15"/>
        <v>3</v>
      </c>
      <c r="F226" s="5">
        <v>44055.625</v>
      </c>
      <c r="G226" s="19" t="str">
        <f t="shared" si="16"/>
        <v/>
      </c>
      <c r="J226" s="28">
        <f t="shared" si="17"/>
        <v>-6.8965517241379337E-2</v>
      </c>
      <c r="K226">
        <f t="shared" si="18"/>
        <v>153</v>
      </c>
      <c r="L226" s="37">
        <f t="shared" si="19"/>
        <v>290</v>
      </c>
    </row>
    <row r="227" spans="1:12">
      <c r="A227" s="3">
        <v>21</v>
      </c>
      <c r="B227" t="s">
        <v>179</v>
      </c>
      <c r="C227" t="s">
        <v>8</v>
      </c>
      <c r="E227" s="3">
        <f t="shared" si="15"/>
        <v>4</v>
      </c>
      <c r="F227" s="5">
        <v>44056.625</v>
      </c>
      <c r="G227" s="19" t="str">
        <f t="shared" si="16"/>
        <v/>
      </c>
      <c r="J227" s="28">
        <f t="shared" si="17"/>
        <v>-4.5454545454545414E-2</v>
      </c>
      <c r="K227">
        <f t="shared" si="18"/>
        <v>152</v>
      </c>
      <c r="L227" s="37">
        <f t="shared" si="19"/>
        <v>303</v>
      </c>
    </row>
    <row r="228" spans="1:12">
      <c r="A228" s="3">
        <v>27</v>
      </c>
      <c r="B228" t="s">
        <v>180</v>
      </c>
      <c r="C228" t="s">
        <v>8</v>
      </c>
      <c r="E228" s="3">
        <f t="shared" si="15"/>
        <v>5</v>
      </c>
      <c r="F228" s="5">
        <v>44057.625</v>
      </c>
      <c r="G228" s="19" t="str">
        <f t="shared" si="16"/>
        <v/>
      </c>
      <c r="J228" s="28">
        <f t="shared" si="17"/>
        <v>0.58823529411764697</v>
      </c>
      <c r="K228">
        <f t="shared" si="18"/>
        <v>162</v>
      </c>
      <c r="L228" s="37">
        <f t="shared" si="19"/>
        <v>312</v>
      </c>
    </row>
    <row r="229" spans="1:12">
      <c r="A229" s="3">
        <v>14</v>
      </c>
      <c r="B229" t="s">
        <v>181</v>
      </c>
      <c r="C229" t="s">
        <v>8</v>
      </c>
      <c r="E229" s="3">
        <f t="shared" si="15"/>
        <v>6</v>
      </c>
      <c r="F229" s="5">
        <v>44058.625</v>
      </c>
      <c r="G229" s="19" t="str">
        <f t="shared" si="16"/>
        <v/>
      </c>
      <c r="J229" s="28">
        <f t="shared" si="17"/>
        <v>0.55555555555555558</v>
      </c>
      <c r="K229">
        <f t="shared" si="18"/>
        <v>167</v>
      </c>
      <c r="L229" s="37">
        <f t="shared" si="19"/>
        <v>311</v>
      </c>
    </row>
    <row r="230" spans="1:12">
      <c r="A230" s="3">
        <v>43</v>
      </c>
      <c r="B230" t="s">
        <v>182</v>
      </c>
      <c r="C230" t="s">
        <v>8</v>
      </c>
      <c r="E230" s="3">
        <f t="shared" si="15"/>
        <v>7</v>
      </c>
      <c r="F230" s="5">
        <v>44059.625</v>
      </c>
      <c r="G230" s="19" t="str">
        <f t="shared" si="16"/>
        <v/>
      </c>
      <c r="J230" s="28">
        <f t="shared" si="17"/>
        <v>0.22857142857142865</v>
      </c>
      <c r="K230">
        <f t="shared" si="18"/>
        <v>175</v>
      </c>
      <c r="L230" s="37">
        <f t="shared" si="19"/>
        <v>344</v>
      </c>
    </row>
    <row r="231" spans="1:12" s="41" customFormat="1">
      <c r="A231" s="40">
        <v>27</v>
      </c>
      <c r="B231" s="41" t="s">
        <v>183</v>
      </c>
      <c r="C231" s="41" t="s">
        <v>8</v>
      </c>
      <c r="E231" s="40">
        <f t="shared" si="15"/>
        <v>1</v>
      </c>
      <c r="F231" s="42">
        <v>44060.625</v>
      </c>
      <c r="G231" s="43" t="str">
        <f t="shared" si="16"/>
        <v>2020-W34</v>
      </c>
      <c r="H231" s="41">
        <f>SUM(A231:A237)</f>
        <v>192</v>
      </c>
      <c r="I231" s="44">
        <f>H231/H224-1</f>
        <v>9.7142857142857197E-2</v>
      </c>
      <c r="J231" s="44">
        <f t="shared" si="17"/>
        <v>0.8</v>
      </c>
      <c r="K231" s="41">
        <f t="shared" si="18"/>
        <v>187</v>
      </c>
      <c r="L231" s="54">
        <f t="shared" si="19"/>
        <v>336</v>
      </c>
    </row>
    <row r="232" spans="1:12">
      <c r="A232" s="3">
        <v>39</v>
      </c>
      <c r="B232" t="s">
        <v>184</v>
      </c>
      <c r="C232" t="s">
        <v>8</v>
      </c>
      <c r="E232" s="3">
        <f t="shared" si="15"/>
        <v>2</v>
      </c>
      <c r="F232" s="5">
        <v>44061.625</v>
      </c>
      <c r="G232" s="19" t="str">
        <f t="shared" si="16"/>
        <v/>
      </c>
      <c r="J232" s="28">
        <f t="shared" si="17"/>
        <v>0.39285714285714279</v>
      </c>
      <c r="K232">
        <f t="shared" si="18"/>
        <v>198</v>
      </c>
      <c r="L232" s="37">
        <f t="shared" si="19"/>
        <v>353</v>
      </c>
    </row>
    <row r="233" spans="1:12">
      <c r="A233" s="3">
        <v>47</v>
      </c>
      <c r="B233" t="s">
        <v>185</v>
      </c>
      <c r="C233" t="s">
        <v>8</v>
      </c>
      <c r="E233" s="3">
        <f t="shared" si="15"/>
        <v>3</v>
      </c>
      <c r="F233" s="5">
        <v>44062.625</v>
      </c>
      <c r="G233" s="19" t="str">
        <f t="shared" si="16"/>
        <v/>
      </c>
      <c r="J233" s="28">
        <f t="shared" si="17"/>
        <v>0.7407407407407407</v>
      </c>
      <c r="K233">
        <f t="shared" si="18"/>
        <v>218</v>
      </c>
      <c r="L233" s="37">
        <f t="shared" si="19"/>
        <v>371</v>
      </c>
    </row>
    <row r="234" spans="1:12">
      <c r="A234" s="3">
        <v>27</v>
      </c>
      <c r="B234" t="s">
        <v>186</v>
      </c>
      <c r="C234" t="s">
        <v>8</v>
      </c>
      <c r="E234" s="3">
        <f t="shared" si="15"/>
        <v>4</v>
      </c>
      <c r="F234" s="5">
        <v>44063.625</v>
      </c>
      <c r="G234" s="19" t="str">
        <f t="shared" si="16"/>
        <v/>
      </c>
      <c r="J234" s="28">
        <f t="shared" si="17"/>
        <v>0.28571428571428581</v>
      </c>
      <c r="K234">
        <f t="shared" si="18"/>
        <v>224</v>
      </c>
      <c r="L234" s="37">
        <f t="shared" si="19"/>
        <v>376</v>
      </c>
    </row>
    <row r="235" spans="1:12">
      <c r="A235" s="3">
        <v>25</v>
      </c>
      <c r="B235" t="s">
        <v>187</v>
      </c>
      <c r="C235" t="s">
        <v>8</v>
      </c>
      <c r="E235" s="3">
        <f t="shared" si="15"/>
        <v>5</v>
      </c>
      <c r="F235" s="5">
        <v>44064.625</v>
      </c>
      <c r="G235" s="19" t="str">
        <f t="shared" si="16"/>
        <v/>
      </c>
      <c r="J235" s="28">
        <f t="shared" si="17"/>
        <v>-7.407407407407407E-2</v>
      </c>
      <c r="K235">
        <f t="shared" si="18"/>
        <v>222</v>
      </c>
      <c r="L235" s="37">
        <f t="shared" si="19"/>
        <v>384</v>
      </c>
    </row>
    <row r="236" spans="1:12">
      <c r="A236" s="3">
        <v>16</v>
      </c>
      <c r="B236" t="s">
        <v>188</v>
      </c>
      <c r="C236" t="s">
        <v>8</v>
      </c>
      <c r="E236" s="3">
        <f t="shared" si="15"/>
        <v>6</v>
      </c>
      <c r="F236" s="5">
        <v>44065.625</v>
      </c>
      <c r="G236" s="19" t="str">
        <f t="shared" si="16"/>
        <v/>
      </c>
      <c r="J236" s="28">
        <f t="shared" si="17"/>
        <v>0.14285714285714279</v>
      </c>
      <c r="K236">
        <f t="shared" si="18"/>
        <v>224</v>
      </c>
      <c r="L236" s="37">
        <f t="shared" si="19"/>
        <v>391</v>
      </c>
    </row>
    <row r="237" spans="1:12">
      <c r="A237" s="3">
        <v>11</v>
      </c>
      <c r="B237" t="s">
        <v>189</v>
      </c>
      <c r="C237" t="s">
        <v>8</v>
      </c>
      <c r="E237" s="3">
        <f t="shared" si="15"/>
        <v>7</v>
      </c>
      <c r="F237" s="5">
        <v>44066.625</v>
      </c>
      <c r="G237" s="19" t="str">
        <f t="shared" si="16"/>
        <v/>
      </c>
      <c r="J237" s="28">
        <f t="shared" si="17"/>
        <v>-0.7441860465116279</v>
      </c>
      <c r="K237">
        <f t="shared" si="18"/>
        <v>192</v>
      </c>
      <c r="L237" s="37">
        <f t="shared" si="19"/>
        <v>367</v>
      </c>
    </row>
    <row r="238" spans="1:12">
      <c r="A238" s="3">
        <v>17</v>
      </c>
      <c r="B238" t="s">
        <v>190</v>
      </c>
      <c r="C238" t="s">
        <v>8</v>
      </c>
      <c r="E238" s="3">
        <f t="shared" si="15"/>
        <v>1</v>
      </c>
      <c r="F238" s="5">
        <v>44067.625</v>
      </c>
      <c r="G238" s="19" t="str">
        <f t="shared" si="16"/>
        <v>2020-W35</v>
      </c>
      <c r="H238">
        <f>SUM(A238:A244)</f>
        <v>156</v>
      </c>
      <c r="I238" s="28">
        <f>H238/H231-1</f>
        <v>-0.1875</v>
      </c>
      <c r="J238" s="28">
        <f t="shared" si="17"/>
        <v>-0.37037037037037035</v>
      </c>
      <c r="K238">
        <f t="shared" si="18"/>
        <v>182</v>
      </c>
      <c r="L238" s="37">
        <f t="shared" si="19"/>
        <v>369</v>
      </c>
    </row>
    <row r="239" spans="1:12">
      <c r="A239" s="3">
        <v>15</v>
      </c>
      <c r="B239" t="s">
        <v>191</v>
      </c>
      <c r="C239" t="s">
        <v>8</v>
      </c>
      <c r="E239" s="3">
        <f t="shared" si="15"/>
        <v>2</v>
      </c>
      <c r="F239" s="5">
        <v>44068.625</v>
      </c>
      <c r="G239" s="19" t="str">
        <f t="shared" si="16"/>
        <v/>
      </c>
      <c r="J239" s="28">
        <f t="shared" si="17"/>
        <v>-0.61538461538461542</v>
      </c>
      <c r="K239">
        <f t="shared" si="18"/>
        <v>158</v>
      </c>
      <c r="L239" s="37">
        <f t="shared" si="19"/>
        <v>356</v>
      </c>
    </row>
    <row r="240" spans="1:12">
      <c r="A240" s="3">
        <v>20</v>
      </c>
      <c r="B240" t="s">
        <v>192</v>
      </c>
      <c r="C240" t="s">
        <v>8</v>
      </c>
      <c r="E240" s="3">
        <f t="shared" si="15"/>
        <v>3</v>
      </c>
      <c r="F240" s="5">
        <v>44069.625</v>
      </c>
      <c r="G240" s="19" t="str">
        <f t="shared" si="16"/>
        <v/>
      </c>
      <c r="J240" s="28">
        <f t="shared" si="17"/>
        <v>-0.57446808510638303</v>
      </c>
      <c r="K240">
        <f t="shared" si="18"/>
        <v>131</v>
      </c>
      <c r="L240" s="37">
        <f t="shared" si="19"/>
        <v>349</v>
      </c>
    </row>
    <row r="241" spans="1:12">
      <c r="A241" s="3">
        <v>32</v>
      </c>
      <c r="B241" t="s">
        <v>193</v>
      </c>
      <c r="C241" t="s">
        <v>8</v>
      </c>
      <c r="E241" s="3">
        <f t="shared" si="15"/>
        <v>4</v>
      </c>
      <c r="F241" s="5">
        <v>44070.625</v>
      </c>
      <c r="G241" s="19" t="str">
        <f t="shared" si="16"/>
        <v/>
      </c>
      <c r="J241" s="28">
        <f t="shared" si="17"/>
        <v>0.18518518518518512</v>
      </c>
      <c r="K241">
        <f t="shared" si="18"/>
        <v>136</v>
      </c>
      <c r="L241" s="37">
        <f t="shared" si="19"/>
        <v>360</v>
      </c>
    </row>
    <row r="242" spans="1:12">
      <c r="A242" s="3">
        <v>35</v>
      </c>
      <c r="B242" t="s">
        <v>194</v>
      </c>
      <c r="C242" t="s">
        <v>8</v>
      </c>
      <c r="E242" s="3">
        <f t="shared" si="15"/>
        <v>5</v>
      </c>
      <c r="F242" s="5">
        <v>44071.625</v>
      </c>
      <c r="G242" s="19" t="str">
        <f t="shared" si="16"/>
        <v/>
      </c>
      <c r="J242" s="28">
        <f t="shared" si="17"/>
        <v>0.39999999999999991</v>
      </c>
      <c r="K242">
        <f t="shared" si="18"/>
        <v>146</v>
      </c>
      <c r="L242" s="37">
        <f t="shared" si="19"/>
        <v>368</v>
      </c>
    </row>
    <row r="243" spans="1:12">
      <c r="A243" s="3">
        <v>19</v>
      </c>
      <c r="B243" t="s">
        <v>195</v>
      </c>
      <c r="C243" t="s">
        <v>8</v>
      </c>
      <c r="E243" s="3">
        <f t="shared" si="15"/>
        <v>6</v>
      </c>
      <c r="F243" s="5">
        <v>44072.625</v>
      </c>
      <c r="G243" s="19" t="str">
        <f t="shared" si="16"/>
        <v/>
      </c>
      <c r="J243" s="28">
        <f t="shared" si="17"/>
        <v>0.1875</v>
      </c>
      <c r="K243">
        <f t="shared" si="18"/>
        <v>149</v>
      </c>
      <c r="L243" s="37">
        <f t="shared" si="19"/>
        <v>373</v>
      </c>
    </row>
    <row r="244" spans="1:12">
      <c r="A244" s="3">
        <v>18</v>
      </c>
      <c r="B244" t="s">
        <v>196</v>
      </c>
      <c r="C244" t="s">
        <v>8</v>
      </c>
      <c r="E244" s="3">
        <f t="shared" si="15"/>
        <v>7</v>
      </c>
      <c r="F244" s="5">
        <v>44073.625</v>
      </c>
      <c r="G244" s="19" t="str">
        <f t="shared" si="16"/>
        <v/>
      </c>
      <c r="J244" s="28">
        <f t="shared" si="17"/>
        <v>0.63636363636363646</v>
      </c>
      <c r="K244">
        <f t="shared" si="18"/>
        <v>156</v>
      </c>
      <c r="L244" s="37">
        <f t="shared" si="19"/>
        <v>348</v>
      </c>
    </row>
    <row r="245" spans="1:12" s="41" customFormat="1">
      <c r="A245" s="40">
        <v>48</v>
      </c>
      <c r="B245" s="41" t="s">
        <v>197</v>
      </c>
      <c r="C245" s="41" t="s">
        <v>8</v>
      </c>
      <c r="E245" s="40">
        <f t="shared" si="15"/>
        <v>1</v>
      </c>
      <c r="F245" s="42">
        <v>44074.625</v>
      </c>
      <c r="G245" s="43" t="str">
        <f t="shared" si="16"/>
        <v>2020-W36</v>
      </c>
      <c r="H245" s="41">
        <f>SUM(A245:A251)</f>
        <v>236</v>
      </c>
      <c r="I245" s="44">
        <f>H245/H238-1</f>
        <v>0.51282051282051277</v>
      </c>
      <c r="J245" s="44">
        <f t="shared" si="17"/>
        <v>1.8235294117647061</v>
      </c>
      <c r="K245" s="41">
        <f t="shared" si="18"/>
        <v>187</v>
      </c>
      <c r="L245" s="54">
        <f t="shared" si="19"/>
        <v>369</v>
      </c>
    </row>
    <row r="246" spans="1:12">
      <c r="A246" s="3">
        <v>29</v>
      </c>
      <c r="B246" t="s">
        <v>198</v>
      </c>
      <c r="C246" t="s">
        <v>8</v>
      </c>
      <c r="E246" s="3">
        <f t="shared" si="15"/>
        <v>2</v>
      </c>
      <c r="F246" s="5">
        <v>44075.625</v>
      </c>
      <c r="G246" s="19" t="str">
        <f t="shared" si="16"/>
        <v/>
      </c>
      <c r="J246" s="28">
        <f t="shared" si="17"/>
        <v>0.93333333333333335</v>
      </c>
      <c r="K246">
        <f t="shared" si="18"/>
        <v>201</v>
      </c>
      <c r="L246" s="37">
        <f t="shared" si="19"/>
        <v>359</v>
      </c>
    </row>
    <row r="247" spans="1:12">
      <c r="A247" s="3">
        <v>26</v>
      </c>
      <c r="B247" t="s">
        <v>199</v>
      </c>
      <c r="C247" t="s">
        <v>8</v>
      </c>
      <c r="E247" s="3">
        <f t="shared" si="15"/>
        <v>3</v>
      </c>
      <c r="F247" s="5">
        <v>44076.625</v>
      </c>
      <c r="G247" s="19" t="str">
        <f t="shared" si="16"/>
        <v/>
      </c>
      <c r="J247" s="28">
        <f t="shared" si="17"/>
        <v>0.30000000000000004</v>
      </c>
      <c r="K247">
        <f t="shared" si="18"/>
        <v>207</v>
      </c>
      <c r="L247" s="37">
        <f t="shared" si="19"/>
        <v>338</v>
      </c>
    </row>
    <row r="248" spans="1:12">
      <c r="A248" s="3">
        <v>36</v>
      </c>
      <c r="B248" t="s">
        <v>200</v>
      </c>
      <c r="C248" t="s">
        <v>8</v>
      </c>
      <c r="E248" s="3">
        <f t="shared" si="15"/>
        <v>4</v>
      </c>
      <c r="F248" s="5">
        <v>44077.625</v>
      </c>
      <c r="G248" s="19" t="str">
        <f t="shared" si="16"/>
        <v/>
      </c>
      <c r="J248" s="28">
        <f t="shared" si="17"/>
        <v>0.125</v>
      </c>
      <c r="K248">
        <f t="shared" si="18"/>
        <v>211</v>
      </c>
      <c r="L248" s="37">
        <f t="shared" si="19"/>
        <v>347</v>
      </c>
    </row>
    <row r="249" spans="1:12">
      <c r="A249" s="3">
        <v>42</v>
      </c>
      <c r="B249" t="s">
        <v>201</v>
      </c>
      <c r="C249" t="s">
        <v>8</v>
      </c>
      <c r="E249" s="3">
        <f t="shared" si="15"/>
        <v>5</v>
      </c>
      <c r="F249" s="5">
        <v>44078.625</v>
      </c>
      <c r="G249" s="19" t="str">
        <f t="shared" si="16"/>
        <v/>
      </c>
      <c r="J249" s="28">
        <f t="shared" si="17"/>
        <v>0.19999999999999996</v>
      </c>
      <c r="K249">
        <f t="shared" si="18"/>
        <v>218</v>
      </c>
      <c r="L249" s="37">
        <f t="shared" si="19"/>
        <v>364</v>
      </c>
    </row>
    <row r="250" spans="1:12">
      <c r="A250" s="3">
        <v>22</v>
      </c>
      <c r="B250" t="s">
        <v>202</v>
      </c>
      <c r="C250" t="s">
        <v>8</v>
      </c>
      <c r="E250" s="3">
        <f t="shared" si="15"/>
        <v>6</v>
      </c>
      <c r="F250" s="5">
        <v>44079.625</v>
      </c>
      <c r="G250" s="19" t="str">
        <f t="shared" si="16"/>
        <v/>
      </c>
      <c r="J250" s="28">
        <f t="shared" si="17"/>
        <v>0.15789473684210531</v>
      </c>
      <c r="K250">
        <f t="shared" si="18"/>
        <v>221</v>
      </c>
      <c r="L250" s="37">
        <f t="shared" si="19"/>
        <v>370</v>
      </c>
    </row>
    <row r="251" spans="1:12">
      <c r="A251" s="3">
        <v>33</v>
      </c>
      <c r="B251" t="s">
        <v>203</v>
      </c>
      <c r="C251" t="s">
        <v>8</v>
      </c>
      <c r="E251" s="3">
        <f t="shared" si="15"/>
        <v>7</v>
      </c>
      <c r="F251" s="5">
        <v>44080.625</v>
      </c>
      <c r="G251" s="19" t="str">
        <f t="shared" si="16"/>
        <v/>
      </c>
      <c r="J251" s="28">
        <f t="shared" si="17"/>
        <v>0.83333333333333326</v>
      </c>
      <c r="K251">
        <f t="shared" si="18"/>
        <v>236</v>
      </c>
      <c r="L251" s="37">
        <f t="shared" si="19"/>
        <v>392</v>
      </c>
    </row>
    <row r="252" spans="1:12" s="41" customFormat="1">
      <c r="A252" s="40">
        <v>45</v>
      </c>
      <c r="B252" s="41" t="s">
        <v>204</v>
      </c>
      <c r="C252" s="41" t="s">
        <v>8</v>
      </c>
      <c r="E252" s="40">
        <f t="shared" si="15"/>
        <v>1</v>
      </c>
      <c r="F252" s="42">
        <v>44081.625</v>
      </c>
      <c r="G252" s="43" t="str">
        <f t="shared" si="16"/>
        <v>2020-W37</v>
      </c>
      <c r="H252" s="41">
        <f>SUM(A252:A258)</f>
        <v>354</v>
      </c>
      <c r="I252" s="44">
        <f>H252/H245-1</f>
        <v>0.5</v>
      </c>
      <c r="J252" s="44">
        <f t="shared" si="17"/>
        <v>-6.25E-2</v>
      </c>
      <c r="K252" s="41">
        <f t="shared" si="18"/>
        <v>233</v>
      </c>
      <c r="L252" s="54">
        <f t="shared" si="19"/>
        <v>420</v>
      </c>
    </row>
    <row r="253" spans="1:12">
      <c r="A253" s="3">
        <v>57</v>
      </c>
      <c r="B253" t="s">
        <v>205</v>
      </c>
      <c r="C253" t="s">
        <v>8</v>
      </c>
      <c r="E253" s="3">
        <f t="shared" si="15"/>
        <v>2</v>
      </c>
      <c r="F253" s="5">
        <v>44082.625</v>
      </c>
      <c r="G253" s="19" t="str">
        <f t="shared" si="16"/>
        <v/>
      </c>
      <c r="J253" s="28">
        <f t="shared" si="17"/>
        <v>0.96551724137931028</v>
      </c>
      <c r="K253">
        <f t="shared" si="18"/>
        <v>261</v>
      </c>
      <c r="L253" s="37">
        <f t="shared" si="19"/>
        <v>462</v>
      </c>
    </row>
    <row r="254" spans="1:12">
      <c r="A254" s="3">
        <v>55</v>
      </c>
      <c r="B254" t="s">
        <v>206</v>
      </c>
      <c r="C254" t="s">
        <v>8</v>
      </c>
      <c r="E254" s="3">
        <f t="shared" si="15"/>
        <v>3</v>
      </c>
      <c r="F254" s="5">
        <v>44083.625</v>
      </c>
      <c r="G254" s="19" t="str">
        <f t="shared" si="16"/>
        <v/>
      </c>
      <c r="J254" s="28">
        <f t="shared" si="17"/>
        <v>1.1153846153846154</v>
      </c>
      <c r="K254">
        <f t="shared" si="18"/>
        <v>290</v>
      </c>
      <c r="L254" s="37">
        <f t="shared" si="19"/>
        <v>497</v>
      </c>
    </row>
    <row r="255" spans="1:12">
      <c r="A255" s="3">
        <v>54</v>
      </c>
      <c r="B255" t="s">
        <v>207</v>
      </c>
      <c r="C255" t="s">
        <v>8</v>
      </c>
      <c r="E255" s="3">
        <f t="shared" si="15"/>
        <v>4</v>
      </c>
      <c r="F255" s="5">
        <v>44084.625</v>
      </c>
      <c r="G255" s="19" t="str">
        <f t="shared" si="16"/>
        <v/>
      </c>
      <c r="J255" s="28">
        <f t="shared" si="17"/>
        <v>0.5</v>
      </c>
      <c r="K255">
        <f t="shared" si="18"/>
        <v>308</v>
      </c>
      <c r="L255" s="37">
        <f t="shared" si="19"/>
        <v>519</v>
      </c>
    </row>
    <row r="256" spans="1:12">
      <c r="A256" s="3">
        <v>58</v>
      </c>
      <c r="B256" t="s">
        <v>208</v>
      </c>
      <c r="C256" t="s">
        <v>8</v>
      </c>
      <c r="E256" s="3">
        <f t="shared" si="15"/>
        <v>5</v>
      </c>
      <c r="F256" s="5">
        <v>44085.625</v>
      </c>
      <c r="G256" s="19" t="str">
        <f t="shared" si="16"/>
        <v/>
      </c>
      <c r="J256" s="28">
        <f t="shared" si="17"/>
        <v>0.38095238095238093</v>
      </c>
      <c r="K256">
        <f t="shared" si="18"/>
        <v>324</v>
      </c>
      <c r="L256" s="37">
        <f t="shared" si="19"/>
        <v>542</v>
      </c>
    </row>
    <row r="257" spans="1:12">
      <c r="A257" s="3">
        <v>40</v>
      </c>
      <c r="B257" t="s">
        <v>209</v>
      </c>
      <c r="C257" t="s">
        <v>8</v>
      </c>
      <c r="E257" s="3">
        <f t="shared" si="15"/>
        <v>6</v>
      </c>
      <c r="F257" s="5">
        <v>44086.625</v>
      </c>
      <c r="G257" s="19" t="str">
        <f t="shared" si="16"/>
        <v/>
      </c>
      <c r="J257" s="28">
        <f t="shared" si="17"/>
        <v>0.81818181818181812</v>
      </c>
      <c r="K257">
        <f t="shared" si="18"/>
        <v>342</v>
      </c>
      <c r="L257" s="37">
        <f t="shared" si="19"/>
        <v>563</v>
      </c>
    </row>
    <row r="258" spans="1:12">
      <c r="A258" s="3">
        <v>45</v>
      </c>
      <c r="B258" t="s">
        <v>210</v>
      </c>
      <c r="C258" t="s">
        <v>8</v>
      </c>
      <c r="E258" s="3">
        <f t="shared" si="15"/>
        <v>7</v>
      </c>
      <c r="F258" s="5">
        <v>44087.625</v>
      </c>
      <c r="G258" s="19" t="str">
        <f t="shared" si="16"/>
        <v/>
      </c>
      <c r="J258" s="28">
        <f t="shared" si="17"/>
        <v>0.36363636363636354</v>
      </c>
      <c r="K258">
        <f t="shared" si="18"/>
        <v>354</v>
      </c>
      <c r="L258" s="37">
        <f t="shared" si="19"/>
        <v>590</v>
      </c>
    </row>
    <row r="259" spans="1:12" s="41" customFormat="1">
      <c r="A259" s="40">
        <v>59</v>
      </c>
      <c r="B259" s="41" t="s">
        <v>211</v>
      </c>
      <c r="C259" s="41" t="s">
        <v>8</v>
      </c>
      <c r="E259" s="40">
        <f t="shared" ref="E259:E324" si="20">WEEKDAY(F259,2)</f>
        <v>1</v>
      </c>
      <c r="F259" s="42">
        <v>44088.625</v>
      </c>
      <c r="G259" s="43" t="str">
        <f t="shared" ref="G259:G322" si="21">IF(WEEKDAY(F259,2)=1,YEAR(F259)&amp;"-W"&amp;TEXT(WEEKNUM(F259,14),"00"),"")</f>
        <v>2020-W38</v>
      </c>
      <c r="H259" s="41">
        <f>SUM(A259:A265)</f>
        <v>470</v>
      </c>
      <c r="I259" s="44">
        <f>H259/H252-1</f>
        <v>0.32768361581920913</v>
      </c>
      <c r="J259" s="44">
        <f t="shared" si="17"/>
        <v>0.31111111111111112</v>
      </c>
      <c r="K259" s="41">
        <f t="shared" si="18"/>
        <v>368</v>
      </c>
      <c r="L259" s="54">
        <f t="shared" si="19"/>
        <v>601</v>
      </c>
    </row>
    <row r="260" spans="1:12">
      <c r="A260" s="3">
        <v>53</v>
      </c>
      <c r="B260" t="s">
        <v>212</v>
      </c>
      <c r="C260" t="s">
        <v>8</v>
      </c>
      <c r="E260" s="3">
        <f t="shared" si="20"/>
        <v>2</v>
      </c>
      <c r="F260" s="5">
        <v>44089.625</v>
      </c>
      <c r="G260" s="19" t="str">
        <f t="shared" si="21"/>
        <v/>
      </c>
      <c r="J260" s="28">
        <f t="shared" si="17"/>
        <v>-7.0175438596491224E-2</v>
      </c>
      <c r="K260">
        <f t="shared" si="18"/>
        <v>364</v>
      </c>
      <c r="L260" s="37">
        <f t="shared" si="19"/>
        <v>625</v>
      </c>
    </row>
    <row r="261" spans="1:12">
      <c r="A261" s="3">
        <v>58</v>
      </c>
      <c r="B261" t="s">
        <v>213</v>
      </c>
      <c r="C261" t="s">
        <v>8</v>
      </c>
      <c r="E261" s="3">
        <f t="shared" si="20"/>
        <v>3</v>
      </c>
      <c r="F261" s="5">
        <v>44090.625</v>
      </c>
      <c r="G261" s="19" t="str">
        <f t="shared" si="21"/>
        <v/>
      </c>
      <c r="J261" s="28">
        <f t="shared" si="17"/>
        <v>5.4545454545454453E-2</v>
      </c>
      <c r="K261">
        <f t="shared" si="18"/>
        <v>367</v>
      </c>
      <c r="L261" s="37">
        <f t="shared" si="19"/>
        <v>657</v>
      </c>
    </row>
    <row r="262" spans="1:12">
      <c r="A262" s="3">
        <v>85</v>
      </c>
      <c r="B262" t="s">
        <v>214</v>
      </c>
      <c r="C262" t="s">
        <v>8</v>
      </c>
      <c r="E262" s="3">
        <f t="shared" si="20"/>
        <v>4</v>
      </c>
      <c r="F262" s="5">
        <v>44091.625</v>
      </c>
      <c r="G262" s="19" t="str">
        <f t="shared" si="21"/>
        <v/>
      </c>
      <c r="J262" s="28">
        <f t="shared" si="17"/>
        <v>0.57407407407407418</v>
      </c>
      <c r="K262">
        <f t="shared" si="18"/>
        <v>398</v>
      </c>
      <c r="L262" s="37">
        <f t="shared" si="19"/>
        <v>706</v>
      </c>
    </row>
    <row r="263" spans="1:12">
      <c r="A263" s="3">
        <v>77</v>
      </c>
      <c r="B263" t="s">
        <v>215</v>
      </c>
      <c r="C263" t="s">
        <v>8</v>
      </c>
      <c r="E263" s="3">
        <f t="shared" si="20"/>
        <v>5</v>
      </c>
      <c r="F263" s="5">
        <v>44092.625</v>
      </c>
      <c r="G263" s="19" t="str">
        <f t="shared" si="21"/>
        <v/>
      </c>
      <c r="J263" s="28">
        <f t="shared" si="17"/>
        <v>0.32758620689655182</v>
      </c>
      <c r="K263">
        <f t="shared" si="18"/>
        <v>417</v>
      </c>
      <c r="L263" s="37">
        <f t="shared" si="19"/>
        <v>741</v>
      </c>
    </row>
    <row r="264" spans="1:12">
      <c r="A264" s="3">
        <v>64</v>
      </c>
      <c r="B264" t="s">
        <v>216</v>
      </c>
      <c r="C264" t="s">
        <v>8</v>
      </c>
      <c r="E264" s="3">
        <f t="shared" si="20"/>
        <v>6</v>
      </c>
      <c r="F264" s="5">
        <v>44093.625</v>
      </c>
      <c r="G264" s="19" t="str">
        <f t="shared" si="21"/>
        <v/>
      </c>
      <c r="J264" s="28">
        <f t="shared" si="17"/>
        <v>0.60000000000000009</v>
      </c>
      <c r="K264">
        <f t="shared" si="18"/>
        <v>441</v>
      </c>
      <c r="L264" s="37">
        <f t="shared" si="19"/>
        <v>783</v>
      </c>
    </row>
    <row r="265" spans="1:12">
      <c r="A265" s="3">
        <v>74</v>
      </c>
      <c r="B265" t="s">
        <v>217</v>
      </c>
      <c r="C265" t="s">
        <v>8</v>
      </c>
      <c r="E265" s="3">
        <f t="shared" si="20"/>
        <v>7</v>
      </c>
      <c r="F265" s="5">
        <v>44094.625</v>
      </c>
      <c r="G265" s="19" t="str">
        <f t="shared" si="21"/>
        <v/>
      </c>
      <c r="J265" s="28">
        <f t="shared" ref="J265:J328" si="22">A265/A258-1</f>
        <v>0.64444444444444438</v>
      </c>
      <c r="K265">
        <f t="shared" si="18"/>
        <v>470</v>
      </c>
      <c r="L265" s="37">
        <f t="shared" si="19"/>
        <v>824</v>
      </c>
    </row>
    <row r="266" spans="1:12" s="41" customFormat="1">
      <c r="A266" s="40">
        <v>120</v>
      </c>
      <c r="B266" s="41" t="s">
        <v>218</v>
      </c>
      <c r="C266" s="41" t="s">
        <v>8</v>
      </c>
      <c r="E266" s="40">
        <f t="shared" si="20"/>
        <v>1</v>
      </c>
      <c r="F266" s="42">
        <v>44095.625</v>
      </c>
      <c r="G266" s="43" t="str">
        <f t="shared" si="21"/>
        <v>2020-W39</v>
      </c>
      <c r="H266" s="41">
        <f>SUM(A266:A272)</f>
        <v>717</v>
      </c>
      <c r="I266" s="44">
        <f>H266/H259-1</f>
        <v>0.52553191489361706</v>
      </c>
      <c r="J266" s="44">
        <f t="shared" si="22"/>
        <v>1.0338983050847457</v>
      </c>
      <c r="K266" s="41">
        <f t="shared" si="18"/>
        <v>531</v>
      </c>
      <c r="L266" s="54">
        <f t="shared" si="19"/>
        <v>899</v>
      </c>
    </row>
    <row r="267" spans="1:12">
      <c r="A267" s="3">
        <v>110</v>
      </c>
      <c r="B267" t="s">
        <v>219</v>
      </c>
      <c r="C267" t="s">
        <v>8</v>
      </c>
      <c r="E267" s="3">
        <f t="shared" si="20"/>
        <v>2</v>
      </c>
      <c r="F267" s="5">
        <v>44096.625</v>
      </c>
      <c r="G267" s="19" t="str">
        <f t="shared" si="21"/>
        <v/>
      </c>
      <c r="J267" s="28">
        <f t="shared" si="22"/>
        <v>1.0754716981132075</v>
      </c>
      <c r="K267">
        <f t="shared" si="18"/>
        <v>588</v>
      </c>
      <c r="L267" s="37">
        <f t="shared" si="19"/>
        <v>952</v>
      </c>
    </row>
    <row r="268" spans="1:12">
      <c r="A268" s="3">
        <v>117</v>
      </c>
      <c r="B268" t="s">
        <v>220</v>
      </c>
      <c r="C268" t="s">
        <v>8</v>
      </c>
      <c r="E268" s="3">
        <f t="shared" si="20"/>
        <v>3</v>
      </c>
      <c r="F268" s="5">
        <v>44097.625</v>
      </c>
      <c r="G268" s="19" t="str">
        <f t="shared" si="21"/>
        <v/>
      </c>
      <c r="J268" s="28">
        <f t="shared" si="22"/>
        <v>1.0172413793103448</v>
      </c>
      <c r="K268">
        <f t="shared" si="18"/>
        <v>647</v>
      </c>
      <c r="L268" s="37">
        <f t="shared" si="19"/>
        <v>1014</v>
      </c>
    </row>
    <row r="269" spans="1:12">
      <c r="A269" s="3">
        <v>98</v>
      </c>
      <c r="B269" t="s">
        <v>221</v>
      </c>
      <c r="C269" t="s">
        <v>8</v>
      </c>
      <c r="E269" s="3">
        <f t="shared" si="20"/>
        <v>4</v>
      </c>
      <c r="F269" s="5">
        <v>44098.625</v>
      </c>
      <c r="G269" s="19" t="str">
        <f t="shared" si="21"/>
        <v/>
      </c>
      <c r="J269" s="28">
        <f t="shared" si="22"/>
        <v>0.15294117647058814</v>
      </c>
      <c r="K269">
        <f t="shared" si="18"/>
        <v>660</v>
      </c>
      <c r="L269" s="37">
        <f t="shared" si="19"/>
        <v>1058</v>
      </c>
    </row>
    <row r="270" spans="1:12">
      <c r="A270" s="3">
        <v>128</v>
      </c>
      <c r="B270" t="s">
        <v>222</v>
      </c>
      <c r="C270" t="s">
        <v>8</v>
      </c>
      <c r="E270" s="3">
        <f t="shared" si="20"/>
        <v>5</v>
      </c>
      <c r="F270" s="5">
        <v>44099.625</v>
      </c>
      <c r="G270" s="19" t="str">
        <f t="shared" si="21"/>
        <v/>
      </c>
      <c r="J270" s="28">
        <f t="shared" si="22"/>
        <v>0.66233766233766245</v>
      </c>
      <c r="K270">
        <f t="shared" si="18"/>
        <v>711</v>
      </c>
      <c r="L270" s="37">
        <f t="shared" si="19"/>
        <v>1128</v>
      </c>
    </row>
    <row r="271" spans="1:12">
      <c r="A271" s="3">
        <v>74</v>
      </c>
      <c r="B271" t="s">
        <v>223</v>
      </c>
      <c r="C271" t="s">
        <v>8</v>
      </c>
      <c r="E271" s="3">
        <f t="shared" si="20"/>
        <v>6</v>
      </c>
      <c r="F271" s="5">
        <v>44100.625</v>
      </c>
      <c r="G271" s="19" t="str">
        <f t="shared" si="21"/>
        <v/>
      </c>
      <c r="J271" s="28">
        <f t="shared" si="22"/>
        <v>0.15625</v>
      </c>
      <c r="K271">
        <f t="shared" si="18"/>
        <v>721</v>
      </c>
      <c r="L271" s="37">
        <f t="shared" si="19"/>
        <v>1162</v>
      </c>
    </row>
    <row r="272" spans="1:12">
      <c r="A272" s="3">
        <v>70</v>
      </c>
      <c r="B272" t="s">
        <v>224</v>
      </c>
      <c r="C272" t="s">
        <v>8</v>
      </c>
      <c r="E272" s="3">
        <f t="shared" si="20"/>
        <v>7</v>
      </c>
      <c r="F272" s="5">
        <v>44101.625</v>
      </c>
      <c r="G272" s="19" t="str">
        <f t="shared" si="21"/>
        <v/>
      </c>
      <c r="J272" s="28">
        <f t="shared" si="22"/>
        <v>-5.4054054054054057E-2</v>
      </c>
      <c r="K272">
        <f t="shared" si="18"/>
        <v>717</v>
      </c>
      <c r="L272" s="37">
        <f t="shared" si="19"/>
        <v>1187</v>
      </c>
    </row>
    <row r="273" spans="1:12" s="41" customFormat="1">
      <c r="A273" s="40">
        <v>124</v>
      </c>
      <c r="B273" s="41" t="s">
        <v>225</v>
      </c>
      <c r="C273" s="41" t="s">
        <v>8</v>
      </c>
      <c r="E273" s="40">
        <f t="shared" si="20"/>
        <v>1</v>
      </c>
      <c r="F273" s="42">
        <v>44102.625</v>
      </c>
      <c r="G273" s="43" t="str">
        <f t="shared" si="21"/>
        <v>2020-W40</v>
      </c>
      <c r="H273" s="41">
        <f>SUM(A273:A279)</f>
        <v>1129</v>
      </c>
      <c r="I273" s="44">
        <f>H273/H266-1</f>
        <v>0.57461645746164569</v>
      </c>
      <c r="J273" s="44">
        <f t="shared" si="22"/>
        <v>3.3333333333333437E-2</v>
      </c>
      <c r="K273" s="41">
        <f t="shared" si="18"/>
        <v>721</v>
      </c>
      <c r="L273" s="54">
        <f t="shared" si="19"/>
        <v>1252</v>
      </c>
    </row>
    <row r="274" spans="1:12">
      <c r="A274" s="3">
        <v>134</v>
      </c>
      <c r="B274" t="s">
        <v>226</v>
      </c>
      <c r="C274" t="s">
        <v>8</v>
      </c>
      <c r="E274" s="3">
        <f t="shared" si="20"/>
        <v>2</v>
      </c>
      <c r="F274" s="5">
        <v>44103.625</v>
      </c>
      <c r="G274" s="19" t="str">
        <f t="shared" si="21"/>
        <v/>
      </c>
      <c r="J274" s="28">
        <f t="shared" si="22"/>
        <v>0.21818181818181825</v>
      </c>
      <c r="K274">
        <f t="shared" si="18"/>
        <v>745</v>
      </c>
      <c r="L274" s="37">
        <f t="shared" si="19"/>
        <v>1333</v>
      </c>
    </row>
    <row r="275" spans="1:12">
      <c r="A275" s="3">
        <v>167</v>
      </c>
      <c r="B275" t="s">
        <v>228</v>
      </c>
      <c r="C275" t="s">
        <v>8</v>
      </c>
      <c r="E275" s="3">
        <f t="shared" si="20"/>
        <v>3</v>
      </c>
      <c r="F275" s="5">
        <v>44104.625</v>
      </c>
      <c r="G275" s="19" t="str">
        <f t="shared" si="21"/>
        <v/>
      </c>
      <c r="J275" s="28">
        <f t="shared" si="22"/>
        <v>0.42735042735042739</v>
      </c>
      <c r="K275">
        <f t="shared" si="18"/>
        <v>795</v>
      </c>
      <c r="L275" s="37">
        <f t="shared" si="19"/>
        <v>1442</v>
      </c>
    </row>
    <row r="276" spans="1:12">
      <c r="A276" s="3">
        <v>191</v>
      </c>
      <c r="B276" t="s">
        <v>230</v>
      </c>
      <c r="C276" t="s">
        <v>8</v>
      </c>
      <c r="E276" s="3">
        <f t="shared" si="20"/>
        <v>4</v>
      </c>
      <c r="F276" s="5">
        <v>44105.625</v>
      </c>
      <c r="G276" s="19" t="str">
        <f t="shared" si="21"/>
        <v/>
      </c>
      <c r="J276" s="28">
        <f t="shared" si="22"/>
        <v>0.94897959183673475</v>
      </c>
      <c r="K276">
        <f t="shared" si="18"/>
        <v>888</v>
      </c>
      <c r="L276" s="37">
        <f t="shared" si="19"/>
        <v>1548</v>
      </c>
    </row>
    <row r="277" spans="1:12">
      <c r="A277" s="3">
        <v>187</v>
      </c>
      <c r="B277" t="s">
        <v>231</v>
      </c>
      <c r="C277" t="s">
        <v>8</v>
      </c>
      <c r="E277" s="3">
        <f t="shared" si="20"/>
        <v>5</v>
      </c>
      <c r="F277" s="5">
        <v>44106.625</v>
      </c>
      <c r="G277" s="19" t="str">
        <f t="shared" si="21"/>
        <v/>
      </c>
      <c r="J277" s="28">
        <f t="shared" si="22"/>
        <v>0.4609375</v>
      </c>
      <c r="K277">
        <f t="shared" ref="K277:K340" si="23">SUM(A271:A277)</f>
        <v>947</v>
      </c>
      <c r="L277" s="37">
        <f t="shared" ref="L277:L340" si="24">SUM(A264:A277)</f>
        <v>1658</v>
      </c>
    </row>
    <row r="278" spans="1:12">
      <c r="A278" s="3">
        <v>178</v>
      </c>
      <c r="B278" t="s">
        <v>233</v>
      </c>
      <c r="C278" t="s">
        <v>8</v>
      </c>
      <c r="E278" s="3">
        <f t="shared" si="20"/>
        <v>6</v>
      </c>
      <c r="F278" s="5">
        <v>44107.625</v>
      </c>
      <c r="G278" s="19" t="str">
        <f t="shared" si="21"/>
        <v/>
      </c>
      <c r="J278" s="28">
        <f t="shared" si="22"/>
        <v>1.4054054054054053</v>
      </c>
      <c r="K278">
        <f t="shared" si="23"/>
        <v>1051</v>
      </c>
      <c r="L278" s="37">
        <f t="shared" si="24"/>
        <v>1772</v>
      </c>
    </row>
    <row r="279" spans="1:12">
      <c r="A279" s="3">
        <v>148</v>
      </c>
      <c r="B279" t="s">
        <v>292</v>
      </c>
      <c r="C279" t="s">
        <v>8</v>
      </c>
      <c r="E279" s="3">
        <f t="shared" si="20"/>
        <v>7</v>
      </c>
      <c r="F279" s="5">
        <v>44108.625</v>
      </c>
      <c r="G279" s="19" t="str">
        <f t="shared" si="21"/>
        <v/>
      </c>
      <c r="J279" s="28">
        <f t="shared" si="22"/>
        <v>1.1142857142857143</v>
      </c>
      <c r="K279">
        <f t="shared" si="23"/>
        <v>1129</v>
      </c>
      <c r="L279" s="37">
        <f t="shared" si="24"/>
        <v>1846</v>
      </c>
    </row>
    <row r="280" spans="1:12" s="51" customFormat="1">
      <c r="A280" s="50">
        <v>291</v>
      </c>
      <c r="B280" s="51" t="s">
        <v>293</v>
      </c>
      <c r="C280" s="51" t="s">
        <v>8</v>
      </c>
      <c r="E280" s="50">
        <f t="shared" si="20"/>
        <v>1</v>
      </c>
      <c r="F280" s="52">
        <v>44109.625</v>
      </c>
      <c r="G280" s="43" t="str">
        <f t="shared" si="21"/>
        <v>2020-W41</v>
      </c>
      <c r="H280" s="41">
        <f>SUM(A280:A286)</f>
        <v>1626</v>
      </c>
      <c r="I280" s="44">
        <f>H280/H273-1</f>
        <v>0.44021257750221432</v>
      </c>
      <c r="J280" s="44">
        <f t="shared" si="22"/>
        <v>1.346774193548387</v>
      </c>
      <c r="K280" s="41">
        <f t="shared" si="23"/>
        <v>1296</v>
      </c>
      <c r="L280" s="54">
        <f t="shared" si="24"/>
        <v>2017</v>
      </c>
    </row>
    <row r="281" spans="1:12">
      <c r="A281" s="3">
        <v>301</v>
      </c>
      <c r="B281" t="s">
        <v>294</v>
      </c>
      <c r="C281" t="s">
        <v>8</v>
      </c>
      <c r="E281" s="3">
        <f t="shared" si="20"/>
        <v>2</v>
      </c>
      <c r="F281" s="5">
        <v>44110.625</v>
      </c>
      <c r="G281" s="19" t="str">
        <f t="shared" si="21"/>
        <v/>
      </c>
      <c r="J281" s="28">
        <f t="shared" si="22"/>
        <v>1.2462686567164178</v>
      </c>
      <c r="K281">
        <f t="shared" si="23"/>
        <v>1463</v>
      </c>
      <c r="L281" s="37">
        <f t="shared" si="24"/>
        <v>2208</v>
      </c>
    </row>
    <row r="282" spans="1:12" s="46" customFormat="1">
      <c r="A282" s="45">
        <v>306</v>
      </c>
      <c r="B282" s="46" t="s">
        <v>295</v>
      </c>
      <c r="C282" s="46" t="s">
        <v>8</v>
      </c>
      <c r="E282" s="45">
        <f t="shared" si="20"/>
        <v>3</v>
      </c>
      <c r="F282" s="47">
        <v>44111.625</v>
      </c>
      <c r="G282" s="48" t="str">
        <f t="shared" si="21"/>
        <v/>
      </c>
      <c r="J282" s="49">
        <f t="shared" si="22"/>
        <v>0.83233532934131738</v>
      </c>
      <c r="K282" s="46">
        <f t="shared" si="23"/>
        <v>1602</v>
      </c>
      <c r="L282" s="55">
        <f t="shared" si="24"/>
        <v>2397</v>
      </c>
    </row>
    <row r="283" spans="1:12">
      <c r="A283" s="3">
        <v>259</v>
      </c>
      <c r="B283" t="s">
        <v>296</v>
      </c>
      <c r="C283" t="s">
        <v>8</v>
      </c>
      <c r="E283" s="3">
        <f t="shared" si="20"/>
        <v>4</v>
      </c>
      <c r="F283" s="5">
        <v>44112.625</v>
      </c>
      <c r="G283" s="19" t="str">
        <f t="shared" si="21"/>
        <v/>
      </c>
      <c r="J283" s="28">
        <f t="shared" si="22"/>
        <v>0.35602094240837689</v>
      </c>
      <c r="K283">
        <f t="shared" si="23"/>
        <v>1670</v>
      </c>
      <c r="L283" s="37">
        <f t="shared" si="24"/>
        <v>2558</v>
      </c>
    </row>
    <row r="284" spans="1:12">
      <c r="A284" s="3">
        <v>226</v>
      </c>
      <c r="B284" t="s">
        <v>297</v>
      </c>
      <c r="C284" t="s">
        <v>8</v>
      </c>
      <c r="E284" s="3">
        <f t="shared" si="20"/>
        <v>5</v>
      </c>
      <c r="F284" s="5">
        <v>44113.625</v>
      </c>
      <c r="G284" s="19" t="str">
        <f t="shared" si="21"/>
        <v/>
      </c>
      <c r="J284" s="28">
        <f t="shared" si="22"/>
        <v>0.20855614973262027</v>
      </c>
      <c r="K284">
        <f t="shared" si="23"/>
        <v>1709</v>
      </c>
      <c r="L284" s="37">
        <f t="shared" si="24"/>
        <v>2656</v>
      </c>
    </row>
    <row r="285" spans="1:12">
      <c r="A285" s="3">
        <v>111</v>
      </c>
      <c r="B285" t="s">
        <v>300</v>
      </c>
      <c r="C285" t="s">
        <v>8</v>
      </c>
      <c r="E285" s="3">
        <f t="shared" si="20"/>
        <v>6</v>
      </c>
      <c r="F285" s="5">
        <v>44114.625</v>
      </c>
      <c r="G285" s="19" t="str">
        <f t="shared" si="21"/>
        <v/>
      </c>
      <c r="J285" s="28">
        <f t="shared" si="22"/>
        <v>-0.3764044943820225</v>
      </c>
      <c r="K285">
        <f t="shared" si="23"/>
        <v>1642</v>
      </c>
      <c r="L285" s="37">
        <f t="shared" si="24"/>
        <v>2693</v>
      </c>
    </row>
    <row r="286" spans="1:12">
      <c r="A286" s="3">
        <v>132</v>
      </c>
      <c r="B286" t="s">
        <v>301</v>
      </c>
      <c r="C286" t="s">
        <v>8</v>
      </c>
      <c r="E286" s="3">
        <f t="shared" si="20"/>
        <v>7</v>
      </c>
      <c r="F286" s="5">
        <v>44115.625</v>
      </c>
      <c r="G286" s="19" t="str">
        <f t="shared" si="21"/>
        <v/>
      </c>
      <c r="J286" s="28">
        <f t="shared" si="22"/>
        <v>-0.10810810810810811</v>
      </c>
      <c r="K286">
        <f t="shared" si="23"/>
        <v>1626</v>
      </c>
      <c r="L286" s="37">
        <f t="shared" si="24"/>
        <v>2755</v>
      </c>
    </row>
    <row r="287" spans="1:12" s="10" customFormat="1">
      <c r="A287" s="14">
        <v>256</v>
      </c>
      <c r="B287" s="10" t="s">
        <v>305</v>
      </c>
      <c r="C287" s="10" t="s">
        <v>8</v>
      </c>
      <c r="E287" s="14">
        <f t="shared" si="20"/>
        <v>1</v>
      </c>
      <c r="F287" s="18">
        <v>44116.625</v>
      </c>
      <c r="G287" s="19" t="str">
        <f t="shared" si="21"/>
        <v>2020-W42</v>
      </c>
      <c r="H287">
        <f>SUM(A287:A293)</f>
        <v>1275</v>
      </c>
      <c r="I287" s="28">
        <f>H287/H280-1</f>
        <v>-0.21586715867158668</v>
      </c>
      <c r="J287" s="28">
        <f t="shared" si="22"/>
        <v>-0.1202749140893471</v>
      </c>
      <c r="K287">
        <f t="shared" si="23"/>
        <v>1591</v>
      </c>
      <c r="L287" s="37">
        <f t="shared" si="24"/>
        <v>2887</v>
      </c>
    </row>
    <row r="288" spans="1:12">
      <c r="A288" s="3">
        <v>199</v>
      </c>
      <c r="B288" t="s">
        <v>306</v>
      </c>
      <c r="C288" t="s">
        <v>8</v>
      </c>
      <c r="E288" s="3">
        <f t="shared" si="20"/>
        <v>2</v>
      </c>
      <c r="F288" s="5">
        <v>44117.625</v>
      </c>
      <c r="G288" s="19" t="str">
        <f t="shared" si="21"/>
        <v/>
      </c>
      <c r="J288" s="28">
        <f t="shared" si="22"/>
        <v>-0.33887043189368771</v>
      </c>
      <c r="K288">
        <f t="shared" si="23"/>
        <v>1489</v>
      </c>
      <c r="L288" s="37">
        <f t="shared" si="24"/>
        <v>2952</v>
      </c>
    </row>
    <row r="289" spans="1:12">
      <c r="A289" s="3">
        <v>202</v>
      </c>
      <c r="B289" t="s">
        <v>307</v>
      </c>
      <c r="C289" t="s">
        <v>8</v>
      </c>
      <c r="E289" s="3">
        <f t="shared" si="20"/>
        <v>3</v>
      </c>
      <c r="F289" s="5">
        <v>44118.625</v>
      </c>
      <c r="G289" s="19" t="str">
        <f t="shared" si="21"/>
        <v/>
      </c>
      <c r="J289" s="28">
        <f t="shared" si="22"/>
        <v>-0.33986928104575165</v>
      </c>
      <c r="K289">
        <f t="shared" si="23"/>
        <v>1385</v>
      </c>
      <c r="L289" s="37">
        <f t="shared" si="24"/>
        <v>2987</v>
      </c>
    </row>
    <row r="290" spans="1:12">
      <c r="A290" s="3">
        <v>190</v>
      </c>
      <c r="B290" t="s">
        <v>308</v>
      </c>
      <c r="C290" t="s">
        <v>8</v>
      </c>
      <c r="E290" s="3">
        <f t="shared" si="20"/>
        <v>4</v>
      </c>
      <c r="F290" s="5">
        <v>44119.625</v>
      </c>
      <c r="G290" s="19" t="str">
        <f t="shared" si="21"/>
        <v/>
      </c>
      <c r="J290" s="28">
        <f t="shared" si="22"/>
        <v>-0.26640926640926643</v>
      </c>
      <c r="K290">
        <f t="shared" si="23"/>
        <v>1316</v>
      </c>
      <c r="L290" s="37">
        <f t="shared" si="24"/>
        <v>2986</v>
      </c>
    </row>
    <row r="291" spans="1:12">
      <c r="A291" s="3">
        <v>195</v>
      </c>
      <c r="B291" t="s">
        <v>309</v>
      </c>
      <c r="C291" t="s">
        <v>8</v>
      </c>
      <c r="E291" s="3">
        <f t="shared" si="20"/>
        <v>5</v>
      </c>
      <c r="F291" s="5">
        <v>44120.625</v>
      </c>
      <c r="G291" s="19" t="str">
        <f t="shared" si="21"/>
        <v/>
      </c>
      <c r="J291" s="28">
        <f t="shared" si="22"/>
        <v>-0.13716814159292035</v>
      </c>
      <c r="K291">
        <f t="shared" si="23"/>
        <v>1285</v>
      </c>
      <c r="L291" s="37">
        <f t="shared" si="24"/>
        <v>2994</v>
      </c>
    </row>
    <row r="292" spans="1:12">
      <c r="A292" s="3">
        <v>104</v>
      </c>
      <c r="B292" t="s">
        <v>310</v>
      </c>
      <c r="C292" t="s">
        <v>8</v>
      </c>
      <c r="E292" s="3">
        <f t="shared" si="20"/>
        <v>6</v>
      </c>
      <c r="F292" s="5">
        <v>44121.625</v>
      </c>
      <c r="G292" s="19" t="str">
        <f t="shared" si="21"/>
        <v/>
      </c>
      <c r="J292" s="28">
        <f t="shared" si="22"/>
        <v>-6.3063063063063085E-2</v>
      </c>
      <c r="K292">
        <f t="shared" si="23"/>
        <v>1278</v>
      </c>
      <c r="L292" s="37">
        <f t="shared" si="24"/>
        <v>2920</v>
      </c>
    </row>
    <row r="293" spans="1:12">
      <c r="A293" s="3">
        <v>129</v>
      </c>
      <c r="B293" t="s">
        <v>311</v>
      </c>
      <c r="C293" t="s">
        <v>8</v>
      </c>
      <c r="E293" s="3">
        <f t="shared" si="20"/>
        <v>7</v>
      </c>
      <c r="F293" s="5">
        <v>44122.625</v>
      </c>
      <c r="G293" s="19" t="str">
        <f t="shared" si="21"/>
        <v/>
      </c>
      <c r="J293" s="28">
        <f t="shared" si="22"/>
        <v>-2.2727272727272707E-2</v>
      </c>
      <c r="K293">
        <f t="shared" si="23"/>
        <v>1275</v>
      </c>
      <c r="L293" s="37">
        <f t="shared" si="24"/>
        <v>2901</v>
      </c>
    </row>
    <row r="294" spans="1:12" s="10" customFormat="1">
      <c r="A294" s="14">
        <v>243</v>
      </c>
      <c r="B294" s="10" t="s">
        <v>312</v>
      </c>
      <c r="C294" s="10" t="s">
        <v>8</v>
      </c>
      <c r="E294" s="14">
        <f t="shared" si="20"/>
        <v>1</v>
      </c>
      <c r="F294" s="18">
        <v>44123.625</v>
      </c>
      <c r="G294" s="19" t="str">
        <f t="shared" si="21"/>
        <v>2020-W43</v>
      </c>
      <c r="H294">
        <f>SUM(A294:A300)</f>
        <v>1245</v>
      </c>
      <c r="I294" s="28">
        <f>H294/H287-1</f>
        <v>-2.352941176470591E-2</v>
      </c>
      <c r="J294" s="28">
        <f t="shared" si="22"/>
        <v>-5.078125E-2</v>
      </c>
      <c r="K294">
        <f t="shared" si="23"/>
        <v>1262</v>
      </c>
      <c r="L294" s="37">
        <f t="shared" si="24"/>
        <v>2853</v>
      </c>
    </row>
    <row r="295" spans="1:12">
      <c r="A295" s="3">
        <v>167</v>
      </c>
      <c r="B295" t="s">
        <v>313</v>
      </c>
      <c r="C295" t="s">
        <v>8</v>
      </c>
      <c r="E295" s="3">
        <f t="shared" si="20"/>
        <v>2</v>
      </c>
      <c r="F295" s="5">
        <v>44124.625</v>
      </c>
      <c r="G295" s="19" t="str">
        <f t="shared" si="21"/>
        <v/>
      </c>
      <c r="J295" s="28">
        <f t="shared" si="22"/>
        <v>-0.16080402010050254</v>
      </c>
      <c r="K295">
        <f t="shared" si="23"/>
        <v>1230</v>
      </c>
      <c r="L295" s="37">
        <f t="shared" si="24"/>
        <v>2719</v>
      </c>
    </row>
    <row r="296" spans="1:12">
      <c r="A296" s="3">
        <v>188</v>
      </c>
      <c r="B296" t="s">
        <v>314</v>
      </c>
      <c r="C296" t="s">
        <v>8</v>
      </c>
      <c r="E296" s="3">
        <f t="shared" si="20"/>
        <v>3</v>
      </c>
      <c r="F296" s="5">
        <v>44125.625</v>
      </c>
      <c r="G296" s="19" t="str">
        <f t="shared" si="21"/>
        <v/>
      </c>
      <c r="J296" s="28">
        <f t="shared" si="22"/>
        <v>-6.9306930693069257E-2</v>
      </c>
      <c r="K296">
        <f t="shared" si="23"/>
        <v>1216</v>
      </c>
      <c r="L296" s="37">
        <f t="shared" si="24"/>
        <v>2601</v>
      </c>
    </row>
    <row r="297" spans="1:12">
      <c r="A297" s="3">
        <v>222</v>
      </c>
      <c r="B297" t="s">
        <v>315</v>
      </c>
      <c r="C297" t="s">
        <v>8</v>
      </c>
      <c r="E297" s="3">
        <f t="shared" si="20"/>
        <v>4</v>
      </c>
      <c r="F297" s="5">
        <v>44126.625</v>
      </c>
      <c r="G297" s="19" t="str">
        <f t="shared" si="21"/>
        <v/>
      </c>
      <c r="J297" s="28">
        <f t="shared" si="22"/>
        <v>0.16842105263157903</v>
      </c>
      <c r="K297">
        <f t="shared" si="23"/>
        <v>1248</v>
      </c>
      <c r="L297" s="37">
        <f t="shared" si="24"/>
        <v>2564</v>
      </c>
    </row>
    <row r="298" spans="1:12">
      <c r="A298" s="3">
        <v>194</v>
      </c>
      <c r="B298" t="s">
        <v>316</v>
      </c>
      <c r="C298" t="s">
        <v>8</v>
      </c>
      <c r="E298" s="3">
        <f t="shared" si="20"/>
        <v>5</v>
      </c>
      <c r="F298" s="5">
        <v>44127.625</v>
      </c>
      <c r="G298" s="19" t="str">
        <f t="shared" si="21"/>
        <v/>
      </c>
      <c r="J298" s="28">
        <f t="shared" si="22"/>
        <v>-5.12820512820511E-3</v>
      </c>
      <c r="K298">
        <f t="shared" si="23"/>
        <v>1247</v>
      </c>
      <c r="L298" s="37">
        <f t="shared" si="24"/>
        <v>2532</v>
      </c>
    </row>
    <row r="299" spans="1:12">
      <c r="A299" s="3">
        <v>107</v>
      </c>
      <c r="B299" t="s">
        <v>317</v>
      </c>
      <c r="C299" t="s">
        <v>8</v>
      </c>
      <c r="E299" s="3">
        <f t="shared" si="20"/>
        <v>6</v>
      </c>
      <c r="F299" s="5">
        <v>44128.625</v>
      </c>
      <c r="G299" s="19" t="str">
        <f t="shared" si="21"/>
        <v/>
      </c>
      <c r="J299" s="28">
        <f t="shared" si="22"/>
        <v>2.8846153846153744E-2</v>
      </c>
      <c r="K299">
        <f t="shared" si="23"/>
        <v>1250</v>
      </c>
      <c r="L299" s="37">
        <f t="shared" si="24"/>
        <v>2528</v>
      </c>
    </row>
    <row r="300" spans="1:12">
      <c r="A300" s="3">
        <v>124</v>
      </c>
      <c r="B300" t="s">
        <v>318</v>
      </c>
      <c r="C300" t="s">
        <v>8</v>
      </c>
      <c r="E300" s="3">
        <f t="shared" si="20"/>
        <v>7</v>
      </c>
      <c r="F300" s="5">
        <v>44129.625</v>
      </c>
      <c r="G300" s="19" t="str">
        <f t="shared" si="21"/>
        <v/>
      </c>
      <c r="J300" s="28">
        <f t="shared" si="22"/>
        <v>-3.8759689922480578E-2</v>
      </c>
      <c r="K300">
        <f t="shared" si="23"/>
        <v>1245</v>
      </c>
      <c r="L300" s="37">
        <f t="shared" si="24"/>
        <v>2520</v>
      </c>
    </row>
    <row r="301" spans="1:12" s="51" customFormat="1">
      <c r="A301" s="50">
        <v>255</v>
      </c>
      <c r="B301" s="51" t="s">
        <v>319</v>
      </c>
      <c r="C301" s="51" t="s">
        <v>8</v>
      </c>
      <c r="E301" s="50">
        <f t="shared" si="20"/>
        <v>1</v>
      </c>
      <c r="F301" s="52">
        <v>44130.625</v>
      </c>
      <c r="G301" s="43" t="str">
        <f t="shared" si="21"/>
        <v>2020-W44</v>
      </c>
      <c r="H301" s="41">
        <f>SUM(A301:A307)</f>
        <v>1457</v>
      </c>
      <c r="I301" s="44">
        <f>H301/H294-1</f>
        <v>0.17028112449799204</v>
      </c>
      <c r="J301" s="44">
        <f t="shared" si="22"/>
        <v>4.9382716049382713E-2</v>
      </c>
      <c r="K301" s="41">
        <f t="shared" si="23"/>
        <v>1257</v>
      </c>
      <c r="L301" s="54">
        <f t="shared" si="24"/>
        <v>2519</v>
      </c>
    </row>
    <row r="302" spans="1:12">
      <c r="A302" s="3">
        <v>234</v>
      </c>
      <c r="B302" t="s">
        <v>320</v>
      </c>
      <c r="C302" t="s">
        <v>8</v>
      </c>
      <c r="E302" s="3">
        <f t="shared" si="20"/>
        <v>2</v>
      </c>
      <c r="F302" s="5">
        <v>44131.625</v>
      </c>
      <c r="G302" s="19" t="str">
        <f t="shared" si="21"/>
        <v/>
      </c>
      <c r="J302" s="28">
        <f t="shared" si="22"/>
        <v>0.4011976047904191</v>
      </c>
      <c r="K302">
        <f t="shared" si="23"/>
        <v>1324</v>
      </c>
      <c r="L302" s="37">
        <f t="shared" si="24"/>
        <v>2554</v>
      </c>
    </row>
    <row r="303" spans="1:12">
      <c r="A303" s="3">
        <v>240</v>
      </c>
      <c r="B303" t="s">
        <v>321</v>
      </c>
      <c r="C303" t="s">
        <v>8</v>
      </c>
      <c r="E303" s="3">
        <f t="shared" si="20"/>
        <v>3</v>
      </c>
      <c r="F303" s="5">
        <v>44132.625</v>
      </c>
      <c r="G303" s="19" t="str">
        <f t="shared" si="21"/>
        <v/>
      </c>
      <c r="J303" s="28">
        <f t="shared" si="22"/>
        <v>0.27659574468085113</v>
      </c>
      <c r="K303">
        <f t="shared" si="23"/>
        <v>1376</v>
      </c>
      <c r="L303" s="37">
        <f t="shared" si="24"/>
        <v>2592</v>
      </c>
    </row>
    <row r="304" spans="1:12">
      <c r="A304" s="3">
        <v>236</v>
      </c>
      <c r="B304" t="s">
        <v>322</v>
      </c>
      <c r="C304" t="s">
        <v>8</v>
      </c>
      <c r="E304" s="3">
        <f t="shared" si="20"/>
        <v>4</v>
      </c>
      <c r="F304" s="5">
        <v>44133.625</v>
      </c>
      <c r="G304" s="19" t="str">
        <f t="shared" si="21"/>
        <v/>
      </c>
      <c r="J304" s="28">
        <f t="shared" si="22"/>
        <v>6.3063063063063085E-2</v>
      </c>
      <c r="K304">
        <f t="shared" si="23"/>
        <v>1390</v>
      </c>
      <c r="L304" s="37">
        <f t="shared" si="24"/>
        <v>2638</v>
      </c>
    </row>
    <row r="305" spans="1:12">
      <c r="A305" s="3">
        <v>220</v>
      </c>
      <c r="B305" t="s">
        <v>323</v>
      </c>
      <c r="C305" t="s">
        <v>8</v>
      </c>
      <c r="E305" s="3">
        <f t="shared" si="20"/>
        <v>5</v>
      </c>
      <c r="F305" s="5">
        <v>44134.625</v>
      </c>
      <c r="G305" s="19" t="str">
        <f t="shared" si="21"/>
        <v/>
      </c>
      <c r="J305" s="28">
        <f t="shared" si="22"/>
        <v>0.134020618556701</v>
      </c>
      <c r="K305">
        <f t="shared" si="23"/>
        <v>1416</v>
      </c>
      <c r="L305" s="37">
        <f t="shared" si="24"/>
        <v>2663</v>
      </c>
    </row>
    <row r="306" spans="1:12">
      <c r="A306" s="3">
        <v>121</v>
      </c>
      <c r="B306" t="s">
        <v>324</v>
      </c>
      <c r="C306" t="s">
        <v>8</v>
      </c>
      <c r="E306" s="3">
        <f t="shared" si="20"/>
        <v>6</v>
      </c>
      <c r="F306" s="5">
        <v>44135.625</v>
      </c>
      <c r="G306" s="19" t="str">
        <f t="shared" si="21"/>
        <v/>
      </c>
      <c r="J306" s="28">
        <f t="shared" si="22"/>
        <v>0.13084112149532712</v>
      </c>
      <c r="K306">
        <f t="shared" si="23"/>
        <v>1430</v>
      </c>
      <c r="L306" s="37">
        <f t="shared" si="24"/>
        <v>2680</v>
      </c>
    </row>
    <row r="307" spans="1:12">
      <c r="A307" s="3">
        <v>151</v>
      </c>
      <c r="B307" t="s">
        <v>325</v>
      </c>
      <c r="C307" t="s">
        <v>8</v>
      </c>
      <c r="E307" s="3">
        <f t="shared" si="20"/>
        <v>7</v>
      </c>
      <c r="F307" s="5">
        <v>44136.625</v>
      </c>
      <c r="G307" s="19" t="str">
        <f t="shared" si="21"/>
        <v/>
      </c>
      <c r="J307" s="28">
        <f t="shared" si="22"/>
        <v>0.217741935483871</v>
      </c>
      <c r="K307">
        <f t="shared" si="23"/>
        <v>1457</v>
      </c>
      <c r="L307" s="37">
        <f t="shared" si="24"/>
        <v>2702</v>
      </c>
    </row>
    <row r="308" spans="1:12" s="10" customFormat="1">
      <c r="A308" s="14">
        <v>287</v>
      </c>
      <c r="B308" s="10" t="s">
        <v>326</v>
      </c>
      <c r="C308" s="10" t="s">
        <v>8</v>
      </c>
      <c r="E308" s="14">
        <f t="shared" si="20"/>
        <v>1</v>
      </c>
      <c r="F308" s="18">
        <v>44137.625</v>
      </c>
      <c r="G308" s="19" t="str">
        <f t="shared" si="21"/>
        <v>2020-W45</v>
      </c>
      <c r="H308">
        <f>SUM(A308:A314)</f>
        <v>1416</v>
      </c>
      <c r="I308" s="28">
        <f>H308/H301-1</f>
        <v>-2.8140013726835944E-2</v>
      </c>
      <c r="J308" s="28">
        <f t="shared" si="22"/>
        <v>0.12549019607843137</v>
      </c>
      <c r="K308">
        <f t="shared" si="23"/>
        <v>1489</v>
      </c>
      <c r="L308" s="37">
        <f t="shared" si="24"/>
        <v>2746</v>
      </c>
    </row>
    <row r="309" spans="1:12">
      <c r="A309" s="3">
        <v>241</v>
      </c>
      <c r="B309" t="s">
        <v>327</v>
      </c>
      <c r="C309" t="s">
        <v>8</v>
      </c>
      <c r="E309" s="3">
        <f t="shared" si="20"/>
        <v>2</v>
      </c>
      <c r="F309" s="5">
        <v>44138.625</v>
      </c>
      <c r="G309" s="19" t="str">
        <f t="shared" si="21"/>
        <v/>
      </c>
      <c r="J309" s="28">
        <f t="shared" si="22"/>
        <v>2.9914529914529808E-2</v>
      </c>
      <c r="K309">
        <f t="shared" si="23"/>
        <v>1496</v>
      </c>
      <c r="L309" s="37">
        <f t="shared" si="24"/>
        <v>2820</v>
      </c>
    </row>
    <row r="310" spans="1:12">
      <c r="A310" s="3">
        <v>214</v>
      </c>
      <c r="B310" t="s">
        <v>328</v>
      </c>
      <c r="C310" t="s">
        <v>8</v>
      </c>
      <c r="E310" s="3">
        <f t="shared" si="20"/>
        <v>3</v>
      </c>
      <c r="F310" s="5">
        <v>44139.625</v>
      </c>
      <c r="G310" s="19" t="str">
        <f t="shared" si="21"/>
        <v/>
      </c>
      <c r="J310" s="28">
        <f t="shared" si="22"/>
        <v>-0.10833333333333328</v>
      </c>
      <c r="K310">
        <f t="shared" si="23"/>
        <v>1470</v>
      </c>
      <c r="L310" s="37">
        <f t="shared" si="24"/>
        <v>2846</v>
      </c>
    </row>
    <row r="311" spans="1:12">
      <c r="A311" s="3">
        <v>218</v>
      </c>
      <c r="B311" t="s">
        <v>329</v>
      </c>
      <c r="C311" t="s">
        <v>8</v>
      </c>
      <c r="E311" s="3">
        <f t="shared" si="20"/>
        <v>4</v>
      </c>
      <c r="F311" s="5">
        <v>44140.625</v>
      </c>
      <c r="G311" s="19" t="str">
        <f t="shared" si="21"/>
        <v/>
      </c>
      <c r="J311" s="28">
        <f t="shared" si="22"/>
        <v>-7.6271186440677985E-2</v>
      </c>
      <c r="K311">
        <f t="shared" si="23"/>
        <v>1452</v>
      </c>
      <c r="L311" s="37">
        <f t="shared" si="24"/>
        <v>2842</v>
      </c>
    </row>
    <row r="312" spans="1:12">
      <c r="A312" s="3">
        <v>196</v>
      </c>
      <c r="B312" t="s">
        <v>330</v>
      </c>
      <c r="C312" t="s">
        <v>8</v>
      </c>
      <c r="E312" s="3">
        <f t="shared" si="20"/>
        <v>5</v>
      </c>
      <c r="F312" s="5">
        <v>44141.625</v>
      </c>
      <c r="G312" s="19" t="str">
        <f t="shared" si="21"/>
        <v/>
      </c>
      <c r="J312" s="28">
        <f t="shared" si="22"/>
        <v>-0.10909090909090913</v>
      </c>
      <c r="K312">
        <f t="shared" si="23"/>
        <v>1428</v>
      </c>
      <c r="L312" s="37">
        <f t="shared" si="24"/>
        <v>2844</v>
      </c>
    </row>
    <row r="313" spans="1:12">
      <c r="A313" s="3">
        <v>128</v>
      </c>
      <c r="B313" t="s">
        <v>331</v>
      </c>
      <c r="C313" t="s">
        <v>8</v>
      </c>
      <c r="E313" s="3">
        <f t="shared" si="20"/>
        <v>6</v>
      </c>
      <c r="F313" s="5">
        <v>44142.625</v>
      </c>
      <c r="G313" s="19" t="str">
        <f t="shared" si="21"/>
        <v/>
      </c>
      <c r="J313" s="28">
        <f t="shared" si="22"/>
        <v>5.7851239669421517E-2</v>
      </c>
      <c r="K313">
        <f t="shared" si="23"/>
        <v>1435</v>
      </c>
      <c r="L313" s="37">
        <f t="shared" si="24"/>
        <v>2865</v>
      </c>
    </row>
    <row r="314" spans="1:12">
      <c r="A314" s="3">
        <v>132</v>
      </c>
      <c r="B314" t="s">
        <v>332</v>
      </c>
      <c r="C314" t="s">
        <v>8</v>
      </c>
      <c r="E314" s="3">
        <f t="shared" si="20"/>
        <v>7</v>
      </c>
      <c r="F314" s="5">
        <v>44143.625</v>
      </c>
      <c r="G314" s="19" t="str">
        <f t="shared" si="21"/>
        <v/>
      </c>
      <c r="J314" s="28">
        <f t="shared" si="22"/>
        <v>-0.1258278145695364</v>
      </c>
      <c r="K314">
        <f t="shared" si="23"/>
        <v>1416</v>
      </c>
      <c r="L314" s="37">
        <f t="shared" si="24"/>
        <v>2873</v>
      </c>
    </row>
    <row r="315" spans="1:12" s="41" customFormat="1">
      <c r="A315" s="40">
        <v>273</v>
      </c>
      <c r="B315" s="41" t="s">
        <v>333</v>
      </c>
      <c r="C315" s="41" t="s">
        <v>8</v>
      </c>
      <c r="E315" s="40">
        <f t="shared" si="20"/>
        <v>1</v>
      </c>
      <c r="F315" s="42">
        <v>44144.625</v>
      </c>
      <c r="G315" s="43" t="str">
        <f t="shared" si="21"/>
        <v>2020-W46</v>
      </c>
      <c r="H315" s="41">
        <f>SUM(A315:A321)</f>
        <v>1651</v>
      </c>
      <c r="I315" s="44">
        <f>H315/H308-1</f>
        <v>0.16596045197740117</v>
      </c>
      <c r="J315" s="44">
        <f t="shared" si="22"/>
        <v>-4.8780487804878092E-2</v>
      </c>
      <c r="K315" s="41">
        <f t="shared" si="23"/>
        <v>1402</v>
      </c>
      <c r="L315" s="54">
        <f t="shared" si="24"/>
        <v>2891</v>
      </c>
    </row>
    <row r="316" spans="1:12">
      <c r="A316" s="3">
        <v>206</v>
      </c>
      <c r="B316" t="s">
        <v>334</v>
      </c>
      <c r="C316" t="s">
        <v>8</v>
      </c>
      <c r="E316" s="3">
        <f t="shared" si="20"/>
        <v>2</v>
      </c>
      <c r="F316" s="5">
        <v>44145.625</v>
      </c>
      <c r="G316" s="19" t="str">
        <f t="shared" si="21"/>
        <v/>
      </c>
      <c r="J316" s="28">
        <f t="shared" si="22"/>
        <v>-0.14522821576763489</v>
      </c>
      <c r="K316">
        <f t="shared" si="23"/>
        <v>1367</v>
      </c>
      <c r="L316" s="37">
        <f t="shared" si="24"/>
        <v>2863</v>
      </c>
    </row>
    <row r="317" spans="1:12">
      <c r="A317" s="3">
        <v>295</v>
      </c>
      <c r="B317" t="s">
        <v>335</v>
      </c>
      <c r="C317" t="s">
        <v>8</v>
      </c>
      <c r="E317" s="3">
        <f t="shared" si="20"/>
        <v>3</v>
      </c>
      <c r="F317" s="5">
        <v>44146.625</v>
      </c>
      <c r="G317" s="19" t="str">
        <f t="shared" si="21"/>
        <v/>
      </c>
      <c r="J317" s="28">
        <f t="shared" si="22"/>
        <v>0.37850467289719636</v>
      </c>
      <c r="K317">
        <f t="shared" si="23"/>
        <v>1448</v>
      </c>
      <c r="L317" s="37">
        <f t="shared" si="24"/>
        <v>2918</v>
      </c>
    </row>
    <row r="318" spans="1:12">
      <c r="A318" s="3">
        <v>284</v>
      </c>
      <c r="B318" t="s">
        <v>336</v>
      </c>
      <c r="C318" t="s">
        <v>8</v>
      </c>
      <c r="E318" s="3">
        <f t="shared" si="20"/>
        <v>4</v>
      </c>
      <c r="F318" s="5">
        <v>44147.625</v>
      </c>
      <c r="G318" s="19" t="str">
        <f t="shared" si="21"/>
        <v/>
      </c>
      <c r="J318" s="28">
        <f t="shared" si="22"/>
        <v>0.30275229357798161</v>
      </c>
      <c r="K318">
        <f t="shared" si="23"/>
        <v>1514</v>
      </c>
      <c r="L318" s="37">
        <f t="shared" si="24"/>
        <v>2966</v>
      </c>
    </row>
    <row r="319" spans="1:12">
      <c r="A319" s="3">
        <v>268</v>
      </c>
      <c r="B319" t="s">
        <v>337</v>
      </c>
      <c r="C319" t="s">
        <v>8</v>
      </c>
      <c r="E319" s="3">
        <f t="shared" si="20"/>
        <v>5</v>
      </c>
      <c r="F319" s="5">
        <v>44148.625</v>
      </c>
      <c r="G319" s="19" t="str">
        <f t="shared" si="21"/>
        <v/>
      </c>
      <c r="J319" s="28">
        <f t="shared" si="22"/>
        <v>0.36734693877551017</v>
      </c>
      <c r="K319">
        <f t="shared" si="23"/>
        <v>1586</v>
      </c>
      <c r="L319" s="37">
        <f t="shared" si="24"/>
        <v>3014</v>
      </c>
    </row>
    <row r="320" spans="1:12">
      <c r="A320" s="3">
        <v>145</v>
      </c>
      <c r="B320" t="s">
        <v>338</v>
      </c>
      <c r="C320" t="s">
        <v>8</v>
      </c>
      <c r="E320" s="3">
        <f t="shared" si="20"/>
        <v>6</v>
      </c>
      <c r="F320" s="5">
        <v>44149.625</v>
      </c>
      <c r="G320" s="19" t="str">
        <f t="shared" si="21"/>
        <v/>
      </c>
      <c r="J320" s="28">
        <f t="shared" si="22"/>
        <v>0.1328125</v>
      </c>
      <c r="K320">
        <f t="shared" si="23"/>
        <v>1603</v>
      </c>
      <c r="L320" s="37">
        <f t="shared" si="24"/>
        <v>3038</v>
      </c>
    </row>
    <row r="321" spans="1:12">
      <c r="A321" s="3">
        <v>180</v>
      </c>
      <c r="B321" t="s">
        <v>339</v>
      </c>
      <c r="C321" t="s">
        <v>8</v>
      </c>
      <c r="E321" s="3">
        <f t="shared" si="20"/>
        <v>7</v>
      </c>
      <c r="F321" s="5">
        <v>44150.625</v>
      </c>
      <c r="G321" s="19" t="str">
        <f t="shared" si="21"/>
        <v/>
      </c>
      <c r="J321" s="28">
        <f t="shared" si="22"/>
        <v>0.36363636363636354</v>
      </c>
      <c r="K321">
        <f t="shared" si="23"/>
        <v>1651</v>
      </c>
      <c r="L321" s="37">
        <f t="shared" si="24"/>
        <v>3067</v>
      </c>
    </row>
    <row r="322" spans="1:12" s="41" customFormat="1">
      <c r="A322" s="40">
        <v>393</v>
      </c>
      <c r="B322" s="41" t="s">
        <v>340</v>
      </c>
      <c r="C322" s="41" t="s">
        <v>8</v>
      </c>
      <c r="E322" s="40">
        <f t="shared" si="20"/>
        <v>1</v>
      </c>
      <c r="F322" s="42">
        <v>44151.625</v>
      </c>
      <c r="G322" s="43" t="str">
        <f t="shared" si="21"/>
        <v>2020-W47</v>
      </c>
      <c r="H322" s="41">
        <f>SUM(A322:A328)</f>
        <v>2600</v>
      </c>
      <c r="I322" s="44">
        <f>H322/H315-1</f>
        <v>0.5748031496062993</v>
      </c>
      <c r="J322" s="44">
        <f t="shared" si="22"/>
        <v>0.43956043956043955</v>
      </c>
      <c r="K322" s="41">
        <f t="shared" si="23"/>
        <v>1771</v>
      </c>
      <c r="L322" s="54">
        <f t="shared" si="24"/>
        <v>3173</v>
      </c>
    </row>
    <row r="323" spans="1:12">
      <c r="A323" s="3">
        <v>388</v>
      </c>
      <c r="B323" t="s">
        <v>341</v>
      </c>
      <c r="C323" t="s">
        <v>8</v>
      </c>
      <c r="E323" s="3">
        <f>WEEKDAY(F323,2)</f>
        <v>2</v>
      </c>
      <c r="F323" s="5">
        <v>44152.625</v>
      </c>
      <c r="G323" s="19" t="str">
        <f t="shared" ref="G323:G386" si="25">IF(WEEKDAY(F323,2)=1,YEAR(F323)&amp;"-W"&amp;TEXT(WEEKNUM(F323,14),"00"),"")</f>
        <v/>
      </c>
      <c r="J323" s="28">
        <f t="shared" si="22"/>
        <v>0.88349514563106801</v>
      </c>
      <c r="K323">
        <f t="shared" si="23"/>
        <v>1953</v>
      </c>
      <c r="L323" s="37">
        <f t="shared" si="24"/>
        <v>3320</v>
      </c>
    </row>
    <row r="324" spans="1:12">
      <c r="A324" s="3">
        <v>377</v>
      </c>
      <c r="B324" t="s">
        <v>342</v>
      </c>
      <c r="C324" t="s">
        <v>8</v>
      </c>
      <c r="E324" s="3">
        <f t="shared" si="20"/>
        <v>3</v>
      </c>
      <c r="F324" s="5">
        <v>44153.625</v>
      </c>
      <c r="G324" s="19" t="str">
        <f t="shared" si="25"/>
        <v/>
      </c>
      <c r="J324" s="28">
        <f t="shared" si="22"/>
        <v>0.27796610169491531</v>
      </c>
      <c r="K324">
        <f t="shared" si="23"/>
        <v>2035</v>
      </c>
      <c r="L324" s="37">
        <f t="shared" si="24"/>
        <v>3483</v>
      </c>
    </row>
    <row r="325" spans="1:12">
      <c r="A325" s="3">
        <v>478</v>
      </c>
      <c r="B325" t="s">
        <v>343</v>
      </c>
      <c r="C325" t="s">
        <v>8</v>
      </c>
      <c r="E325" s="3">
        <f t="shared" ref="E325:E382" si="26">WEEKDAY(F325,2)</f>
        <v>4</v>
      </c>
      <c r="F325" s="5">
        <v>44154.625</v>
      </c>
      <c r="G325" s="19" t="str">
        <f t="shared" si="25"/>
        <v/>
      </c>
      <c r="J325" s="28">
        <f t="shared" si="22"/>
        <v>0.68309859154929575</v>
      </c>
      <c r="K325">
        <f t="shared" si="23"/>
        <v>2229</v>
      </c>
      <c r="L325" s="37">
        <f t="shared" si="24"/>
        <v>3743</v>
      </c>
    </row>
    <row r="326" spans="1:12">
      <c r="A326" s="3">
        <v>428</v>
      </c>
      <c r="B326" t="s">
        <v>344</v>
      </c>
      <c r="C326" t="s">
        <v>8</v>
      </c>
      <c r="E326" s="3">
        <f t="shared" si="26"/>
        <v>5</v>
      </c>
      <c r="F326" s="5">
        <v>44155.625</v>
      </c>
      <c r="G326" s="19" t="str">
        <f t="shared" si="25"/>
        <v/>
      </c>
      <c r="J326" s="28">
        <f t="shared" si="22"/>
        <v>0.59701492537313428</v>
      </c>
      <c r="K326">
        <f t="shared" si="23"/>
        <v>2389</v>
      </c>
      <c r="L326" s="37">
        <f t="shared" si="24"/>
        <v>3975</v>
      </c>
    </row>
    <row r="327" spans="1:12">
      <c r="A327" s="3">
        <v>270</v>
      </c>
      <c r="B327" t="s">
        <v>347</v>
      </c>
      <c r="C327" t="s">
        <v>8</v>
      </c>
      <c r="E327" s="3">
        <f t="shared" si="26"/>
        <v>6</v>
      </c>
      <c r="F327" s="5">
        <v>44156.625</v>
      </c>
      <c r="G327" s="19" t="str">
        <f t="shared" si="25"/>
        <v/>
      </c>
      <c r="J327" s="28">
        <f t="shared" si="22"/>
        <v>0.86206896551724133</v>
      </c>
      <c r="K327">
        <f t="shared" si="23"/>
        <v>2514</v>
      </c>
      <c r="L327" s="37">
        <f t="shared" si="24"/>
        <v>4117</v>
      </c>
    </row>
    <row r="328" spans="1:12">
      <c r="A328" s="3">
        <v>266</v>
      </c>
      <c r="B328" t="s">
        <v>348</v>
      </c>
      <c r="C328" t="s">
        <v>8</v>
      </c>
      <c r="E328" s="3">
        <f t="shared" si="26"/>
        <v>7</v>
      </c>
      <c r="F328" s="5">
        <v>44157.625</v>
      </c>
      <c r="G328" s="19" t="str">
        <f t="shared" si="25"/>
        <v/>
      </c>
      <c r="J328" s="28">
        <f t="shared" si="22"/>
        <v>0.47777777777777786</v>
      </c>
      <c r="K328">
        <f t="shared" si="23"/>
        <v>2600</v>
      </c>
      <c r="L328" s="37">
        <f t="shared" si="24"/>
        <v>4251</v>
      </c>
    </row>
    <row r="329" spans="1:12" s="41" customFormat="1">
      <c r="A329" s="40">
        <v>504</v>
      </c>
      <c r="B329" s="41" t="s">
        <v>349</v>
      </c>
      <c r="C329" s="41" t="s">
        <v>8</v>
      </c>
      <c r="E329" s="40">
        <f t="shared" si="26"/>
        <v>1</v>
      </c>
      <c r="F329" s="42">
        <v>44158.625</v>
      </c>
      <c r="G329" s="43" t="str">
        <f t="shared" si="25"/>
        <v>2020-W48</v>
      </c>
      <c r="H329" s="41">
        <f>SUM(A329:A335)</f>
        <v>3136</v>
      </c>
      <c r="I329" s="44">
        <f>H329/H322-1</f>
        <v>0.20615384615384613</v>
      </c>
      <c r="J329" s="44">
        <f t="shared" ref="J329:J392" si="27">A329/A322-1</f>
        <v>0.28244274809160297</v>
      </c>
      <c r="K329" s="41">
        <f t="shared" si="23"/>
        <v>2711</v>
      </c>
      <c r="L329" s="54">
        <f t="shared" si="24"/>
        <v>4482</v>
      </c>
    </row>
    <row r="330" spans="1:12">
      <c r="A330" s="3">
        <v>471</v>
      </c>
      <c r="B330" t="s">
        <v>350</v>
      </c>
      <c r="C330" t="s">
        <v>8</v>
      </c>
      <c r="E330" s="3">
        <f t="shared" si="26"/>
        <v>2</v>
      </c>
      <c r="F330" s="5">
        <v>44159.625</v>
      </c>
      <c r="G330" s="19" t="str">
        <f t="shared" si="25"/>
        <v/>
      </c>
      <c r="J330" s="28">
        <f t="shared" si="27"/>
        <v>0.21391752577319578</v>
      </c>
      <c r="K330">
        <f t="shared" si="23"/>
        <v>2794</v>
      </c>
      <c r="L330" s="37">
        <f t="shared" si="24"/>
        <v>4747</v>
      </c>
    </row>
    <row r="331" spans="1:12">
      <c r="A331" s="3">
        <v>619</v>
      </c>
      <c r="B331" t="s">
        <v>351</v>
      </c>
      <c r="C331" t="s">
        <v>8</v>
      </c>
      <c r="E331" s="3">
        <f t="shared" si="26"/>
        <v>3</v>
      </c>
      <c r="F331" s="5">
        <v>44160.625</v>
      </c>
      <c r="G331" s="19" t="str">
        <f t="shared" si="25"/>
        <v/>
      </c>
      <c r="J331" s="28">
        <f t="shared" si="27"/>
        <v>0.6419098143236075</v>
      </c>
      <c r="K331">
        <f t="shared" si="23"/>
        <v>3036</v>
      </c>
      <c r="L331" s="37">
        <f t="shared" si="24"/>
        <v>5071</v>
      </c>
    </row>
    <row r="332" spans="1:12">
      <c r="A332" s="3">
        <v>509</v>
      </c>
      <c r="B332" t="s">
        <v>354</v>
      </c>
      <c r="C332" t="s">
        <v>8</v>
      </c>
      <c r="E332" s="3">
        <f t="shared" si="26"/>
        <v>4</v>
      </c>
      <c r="F332" s="5">
        <v>44161.625</v>
      </c>
      <c r="G332" s="19" t="str">
        <f t="shared" si="25"/>
        <v/>
      </c>
      <c r="J332" s="28">
        <f t="shared" si="27"/>
        <v>6.4853556485355623E-2</v>
      </c>
      <c r="K332">
        <f t="shared" si="23"/>
        <v>3067</v>
      </c>
      <c r="L332" s="37">
        <f t="shared" si="24"/>
        <v>5296</v>
      </c>
    </row>
    <row r="333" spans="1:12">
      <c r="A333" s="3">
        <v>456</v>
      </c>
      <c r="B333" t="s">
        <v>355</v>
      </c>
      <c r="C333" t="s">
        <v>8</v>
      </c>
      <c r="E333" s="3">
        <f t="shared" si="26"/>
        <v>5</v>
      </c>
      <c r="F333" s="5">
        <v>44162.625</v>
      </c>
      <c r="G333" s="19" t="str">
        <f t="shared" si="25"/>
        <v/>
      </c>
      <c r="J333" s="28">
        <f t="shared" si="27"/>
        <v>6.5420560747663448E-2</v>
      </c>
      <c r="K333">
        <f t="shared" si="23"/>
        <v>3095</v>
      </c>
      <c r="L333" s="37">
        <f t="shared" si="24"/>
        <v>5484</v>
      </c>
    </row>
    <row r="334" spans="1:12">
      <c r="A334" s="3">
        <v>284</v>
      </c>
      <c r="B334" t="s">
        <v>356</v>
      </c>
      <c r="C334" t="s">
        <v>8</v>
      </c>
      <c r="E334" s="3">
        <f t="shared" si="26"/>
        <v>6</v>
      </c>
      <c r="F334" s="5">
        <v>44163.625</v>
      </c>
      <c r="G334" s="19" t="str">
        <f t="shared" si="25"/>
        <v/>
      </c>
      <c r="J334" s="28">
        <f t="shared" si="27"/>
        <v>5.1851851851851816E-2</v>
      </c>
      <c r="K334">
        <f t="shared" si="23"/>
        <v>3109</v>
      </c>
      <c r="L334" s="37">
        <f t="shared" si="24"/>
        <v>5623</v>
      </c>
    </row>
    <row r="335" spans="1:12">
      <c r="A335" s="3">
        <v>293</v>
      </c>
      <c r="B335" t="s">
        <v>357</v>
      </c>
      <c r="C335" t="s">
        <v>8</v>
      </c>
      <c r="E335" s="3">
        <f t="shared" si="26"/>
        <v>7</v>
      </c>
      <c r="F335" s="5">
        <v>44164.625</v>
      </c>
      <c r="G335" s="19" t="str">
        <f t="shared" si="25"/>
        <v/>
      </c>
      <c r="J335" s="28">
        <f t="shared" si="27"/>
        <v>0.10150375939849621</v>
      </c>
      <c r="K335">
        <f t="shared" si="23"/>
        <v>3136</v>
      </c>
      <c r="L335" s="37">
        <f t="shared" si="24"/>
        <v>5736</v>
      </c>
    </row>
    <row r="336" spans="1:12">
      <c r="A336" s="3">
        <v>595</v>
      </c>
      <c r="B336" t="s">
        <v>358</v>
      </c>
      <c r="C336" t="s">
        <v>8</v>
      </c>
      <c r="E336" s="3">
        <f t="shared" si="26"/>
        <v>1</v>
      </c>
      <c r="F336" s="5">
        <v>44165.625</v>
      </c>
      <c r="G336" s="19" t="str">
        <f t="shared" si="25"/>
        <v>2020-W49</v>
      </c>
      <c r="H336">
        <f>SUM(A336:A342)</f>
        <v>3014</v>
      </c>
      <c r="I336" s="28">
        <f>H336/H329-1</f>
        <v>-3.8903061224489832E-2</v>
      </c>
      <c r="J336" s="28">
        <f t="shared" si="27"/>
        <v>0.18055555555555558</v>
      </c>
      <c r="K336">
        <f t="shared" si="23"/>
        <v>3227</v>
      </c>
      <c r="L336" s="37">
        <f t="shared" si="24"/>
        <v>5938</v>
      </c>
    </row>
    <row r="337" spans="1:12">
      <c r="A337" s="3">
        <v>440</v>
      </c>
      <c r="B337" t="s">
        <v>360</v>
      </c>
      <c r="C337" t="s">
        <v>8</v>
      </c>
      <c r="E337" s="3">
        <f t="shared" si="26"/>
        <v>2</v>
      </c>
      <c r="F337" s="5">
        <v>44166.625</v>
      </c>
      <c r="G337" s="19" t="str">
        <f t="shared" si="25"/>
        <v/>
      </c>
      <c r="J337" s="28">
        <f t="shared" si="27"/>
        <v>-6.5817409766454338E-2</v>
      </c>
      <c r="K337">
        <f t="shared" si="23"/>
        <v>3196</v>
      </c>
      <c r="L337" s="37">
        <f t="shared" si="24"/>
        <v>5990</v>
      </c>
    </row>
    <row r="338" spans="1:12">
      <c r="A338" s="3">
        <v>495</v>
      </c>
      <c r="B338" t="s">
        <v>361</v>
      </c>
      <c r="C338" t="s">
        <v>8</v>
      </c>
      <c r="E338" s="3">
        <f t="shared" si="26"/>
        <v>3</v>
      </c>
      <c r="F338" s="5">
        <v>44167.625</v>
      </c>
      <c r="G338" s="19" t="str">
        <f t="shared" si="25"/>
        <v/>
      </c>
      <c r="J338" s="28">
        <f t="shared" si="27"/>
        <v>-0.20032310177705981</v>
      </c>
      <c r="K338">
        <f t="shared" si="23"/>
        <v>3072</v>
      </c>
      <c r="L338" s="37">
        <f t="shared" si="24"/>
        <v>6108</v>
      </c>
    </row>
    <row r="339" spans="1:12">
      <c r="A339" s="3">
        <v>478</v>
      </c>
      <c r="B339" t="s">
        <v>362</v>
      </c>
      <c r="C339" t="s">
        <v>8</v>
      </c>
      <c r="E339" s="3">
        <f t="shared" si="26"/>
        <v>4</v>
      </c>
      <c r="F339" s="5">
        <v>44168.625</v>
      </c>
      <c r="G339" s="19" t="str">
        <f t="shared" si="25"/>
        <v/>
      </c>
      <c r="J339" s="28">
        <f t="shared" si="27"/>
        <v>-6.0903732809430289E-2</v>
      </c>
      <c r="K339">
        <f t="shared" si="23"/>
        <v>3041</v>
      </c>
      <c r="L339" s="37">
        <f t="shared" si="24"/>
        <v>6108</v>
      </c>
    </row>
    <row r="340" spans="1:12">
      <c r="A340" s="3">
        <v>473</v>
      </c>
      <c r="B340" t="s">
        <v>363</v>
      </c>
      <c r="C340" t="s">
        <v>8</v>
      </c>
      <c r="E340" s="3">
        <f t="shared" si="26"/>
        <v>5</v>
      </c>
      <c r="F340" s="5">
        <v>44169.625</v>
      </c>
      <c r="G340" s="19" t="str">
        <f t="shared" si="25"/>
        <v/>
      </c>
      <c r="J340" s="28">
        <f t="shared" si="27"/>
        <v>3.7280701754385914E-2</v>
      </c>
      <c r="K340">
        <f t="shared" si="23"/>
        <v>3058</v>
      </c>
      <c r="L340" s="37">
        <f t="shared" si="24"/>
        <v>6153</v>
      </c>
    </row>
    <row r="341" spans="1:12">
      <c r="A341" s="3">
        <v>250</v>
      </c>
      <c r="B341" t="s">
        <v>364</v>
      </c>
      <c r="C341" t="s">
        <v>8</v>
      </c>
      <c r="E341" s="3">
        <f t="shared" si="26"/>
        <v>6</v>
      </c>
      <c r="F341" s="5">
        <v>44170.625</v>
      </c>
      <c r="G341" s="19" t="str">
        <f t="shared" si="25"/>
        <v/>
      </c>
      <c r="J341" s="28">
        <f t="shared" si="27"/>
        <v>-0.11971830985915488</v>
      </c>
      <c r="K341">
        <f t="shared" ref="K341:K404" si="28">SUM(A335:A341)</f>
        <v>3024</v>
      </c>
      <c r="L341" s="37">
        <f t="shared" ref="L341:L404" si="29">SUM(A328:A341)</f>
        <v>6133</v>
      </c>
    </row>
    <row r="342" spans="1:12">
      <c r="A342" s="3">
        <v>283</v>
      </c>
      <c r="B342" t="s">
        <v>365</v>
      </c>
      <c r="C342" t="s">
        <v>8</v>
      </c>
      <c r="E342" s="3">
        <f t="shared" si="26"/>
        <v>7</v>
      </c>
      <c r="F342" s="5">
        <v>44171.625</v>
      </c>
      <c r="G342" s="19" t="str">
        <f t="shared" si="25"/>
        <v/>
      </c>
      <c r="J342" s="28">
        <f t="shared" si="27"/>
        <v>-3.4129692832764458E-2</v>
      </c>
      <c r="K342">
        <f t="shared" si="28"/>
        <v>3014</v>
      </c>
      <c r="L342" s="37">
        <f t="shared" si="29"/>
        <v>6150</v>
      </c>
    </row>
    <row r="343" spans="1:12">
      <c r="A343" s="3">
        <v>587</v>
      </c>
      <c r="B343" t="s">
        <v>366</v>
      </c>
      <c r="C343" t="s">
        <v>8</v>
      </c>
      <c r="E343" s="3">
        <f t="shared" si="26"/>
        <v>1</v>
      </c>
      <c r="F343" s="5">
        <v>44172.625</v>
      </c>
      <c r="G343" s="19" t="str">
        <f t="shared" si="25"/>
        <v>2020-W50</v>
      </c>
      <c r="H343">
        <f>SUM(A343:A349)</f>
        <v>2906</v>
      </c>
      <c r="I343" s="28">
        <f>H343/H336-1</f>
        <v>-3.583278035832782E-2</v>
      </c>
      <c r="J343" s="28">
        <f t="shared" si="27"/>
        <v>-1.3445378151260456E-2</v>
      </c>
      <c r="K343">
        <f t="shared" si="28"/>
        <v>3006</v>
      </c>
      <c r="L343" s="37">
        <f t="shared" si="29"/>
        <v>6233</v>
      </c>
    </row>
    <row r="344" spans="1:12">
      <c r="A344" s="3">
        <v>478</v>
      </c>
      <c r="B344" t="s">
        <v>367</v>
      </c>
      <c r="C344" t="s">
        <v>8</v>
      </c>
      <c r="E344" s="3">
        <f t="shared" si="26"/>
        <v>2</v>
      </c>
      <c r="F344" s="5">
        <v>44173.625</v>
      </c>
      <c r="G344" s="19" t="str">
        <f t="shared" si="25"/>
        <v/>
      </c>
      <c r="J344" s="28">
        <f t="shared" si="27"/>
        <v>8.636363636363642E-2</v>
      </c>
      <c r="K344">
        <f t="shared" si="28"/>
        <v>3044</v>
      </c>
      <c r="L344" s="37">
        <f t="shared" si="29"/>
        <v>6240</v>
      </c>
    </row>
    <row r="345" spans="1:12">
      <c r="A345" s="3">
        <v>462</v>
      </c>
      <c r="B345" t="s">
        <v>368</v>
      </c>
      <c r="C345" t="s">
        <v>8</v>
      </c>
      <c r="E345" s="3">
        <f t="shared" si="26"/>
        <v>3</v>
      </c>
      <c r="F345" s="5">
        <v>44174.625</v>
      </c>
      <c r="G345" s="19" t="str">
        <f t="shared" si="25"/>
        <v/>
      </c>
      <c r="J345" s="28">
        <f t="shared" si="27"/>
        <v>-6.6666666666666652E-2</v>
      </c>
      <c r="K345">
        <f t="shared" si="28"/>
        <v>3011</v>
      </c>
      <c r="L345" s="37">
        <f t="shared" si="29"/>
        <v>6083</v>
      </c>
    </row>
    <row r="346" spans="1:12">
      <c r="A346" s="3">
        <v>407</v>
      </c>
      <c r="B346" t="s">
        <v>369</v>
      </c>
      <c r="C346" t="s">
        <v>8</v>
      </c>
      <c r="E346" s="3">
        <f t="shared" si="26"/>
        <v>4</v>
      </c>
      <c r="F346" s="5">
        <v>44175.625</v>
      </c>
      <c r="G346" s="19" t="str">
        <f t="shared" si="25"/>
        <v/>
      </c>
      <c r="J346" s="28">
        <f t="shared" si="27"/>
        <v>-0.14853556485355646</v>
      </c>
      <c r="K346">
        <f t="shared" si="28"/>
        <v>2940</v>
      </c>
      <c r="L346" s="37">
        <f t="shared" si="29"/>
        <v>5981</v>
      </c>
    </row>
    <row r="347" spans="1:12">
      <c r="A347" s="3">
        <v>447</v>
      </c>
      <c r="B347" t="s">
        <v>370</v>
      </c>
      <c r="C347" t="s">
        <v>8</v>
      </c>
      <c r="E347" s="3">
        <f t="shared" si="26"/>
        <v>5</v>
      </c>
      <c r="F347" s="5">
        <v>44176.625</v>
      </c>
      <c r="G347" s="19" t="str">
        <f t="shared" si="25"/>
        <v/>
      </c>
      <c r="J347" s="28">
        <f t="shared" si="27"/>
        <v>-5.4968287526427018E-2</v>
      </c>
      <c r="K347">
        <f t="shared" si="28"/>
        <v>2914</v>
      </c>
      <c r="L347" s="37">
        <f t="shared" si="29"/>
        <v>5972</v>
      </c>
    </row>
    <row r="348" spans="1:12">
      <c r="A348" s="3">
        <v>249</v>
      </c>
      <c r="B348" t="s">
        <v>371</v>
      </c>
      <c r="C348" t="s">
        <v>8</v>
      </c>
      <c r="E348" s="3">
        <f t="shared" si="26"/>
        <v>6</v>
      </c>
      <c r="F348" s="5">
        <v>44177.625</v>
      </c>
      <c r="G348" s="19" t="str">
        <f t="shared" si="25"/>
        <v/>
      </c>
      <c r="J348" s="28">
        <f t="shared" si="27"/>
        <v>-4.0000000000000036E-3</v>
      </c>
      <c r="K348">
        <f t="shared" si="28"/>
        <v>2913</v>
      </c>
      <c r="L348" s="37">
        <f t="shared" si="29"/>
        <v>5937</v>
      </c>
    </row>
    <row r="349" spans="1:12">
      <c r="A349" s="3">
        <v>276</v>
      </c>
      <c r="B349" t="s">
        <v>372</v>
      </c>
      <c r="C349" t="s">
        <v>8</v>
      </c>
      <c r="E349" s="3">
        <f t="shared" si="26"/>
        <v>7</v>
      </c>
      <c r="F349" s="5">
        <v>44178.625</v>
      </c>
      <c r="G349" s="19" t="str">
        <f t="shared" si="25"/>
        <v/>
      </c>
      <c r="J349" s="28">
        <f t="shared" si="27"/>
        <v>-2.4734982332155431E-2</v>
      </c>
      <c r="K349">
        <f t="shared" si="28"/>
        <v>2906</v>
      </c>
      <c r="L349" s="37">
        <f t="shared" si="29"/>
        <v>5920</v>
      </c>
    </row>
    <row r="350" spans="1:12">
      <c r="A350" s="3">
        <v>463</v>
      </c>
      <c r="B350" t="s">
        <v>373</v>
      </c>
      <c r="C350" t="s">
        <v>8</v>
      </c>
      <c r="E350" s="3">
        <f t="shared" si="26"/>
        <v>1</v>
      </c>
      <c r="F350" s="5">
        <v>44179.625</v>
      </c>
      <c r="G350" s="19" t="str">
        <f t="shared" si="25"/>
        <v>2020-W51</v>
      </c>
      <c r="H350">
        <f>SUM(A350:A356)</f>
        <v>2328</v>
      </c>
      <c r="I350" s="28">
        <f>H350/H343-1</f>
        <v>-0.19889883000688235</v>
      </c>
      <c r="J350" s="28">
        <f t="shared" si="27"/>
        <v>-0.21124361158432714</v>
      </c>
      <c r="K350">
        <f t="shared" si="28"/>
        <v>2782</v>
      </c>
      <c r="L350" s="37">
        <f t="shared" si="29"/>
        <v>5788</v>
      </c>
    </row>
    <row r="351" spans="1:12">
      <c r="A351" s="3">
        <v>360</v>
      </c>
      <c r="B351" t="s">
        <v>374</v>
      </c>
      <c r="C351" t="s">
        <v>8</v>
      </c>
      <c r="E351" s="3">
        <f t="shared" si="26"/>
        <v>2</v>
      </c>
      <c r="F351" s="5">
        <v>44180.625</v>
      </c>
      <c r="G351" s="19" t="str">
        <f t="shared" si="25"/>
        <v/>
      </c>
      <c r="J351" s="28">
        <f t="shared" si="27"/>
        <v>-0.2468619246861925</v>
      </c>
      <c r="K351">
        <f t="shared" si="28"/>
        <v>2664</v>
      </c>
      <c r="L351" s="37">
        <f t="shared" si="29"/>
        <v>5708</v>
      </c>
    </row>
    <row r="352" spans="1:12">
      <c r="A352" s="3">
        <v>352</v>
      </c>
      <c r="B352" t="s">
        <v>375</v>
      </c>
      <c r="C352" t="s">
        <v>8</v>
      </c>
      <c r="E352" s="3">
        <f t="shared" si="26"/>
        <v>3</v>
      </c>
      <c r="F352" s="5">
        <v>44181.625</v>
      </c>
      <c r="G352" s="19" t="str">
        <f t="shared" si="25"/>
        <v/>
      </c>
      <c r="J352" s="28">
        <f t="shared" si="27"/>
        <v>-0.23809523809523814</v>
      </c>
      <c r="K352">
        <f t="shared" si="28"/>
        <v>2554</v>
      </c>
      <c r="L352" s="37">
        <f t="shared" si="29"/>
        <v>5565</v>
      </c>
    </row>
    <row r="353" spans="1:12">
      <c r="A353" s="3">
        <v>324</v>
      </c>
      <c r="B353" t="s">
        <v>376</v>
      </c>
      <c r="C353" t="s">
        <v>8</v>
      </c>
      <c r="E353" s="3">
        <f t="shared" si="26"/>
        <v>4</v>
      </c>
      <c r="F353" s="5">
        <v>44182.625</v>
      </c>
      <c r="G353" s="19" t="str">
        <f t="shared" si="25"/>
        <v/>
      </c>
      <c r="J353" s="28">
        <f t="shared" si="27"/>
        <v>-0.2039312039312039</v>
      </c>
      <c r="K353">
        <f t="shared" si="28"/>
        <v>2471</v>
      </c>
      <c r="L353" s="37">
        <f t="shared" si="29"/>
        <v>5411</v>
      </c>
    </row>
    <row r="354" spans="1:12">
      <c r="A354" s="3">
        <v>394</v>
      </c>
      <c r="B354" t="s">
        <v>377</v>
      </c>
      <c r="C354" t="s">
        <v>8</v>
      </c>
      <c r="E354" s="3">
        <f t="shared" si="26"/>
        <v>5</v>
      </c>
      <c r="F354" s="5">
        <v>44183.625</v>
      </c>
      <c r="G354" s="19" t="str">
        <f t="shared" si="25"/>
        <v/>
      </c>
      <c r="J354" s="28">
        <f t="shared" si="27"/>
        <v>-0.11856823266219241</v>
      </c>
      <c r="K354">
        <f t="shared" si="28"/>
        <v>2418</v>
      </c>
      <c r="L354" s="37">
        <f t="shared" si="29"/>
        <v>5332</v>
      </c>
    </row>
    <row r="355" spans="1:12">
      <c r="A355" s="3">
        <v>191</v>
      </c>
      <c r="B355" t="s">
        <v>378</v>
      </c>
      <c r="C355" t="s">
        <v>8</v>
      </c>
      <c r="E355" s="3">
        <f t="shared" si="26"/>
        <v>6</v>
      </c>
      <c r="F355" s="5">
        <v>44184.625</v>
      </c>
      <c r="G355" s="19" t="str">
        <f t="shared" si="25"/>
        <v/>
      </c>
      <c r="J355" s="28">
        <f t="shared" si="27"/>
        <v>-0.23293172690763053</v>
      </c>
      <c r="K355">
        <f t="shared" si="28"/>
        <v>2360</v>
      </c>
      <c r="L355" s="37">
        <f t="shared" si="29"/>
        <v>5273</v>
      </c>
    </row>
    <row r="356" spans="1:12">
      <c r="A356" s="3">
        <v>244</v>
      </c>
      <c r="B356" t="s">
        <v>379</v>
      </c>
      <c r="C356" t="s">
        <v>8</v>
      </c>
      <c r="E356" s="3">
        <f t="shared" si="26"/>
        <v>7</v>
      </c>
      <c r="F356" s="5">
        <v>44185.625</v>
      </c>
      <c r="G356" s="19" t="str">
        <f t="shared" si="25"/>
        <v/>
      </c>
      <c r="J356" s="28">
        <f t="shared" si="27"/>
        <v>-0.11594202898550721</v>
      </c>
      <c r="K356">
        <f t="shared" si="28"/>
        <v>2328</v>
      </c>
      <c r="L356" s="37">
        <f t="shared" si="29"/>
        <v>5234</v>
      </c>
    </row>
    <row r="357" spans="1:12">
      <c r="A357" s="3">
        <v>375</v>
      </c>
      <c r="B357" t="s">
        <v>380</v>
      </c>
      <c r="C357" t="s">
        <v>8</v>
      </c>
      <c r="E357" s="3">
        <f t="shared" si="26"/>
        <v>1</v>
      </c>
      <c r="F357" s="5">
        <v>44186.625</v>
      </c>
      <c r="G357" s="19" t="str">
        <f t="shared" si="25"/>
        <v>2020-W52</v>
      </c>
      <c r="H357">
        <f>SUM(A357:A363)</f>
        <v>1653</v>
      </c>
      <c r="I357" s="28">
        <f>H357/H350-1</f>
        <v>-0.28994845360824739</v>
      </c>
      <c r="J357" s="28">
        <f t="shared" si="27"/>
        <v>-0.19006479481641469</v>
      </c>
      <c r="K357">
        <f t="shared" si="28"/>
        <v>2240</v>
      </c>
      <c r="L357" s="37">
        <f t="shared" si="29"/>
        <v>5022</v>
      </c>
    </row>
    <row r="358" spans="1:12">
      <c r="A358" s="3">
        <v>332</v>
      </c>
      <c r="B358" t="s">
        <v>381</v>
      </c>
      <c r="C358" t="s">
        <v>8</v>
      </c>
      <c r="E358" s="3">
        <f t="shared" si="26"/>
        <v>2</v>
      </c>
      <c r="F358" s="5">
        <v>44187.625</v>
      </c>
      <c r="G358" s="19" t="str">
        <f t="shared" si="25"/>
        <v/>
      </c>
      <c r="J358" s="28">
        <f t="shared" si="27"/>
        <v>-7.7777777777777724E-2</v>
      </c>
      <c r="K358">
        <f t="shared" si="28"/>
        <v>2212</v>
      </c>
      <c r="L358" s="37">
        <f t="shared" si="29"/>
        <v>4876</v>
      </c>
    </row>
    <row r="359" spans="1:12">
      <c r="A359" s="3">
        <v>277</v>
      </c>
      <c r="B359" t="s">
        <v>382</v>
      </c>
      <c r="C359" t="s">
        <v>8</v>
      </c>
      <c r="E359" s="3">
        <f t="shared" si="26"/>
        <v>3</v>
      </c>
      <c r="F359" s="5">
        <v>44188.625</v>
      </c>
      <c r="G359" s="19" t="str">
        <f t="shared" si="25"/>
        <v/>
      </c>
      <c r="J359" s="28">
        <f t="shared" si="27"/>
        <v>-0.21306818181818177</v>
      </c>
      <c r="K359">
        <f t="shared" si="28"/>
        <v>2137</v>
      </c>
      <c r="L359" s="37">
        <f t="shared" si="29"/>
        <v>4691</v>
      </c>
    </row>
    <row r="360" spans="1:12">
      <c r="A360" s="3">
        <v>138</v>
      </c>
      <c r="B360" t="s">
        <v>383</v>
      </c>
      <c r="C360" t="s">
        <v>8</v>
      </c>
      <c r="E360" s="3">
        <f t="shared" si="26"/>
        <v>4</v>
      </c>
      <c r="F360" s="5">
        <v>44189.625</v>
      </c>
      <c r="G360" s="19" t="str">
        <f t="shared" si="25"/>
        <v/>
      </c>
      <c r="J360" s="28">
        <f t="shared" si="27"/>
        <v>-0.57407407407407407</v>
      </c>
      <c r="K360">
        <f t="shared" si="28"/>
        <v>1951</v>
      </c>
      <c r="L360" s="37">
        <f t="shared" si="29"/>
        <v>4422</v>
      </c>
    </row>
    <row r="361" spans="1:12">
      <c r="A361" s="3">
        <v>157</v>
      </c>
      <c r="B361" t="s">
        <v>384</v>
      </c>
      <c r="C361" t="s">
        <v>8</v>
      </c>
      <c r="E361" s="3">
        <f t="shared" si="26"/>
        <v>5</v>
      </c>
      <c r="F361" s="5">
        <v>44190.625</v>
      </c>
      <c r="G361" s="19" t="str">
        <f t="shared" si="25"/>
        <v/>
      </c>
      <c r="J361" s="28">
        <f t="shared" si="27"/>
        <v>-0.60152284263959399</v>
      </c>
      <c r="K361">
        <f t="shared" si="28"/>
        <v>1714</v>
      </c>
      <c r="L361" s="37">
        <f t="shared" si="29"/>
        <v>4132</v>
      </c>
    </row>
    <row r="362" spans="1:12">
      <c r="A362" s="3">
        <v>183</v>
      </c>
      <c r="B362" t="s">
        <v>385</v>
      </c>
      <c r="C362" t="s">
        <v>8</v>
      </c>
      <c r="E362" s="3">
        <f t="shared" si="26"/>
        <v>6</v>
      </c>
      <c r="F362" s="5">
        <v>44191.625</v>
      </c>
      <c r="G362" s="19" t="str">
        <f t="shared" si="25"/>
        <v/>
      </c>
      <c r="J362" s="28">
        <f t="shared" si="27"/>
        <v>-4.1884816753926746E-2</v>
      </c>
      <c r="K362">
        <f t="shared" si="28"/>
        <v>1706</v>
      </c>
      <c r="L362" s="37">
        <f t="shared" si="29"/>
        <v>4066</v>
      </c>
    </row>
    <row r="363" spans="1:12">
      <c r="A363" s="3">
        <v>191</v>
      </c>
      <c r="B363" t="s">
        <v>386</v>
      </c>
      <c r="C363" t="s">
        <v>8</v>
      </c>
      <c r="E363" s="3">
        <f t="shared" si="26"/>
        <v>7</v>
      </c>
      <c r="F363" s="5">
        <v>44192.625</v>
      </c>
      <c r="G363" s="19" t="str">
        <f t="shared" si="25"/>
        <v/>
      </c>
      <c r="J363" s="28">
        <f t="shared" si="27"/>
        <v>-0.21721311475409832</v>
      </c>
      <c r="K363">
        <f t="shared" si="28"/>
        <v>1653</v>
      </c>
      <c r="L363" s="37">
        <f t="shared" si="29"/>
        <v>3981</v>
      </c>
    </row>
    <row r="364" spans="1:12" s="41" customFormat="1">
      <c r="A364" s="40">
        <v>435</v>
      </c>
      <c r="B364" s="41" t="s">
        <v>387</v>
      </c>
      <c r="C364" s="41" t="s">
        <v>8</v>
      </c>
      <c r="E364" s="40">
        <f t="shared" si="26"/>
        <v>1</v>
      </c>
      <c r="F364" s="42">
        <v>44193.625</v>
      </c>
      <c r="G364" s="43" t="str">
        <f t="shared" si="25"/>
        <v>2020-W53</v>
      </c>
      <c r="H364" s="41">
        <f>SUM(A364:A370)</f>
        <v>1754</v>
      </c>
      <c r="I364" s="44">
        <f>H364/H357-1</f>
        <v>6.1101028433151905E-2</v>
      </c>
      <c r="J364" s="44">
        <f t="shared" si="27"/>
        <v>0.15999999999999992</v>
      </c>
      <c r="K364" s="41">
        <f t="shared" si="28"/>
        <v>1713</v>
      </c>
      <c r="L364" s="54">
        <f t="shared" si="29"/>
        <v>3953</v>
      </c>
    </row>
    <row r="365" spans="1:12">
      <c r="A365" s="3">
        <v>308</v>
      </c>
      <c r="B365" t="s">
        <v>388</v>
      </c>
      <c r="C365" t="s">
        <v>8</v>
      </c>
      <c r="E365" s="3">
        <f t="shared" si="26"/>
        <v>2</v>
      </c>
      <c r="F365" s="5">
        <v>44194.625</v>
      </c>
      <c r="G365" s="19" t="str">
        <f t="shared" si="25"/>
        <v/>
      </c>
      <c r="J365" s="28">
        <f t="shared" si="27"/>
        <v>-7.2289156626506035E-2</v>
      </c>
      <c r="K365">
        <f t="shared" si="28"/>
        <v>1689</v>
      </c>
      <c r="L365" s="37">
        <f t="shared" si="29"/>
        <v>3901</v>
      </c>
    </row>
    <row r="366" spans="1:12">
      <c r="A366" s="3">
        <v>255</v>
      </c>
      <c r="B366" t="s">
        <v>389</v>
      </c>
      <c r="C366" t="s">
        <v>8</v>
      </c>
      <c r="E366" s="3">
        <f t="shared" si="26"/>
        <v>3</v>
      </c>
      <c r="F366" s="5">
        <v>44195.625</v>
      </c>
      <c r="G366" s="19" t="str">
        <f t="shared" si="25"/>
        <v/>
      </c>
      <c r="J366" s="28">
        <f t="shared" si="27"/>
        <v>-7.9422382671480163E-2</v>
      </c>
      <c r="K366">
        <f t="shared" si="28"/>
        <v>1667</v>
      </c>
      <c r="L366" s="37">
        <f t="shared" si="29"/>
        <v>3804</v>
      </c>
    </row>
    <row r="367" spans="1:12">
      <c r="A367" s="3">
        <v>254</v>
      </c>
      <c r="B367" t="s">
        <v>390</v>
      </c>
      <c r="C367" t="s">
        <v>8</v>
      </c>
      <c r="E367" s="3">
        <f t="shared" si="26"/>
        <v>4</v>
      </c>
      <c r="F367" s="5">
        <v>44196.625</v>
      </c>
      <c r="G367" s="19" t="str">
        <f t="shared" si="25"/>
        <v/>
      </c>
      <c r="J367" s="28">
        <f t="shared" si="27"/>
        <v>0.84057971014492749</v>
      </c>
      <c r="K367">
        <f t="shared" si="28"/>
        <v>1783</v>
      </c>
      <c r="L367" s="37">
        <f t="shared" si="29"/>
        <v>3734</v>
      </c>
    </row>
    <row r="368" spans="1:12">
      <c r="A368" s="3">
        <v>128</v>
      </c>
      <c r="B368" t="s">
        <v>391</v>
      </c>
      <c r="C368" t="s">
        <v>8</v>
      </c>
      <c r="E368" s="3">
        <f t="shared" si="26"/>
        <v>5</v>
      </c>
      <c r="F368" s="5">
        <v>44197.625</v>
      </c>
      <c r="G368" s="19" t="str">
        <f t="shared" si="25"/>
        <v/>
      </c>
      <c r="J368" s="28">
        <f t="shared" si="27"/>
        <v>-0.1847133757961783</v>
      </c>
      <c r="K368">
        <f t="shared" si="28"/>
        <v>1754</v>
      </c>
      <c r="L368" s="37">
        <f t="shared" si="29"/>
        <v>3468</v>
      </c>
    </row>
    <row r="369" spans="1:12">
      <c r="A369" s="3">
        <v>205</v>
      </c>
      <c r="B369" t="s">
        <v>392</v>
      </c>
      <c r="C369" t="s">
        <v>8</v>
      </c>
      <c r="E369" s="3">
        <f t="shared" si="26"/>
        <v>6</v>
      </c>
      <c r="F369" s="5">
        <v>44198.625</v>
      </c>
      <c r="G369" s="19" t="str">
        <f t="shared" si="25"/>
        <v/>
      </c>
      <c r="J369" s="28">
        <f t="shared" si="27"/>
        <v>0.12021857923497259</v>
      </c>
      <c r="K369">
        <f t="shared" si="28"/>
        <v>1776</v>
      </c>
      <c r="L369" s="37">
        <f t="shared" si="29"/>
        <v>3482</v>
      </c>
    </row>
    <row r="370" spans="1:12">
      <c r="A370" s="3">
        <v>169</v>
      </c>
      <c r="B370" t="s">
        <v>393</v>
      </c>
      <c r="C370" t="s">
        <v>8</v>
      </c>
      <c r="E370" s="3">
        <f t="shared" si="26"/>
        <v>7</v>
      </c>
      <c r="F370" s="5">
        <v>44199.625</v>
      </c>
      <c r="G370" s="19" t="str">
        <f t="shared" si="25"/>
        <v/>
      </c>
      <c r="J370" s="28">
        <f t="shared" si="27"/>
        <v>-0.11518324607329844</v>
      </c>
      <c r="K370">
        <f t="shared" si="28"/>
        <v>1754</v>
      </c>
      <c r="L370" s="37">
        <f t="shared" si="29"/>
        <v>3407</v>
      </c>
    </row>
    <row r="371" spans="1:12" s="41" customFormat="1">
      <c r="A371" s="40">
        <v>396</v>
      </c>
      <c r="B371" s="41" t="s">
        <v>394</v>
      </c>
      <c r="C371" s="41" t="s">
        <v>8</v>
      </c>
      <c r="E371" s="40">
        <f t="shared" si="26"/>
        <v>1</v>
      </c>
      <c r="F371" s="42">
        <v>44200.625</v>
      </c>
      <c r="G371" s="43" t="str">
        <f t="shared" si="25"/>
        <v>2021-W01</v>
      </c>
      <c r="H371" s="41">
        <f>SUM(A371:A377)</f>
        <v>1831</v>
      </c>
      <c r="I371" s="44">
        <f>H371/H364-1</f>
        <v>4.3899657924743485E-2</v>
      </c>
      <c r="J371" s="44">
        <f t="shared" si="27"/>
        <v>-8.9655172413793061E-2</v>
      </c>
      <c r="K371" s="41">
        <f t="shared" si="28"/>
        <v>1715</v>
      </c>
      <c r="L371" s="54">
        <f t="shared" si="29"/>
        <v>3428</v>
      </c>
    </row>
    <row r="372" spans="1:12">
      <c r="A372" s="3">
        <v>262</v>
      </c>
      <c r="B372" t="s">
        <v>395</v>
      </c>
      <c r="C372" t="s">
        <v>8</v>
      </c>
      <c r="E372" s="3">
        <f t="shared" si="26"/>
        <v>2</v>
      </c>
      <c r="F372" s="5">
        <v>44201.625</v>
      </c>
      <c r="G372" s="19" t="str">
        <f t="shared" si="25"/>
        <v/>
      </c>
      <c r="J372" s="28">
        <f t="shared" si="27"/>
        <v>-0.14935064935064934</v>
      </c>
      <c r="K372">
        <f t="shared" si="28"/>
        <v>1669</v>
      </c>
      <c r="L372" s="37">
        <f t="shared" si="29"/>
        <v>3358</v>
      </c>
    </row>
    <row r="373" spans="1:12">
      <c r="A373" s="3">
        <v>208</v>
      </c>
      <c r="B373" t="s">
        <v>396</v>
      </c>
      <c r="C373" t="s">
        <v>8</v>
      </c>
      <c r="E373" s="3">
        <f t="shared" si="26"/>
        <v>3</v>
      </c>
      <c r="F373" s="5">
        <v>44202.625</v>
      </c>
      <c r="G373" s="19" t="str">
        <f t="shared" si="25"/>
        <v/>
      </c>
      <c r="J373" s="28">
        <f t="shared" si="27"/>
        <v>-0.18431372549019609</v>
      </c>
      <c r="K373">
        <f t="shared" si="28"/>
        <v>1622</v>
      </c>
      <c r="L373" s="37">
        <f t="shared" si="29"/>
        <v>3289</v>
      </c>
    </row>
    <row r="374" spans="1:12">
      <c r="A374" s="3">
        <v>332</v>
      </c>
      <c r="B374" t="s">
        <v>397</v>
      </c>
      <c r="C374" t="s">
        <v>8</v>
      </c>
      <c r="E374" s="3">
        <f t="shared" si="26"/>
        <v>4</v>
      </c>
      <c r="F374" s="5">
        <v>44203.625</v>
      </c>
      <c r="G374" s="19" t="str">
        <f t="shared" si="25"/>
        <v/>
      </c>
      <c r="J374" s="28">
        <f t="shared" si="27"/>
        <v>0.30708661417322825</v>
      </c>
      <c r="K374">
        <f t="shared" si="28"/>
        <v>1700</v>
      </c>
      <c r="L374" s="37">
        <f t="shared" si="29"/>
        <v>3483</v>
      </c>
    </row>
    <row r="375" spans="1:12">
      <c r="A375" s="3">
        <v>252</v>
      </c>
      <c r="B375" t="s">
        <v>398</v>
      </c>
      <c r="C375" t="s">
        <v>8</v>
      </c>
      <c r="E375" s="3">
        <f t="shared" si="26"/>
        <v>5</v>
      </c>
      <c r="F375" s="5">
        <v>44204.625</v>
      </c>
      <c r="G375" s="19" t="str">
        <f t="shared" si="25"/>
        <v/>
      </c>
      <c r="J375" s="28">
        <f t="shared" si="27"/>
        <v>0.96875</v>
      </c>
      <c r="K375">
        <f t="shared" si="28"/>
        <v>1824</v>
      </c>
      <c r="L375" s="37">
        <f t="shared" si="29"/>
        <v>3578</v>
      </c>
    </row>
    <row r="376" spans="1:12">
      <c r="A376" s="3">
        <v>193</v>
      </c>
      <c r="B376" t="s">
        <v>399</v>
      </c>
      <c r="C376" t="s">
        <v>8</v>
      </c>
      <c r="E376" s="3">
        <f t="shared" si="26"/>
        <v>6</v>
      </c>
      <c r="F376" s="5">
        <v>44205.625</v>
      </c>
      <c r="G376" s="19" t="str">
        <f t="shared" si="25"/>
        <v/>
      </c>
      <c r="J376" s="28">
        <f t="shared" si="27"/>
        <v>-5.8536585365853711E-2</v>
      </c>
      <c r="K376">
        <f t="shared" si="28"/>
        <v>1812</v>
      </c>
      <c r="L376" s="37">
        <f t="shared" si="29"/>
        <v>3588</v>
      </c>
    </row>
    <row r="377" spans="1:12">
      <c r="A377" s="3">
        <v>188</v>
      </c>
      <c r="B377" t="s">
        <v>400</v>
      </c>
      <c r="C377" t="s">
        <v>8</v>
      </c>
      <c r="E377" s="3">
        <f t="shared" si="26"/>
        <v>7</v>
      </c>
      <c r="F377" s="5">
        <v>44206.625</v>
      </c>
      <c r="G377" s="19" t="str">
        <f t="shared" si="25"/>
        <v/>
      </c>
      <c r="J377" s="28">
        <f t="shared" si="27"/>
        <v>0.11242603550295849</v>
      </c>
      <c r="K377">
        <f t="shared" si="28"/>
        <v>1831</v>
      </c>
      <c r="L377" s="37">
        <f t="shared" si="29"/>
        <v>3585</v>
      </c>
    </row>
    <row r="378" spans="1:12">
      <c r="A378" s="3">
        <v>386</v>
      </c>
      <c r="B378" t="s">
        <v>401</v>
      </c>
      <c r="C378" t="s">
        <v>8</v>
      </c>
      <c r="E378" s="3">
        <f t="shared" si="26"/>
        <v>1</v>
      </c>
      <c r="F378" s="5">
        <v>44207.625</v>
      </c>
      <c r="G378" s="19" t="str">
        <f t="shared" si="25"/>
        <v>2021-W02</v>
      </c>
      <c r="H378">
        <f>SUM(A378:A384)</f>
        <v>1757</v>
      </c>
      <c r="I378" s="28">
        <f>H378/H371-1</f>
        <v>-4.0415073730202034E-2</v>
      </c>
      <c r="J378" s="28">
        <f t="shared" si="27"/>
        <v>-2.5252525252525304E-2</v>
      </c>
      <c r="K378">
        <f t="shared" si="28"/>
        <v>1821</v>
      </c>
      <c r="L378" s="37">
        <f t="shared" si="29"/>
        <v>3536</v>
      </c>
    </row>
    <row r="379" spans="1:12">
      <c r="A379" s="3">
        <v>229</v>
      </c>
      <c r="B379" t="s">
        <v>402</v>
      </c>
      <c r="C379" t="s">
        <v>8</v>
      </c>
      <c r="E379" s="3">
        <f t="shared" si="26"/>
        <v>2</v>
      </c>
      <c r="F379" s="5">
        <v>44208.625</v>
      </c>
      <c r="G379" s="19" t="str">
        <f t="shared" si="25"/>
        <v/>
      </c>
      <c r="J379" s="28">
        <f t="shared" si="27"/>
        <v>-0.12595419847328249</v>
      </c>
      <c r="K379">
        <f t="shared" si="28"/>
        <v>1788</v>
      </c>
      <c r="L379" s="37">
        <f t="shared" si="29"/>
        <v>3457</v>
      </c>
    </row>
    <row r="380" spans="1:12">
      <c r="A380" s="3">
        <v>259</v>
      </c>
      <c r="B380" t="s">
        <v>403</v>
      </c>
      <c r="C380" t="s">
        <v>8</v>
      </c>
      <c r="E380" s="3">
        <f t="shared" si="26"/>
        <v>3</v>
      </c>
      <c r="F380" s="5">
        <v>44209.625</v>
      </c>
      <c r="G380" s="19" t="str">
        <f t="shared" si="25"/>
        <v/>
      </c>
      <c r="J380" s="28">
        <f t="shared" si="27"/>
        <v>0.24519230769230771</v>
      </c>
      <c r="K380">
        <f t="shared" si="28"/>
        <v>1839</v>
      </c>
      <c r="L380" s="37">
        <f t="shared" si="29"/>
        <v>3461</v>
      </c>
    </row>
    <row r="381" spans="1:12">
      <c r="A381" s="3">
        <v>248</v>
      </c>
      <c r="B381" t="s">
        <v>404</v>
      </c>
      <c r="C381" t="s">
        <v>8</v>
      </c>
      <c r="E381" s="3">
        <f t="shared" si="26"/>
        <v>4</v>
      </c>
      <c r="F381" s="5">
        <v>44210.625</v>
      </c>
      <c r="G381" s="19" t="str">
        <f t="shared" si="25"/>
        <v/>
      </c>
      <c r="J381" s="28">
        <f t="shared" si="27"/>
        <v>-0.25301204819277112</v>
      </c>
      <c r="K381">
        <f t="shared" si="28"/>
        <v>1755</v>
      </c>
      <c r="L381" s="37">
        <f t="shared" si="29"/>
        <v>3455</v>
      </c>
    </row>
    <row r="382" spans="1:12">
      <c r="A382" s="3">
        <v>266</v>
      </c>
      <c r="B382" t="s">
        <v>405</v>
      </c>
      <c r="C382" t="s">
        <v>8</v>
      </c>
      <c r="E382" s="3">
        <f t="shared" si="26"/>
        <v>5</v>
      </c>
      <c r="F382" s="5">
        <v>44211.625</v>
      </c>
      <c r="G382" s="19" t="str">
        <f t="shared" si="25"/>
        <v/>
      </c>
      <c r="J382" s="28">
        <f t="shared" si="27"/>
        <v>5.555555555555558E-2</v>
      </c>
      <c r="K382">
        <f t="shared" si="28"/>
        <v>1769</v>
      </c>
      <c r="L382" s="37">
        <f t="shared" si="29"/>
        <v>3593</v>
      </c>
    </row>
    <row r="383" spans="1:12">
      <c r="A383" s="3">
        <v>171</v>
      </c>
      <c r="B383" t="s">
        <v>406</v>
      </c>
      <c r="C383" t="s">
        <v>8</v>
      </c>
      <c r="E383" s="3">
        <f t="shared" ref="E383:E446" si="30">WEEKDAY(F383,2)</f>
        <v>6</v>
      </c>
      <c r="F383" s="5">
        <v>44212.625</v>
      </c>
      <c r="G383" s="19" t="str">
        <f t="shared" si="25"/>
        <v/>
      </c>
      <c r="J383" s="28">
        <f t="shared" si="27"/>
        <v>-0.11398963730569944</v>
      </c>
      <c r="K383">
        <f t="shared" si="28"/>
        <v>1747</v>
      </c>
      <c r="L383" s="37">
        <f t="shared" si="29"/>
        <v>3559</v>
      </c>
    </row>
    <row r="384" spans="1:12">
      <c r="A384" s="3">
        <v>198</v>
      </c>
      <c r="B384" t="s">
        <v>407</v>
      </c>
      <c r="C384" t="s">
        <v>8</v>
      </c>
      <c r="E384" s="3">
        <f t="shared" si="30"/>
        <v>7</v>
      </c>
      <c r="F384" s="5">
        <v>44213.625</v>
      </c>
      <c r="G384" s="19" t="str">
        <f t="shared" si="25"/>
        <v/>
      </c>
      <c r="J384" s="28">
        <f t="shared" si="27"/>
        <v>5.3191489361702038E-2</v>
      </c>
      <c r="K384">
        <f t="shared" si="28"/>
        <v>1757</v>
      </c>
      <c r="L384" s="37">
        <f t="shared" si="29"/>
        <v>3588</v>
      </c>
    </row>
    <row r="385" spans="1:12">
      <c r="A385" s="3">
        <v>448</v>
      </c>
      <c r="B385" t="s">
        <v>408</v>
      </c>
      <c r="C385" t="s">
        <v>8</v>
      </c>
      <c r="E385" s="3">
        <f t="shared" si="30"/>
        <v>1</v>
      </c>
      <c r="F385" s="5">
        <v>44214.625</v>
      </c>
      <c r="G385" s="19" t="str">
        <f t="shared" si="25"/>
        <v>2021-W03</v>
      </c>
      <c r="H385">
        <f>SUM(A385:A391)</f>
        <v>2349</v>
      </c>
      <c r="I385" s="28">
        <f>H385/H378-1</f>
        <v>0.3369379624359703</v>
      </c>
      <c r="J385" s="28">
        <f t="shared" si="27"/>
        <v>0.16062176165803099</v>
      </c>
      <c r="K385">
        <f t="shared" si="28"/>
        <v>1819</v>
      </c>
      <c r="L385" s="37">
        <f t="shared" si="29"/>
        <v>3640</v>
      </c>
    </row>
    <row r="386" spans="1:12">
      <c r="A386" s="3">
        <v>342</v>
      </c>
      <c r="B386" t="s">
        <v>409</v>
      </c>
      <c r="C386" t="s">
        <v>8</v>
      </c>
      <c r="E386" s="3">
        <f t="shared" si="30"/>
        <v>2</v>
      </c>
      <c r="F386" s="5">
        <v>44215.625</v>
      </c>
      <c r="G386" s="19" t="str">
        <f t="shared" si="25"/>
        <v/>
      </c>
      <c r="J386" s="28">
        <f t="shared" si="27"/>
        <v>0.49344978165938858</v>
      </c>
      <c r="K386">
        <f t="shared" si="28"/>
        <v>1932</v>
      </c>
      <c r="L386" s="37">
        <f t="shared" si="29"/>
        <v>3720</v>
      </c>
    </row>
    <row r="387" spans="1:12">
      <c r="A387" s="3">
        <v>406</v>
      </c>
      <c r="B387" t="s">
        <v>410</v>
      </c>
      <c r="C387" t="s">
        <v>8</v>
      </c>
      <c r="E387" s="3">
        <f t="shared" si="30"/>
        <v>3</v>
      </c>
      <c r="F387" s="5">
        <v>44216.625</v>
      </c>
      <c r="G387" s="19" t="str">
        <f t="shared" ref="G387:G450" si="31">IF(WEEKDAY(F387,2)=1,YEAR(F387)&amp;"-W"&amp;TEXT(WEEKNUM(F387,14),"00"),"")</f>
        <v/>
      </c>
      <c r="J387" s="28">
        <f t="shared" si="27"/>
        <v>0.56756756756756754</v>
      </c>
      <c r="K387">
        <f t="shared" si="28"/>
        <v>2079</v>
      </c>
      <c r="L387" s="37">
        <f t="shared" si="29"/>
        <v>3918</v>
      </c>
    </row>
    <row r="388" spans="1:12">
      <c r="A388" s="3">
        <v>377</v>
      </c>
      <c r="B388" t="s">
        <v>411</v>
      </c>
      <c r="C388" t="s">
        <v>8</v>
      </c>
      <c r="E388" s="3">
        <f t="shared" si="30"/>
        <v>4</v>
      </c>
      <c r="F388" s="5">
        <v>44217.625</v>
      </c>
      <c r="G388" s="19" t="str">
        <f t="shared" si="31"/>
        <v/>
      </c>
      <c r="J388" s="28">
        <f t="shared" si="27"/>
        <v>0.52016129032258074</v>
      </c>
      <c r="K388">
        <f t="shared" si="28"/>
        <v>2208</v>
      </c>
      <c r="L388" s="37">
        <f t="shared" si="29"/>
        <v>3963</v>
      </c>
    </row>
    <row r="389" spans="1:12">
      <c r="A389" s="3">
        <v>361</v>
      </c>
      <c r="B389" t="s">
        <v>412</v>
      </c>
      <c r="C389" t="s">
        <v>8</v>
      </c>
      <c r="E389" s="3">
        <f t="shared" si="30"/>
        <v>5</v>
      </c>
      <c r="F389" s="5">
        <v>44218.625</v>
      </c>
      <c r="G389" s="19" t="str">
        <f t="shared" si="31"/>
        <v/>
      </c>
      <c r="J389" s="28">
        <f t="shared" si="27"/>
        <v>0.35714285714285721</v>
      </c>
      <c r="K389">
        <f t="shared" si="28"/>
        <v>2303</v>
      </c>
      <c r="L389" s="37">
        <f t="shared" si="29"/>
        <v>4072</v>
      </c>
    </row>
    <row r="390" spans="1:12">
      <c r="A390" s="3">
        <v>168</v>
      </c>
      <c r="B390" t="s">
        <v>413</v>
      </c>
      <c r="C390" t="s">
        <v>8</v>
      </c>
      <c r="E390" s="3">
        <f t="shared" si="30"/>
        <v>6</v>
      </c>
      <c r="F390" s="5">
        <v>44219.625</v>
      </c>
      <c r="G390" s="19" t="str">
        <f t="shared" si="31"/>
        <v/>
      </c>
      <c r="J390" s="28">
        <f t="shared" si="27"/>
        <v>-1.7543859649122862E-2</v>
      </c>
      <c r="K390">
        <f t="shared" si="28"/>
        <v>2300</v>
      </c>
      <c r="L390" s="37">
        <f t="shared" si="29"/>
        <v>4047</v>
      </c>
    </row>
    <row r="391" spans="1:12">
      <c r="A391" s="3">
        <v>247</v>
      </c>
      <c r="B391" t="s">
        <v>414</v>
      </c>
      <c r="C391" t="s">
        <v>8</v>
      </c>
      <c r="E391" s="3">
        <f t="shared" si="30"/>
        <v>7</v>
      </c>
      <c r="F391" s="5">
        <v>44220.625</v>
      </c>
      <c r="G391" s="19" t="str">
        <f t="shared" si="31"/>
        <v/>
      </c>
      <c r="J391" s="28">
        <f t="shared" si="27"/>
        <v>0.2474747474747474</v>
      </c>
      <c r="K391">
        <f t="shared" si="28"/>
        <v>2349</v>
      </c>
      <c r="L391" s="37">
        <f t="shared" si="29"/>
        <v>4106</v>
      </c>
    </row>
    <row r="392" spans="1:12">
      <c r="A392" s="3">
        <v>604</v>
      </c>
      <c r="B392" t="s">
        <v>415</v>
      </c>
      <c r="C392" t="s">
        <v>8</v>
      </c>
      <c r="E392" s="3">
        <f t="shared" si="30"/>
        <v>1</v>
      </c>
      <c r="F392" s="5">
        <v>44221.625</v>
      </c>
      <c r="G392" s="19" t="str">
        <f t="shared" si="31"/>
        <v>2021-W04</v>
      </c>
      <c r="H392">
        <f>SUM(A392:A398)</f>
        <v>2704</v>
      </c>
      <c r="I392" s="28">
        <f>H392/H385-1</f>
        <v>0.15112813963388683</v>
      </c>
      <c r="J392" s="28">
        <f t="shared" si="27"/>
        <v>0.34821428571428581</v>
      </c>
      <c r="K392">
        <f t="shared" si="28"/>
        <v>2505</v>
      </c>
      <c r="L392" s="37">
        <f t="shared" si="29"/>
        <v>4324</v>
      </c>
    </row>
    <row r="393" spans="1:12">
      <c r="A393" s="3">
        <v>397</v>
      </c>
      <c r="B393" t="s">
        <v>416</v>
      </c>
      <c r="C393" t="s">
        <v>8</v>
      </c>
      <c r="E393" s="3">
        <f t="shared" si="30"/>
        <v>2</v>
      </c>
      <c r="F393" s="5">
        <v>44222.625</v>
      </c>
      <c r="G393" s="19" t="str">
        <f t="shared" si="31"/>
        <v/>
      </c>
      <c r="J393" s="28">
        <f t="shared" ref="J393:J456" si="32">A393/A386-1</f>
        <v>0.16081871345029231</v>
      </c>
      <c r="K393">
        <f t="shared" si="28"/>
        <v>2560</v>
      </c>
      <c r="L393" s="37">
        <f t="shared" si="29"/>
        <v>4492</v>
      </c>
    </row>
    <row r="394" spans="1:12">
      <c r="A394" s="3">
        <v>382</v>
      </c>
      <c r="B394" t="s">
        <v>417</v>
      </c>
      <c r="C394" t="s">
        <v>8</v>
      </c>
      <c r="E394" s="3">
        <f t="shared" si="30"/>
        <v>3</v>
      </c>
      <c r="F394" s="5">
        <v>44223.625</v>
      </c>
      <c r="G394" s="19" t="str">
        <f t="shared" si="31"/>
        <v/>
      </c>
      <c r="J394" s="28">
        <f t="shared" si="32"/>
        <v>-5.9113300492610876E-2</v>
      </c>
      <c r="K394">
        <f t="shared" si="28"/>
        <v>2536</v>
      </c>
      <c r="L394" s="37">
        <f t="shared" si="29"/>
        <v>4615</v>
      </c>
    </row>
    <row r="395" spans="1:12">
      <c r="A395" s="3">
        <v>435</v>
      </c>
      <c r="B395" t="s">
        <v>418</v>
      </c>
      <c r="C395" t="s">
        <v>8</v>
      </c>
      <c r="E395" s="3">
        <f t="shared" si="30"/>
        <v>4</v>
      </c>
      <c r="F395" s="5">
        <v>44224.625</v>
      </c>
      <c r="G395" s="19" t="str">
        <f t="shared" si="31"/>
        <v/>
      </c>
      <c r="J395" s="28">
        <f t="shared" si="32"/>
        <v>0.15384615384615374</v>
      </c>
      <c r="K395">
        <f t="shared" si="28"/>
        <v>2594</v>
      </c>
      <c r="L395" s="37">
        <f t="shared" si="29"/>
        <v>4802</v>
      </c>
    </row>
    <row r="396" spans="1:12">
      <c r="A396" s="3">
        <v>379</v>
      </c>
      <c r="B396" t="s">
        <v>419</v>
      </c>
      <c r="C396" t="s">
        <v>8</v>
      </c>
      <c r="E396" s="3">
        <f t="shared" si="30"/>
        <v>5</v>
      </c>
      <c r="F396" s="5">
        <v>44225.625</v>
      </c>
      <c r="G396" s="19" t="str">
        <f t="shared" si="31"/>
        <v/>
      </c>
      <c r="J396" s="28">
        <f t="shared" si="32"/>
        <v>4.9861495844875314E-2</v>
      </c>
      <c r="K396">
        <f t="shared" si="28"/>
        <v>2612</v>
      </c>
      <c r="L396" s="37">
        <f t="shared" si="29"/>
        <v>4915</v>
      </c>
    </row>
    <row r="397" spans="1:12">
      <c r="A397" s="3">
        <v>233</v>
      </c>
      <c r="B397" t="s">
        <v>421</v>
      </c>
      <c r="C397" t="s">
        <v>8</v>
      </c>
      <c r="E397" s="3">
        <f t="shared" si="30"/>
        <v>6</v>
      </c>
      <c r="F397" s="5">
        <v>44226.625</v>
      </c>
      <c r="G397" s="19" t="str">
        <f t="shared" si="31"/>
        <v/>
      </c>
      <c r="J397" s="28">
        <f t="shared" si="32"/>
        <v>0.38690476190476186</v>
      </c>
      <c r="K397">
        <f t="shared" si="28"/>
        <v>2677</v>
      </c>
      <c r="L397" s="37">
        <f t="shared" si="29"/>
        <v>4977</v>
      </c>
    </row>
    <row r="398" spans="1:12">
      <c r="A398" s="3">
        <v>274</v>
      </c>
      <c r="B398" t="s">
        <v>422</v>
      </c>
      <c r="C398" t="s">
        <v>8</v>
      </c>
      <c r="E398" s="3">
        <f t="shared" si="30"/>
        <v>7</v>
      </c>
      <c r="F398" s="5">
        <v>44227.625</v>
      </c>
      <c r="G398" s="19" t="str">
        <f t="shared" si="31"/>
        <v/>
      </c>
      <c r="J398" s="28">
        <f t="shared" si="32"/>
        <v>0.10931174089068829</v>
      </c>
      <c r="K398">
        <f t="shared" si="28"/>
        <v>2704</v>
      </c>
      <c r="L398" s="37">
        <f t="shared" si="29"/>
        <v>5053</v>
      </c>
    </row>
    <row r="399" spans="1:12">
      <c r="A399" s="3">
        <v>534</v>
      </c>
      <c r="B399" t="s">
        <v>423</v>
      </c>
      <c r="C399" t="s">
        <v>8</v>
      </c>
      <c r="E399" s="3">
        <f t="shared" si="30"/>
        <v>1</v>
      </c>
      <c r="F399" s="5">
        <v>44228.625</v>
      </c>
      <c r="G399" s="19" t="str">
        <f t="shared" si="31"/>
        <v>2021-W05</v>
      </c>
      <c r="H399">
        <f>SUM(A399:A405)</f>
        <v>2611</v>
      </c>
      <c r="I399" s="28">
        <f>H399/H392-1</f>
        <v>-3.4393491124260378E-2</v>
      </c>
      <c r="J399" s="28">
        <f t="shared" si="32"/>
        <v>-0.11589403973509937</v>
      </c>
      <c r="K399">
        <f t="shared" si="28"/>
        <v>2634</v>
      </c>
      <c r="L399" s="37">
        <f t="shared" si="29"/>
        <v>5139</v>
      </c>
    </row>
    <row r="400" spans="1:12">
      <c r="A400" s="3">
        <v>396</v>
      </c>
      <c r="B400" t="s">
        <v>424</v>
      </c>
      <c r="C400" t="s">
        <v>8</v>
      </c>
      <c r="E400" s="3">
        <f t="shared" si="30"/>
        <v>2</v>
      </c>
      <c r="F400" s="5">
        <v>44229.625</v>
      </c>
      <c r="G400" s="19" t="str">
        <f t="shared" si="31"/>
        <v/>
      </c>
      <c r="J400" s="28">
        <f t="shared" si="32"/>
        <v>-2.5188916876573986E-3</v>
      </c>
      <c r="K400">
        <f t="shared" si="28"/>
        <v>2633</v>
      </c>
      <c r="L400" s="37">
        <f t="shared" si="29"/>
        <v>5193</v>
      </c>
    </row>
    <row r="401" spans="1:12">
      <c r="A401" s="3">
        <v>441</v>
      </c>
      <c r="B401" t="s">
        <v>425</v>
      </c>
      <c r="C401" t="s">
        <v>8</v>
      </c>
      <c r="E401" s="3">
        <f t="shared" si="30"/>
        <v>3</v>
      </c>
      <c r="F401" s="5">
        <v>44230.625</v>
      </c>
      <c r="G401" s="19" t="str">
        <f t="shared" si="31"/>
        <v/>
      </c>
      <c r="J401" s="28">
        <f t="shared" si="32"/>
        <v>0.15445026178010468</v>
      </c>
      <c r="K401">
        <f t="shared" si="28"/>
        <v>2692</v>
      </c>
      <c r="L401" s="37">
        <f t="shared" si="29"/>
        <v>5228</v>
      </c>
    </row>
    <row r="402" spans="1:12">
      <c r="A402" s="3">
        <v>372</v>
      </c>
      <c r="B402" t="s">
        <v>426</v>
      </c>
      <c r="C402" t="s">
        <v>8</v>
      </c>
      <c r="E402" s="3">
        <f t="shared" si="30"/>
        <v>4</v>
      </c>
      <c r="F402" s="5">
        <v>44231.625</v>
      </c>
      <c r="G402" s="19" t="str">
        <f t="shared" si="31"/>
        <v/>
      </c>
      <c r="J402" s="28">
        <f t="shared" si="32"/>
        <v>-0.14482758620689651</v>
      </c>
      <c r="K402">
        <f t="shared" si="28"/>
        <v>2629</v>
      </c>
      <c r="L402" s="37">
        <f t="shared" si="29"/>
        <v>5223</v>
      </c>
    </row>
    <row r="403" spans="1:12">
      <c r="A403" s="3">
        <v>367</v>
      </c>
      <c r="B403" t="s">
        <v>427</v>
      </c>
      <c r="C403" t="s">
        <v>8</v>
      </c>
      <c r="E403" s="3">
        <f t="shared" si="30"/>
        <v>5</v>
      </c>
      <c r="F403" s="5">
        <v>44232.625</v>
      </c>
      <c r="G403" s="19" t="str">
        <f t="shared" si="31"/>
        <v/>
      </c>
      <c r="J403" s="28">
        <f t="shared" si="32"/>
        <v>-3.1662269129287601E-2</v>
      </c>
      <c r="K403">
        <f t="shared" si="28"/>
        <v>2617</v>
      </c>
      <c r="L403" s="37">
        <f t="shared" si="29"/>
        <v>5229</v>
      </c>
    </row>
    <row r="404" spans="1:12">
      <c r="A404" s="3">
        <v>237</v>
      </c>
      <c r="B404" t="s">
        <v>428</v>
      </c>
      <c r="C404" t="s">
        <v>8</v>
      </c>
      <c r="E404" s="3">
        <f t="shared" si="30"/>
        <v>6</v>
      </c>
      <c r="F404" s="5">
        <v>44233.625</v>
      </c>
      <c r="G404" s="19" t="str">
        <f t="shared" si="31"/>
        <v/>
      </c>
      <c r="J404" s="28">
        <f t="shared" si="32"/>
        <v>1.716738197424883E-2</v>
      </c>
      <c r="K404">
        <f t="shared" si="28"/>
        <v>2621</v>
      </c>
      <c r="L404" s="37">
        <f t="shared" si="29"/>
        <v>5298</v>
      </c>
    </row>
    <row r="405" spans="1:12">
      <c r="A405" s="3">
        <v>264</v>
      </c>
      <c r="B405" t="s">
        <v>429</v>
      </c>
      <c r="C405" t="s">
        <v>8</v>
      </c>
      <c r="E405" s="3">
        <f t="shared" si="30"/>
        <v>7</v>
      </c>
      <c r="F405" s="5">
        <v>44234.625</v>
      </c>
      <c r="G405" s="19" t="str">
        <f t="shared" si="31"/>
        <v/>
      </c>
      <c r="J405" s="28">
        <f t="shared" si="32"/>
        <v>-3.6496350364963459E-2</v>
      </c>
      <c r="K405">
        <f t="shared" ref="K405:K468" si="33">SUM(A399:A405)</f>
        <v>2611</v>
      </c>
      <c r="L405" s="37">
        <f t="shared" ref="L405:L468" si="34">SUM(A392:A405)</f>
        <v>5315</v>
      </c>
    </row>
    <row r="406" spans="1:12">
      <c r="A406" s="3">
        <v>461</v>
      </c>
      <c r="B406" t="s">
        <v>437</v>
      </c>
      <c r="C406" t="s">
        <v>8</v>
      </c>
      <c r="E406" s="3">
        <f t="shared" si="30"/>
        <v>1</v>
      </c>
      <c r="F406" s="5">
        <v>44235.625</v>
      </c>
      <c r="G406" s="19" t="str">
        <f t="shared" si="31"/>
        <v>2021-W06</v>
      </c>
      <c r="H406">
        <f>SUM(A406:A412)</f>
        <v>2556</v>
      </c>
      <c r="I406" s="28">
        <f>H406/H399-1</f>
        <v>-2.1064726158559921E-2</v>
      </c>
      <c r="J406" s="28">
        <f t="shared" si="32"/>
        <v>-0.13670411985018727</v>
      </c>
      <c r="K406">
        <f t="shared" si="33"/>
        <v>2538</v>
      </c>
      <c r="L406" s="37">
        <f t="shared" si="34"/>
        <v>5172</v>
      </c>
    </row>
    <row r="407" spans="1:12">
      <c r="A407" s="3">
        <v>373</v>
      </c>
      <c r="B407" t="s">
        <v>438</v>
      </c>
      <c r="C407" t="s">
        <v>8</v>
      </c>
      <c r="E407" s="3">
        <f t="shared" si="30"/>
        <v>2</v>
      </c>
      <c r="F407" s="5">
        <v>44236.625</v>
      </c>
      <c r="G407" s="19" t="str">
        <f t="shared" si="31"/>
        <v/>
      </c>
      <c r="J407" s="28">
        <f t="shared" si="32"/>
        <v>-5.8080808080808066E-2</v>
      </c>
      <c r="K407">
        <f t="shared" si="33"/>
        <v>2515</v>
      </c>
      <c r="L407" s="37">
        <f t="shared" si="34"/>
        <v>5148</v>
      </c>
    </row>
    <row r="408" spans="1:12">
      <c r="A408" s="3">
        <v>383</v>
      </c>
      <c r="B408" t="s">
        <v>439</v>
      </c>
      <c r="C408" t="s">
        <v>8</v>
      </c>
      <c r="E408" s="3">
        <f t="shared" si="30"/>
        <v>3</v>
      </c>
      <c r="F408" s="5">
        <v>44237.625</v>
      </c>
      <c r="G408" s="19" t="str">
        <f t="shared" si="31"/>
        <v/>
      </c>
      <c r="J408" s="28">
        <f t="shared" si="32"/>
        <v>-0.13151927437641719</v>
      </c>
      <c r="K408">
        <f t="shared" si="33"/>
        <v>2457</v>
      </c>
      <c r="L408" s="37">
        <f t="shared" si="34"/>
        <v>5149</v>
      </c>
    </row>
    <row r="409" spans="1:12">
      <c r="A409" s="3">
        <v>361</v>
      </c>
      <c r="B409" t="s">
        <v>440</v>
      </c>
      <c r="C409" t="s">
        <v>8</v>
      </c>
      <c r="E409" s="3">
        <f t="shared" si="30"/>
        <v>4</v>
      </c>
      <c r="F409" s="5">
        <v>44238.625</v>
      </c>
      <c r="G409" s="19" t="str">
        <f t="shared" si="31"/>
        <v/>
      </c>
      <c r="J409" s="28">
        <f t="shared" si="32"/>
        <v>-2.9569892473118253E-2</v>
      </c>
      <c r="K409">
        <f t="shared" si="33"/>
        <v>2446</v>
      </c>
      <c r="L409" s="37">
        <f t="shared" si="34"/>
        <v>5075</v>
      </c>
    </row>
    <row r="410" spans="1:12">
      <c r="A410" s="3">
        <v>418</v>
      </c>
      <c r="B410" t="s">
        <v>441</v>
      </c>
      <c r="C410" t="s">
        <v>8</v>
      </c>
      <c r="E410" s="3">
        <f t="shared" si="30"/>
        <v>5</v>
      </c>
      <c r="F410" s="5">
        <v>44239.625</v>
      </c>
      <c r="G410" s="19" t="str">
        <f t="shared" si="31"/>
        <v/>
      </c>
      <c r="J410" s="28">
        <f t="shared" si="32"/>
        <v>0.13896457765667569</v>
      </c>
      <c r="K410">
        <f t="shared" si="33"/>
        <v>2497</v>
      </c>
      <c r="L410" s="37">
        <f t="shared" si="34"/>
        <v>5114</v>
      </c>
    </row>
    <row r="411" spans="1:12">
      <c r="A411" s="3">
        <v>279</v>
      </c>
      <c r="B411" t="s">
        <v>442</v>
      </c>
      <c r="C411" t="s">
        <v>8</v>
      </c>
      <c r="E411" s="3">
        <f t="shared" si="30"/>
        <v>6</v>
      </c>
      <c r="F411" s="5">
        <v>44240.625</v>
      </c>
      <c r="G411" s="19" t="str">
        <f t="shared" si="31"/>
        <v/>
      </c>
      <c r="J411" s="28">
        <f t="shared" si="32"/>
        <v>0.17721518987341778</v>
      </c>
      <c r="K411">
        <f t="shared" si="33"/>
        <v>2539</v>
      </c>
      <c r="L411" s="37">
        <f t="shared" si="34"/>
        <v>5160</v>
      </c>
    </row>
    <row r="412" spans="1:12">
      <c r="A412" s="3">
        <v>281</v>
      </c>
      <c r="B412" t="s">
        <v>443</v>
      </c>
      <c r="C412" t="s">
        <v>8</v>
      </c>
      <c r="E412" s="3">
        <f t="shared" si="30"/>
        <v>7</v>
      </c>
      <c r="F412" s="5">
        <v>44241.625</v>
      </c>
      <c r="G412" s="19" t="str">
        <f t="shared" si="31"/>
        <v/>
      </c>
      <c r="J412" s="28">
        <f t="shared" si="32"/>
        <v>6.4393939393939448E-2</v>
      </c>
      <c r="K412">
        <f t="shared" si="33"/>
        <v>2556</v>
      </c>
      <c r="L412" s="37">
        <f t="shared" si="34"/>
        <v>5167</v>
      </c>
    </row>
    <row r="413" spans="1:12" s="51" customFormat="1">
      <c r="A413" s="50">
        <v>617</v>
      </c>
      <c r="B413" s="51" t="s">
        <v>444</v>
      </c>
      <c r="C413" s="51" t="s">
        <v>8</v>
      </c>
      <c r="E413" s="50">
        <f t="shared" si="30"/>
        <v>1</v>
      </c>
      <c r="F413" s="52">
        <v>44242.625</v>
      </c>
      <c r="G413" s="43" t="str">
        <f t="shared" si="31"/>
        <v>2021-W07</v>
      </c>
      <c r="H413" s="51">
        <f>SUM(A413:A419)</f>
        <v>3543</v>
      </c>
      <c r="I413" s="53">
        <f>H413/H406-1</f>
        <v>0.386150234741784</v>
      </c>
      <c r="J413" s="44">
        <f t="shared" si="32"/>
        <v>0.33839479392624727</v>
      </c>
      <c r="K413" s="41">
        <f t="shared" si="33"/>
        <v>2712</v>
      </c>
      <c r="L413" s="54">
        <f t="shared" si="34"/>
        <v>5250</v>
      </c>
    </row>
    <row r="414" spans="1:12">
      <c r="A414" s="3">
        <v>514</v>
      </c>
      <c r="B414" t="s">
        <v>445</v>
      </c>
      <c r="C414" t="s">
        <v>8</v>
      </c>
      <c r="E414" s="3">
        <f t="shared" si="30"/>
        <v>2</v>
      </c>
      <c r="F414" s="5">
        <v>44243.625</v>
      </c>
      <c r="G414" s="19" t="str">
        <f t="shared" si="31"/>
        <v/>
      </c>
      <c r="J414" s="28">
        <f t="shared" si="32"/>
        <v>0.37801608579088475</v>
      </c>
      <c r="K414">
        <f t="shared" si="33"/>
        <v>2853</v>
      </c>
      <c r="L414" s="37">
        <f t="shared" si="34"/>
        <v>5368</v>
      </c>
    </row>
    <row r="415" spans="1:12">
      <c r="A415" s="3">
        <v>553</v>
      </c>
      <c r="B415" t="s">
        <v>446</v>
      </c>
      <c r="C415" t="s">
        <v>8</v>
      </c>
      <c r="E415" s="3">
        <f t="shared" si="30"/>
        <v>3</v>
      </c>
      <c r="F415" s="5">
        <v>44244.625</v>
      </c>
      <c r="G415" s="19" t="str">
        <f t="shared" si="31"/>
        <v/>
      </c>
      <c r="J415" s="28">
        <f t="shared" si="32"/>
        <v>0.44386422976501305</v>
      </c>
      <c r="K415">
        <f t="shared" si="33"/>
        <v>3023</v>
      </c>
      <c r="L415" s="37">
        <f t="shared" si="34"/>
        <v>5480</v>
      </c>
    </row>
    <row r="416" spans="1:12">
      <c r="A416" s="3">
        <v>613</v>
      </c>
      <c r="B416" t="s">
        <v>447</v>
      </c>
      <c r="C416" t="s">
        <v>8</v>
      </c>
      <c r="E416" s="3">
        <f t="shared" si="30"/>
        <v>4</v>
      </c>
      <c r="F416" s="5">
        <v>44245.625</v>
      </c>
      <c r="G416" s="19" t="str">
        <f t="shared" si="31"/>
        <v/>
      </c>
      <c r="J416" s="28">
        <f t="shared" si="32"/>
        <v>0.69806094182825484</v>
      </c>
      <c r="K416">
        <f t="shared" si="33"/>
        <v>3275</v>
      </c>
      <c r="L416" s="37">
        <f t="shared" si="34"/>
        <v>5721</v>
      </c>
    </row>
    <row r="417" spans="1:12">
      <c r="A417" s="3">
        <v>573</v>
      </c>
      <c r="B417" t="s">
        <v>448</v>
      </c>
      <c r="C417" t="s">
        <v>8</v>
      </c>
      <c r="E417" s="3">
        <f t="shared" si="30"/>
        <v>5</v>
      </c>
      <c r="F417" s="5">
        <v>44246.625</v>
      </c>
      <c r="G417" s="19" t="str">
        <f t="shared" si="31"/>
        <v/>
      </c>
      <c r="J417" s="28">
        <f t="shared" si="32"/>
        <v>0.37081339712918671</v>
      </c>
      <c r="K417">
        <f t="shared" si="33"/>
        <v>3430</v>
      </c>
      <c r="L417" s="37">
        <f t="shared" si="34"/>
        <v>5927</v>
      </c>
    </row>
    <row r="418" spans="1:12">
      <c r="A418" s="3">
        <v>318</v>
      </c>
      <c r="B418" t="s">
        <v>450</v>
      </c>
      <c r="C418" t="s">
        <v>8</v>
      </c>
      <c r="E418" s="3">
        <f t="shared" si="30"/>
        <v>6</v>
      </c>
      <c r="F418" s="5">
        <v>44247.625</v>
      </c>
      <c r="G418" s="19" t="str">
        <f t="shared" si="31"/>
        <v/>
      </c>
      <c r="J418" s="28">
        <f t="shared" si="32"/>
        <v>0.13978494623655924</v>
      </c>
      <c r="K418">
        <f t="shared" si="33"/>
        <v>3469</v>
      </c>
      <c r="L418" s="37">
        <f t="shared" si="34"/>
        <v>6008</v>
      </c>
    </row>
    <row r="419" spans="1:12">
      <c r="A419" s="3">
        <v>355</v>
      </c>
      <c r="B419" t="s">
        <v>451</v>
      </c>
      <c r="C419" t="s">
        <v>8</v>
      </c>
      <c r="E419" s="3">
        <f t="shared" si="30"/>
        <v>7</v>
      </c>
      <c r="F419" s="5">
        <v>44248.625</v>
      </c>
      <c r="G419" s="19" t="str">
        <f t="shared" si="31"/>
        <v/>
      </c>
      <c r="J419" s="28">
        <f t="shared" si="32"/>
        <v>0.26334519572953741</v>
      </c>
      <c r="K419">
        <f t="shared" si="33"/>
        <v>3543</v>
      </c>
      <c r="L419" s="37">
        <f t="shared" si="34"/>
        <v>6099</v>
      </c>
    </row>
    <row r="420" spans="1:12" s="41" customFormat="1">
      <c r="A420" s="40">
        <v>624</v>
      </c>
      <c r="B420" s="41" t="s">
        <v>452</v>
      </c>
      <c r="C420" s="41" t="s">
        <v>8</v>
      </c>
      <c r="E420" s="40">
        <f t="shared" si="30"/>
        <v>1</v>
      </c>
      <c r="F420" s="42">
        <v>44249.625</v>
      </c>
      <c r="G420" s="43" t="str">
        <f t="shared" si="31"/>
        <v>2021-W08</v>
      </c>
      <c r="H420" s="41">
        <f>SUM(A420:A426)</f>
        <v>3993</v>
      </c>
      <c r="I420" s="44">
        <f>H420/H413-1</f>
        <v>0.12701100762066053</v>
      </c>
      <c r="J420" s="44">
        <f t="shared" si="32"/>
        <v>1.1345218800648205E-2</v>
      </c>
      <c r="K420" s="41">
        <f t="shared" si="33"/>
        <v>3550</v>
      </c>
      <c r="L420" s="54">
        <f t="shared" si="34"/>
        <v>6262</v>
      </c>
    </row>
    <row r="421" spans="1:12">
      <c r="A421" s="3">
        <v>626</v>
      </c>
      <c r="B421" t="s">
        <v>455</v>
      </c>
      <c r="C421" t="s">
        <v>8</v>
      </c>
      <c r="E421" s="3">
        <f t="shared" si="30"/>
        <v>2</v>
      </c>
      <c r="F421" s="5">
        <v>44250.625</v>
      </c>
      <c r="G421" s="19" t="str">
        <f t="shared" si="31"/>
        <v/>
      </c>
      <c r="J421" s="28">
        <f t="shared" si="32"/>
        <v>0.21789883268482479</v>
      </c>
      <c r="K421">
        <f t="shared" si="33"/>
        <v>3662</v>
      </c>
      <c r="L421" s="37">
        <f t="shared" si="34"/>
        <v>6515</v>
      </c>
    </row>
    <row r="422" spans="1:12">
      <c r="A422" s="3">
        <v>599</v>
      </c>
      <c r="B422" t="s">
        <v>461</v>
      </c>
      <c r="C422" t="s">
        <v>8</v>
      </c>
      <c r="E422" s="3">
        <f t="shared" si="30"/>
        <v>3</v>
      </c>
      <c r="F422" s="5">
        <v>44251.625</v>
      </c>
      <c r="G422" s="19" t="str">
        <f t="shared" si="31"/>
        <v/>
      </c>
      <c r="J422" s="28">
        <f t="shared" si="32"/>
        <v>8.3182640144665365E-2</v>
      </c>
      <c r="K422">
        <f t="shared" si="33"/>
        <v>3708</v>
      </c>
      <c r="L422" s="37">
        <f t="shared" si="34"/>
        <v>6731</v>
      </c>
    </row>
    <row r="423" spans="1:12">
      <c r="A423" s="3">
        <v>629</v>
      </c>
      <c r="B423" t="s">
        <v>463</v>
      </c>
      <c r="C423" t="s">
        <v>8</v>
      </c>
      <c r="E423" s="3">
        <f t="shared" si="30"/>
        <v>4</v>
      </c>
      <c r="F423" s="5">
        <v>44252.625</v>
      </c>
      <c r="G423" s="19" t="str">
        <f t="shared" si="31"/>
        <v/>
      </c>
      <c r="J423" s="28">
        <f t="shared" si="32"/>
        <v>2.610114192495927E-2</v>
      </c>
      <c r="K423">
        <f t="shared" si="33"/>
        <v>3724</v>
      </c>
      <c r="L423" s="37">
        <f t="shared" si="34"/>
        <v>6999</v>
      </c>
    </row>
    <row r="424" spans="1:12">
      <c r="A424" s="3">
        <v>688</v>
      </c>
      <c r="B424" t="s">
        <v>464</v>
      </c>
      <c r="C424" t="s">
        <v>8</v>
      </c>
      <c r="E424" s="3">
        <f t="shared" si="30"/>
        <v>5</v>
      </c>
      <c r="F424" s="5">
        <v>44253.625</v>
      </c>
      <c r="G424" s="19" t="str">
        <f t="shared" si="31"/>
        <v/>
      </c>
      <c r="J424" s="28">
        <f t="shared" si="32"/>
        <v>0.20069808027923219</v>
      </c>
      <c r="K424">
        <f t="shared" si="33"/>
        <v>3839</v>
      </c>
      <c r="L424" s="37">
        <f t="shared" si="34"/>
        <v>7269</v>
      </c>
    </row>
    <row r="425" spans="1:12">
      <c r="A425" s="3">
        <v>405</v>
      </c>
      <c r="B425" t="s">
        <v>469</v>
      </c>
      <c r="C425" t="s">
        <v>8</v>
      </c>
      <c r="E425" s="3">
        <f t="shared" si="30"/>
        <v>6</v>
      </c>
      <c r="F425" s="5">
        <v>44254.625</v>
      </c>
      <c r="G425" s="19" t="str">
        <f t="shared" si="31"/>
        <v/>
      </c>
      <c r="J425" s="28">
        <f t="shared" si="32"/>
        <v>0.27358490566037741</v>
      </c>
      <c r="K425">
        <f t="shared" si="33"/>
        <v>3926</v>
      </c>
      <c r="L425" s="37">
        <f t="shared" si="34"/>
        <v>7395</v>
      </c>
    </row>
    <row r="426" spans="1:12">
      <c r="A426" s="3">
        <v>422</v>
      </c>
      <c r="B426" t="s">
        <v>470</v>
      </c>
      <c r="C426" t="s">
        <v>8</v>
      </c>
      <c r="E426" s="3">
        <f t="shared" si="30"/>
        <v>7</v>
      </c>
      <c r="F426" s="5">
        <v>44255.625</v>
      </c>
      <c r="G426" s="19" t="str">
        <f t="shared" si="31"/>
        <v/>
      </c>
      <c r="J426" s="28">
        <f t="shared" si="32"/>
        <v>0.18873239436619715</v>
      </c>
      <c r="K426">
        <f t="shared" si="33"/>
        <v>3993</v>
      </c>
      <c r="L426" s="37">
        <f t="shared" si="34"/>
        <v>7536</v>
      </c>
    </row>
    <row r="427" spans="1:12" s="41" customFormat="1">
      <c r="A427" s="40">
        <v>873</v>
      </c>
      <c r="B427" s="41" t="s">
        <v>471</v>
      </c>
      <c r="C427" s="41" t="s">
        <v>8</v>
      </c>
      <c r="E427" s="40">
        <f t="shared" si="30"/>
        <v>1</v>
      </c>
      <c r="F427" s="42">
        <v>44256.625</v>
      </c>
      <c r="G427" s="43" t="str">
        <f t="shared" si="31"/>
        <v>2021-W09</v>
      </c>
      <c r="H427" s="41">
        <f>SUM(A427:A433)</f>
        <v>4462</v>
      </c>
      <c r="I427" s="44">
        <f>H427/H420-1</f>
        <v>0.11745554720761331</v>
      </c>
      <c r="J427" s="44">
        <f t="shared" si="32"/>
        <v>0.39903846153846145</v>
      </c>
      <c r="K427" s="41">
        <f t="shared" si="33"/>
        <v>4242</v>
      </c>
      <c r="L427" s="54">
        <f t="shared" si="34"/>
        <v>7792</v>
      </c>
    </row>
    <row r="428" spans="1:12">
      <c r="A428" s="3">
        <v>758</v>
      </c>
      <c r="B428" t="s">
        <v>472</v>
      </c>
      <c r="C428" t="s">
        <v>8</v>
      </c>
      <c r="E428" s="3">
        <f t="shared" si="30"/>
        <v>2</v>
      </c>
      <c r="F428" s="5">
        <v>44257.625</v>
      </c>
      <c r="G428" s="19" t="str">
        <f t="shared" si="31"/>
        <v/>
      </c>
      <c r="J428" s="28">
        <f t="shared" si="32"/>
        <v>0.21086261980830678</v>
      </c>
      <c r="K428">
        <f t="shared" si="33"/>
        <v>4374</v>
      </c>
      <c r="L428" s="37">
        <f t="shared" si="34"/>
        <v>8036</v>
      </c>
    </row>
    <row r="429" spans="1:12">
      <c r="A429" s="3">
        <v>733</v>
      </c>
      <c r="B429" t="s">
        <v>473</v>
      </c>
      <c r="C429" t="s">
        <v>8</v>
      </c>
      <c r="E429" s="3">
        <f t="shared" si="30"/>
        <v>3</v>
      </c>
      <c r="F429" s="5">
        <v>44258.625</v>
      </c>
      <c r="G429" s="19" t="str">
        <f t="shared" si="31"/>
        <v/>
      </c>
      <c r="J429" s="28">
        <f t="shared" si="32"/>
        <v>0.22370617696160267</v>
      </c>
      <c r="K429">
        <f t="shared" si="33"/>
        <v>4508</v>
      </c>
      <c r="L429" s="37">
        <f t="shared" si="34"/>
        <v>8216</v>
      </c>
    </row>
    <row r="430" spans="1:12">
      <c r="A430" s="3">
        <v>639</v>
      </c>
      <c r="B430" t="s">
        <v>474</v>
      </c>
      <c r="C430" t="s">
        <v>8</v>
      </c>
      <c r="E430" s="3">
        <f t="shared" si="30"/>
        <v>4</v>
      </c>
      <c r="F430" s="5">
        <v>44259.625</v>
      </c>
      <c r="G430" s="19" t="str">
        <f t="shared" si="31"/>
        <v/>
      </c>
      <c r="J430" s="28">
        <f t="shared" si="32"/>
        <v>1.5898251192368873E-2</v>
      </c>
      <c r="K430">
        <f t="shared" si="33"/>
        <v>4518</v>
      </c>
      <c r="L430" s="37">
        <f t="shared" si="34"/>
        <v>8242</v>
      </c>
    </row>
    <row r="431" spans="1:12">
      <c r="A431" s="3">
        <v>630</v>
      </c>
      <c r="B431" t="s">
        <v>475</v>
      </c>
      <c r="C431" t="s">
        <v>8</v>
      </c>
      <c r="E431" s="3">
        <f t="shared" si="30"/>
        <v>5</v>
      </c>
      <c r="F431" s="5">
        <v>44260.625</v>
      </c>
      <c r="G431" s="19" t="str">
        <f t="shared" si="31"/>
        <v/>
      </c>
      <c r="J431" s="28">
        <f t="shared" si="32"/>
        <v>-8.4302325581395388E-2</v>
      </c>
      <c r="K431">
        <f t="shared" si="33"/>
        <v>4460</v>
      </c>
      <c r="L431" s="37">
        <f t="shared" si="34"/>
        <v>8299</v>
      </c>
    </row>
    <row r="432" spans="1:12">
      <c r="A432" s="3">
        <v>433</v>
      </c>
      <c r="B432" t="s">
        <v>476</v>
      </c>
      <c r="C432" t="s">
        <v>8</v>
      </c>
      <c r="E432" s="3">
        <f t="shared" si="30"/>
        <v>6</v>
      </c>
      <c r="F432" s="5">
        <v>44261.625</v>
      </c>
      <c r="G432" s="19" t="str">
        <f t="shared" si="31"/>
        <v/>
      </c>
      <c r="J432" s="28">
        <f t="shared" si="32"/>
        <v>6.9135802469135754E-2</v>
      </c>
      <c r="K432">
        <f t="shared" si="33"/>
        <v>4488</v>
      </c>
      <c r="L432" s="37">
        <f t="shared" si="34"/>
        <v>8414</v>
      </c>
    </row>
    <row r="433" spans="1:12">
      <c r="A433" s="3">
        <v>396</v>
      </c>
      <c r="B433" t="s">
        <v>477</v>
      </c>
      <c r="C433" t="s">
        <v>8</v>
      </c>
      <c r="E433" s="3">
        <f t="shared" si="30"/>
        <v>7</v>
      </c>
      <c r="F433" s="5">
        <v>44262.625</v>
      </c>
      <c r="G433" s="19" t="str">
        <f t="shared" si="31"/>
        <v/>
      </c>
      <c r="J433" s="28">
        <f t="shared" si="32"/>
        <v>-6.1611374407582908E-2</v>
      </c>
      <c r="K433">
        <f t="shared" si="33"/>
        <v>4462</v>
      </c>
      <c r="L433" s="37">
        <f t="shared" si="34"/>
        <v>8455</v>
      </c>
    </row>
    <row r="434" spans="1:12" s="41" customFormat="1">
      <c r="A434" s="40">
        <v>834</v>
      </c>
      <c r="B434" s="41" t="s">
        <v>478</v>
      </c>
      <c r="C434" s="41" t="s">
        <v>8</v>
      </c>
      <c r="E434" s="40">
        <f t="shared" si="30"/>
        <v>1</v>
      </c>
      <c r="F434" s="42">
        <v>44263.625</v>
      </c>
      <c r="G434" s="43" t="str">
        <f t="shared" si="31"/>
        <v>2021-W10</v>
      </c>
      <c r="H434" s="41">
        <f>SUM(A434:A440)</f>
        <v>4947</v>
      </c>
      <c r="I434" s="44">
        <f>H434/H427-1</f>
        <v>0.10869565217391308</v>
      </c>
      <c r="J434" s="44">
        <f t="shared" si="32"/>
        <v>-4.4673539518900296E-2</v>
      </c>
      <c r="K434" s="41">
        <f t="shared" si="33"/>
        <v>4423</v>
      </c>
      <c r="L434" s="54">
        <f t="shared" si="34"/>
        <v>8665</v>
      </c>
    </row>
    <row r="435" spans="1:12">
      <c r="A435" s="3">
        <v>773</v>
      </c>
      <c r="B435" t="s">
        <v>479</v>
      </c>
      <c r="C435" t="s">
        <v>8</v>
      </c>
      <c r="E435" s="3">
        <f t="shared" si="30"/>
        <v>2</v>
      </c>
      <c r="F435" s="5">
        <v>44264.625</v>
      </c>
      <c r="G435" s="19" t="str">
        <f t="shared" si="31"/>
        <v/>
      </c>
      <c r="J435" s="28">
        <f t="shared" si="32"/>
        <v>1.978891820580464E-2</v>
      </c>
      <c r="K435">
        <f t="shared" si="33"/>
        <v>4438</v>
      </c>
      <c r="L435" s="37">
        <f t="shared" si="34"/>
        <v>8812</v>
      </c>
    </row>
    <row r="436" spans="1:12">
      <c r="A436" s="3">
        <v>822</v>
      </c>
      <c r="B436" t="s">
        <v>480</v>
      </c>
      <c r="C436" t="s">
        <v>8</v>
      </c>
      <c r="E436" s="3">
        <f t="shared" si="30"/>
        <v>3</v>
      </c>
      <c r="F436" s="5">
        <v>44265.625</v>
      </c>
      <c r="G436" s="19" t="str">
        <f t="shared" si="31"/>
        <v/>
      </c>
      <c r="J436" s="28">
        <f t="shared" si="32"/>
        <v>0.12141882673942694</v>
      </c>
      <c r="K436">
        <f t="shared" si="33"/>
        <v>4527</v>
      </c>
      <c r="L436" s="37">
        <f t="shared" si="34"/>
        <v>9035</v>
      </c>
    </row>
    <row r="437" spans="1:12">
      <c r="A437" s="3">
        <v>780</v>
      </c>
      <c r="B437" t="s">
        <v>481</v>
      </c>
      <c r="C437" t="s">
        <v>8</v>
      </c>
      <c r="E437" s="3">
        <f t="shared" si="30"/>
        <v>4</v>
      </c>
      <c r="F437" s="5">
        <v>44266.625</v>
      </c>
      <c r="G437" s="19" t="str">
        <f t="shared" si="31"/>
        <v/>
      </c>
      <c r="J437" s="28">
        <f t="shared" si="32"/>
        <v>0.22065727699530524</v>
      </c>
      <c r="K437">
        <f t="shared" si="33"/>
        <v>4668</v>
      </c>
      <c r="L437" s="37">
        <f t="shared" si="34"/>
        <v>9186</v>
      </c>
    </row>
    <row r="438" spans="1:12">
      <c r="A438" s="3">
        <v>808</v>
      </c>
      <c r="B438" t="s">
        <v>482</v>
      </c>
      <c r="C438" t="s">
        <v>8</v>
      </c>
      <c r="E438" s="3">
        <f t="shared" si="30"/>
        <v>5</v>
      </c>
      <c r="F438" s="5">
        <v>44267.625</v>
      </c>
      <c r="G438" s="19" t="str">
        <f t="shared" si="31"/>
        <v/>
      </c>
      <c r="J438" s="28">
        <f t="shared" si="32"/>
        <v>0.28253968253968265</v>
      </c>
      <c r="K438">
        <f t="shared" si="33"/>
        <v>4846</v>
      </c>
      <c r="L438" s="37">
        <f t="shared" si="34"/>
        <v>9306</v>
      </c>
    </row>
    <row r="439" spans="1:12">
      <c r="A439" s="3">
        <v>495</v>
      </c>
      <c r="B439" t="s">
        <v>483</v>
      </c>
      <c r="C439" t="s">
        <v>8</v>
      </c>
      <c r="E439" s="3">
        <f t="shared" si="30"/>
        <v>6</v>
      </c>
      <c r="F439" s="5">
        <v>44268.625</v>
      </c>
      <c r="G439" s="19" t="str">
        <f t="shared" si="31"/>
        <v/>
      </c>
      <c r="J439" s="28">
        <f t="shared" si="32"/>
        <v>0.14318706697459582</v>
      </c>
      <c r="K439">
        <f t="shared" si="33"/>
        <v>4908</v>
      </c>
      <c r="L439" s="37">
        <f t="shared" si="34"/>
        <v>9396</v>
      </c>
    </row>
    <row r="440" spans="1:12">
      <c r="A440" s="3">
        <v>435</v>
      </c>
      <c r="B440" t="s">
        <v>484</v>
      </c>
      <c r="C440" t="s">
        <v>8</v>
      </c>
      <c r="E440" s="3">
        <f t="shared" si="30"/>
        <v>7</v>
      </c>
      <c r="F440" s="5">
        <v>44269.625</v>
      </c>
      <c r="G440" s="19" t="str">
        <f t="shared" si="31"/>
        <v/>
      </c>
      <c r="J440" s="28">
        <f t="shared" si="32"/>
        <v>9.8484848484848397E-2</v>
      </c>
      <c r="K440">
        <f t="shared" si="33"/>
        <v>4947</v>
      </c>
      <c r="L440" s="37">
        <f t="shared" si="34"/>
        <v>9409</v>
      </c>
    </row>
    <row r="441" spans="1:12">
      <c r="A441" s="3">
        <v>893</v>
      </c>
      <c r="B441" t="s">
        <v>485</v>
      </c>
      <c r="C441" t="s">
        <v>8</v>
      </c>
      <c r="E441" s="3">
        <f t="shared" si="30"/>
        <v>1</v>
      </c>
      <c r="F441" s="5">
        <v>44270.625</v>
      </c>
      <c r="G441" s="19" t="str">
        <f t="shared" si="31"/>
        <v>2021-W11</v>
      </c>
      <c r="H441">
        <f>SUM(A441:A447)</f>
        <v>4712</v>
      </c>
      <c r="I441" s="28">
        <f>H441/H434-1</f>
        <v>-4.7503537497473269E-2</v>
      </c>
      <c r="J441" s="28">
        <f t="shared" si="32"/>
        <v>7.0743405275779381E-2</v>
      </c>
      <c r="K441">
        <f t="shared" si="33"/>
        <v>5006</v>
      </c>
      <c r="L441" s="37">
        <f t="shared" si="34"/>
        <v>9429</v>
      </c>
    </row>
    <row r="442" spans="1:12">
      <c r="A442" s="3">
        <v>767</v>
      </c>
      <c r="B442" t="s">
        <v>486</v>
      </c>
      <c r="C442" t="s">
        <v>8</v>
      </c>
      <c r="E442" s="3">
        <f t="shared" si="30"/>
        <v>2</v>
      </c>
      <c r="F442" s="5">
        <v>44271.625</v>
      </c>
      <c r="G442" s="19" t="str">
        <f t="shared" si="31"/>
        <v/>
      </c>
      <c r="J442" s="28">
        <f t="shared" si="32"/>
        <v>-7.7619663648124115E-3</v>
      </c>
      <c r="K442">
        <f t="shared" si="33"/>
        <v>5000</v>
      </c>
      <c r="L442" s="37">
        <f t="shared" si="34"/>
        <v>9438</v>
      </c>
    </row>
    <row r="443" spans="1:12">
      <c r="A443" s="3">
        <v>744</v>
      </c>
      <c r="B443" t="s">
        <v>487</v>
      </c>
      <c r="C443" t="s">
        <v>8</v>
      </c>
      <c r="E443" s="3">
        <f t="shared" si="30"/>
        <v>3</v>
      </c>
      <c r="F443" s="5">
        <v>44272.625</v>
      </c>
      <c r="G443" s="19" t="str">
        <f t="shared" si="31"/>
        <v/>
      </c>
      <c r="J443" s="28">
        <f t="shared" si="32"/>
        <v>-9.4890510948905105E-2</v>
      </c>
      <c r="K443">
        <f t="shared" si="33"/>
        <v>4922</v>
      </c>
      <c r="L443" s="37">
        <f t="shared" si="34"/>
        <v>9449</v>
      </c>
    </row>
    <row r="444" spans="1:12">
      <c r="A444" s="3">
        <v>739</v>
      </c>
      <c r="B444" t="s">
        <v>488</v>
      </c>
      <c r="C444" t="s">
        <v>8</v>
      </c>
      <c r="E444" s="3">
        <f t="shared" si="30"/>
        <v>4</v>
      </c>
      <c r="F444" s="5">
        <v>44273.625</v>
      </c>
      <c r="G444" s="19" t="str">
        <f t="shared" si="31"/>
        <v/>
      </c>
      <c r="J444" s="28">
        <f t="shared" si="32"/>
        <v>-5.2564102564102599E-2</v>
      </c>
      <c r="K444">
        <f t="shared" si="33"/>
        <v>4881</v>
      </c>
      <c r="L444" s="37">
        <f t="shared" si="34"/>
        <v>9549</v>
      </c>
    </row>
    <row r="445" spans="1:12">
      <c r="A445" s="3">
        <v>745</v>
      </c>
      <c r="B445" t="s">
        <v>489</v>
      </c>
      <c r="C445" t="s">
        <v>8</v>
      </c>
      <c r="E445" s="3">
        <f t="shared" si="30"/>
        <v>5</v>
      </c>
      <c r="F445" s="5">
        <v>44274.625</v>
      </c>
      <c r="G445" s="19" t="str">
        <f t="shared" si="31"/>
        <v/>
      </c>
      <c r="J445" s="28">
        <f t="shared" si="32"/>
        <v>-7.7970297029702929E-2</v>
      </c>
      <c r="K445">
        <f t="shared" si="33"/>
        <v>4818</v>
      </c>
      <c r="L445" s="37">
        <f t="shared" si="34"/>
        <v>9664</v>
      </c>
    </row>
    <row r="446" spans="1:12">
      <c r="A446" s="3">
        <v>404</v>
      </c>
      <c r="B446" t="s">
        <v>490</v>
      </c>
      <c r="C446" t="s">
        <v>8</v>
      </c>
      <c r="E446" s="3">
        <f t="shared" si="30"/>
        <v>6</v>
      </c>
      <c r="F446" s="5">
        <v>44275.625</v>
      </c>
      <c r="G446" s="19" t="str">
        <f t="shared" si="31"/>
        <v/>
      </c>
      <c r="J446" s="28">
        <f t="shared" si="32"/>
        <v>-0.1838383838383838</v>
      </c>
      <c r="K446">
        <f t="shared" si="33"/>
        <v>4727</v>
      </c>
      <c r="L446" s="37">
        <f t="shared" si="34"/>
        <v>9635</v>
      </c>
    </row>
    <row r="447" spans="1:12">
      <c r="A447" s="3">
        <v>420</v>
      </c>
      <c r="B447" t="s">
        <v>491</v>
      </c>
      <c r="C447" t="s">
        <v>8</v>
      </c>
      <c r="E447" s="3">
        <f t="shared" ref="E447:E510" si="35">WEEKDAY(F447,2)</f>
        <v>7</v>
      </c>
      <c r="F447" s="5">
        <v>44276.625</v>
      </c>
      <c r="G447" s="19" t="str">
        <f t="shared" si="31"/>
        <v/>
      </c>
      <c r="J447" s="28">
        <f t="shared" si="32"/>
        <v>-3.4482758620689613E-2</v>
      </c>
      <c r="K447">
        <f t="shared" si="33"/>
        <v>4712</v>
      </c>
      <c r="L447" s="37">
        <f t="shared" si="34"/>
        <v>9659</v>
      </c>
    </row>
    <row r="448" spans="1:12">
      <c r="A448" s="3">
        <v>768</v>
      </c>
      <c r="B448" t="s">
        <v>492</v>
      </c>
      <c r="C448" t="s">
        <v>8</v>
      </c>
      <c r="E448" s="3">
        <f t="shared" si="35"/>
        <v>1</v>
      </c>
      <c r="F448" s="5">
        <v>44277.625</v>
      </c>
      <c r="G448" s="19" t="str">
        <f t="shared" si="31"/>
        <v>2021-W12</v>
      </c>
      <c r="H448">
        <f>SUM(A448:A454)</f>
        <v>4189</v>
      </c>
      <c r="I448" s="28">
        <f>H448/H441-1</f>
        <v>-0.11099320882852293</v>
      </c>
      <c r="J448" s="28">
        <f t="shared" si="32"/>
        <v>-0.1399776035834267</v>
      </c>
      <c r="K448">
        <f t="shared" si="33"/>
        <v>4587</v>
      </c>
      <c r="L448" s="37">
        <f t="shared" si="34"/>
        <v>9593</v>
      </c>
    </row>
    <row r="449" spans="1:12">
      <c r="A449" s="3">
        <v>704</v>
      </c>
      <c r="B449" t="s">
        <v>493</v>
      </c>
      <c r="C449" t="s">
        <v>8</v>
      </c>
      <c r="E449" s="3">
        <f t="shared" si="35"/>
        <v>2</v>
      </c>
      <c r="F449" s="5">
        <v>44278.625</v>
      </c>
      <c r="G449" s="19" t="str">
        <f t="shared" si="31"/>
        <v/>
      </c>
      <c r="J449" s="28">
        <f t="shared" si="32"/>
        <v>-8.2138200782268633E-2</v>
      </c>
      <c r="K449">
        <f t="shared" si="33"/>
        <v>4524</v>
      </c>
      <c r="L449" s="37">
        <f t="shared" si="34"/>
        <v>9524</v>
      </c>
    </row>
    <row r="450" spans="1:12">
      <c r="A450" s="3">
        <v>695</v>
      </c>
      <c r="B450" t="s">
        <v>494</v>
      </c>
      <c r="C450" t="s">
        <v>8</v>
      </c>
      <c r="E450" s="3">
        <f t="shared" si="35"/>
        <v>3</v>
      </c>
      <c r="F450" s="5">
        <v>44279.625</v>
      </c>
      <c r="G450" s="19" t="str">
        <f t="shared" si="31"/>
        <v/>
      </c>
      <c r="J450" s="28">
        <f t="shared" si="32"/>
        <v>-6.5860215053763493E-2</v>
      </c>
      <c r="K450">
        <f t="shared" si="33"/>
        <v>4475</v>
      </c>
      <c r="L450" s="37">
        <f t="shared" si="34"/>
        <v>9397</v>
      </c>
    </row>
    <row r="451" spans="1:12">
      <c r="A451" s="3">
        <v>606</v>
      </c>
      <c r="B451" t="s">
        <v>495</v>
      </c>
      <c r="C451" t="s">
        <v>8</v>
      </c>
      <c r="E451" s="3">
        <f t="shared" si="35"/>
        <v>4</v>
      </c>
      <c r="F451" s="5">
        <v>44280.625</v>
      </c>
      <c r="G451" s="19" t="str">
        <f t="shared" ref="G451:G514" si="36">IF(WEEKDAY(F451,2)=1,YEAR(F451)&amp;"-W"&amp;TEXT(WEEKNUM(F451,14),"00"),"")</f>
        <v/>
      </c>
      <c r="J451" s="28">
        <f t="shared" si="32"/>
        <v>-0.17997293640054124</v>
      </c>
      <c r="K451">
        <f t="shared" si="33"/>
        <v>4342</v>
      </c>
      <c r="L451" s="37">
        <f t="shared" si="34"/>
        <v>9223</v>
      </c>
    </row>
    <row r="452" spans="1:12">
      <c r="A452" s="3">
        <v>688</v>
      </c>
      <c r="B452" t="s">
        <v>496</v>
      </c>
      <c r="C452" t="s">
        <v>8</v>
      </c>
      <c r="E452" s="3">
        <f t="shared" si="35"/>
        <v>5</v>
      </c>
      <c r="F452" s="5">
        <v>44281.625</v>
      </c>
      <c r="G452" s="19" t="str">
        <f t="shared" si="36"/>
        <v/>
      </c>
      <c r="J452" s="28">
        <f t="shared" si="32"/>
        <v>-7.6510067114093916E-2</v>
      </c>
      <c r="K452">
        <f t="shared" si="33"/>
        <v>4285</v>
      </c>
      <c r="L452" s="37">
        <f t="shared" si="34"/>
        <v>9103</v>
      </c>
    </row>
    <row r="453" spans="1:12">
      <c r="A453" s="3">
        <v>352</v>
      </c>
      <c r="B453" t="s">
        <v>497</v>
      </c>
      <c r="C453" t="s">
        <v>8</v>
      </c>
      <c r="E453" s="3">
        <f t="shared" si="35"/>
        <v>6</v>
      </c>
      <c r="F453" s="5">
        <v>44282.625</v>
      </c>
      <c r="G453" s="19" t="str">
        <f t="shared" si="36"/>
        <v/>
      </c>
      <c r="J453" s="28">
        <f t="shared" si="32"/>
        <v>-0.12871287128712872</v>
      </c>
      <c r="K453">
        <f t="shared" si="33"/>
        <v>4233</v>
      </c>
      <c r="L453" s="37">
        <f t="shared" si="34"/>
        <v>8960</v>
      </c>
    </row>
    <row r="454" spans="1:12">
      <c r="A454" s="3">
        <v>376</v>
      </c>
      <c r="B454" t="s">
        <v>498</v>
      </c>
      <c r="C454" t="s">
        <v>8</v>
      </c>
      <c r="E454" s="3">
        <f t="shared" si="35"/>
        <v>7</v>
      </c>
      <c r="F454" s="5">
        <v>44283.625</v>
      </c>
      <c r="G454" s="19" t="str">
        <f t="shared" si="36"/>
        <v/>
      </c>
      <c r="J454" s="28">
        <f t="shared" si="32"/>
        <v>-0.10476190476190472</v>
      </c>
      <c r="K454">
        <f t="shared" si="33"/>
        <v>4189</v>
      </c>
      <c r="L454" s="37">
        <f t="shared" si="34"/>
        <v>8901</v>
      </c>
    </row>
    <row r="455" spans="1:12">
      <c r="A455" s="3">
        <v>655</v>
      </c>
      <c r="B455" t="s">
        <v>499</v>
      </c>
      <c r="C455" t="s">
        <v>8</v>
      </c>
      <c r="E455" s="3">
        <f t="shared" si="35"/>
        <v>1</v>
      </c>
      <c r="F455" s="5">
        <v>44284.625</v>
      </c>
      <c r="G455" s="19" t="str">
        <f t="shared" si="36"/>
        <v>2021-W13</v>
      </c>
      <c r="H455">
        <f>SUM(A455:A461)</f>
        <v>3270</v>
      </c>
      <c r="I455" s="28">
        <f>H455/H448-1</f>
        <v>-0.21938410121747431</v>
      </c>
      <c r="J455" s="28">
        <f t="shared" si="32"/>
        <v>-0.14713541666666663</v>
      </c>
      <c r="K455">
        <f t="shared" si="33"/>
        <v>4076</v>
      </c>
      <c r="L455" s="37">
        <f t="shared" si="34"/>
        <v>8663</v>
      </c>
    </row>
    <row r="456" spans="1:12">
      <c r="A456" s="3">
        <v>572</v>
      </c>
      <c r="B456" t="s">
        <v>500</v>
      </c>
      <c r="C456" t="s">
        <v>8</v>
      </c>
      <c r="E456" s="3">
        <f t="shared" si="35"/>
        <v>2</v>
      </c>
      <c r="F456" s="5">
        <v>44285.625</v>
      </c>
      <c r="G456" s="19" t="str">
        <f t="shared" si="36"/>
        <v/>
      </c>
      <c r="J456" s="28">
        <f t="shared" si="32"/>
        <v>-0.1875</v>
      </c>
      <c r="K456">
        <f t="shared" si="33"/>
        <v>3944</v>
      </c>
      <c r="L456" s="37">
        <f t="shared" si="34"/>
        <v>8468</v>
      </c>
    </row>
    <row r="457" spans="1:12">
      <c r="A457" s="3">
        <v>550</v>
      </c>
      <c r="B457" t="s">
        <v>501</v>
      </c>
      <c r="C457" t="s">
        <v>8</v>
      </c>
      <c r="E457" s="3">
        <f t="shared" si="35"/>
        <v>3</v>
      </c>
      <c r="F457" s="5">
        <v>44286.625</v>
      </c>
      <c r="G457" s="19" t="str">
        <f t="shared" si="36"/>
        <v/>
      </c>
      <c r="J457" s="28">
        <f t="shared" ref="J457:J520" si="37">A457/A450-1</f>
        <v>-0.20863309352517989</v>
      </c>
      <c r="K457">
        <f t="shared" si="33"/>
        <v>3799</v>
      </c>
      <c r="L457" s="37">
        <f t="shared" si="34"/>
        <v>8274</v>
      </c>
    </row>
    <row r="458" spans="1:12">
      <c r="A458" s="3">
        <v>486</v>
      </c>
      <c r="B458" t="s">
        <v>502</v>
      </c>
      <c r="C458" t="s">
        <v>8</v>
      </c>
      <c r="E458" s="3">
        <f t="shared" si="35"/>
        <v>4</v>
      </c>
      <c r="F458" s="5">
        <v>44287.625</v>
      </c>
      <c r="G458" s="19" t="str">
        <f t="shared" si="36"/>
        <v/>
      </c>
      <c r="J458" s="28">
        <f t="shared" si="37"/>
        <v>-0.19801980198019797</v>
      </c>
      <c r="K458">
        <f t="shared" si="33"/>
        <v>3679</v>
      </c>
      <c r="L458" s="37">
        <f t="shared" si="34"/>
        <v>8021</v>
      </c>
    </row>
    <row r="459" spans="1:12">
      <c r="A459" s="3">
        <v>361</v>
      </c>
      <c r="B459" t="s">
        <v>503</v>
      </c>
      <c r="C459" t="s">
        <v>8</v>
      </c>
      <c r="E459" s="3">
        <f t="shared" si="35"/>
        <v>5</v>
      </c>
      <c r="F459" s="5">
        <v>44288.625</v>
      </c>
      <c r="G459" s="19" t="str">
        <f t="shared" si="36"/>
        <v/>
      </c>
      <c r="J459" s="28">
        <f t="shared" si="37"/>
        <v>-0.47529069767441856</v>
      </c>
      <c r="K459">
        <f t="shared" si="33"/>
        <v>3352</v>
      </c>
      <c r="L459" s="37">
        <f t="shared" si="34"/>
        <v>7637</v>
      </c>
    </row>
    <row r="460" spans="1:12">
      <c r="A460" s="3">
        <v>324</v>
      </c>
      <c r="B460" t="s">
        <v>504</v>
      </c>
      <c r="C460" t="s">
        <v>8</v>
      </c>
      <c r="E460" s="3">
        <f t="shared" si="35"/>
        <v>6</v>
      </c>
      <c r="F460" s="5">
        <v>44289.625</v>
      </c>
      <c r="G460" s="19" t="str">
        <f t="shared" si="36"/>
        <v/>
      </c>
      <c r="J460" s="28">
        <f t="shared" si="37"/>
        <v>-7.9545454545454586E-2</v>
      </c>
      <c r="K460">
        <f t="shared" si="33"/>
        <v>3324</v>
      </c>
      <c r="L460" s="37">
        <f t="shared" si="34"/>
        <v>7557</v>
      </c>
    </row>
    <row r="461" spans="1:12">
      <c r="A461" s="3">
        <v>322</v>
      </c>
      <c r="B461" t="s">
        <v>505</v>
      </c>
      <c r="C461" t="s">
        <v>8</v>
      </c>
      <c r="E461" s="3">
        <f t="shared" si="35"/>
        <v>7</v>
      </c>
      <c r="F461" s="5">
        <v>44290.625</v>
      </c>
      <c r="G461" s="19" t="str">
        <f t="shared" si="36"/>
        <v/>
      </c>
      <c r="J461" s="28">
        <f t="shared" si="37"/>
        <v>-0.1436170212765957</v>
      </c>
      <c r="K461">
        <f t="shared" si="33"/>
        <v>3270</v>
      </c>
      <c r="L461" s="37">
        <f t="shared" si="34"/>
        <v>7459</v>
      </c>
    </row>
    <row r="462" spans="1:12">
      <c r="A462" s="3">
        <v>360</v>
      </c>
      <c r="B462" t="s">
        <v>506</v>
      </c>
      <c r="C462" t="s">
        <v>8</v>
      </c>
      <c r="E462" s="3">
        <f t="shared" si="35"/>
        <v>1</v>
      </c>
      <c r="F462" s="5">
        <v>44291.625</v>
      </c>
      <c r="G462" s="19" t="str">
        <f t="shared" si="36"/>
        <v>2021-W14</v>
      </c>
      <c r="H462">
        <f>SUM(A462:A468)</f>
        <v>2556</v>
      </c>
      <c r="I462" s="28">
        <f>H462/H455-1</f>
        <v>-0.21834862385321097</v>
      </c>
      <c r="J462" s="28">
        <f t="shared" si="37"/>
        <v>-0.45038167938931295</v>
      </c>
      <c r="K462">
        <f t="shared" si="33"/>
        <v>2975</v>
      </c>
      <c r="L462" s="37">
        <f t="shared" si="34"/>
        <v>7051</v>
      </c>
    </row>
    <row r="463" spans="1:12">
      <c r="A463" s="3">
        <v>544</v>
      </c>
      <c r="B463" t="s">
        <v>507</v>
      </c>
      <c r="C463" t="s">
        <v>8</v>
      </c>
      <c r="E463" s="3">
        <f t="shared" si="35"/>
        <v>2</v>
      </c>
      <c r="F463" s="5">
        <v>44292.625</v>
      </c>
      <c r="G463" s="19" t="str">
        <f t="shared" si="36"/>
        <v/>
      </c>
      <c r="J463" s="28">
        <f t="shared" si="37"/>
        <v>-4.8951048951048959E-2</v>
      </c>
      <c r="K463">
        <f t="shared" si="33"/>
        <v>2947</v>
      </c>
      <c r="L463" s="37">
        <f t="shared" si="34"/>
        <v>6891</v>
      </c>
    </row>
    <row r="464" spans="1:12">
      <c r="A464" s="3">
        <v>426</v>
      </c>
      <c r="B464" t="s">
        <v>508</v>
      </c>
      <c r="C464" t="s">
        <v>8</v>
      </c>
      <c r="E464" s="3">
        <f t="shared" si="35"/>
        <v>3</v>
      </c>
      <c r="F464" s="5">
        <v>44293.625</v>
      </c>
      <c r="G464" s="19" t="str">
        <f t="shared" si="36"/>
        <v/>
      </c>
      <c r="J464" s="28">
        <f t="shared" si="37"/>
        <v>-0.22545454545454546</v>
      </c>
      <c r="K464">
        <f t="shared" si="33"/>
        <v>2823</v>
      </c>
      <c r="L464" s="37">
        <f t="shared" si="34"/>
        <v>6622</v>
      </c>
    </row>
    <row r="465" spans="1:12">
      <c r="A465" s="3">
        <v>407</v>
      </c>
      <c r="B465" t="s">
        <v>509</v>
      </c>
      <c r="C465" t="s">
        <v>8</v>
      </c>
      <c r="E465" s="3">
        <f t="shared" si="35"/>
        <v>4</v>
      </c>
      <c r="F465" s="5">
        <v>44294.625</v>
      </c>
      <c r="G465" s="19" t="str">
        <f t="shared" si="36"/>
        <v/>
      </c>
      <c r="J465" s="28">
        <f t="shared" si="37"/>
        <v>-0.16255144032921809</v>
      </c>
      <c r="K465">
        <f t="shared" si="33"/>
        <v>2744</v>
      </c>
      <c r="L465" s="37">
        <f t="shared" si="34"/>
        <v>6423</v>
      </c>
    </row>
    <row r="466" spans="1:12">
      <c r="A466" s="3">
        <v>352</v>
      </c>
      <c r="B466" t="s">
        <v>510</v>
      </c>
      <c r="C466" t="s">
        <v>8</v>
      </c>
      <c r="E466" s="3">
        <f t="shared" si="35"/>
        <v>5</v>
      </c>
      <c r="F466" s="5">
        <v>44295.625</v>
      </c>
      <c r="G466" s="19" t="str">
        <f t="shared" si="36"/>
        <v/>
      </c>
      <c r="J466" s="28">
        <f t="shared" si="37"/>
        <v>-2.4930747922437657E-2</v>
      </c>
      <c r="K466">
        <f t="shared" si="33"/>
        <v>2735</v>
      </c>
      <c r="L466" s="37">
        <f t="shared" si="34"/>
        <v>6087</v>
      </c>
    </row>
    <row r="467" spans="1:12">
      <c r="A467" s="3">
        <v>227</v>
      </c>
      <c r="B467" t="s">
        <v>511</v>
      </c>
      <c r="C467" t="s">
        <v>8</v>
      </c>
      <c r="E467" s="3">
        <f t="shared" si="35"/>
        <v>6</v>
      </c>
      <c r="F467" s="5">
        <v>44296.625</v>
      </c>
      <c r="G467" s="19" t="str">
        <f t="shared" si="36"/>
        <v/>
      </c>
      <c r="J467" s="28">
        <f t="shared" si="37"/>
        <v>-0.29938271604938271</v>
      </c>
      <c r="K467">
        <f t="shared" si="33"/>
        <v>2638</v>
      </c>
      <c r="L467" s="37">
        <f t="shared" si="34"/>
        <v>5962</v>
      </c>
    </row>
    <row r="468" spans="1:12">
      <c r="A468" s="3">
        <v>240</v>
      </c>
      <c r="B468" t="s">
        <v>512</v>
      </c>
      <c r="C468" t="s">
        <v>8</v>
      </c>
      <c r="E468" s="3">
        <f t="shared" si="35"/>
        <v>7</v>
      </c>
      <c r="F468" s="5">
        <v>44297.625</v>
      </c>
      <c r="G468" s="19" t="str">
        <f t="shared" si="36"/>
        <v/>
      </c>
      <c r="J468" s="28">
        <f t="shared" si="37"/>
        <v>-0.25465838509316774</v>
      </c>
      <c r="K468">
        <f t="shared" si="33"/>
        <v>2556</v>
      </c>
      <c r="L468" s="37">
        <f t="shared" si="34"/>
        <v>5826</v>
      </c>
    </row>
    <row r="469" spans="1:12">
      <c r="A469" s="3">
        <v>399</v>
      </c>
      <c r="B469" t="s">
        <v>513</v>
      </c>
      <c r="C469" t="s">
        <v>8</v>
      </c>
      <c r="E469" s="3">
        <f t="shared" si="35"/>
        <v>1</v>
      </c>
      <c r="F469" s="5">
        <v>44298.625</v>
      </c>
      <c r="G469" s="19" t="str">
        <f t="shared" si="36"/>
        <v>2021-W15</v>
      </c>
      <c r="H469">
        <f>SUM(A469:A475)</f>
        <v>1933</v>
      </c>
      <c r="I469" s="28">
        <f>H469/H462-1</f>
        <v>-0.24374021909233179</v>
      </c>
      <c r="J469" s="28">
        <f t="shared" si="37"/>
        <v>0.10833333333333339</v>
      </c>
      <c r="K469">
        <f t="shared" ref="K469:K532" si="38">SUM(A463:A469)</f>
        <v>2595</v>
      </c>
      <c r="L469" s="37">
        <f t="shared" ref="L469:L532" si="39">SUM(A456:A469)</f>
        <v>5570</v>
      </c>
    </row>
    <row r="470" spans="1:12">
      <c r="A470" s="3">
        <v>323</v>
      </c>
      <c r="B470" t="s">
        <v>514</v>
      </c>
      <c r="C470" t="s">
        <v>8</v>
      </c>
      <c r="E470" s="3">
        <f t="shared" si="35"/>
        <v>2</v>
      </c>
      <c r="F470" s="5">
        <v>44299.625</v>
      </c>
      <c r="G470" s="19" t="str">
        <f t="shared" si="36"/>
        <v/>
      </c>
      <c r="J470" s="28">
        <f t="shared" si="37"/>
        <v>-0.40625</v>
      </c>
      <c r="K470">
        <f t="shared" si="38"/>
        <v>2374</v>
      </c>
      <c r="L470" s="37">
        <f t="shared" si="39"/>
        <v>5321</v>
      </c>
    </row>
    <row r="471" spans="1:12">
      <c r="A471" s="3">
        <v>344</v>
      </c>
      <c r="B471" t="s">
        <v>515</v>
      </c>
      <c r="C471" t="s">
        <v>8</v>
      </c>
      <c r="E471" s="3">
        <f t="shared" si="35"/>
        <v>3</v>
      </c>
      <c r="F471" s="5">
        <v>44300.625</v>
      </c>
      <c r="G471" s="19" t="str">
        <f t="shared" si="36"/>
        <v/>
      </c>
      <c r="J471" s="28">
        <f t="shared" si="37"/>
        <v>-0.19248826291079812</v>
      </c>
      <c r="K471">
        <f t="shared" si="38"/>
        <v>2292</v>
      </c>
      <c r="L471" s="37">
        <f t="shared" si="39"/>
        <v>5115</v>
      </c>
    </row>
    <row r="472" spans="1:12">
      <c r="A472" s="3">
        <v>274</v>
      </c>
      <c r="B472" t="s">
        <v>516</v>
      </c>
      <c r="C472" t="s">
        <v>8</v>
      </c>
      <c r="E472" s="3">
        <f t="shared" si="35"/>
        <v>4</v>
      </c>
      <c r="F472" s="5">
        <v>44301.625</v>
      </c>
      <c r="G472" s="19" t="str">
        <f t="shared" si="36"/>
        <v/>
      </c>
      <c r="J472" s="28">
        <f t="shared" si="37"/>
        <v>-0.32678132678132676</v>
      </c>
      <c r="K472">
        <f t="shared" si="38"/>
        <v>2159</v>
      </c>
      <c r="L472" s="37">
        <f t="shared" si="39"/>
        <v>4903</v>
      </c>
    </row>
    <row r="473" spans="1:12">
      <c r="A473" s="3">
        <v>265</v>
      </c>
      <c r="B473" t="s">
        <v>517</v>
      </c>
      <c r="C473" t="s">
        <v>8</v>
      </c>
      <c r="E473" s="3">
        <f t="shared" si="35"/>
        <v>5</v>
      </c>
      <c r="F473" s="5">
        <v>44302.625</v>
      </c>
      <c r="G473" s="19" t="str">
        <f t="shared" si="36"/>
        <v/>
      </c>
      <c r="J473" s="28">
        <f t="shared" si="37"/>
        <v>-0.24715909090909094</v>
      </c>
      <c r="K473">
        <f t="shared" si="38"/>
        <v>2072</v>
      </c>
      <c r="L473" s="37">
        <f t="shared" si="39"/>
        <v>4807</v>
      </c>
    </row>
    <row r="474" spans="1:12">
      <c r="A474" s="3">
        <v>172</v>
      </c>
      <c r="B474" t="s">
        <v>518</v>
      </c>
      <c r="C474" t="s">
        <v>8</v>
      </c>
      <c r="E474" s="3">
        <f t="shared" si="35"/>
        <v>6</v>
      </c>
      <c r="F474" s="5">
        <v>44303.625</v>
      </c>
      <c r="G474" s="19" t="str">
        <f t="shared" si="36"/>
        <v/>
      </c>
      <c r="J474" s="28">
        <f t="shared" si="37"/>
        <v>-0.24229074889867841</v>
      </c>
      <c r="K474">
        <f t="shared" si="38"/>
        <v>2017</v>
      </c>
      <c r="L474" s="37">
        <f t="shared" si="39"/>
        <v>4655</v>
      </c>
    </row>
    <row r="475" spans="1:12">
      <c r="A475" s="3">
        <v>156</v>
      </c>
      <c r="B475" t="s">
        <v>519</v>
      </c>
      <c r="C475" t="s">
        <v>8</v>
      </c>
      <c r="E475" s="3">
        <f t="shared" si="35"/>
        <v>7</v>
      </c>
      <c r="F475" s="5">
        <v>44304.625</v>
      </c>
      <c r="G475" s="19" t="str">
        <f t="shared" si="36"/>
        <v/>
      </c>
      <c r="J475" s="28">
        <f t="shared" si="37"/>
        <v>-0.35</v>
      </c>
      <c r="K475">
        <f t="shared" si="38"/>
        <v>1933</v>
      </c>
      <c r="L475" s="37">
        <f t="shared" si="39"/>
        <v>4489</v>
      </c>
    </row>
    <row r="476" spans="1:12">
      <c r="A476" s="3">
        <v>286</v>
      </c>
      <c r="B476" t="s">
        <v>520</v>
      </c>
      <c r="C476" t="s">
        <v>8</v>
      </c>
      <c r="E476" s="3">
        <f t="shared" si="35"/>
        <v>1</v>
      </c>
      <c r="F476" s="5">
        <v>44305.625</v>
      </c>
      <c r="G476" s="19" t="str">
        <f t="shared" si="36"/>
        <v>2021-W16</v>
      </c>
      <c r="H476">
        <f>SUM(A476:A482)</f>
        <v>1612</v>
      </c>
      <c r="I476" s="28">
        <f>H476/H469-1</f>
        <v>-0.16606311433005694</v>
      </c>
      <c r="J476" s="28">
        <f t="shared" si="37"/>
        <v>-0.28320802005012535</v>
      </c>
      <c r="K476">
        <f t="shared" si="38"/>
        <v>1820</v>
      </c>
      <c r="L476" s="37">
        <f t="shared" si="39"/>
        <v>4415</v>
      </c>
    </row>
    <row r="477" spans="1:12">
      <c r="A477" s="3">
        <v>286</v>
      </c>
      <c r="B477" t="s">
        <v>521</v>
      </c>
      <c r="C477" t="s">
        <v>8</v>
      </c>
      <c r="E477" s="3">
        <f t="shared" si="35"/>
        <v>2</v>
      </c>
      <c r="F477" s="5">
        <v>44306.625</v>
      </c>
      <c r="G477" s="19" t="str">
        <f t="shared" si="36"/>
        <v/>
      </c>
      <c r="J477" s="28">
        <f t="shared" si="37"/>
        <v>-0.11455108359133126</v>
      </c>
      <c r="K477">
        <f t="shared" si="38"/>
        <v>1783</v>
      </c>
      <c r="L477" s="37">
        <f t="shared" si="39"/>
        <v>4157</v>
      </c>
    </row>
    <row r="478" spans="1:12">
      <c r="A478" s="3">
        <v>233</v>
      </c>
      <c r="B478" t="s">
        <v>522</v>
      </c>
      <c r="C478" t="s">
        <v>8</v>
      </c>
      <c r="E478" s="3">
        <f t="shared" si="35"/>
        <v>3</v>
      </c>
      <c r="F478" s="5">
        <v>44307.625</v>
      </c>
      <c r="G478" s="19" t="str">
        <f t="shared" si="36"/>
        <v/>
      </c>
      <c r="J478" s="28">
        <f t="shared" si="37"/>
        <v>-0.32267441860465118</v>
      </c>
      <c r="K478">
        <f t="shared" si="38"/>
        <v>1672</v>
      </c>
      <c r="L478" s="37">
        <f t="shared" si="39"/>
        <v>3964</v>
      </c>
    </row>
    <row r="479" spans="1:12">
      <c r="A479" s="3">
        <v>257</v>
      </c>
      <c r="B479" t="s">
        <v>524</v>
      </c>
      <c r="C479" t="s">
        <v>8</v>
      </c>
      <c r="E479" s="3">
        <f t="shared" si="35"/>
        <v>4</v>
      </c>
      <c r="F479" s="5">
        <v>44308.625</v>
      </c>
      <c r="G479" s="19" t="str">
        <f t="shared" si="36"/>
        <v/>
      </c>
      <c r="J479" s="28">
        <f t="shared" si="37"/>
        <v>-6.2043795620437936E-2</v>
      </c>
      <c r="K479">
        <f t="shared" si="38"/>
        <v>1655</v>
      </c>
      <c r="L479" s="37">
        <f t="shared" si="39"/>
        <v>3814</v>
      </c>
    </row>
    <row r="480" spans="1:12">
      <c r="A480" s="3">
        <v>255</v>
      </c>
      <c r="B480" t="s">
        <v>525</v>
      </c>
      <c r="C480" t="s">
        <v>8</v>
      </c>
      <c r="E480" s="3">
        <f t="shared" si="35"/>
        <v>5</v>
      </c>
      <c r="F480" s="5">
        <v>44309.625</v>
      </c>
      <c r="G480" s="19" t="str">
        <f t="shared" si="36"/>
        <v/>
      </c>
      <c r="J480" s="28">
        <f t="shared" si="37"/>
        <v>-3.7735849056603765E-2</v>
      </c>
      <c r="K480">
        <f t="shared" si="38"/>
        <v>1645</v>
      </c>
      <c r="L480" s="37">
        <f t="shared" si="39"/>
        <v>3717</v>
      </c>
    </row>
    <row r="481" spans="1:12">
      <c r="A481" s="3">
        <v>155</v>
      </c>
      <c r="B481" t="s">
        <v>526</v>
      </c>
      <c r="C481" t="s">
        <v>8</v>
      </c>
      <c r="E481" s="3">
        <f t="shared" si="35"/>
        <v>6</v>
      </c>
      <c r="F481" s="5">
        <v>44310.625</v>
      </c>
      <c r="G481" s="19" t="str">
        <f t="shared" si="36"/>
        <v/>
      </c>
      <c r="J481" s="28">
        <f t="shared" si="37"/>
        <v>-9.8837209302325535E-2</v>
      </c>
      <c r="K481">
        <f t="shared" si="38"/>
        <v>1628</v>
      </c>
      <c r="L481" s="37">
        <f t="shared" si="39"/>
        <v>3645</v>
      </c>
    </row>
    <row r="482" spans="1:12">
      <c r="A482" s="3">
        <v>140</v>
      </c>
      <c r="B482" t="s">
        <v>527</v>
      </c>
      <c r="C482" t="s">
        <v>8</v>
      </c>
      <c r="E482" s="3">
        <f t="shared" si="35"/>
        <v>7</v>
      </c>
      <c r="F482" s="5">
        <v>44311.625</v>
      </c>
      <c r="G482" s="19" t="str">
        <f t="shared" si="36"/>
        <v/>
      </c>
      <c r="J482" s="28">
        <f t="shared" si="37"/>
        <v>-0.10256410256410253</v>
      </c>
      <c r="K482">
        <f t="shared" si="38"/>
        <v>1612</v>
      </c>
      <c r="L482" s="37">
        <f t="shared" si="39"/>
        <v>3545</v>
      </c>
    </row>
    <row r="483" spans="1:12">
      <c r="A483" s="3">
        <v>242</v>
      </c>
      <c r="B483" t="s">
        <v>528</v>
      </c>
      <c r="C483" t="s">
        <v>8</v>
      </c>
      <c r="E483" s="3">
        <f t="shared" si="35"/>
        <v>1</v>
      </c>
      <c r="F483" s="5">
        <v>44312.625</v>
      </c>
      <c r="G483" s="19" t="str">
        <f t="shared" si="36"/>
        <v>2021-W17</v>
      </c>
      <c r="H483">
        <f>SUM(A483:A489)</f>
        <v>1387</v>
      </c>
      <c r="I483" s="28">
        <f>H483/H476-1</f>
        <v>-0.13957816377171217</v>
      </c>
      <c r="J483" s="28">
        <f t="shared" si="37"/>
        <v>-0.15384615384615385</v>
      </c>
      <c r="K483">
        <f t="shared" si="38"/>
        <v>1568</v>
      </c>
      <c r="L483" s="37">
        <f t="shared" si="39"/>
        <v>3388</v>
      </c>
    </row>
    <row r="484" spans="1:12">
      <c r="A484" s="3">
        <v>229</v>
      </c>
      <c r="B484" t="s">
        <v>529</v>
      </c>
      <c r="C484" t="s">
        <v>8</v>
      </c>
      <c r="E484" s="3">
        <f t="shared" si="35"/>
        <v>2</v>
      </c>
      <c r="F484" s="5">
        <v>44313.625</v>
      </c>
      <c r="G484" s="19" t="str">
        <f t="shared" si="36"/>
        <v/>
      </c>
      <c r="J484" s="28">
        <f t="shared" si="37"/>
        <v>-0.19930069930069927</v>
      </c>
      <c r="K484">
        <f t="shared" si="38"/>
        <v>1511</v>
      </c>
      <c r="L484" s="37">
        <f t="shared" si="39"/>
        <v>3294</v>
      </c>
    </row>
    <row r="485" spans="1:12">
      <c r="A485" s="3">
        <v>274</v>
      </c>
      <c r="B485" t="s">
        <v>530</v>
      </c>
      <c r="C485" t="s">
        <v>8</v>
      </c>
      <c r="E485" s="3">
        <f t="shared" si="35"/>
        <v>3</v>
      </c>
      <c r="F485" s="5">
        <v>44314.625</v>
      </c>
      <c r="G485" s="19" t="str">
        <f t="shared" si="36"/>
        <v/>
      </c>
      <c r="J485" s="28">
        <f t="shared" si="37"/>
        <v>0.17596566523605151</v>
      </c>
      <c r="K485">
        <f t="shared" si="38"/>
        <v>1552</v>
      </c>
      <c r="L485" s="37">
        <f t="shared" si="39"/>
        <v>3224</v>
      </c>
    </row>
    <row r="486" spans="1:12">
      <c r="A486" s="3">
        <v>201</v>
      </c>
      <c r="B486" t="s">
        <v>531</v>
      </c>
      <c r="C486" t="s">
        <v>8</v>
      </c>
      <c r="E486" s="3">
        <f t="shared" si="35"/>
        <v>4</v>
      </c>
      <c r="F486" s="5">
        <v>44315.625</v>
      </c>
      <c r="G486" s="19" t="str">
        <f t="shared" si="36"/>
        <v/>
      </c>
      <c r="J486" s="28">
        <f t="shared" si="37"/>
        <v>-0.21789883268482491</v>
      </c>
      <c r="K486">
        <f t="shared" si="38"/>
        <v>1496</v>
      </c>
      <c r="L486" s="37">
        <f t="shared" si="39"/>
        <v>3151</v>
      </c>
    </row>
    <row r="487" spans="1:12">
      <c r="A487" s="3">
        <v>197</v>
      </c>
      <c r="B487" t="s">
        <v>532</v>
      </c>
      <c r="C487" t="s">
        <v>8</v>
      </c>
      <c r="E487" s="3">
        <f t="shared" si="35"/>
        <v>5</v>
      </c>
      <c r="F487" s="5">
        <v>44316.625</v>
      </c>
      <c r="G487" s="19" t="str">
        <f t="shared" si="36"/>
        <v/>
      </c>
      <c r="J487" s="28">
        <f t="shared" si="37"/>
        <v>-0.22745098039215683</v>
      </c>
      <c r="K487">
        <f t="shared" si="38"/>
        <v>1438</v>
      </c>
      <c r="L487" s="37">
        <f t="shared" si="39"/>
        <v>3083</v>
      </c>
    </row>
    <row r="488" spans="1:12">
      <c r="A488" s="3">
        <v>109</v>
      </c>
      <c r="B488" t="s">
        <v>533</v>
      </c>
      <c r="C488" t="s">
        <v>8</v>
      </c>
      <c r="E488" s="3">
        <f t="shared" si="35"/>
        <v>6</v>
      </c>
      <c r="F488" s="5">
        <v>44317.625</v>
      </c>
      <c r="G488" s="19" t="str">
        <f t="shared" si="36"/>
        <v/>
      </c>
      <c r="J488" s="28">
        <f t="shared" si="37"/>
        <v>-0.29677419354838708</v>
      </c>
      <c r="K488">
        <f t="shared" si="38"/>
        <v>1392</v>
      </c>
      <c r="L488" s="37">
        <f t="shared" si="39"/>
        <v>3020</v>
      </c>
    </row>
    <row r="489" spans="1:12">
      <c r="A489" s="3">
        <v>135</v>
      </c>
      <c r="B489" t="s">
        <v>534</v>
      </c>
      <c r="C489" t="s">
        <v>8</v>
      </c>
      <c r="E489" s="3">
        <f t="shared" si="35"/>
        <v>7</v>
      </c>
      <c r="F489" s="5">
        <v>44318.625</v>
      </c>
      <c r="G489" s="19" t="str">
        <f t="shared" si="36"/>
        <v/>
      </c>
      <c r="J489" s="28">
        <f t="shared" si="37"/>
        <v>-3.5714285714285698E-2</v>
      </c>
      <c r="K489">
        <f t="shared" si="38"/>
        <v>1387</v>
      </c>
      <c r="L489" s="37">
        <f t="shared" si="39"/>
        <v>2999</v>
      </c>
    </row>
    <row r="490" spans="1:12" s="41" customFormat="1">
      <c r="A490" s="40">
        <v>318</v>
      </c>
      <c r="B490" s="41" t="s">
        <v>535</v>
      </c>
      <c r="C490" s="41" t="s">
        <v>8</v>
      </c>
      <c r="E490" s="40">
        <f t="shared" si="35"/>
        <v>1</v>
      </c>
      <c r="F490" s="42">
        <v>44319.625</v>
      </c>
      <c r="G490" s="43" t="str">
        <f t="shared" si="36"/>
        <v>2021-W18</v>
      </c>
      <c r="H490" s="41">
        <f>SUM(A490:A496)</f>
        <v>1506</v>
      </c>
      <c r="I490" s="44">
        <f>H490/H483-1</f>
        <v>8.5796683489545833E-2</v>
      </c>
      <c r="J490" s="44">
        <f t="shared" si="37"/>
        <v>0.31404958677685957</v>
      </c>
      <c r="K490" s="41">
        <f t="shared" si="38"/>
        <v>1463</v>
      </c>
      <c r="L490" s="54">
        <f t="shared" si="39"/>
        <v>3031</v>
      </c>
    </row>
    <row r="491" spans="1:12">
      <c r="A491" s="3">
        <v>206</v>
      </c>
      <c r="B491" t="s">
        <v>536</v>
      </c>
      <c r="C491" t="s">
        <v>8</v>
      </c>
      <c r="E491" s="3">
        <f t="shared" si="35"/>
        <v>2</v>
      </c>
      <c r="F491" s="5">
        <v>44320.625</v>
      </c>
      <c r="G491" s="19" t="str">
        <f t="shared" si="36"/>
        <v/>
      </c>
      <c r="J491" s="28">
        <f t="shared" si="37"/>
        <v>-0.10043668122270744</v>
      </c>
      <c r="K491">
        <f t="shared" si="38"/>
        <v>1440</v>
      </c>
      <c r="L491" s="37">
        <f t="shared" si="39"/>
        <v>2951</v>
      </c>
    </row>
    <row r="492" spans="1:12">
      <c r="A492" s="3">
        <v>265</v>
      </c>
      <c r="B492" t="s">
        <v>537</v>
      </c>
      <c r="C492" t="s">
        <v>8</v>
      </c>
      <c r="E492" s="3">
        <f t="shared" si="35"/>
        <v>3</v>
      </c>
      <c r="F492" s="5">
        <v>44321.625</v>
      </c>
      <c r="G492" s="19" t="str">
        <f t="shared" si="36"/>
        <v/>
      </c>
      <c r="J492" s="28">
        <f t="shared" si="37"/>
        <v>-3.2846715328467169E-2</v>
      </c>
      <c r="K492">
        <f t="shared" si="38"/>
        <v>1431</v>
      </c>
      <c r="L492" s="37">
        <f t="shared" si="39"/>
        <v>2983</v>
      </c>
    </row>
    <row r="493" spans="1:12">
      <c r="A493" s="3">
        <v>239</v>
      </c>
      <c r="B493" t="s">
        <v>539</v>
      </c>
      <c r="C493" t="s">
        <v>8</v>
      </c>
      <c r="E493" s="3">
        <f t="shared" si="35"/>
        <v>4</v>
      </c>
      <c r="F493" s="5">
        <v>44322.625</v>
      </c>
      <c r="G493" s="19" t="str">
        <f t="shared" si="36"/>
        <v/>
      </c>
      <c r="J493" s="28">
        <f t="shared" si="37"/>
        <v>0.18905472636815923</v>
      </c>
      <c r="K493">
        <f t="shared" si="38"/>
        <v>1469</v>
      </c>
      <c r="L493" s="37">
        <f t="shared" si="39"/>
        <v>2965</v>
      </c>
    </row>
    <row r="494" spans="1:12">
      <c r="A494" s="3">
        <v>214</v>
      </c>
      <c r="B494" t="s">
        <v>540</v>
      </c>
      <c r="C494" t="s">
        <v>8</v>
      </c>
      <c r="E494" s="3">
        <f t="shared" si="35"/>
        <v>5</v>
      </c>
      <c r="F494" s="5">
        <v>44323.625</v>
      </c>
      <c r="G494" s="19" t="str">
        <f t="shared" si="36"/>
        <v/>
      </c>
      <c r="J494" s="28">
        <f t="shared" si="37"/>
        <v>8.6294416243654748E-2</v>
      </c>
      <c r="K494">
        <f t="shared" si="38"/>
        <v>1486</v>
      </c>
      <c r="L494" s="37">
        <f t="shared" si="39"/>
        <v>2924</v>
      </c>
    </row>
    <row r="495" spans="1:12">
      <c r="A495" s="3">
        <v>134</v>
      </c>
      <c r="B495" t="s">
        <v>541</v>
      </c>
      <c r="C495" t="s">
        <v>8</v>
      </c>
      <c r="E495" s="3">
        <f t="shared" si="35"/>
        <v>6</v>
      </c>
      <c r="F495" s="5">
        <v>44324.625</v>
      </c>
      <c r="G495" s="19" t="str">
        <f t="shared" si="36"/>
        <v/>
      </c>
      <c r="J495" s="28">
        <f t="shared" si="37"/>
        <v>0.22935779816513757</v>
      </c>
      <c r="K495">
        <f t="shared" si="38"/>
        <v>1511</v>
      </c>
      <c r="L495" s="37">
        <f t="shared" si="39"/>
        <v>2903</v>
      </c>
    </row>
    <row r="496" spans="1:12">
      <c r="A496" s="3">
        <v>130</v>
      </c>
      <c r="B496" t="s">
        <v>542</v>
      </c>
      <c r="C496" t="s">
        <v>8</v>
      </c>
      <c r="E496" s="3">
        <f t="shared" si="35"/>
        <v>7</v>
      </c>
      <c r="F496" s="5">
        <v>44325.625</v>
      </c>
      <c r="G496" s="19" t="str">
        <f t="shared" si="36"/>
        <v/>
      </c>
      <c r="J496" s="28">
        <f t="shared" si="37"/>
        <v>-3.703703703703709E-2</v>
      </c>
      <c r="K496">
        <f t="shared" si="38"/>
        <v>1506</v>
      </c>
      <c r="L496" s="37">
        <f t="shared" si="39"/>
        <v>2893</v>
      </c>
    </row>
    <row r="497" spans="1:12">
      <c r="A497" s="3">
        <v>257</v>
      </c>
      <c r="B497" t="s">
        <v>543</v>
      </c>
      <c r="C497" t="s">
        <v>8</v>
      </c>
      <c r="E497" s="3">
        <f t="shared" si="35"/>
        <v>1</v>
      </c>
      <c r="F497" s="5">
        <v>44326.625</v>
      </c>
      <c r="G497" s="19" t="str">
        <f t="shared" si="36"/>
        <v>2021-W19</v>
      </c>
      <c r="H497">
        <f>SUM(A497:A503)</f>
        <v>1432</v>
      </c>
      <c r="I497" s="28">
        <f>H497/H490-1</f>
        <v>-4.9136786188578974E-2</v>
      </c>
      <c r="J497" s="28">
        <f t="shared" si="37"/>
        <v>-0.19182389937106914</v>
      </c>
      <c r="K497">
        <f t="shared" si="38"/>
        <v>1445</v>
      </c>
      <c r="L497" s="37">
        <f t="shared" si="39"/>
        <v>2908</v>
      </c>
    </row>
    <row r="498" spans="1:12">
      <c r="A498" s="3">
        <v>215</v>
      </c>
      <c r="B498" t="s">
        <v>544</v>
      </c>
      <c r="C498" t="s">
        <v>8</v>
      </c>
      <c r="E498" s="3">
        <f t="shared" si="35"/>
        <v>2</v>
      </c>
      <c r="F498" s="5">
        <v>44327.625</v>
      </c>
      <c r="G498" s="19" t="str">
        <f t="shared" si="36"/>
        <v/>
      </c>
      <c r="J498" s="28">
        <f t="shared" si="37"/>
        <v>4.3689320388349495E-2</v>
      </c>
      <c r="K498">
        <f t="shared" si="38"/>
        <v>1454</v>
      </c>
      <c r="L498" s="37">
        <f t="shared" si="39"/>
        <v>2894</v>
      </c>
    </row>
    <row r="499" spans="1:12">
      <c r="A499" s="3">
        <v>256</v>
      </c>
      <c r="B499" t="s">
        <v>545</v>
      </c>
      <c r="C499" t="s">
        <v>8</v>
      </c>
      <c r="E499" s="3">
        <f t="shared" si="35"/>
        <v>3</v>
      </c>
      <c r="F499" s="5">
        <v>44328.625</v>
      </c>
      <c r="G499" s="19" t="str">
        <f t="shared" si="36"/>
        <v/>
      </c>
      <c r="J499" s="28">
        <f t="shared" si="37"/>
        <v>-3.3962264150943389E-2</v>
      </c>
      <c r="K499">
        <f t="shared" si="38"/>
        <v>1445</v>
      </c>
      <c r="L499" s="37">
        <f t="shared" si="39"/>
        <v>2876</v>
      </c>
    </row>
    <row r="500" spans="1:12">
      <c r="A500" s="3">
        <v>157</v>
      </c>
      <c r="B500" t="s">
        <v>546</v>
      </c>
      <c r="C500" t="s">
        <v>8</v>
      </c>
      <c r="E500" s="3">
        <f t="shared" si="35"/>
        <v>4</v>
      </c>
      <c r="F500" s="5">
        <v>44329.625</v>
      </c>
      <c r="G500" s="19" t="str">
        <f t="shared" si="36"/>
        <v/>
      </c>
      <c r="J500" s="28">
        <f t="shared" si="37"/>
        <v>-0.34309623430962344</v>
      </c>
      <c r="K500">
        <f t="shared" si="38"/>
        <v>1363</v>
      </c>
      <c r="L500" s="37">
        <f t="shared" si="39"/>
        <v>2832</v>
      </c>
    </row>
    <row r="501" spans="1:12">
      <c r="A501" s="3">
        <v>249</v>
      </c>
      <c r="B501" t="s">
        <v>547</v>
      </c>
      <c r="C501" t="s">
        <v>8</v>
      </c>
      <c r="E501" s="3">
        <f t="shared" si="35"/>
        <v>5</v>
      </c>
      <c r="F501" s="5">
        <v>44330.625</v>
      </c>
      <c r="G501" s="19" t="str">
        <f t="shared" si="36"/>
        <v/>
      </c>
      <c r="J501" s="28">
        <f t="shared" si="37"/>
        <v>0.16355140186915884</v>
      </c>
      <c r="K501">
        <f t="shared" si="38"/>
        <v>1398</v>
      </c>
      <c r="L501" s="37">
        <f t="shared" si="39"/>
        <v>2884</v>
      </c>
    </row>
    <row r="502" spans="1:12">
      <c r="A502" s="3">
        <v>164</v>
      </c>
      <c r="B502" t="s">
        <v>548</v>
      </c>
      <c r="C502" t="s">
        <v>8</v>
      </c>
      <c r="E502" s="3">
        <f t="shared" si="35"/>
        <v>6</v>
      </c>
      <c r="F502" s="5">
        <v>44331.625</v>
      </c>
      <c r="G502" s="19" t="str">
        <f t="shared" si="36"/>
        <v/>
      </c>
      <c r="J502" s="28">
        <f t="shared" si="37"/>
        <v>0.22388059701492535</v>
      </c>
      <c r="K502">
        <f t="shared" si="38"/>
        <v>1428</v>
      </c>
      <c r="L502" s="37">
        <f t="shared" si="39"/>
        <v>2939</v>
      </c>
    </row>
    <row r="503" spans="1:12">
      <c r="A503" s="3">
        <v>134</v>
      </c>
      <c r="B503" t="s">
        <v>549</v>
      </c>
      <c r="C503" t="s">
        <v>8</v>
      </c>
      <c r="E503" s="3">
        <f t="shared" si="35"/>
        <v>7</v>
      </c>
      <c r="F503" s="5">
        <v>44332.625</v>
      </c>
      <c r="G503" s="19" t="str">
        <f t="shared" si="36"/>
        <v/>
      </c>
      <c r="J503" s="28">
        <f t="shared" si="37"/>
        <v>3.076923076923066E-2</v>
      </c>
      <c r="K503">
        <f t="shared" si="38"/>
        <v>1432</v>
      </c>
      <c r="L503" s="37">
        <f t="shared" si="39"/>
        <v>2938</v>
      </c>
    </row>
    <row r="504" spans="1:12">
      <c r="A504" s="3">
        <v>285</v>
      </c>
      <c r="B504" t="s">
        <v>550</v>
      </c>
      <c r="C504" t="s">
        <v>8</v>
      </c>
      <c r="E504" s="3">
        <f t="shared" si="35"/>
        <v>1</v>
      </c>
      <c r="F504" s="5">
        <v>44333.625</v>
      </c>
      <c r="G504" s="19" t="str">
        <f t="shared" si="36"/>
        <v>2021-W20</v>
      </c>
      <c r="H504">
        <f>SUM(A504:A510)</f>
        <v>1319</v>
      </c>
      <c r="I504" s="28">
        <f>H504/H497-1</f>
        <v>-7.89106145251397E-2</v>
      </c>
      <c r="J504" s="28">
        <f t="shared" si="37"/>
        <v>0.10894941634241251</v>
      </c>
      <c r="K504">
        <f t="shared" si="38"/>
        <v>1460</v>
      </c>
      <c r="L504" s="37">
        <f t="shared" si="39"/>
        <v>2905</v>
      </c>
    </row>
    <row r="505" spans="1:12">
      <c r="A505" s="3">
        <v>217</v>
      </c>
      <c r="B505" t="s">
        <v>551</v>
      </c>
      <c r="C505" t="s">
        <v>8</v>
      </c>
      <c r="E505" s="3">
        <f t="shared" si="35"/>
        <v>2</v>
      </c>
      <c r="F505" s="5">
        <v>44334.625</v>
      </c>
      <c r="G505" s="19" t="str">
        <f t="shared" si="36"/>
        <v/>
      </c>
      <c r="J505" s="28">
        <f t="shared" si="37"/>
        <v>9.302325581395321E-3</v>
      </c>
      <c r="K505">
        <f t="shared" si="38"/>
        <v>1462</v>
      </c>
      <c r="L505" s="37">
        <f t="shared" si="39"/>
        <v>2916</v>
      </c>
    </row>
    <row r="506" spans="1:12">
      <c r="A506" s="3">
        <v>231</v>
      </c>
      <c r="B506" t="s">
        <v>552</v>
      </c>
      <c r="C506" t="s">
        <v>8</v>
      </c>
      <c r="E506" s="3">
        <f t="shared" si="35"/>
        <v>3</v>
      </c>
      <c r="F506" s="5">
        <v>44335.625</v>
      </c>
      <c r="G506" s="19" t="str">
        <f t="shared" si="36"/>
        <v/>
      </c>
      <c r="J506" s="28">
        <f t="shared" si="37"/>
        <v>-9.765625E-2</v>
      </c>
      <c r="K506">
        <f t="shared" si="38"/>
        <v>1437</v>
      </c>
      <c r="L506" s="37">
        <f t="shared" si="39"/>
        <v>2882</v>
      </c>
    </row>
    <row r="507" spans="1:12">
      <c r="A507" s="3">
        <v>217</v>
      </c>
      <c r="B507" t="s">
        <v>553</v>
      </c>
      <c r="C507" t="s">
        <v>8</v>
      </c>
      <c r="E507" s="3">
        <f t="shared" si="35"/>
        <v>4</v>
      </c>
      <c r="F507" s="5">
        <v>44336.625</v>
      </c>
      <c r="G507" s="19" t="str">
        <f t="shared" si="36"/>
        <v/>
      </c>
      <c r="J507" s="28">
        <f t="shared" si="37"/>
        <v>0.38216560509554132</v>
      </c>
      <c r="K507">
        <f t="shared" si="38"/>
        <v>1497</v>
      </c>
      <c r="L507" s="37">
        <f t="shared" si="39"/>
        <v>2860</v>
      </c>
    </row>
    <row r="508" spans="1:12">
      <c r="A508" s="3">
        <v>168</v>
      </c>
      <c r="B508" t="s">
        <v>554</v>
      </c>
      <c r="C508" t="s">
        <v>8</v>
      </c>
      <c r="E508" s="3">
        <f t="shared" si="35"/>
        <v>5</v>
      </c>
      <c r="F508" s="5">
        <v>44337.625</v>
      </c>
      <c r="G508" s="19" t="str">
        <f t="shared" si="36"/>
        <v/>
      </c>
      <c r="J508" s="28">
        <f t="shared" si="37"/>
        <v>-0.32530120481927716</v>
      </c>
      <c r="K508">
        <f t="shared" si="38"/>
        <v>1416</v>
      </c>
      <c r="L508" s="37">
        <f t="shared" si="39"/>
        <v>2814</v>
      </c>
    </row>
    <row r="509" spans="1:12">
      <c r="A509" s="3">
        <v>108</v>
      </c>
      <c r="B509" t="s">
        <v>555</v>
      </c>
      <c r="C509" t="s">
        <v>8</v>
      </c>
      <c r="E509" s="3">
        <f t="shared" si="35"/>
        <v>6</v>
      </c>
      <c r="F509" s="5">
        <v>44338.625</v>
      </c>
      <c r="G509" s="19" t="str">
        <f t="shared" si="36"/>
        <v/>
      </c>
      <c r="J509" s="28">
        <f t="shared" si="37"/>
        <v>-0.34146341463414631</v>
      </c>
      <c r="K509">
        <f t="shared" si="38"/>
        <v>1360</v>
      </c>
      <c r="L509" s="37">
        <f t="shared" si="39"/>
        <v>2788</v>
      </c>
    </row>
    <row r="510" spans="1:12">
      <c r="A510" s="3">
        <v>93</v>
      </c>
      <c r="B510" t="s">
        <v>556</v>
      </c>
      <c r="C510" t="s">
        <v>8</v>
      </c>
      <c r="E510" s="3">
        <f t="shared" si="35"/>
        <v>7</v>
      </c>
      <c r="F510" s="5">
        <v>44339.625</v>
      </c>
      <c r="G510" s="19" t="str">
        <f t="shared" si="36"/>
        <v/>
      </c>
      <c r="J510" s="28">
        <f t="shared" si="37"/>
        <v>-0.30597014925373134</v>
      </c>
      <c r="K510">
        <f t="shared" si="38"/>
        <v>1319</v>
      </c>
      <c r="L510" s="37">
        <f t="shared" si="39"/>
        <v>2751</v>
      </c>
    </row>
    <row r="511" spans="1:12" s="46" customFormat="1">
      <c r="A511" s="45">
        <v>188</v>
      </c>
      <c r="B511" s="46" t="s">
        <v>557</v>
      </c>
      <c r="C511" s="46" t="s">
        <v>8</v>
      </c>
      <c r="E511" s="45">
        <f t="shared" ref="E511:E574" si="40">WEEKDAY(F511,2)</f>
        <v>1</v>
      </c>
      <c r="F511" s="47">
        <v>44340.625</v>
      </c>
      <c r="G511" s="48" t="str">
        <f t="shared" si="36"/>
        <v>2021-W21</v>
      </c>
      <c r="H511" s="46">
        <f>SUM(A511:A517)</f>
        <v>890</v>
      </c>
      <c r="I511" s="49">
        <f>H511/H504-1</f>
        <v>-0.32524639878695982</v>
      </c>
      <c r="J511" s="49">
        <f t="shared" si="37"/>
        <v>-0.3403508771929824</v>
      </c>
      <c r="K511" s="46">
        <f t="shared" si="38"/>
        <v>1222</v>
      </c>
      <c r="L511" s="37">
        <f t="shared" si="39"/>
        <v>2682</v>
      </c>
    </row>
    <row r="512" spans="1:12">
      <c r="A512" s="3">
        <v>153</v>
      </c>
      <c r="B512" t="s">
        <v>558</v>
      </c>
      <c r="C512" t="s">
        <v>8</v>
      </c>
      <c r="E512" s="3">
        <f t="shared" si="40"/>
        <v>2</v>
      </c>
      <c r="F512" s="5">
        <v>44341.625</v>
      </c>
      <c r="G512" s="19" t="str">
        <f t="shared" si="36"/>
        <v/>
      </c>
      <c r="J512" s="28">
        <f t="shared" si="37"/>
        <v>-0.29493087557603692</v>
      </c>
      <c r="K512">
        <f t="shared" si="38"/>
        <v>1158</v>
      </c>
      <c r="L512" s="37">
        <f t="shared" si="39"/>
        <v>2620</v>
      </c>
    </row>
    <row r="513" spans="1:12">
      <c r="A513" s="3">
        <v>143</v>
      </c>
      <c r="B513" t="s">
        <v>559</v>
      </c>
      <c r="C513" t="s">
        <v>8</v>
      </c>
      <c r="E513" s="3">
        <f t="shared" si="40"/>
        <v>3</v>
      </c>
      <c r="F513" s="5">
        <v>44342.625</v>
      </c>
      <c r="G513" s="19" t="str">
        <f t="shared" si="36"/>
        <v/>
      </c>
      <c r="J513" s="28">
        <f t="shared" si="37"/>
        <v>-0.38095238095238093</v>
      </c>
      <c r="K513">
        <f t="shared" si="38"/>
        <v>1070</v>
      </c>
      <c r="L513" s="37">
        <f t="shared" si="39"/>
        <v>2507</v>
      </c>
    </row>
    <row r="514" spans="1:12">
      <c r="A514" s="3">
        <v>127</v>
      </c>
      <c r="B514" t="s">
        <v>560</v>
      </c>
      <c r="C514" t="s">
        <v>8</v>
      </c>
      <c r="E514" s="3">
        <f t="shared" si="40"/>
        <v>4</v>
      </c>
      <c r="F514" s="5">
        <v>44343.625</v>
      </c>
      <c r="G514" s="19" t="str">
        <f t="shared" si="36"/>
        <v/>
      </c>
      <c r="J514" s="28">
        <f t="shared" si="37"/>
        <v>-0.41474654377880182</v>
      </c>
      <c r="K514">
        <f t="shared" si="38"/>
        <v>980</v>
      </c>
      <c r="L514" s="37">
        <f t="shared" si="39"/>
        <v>2477</v>
      </c>
    </row>
    <row r="515" spans="1:12">
      <c r="A515" s="3">
        <v>136</v>
      </c>
      <c r="B515" t="s">
        <v>561</v>
      </c>
      <c r="C515" t="s">
        <v>8</v>
      </c>
      <c r="E515" s="3">
        <f t="shared" si="40"/>
        <v>5</v>
      </c>
      <c r="F515" s="5">
        <v>44344.625</v>
      </c>
      <c r="G515" s="19" t="str">
        <f t="shared" ref="G515:G578" si="41">IF(WEEKDAY(F515,2)=1,YEAR(F515)&amp;"-W"&amp;TEXT(WEEKNUM(F515,14),"00"),"")</f>
        <v/>
      </c>
      <c r="J515" s="28">
        <f t="shared" si="37"/>
        <v>-0.19047619047619047</v>
      </c>
      <c r="K515">
        <f t="shared" si="38"/>
        <v>948</v>
      </c>
      <c r="L515" s="37">
        <f t="shared" si="39"/>
        <v>2364</v>
      </c>
    </row>
    <row r="516" spans="1:12">
      <c r="A516" s="3">
        <v>64</v>
      </c>
      <c r="B516" t="s">
        <v>562</v>
      </c>
      <c r="C516" t="s">
        <v>8</v>
      </c>
      <c r="E516" s="3">
        <f t="shared" si="40"/>
        <v>6</v>
      </c>
      <c r="F516" s="5">
        <v>44345.625</v>
      </c>
      <c r="G516" s="19" t="str">
        <f t="shared" si="41"/>
        <v/>
      </c>
      <c r="J516" s="28">
        <f t="shared" si="37"/>
        <v>-0.40740740740740744</v>
      </c>
      <c r="K516">
        <f t="shared" si="38"/>
        <v>904</v>
      </c>
      <c r="L516" s="37">
        <f t="shared" si="39"/>
        <v>2264</v>
      </c>
    </row>
    <row r="517" spans="1:12">
      <c r="A517" s="3">
        <v>79</v>
      </c>
      <c r="B517" t="s">
        <v>563</v>
      </c>
      <c r="C517" t="s">
        <v>8</v>
      </c>
      <c r="E517" s="3">
        <f t="shared" si="40"/>
        <v>7</v>
      </c>
      <c r="F517" s="5">
        <v>44346.625</v>
      </c>
      <c r="G517" s="19" t="str">
        <f t="shared" si="41"/>
        <v/>
      </c>
      <c r="J517" s="28">
        <f t="shared" si="37"/>
        <v>-0.15053763440860213</v>
      </c>
      <c r="K517">
        <f t="shared" si="38"/>
        <v>890</v>
      </c>
      <c r="L517" s="37">
        <f t="shared" si="39"/>
        <v>2209</v>
      </c>
    </row>
    <row r="518" spans="1:12">
      <c r="A518" s="3">
        <v>151</v>
      </c>
      <c r="B518" t="s">
        <v>564</v>
      </c>
      <c r="C518" t="s">
        <v>8</v>
      </c>
      <c r="E518" s="3">
        <f t="shared" si="40"/>
        <v>1</v>
      </c>
      <c r="F518" s="5">
        <v>44347.625</v>
      </c>
      <c r="G518" s="19" t="str">
        <f t="shared" si="41"/>
        <v>2021-W22</v>
      </c>
      <c r="H518">
        <f>SUM(A518:A524)</f>
        <v>729</v>
      </c>
      <c r="I518" s="28">
        <f>H518/H511-1</f>
        <v>-0.18089887640449442</v>
      </c>
      <c r="J518" s="28">
        <f t="shared" si="37"/>
        <v>-0.19680851063829785</v>
      </c>
      <c r="K518">
        <f t="shared" si="38"/>
        <v>853</v>
      </c>
      <c r="L518" s="37">
        <f t="shared" si="39"/>
        <v>2075</v>
      </c>
    </row>
    <row r="519" spans="1:12">
      <c r="A519" s="3">
        <v>121</v>
      </c>
      <c r="B519" t="s">
        <v>565</v>
      </c>
      <c r="C519" t="s">
        <v>8</v>
      </c>
      <c r="E519" s="3">
        <f t="shared" si="40"/>
        <v>2</v>
      </c>
      <c r="F519" s="5">
        <v>44348.625</v>
      </c>
      <c r="G519" s="19" t="str">
        <f t="shared" si="41"/>
        <v/>
      </c>
      <c r="J519" s="28">
        <f t="shared" si="37"/>
        <v>-0.20915032679738566</v>
      </c>
      <c r="K519">
        <f t="shared" si="38"/>
        <v>821</v>
      </c>
      <c r="L519" s="37">
        <f t="shared" si="39"/>
        <v>1979</v>
      </c>
    </row>
    <row r="520" spans="1:12">
      <c r="A520" s="3">
        <v>119</v>
      </c>
      <c r="B520" t="s">
        <v>566</v>
      </c>
      <c r="C520" t="s">
        <v>8</v>
      </c>
      <c r="E520" s="3">
        <f t="shared" si="40"/>
        <v>3</v>
      </c>
      <c r="F520" s="5">
        <v>44349.625</v>
      </c>
      <c r="G520" s="19" t="str">
        <f t="shared" si="41"/>
        <v/>
      </c>
      <c r="J520" s="28">
        <f t="shared" si="37"/>
        <v>-0.16783216783216781</v>
      </c>
      <c r="K520">
        <f t="shared" si="38"/>
        <v>797</v>
      </c>
      <c r="L520" s="37">
        <f t="shared" si="39"/>
        <v>1867</v>
      </c>
    </row>
    <row r="521" spans="1:12">
      <c r="A521" s="3">
        <v>111</v>
      </c>
      <c r="B521" t="s">
        <v>567</v>
      </c>
      <c r="C521" t="s">
        <v>8</v>
      </c>
      <c r="E521" s="3">
        <f t="shared" si="40"/>
        <v>4</v>
      </c>
      <c r="F521" s="5">
        <v>44350.625</v>
      </c>
      <c r="G521" s="19" t="str">
        <f t="shared" si="41"/>
        <v/>
      </c>
      <c r="J521" s="28">
        <f t="shared" ref="J521:J584" si="42">A521/A514-1</f>
        <v>-0.12598425196850394</v>
      </c>
      <c r="K521">
        <f t="shared" si="38"/>
        <v>781</v>
      </c>
      <c r="L521" s="37">
        <f t="shared" si="39"/>
        <v>1761</v>
      </c>
    </row>
    <row r="522" spans="1:12">
      <c r="A522" s="3">
        <v>103</v>
      </c>
      <c r="B522" t="s">
        <v>568</v>
      </c>
      <c r="C522" t="s">
        <v>8</v>
      </c>
      <c r="E522" s="3">
        <f t="shared" si="40"/>
        <v>5</v>
      </c>
      <c r="F522" s="5">
        <v>44351.625</v>
      </c>
      <c r="G522" s="19" t="str">
        <f t="shared" si="41"/>
        <v/>
      </c>
      <c r="J522" s="28">
        <f t="shared" si="42"/>
        <v>-0.24264705882352944</v>
      </c>
      <c r="K522">
        <f t="shared" si="38"/>
        <v>748</v>
      </c>
      <c r="L522" s="37">
        <f t="shared" si="39"/>
        <v>1696</v>
      </c>
    </row>
    <row r="523" spans="1:12">
      <c r="A523" s="3">
        <v>64</v>
      </c>
      <c r="B523" t="s">
        <v>569</v>
      </c>
      <c r="C523" t="s">
        <v>8</v>
      </c>
      <c r="E523" s="3">
        <f t="shared" si="40"/>
        <v>6</v>
      </c>
      <c r="F523" s="5">
        <v>44352.625</v>
      </c>
      <c r="G523" s="19" t="str">
        <f t="shared" si="41"/>
        <v/>
      </c>
      <c r="J523" s="28">
        <f t="shared" si="42"/>
        <v>0</v>
      </c>
      <c r="K523">
        <f t="shared" si="38"/>
        <v>748</v>
      </c>
      <c r="L523" s="37">
        <f t="shared" si="39"/>
        <v>1652</v>
      </c>
    </row>
    <row r="524" spans="1:12">
      <c r="A524" s="3">
        <v>60</v>
      </c>
      <c r="B524" t="s">
        <v>570</v>
      </c>
      <c r="C524" t="s">
        <v>8</v>
      </c>
      <c r="E524" s="3">
        <f t="shared" si="40"/>
        <v>7</v>
      </c>
      <c r="F524" s="5">
        <v>44353.625</v>
      </c>
      <c r="G524" s="19" t="str">
        <f t="shared" si="41"/>
        <v/>
      </c>
      <c r="J524" s="28">
        <f t="shared" si="42"/>
        <v>-0.240506329113924</v>
      </c>
      <c r="K524">
        <f t="shared" si="38"/>
        <v>729</v>
      </c>
      <c r="L524" s="37">
        <f t="shared" si="39"/>
        <v>1619</v>
      </c>
    </row>
    <row r="525" spans="1:12">
      <c r="A525" s="3">
        <v>139</v>
      </c>
      <c r="B525" t="s">
        <v>571</v>
      </c>
      <c r="C525" t="s">
        <v>8</v>
      </c>
      <c r="E525" s="3">
        <f t="shared" si="40"/>
        <v>1</v>
      </c>
      <c r="F525" s="5">
        <v>44354.625</v>
      </c>
      <c r="G525" s="19" t="str">
        <f t="shared" si="41"/>
        <v>2021-W23</v>
      </c>
      <c r="H525">
        <f>SUM(A525:A531)</f>
        <v>558</v>
      </c>
      <c r="I525" s="28">
        <f>H525/H518-1</f>
        <v>-0.23456790123456794</v>
      </c>
      <c r="J525" s="28">
        <f t="shared" si="42"/>
        <v>-7.9470198675496651E-2</v>
      </c>
      <c r="K525">
        <f t="shared" si="38"/>
        <v>717</v>
      </c>
      <c r="L525" s="37">
        <f t="shared" si="39"/>
        <v>1570</v>
      </c>
    </row>
    <row r="526" spans="1:12">
      <c r="A526" s="3">
        <v>101</v>
      </c>
      <c r="B526" t="s">
        <v>572</v>
      </c>
      <c r="C526" t="s">
        <v>8</v>
      </c>
      <c r="E526" s="3">
        <f t="shared" si="40"/>
        <v>2</v>
      </c>
      <c r="F526" s="5">
        <v>44355.625</v>
      </c>
      <c r="G526" s="19" t="str">
        <f t="shared" si="41"/>
        <v/>
      </c>
      <c r="J526" s="28">
        <f t="shared" si="42"/>
        <v>-0.16528925619834711</v>
      </c>
      <c r="K526">
        <f t="shared" si="38"/>
        <v>697</v>
      </c>
      <c r="L526" s="37">
        <f t="shared" si="39"/>
        <v>1518</v>
      </c>
    </row>
    <row r="527" spans="1:12">
      <c r="A527" s="3">
        <v>81</v>
      </c>
      <c r="B527" t="s">
        <v>573</v>
      </c>
      <c r="C527" t="s">
        <v>8</v>
      </c>
      <c r="E527" s="3">
        <f t="shared" si="40"/>
        <v>3</v>
      </c>
      <c r="F527" s="5">
        <v>44356.625</v>
      </c>
      <c r="G527" s="19" t="str">
        <f t="shared" si="41"/>
        <v/>
      </c>
      <c r="J527" s="28">
        <f t="shared" si="42"/>
        <v>-0.31932773109243695</v>
      </c>
      <c r="K527">
        <f t="shared" si="38"/>
        <v>659</v>
      </c>
      <c r="L527" s="37">
        <f t="shared" si="39"/>
        <v>1456</v>
      </c>
    </row>
    <row r="528" spans="1:12">
      <c r="A528" s="3">
        <v>73</v>
      </c>
      <c r="B528" t="s">
        <v>574</v>
      </c>
      <c r="C528" t="s">
        <v>8</v>
      </c>
      <c r="E528" s="3">
        <f t="shared" si="40"/>
        <v>4</v>
      </c>
      <c r="F528" s="5">
        <v>44357.625</v>
      </c>
      <c r="G528" s="19" t="str">
        <f t="shared" si="41"/>
        <v/>
      </c>
      <c r="J528" s="28">
        <f t="shared" si="42"/>
        <v>-0.34234234234234229</v>
      </c>
      <c r="K528">
        <f t="shared" si="38"/>
        <v>621</v>
      </c>
      <c r="L528" s="37">
        <f t="shared" si="39"/>
        <v>1402</v>
      </c>
    </row>
    <row r="529" spans="1:12">
      <c r="A529" s="3">
        <v>70</v>
      </c>
      <c r="B529" t="s">
        <v>575</v>
      </c>
      <c r="C529" t="s">
        <v>8</v>
      </c>
      <c r="E529" s="3">
        <f t="shared" si="40"/>
        <v>5</v>
      </c>
      <c r="F529" s="5">
        <v>44358.625</v>
      </c>
      <c r="G529" s="19" t="str">
        <f t="shared" si="41"/>
        <v/>
      </c>
      <c r="J529" s="28">
        <f t="shared" si="42"/>
        <v>-0.32038834951456308</v>
      </c>
      <c r="K529">
        <f t="shared" si="38"/>
        <v>588</v>
      </c>
      <c r="L529" s="37">
        <f t="shared" si="39"/>
        <v>1336</v>
      </c>
    </row>
    <row r="530" spans="1:12">
      <c r="A530" s="3">
        <v>46</v>
      </c>
      <c r="B530" t="s">
        <v>576</v>
      </c>
      <c r="C530" t="s">
        <v>8</v>
      </c>
      <c r="E530" s="3">
        <f t="shared" si="40"/>
        <v>6</v>
      </c>
      <c r="F530" s="5">
        <v>44359.625</v>
      </c>
      <c r="G530" s="19" t="str">
        <f t="shared" si="41"/>
        <v/>
      </c>
      <c r="J530" s="28">
        <f t="shared" si="42"/>
        <v>-0.28125</v>
      </c>
      <c r="K530">
        <f t="shared" si="38"/>
        <v>570</v>
      </c>
      <c r="L530" s="37">
        <f t="shared" si="39"/>
        <v>1318</v>
      </c>
    </row>
    <row r="531" spans="1:12">
      <c r="A531" s="3">
        <v>48</v>
      </c>
      <c r="B531" t="s">
        <v>577</v>
      </c>
      <c r="C531" t="s">
        <v>8</v>
      </c>
      <c r="E531" s="3">
        <f t="shared" si="40"/>
        <v>7</v>
      </c>
      <c r="F531" s="5">
        <v>44360.625</v>
      </c>
      <c r="G531" s="19" t="str">
        <f t="shared" si="41"/>
        <v/>
      </c>
      <c r="J531" s="28">
        <f t="shared" si="42"/>
        <v>-0.19999999999999996</v>
      </c>
      <c r="K531">
        <f t="shared" si="38"/>
        <v>558</v>
      </c>
      <c r="L531" s="37">
        <f t="shared" si="39"/>
        <v>1287</v>
      </c>
    </row>
    <row r="532" spans="1:12">
      <c r="A532" s="3">
        <v>93</v>
      </c>
      <c r="B532" t="s">
        <v>578</v>
      </c>
      <c r="C532" t="s">
        <v>8</v>
      </c>
      <c r="E532" s="3">
        <f t="shared" si="40"/>
        <v>1</v>
      </c>
      <c r="F532" s="5">
        <v>44361.625</v>
      </c>
      <c r="G532" s="19" t="str">
        <f t="shared" si="41"/>
        <v>2021-W24</v>
      </c>
      <c r="H532">
        <f>SUM(A532:A538)</f>
        <v>544</v>
      </c>
      <c r="I532" s="28">
        <f>H532/H525-1</f>
        <v>-2.508960573476704E-2</v>
      </c>
      <c r="J532" s="28">
        <f t="shared" si="42"/>
        <v>-0.3309352517985612</v>
      </c>
      <c r="K532">
        <f t="shared" si="38"/>
        <v>512</v>
      </c>
      <c r="L532" s="37">
        <f t="shared" si="39"/>
        <v>1229</v>
      </c>
    </row>
    <row r="533" spans="1:12">
      <c r="A533" s="3">
        <v>78</v>
      </c>
      <c r="B533" t="s">
        <v>579</v>
      </c>
      <c r="C533" t="s">
        <v>8</v>
      </c>
      <c r="E533" s="3">
        <f t="shared" si="40"/>
        <v>2</v>
      </c>
      <c r="F533" s="5">
        <v>44362.625</v>
      </c>
      <c r="G533" s="19" t="str">
        <f t="shared" si="41"/>
        <v/>
      </c>
      <c r="J533" s="28">
        <f t="shared" si="42"/>
        <v>-0.2277227722772277</v>
      </c>
      <c r="K533">
        <f t="shared" ref="K533:K596" si="43">SUM(A527:A533)</f>
        <v>489</v>
      </c>
      <c r="L533" s="37">
        <f t="shared" ref="L533:L596" si="44">SUM(A520:A533)</f>
        <v>1186</v>
      </c>
    </row>
    <row r="534" spans="1:12">
      <c r="A534" s="3">
        <v>64</v>
      </c>
      <c r="B534" t="s">
        <v>580</v>
      </c>
      <c r="C534" t="s">
        <v>8</v>
      </c>
      <c r="E534" s="3">
        <f t="shared" si="40"/>
        <v>3</v>
      </c>
      <c r="F534" s="5">
        <v>44363.625</v>
      </c>
      <c r="G534" s="19" t="str">
        <f t="shared" si="41"/>
        <v/>
      </c>
      <c r="J534" s="28">
        <f t="shared" si="42"/>
        <v>-0.20987654320987659</v>
      </c>
      <c r="K534">
        <f t="shared" si="43"/>
        <v>472</v>
      </c>
      <c r="L534" s="37">
        <f t="shared" si="44"/>
        <v>1131</v>
      </c>
    </row>
    <row r="535" spans="1:12">
      <c r="A535" s="3">
        <v>91</v>
      </c>
      <c r="B535" t="s">
        <v>581</v>
      </c>
      <c r="C535" t="s">
        <v>8</v>
      </c>
      <c r="E535" s="3">
        <f t="shared" si="40"/>
        <v>4</v>
      </c>
      <c r="F535" s="5">
        <v>44364.625</v>
      </c>
      <c r="G535" s="19" t="str">
        <f t="shared" si="41"/>
        <v/>
      </c>
      <c r="J535" s="28">
        <f t="shared" si="42"/>
        <v>0.24657534246575352</v>
      </c>
      <c r="K535">
        <f t="shared" si="43"/>
        <v>490</v>
      </c>
      <c r="L535" s="37">
        <f t="shared" si="44"/>
        <v>1111</v>
      </c>
    </row>
    <row r="536" spans="1:12">
      <c r="A536" s="3">
        <v>81</v>
      </c>
      <c r="B536" t="s">
        <v>582</v>
      </c>
      <c r="C536" t="s">
        <v>8</v>
      </c>
      <c r="E536" s="3">
        <f t="shared" si="40"/>
        <v>5</v>
      </c>
      <c r="F536" s="5">
        <v>44365.625</v>
      </c>
      <c r="G536" s="19" t="str">
        <f t="shared" si="41"/>
        <v/>
      </c>
      <c r="J536" s="28">
        <f t="shared" si="42"/>
        <v>0.15714285714285725</v>
      </c>
      <c r="K536">
        <f t="shared" si="43"/>
        <v>501</v>
      </c>
      <c r="L536" s="37">
        <f t="shared" si="44"/>
        <v>1089</v>
      </c>
    </row>
    <row r="537" spans="1:12">
      <c r="A537" s="3">
        <v>57</v>
      </c>
      <c r="B537" t="s">
        <v>583</v>
      </c>
      <c r="C537" t="s">
        <v>8</v>
      </c>
      <c r="E537" s="3">
        <f t="shared" si="40"/>
        <v>6</v>
      </c>
      <c r="F537" s="5">
        <v>44366.625</v>
      </c>
      <c r="G537" s="19" t="str">
        <f t="shared" si="41"/>
        <v/>
      </c>
      <c r="J537" s="28">
        <f t="shared" si="42"/>
        <v>0.23913043478260865</v>
      </c>
      <c r="K537">
        <f t="shared" si="43"/>
        <v>512</v>
      </c>
      <c r="L537" s="37">
        <f t="shared" si="44"/>
        <v>1082</v>
      </c>
    </row>
    <row r="538" spans="1:12">
      <c r="A538" s="3">
        <v>80</v>
      </c>
      <c r="B538" t="s">
        <v>584</v>
      </c>
      <c r="C538" t="s">
        <v>8</v>
      </c>
      <c r="E538" s="3">
        <f t="shared" si="40"/>
        <v>7</v>
      </c>
      <c r="F538" s="5">
        <v>44367.625</v>
      </c>
      <c r="G538" s="19" t="str">
        <f t="shared" si="41"/>
        <v/>
      </c>
      <c r="J538" s="28">
        <f t="shared" si="42"/>
        <v>0.66666666666666674</v>
      </c>
      <c r="K538">
        <f t="shared" si="43"/>
        <v>544</v>
      </c>
      <c r="L538" s="37">
        <f t="shared" si="44"/>
        <v>1102</v>
      </c>
    </row>
    <row r="539" spans="1:12" s="41" customFormat="1">
      <c r="A539" s="40">
        <v>112</v>
      </c>
      <c r="B539" s="41" t="s">
        <v>585</v>
      </c>
      <c r="C539" s="41" t="s">
        <v>8</v>
      </c>
      <c r="E539" s="40">
        <f t="shared" si="40"/>
        <v>1</v>
      </c>
      <c r="F539" s="42">
        <v>44368.625</v>
      </c>
      <c r="G539" s="43" t="str">
        <f t="shared" si="41"/>
        <v>2021-W25</v>
      </c>
      <c r="H539" s="41">
        <f>SUM(A539:A545)</f>
        <v>975</v>
      </c>
      <c r="I539" s="44">
        <f>H539/H532-1</f>
        <v>0.79227941176470584</v>
      </c>
      <c r="J539" s="44">
        <f t="shared" si="42"/>
        <v>0.20430107526881724</v>
      </c>
      <c r="K539" s="41">
        <f t="shared" si="43"/>
        <v>563</v>
      </c>
      <c r="L539" s="54">
        <f t="shared" si="44"/>
        <v>1075</v>
      </c>
    </row>
    <row r="540" spans="1:12">
      <c r="A540" s="3">
        <v>110</v>
      </c>
      <c r="B540" t="s">
        <v>586</v>
      </c>
      <c r="C540" t="s">
        <v>8</v>
      </c>
      <c r="E540" s="3">
        <f t="shared" si="40"/>
        <v>2</v>
      </c>
      <c r="F540" s="5">
        <v>44369.625</v>
      </c>
      <c r="G540" s="19" t="str">
        <f t="shared" si="41"/>
        <v/>
      </c>
      <c r="J540" s="28">
        <f t="shared" si="42"/>
        <v>0.41025641025641035</v>
      </c>
      <c r="K540">
        <f t="shared" si="43"/>
        <v>595</v>
      </c>
      <c r="L540" s="37">
        <f t="shared" si="44"/>
        <v>1084</v>
      </c>
    </row>
    <row r="541" spans="1:12">
      <c r="A541" s="3">
        <v>145</v>
      </c>
      <c r="B541" t="s">
        <v>587</v>
      </c>
      <c r="C541" t="s">
        <v>8</v>
      </c>
      <c r="E541" s="3">
        <f t="shared" si="40"/>
        <v>3</v>
      </c>
      <c r="F541" s="5">
        <v>44370.625</v>
      </c>
      <c r="G541" s="19" t="str">
        <f t="shared" si="41"/>
        <v/>
      </c>
      <c r="J541" s="28">
        <f t="shared" si="42"/>
        <v>1.265625</v>
      </c>
      <c r="K541">
        <f t="shared" si="43"/>
        <v>676</v>
      </c>
      <c r="L541" s="37">
        <f t="shared" si="44"/>
        <v>1148</v>
      </c>
    </row>
    <row r="542" spans="1:12">
      <c r="A542" s="3">
        <v>162</v>
      </c>
      <c r="B542" t="s">
        <v>588</v>
      </c>
      <c r="C542" t="s">
        <v>8</v>
      </c>
      <c r="E542" s="3">
        <f t="shared" si="40"/>
        <v>4</v>
      </c>
      <c r="F542" s="5">
        <v>44371.625</v>
      </c>
      <c r="G542" s="19" t="str">
        <f t="shared" si="41"/>
        <v/>
      </c>
      <c r="J542" s="28">
        <f t="shared" si="42"/>
        <v>0.78021978021978011</v>
      </c>
      <c r="K542">
        <f t="shared" si="43"/>
        <v>747</v>
      </c>
      <c r="L542" s="37">
        <f t="shared" si="44"/>
        <v>1237</v>
      </c>
    </row>
    <row r="543" spans="1:12">
      <c r="A543" s="3">
        <v>196</v>
      </c>
      <c r="B543" t="s">
        <v>589</v>
      </c>
      <c r="C543" t="s">
        <v>8</v>
      </c>
      <c r="E543" s="3">
        <f t="shared" si="40"/>
        <v>5</v>
      </c>
      <c r="F543" s="5">
        <v>44372.625</v>
      </c>
      <c r="G543" s="19" t="str">
        <f t="shared" si="41"/>
        <v/>
      </c>
      <c r="J543" s="28">
        <f t="shared" si="42"/>
        <v>1.4197530864197532</v>
      </c>
      <c r="K543">
        <f t="shared" si="43"/>
        <v>862</v>
      </c>
      <c r="L543" s="37">
        <f t="shared" si="44"/>
        <v>1363</v>
      </c>
    </row>
    <row r="544" spans="1:12">
      <c r="A544" s="3">
        <v>131</v>
      </c>
      <c r="B544" t="s">
        <v>590</v>
      </c>
      <c r="C544" t="s">
        <v>8</v>
      </c>
      <c r="E544" s="3">
        <f t="shared" si="40"/>
        <v>6</v>
      </c>
      <c r="F544" s="5">
        <v>44373.625</v>
      </c>
      <c r="G544" s="19" t="str">
        <f t="shared" si="41"/>
        <v/>
      </c>
      <c r="J544" s="28">
        <f t="shared" si="42"/>
        <v>1.2982456140350878</v>
      </c>
      <c r="K544">
        <f t="shared" si="43"/>
        <v>936</v>
      </c>
      <c r="L544" s="37">
        <f t="shared" si="44"/>
        <v>1448</v>
      </c>
    </row>
    <row r="545" spans="1:12">
      <c r="A545" s="3">
        <v>119</v>
      </c>
      <c r="B545" t="s">
        <v>591</v>
      </c>
      <c r="C545" t="s">
        <v>8</v>
      </c>
      <c r="E545" s="3">
        <f t="shared" si="40"/>
        <v>7</v>
      </c>
      <c r="F545" s="5">
        <v>44374.625</v>
      </c>
      <c r="G545" s="19" t="str">
        <f t="shared" si="41"/>
        <v/>
      </c>
      <c r="J545" s="28">
        <f t="shared" si="42"/>
        <v>0.48750000000000004</v>
      </c>
      <c r="K545">
        <f t="shared" si="43"/>
        <v>975</v>
      </c>
      <c r="L545" s="37">
        <f t="shared" si="44"/>
        <v>1519</v>
      </c>
    </row>
    <row r="546" spans="1:12" s="41" customFormat="1">
      <c r="A546" s="40">
        <v>230</v>
      </c>
      <c r="B546" s="41" t="s">
        <v>592</v>
      </c>
      <c r="C546" s="41" t="s">
        <v>8</v>
      </c>
      <c r="E546" s="40">
        <f t="shared" si="40"/>
        <v>1</v>
      </c>
      <c r="F546" s="42">
        <v>44375.625</v>
      </c>
      <c r="G546" s="43" t="str">
        <f t="shared" si="41"/>
        <v>2021-W26</v>
      </c>
      <c r="H546" s="41">
        <f>SUM(A546:A552)</f>
        <v>1299</v>
      </c>
      <c r="I546" s="44">
        <f>H546/H539-1</f>
        <v>0.33230769230769241</v>
      </c>
      <c r="J546" s="44">
        <f t="shared" si="42"/>
        <v>1.0535714285714284</v>
      </c>
      <c r="K546" s="41">
        <f t="shared" si="43"/>
        <v>1093</v>
      </c>
      <c r="L546" s="54">
        <f t="shared" si="44"/>
        <v>1656</v>
      </c>
    </row>
    <row r="547" spans="1:12">
      <c r="A547" s="3">
        <v>261</v>
      </c>
      <c r="B547" t="s">
        <v>593</v>
      </c>
      <c r="C547" t="s">
        <v>8</v>
      </c>
      <c r="E547" s="3">
        <f t="shared" si="40"/>
        <v>2</v>
      </c>
      <c r="F547" s="5">
        <v>44376.625</v>
      </c>
      <c r="G547" s="19" t="str">
        <f t="shared" si="41"/>
        <v/>
      </c>
      <c r="J547" s="28">
        <f t="shared" si="42"/>
        <v>1.3727272727272726</v>
      </c>
      <c r="K547">
        <f t="shared" si="43"/>
        <v>1244</v>
      </c>
      <c r="L547" s="37">
        <f t="shared" si="44"/>
        <v>1839</v>
      </c>
    </row>
    <row r="548" spans="1:12">
      <c r="A548" s="3">
        <v>196</v>
      </c>
      <c r="B548" t="s">
        <v>594</v>
      </c>
      <c r="C548" t="s">
        <v>8</v>
      </c>
      <c r="E548" s="3">
        <f t="shared" si="40"/>
        <v>3</v>
      </c>
      <c r="F548" s="5">
        <v>44377.625</v>
      </c>
      <c r="G548" s="19" t="str">
        <f t="shared" si="41"/>
        <v/>
      </c>
      <c r="J548" s="28">
        <f t="shared" si="42"/>
        <v>0.35172413793103452</v>
      </c>
      <c r="K548">
        <f t="shared" si="43"/>
        <v>1295</v>
      </c>
      <c r="L548" s="37">
        <f t="shared" si="44"/>
        <v>1971</v>
      </c>
    </row>
    <row r="549" spans="1:12">
      <c r="A549" s="3">
        <v>205</v>
      </c>
      <c r="B549" t="s">
        <v>595</v>
      </c>
      <c r="C549" t="s">
        <v>8</v>
      </c>
      <c r="E549" s="3">
        <f t="shared" si="40"/>
        <v>4</v>
      </c>
      <c r="F549" s="5">
        <v>44378.625</v>
      </c>
      <c r="G549" s="19" t="str">
        <f t="shared" si="41"/>
        <v/>
      </c>
      <c r="J549" s="28">
        <f t="shared" si="42"/>
        <v>0.26543209876543217</v>
      </c>
      <c r="K549">
        <f t="shared" si="43"/>
        <v>1338</v>
      </c>
      <c r="L549" s="37">
        <f t="shared" si="44"/>
        <v>2085</v>
      </c>
    </row>
    <row r="550" spans="1:12">
      <c r="A550" s="3">
        <v>167</v>
      </c>
      <c r="B550" t="s">
        <v>596</v>
      </c>
      <c r="C550" t="s">
        <v>8</v>
      </c>
      <c r="E550" s="3">
        <f t="shared" si="40"/>
        <v>5</v>
      </c>
      <c r="F550" s="5">
        <v>44379.625</v>
      </c>
      <c r="G550" s="19" t="str">
        <f t="shared" si="41"/>
        <v/>
      </c>
      <c r="J550" s="28">
        <f t="shared" si="42"/>
        <v>-0.14795918367346939</v>
      </c>
      <c r="K550">
        <f t="shared" si="43"/>
        <v>1309</v>
      </c>
      <c r="L550" s="37">
        <f t="shared" si="44"/>
        <v>2171</v>
      </c>
    </row>
    <row r="551" spans="1:12">
      <c r="A551" s="3">
        <v>132</v>
      </c>
      <c r="B551" t="s">
        <v>597</v>
      </c>
      <c r="C551" t="s">
        <v>8</v>
      </c>
      <c r="E551" s="3">
        <f t="shared" si="40"/>
        <v>6</v>
      </c>
      <c r="F551" s="5">
        <v>44380.625</v>
      </c>
      <c r="G551" s="19" t="str">
        <f t="shared" si="41"/>
        <v/>
      </c>
      <c r="J551" s="28">
        <f t="shared" si="42"/>
        <v>7.6335877862594437E-3</v>
      </c>
      <c r="K551">
        <f t="shared" si="43"/>
        <v>1310</v>
      </c>
      <c r="L551" s="37">
        <f t="shared" si="44"/>
        <v>2246</v>
      </c>
    </row>
    <row r="552" spans="1:12">
      <c r="A552" s="3">
        <v>108</v>
      </c>
      <c r="B552" t="s">
        <v>598</v>
      </c>
      <c r="C552" t="s">
        <v>8</v>
      </c>
      <c r="E552" s="3">
        <f t="shared" si="40"/>
        <v>7</v>
      </c>
      <c r="F552" s="5">
        <v>44381.625</v>
      </c>
      <c r="G552" s="19" t="str">
        <f t="shared" si="41"/>
        <v/>
      </c>
      <c r="J552" s="28">
        <f t="shared" si="42"/>
        <v>-9.2436974789915971E-2</v>
      </c>
      <c r="K552">
        <f t="shared" si="43"/>
        <v>1299</v>
      </c>
      <c r="L552" s="37">
        <f t="shared" si="44"/>
        <v>2274</v>
      </c>
    </row>
    <row r="553" spans="1:12" s="41" customFormat="1">
      <c r="A553" s="40">
        <v>244</v>
      </c>
      <c r="B553" s="41" t="s">
        <v>599</v>
      </c>
      <c r="C553" s="41" t="s">
        <v>8</v>
      </c>
      <c r="E553" s="40">
        <f t="shared" si="40"/>
        <v>1</v>
      </c>
      <c r="F553" s="42">
        <v>44382.625</v>
      </c>
      <c r="G553" s="43" t="str">
        <f t="shared" si="41"/>
        <v>2021-W27</v>
      </c>
      <c r="H553" s="41">
        <f>SUM(A553:A559)</f>
        <v>1699</v>
      </c>
      <c r="I553" s="44">
        <f>H553/H546-1</f>
        <v>0.30792917628945338</v>
      </c>
      <c r="J553" s="44">
        <f t="shared" si="42"/>
        <v>6.0869565217391397E-2</v>
      </c>
      <c r="K553" s="41">
        <f t="shared" si="43"/>
        <v>1313</v>
      </c>
      <c r="L553" s="54">
        <f t="shared" si="44"/>
        <v>2406</v>
      </c>
    </row>
    <row r="554" spans="1:12">
      <c r="A554" s="3">
        <v>260</v>
      </c>
      <c r="B554" t="s">
        <v>600</v>
      </c>
      <c r="C554" t="s">
        <v>8</v>
      </c>
      <c r="E554" s="3">
        <f t="shared" si="40"/>
        <v>2</v>
      </c>
      <c r="F554" s="5">
        <v>44383.625</v>
      </c>
      <c r="G554" s="19" t="str">
        <f t="shared" si="41"/>
        <v/>
      </c>
      <c r="J554" s="28">
        <f t="shared" si="42"/>
        <v>-3.8314176245211051E-3</v>
      </c>
      <c r="K554">
        <f t="shared" si="43"/>
        <v>1312</v>
      </c>
      <c r="L554" s="37">
        <f t="shared" si="44"/>
        <v>2556</v>
      </c>
    </row>
    <row r="555" spans="1:12">
      <c r="A555" s="3">
        <v>292</v>
      </c>
      <c r="B555" t="s">
        <v>601</v>
      </c>
      <c r="C555" t="s">
        <v>8</v>
      </c>
      <c r="E555" s="3">
        <f t="shared" si="40"/>
        <v>3</v>
      </c>
      <c r="F555" s="5">
        <v>44384.625</v>
      </c>
      <c r="G555" s="19" t="str">
        <f t="shared" si="41"/>
        <v/>
      </c>
      <c r="J555" s="28">
        <f t="shared" si="42"/>
        <v>0.48979591836734704</v>
      </c>
      <c r="K555">
        <f t="shared" si="43"/>
        <v>1408</v>
      </c>
      <c r="L555" s="37">
        <f t="shared" si="44"/>
        <v>2703</v>
      </c>
    </row>
    <row r="556" spans="1:12">
      <c r="A556" s="3">
        <v>285</v>
      </c>
      <c r="B556" t="s">
        <v>602</v>
      </c>
      <c r="C556" t="s">
        <v>8</v>
      </c>
      <c r="E556" s="3">
        <f t="shared" si="40"/>
        <v>4</v>
      </c>
      <c r="F556" s="5">
        <v>44385.625</v>
      </c>
      <c r="G556" s="19" t="str">
        <f t="shared" si="41"/>
        <v/>
      </c>
      <c r="J556" s="28">
        <f t="shared" si="42"/>
        <v>0.39024390243902429</v>
      </c>
      <c r="K556">
        <f t="shared" si="43"/>
        <v>1488</v>
      </c>
      <c r="L556" s="37">
        <f t="shared" si="44"/>
        <v>2826</v>
      </c>
    </row>
    <row r="557" spans="1:12">
      <c r="A557" s="3">
        <v>309</v>
      </c>
      <c r="B557" t="s">
        <v>603</v>
      </c>
      <c r="C557" t="s">
        <v>8</v>
      </c>
      <c r="E557" s="3">
        <f t="shared" si="40"/>
        <v>5</v>
      </c>
      <c r="F557" s="5">
        <v>44386.625</v>
      </c>
      <c r="G557" s="19" t="str">
        <f t="shared" si="41"/>
        <v/>
      </c>
      <c r="J557" s="28">
        <f t="shared" si="42"/>
        <v>0.85029940119760483</v>
      </c>
      <c r="K557">
        <f t="shared" si="43"/>
        <v>1630</v>
      </c>
      <c r="L557" s="37">
        <f t="shared" si="44"/>
        <v>2939</v>
      </c>
    </row>
    <row r="558" spans="1:12">
      <c r="A558" s="3">
        <v>149</v>
      </c>
      <c r="B558" t="s">
        <v>604</v>
      </c>
      <c r="C558" t="s">
        <v>8</v>
      </c>
      <c r="E558" s="3">
        <f t="shared" si="40"/>
        <v>6</v>
      </c>
      <c r="F558" s="5">
        <v>44387.625</v>
      </c>
      <c r="G558" s="19" t="str">
        <f t="shared" si="41"/>
        <v/>
      </c>
      <c r="J558" s="28">
        <f t="shared" si="42"/>
        <v>0.1287878787878789</v>
      </c>
      <c r="K558">
        <f t="shared" si="43"/>
        <v>1647</v>
      </c>
      <c r="L558" s="37">
        <f t="shared" si="44"/>
        <v>2957</v>
      </c>
    </row>
    <row r="559" spans="1:12">
      <c r="A559" s="3">
        <v>160</v>
      </c>
      <c r="B559" t="s">
        <v>605</v>
      </c>
      <c r="C559" t="s">
        <v>8</v>
      </c>
      <c r="E559" s="3">
        <f t="shared" si="40"/>
        <v>7</v>
      </c>
      <c r="F559" s="5">
        <v>44388.625</v>
      </c>
      <c r="G559" s="19" t="str">
        <f t="shared" si="41"/>
        <v/>
      </c>
      <c r="J559" s="28">
        <f t="shared" si="42"/>
        <v>0.4814814814814814</v>
      </c>
      <c r="K559">
        <f t="shared" si="43"/>
        <v>1699</v>
      </c>
      <c r="L559" s="37">
        <f t="shared" si="44"/>
        <v>2998</v>
      </c>
    </row>
    <row r="560" spans="1:12" s="41" customFormat="1">
      <c r="A560" s="40">
        <v>330</v>
      </c>
      <c r="B560" s="41" t="s">
        <v>606</v>
      </c>
      <c r="C560" s="41" t="s">
        <v>8</v>
      </c>
      <c r="E560" s="40">
        <f t="shared" si="40"/>
        <v>1</v>
      </c>
      <c r="F560" s="42">
        <v>44389.625</v>
      </c>
      <c r="G560" s="43" t="str">
        <f t="shared" si="41"/>
        <v>2021-W28</v>
      </c>
      <c r="H560" s="41">
        <f>SUM(A560:A566)</f>
        <v>2249</v>
      </c>
      <c r="I560" s="44">
        <f>H560/H553-1</f>
        <v>0.32371983519717484</v>
      </c>
      <c r="J560" s="44">
        <f t="shared" si="42"/>
        <v>0.35245901639344268</v>
      </c>
      <c r="K560" s="41">
        <f t="shared" si="43"/>
        <v>1785</v>
      </c>
      <c r="L560" s="54">
        <f t="shared" si="44"/>
        <v>3098</v>
      </c>
    </row>
    <row r="561" spans="1:12">
      <c r="A561" s="3">
        <v>342</v>
      </c>
      <c r="B561" t="s">
        <v>607</v>
      </c>
      <c r="C561" t="s">
        <v>8</v>
      </c>
      <c r="E561" s="3">
        <f t="shared" si="40"/>
        <v>2</v>
      </c>
      <c r="F561" s="5">
        <v>44390.625</v>
      </c>
      <c r="G561" s="19" t="str">
        <f t="shared" si="41"/>
        <v/>
      </c>
      <c r="J561" s="28">
        <f t="shared" si="42"/>
        <v>0.31538461538461537</v>
      </c>
      <c r="K561">
        <f t="shared" si="43"/>
        <v>1867</v>
      </c>
      <c r="L561" s="37">
        <f t="shared" si="44"/>
        <v>3179</v>
      </c>
    </row>
    <row r="562" spans="1:12">
      <c r="A562" s="3">
        <v>385</v>
      </c>
      <c r="B562" t="s">
        <v>608</v>
      </c>
      <c r="C562" t="s">
        <v>8</v>
      </c>
      <c r="E562" s="3">
        <f t="shared" si="40"/>
        <v>3</v>
      </c>
      <c r="F562" s="5">
        <v>44391.625</v>
      </c>
      <c r="G562" s="19" t="str">
        <f t="shared" si="41"/>
        <v/>
      </c>
      <c r="J562" s="28">
        <f t="shared" si="42"/>
        <v>0.31849315068493156</v>
      </c>
      <c r="K562">
        <f t="shared" si="43"/>
        <v>1960</v>
      </c>
      <c r="L562" s="37">
        <f t="shared" si="44"/>
        <v>3368</v>
      </c>
    </row>
    <row r="563" spans="1:12">
      <c r="A563" s="3">
        <v>382</v>
      </c>
      <c r="B563" t="s">
        <v>609</v>
      </c>
      <c r="C563" t="s">
        <v>8</v>
      </c>
      <c r="E563" s="3">
        <f t="shared" si="40"/>
        <v>4</v>
      </c>
      <c r="F563" s="5">
        <v>44392.625</v>
      </c>
      <c r="G563" s="19" t="str">
        <f t="shared" si="41"/>
        <v/>
      </c>
      <c r="J563" s="28">
        <f t="shared" si="42"/>
        <v>0.3403508771929824</v>
      </c>
      <c r="K563">
        <f t="shared" si="43"/>
        <v>2057</v>
      </c>
      <c r="L563" s="37">
        <f t="shared" si="44"/>
        <v>3545</v>
      </c>
    </row>
    <row r="564" spans="1:12">
      <c r="A564" s="3">
        <v>355</v>
      </c>
      <c r="B564" t="s">
        <v>610</v>
      </c>
      <c r="C564" t="s">
        <v>8</v>
      </c>
      <c r="E564" s="3">
        <f t="shared" si="40"/>
        <v>5</v>
      </c>
      <c r="F564" s="5">
        <v>44393.625</v>
      </c>
      <c r="G564" s="19" t="str">
        <f t="shared" si="41"/>
        <v/>
      </c>
      <c r="J564" s="28">
        <f t="shared" si="42"/>
        <v>0.14886731391585761</v>
      </c>
      <c r="K564">
        <f t="shared" si="43"/>
        <v>2103</v>
      </c>
      <c r="L564" s="37">
        <f t="shared" si="44"/>
        <v>3733</v>
      </c>
    </row>
    <row r="565" spans="1:12">
      <c r="A565" s="3">
        <v>206</v>
      </c>
      <c r="B565" t="s">
        <v>611</v>
      </c>
      <c r="C565" t="s">
        <v>8</v>
      </c>
      <c r="E565" s="3">
        <f t="shared" si="40"/>
        <v>6</v>
      </c>
      <c r="F565" s="5">
        <v>44394.625</v>
      </c>
      <c r="G565" s="19" t="str">
        <f t="shared" si="41"/>
        <v/>
      </c>
      <c r="J565" s="28">
        <f t="shared" si="42"/>
        <v>0.3825503355704698</v>
      </c>
      <c r="K565">
        <f t="shared" si="43"/>
        <v>2160</v>
      </c>
      <c r="L565" s="37">
        <f t="shared" si="44"/>
        <v>3807</v>
      </c>
    </row>
    <row r="566" spans="1:12">
      <c r="A566" s="3">
        <v>249</v>
      </c>
      <c r="B566" t="s">
        <v>612</v>
      </c>
      <c r="C566" t="s">
        <v>8</v>
      </c>
      <c r="E566" s="3">
        <f t="shared" si="40"/>
        <v>7</v>
      </c>
      <c r="F566" s="5">
        <v>44395.625</v>
      </c>
      <c r="G566" s="19" t="str">
        <f t="shared" si="41"/>
        <v/>
      </c>
      <c r="J566" s="28">
        <f t="shared" si="42"/>
        <v>0.55624999999999991</v>
      </c>
      <c r="K566">
        <f t="shared" si="43"/>
        <v>2249</v>
      </c>
      <c r="L566" s="37">
        <f t="shared" si="44"/>
        <v>3948</v>
      </c>
    </row>
    <row r="567" spans="1:12" s="41" customFormat="1">
      <c r="A567" s="40">
        <v>422</v>
      </c>
      <c r="B567" s="41" t="s">
        <v>613</v>
      </c>
      <c r="C567" s="41" t="s">
        <v>8</v>
      </c>
      <c r="E567" s="40">
        <f t="shared" si="40"/>
        <v>1</v>
      </c>
      <c r="F567" s="42">
        <v>44396.625</v>
      </c>
      <c r="G567" s="43" t="str">
        <f t="shared" si="41"/>
        <v>2021-W29</v>
      </c>
      <c r="H567" s="41">
        <f>SUM(A567:A573)</f>
        <v>2932</v>
      </c>
      <c r="I567" s="44">
        <f>H567/H560-1</f>
        <v>0.30369052912405503</v>
      </c>
      <c r="J567" s="44">
        <f t="shared" si="42"/>
        <v>0.27878787878787881</v>
      </c>
      <c r="K567" s="41">
        <f t="shared" si="43"/>
        <v>2341</v>
      </c>
      <c r="L567" s="54">
        <f t="shared" si="44"/>
        <v>4126</v>
      </c>
    </row>
    <row r="568" spans="1:12">
      <c r="A568" s="3">
        <v>424</v>
      </c>
      <c r="B568" t="s">
        <v>614</v>
      </c>
      <c r="C568" t="s">
        <v>8</v>
      </c>
      <c r="E568" s="3">
        <f t="shared" si="40"/>
        <v>2</v>
      </c>
      <c r="F568" s="5">
        <v>44397.625</v>
      </c>
      <c r="G568" s="19" t="str">
        <f t="shared" si="41"/>
        <v/>
      </c>
      <c r="J568" s="28">
        <f t="shared" si="42"/>
        <v>0.23976608187134496</v>
      </c>
      <c r="K568">
        <f t="shared" si="43"/>
        <v>2423</v>
      </c>
      <c r="L568" s="37">
        <f t="shared" si="44"/>
        <v>4290</v>
      </c>
    </row>
    <row r="569" spans="1:12">
      <c r="A569" s="3">
        <v>468</v>
      </c>
      <c r="B569" t="s">
        <v>615</v>
      </c>
      <c r="C569" t="s">
        <v>8</v>
      </c>
      <c r="E569" s="3">
        <f t="shared" si="40"/>
        <v>3</v>
      </c>
      <c r="F569" s="5">
        <v>44398.625</v>
      </c>
      <c r="G569" s="19" t="str">
        <f t="shared" si="41"/>
        <v/>
      </c>
      <c r="J569" s="28">
        <f t="shared" si="42"/>
        <v>0.21558441558441555</v>
      </c>
      <c r="K569">
        <f t="shared" si="43"/>
        <v>2506</v>
      </c>
      <c r="L569" s="37">
        <f t="shared" si="44"/>
        <v>4466</v>
      </c>
    </row>
    <row r="570" spans="1:12">
      <c r="A570" s="3">
        <v>487</v>
      </c>
      <c r="B570" t="s">
        <v>616</v>
      </c>
      <c r="C570" t="s">
        <v>8</v>
      </c>
      <c r="E570" s="3">
        <f t="shared" si="40"/>
        <v>4</v>
      </c>
      <c r="F570" s="5">
        <v>44399.625</v>
      </c>
      <c r="G570" s="19" t="str">
        <f t="shared" si="41"/>
        <v/>
      </c>
      <c r="J570" s="28">
        <f t="shared" si="42"/>
        <v>0.27486910994764391</v>
      </c>
      <c r="K570">
        <f t="shared" si="43"/>
        <v>2611</v>
      </c>
      <c r="L570" s="37">
        <f t="shared" si="44"/>
        <v>4668</v>
      </c>
    </row>
    <row r="571" spans="1:12">
      <c r="A571" s="3">
        <v>478</v>
      </c>
      <c r="B571" t="s">
        <v>617</v>
      </c>
      <c r="C571" t="s">
        <v>8</v>
      </c>
      <c r="E571" s="3">
        <f t="shared" si="40"/>
        <v>5</v>
      </c>
      <c r="F571" s="5">
        <v>44400.625</v>
      </c>
      <c r="G571" s="19" t="str">
        <f t="shared" si="41"/>
        <v/>
      </c>
      <c r="J571" s="28">
        <f t="shared" si="42"/>
        <v>0.3464788732394366</v>
      </c>
      <c r="K571">
        <f t="shared" si="43"/>
        <v>2734</v>
      </c>
      <c r="L571" s="37">
        <f t="shared" si="44"/>
        <v>4837</v>
      </c>
    </row>
    <row r="572" spans="1:12">
      <c r="A572" s="3">
        <v>301</v>
      </c>
      <c r="B572" t="s">
        <v>618</v>
      </c>
      <c r="C572" t="s">
        <v>8</v>
      </c>
      <c r="E572" s="3">
        <f t="shared" si="40"/>
        <v>6</v>
      </c>
      <c r="F572" s="5">
        <v>44401.625</v>
      </c>
      <c r="G572" s="19" t="str">
        <f t="shared" si="41"/>
        <v/>
      </c>
      <c r="J572" s="28">
        <f t="shared" si="42"/>
        <v>0.46116504854368934</v>
      </c>
      <c r="K572">
        <f t="shared" si="43"/>
        <v>2829</v>
      </c>
      <c r="L572" s="37">
        <f t="shared" si="44"/>
        <v>4989</v>
      </c>
    </row>
    <row r="573" spans="1:12">
      <c r="A573" s="3">
        <v>352</v>
      </c>
      <c r="B573" t="s">
        <v>619</v>
      </c>
      <c r="C573" t="s">
        <v>8</v>
      </c>
      <c r="E573" s="3">
        <f t="shared" si="40"/>
        <v>7</v>
      </c>
      <c r="F573" s="5">
        <v>44402.625</v>
      </c>
      <c r="G573" s="19" t="str">
        <f t="shared" si="41"/>
        <v/>
      </c>
      <c r="J573" s="28">
        <f t="shared" si="42"/>
        <v>0.41365461847389562</v>
      </c>
      <c r="K573">
        <f t="shared" si="43"/>
        <v>2932</v>
      </c>
      <c r="L573" s="37">
        <f t="shared" si="44"/>
        <v>5181</v>
      </c>
    </row>
    <row r="574" spans="1:12" s="41" customFormat="1">
      <c r="A574" s="50">
        <v>770</v>
      </c>
      <c r="B574" s="41" t="s">
        <v>620</v>
      </c>
      <c r="C574" s="41" t="s">
        <v>8</v>
      </c>
      <c r="E574" s="40">
        <f t="shared" si="40"/>
        <v>1</v>
      </c>
      <c r="F574" s="42">
        <v>44403.625</v>
      </c>
      <c r="G574" s="43" t="str">
        <f t="shared" si="41"/>
        <v>2021-W30</v>
      </c>
      <c r="H574" s="41">
        <f>SUM(A574:A580)</f>
        <v>4658</v>
      </c>
      <c r="I574" s="44">
        <f>H574/H567-1</f>
        <v>0.58867667121418821</v>
      </c>
      <c r="J574" s="44">
        <f t="shared" si="42"/>
        <v>0.82464454976303325</v>
      </c>
      <c r="K574" s="41">
        <f t="shared" si="43"/>
        <v>3280</v>
      </c>
      <c r="L574" s="54">
        <f t="shared" si="44"/>
        <v>5621</v>
      </c>
    </row>
    <row r="575" spans="1:12">
      <c r="A575" s="3">
        <v>724</v>
      </c>
      <c r="B575" t="s">
        <v>621</v>
      </c>
      <c r="C575" t="s">
        <v>8</v>
      </c>
      <c r="E575" s="3">
        <f t="shared" ref="E575:E638" si="45">WEEKDAY(F575,2)</f>
        <v>2</v>
      </c>
      <c r="F575" s="5">
        <v>44404.625</v>
      </c>
      <c r="G575" s="19" t="str">
        <f t="shared" si="41"/>
        <v/>
      </c>
      <c r="J575" s="28">
        <f t="shared" si="42"/>
        <v>0.70754716981132071</v>
      </c>
      <c r="K575">
        <f t="shared" si="43"/>
        <v>3580</v>
      </c>
      <c r="L575" s="37">
        <f t="shared" si="44"/>
        <v>6003</v>
      </c>
    </row>
    <row r="576" spans="1:12" s="46" customFormat="1">
      <c r="A576" s="45">
        <v>810</v>
      </c>
      <c r="B576" s="46" t="s">
        <v>622</v>
      </c>
      <c r="C576" s="46" t="s">
        <v>8</v>
      </c>
      <c r="E576" s="45">
        <f t="shared" si="45"/>
        <v>3</v>
      </c>
      <c r="F576" s="47">
        <v>44405.625</v>
      </c>
      <c r="G576" s="48" t="str">
        <f t="shared" si="41"/>
        <v/>
      </c>
      <c r="J576" s="49">
        <f t="shared" si="42"/>
        <v>0.73076923076923084</v>
      </c>
      <c r="K576" s="46">
        <f t="shared" si="43"/>
        <v>3922</v>
      </c>
      <c r="L576" s="37">
        <f t="shared" si="44"/>
        <v>6428</v>
      </c>
    </row>
    <row r="577" spans="1:12">
      <c r="A577" s="3">
        <v>772</v>
      </c>
      <c r="B577" t="s">
        <v>623</v>
      </c>
      <c r="C577" t="s">
        <v>8</v>
      </c>
      <c r="E577" s="3">
        <f t="shared" si="45"/>
        <v>4</v>
      </c>
      <c r="F577" s="5">
        <v>44406.625</v>
      </c>
      <c r="G577" s="19" t="str">
        <f t="shared" si="41"/>
        <v/>
      </c>
      <c r="J577" s="28">
        <f t="shared" si="42"/>
        <v>0.58521560574948661</v>
      </c>
      <c r="K577">
        <f t="shared" si="43"/>
        <v>4207</v>
      </c>
      <c r="L577" s="37">
        <f t="shared" si="44"/>
        <v>6818</v>
      </c>
    </row>
    <row r="578" spans="1:12">
      <c r="A578" s="3">
        <v>697</v>
      </c>
      <c r="B578" t="s">
        <v>624</v>
      </c>
      <c r="C578" t="s">
        <v>8</v>
      </c>
      <c r="E578" s="3">
        <f t="shared" si="45"/>
        <v>5</v>
      </c>
      <c r="F578" s="5">
        <v>44407.625</v>
      </c>
      <c r="G578" s="19" t="str">
        <f t="shared" si="41"/>
        <v/>
      </c>
      <c r="J578" s="28">
        <f t="shared" si="42"/>
        <v>0.45815899581589958</v>
      </c>
      <c r="K578">
        <f t="shared" si="43"/>
        <v>4426</v>
      </c>
      <c r="L578" s="37">
        <f t="shared" si="44"/>
        <v>7160</v>
      </c>
    </row>
    <row r="579" spans="1:12">
      <c r="A579" s="3">
        <v>408</v>
      </c>
      <c r="B579" t="s">
        <v>625</v>
      </c>
      <c r="C579" t="s">
        <v>8</v>
      </c>
      <c r="E579" s="3">
        <f t="shared" si="45"/>
        <v>6</v>
      </c>
      <c r="F579" s="5">
        <v>44408.625</v>
      </c>
      <c r="G579" s="19" t="str">
        <f t="shared" ref="G579:G642" si="46">IF(WEEKDAY(F579,2)=1,YEAR(F579)&amp;"-W"&amp;TEXT(WEEKNUM(F579,14),"00"),"")</f>
        <v/>
      </c>
      <c r="J579" s="28">
        <f t="shared" si="42"/>
        <v>0.35548172757475083</v>
      </c>
      <c r="K579">
        <f t="shared" si="43"/>
        <v>4533</v>
      </c>
      <c r="L579" s="37">
        <f t="shared" si="44"/>
        <v>7362</v>
      </c>
    </row>
    <row r="580" spans="1:12">
      <c r="A580" s="3">
        <v>477</v>
      </c>
      <c r="B580" t="s">
        <v>626</v>
      </c>
      <c r="C580" t="s">
        <v>8</v>
      </c>
      <c r="E580" s="3">
        <f t="shared" si="45"/>
        <v>7</v>
      </c>
      <c r="F580" s="5">
        <v>44409.625</v>
      </c>
      <c r="G580" s="19" t="str">
        <f t="shared" si="46"/>
        <v/>
      </c>
      <c r="J580" s="28">
        <f t="shared" si="42"/>
        <v>0.35511363636363646</v>
      </c>
      <c r="K580">
        <f t="shared" si="43"/>
        <v>4658</v>
      </c>
      <c r="L580" s="37">
        <f t="shared" si="44"/>
        <v>7590</v>
      </c>
    </row>
    <row r="581" spans="1:12" s="51" customFormat="1">
      <c r="A581" s="50">
        <v>893</v>
      </c>
      <c r="B581" s="51" t="s">
        <v>627</v>
      </c>
      <c r="C581" s="51" t="s">
        <v>8</v>
      </c>
      <c r="E581" s="50">
        <f t="shared" si="45"/>
        <v>1</v>
      </c>
      <c r="F581" s="52">
        <v>44410.625</v>
      </c>
      <c r="G581" s="43" t="str">
        <f t="shared" si="46"/>
        <v>2021-W31</v>
      </c>
      <c r="H581" s="51">
        <f>SUM(A581:A587)</f>
        <v>5100</v>
      </c>
      <c r="I581" s="53">
        <f>H581/H574-1</f>
        <v>9.4890510948905105E-2</v>
      </c>
      <c r="J581" s="53">
        <f t="shared" si="42"/>
        <v>0.15974025974025974</v>
      </c>
      <c r="K581" s="51">
        <f>SUM(A575:A581)</f>
        <v>4781</v>
      </c>
      <c r="L581" s="54">
        <f t="shared" si="44"/>
        <v>8061</v>
      </c>
    </row>
    <row r="582" spans="1:12">
      <c r="A582" s="3">
        <v>840</v>
      </c>
      <c r="B582" t="s">
        <v>628</v>
      </c>
      <c r="C582" t="s">
        <v>8</v>
      </c>
      <c r="E582" s="3">
        <f t="shared" si="45"/>
        <v>2</v>
      </c>
      <c r="F582" s="5">
        <v>44411.625</v>
      </c>
      <c r="G582" s="19" t="str">
        <f t="shared" si="46"/>
        <v/>
      </c>
      <c r="J582" s="28">
        <f t="shared" si="42"/>
        <v>0.16022099447513805</v>
      </c>
      <c r="K582">
        <f t="shared" si="43"/>
        <v>4897</v>
      </c>
      <c r="L582" s="37">
        <f t="shared" si="44"/>
        <v>8477</v>
      </c>
    </row>
    <row r="583" spans="1:12">
      <c r="A583" s="3">
        <v>784</v>
      </c>
      <c r="B583" t="s">
        <v>629</v>
      </c>
      <c r="C583" t="s">
        <v>8</v>
      </c>
      <c r="E583" s="3">
        <f t="shared" si="45"/>
        <v>3</v>
      </c>
      <c r="F583" s="5">
        <v>44412.625</v>
      </c>
      <c r="G583" s="19" t="str">
        <f t="shared" si="46"/>
        <v/>
      </c>
      <c r="J583" s="28">
        <f t="shared" si="42"/>
        <v>-3.2098765432098775E-2</v>
      </c>
      <c r="K583">
        <f t="shared" si="43"/>
        <v>4871</v>
      </c>
      <c r="L583" s="37">
        <f t="shared" si="44"/>
        <v>8793</v>
      </c>
    </row>
    <row r="584" spans="1:12">
      <c r="A584" s="3">
        <v>876</v>
      </c>
      <c r="B584" t="s">
        <v>630</v>
      </c>
      <c r="C584" t="s">
        <v>8</v>
      </c>
      <c r="E584" s="3">
        <f t="shared" si="45"/>
        <v>4</v>
      </c>
      <c r="F584" s="5">
        <v>44413.625</v>
      </c>
      <c r="G584" s="19" t="str">
        <f t="shared" si="46"/>
        <v/>
      </c>
      <c r="J584" s="28">
        <f t="shared" si="42"/>
        <v>0.13471502590673579</v>
      </c>
      <c r="K584">
        <f t="shared" si="43"/>
        <v>4975</v>
      </c>
      <c r="L584" s="37">
        <f t="shared" si="44"/>
        <v>9182</v>
      </c>
    </row>
    <row r="585" spans="1:12">
      <c r="A585" s="3">
        <v>684</v>
      </c>
      <c r="B585" t="s">
        <v>631</v>
      </c>
      <c r="C585" t="s">
        <v>8</v>
      </c>
      <c r="E585" s="3">
        <f t="shared" si="45"/>
        <v>5</v>
      </c>
      <c r="F585" s="5">
        <v>44414.625</v>
      </c>
      <c r="G585" s="19" t="str">
        <f t="shared" si="46"/>
        <v/>
      </c>
      <c r="J585" s="28">
        <f t="shared" ref="J585:J643" si="47">A585/A578-1</f>
        <v>-1.8651362984218101E-2</v>
      </c>
      <c r="K585">
        <f t="shared" si="43"/>
        <v>4962</v>
      </c>
      <c r="L585" s="37">
        <f t="shared" si="44"/>
        <v>9388</v>
      </c>
    </row>
    <row r="586" spans="1:12">
      <c r="A586" s="3">
        <v>486</v>
      </c>
      <c r="B586" t="s">
        <v>632</v>
      </c>
      <c r="C586" t="s">
        <v>8</v>
      </c>
      <c r="E586" s="3">
        <f t="shared" si="45"/>
        <v>6</v>
      </c>
      <c r="F586" s="5">
        <v>44415.625</v>
      </c>
      <c r="G586" s="19" t="str">
        <f t="shared" si="46"/>
        <v/>
      </c>
      <c r="J586" s="28">
        <f t="shared" si="47"/>
        <v>0.19117647058823528</v>
      </c>
      <c r="K586">
        <f t="shared" si="43"/>
        <v>5040</v>
      </c>
      <c r="L586" s="37">
        <f t="shared" si="44"/>
        <v>9573</v>
      </c>
    </row>
    <row r="587" spans="1:12">
      <c r="A587" s="3">
        <v>537</v>
      </c>
      <c r="B587" t="s">
        <v>633</v>
      </c>
      <c r="C587" t="s">
        <v>8</v>
      </c>
      <c r="E587" s="3">
        <f t="shared" si="45"/>
        <v>7</v>
      </c>
      <c r="F587" s="5">
        <v>44416.625</v>
      </c>
      <c r="G587" s="19" t="str">
        <f t="shared" si="46"/>
        <v/>
      </c>
      <c r="J587" s="28">
        <f t="shared" si="47"/>
        <v>0.12578616352201255</v>
      </c>
      <c r="K587">
        <f t="shared" si="43"/>
        <v>5100</v>
      </c>
      <c r="L587" s="37">
        <f t="shared" si="44"/>
        <v>9758</v>
      </c>
    </row>
    <row r="588" spans="1:12" s="41" customFormat="1">
      <c r="A588" s="50">
        <v>1037</v>
      </c>
      <c r="B588" s="41" t="s">
        <v>634</v>
      </c>
      <c r="C588" s="41" t="s">
        <v>8</v>
      </c>
      <c r="E588" s="40">
        <f t="shared" si="45"/>
        <v>1</v>
      </c>
      <c r="F588" s="42">
        <v>44417.625</v>
      </c>
      <c r="G588" s="43" t="str">
        <f t="shared" si="46"/>
        <v>2021-W32</v>
      </c>
      <c r="H588" s="41">
        <f>SUM(A588:A594)</f>
        <v>5188</v>
      </c>
      <c r="I588" s="44">
        <f>H588/H581-1</f>
        <v>1.7254901960784386E-2</v>
      </c>
      <c r="J588" s="44">
        <f t="shared" si="47"/>
        <v>0.16125419932810758</v>
      </c>
      <c r="K588" s="41">
        <f t="shared" si="43"/>
        <v>5244</v>
      </c>
      <c r="L588" s="54">
        <f t="shared" si="44"/>
        <v>10025</v>
      </c>
    </row>
    <row r="589" spans="1:12">
      <c r="A589" s="3">
        <v>826</v>
      </c>
      <c r="B589" t="s">
        <v>635</v>
      </c>
      <c r="C589" t="s">
        <v>8</v>
      </c>
      <c r="E589" s="3">
        <f t="shared" si="45"/>
        <v>2</v>
      </c>
      <c r="F589" s="5">
        <v>44418.625</v>
      </c>
      <c r="G589" s="19" t="str">
        <f t="shared" si="46"/>
        <v/>
      </c>
      <c r="J589" s="28">
        <f t="shared" si="47"/>
        <v>-1.6666666666666718E-2</v>
      </c>
      <c r="K589">
        <f t="shared" si="43"/>
        <v>5230</v>
      </c>
      <c r="L589" s="37">
        <f t="shared" si="44"/>
        <v>10127</v>
      </c>
    </row>
    <row r="590" spans="1:12">
      <c r="A590" s="3">
        <v>925</v>
      </c>
      <c r="B590" t="s">
        <v>636</v>
      </c>
      <c r="C590" t="s">
        <v>8</v>
      </c>
      <c r="E590" s="3">
        <f t="shared" si="45"/>
        <v>3</v>
      </c>
      <c r="F590" s="5">
        <v>44419.625</v>
      </c>
      <c r="G590" s="19" t="str">
        <f t="shared" si="46"/>
        <v/>
      </c>
      <c r="J590" s="28">
        <f t="shared" si="47"/>
        <v>0.17984693877551017</v>
      </c>
      <c r="K590">
        <f t="shared" si="43"/>
        <v>5371</v>
      </c>
      <c r="L590" s="37">
        <f t="shared" si="44"/>
        <v>10242</v>
      </c>
    </row>
    <row r="591" spans="1:12">
      <c r="A591" s="3">
        <v>789</v>
      </c>
      <c r="B591" t="s">
        <v>637</v>
      </c>
      <c r="C591" t="s">
        <v>8</v>
      </c>
      <c r="E591" s="3">
        <f t="shared" si="45"/>
        <v>4</v>
      </c>
      <c r="F591" s="5">
        <v>44420.625</v>
      </c>
      <c r="G591" s="19" t="str">
        <f t="shared" si="46"/>
        <v/>
      </c>
      <c r="J591" s="28">
        <f t="shared" si="47"/>
        <v>-9.9315068493150638E-2</v>
      </c>
      <c r="K591">
        <f t="shared" si="43"/>
        <v>5284</v>
      </c>
      <c r="L591" s="37">
        <f t="shared" si="44"/>
        <v>10259</v>
      </c>
    </row>
    <row r="592" spans="1:12">
      <c r="A592" s="3">
        <v>740</v>
      </c>
      <c r="B592" t="s">
        <v>638</v>
      </c>
      <c r="C592" t="s">
        <v>8</v>
      </c>
      <c r="E592" s="3">
        <f t="shared" si="45"/>
        <v>5</v>
      </c>
      <c r="F592" s="5">
        <v>44421.625</v>
      </c>
      <c r="G592" s="19" t="str">
        <f t="shared" si="46"/>
        <v/>
      </c>
      <c r="J592" s="28">
        <f t="shared" si="47"/>
        <v>8.1871345029239873E-2</v>
      </c>
      <c r="K592">
        <f t="shared" si="43"/>
        <v>5340</v>
      </c>
      <c r="L592" s="37">
        <f t="shared" si="44"/>
        <v>10302</v>
      </c>
    </row>
    <row r="593" spans="1:12">
      <c r="A593" s="3">
        <v>426</v>
      </c>
      <c r="B593" t="s">
        <v>639</v>
      </c>
      <c r="C593" t="s">
        <v>8</v>
      </c>
      <c r="E593" s="3">
        <f t="shared" si="45"/>
        <v>6</v>
      </c>
      <c r="F593" s="5">
        <v>44422.625</v>
      </c>
      <c r="G593" s="19" t="str">
        <f t="shared" si="46"/>
        <v/>
      </c>
      <c r="J593" s="28">
        <f t="shared" si="47"/>
        <v>-0.12345679012345678</v>
      </c>
      <c r="K593">
        <f t="shared" si="43"/>
        <v>5280</v>
      </c>
      <c r="L593" s="37">
        <f t="shared" si="44"/>
        <v>10320</v>
      </c>
    </row>
    <row r="594" spans="1:12">
      <c r="A594" s="3">
        <v>445</v>
      </c>
      <c r="B594" t="s">
        <v>640</v>
      </c>
      <c r="C594" t="s">
        <v>8</v>
      </c>
      <c r="E594" s="3">
        <f t="shared" si="45"/>
        <v>7</v>
      </c>
      <c r="F594" s="5">
        <v>44423.625</v>
      </c>
      <c r="G594" s="19" t="str">
        <f t="shared" si="46"/>
        <v/>
      </c>
      <c r="J594" s="28">
        <f t="shared" si="47"/>
        <v>-0.17132216014897583</v>
      </c>
      <c r="K594">
        <f t="shared" si="43"/>
        <v>5188</v>
      </c>
      <c r="L594" s="37">
        <f t="shared" si="44"/>
        <v>10288</v>
      </c>
    </row>
    <row r="595" spans="1:12">
      <c r="A595" s="14">
        <v>768</v>
      </c>
      <c r="B595" t="s">
        <v>641</v>
      </c>
      <c r="C595" t="s">
        <v>8</v>
      </c>
      <c r="E595" s="3">
        <f t="shared" si="45"/>
        <v>1</v>
      </c>
      <c r="F595" s="5">
        <v>44424.625</v>
      </c>
      <c r="G595" s="19" t="str">
        <f t="shared" si="46"/>
        <v>2021-W33</v>
      </c>
      <c r="H595">
        <f>SUM(A595:A601)</f>
        <v>4398</v>
      </c>
      <c r="I595" s="28">
        <f>H595/H588-1</f>
        <v>-0.15227447956823437</v>
      </c>
      <c r="J595" s="28">
        <f t="shared" si="47"/>
        <v>-0.25940212150433939</v>
      </c>
      <c r="K595">
        <f t="shared" si="43"/>
        <v>4919</v>
      </c>
      <c r="L595" s="37">
        <f t="shared" si="44"/>
        <v>10163</v>
      </c>
    </row>
    <row r="596" spans="1:12">
      <c r="A596" s="3">
        <v>741</v>
      </c>
      <c r="B596" t="s">
        <v>642</v>
      </c>
      <c r="C596" t="s">
        <v>8</v>
      </c>
      <c r="E596" s="3">
        <f t="shared" si="45"/>
        <v>2</v>
      </c>
      <c r="F596" s="5">
        <v>44425.625</v>
      </c>
      <c r="G596" s="19" t="str">
        <f t="shared" si="46"/>
        <v/>
      </c>
      <c r="J596" s="28">
        <f t="shared" si="47"/>
        <v>-0.10290556900726389</v>
      </c>
      <c r="K596">
        <f t="shared" si="43"/>
        <v>4834</v>
      </c>
      <c r="L596" s="37">
        <f t="shared" si="44"/>
        <v>10064</v>
      </c>
    </row>
    <row r="597" spans="1:12">
      <c r="A597" s="3">
        <v>708</v>
      </c>
      <c r="B597" t="s">
        <v>643</v>
      </c>
      <c r="C597" t="s">
        <v>8</v>
      </c>
      <c r="E597" s="3">
        <f t="shared" si="45"/>
        <v>3</v>
      </c>
      <c r="F597" s="5">
        <v>44426.625</v>
      </c>
      <c r="G597" s="19" t="str">
        <f t="shared" si="46"/>
        <v/>
      </c>
      <c r="J597" s="28">
        <f t="shared" si="47"/>
        <v>-0.23459459459459464</v>
      </c>
      <c r="K597">
        <f t="shared" ref="K597:K660" si="48">SUM(A591:A597)</f>
        <v>4617</v>
      </c>
      <c r="L597" s="37">
        <f t="shared" ref="L597:L660" si="49">SUM(A584:A597)</f>
        <v>9988</v>
      </c>
    </row>
    <row r="598" spans="1:12">
      <c r="A598" s="3">
        <v>671</v>
      </c>
      <c r="B598" t="s">
        <v>644</v>
      </c>
      <c r="C598" t="s">
        <v>8</v>
      </c>
      <c r="E598" s="3">
        <f t="shared" si="45"/>
        <v>4</v>
      </c>
      <c r="F598" s="5">
        <v>44427.625</v>
      </c>
      <c r="G598" s="19" t="str">
        <f t="shared" si="46"/>
        <v/>
      </c>
      <c r="J598" s="28">
        <f t="shared" si="47"/>
        <v>-0.14955640050697083</v>
      </c>
      <c r="K598">
        <f t="shared" si="48"/>
        <v>4499</v>
      </c>
      <c r="L598" s="37">
        <f t="shared" si="49"/>
        <v>9783</v>
      </c>
    </row>
    <row r="599" spans="1:12">
      <c r="A599" s="3">
        <v>655</v>
      </c>
      <c r="B599" t="s">
        <v>645</v>
      </c>
      <c r="C599" t="s">
        <v>8</v>
      </c>
      <c r="E599" s="3">
        <f t="shared" si="45"/>
        <v>5</v>
      </c>
      <c r="F599" s="5">
        <v>44428.625</v>
      </c>
      <c r="G599" s="19" t="str">
        <f t="shared" si="46"/>
        <v/>
      </c>
      <c r="J599" s="28">
        <f t="shared" si="47"/>
        <v>-0.11486486486486491</v>
      </c>
      <c r="K599">
        <f t="shared" si="48"/>
        <v>4414</v>
      </c>
      <c r="L599" s="37">
        <f t="shared" si="49"/>
        <v>9754</v>
      </c>
    </row>
    <row r="600" spans="1:12">
      <c r="A600" s="3">
        <v>398</v>
      </c>
      <c r="B600" t="s">
        <v>646</v>
      </c>
      <c r="C600" t="s">
        <v>8</v>
      </c>
      <c r="E600" s="3">
        <f t="shared" si="45"/>
        <v>6</v>
      </c>
      <c r="F600" s="5">
        <v>44429.625</v>
      </c>
      <c r="G600" s="19" t="str">
        <f t="shared" si="46"/>
        <v/>
      </c>
      <c r="J600" s="28">
        <f t="shared" si="47"/>
        <v>-6.5727699530516381E-2</v>
      </c>
      <c r="K600">
        <f t="shared" si="48"/>
        <v>4386</v>
      </c>
      <c r="L600" s="37">
        <f t="shared" si="49"/>
        <v>9666</v>
      </c>
    </row>
    <row r="601" spans="1:12">
      <c r="A601" s="3">
        <v>457</v>
      </c>
      <c r="B601" t="s">
        <v>647</v>
      </c>
      <c r="C601" t="s">
        <v>8</v>
      </c>
      <c r="E601" s="3">
        <f t="shared" si="45"/>
        <v>7</v>
      </c>
      <c r="F601" s="5">
        <v>44430.625</v>
      </c>
      <c r="G601" s="19" t="str">
        <f t="shared" si="46"/>
        <v/>
      </c>
      <c r="J601" s="28">
        <f t="shared" si="47"/>
        <v>2.6966292134831482E-2</v>
      </c>
      <c r="K601">
        <f t="shared" si="48"/>
        <v>4398</v>
      </c>
      <c r="L601" s="37">
        <f t="shared" si="49"/>
        <v>9586</v>
      </c>
    </row>
    <row r="602" spans="1:12">
      <c r="A602" s="14">
        <v>682</v>
      </c>
      <c r="B602" t="s">
        <v>648</v>
      </c>
      <c r="C602" t="s">
        <v>8</v>
      </c>
      <c r="E602" s="3">
        <f t="shared" si="45"/>
        <v>1</v>
      </c>
      <c r="F602" s="5">
        <v>44431.625</v>
      </c>
      <c r="G602" s="19" t="str">
        <f t="shared" si="46"/>
        <v>2021-W34</v>
      </c>
      <c r="H602">
        <f>SUM(A602:A608)</f>
        <v>4210</v>
      </c>
      <c r="I602" s="28">
        <f>H602/H595-1</f>
        <v>-4.2746703046839474E-2</v>
      </c>
      <c r="J602" s="28">
        <f t="shared" si="47"/>
        <v>-0.11197916666666663</v>
      </c>
      <c r="K602">
        <f t="shared" si="48"/>
        <v>4312</v>
      </c>
      <c r="L602" s="37">
        <f t="shared" si="49"/>
        <v>9231</v>
      </c>
    </row>
    <row r="603" spans="1:12">
      <c r="A603" s="3">
        <v>609</v>
      </c>
      <c r="B603" t="s">
        <v>649</v>
      </c>
      <c r="C603" t="s">
        <v>8</v>
      </c>
      <c r="E603" s="3">
        <f t="shared" si="45"/>
        <v>2</v>
      </c>
      <c r="F603" s="5">
        <v>44432.625</v>
      </c>
      <c r="G603" s="19" t="str">
        <f t="shared" si="46"/>
        <v/>
      </c>
      <c r="J603" s="28">
        <f t="shared" si="47"/>
        <v>-0.17813765182186236</v>
      </c>
      <c r="K603">
        <f t="shared" si="48"/>
        <v>4180</v>
      </c>
      <c r="L603" s="37">
        <f t="shared" si="49"/>
        <v>9014</v>
      </c>
    </row>
    <row r="604" spans="1:12">
      <c r="A604" s="3">
        <v>699</v>
      </c>
      <c r="B604" t="s">
        <v>650</v>
      </c>
      <c r="C604" t="s">
        <v>8</v>
      </c>
      <c r="E604" s="3">
        <f t="shared" si="45"/>
        <v>3</v>
      </c>
      <c r="F604" s="5">
        <v>44433.625</v>
      </c>
      <c r="G604" s="19" t="str">
        <f t="shared" si="46"/>
        <v/>
      </c>
      <c r="J604" s="28">
        <f t="shared" si="47"/>
        <v>-1.2711864406779627E-2</v>
      </c>
      <c r="K604">
        <f t="shared" si="48"/>
        <v>4171</v>
      </c>
      <c r="L604" s="37">
        <f t="shared" si="49"/>
        <v>8788</v>
      </c>
    </row>
    <row r="605" spans="1:12">
      <c r="A605" s="3">
        <v>611</v>
      </c>
      <c r="B605" t="s">
        <v>651</v>
      </c>
      <c r="C605" t="s">
        <v>8</v>
      </c>
      <c r="E605" s="3">
        <f t="shared" si="45"/>
        <v>4</v>
      </c>
      <c r="F605" s="5">
        <v>44434.625</v>
      </c>
      <c r="G605" s="19" t="str">
        <f t="shared" si="46"/>
        <v/>
      </c>
      <c r="J605" s="28">
        <f t="shared" si="47"/>
        <v>-8.9418777943368055E-2</v>
      </c>
      <c r="K605">
        <f t="shared" si="48"/>
        <v>4111</v>
      </c>
      <c r="L605" s="37">
        <f t="shared" si="49"/>
        <v>8610</v>
      </c>
    </row>
    <row r="606" spans="1:12">
      <c r="A606" s="3">
        <v>706</v>
      </c>
      <c r="B606" t="s">
        <v>652</v>
      </c>
      <c r="C606" t="s">
        <v>8</v>
      </c>
      <c r="E606" s="3">
        <f t="shared" si="45"/>
        <v>5</v>
      </c>
      <c r="F606" s="5">
        <v>44435.625</v>
      </c>
      <c r="G606" s="19" t="str">
        <f t="shared" si="46"/>
        <v/>
      </c>
      <c r="J606" s="28">
        <f t="shared" si="47"/>
        <v>7.7862595419847302E-2</v>
      </c>
      <c r="K606">
        <f t="shared" si="48"/>
        <v>4162</v>
      </c>
      <c r="L606" s="37">
        <f t="shared" si="49"/>
        <v>8576</v>
      </c>
    </row>
    <row r="607" spans="1:12">
      <c r="A607" s="3">
        <v>439</v>
      </c>
      <c r="B607" t="s">
        <v>653</v>
      </c>
      <c r="C607" t="s">
        <v>8</v>
      </c>
      <c r="E607" s="3">
        <f t="shared" si="45"/>
        <v>6</v>
      </c>
      <c r="F607" s="5">
        <v>44436.625</v>
      </c>
      <c r="G607" s="19" t="str">
        <f t="shared" si="46"/>
        <v/>
      </c>
      <c r="J607" s="28">
        <f t="shared" si="47"/>
        <v>0.10301507537688437</v>
      </c>
      <c r="K607">
        <f t="shared" si="48"/>
        <v>4203</v>
      </c>
      <c r="L607" s="37">
        <f t="shared" si="49"/>
        <v>8589</v>
      </c>
    </row>
    <row r="608" spans="1:12">
      <c r="A608" s="3">
        <v>464</v>
      </c>
      <c r="B608" t="s">
        <v>654</v>
      </c>
      <c r="C608" t="s">
        <v>8</v>
      </c>
      <c r="E608" s="3">
        <f t="shared" si="45"/>
        <v>7</v>
      </c>
      <c r="F608" s="5">
        <v>44437.625</v>
      </c>
      <c r="G608" s="19" t="str">
        <f t="shared" si="46"/>
        <v/>
      </c>
      <c r="J608" s="28">
        <f t="shared" si="47"/>
        <v>1.5317286652078765E-2</v>
      </c>
      <c r="K608">
        <f t="shared" si="48"/>
        <v>4210</v>
      </c>
      <c r="L608" s="37">
        <f t="shared" si="49"/>
        <v>8608</v>
      </c>
    </row>
    <row r="609" spans="1:12">
      <c r="A609" s="14">
        <v>744</v>
      </c>
      <c r="B609" t="s">
        <v>655</v>
      </c>
      <c r="C609" t="s">
        <v>8</v>
      </c>
      <c r="E609" s="3">
        <f t="shared" si="45"/>
        <v>1</v>
      </c>
      <c r="F609" s="5">
        <v>44438.625</v>
      </c>
      <c r="G609" s="19" t="str">
        <f t="shared" si="46"/>
        <v>2021-W35</v>
      </c>
      <c r="H609">
        <f>SUM(A609:A615)</f>
        <v>3895</v>
      </c>
      <c r="I609" s="28">
        <f>H609/H602-1</f>
        <v>-7.4821852731591476E-2</v>
      </c>
      <c r="J609" s="28">
        <f t="shared" si="47"/>
        <v>9.0909090909090828E-2</v>
      </c>
      <c r="K609">
        <f t="shared" si="48"/>
        <v>4272</v>
      </c>
      <c r="L609" s="37">
        <f t="shared" si="49"/>
        <v>8584</v>
      </c>
    </row>
    <row r="610" spans="1:12">
      <c r="A610" s="3">
        <v>650</v>
      </c>
      <c r="B610" t="s">
        <v>656</v>
      </c>
      <c r="C610" t="s">
        <v>8</v>
      </c>
      <c r="E610" s="3">
        <f t="shared" si="45"/>
        <v>2</v>
      </c>
      <c r="F610" s="5">
        <v>44439.625</v>
      </c>
      <c r="G610" s="19" t="str">
        <f t="shared" si="46"/>
        <v/>
      </c>
      <c r="J610" s="28">
        <f t="shared" si="47"/>
        <v>6.7323481116584594E-2</v>
      </c>
      <c r="K610">
        <f t="shared" si="48"/>
        <v>4313</v>
      </c>
      <c r="L610" s="37">
        <f t="shared" si="49"/>
        <v>8493</v>
      </c>
    </row>
    <row r="611" spans="1:12">
      <c r="A611" s="3">
        <v>648</v>
      </c>
      <c r="B611" t="s">
        <v>657</v>
      </c>
      <c r="C611" t="s">
        <v>8</v>
      </c>
      <c r="E611" s="3">
        <f t="shared" si="45"/>
        <v>3</v>
      </c>
      <c r="F611" s="5">
        <v>44440.625</v>
      </c>
      <c r="G611" s="19" t="str">
        <f t="shared" si="46"/>
        <v/>
      </c>
      <c r="J611" s="28">
        <f t="shared" si="47"/>
        <v>-7.2961373390557971E-2</v>
      </c>
      <c r="K611">
        <f t="shared" si="48"/>
        <v>4262</v>
      </c>
      <c r="L611" s="37">
        <f t="shared" si="49"/>
        <v>8433</v>
      </c>
    </row>
    <row r="612" spans="1:12">
      <c r="A612" s="3">
        <v>651</v>
      </c>
      <c r="B612" t="s">
        <v>658</v>
      </c>
      <c r="C612" t="s">
        <v>8</v>
      </c>
      <c r="E612" s="3">
        <f t="shared" si="45"/>
        <v>4</v>
      </c>
      <c r="F612" s="5">
        <v>44441.625</v>
      </c>
      <c r="G612" s="19" t="str">
        <f t="shared" si="46"/>
        <v/>
      </c>
      <c r="J612" s="28">
        <f t="shared" si="47"/>
        <v>6.546644844517191E-2</v>
      </c>
      <c r="K612">
        <f t="shared" si="48"/>
        <v>4302</v>
      </c>
      <c r="L612" s="37">
        <f t="shared" si="49"/>
        <v>8413</v>
      </c>
    </row>
    <row r="613" spans="1:12">
      <c r="A613" s="3">
        <v>520</v>
      </c>
      <c r="B613" t="s">
        <v>659</v>
      </c>
      <c r="C613" t="s">
        <v>8</v>
      </c>
      <c r="E613" s="3">
        <f t="shared" si="45"/>
        <v>5</v>
      </c>
      <c r="F613" s="5">
        <v>44442.625</v>
      </c>
      <c r="G613" s="19" t="str">
        <f t="shared" si="46"/>
        <v/>
      </c>
      <c r="J613" s="28">
        <f t="shared" si="47"/>
        <v>-0.26345609065155806</v>
      </c>
      <c r="K613">
        <f t="shared" si="48"/>
        <v>4116</v>
      </c>
      <c r="L613" s="37">
        <f t="shared" si="49"/>
        <v>8278</v>
      </c>
    </row>
    <row r="614" spans="1:12">
      <c r="A614" s="3">
        <v>336</v>
      </c>
      <c r="B614" t="s">
        <v>660</v>
      </c>
      <c r="C614" t="s">
        <v>8</v>
      </c>
      <c r="E614" s="3">
        <f t="shared" si="45"/>
        <v>6</v>
      </c>
      <c r="F614" s="5">
        <v>44443.625</v>
      </c>
      <c r="G614" s="19" t="str">
        <f t="shared" si="46"/>
        <v/>
      </c>
      <c r="J614" s="28">
        <f t="shared" si="47"/>
        <v>-0.23462414578587698</v>
      </c>
      <c r="K614">
        <f t="shared" si="48"/>
        <v>4013</v>
      </c>
      <c r="L614" s="37">
        <f t="shared" si="49"/>
        <v>8216</v>
      </c>
    </row>
    <row r="615" spans="1:12">
      <c r="A615" s="3">
        <v>346</v>
      </c>
      <c r="B615" t="s">
        <v>661</v>
      </c>
      <c r="C615" t="s">
        <v>8</v>
      </c>
      <c r="E615" s="3">
        <f t="shared" si="45"/>
        <v>7</v>
      </c>
      <c r="F615" s="5">
        <v>44444.625</v>
      </c>
      <c r="G615" s="19" t="str">
        <f t="shared" si="46"/>
        <v/>
      </c>
      <c r="J615" s="28">
        <f t="shared" si="47"/>
        <v>-0.25431034482758619</v>
      </c>
      <c r="K615">
        <f t="shared" si="48"/>
        <v>3895</v>
      </c>
      <c r="L615" s="37">
        <f t="shared" si="49"/>
        <v>8105</v>
      </c>
    </row>
    <row r="616" spans="1:12">
      <c r="A616" s="10">
        <v>581</v>
      </c>
      <c r="B616" t="s">
        <v>662</v>
      </c>
      <c r="C616" t="s">
        <v>8</v>
      </c>
      <c r="E616">
        <f t="shared" si="45"/>
        <v>1</v>
      </c>
      <c r="F616" s="5">
        <v>44445.625</v>
      </c>
      <c r="G616" s="19" t="str">
        <f t="shared" si="46"/>
        <v>2021-W36</v>
      </c>
      <c r="H616">
        <f>SUM(A616:A622)</f>
        <v>3153</v>
      </c>
      <c r="I616" s="28">
        <f>H616/H609-1</f>
        <v>-0.19050064184852378</v>
      </c>
      <c r="J616" s="28">
        <f t="shared" si="47"/>
        <v>-0.21908602150537637</v>
      </c>
      <c r="K616">
        <f t="shared" si="48"/>
        <v>3732</v>
      </c>
      <c r="L616" s="37">
        <f t="shared" si="49"/>
        <v>8004</v>
      </c>
    </row>
    <row r="617" spans="1:12">
      <c r="A617" s="3">
        <v>523</v>
      </c>
      <c r="B617" t="s">
        <v>663</v>
      </c>
      <c r="C617" t="s">
        <v>8</v>
      </c>
      <c r="E617" s="3">
        <f t="shared" si="45"/>
        <v>2</v>
      </c>
      <c r="F617" s="5">
        <v>44446.625</v>
      </c>
      <c r="G617" s="19" t="str">
        <f t="shared" si="46"/>
        <v/>
      </c>
      <c r="J617" s="28">
        <f t="shared" si="47"/>
        <v>-0.19538461538461538</v>
      </c>
      <c r="K617">
        <f t="shared" si="48"/>
        <v>3605</v>
      </c>
      <c r="L617" s="37">
        <f t="shared" si="49"/>
        <v>7918</v>
      </c>
    </row>
    <row r="618" spans="1:12">
      <c r="A618" s="3">
        <v>482</v>
      </c>
      <c r="B618" t="s">
        <v>664</v>
      </c>
      <c r="C618" t="s">
        <v>8</v>
      </c>
      <c r="E618" s="3">
        <f t="shared" si="45"/>
        <v>3</v>
      </c>
      <c r="F618" s="5">
        <v>44447.625</v>
      </c>
      <c r="G618" s="19" t="str">
        <f t="shared" si="46"/>
        <v/>
      </c>
      <c r="J618" s="28">
        <f t="shared" si="47"/>
        <v>-0.25617283950617287</v>
      </c>
      <c r="K618">
        <f t="shared" si="48"/>
        <v>3439</v>
      </c>
      <c r="L618" s="37">
        <f t="shared" si="49"/>
        <v>7701</v>
      </c>
    </row>
    <row r="619" spans="1:12">
      <c r="A619" s="3">
        <v>459</v>
      </c>
      <c r="B619" t="s">
        <v>665</v>
      </c>
      <c r="C619" t="s">
        <v>8</v>
      </c>
      <c r="E619" s="3">
        <f t="shared" si="45"/>
        <v>4</v>
      </c>
      <c r="F619" s="5">
        <v>44448.625</v>
      </c>
      <c r="G619" s="19" t="str">
        <f t="shared" si="46"/>
        <v/>
      </c>
      <c r="J619" s="28">
        <f t="shared" si="47"/>
        <v>-0.29493087557603692</v>
      </c>
      <c r="K619">
        <f t="shared" si="48"/>
        <v>3247</v>
      </c>
      <c r="L619" s="37">
        <f t="shared" si="49"/>
        <v>7549</v>
      </c>
    </row>
    <row r="620" spans="1:12">
      <c r="A620" s="3">
        <v>496</v>
      </c>
      <c r="B620" t="s">
        <v>666</v>
      </c>
      <c r="C620" t="s">
        <v>8</v>
      </c>
      <c r="E620" s="3">
        <f t="shared" si="45"/>
        <v>5</v>
      </c>
      <c r="F620" s="5">
        <v>44449.625</v>
      </c>
      <c r="G620" s="19" t="str">
        <f t="shared" si="46"/>
        <v/>
      </c>
      <c r="J620" s="28">
        <f t="shared" si="47"/>
        <v>-4.6153846153846101E-2</v>
      </c>
      <c r="K620">
        <f t="shared" si="48"/>
        <v>3223</v>
      </c>
      <c r="L620" s="37">
        <f t="shared" si="49"/>
        <v>7339</v>
      </c>
    </row>
    <row r="621" spans="1:12">
      <c r="A621" s="3">
        <v>329</v>
      </c>
      <c r="B621" t="s">
        <v>667</v>
      </c>
      <c r="C621" t="s">
        <v>8</v>
      </c>
      <c r="E621" s="3">
        <f t="shared" si="45"/>
        <v>6</v>
      </c>
      <c r="F621" s="5">
        <v>44450.625</v>
      </c>
      <c r="G621" s="19" t="str">
        <f t="shared" si="46"/>
        <v/>
      </c>
      <c r="J621" s="28">
        <f t="shared" si="47"/>
        <v>-2.083333333333337E-2</v>
      </c>
      <c r="K621">
        <f t="shared" si="48"/>
        <v>3216</v>
      </c>
      <c r="L621" s="37">
        <f t="shared" si="49"/>
        <v>7229</v>
      </c>
    </row>
    <row r="622" spans="1:12">
      <c r="A622" s="3">
        <v>283</v>
      </c>
      <c r="B622" t="s">
        <v>668</v>
      </c>
      <c r="C622" t="s">
        <v>8</v>
      </c>
      <c r="E622" s="3">
        <f t="shared" si="45"/>
        <v>7</v>
      </c>
      <c r="F622" s="5">
        <v>44451.625</v>
      </c>
      <c r="G622" s="19" t="str">
        <f t="shared" si="46"/>
        <v/>
      </c>
      <c r="J622" s="28">
        <f t="shared" si="47"/>
        <v>-0.18208092485549132</v>
      </c>
      <c r="K622">
        <f t="shared" si="48"/>
        <v>3153</v>
      </c>
      <c r="L622" s="37">
        <f t="shared" si="49"/>
        <v>7048</v>
      </c>
    </row>
    <row r="623" spans="1:12">
      <c r="A623" s="14">
        <v>535</v>
      </c>
      <c r="B623" t="s">
        <v>669</v>
      </c>
      <c r="C623" t="s">
        <v>8</v>
      </c>
      <c r="E623" s="3">
        <f t="shared" si="45"/>
        <v>1</v>
      </c>
      <c r="F623" s="5">
        <v>44452.625</v>
      </c>
      <c r="G623" s="19" t="str">
        <f t="shared" si="46"/>
        <v>2021-W37</v>
      </c>
      <c r="H623">
        <f>SUM(A623:A629)</f>
        <v>2821</v>
      </c>
      <c r="I623" s="28">
        <f>H623/H616-1</f>
        <v>-0.10529654297494451</v>
      </c>
      <c r="J623" s="28">
        <f t="shared" si="47"/>
        <v>-7.9173838209982805E-2</v>
      </c>
      <c r="K623">
        <f t="shared" si="48"/>
        <v>3107</v>
      </c>
      <c r="L623" s="37">
        <f t="shared" si="49"/>
        <v>6839</v>
      </c>
    </row>
    <row r="624" spans="1:12">
      <c r="A624" s="3">
        <v>481</v>
      </c>
      <c r="B624" t="s">
        <v>670</v>
      </c>
      <c r="C624" t="s">
        <v>8</v>
      </c>
      <c r="E624" s="3">
        <f t="shared" si="45"/>
        <v>2</v>
      </c>
      <c r="F624" s="5">
        <v>44453.625</v>
      </c>
      <c r="G624" s="19" t="str">
        <f t="shared" si="46"/>
        <v/>
      </c>
      <c r="J624" s="28">
        <f t="shared" si="47"/>
        <v>-8.0305927342256167E-2</v>
      </c>
      <c r="K624">
        <f t="shared" si="48"/>
        <v>3065</v>
      </c>
      <c r="L624" s="37">
        <f t="shared" si="49"/>
        <v>6670</v>
      </c>
    </row>
    <row r="625" spans="1:12">
      <c r="A625" s="3">
        <v>454</v>
      </c>
      <c r="B625" t="s">
        <v>671</v>
      </c>
      <c r="C625" t="s">
        <v>8</v>
      </c>
      <c r="E625" s="3">
        <f t="shared" si="45"/>
        <v>3</v>
      </c>
      <c r="F625" s="5">
        <v>44454.625</v>
      </c>
      <c r="G625" s="19" t="str">
        <f t="shared" si="46"/>
        <v/>
      </c>
      <c r="J625" s="28">
        <f t="shared" si="47"/>
        <v>-5.8091286307053958E-2</v>
      </c>
      <c r="K625">
        <f t="shared" si="48"/>
        <v>3037</v>
      </c>
      <c r="L625" s="37">
        <f t="shared" si="49"/>
        <v>6476</v>
      </c>
    </row>
    <row r="626" spans="1:12">
      <c r="A626" s="3">
        <v>437</v>
      </c>
      <c r="B626" t="s">
        <v>672</v>
      </c>
      <c r="C626" t="s">
        <v>8</v>
      </c>
      <c r="E626" s="3">
        <f t="shared" si="45"/>
        <v>4</v>
      </c>
      <c r="F626" s="5">
        <v>44455.625</v>
      </c>
      <c r="G626" s="19" t="str">
        <f t="shared" si="46"/>
        <v/>
      </c>
      <c r="J626" s="28">
        <f t="shared" si="47"/>
        <v>-4.7930283224400849E-2</v>
      </c>
      <c r="K626">
        <f t="shared" si="48"/>
        <v>3015</v>
      </c>
      <c r="L626" s="37">
        <f t="shared" si="49"/>
        <v>6262</v>
      </c>
    </row>
    <row r="627" spans="1:12">
      <c r="A627" s="3">
        <v>389</v>
      </c>
      <c r="B627" t="s">
        <v>673</v>
      </c>
      <c r="C627" t="s">
        <v>8</v>
      </c>
      <c r="E627" s="3">
        <f t="shared" si="45"/>
        <v>5</v>
      </c>
      <c r="F627" s="5">
        <v>44456.625</v>
      </c>
      <c r="G627" s="19" t="str">
        <f t="shared" si="46"/>
        <v/>
      </c>
      <c r="J627" s="28">
        <f t="shared" si="47"/>
        <v>-0.21572580645161288</v>
      </c>
      <c r="K627">
        <f t="shared" si="48"/>
        <v>2908</v>
      </c>
      <c r="L627" s="37">
        <f t="shared" si="49"/>
        <v>6131</v>
      </c>
    </row>
    <row r="628" spans="1:12">
      <c r="A628" s="3">
        <v>240</v>
      </c>
      <c r="B628" t="s">
        <v>674</v>
      </c>
      <c r="C628" t="s">
        <v>8</v>
      </c>
      <c r="E628" s="3">
        <f t="shared" si="45"/>
        <v>6</v>
      </c>
      <c r="F628" s="5">
        <v>44457.625</v>
      </c>
      <c r="G628" s="19" t="str">
        <f t="shared" si="46"/>
        <v/>
      </c>
      <c r="J628" s="28">
        <f t="shared" si="47"/>
        <v>-0.27051671732522797</v>
      </c>
      <c r="K628">
        <f t="shared" si="48"/>
        <v>2819</v>
      </c>
      <c r="L628" s="37">
        <f t="shared" si="49"/>
        <v>6035</v>
      </c>
    </row>
    <row r="629" spans="1:12">
      <c r="A629" s="3">
        <v>285</v>
      </c>
      <c r="B629" t="s">
        <v>675</v>
      </c>
      <c r="C629" t="s">
        <v>8</v>
      </c>
      <c r="E629" s="3">
        <f t="shared" si="45"/>
        <v>7</v>
      </c>
      <c r="F629" s="5">
        <v>44458.625</v>
      </c>
      <c r="G629" s="19" t="str">
        <f t="shared" si="46"/>
        <v/>
      </c>
      <c r="J629" s="28">
        <f t="shared" si="47"/>
        <v>7.0671378091873294E-3</v>
      </c>
      <c r="K629">
        <f t="shared" si="48"/>
        <v>2821</v>
      </c>
      <c r="L629" s="37">
        <f t="shared" si="49"/>
        <v>5974</v>
      </c>
    </row>
    <row r="630" spans="1:12" s="41" customFormat="1">
      <c r="A630" s="50">
        <v>489</v>
      </c>
      <c r="B630" s="41" t="s">
        <v>676</v>
      </c>
      <c r="C630" s="41" t="s">
        <v>8</v>
      </c>
      <c r="E630" s="40">
        <f t="shared" si="45"/>
        <v>1</v>
      </c>
      <c r="F630" s="42">
        <v>44459.625</v>
      </c>
      <c r="G630" s="43" t="str">
        <f t="shared" si="46"/>
        <v>2021-W38</v>
      </c>
      <c r="H630" s="41">
        <f>SUM(A630:A636)</f>
        <v>3016</v>
      </c>
      <c r="I630" s="44">
        <f>H630/H623-1</f>
        <v>6.9124423963133674E-2</v>
      </c>
      <c r="J630" s="44">
        <f t="shared" si="47"/>
        <v>-8.5981308411214985E-2</v>
      </c>
      <c r="K630" s="41">
        <f t="shared" si="48"/>
        <v>2775</v>
      </c>
      <c r="L630" s="54">
        <f t="shared" si="49"/>
        <v>5882</v>
      </c>
    </row>
    <row r="631" spans="1:12">
      <c r="A631" s="3">
        <v>489</v>
      </c>
      <c r="B631" t="s">
        <v>677</v>
      </c>
      <c r="C631" t="s">
        <v>8</v>
      </c>
      <c r="E631" s="3">
        <f t="shared" si="45"/>
        <v>2</v>
      </c>
      <c r="F631" s="5">
        <v>44460.625</v>
      </c>
      <c r="G631" s="19" t="str">
        <f t="shared" si="46"/>
        <v/>
      </c>
      <c r="J631" s="28">
        <f t="shared" si="47"/>
        <v>1.6632016632016633E-2</v>
      </c>
      <c r="K631">
        <f t="shared" si="48"/>
        <v>2783</v>
      </c>
      <c r="L631" s="37">
        <f t="shared" si="49"/>
        <v>5848</v>
      </c>
    </row>
    <row r="632" spans="1:12">
      <c r="A632" s="3">
        <v>483</v>
      </c>
      <c r="B632" t="s">
        <v>678</v>
      </c>
      <c r="C632" t="s">
        <v>8</v>
      </c>
      <c r="E632" s="3">
        <f t="shared" si="45"/>
        <v>3</v>
      </c>
      <c r="F632" s="5">
        <v>44461.625</v>
      </c>
      <c r="G632" s="19" t="str">
        <f t="shared" si="46"/>
        <v/>
      </c>
      <c r="J632" s="28">
        <f t="shared" si="47"/>
        <v>6.3876651982378796E-2</v>
      </c>
      <c r="K632">
        <f t="shared" si="48"/>
        <v>2812</v>
      </c>
      <c r="L632" s="37">
        <f t="shared" si="49"/>
        <v>5849</v>
      </c>
    </row>
    <row r="633" spans="1:12">
      <c r="A633" s="3">
        <v>479</v>
      </c>
      <c r="B633" t="s">
        <v>679</v>
      </c>
      <c r="C633" t="s">
        <v>8</v>
      </c>
      <c r="E633" s="3">
        <f t="shared" si="45"/>
        <v>4</v>
      </c>
      <c r="F633" s="5">
        <v>44462.625</v>
      </c>
      <c r="G633" s="19" t="str">
        <f t="shared" si="46"/>
        <v/>
      </c>
      <c r="J633" s="28">
        <f t="shared" si="47"/>
        <v>9.6109839816933551E-2</v>
      </c>
      <c r="K633">
        <f t="shared" si="48"/>
        <v>2854</v>
      </c>
      <c r="L633" s="37">
        <f t="shared" si="49"/>
        <v>5869</v>
      </c>
    </row>
    <row r="634" spans="1:12">
      <c r="A634" s="3">
        <v>424</v>
      </c>
      <c r="B634" t="s">
        <v>680</v>
      </c>
      <c r="C634" t="s">
        <v>8</v>
      </c>
      <c r="E634" s="3">
        <f t="shared" si="45"/>
        <v>5</v>
      </c>
      <c r="F634" s="5">
        <v>44463.625</v>
      </c>
      <c r="G634" s="19" t="str">
        <f t="shared" si="46"/>
        <v/>
      </c>
      <c r="J634" s="28">
        <f t="shared" si="47"/>
        <v>8.9974293059125854E-2</v>
      </c>
      <c r="K634">
        <f t="shared" si="48"/>
        <v>2889</v>
      </c>
      <c r="L634" s="37">
        <f t="shared" si="49"/>
        <v>5797</v>
      </c>
    </row>
    <row r="635" spans="1:12">
      <c r="A635" s="3">
        <v>298</v>
      </c>
      <c r="B635" t="s">
        <v>681</v>
      </c>
      <c r="C635" t="s">
        <v>8</v>
      </c>
      <c r="E635" s="3">
        <f t="shared" si="45"/>
        <v>6</v>
      </c>
      <c r="F635" s="5">
        <v>44464.625</v>
      </c>
      <c r="G635" s="19" t="str">
        <f t="shared" si="46"/>
        <v/>
      </c>
      <c r="J635" s="28">
        <f t="shared" si="47"/>
        <v>0.2416666666666667</v>
      </c>
      <c r="K635">
        <f t="shared" si="48"/>
        <v>2947</v>
      </c>
      <c r="L635" s="37">
        <f t="shared" si="49"/>
        <v>5766</v>
      </c>
    </row>
    <row r="636" spans="1:12">
      <c r="A636" s="3">
        <v>354</v>
      </c>
      <c r="B636" t="s">
        <v>682</v>
      </c>
      <c r="C636" t="s">
        <v>8</v>
      </c>
      <c r="E636" s="3">
        <f t="shared" si="45"/>
        <v>7</v>
      </c>
      <c r="F636" s="5">
        <v>44465.625</v>
      </c>
      <c r="G636" s="19" t="str">
        <f t="shared" si="46"/>
        <v/>
      </c>
      <c r="J636" s="28">
        <f t="shared" si="47"/>
        <v>0.24210526315789482</v>
      </c>
      <c r="K636">
        <f t="shared" si="48"/>
        <v>3016</v>
      </c>
      <c r="L636" s="37">
        <f t="shared" si="49"/>
        <v>5837</v>
      </c>
    </row>
    <row r="637" spans="1:12" s="41" customFormat="1">
      <c r="A637" s="50">
        <v>684</v>
      </c>
      <c r="B637" s="41" t="s">
        <v>683</v>
      </c>
      <c r="C637" s="41" t="s">
        <v>8</v>
      </c>
      <c r="E637" s="40">
        <f t="shared" si="45"/>
        <v>1</v>
      </c>
      <c r="F637" s="42">
        <v>44466.625</v>
      </c>
      <c r="G637" s="43" t="str">
        <f t="shared" si="46"/>
        <v>2021-W39</v>
      </c>
      <c r="H637" s="41">
        <f>SUM(A637:A643)</f>
        <v>3883</v>
      </c>
      <c r="I637" s="44">
        <f>H637/H630-1</f>
        <v>0.28746684350132634</v>
      </c>
      <c r="J637" s="44">
        <f t="shared" si="47"/>
        <v>0.39877300613496924</v>
      </c>
      <c r="K637" s="41">
        <f t="shared" si="48"/>
        <v>3211</v>
      </c>
      <c r="L637" s="54">
        <f t="shared" si="49"/>
        <v>5986</v>
      </c>
    </row>
    <row r="638" spans="1:12">
      <c r="A638" s="3">
        <v>643</v>
      </c>
      <c r="B638" t="s">
        <v>684</v>
      </c>
      <c r="C638" t="s">
        <v>8</v>
      </c>
      <c r="E638" s="3">
        <f t="shared" si="45"/>
        <v>2</v>
      </c>
      <c r="F638" s="5">
        <v>44467.625</v>
      </c>
      <c r="G638" s="19" t="str">
        <f t="shared" si="46"/>
        <v/>
      </c>
      <c r="J638" s="28">
        <f t="shared" si="47"/>
        <v>0.31492842535787324</v>
      </c>
      <c r="K638">
        <f t="shared" si="48"/>
        <v>3365</v>
      </c>
      <c r="L638" s="37">
        <f t="shared" si="49"/>
        <v>6148</v>
      </c>
    </row>
    <row r="639" spans="1:12">
      <c r="A639" s="3">
        <v>669</v>
      </c>
      <c r="B639" t="s">
        <v>685</v>
      </c>
      <c r="C639" t="s">
        <v>8</v>
      </c>
      <c r="E639" s="3">
        <f t="shared" ref="E639:E702" si="50">WEEKDAY(F639,2)</f>
        <v>3</v>
      </c>
      <c r="F639" s="5">
        <v>44468.625</v>
      </c>
      <c r="G639" s="19" t="str">
        <f t="shared" si="46"/>
        <v/>
      </c>
      <c r="J639" s="28">
        <f t="shared" si="47"/>
        <v>0.38509316770186341</v>
      </c>
      <c r="K639">
        <f t="shared" si="48"/>
        <v>3551</v>
      </c>
      <c r="L639" s="37">
        <f t="shared" si="49"/>
        <v>6363</v>
      </c>
    </row>
    <row r="640" spans="1:12">
      <c r="A640" s="3">
        <v>618</v>
      </c>
      <c r="B640" t="s">
        <v>686</v>
      </c>
      <c r="C640" t="s">
        <v>8</v>
      </c>
      <c r="E640" s="3">
        <f t="shared" si="50"/>
        <v>4</v>
      </c>
      <c r="F640" s="5">
        <v>44469.625</v>
      </c>
      <c r="G640" s="19" t="str">
        <f t="shared" si="46"/>
        <v/>
      </c>
      <c r="J640" s="28">
        <f t="shared" si="47"/>
        <v>0.29018789144050094</v>
      </c>
      <c r="K640">
        <f t="shared" si="48"/>
        <v>3690</v>
      </c>
      <c r="L640" s="37">
        <f t="shared" si="49"/>
        <v>6544</v>
      </c>
    </row>
    <row r="641" spans="1:12">
      <c r="A641" s="3">
        <v>531</v>
      </c>
      <c r="B641" t="s">
        <v>687</v>
      </c>
      <c r="C641" t="s">
        <v>8</v>
      </c>
      <c r="E641" s="3">
        <f t="shared" si="50"/>
        <v>5</v>
      </c>
      <c r="F641" s="5">
        <v>44470.625</v>
      </c>
      <c r="G641" s="19" t="str">
        <f t="shared" si="46"/>
        <v/>
      </c>
      <c r="J641" s="28">
        <f t="shared" si="47"/>
        <v>0.25235849056603765</v>
      </c>
      <c r="K641">
        <f t="shared" si="48"/>
        <v>3797</v>
      </c>
      <c r="L641" s="37">
        <f t="shared" si="49"/>
        <v>6686</v>
      </c>
    </row>
    <row r="642" spans="1:12">
      <c r="A642" s="3">
        <v>355</v>
      </c>
      <c r="B642" t="s">
        <v>688</v>
      </c>
      <c r="C642" t="s">
        <v>8</v>
      </c>
      <c r="E642" s="3">
        <f t="shared" si="50"/>
        <v>6</v>
      </c>
      <c r="F642" s="5">
        <v>44471.625</v>
      </c>
      <c r="G642" s="19" t="str">
        <f t="shared" si="46"/>
        <v/>
      </c>
      <c r="J642" s="28">
        <f t="shared" si="47"/>
        <v>0.1912751677852349</v>
      </c>
      <c r="K642">
        <f t="shared" si="48"/>
        <v>3854</v>
      </c>
      <c r="L642" s="37">
        <f t="shared" si="49"/>
        <v>6801</v>
      </c>
    </row>
    <row r="643" spans="1:12">
      <c r="A643" s="3">
        <v>383</v>
      </c>
      <c r="B643" t="s">
        <v>689</v>
      </c>
      <c r="C643" t="s">
        <v>8</v>
      </c>
      <c r="E643" s="3">
        <f t="shared" si="50"/>
        <v>7</v>
      </c>
      <c r="F643" s="5">
        <v>44472.625</v>
      </c>
      <c r="G643" s="19" t="str">
        <f t="shared" ref="G643:G706" si="51">IF(WEEKDAY(F643,2)=1,YEAR(F643)&amp;"-W"&amp;TEXT(WEEKNUM(F643,14),"00"),"")</f>
        <v/>
      </c>
      <c r="J643" s="28">
        <f t="shared" si="47"/>
        <v>8.1920903954802338E-2</v>
      </c>
      <c r="K643">
        <f t="shared" si="48"/>
        <v>3883</v>
      </c>
      <c r="L643" s="37">
        <f t="shared" si="49"/>
        <v>6899</v>
      </c>
    </row>
    <row r="644" spans="1:12" s="41" customFormat="1">
      <c r="A644" s="50">
        <v>742</v>
      </c>
      <c r="B644" s="41" t="s">
        <v>690</v>
      </c>
      <c r="C644" s="41" t="s">
        <v>8</v>
      </c>
      <c r="E644" s="40">
        <f t="shared" si="50"/>
        <v>1</v>
      </c>
      <c r="F644" s="42">
        <v>44473.625</v>
      </c>
      <c r="G644" s="43" t="str">
        <f t="shared" si="51"/>
        <v>2021-W40</v>
      </c>
      <c r="H644" s="41">
        <f>SUM(A644:A650)</f>
        <v>4249</v>
      </c>
      <c r="I644" s="44">
        <f>H644/H637-1</f>
        <v>9.4257017769765694E-2</v>
      </c>
      <c r="J644" s="44">
        <f>A644/A637-1</f>
        <v>8.4795321637426868E-2</v>
      </c>
      <c r="K644" s="41">
        <f t="shared" si="48"/>
        <v>3941</v>
      </c>
      <c r="L644" s="54">
        <f t="shared" si="49"/>
        <v>7152</v>
      </c>
    </row>
    <row r="645" spans="1:12">
      <c r="A645" s="3">
        <v>729</v>
      </c>
      <c r="B645" t="s">
        <v>691</v>
      </c>
      <c r="C645" t="s">
        <v>8</v>
      </c>
      <c r="E645" s="3">
        <f t="shared" si="50"/>
        <v>2</v>
      </c>
      <c r="F645" s="5">
        <v>44474.625</v>
      </c>
      <c r="G645" s="19" t="str">
        <f t="shared" si="51"/>
        <v/>
      </c>
      <c r="J645" s="28">
        <f t="shared" ref="J645:J708" si="52">A645/A638-1</f>
        <v>0.13374805598755835</v>
      </c>
      <c r="K645">
        <f t="shared" si="48"/>
        <v>4027</v>
      </c>
      <c r="L645" s="37">
        <f t="shared" si="49"/>
        <v>7392</v>
      </c>
    </row>
    <row r="646" spans="1:12">
      <c r="A646" s="3">
        <v>746</v>
      </c>
      <c r="B646" t="s">
        <v>692</v>
      </c>
      <c r="C646" t="s">
        <v>8</v>
      </c>
      <c r="E646" s="3">
        <f t="shared" si="50"/>
        <v>3</v>
      </c>
      <c r="F646" s="5">
        <v>44475.625</v>
      </c>
      <c r="G646" s="19" t="str">
        <f t="shared" si="51"/>
        <v/>
      </c>
      <c r="J646" s="28">
        <f t="shared" si="52"/>
        <v>0.1150971599402093</v>
      </c>
      <c r="K646">
        <f t="shared" si="48"/>
        <v>4104</v>
      </c>
      <c r="L646" s="37">
        <f t="shared" si="49"/>
        <v>7655</v>
      </c>
    </row>
    <row r="647" spans="1:12">
      <c r="A647" s="3">
        <v>611</v>
      </c>
      <c r="B647" t="s">
        <v>693</v>
      </c>
      <c r="C647" t="s">
        <v>8</v>
      </c>
      <c r="E647" s="3">
        <f t="shared" si="50"/>
        <v>4</v>
      </c>
      <c r="F647" s="5">
        <v>44476.625</v>
      </c>
      <c r="G647" s="19" t="str">
        <f t="shared" si="51"/>
        <v/>
      </c>
      <c r="J647" s="28">
        <f t="shared" si="52"/>
        <v>-1.132686084142398E-2</v>
      </c>
      <c r="K647">
        <f t="shared" si="48"/>
        <v>4097</v>
      </c>
      <c r="L647" s="37">
        <f t="shared" si="49"/>
        <v>7787</v>
      </c>
    </row>
    <row r="648" spans="1:12">
      <c r="A648" s="3">
        <v>596</v>
      </c>
      <c r="B648" t="s">
        <v>694</v>
      </c>
      <c r="C648" t="s">
        <v>8</v>
      </c>
      <c r="E648" s="3">
        <f t="shared" si="50"/>
        <v>5</v>
      </c>
      <c r="F648" s="5">
        <v>44477.625</v>
      </c>
      <c r="G648" s="19" t="str">
        <f t="shared" si="51"/>
        <v/>
      </c>
      <c r="J648" s="28">
        <f t="shared" si="52"/>
        <v>0.12241054613935964</v>
      </c>
      <c r="K648">
        <f t="shared" si="48"/>
        <v>4162</v>
      </c>
      <c r="L648" s="37">
        <f t="shared" si="49"/>
        <v>7959</v>
      </c>
    </row>
    <row r="649" spans="1:12">
      <c r="A649" s="3">
        <v>426</v>
      </c>
      <c r="B649" t="s">
        <v>695</v>
      </c>
      <c r="C649" t="s">
        <v>8</v>
      </c>
      <c r="E649" s="3">
        <f t="shared" si="50"/>
        <v>6</v>
      </c>
      <c r="F649" s="5">
        <v>44478.625</v>
      </c>
      <c r="G649" s="19" t="str">
        <f t="shared" si="51"/>
        <v/>
      </c>
      <c r="J649" s="28">
        <f t="shared" si="52"/>
        <v>0.19999999999999996</v>
      </c>
      <c r="K649">
        <f t="shared" si="48"/>
        <v>4233</v>
      </c>
      <c r="L649" s="37">
        <f t="shared" si="49"/>
        <v>8087</v>
      </c>
    </row>
    <row r="650" spans="1:12">
      <c r="A650" s="3">
        <v>399</v>
      </c>
      <c r="B650" t="s">
        <v>696</v>
      </c>
      <c r="C650" t="s">
        <v>8</v>
      </c>
      <c r="E650" s="3">
        <f t="shared" si="50"/>
        <v>7</v>
      </c>
      <c r="F650" s="5">
        <v>44479.625</v>
      </c>
      <c r="G650" s="19" t="str">
        <f t="shared" si="51"/>
        <v/>
      </c>
      <c r="J650" s="28">
        <f t="shared" si="52"/>
        <v>4.1775456919060039E-2</v>
      </c>
      <c r="K650">
        <f t="shared" si="48"/>
        <v>4249</v>
      </c>
      <c r="L650" s="37">
        <f t="shared" si="49"/>
        <v>8132</v>
      </c>
    </row>
    <row r="651" spans="1:12">
      <c r="A651" s="14">
        <v>691</v>
      </c>
      <c r="B651" t="s">
        <v>697</v>
      </c>
      <c r="C651" t="s">
        <v>8</v>
      </c>
      <c r="E651" s="3">
        <f t="shared" si="50"/>
        <v>1</v>
      </c>
      <c r="F651" s="5">
        <v>44480.625</v>
      </c>
      <c r="G651" s="19" t="str">
        <f t="shared" si="51"/>
        <v>2021-W41</v>
      </c>
      <c r="H651">
        <f>SUM(A651:A657)</f>
        <v>3722</v>
      </c>
      <c r="I651" s="28">
        <f>H651/H644-1</f>
        <v>-0.12402918333725588</v>
      </c>
      <c r="J651" s="28">
        <f t="shared" si="52"/>
        <v>-6.8733153638814048E-2</v>
      </c>
      <c r="K651">
        <f t="shared" si="48"/>
        <v>4198</v>
      </c>
      <c r="L651" s="37">
        <f t="shared" si="49"/>
        <v>8139</v>
      </c>
    </row>
    <row r="652" spans="1:12">
      <c r="A652" s="3">
        <v>610</v>
      </c>
      <c r="B652" t="s">
        <v>698</v>
      </c>
      <c r="C652" t="s">
        <v>8</v>
      </c>
      <c r="E652" s="3">
        <f t="shared" si="50"/>
        <v>2</v>
      </c>
      <c r="F652" s="5">
        <v>44481.625</v>
      </c>
      <c r="G652" s="19" t="str">
        <f t="shared" si="51"/>
        <v/>
      </c>
      <c r="J652" s="28">
        <f t="shared" si="52"/>
        <v>-0.16323731138545949</v>
      </c>
      <c r="K652">
        <f t="shared" si="48"/>
        <v>4079</v>
      </c>
      <c r="L652" s="37">
        <f t="shared" si="49"/>
        <v>8106</v>
      </c>
    </row>
    <row r="653" spans="1:12">
      <c r="A653" s="3">
        <v>638</v>
      </c>
      <c r="B653" t="s">
        <v>699</v>
      </c>
      <c r="C653" t="s">
        <v>8</v>
      </c>
      <c r="E653" s="3">
        <f t="shared" si="50"/>
        <v>3</v>
      </c>
      <c r="F653" s="5">
        <v>44482.625</v>
      </c>
      <c r="G653" s="19" t="str">
        <f t="shared" si="51"/>
        <v/>
      </c>
      <c r="J653" s="28">
        <f t="shared" si="52"/>
        <v>-0.14477211796246647</v>
      </c>
      <c r="K653">
        <f t="shared" si="48"/>
        <v>3971</v>
      </c>
      <c r="L653" s="37">
        <f t="shared" si="49"/>
        <v>8075</v>
      </c>
    </row>
    <row r="654" spans="1:12">
      <c r="A654" s="3">
        <v>557</v>
      </c>
      <c r="B654" t="s">
        <v>700</v>
      </c>
      <c r="C654" t="s">
        <v>8</v>
      </c>
      <c r="E654" s="3">
        <f t="shared" si="50"/>
        <v>4</v>
      </c>
      <c r="F654" s="5">
        <v>44483.625</v>
      </c>
      <c r="G654" s="19" t="str">
        <f t="shared" si="51"/>
        <v/>
      </c>
      <c r="J654" s="28">
        <f t="shared" si="52"/>
        <v>-8.8379705400981945E-2</v>
      </c>
      <c r="K654">
        <f t="shared" si="48"/>
        <v>3917</v>
      </c>
      <c r="L654" s="37">
        <f t="shared" si="49"/>
        <v>8014</v>
      </c>
    </row>
    <row r="655" spans="1:12">
      <c r="A655" s="3">
        <v>562</v>
      </c>
      <c r="B655" t="s">
        <v>701</v>
      </c>
      <c r="C655" t="s">
        <v>8</v>
      </c>
      <c r="E655" s="3">
        <f t="shared" si="50"/>
        <v>5</v>
      </c>
      <c r="F655" s="5">
        <v>44484.625</v>
      </c>
      <c r="G655" s="19" t="str">
        <f t="shared" si="51"/>
        <v/>
      </c>
      <c r="J655" s="28">
        <f t="shared" si="52"/>
        <v>-5.7046979865771785E-2</v>
      </c>
      <c r="K655">
        <f t="shared" si="48"/>
        <v>3883</v>
      </c>
      <c r="L655" s="37">
        <f t="shared" si="49"/>
        <v>8045</v>
      </c>
    </row>
    <row r="656" spans="1:12">
      <c r="A656" s="3">
        <v>344</v>
      </c>
      <c r="B656" t="s">
        <v>702</v>
      </c>
      <c r="C656" t="s">
        <v>8</v>
      </c>
      <c r="E656" s="3">
        <f t="shared" si="50"/>
        <v>6</v>
      </c>
      <c r="F656" s="5">
        <v>44485.625</v>
      </c>
      <c r="G656" s="19" t="str">
        <f t="shared" si="51"/>
        <v/>
      </c>
      <c r="J656" s="28">
        <f t="shared" si="52"/>
        <v>-0.19248826291079812</v>
      </c>
      <c r="K656">
        <f t="shared" si="48"/>
        <v>3801</v>
      </c>
      <c r="L656" s="37">
        <f t="shared" si="49"/>
        <v>8034</v>
      </c>
    </row>
    <row r="657" spans="1:12">
      <c r="A657" s="3">
        <v>320</v>
      </c>
      <c r="B657" t="s">
        <v>703</v>
      </c>
      <c r="C657" t="s">
        <v>8</v>
      </c>
      <c r="E657" s="3">
        <f t="shared" si="50"/>
        <v>7</v>
      </c>
      <c r="F657" s="5">
        <v>44486.625</v>
      </c>
      <c r="G657" s="19" t="str">
        <f t="shared" si="51"/>
        <v/>
      </c>
      <c r="J657" s="28">
        <f t="shared" si="52"/>
        <v>-0.19799498746867172</v>
      </c>
      <c r="K657">
        <f t="shared" si="48"/>
        <v>3722</v>
      </c>
      <c r="L657" s="37">
        <f t="shared" si="49"/>
        <v>7971</v>
      </c>
    </row>
    <row r="658" spans="1:12">
      <c r="A658" s="14">
        <v>661</v>
      </c>
      <c r="B658" t="s">
        <v>704</v>
      </c>
      <c r="C658" t="s">
        <v>8</v>
      </c>
      <c r="E658" s="3">
        <f t="shared" si="50"/>
        <v>1</v>
      </c>
      <c r="F658" s="5">
        <v>44487.625</v>
      </c>
      <c r="G658" s="19" t="str">
        <f t="shared" si="51"/>
        <v>2021-W42</v>
      </c>
      <c r="H658">
        <f>SUM(A658:A664)</f>
        <v>3693</v>
      </c>
      <c r="I658" s="28">
        <f>H658/H651-1</f>
        <v>-7.7915099408919497E-3</v>
      </c>
      <c r="J658" s="28">
        <f t="shared" si="52"/>
        <v>-4.3415340086830678E-2</v>
      </c>
      <c r="K658">
        <f t="shared" si="48"/>
        <v>3692</v>
      </c>
      <c r="L658" s="37">
        <f t="shared" si="49"/>
        <v>7890</v>
      </c>
    </row>
    <row r="659" spans="1:12">
      <c r="A659" s="3">
        <v>550</v>
      </c>
      <c r="B659" t="s">
        <v>705</v>
      </c>
      <c r="C659" t="s">
        <v>8</v>
      </c>
      <c r="E659" s="3">
        <f t="shared" si="50"/>
        <v>2</v>
      </c>
      <c r="F659" s="5">
        <v>44488.625</v>
      </c>
      <c r="G659" s="19" t="str">
        <f t="shared" si="51"/>
        <v/>
      </c>
      <c r="J659" s="28">
        <f t="shared" si="52"/>
        <v>-9.8360655737704916E-2</v>
      </c>
      <c r="K659">
        <f t="shared" si="48"/>
        <v>3632</v>
      </c>
      <c r="L659" s="37">
        <f t="shared" si="49"/>
        <v>7711</v>
      </c>
    </row>
    <row r="660" spans="1:12">
      <c r="A660" s="3">
        <v>516</v>
      </c>
      <c r="B660" t="s">
        <v>706</v>
      </c>
      <c r="C660" t="s">
        <v>8</v>
      </c>
      <c r="E660" s="3">
        <f t="shared" si="50"/>
        <v>3</v>
      </c>
      <c r="F660" s="5">
        <v>44489.625</v>
      </c>
      <c r="G660" s="19" t="str">
        <f t="shared" si="51"/>
        <v/>
      </c>
      <c r="J660" s="28">
        <f t="shared" si="52"/>
        <v>-0.19122257053291536</v>
      </c>
      <c r="K660">
        <f t="shared" si="48"/>
        <v>3510</v>
      </c>
      <c r="L660" s="37">
        <f t="shared" si="49"/>
        <v>7481</v>
      </c>
    </row>
    <row r="661" spans="1:12">
      <c r="A661" s="3">
        <v>623</v>
      </c>
      <c r="B661" t="s">
        <v>707</v>
      </c>
      <c r="C661" t="s">
        <v>8</v>
      </c>
      <c r="E661" s="3">
        <f t="shared" si="50"/>
        <v>4</v>
      </c>
      <c r="F661" s="5">
        <v>44490.625</v>
      </c>
      <c r="G661" s="19" t="str">
        <f t="shared" si="51"/>
        <v/>
      </c>
      <c r="J661" s="28">
        <f t="shared" si="52"/>
        <v>0.11849192100538608</v>
      </c>
      <c r="K661">
        <f t="shared" ref="K661:K724" si="53">SUM(A655:A661)</f>
        <v>3576</v>
      </c>
      <c r="L661" s="37">
        <f t="shared" ref="L661:L678" si="54">SUM(A648:A661)</f>
        <v>7493</v>
      </c>
    </row>
    <row r="662" spans="1:12">
      <c r="A662" s="3">
        <v>580</v>
      </c>
      <c r="B662" t="s">
        <v>708</v>
      </c>
      <c r="C662" t="s">
        <v>8</v>
      </c>
      <c r="E662" s="3">
        <f t="shared" si="50"/>
        <v>5</v>
      </c>
      <c r="F662" s="5">
        <v>44491.625</v>
      </c>
      <c r="G662" s="19" t="str">
        <f t="shared" si="51"/>
        <v/>
      </c>
      <c r="J662" s="28">
        <f t="shared" si="52"/>
        <v>3.2028469750889688E-2</v>
      </c>
      <c r="K662">
        <f t="shared" si="53"/>
        <v>3594</v>
      </c>
      <c r="L662" s="37">
        <f t="shared" si="54"/>
        <v>7477</v>
      </c>
    </row>
    <row r="663" spans="1:12">
      <c r="A663" s="3">
        <v>374</v>
      </c>
      <c r="B663" t="s">
        <v>709</v>
      </c>
      <c r="C663" t="s">
        <v>8</v>
      </c>
      <c r="E663" s="3">
        <f t="shared" si="50"/>
        <v>6</v>
      </c>
      <c r="F663" s="5">
        <v>44492.625</v>
      </c>
      <c r="G663" s="19" t="str">
        <f t="shared" si="51"/>
        <v/>
      </c>
      <c r="J663" s="28">
        <f t="shared" si="52"/>
        <v>8.7209302325581328E-2</v>
      </c>
      <c r="K663">
        <f t="shared" si="53"/>
        <v>3624</v>
      </c>
      <c r="L663" s="37">
        <f t="shared" si="54"/>
        <v>7425</v>
      </c>
    </row>
    <row r="664" spans="1:12">
      <c r="A664" s="3">
        <v>389</v>
      </c>
      <c r="B664" t="s">
        <v>710</v>
      </c>
      <c r="C664" t="s">
        <v>8</v>
      </c>
      <c r="E664" s="3">
        <f t="shared" si="50"/>
        <v>7</v>
      </c>
      <c r="F664" s="5">
        <v>44493.625</v>
      </c>
      <c r="G664" s="19" t="str">
        <f t="shared" si="51"/>
        <v/>
      </c>
      <c r="J664" s="28">
        <f t="shared" si="52"/>
        <v>0.21562499999999996</v>
      </c>
      <c r="K664">
        <f t="shared" si="53"/>
        <v>3693</v>
      </c>
      <c r="L664" s="37">
        <f t="shared" si="54"/>
        <v>7415</v>
      </c>
    </row>
    <row r="665" spans="1:12" s="41" customFormat="1">
      <c r="A665" s="50">
        <v>793</v>
      </c>
      <c r="B665" s="41" t="s">
        <v>711</v>
      </c>
      <c r="C665" s="41" t="s">
        <v>8</v>
      </c>
      <c r="E665" s="40">
        <f t="shared" si="50"/>
        <v>1</v>
      </c>
      <c r="F665" s="42">
        <v>44494.625</v>
      </c>
      <c r="G665" s="43" t="str">
        <f t="shared" si="51"/>
        <v>2021-W43</v>
      </c>
      <c r="H665" s="41">
        <f>SUM(A665:A671)</f>
        <v>4198</v>
      </c>
      <c r="I665" s="44">
        <f>H665/H658-1</f>
        <v>0.13674519360953163</v>
      </c>
      <c r="J665" s="44">
        <f t="shared" si="52"/>
        <v>0.19969742813918301</v>
      </c>
      <c r="K665" s="41">
        <f t="shared" si="53"/>
        <v>3825</v>
      </c>
      <c r="L665" s="54">
        <f t="shared" si="54"/>
        <v>7517</v>
      </c>
    </row>
    <row r="666" spans="1:12">
      <c r="A666" s="3">
        <v>679</v>
      </c>
      <c r="B666" t="s">
        <v>712</v>
      </c>
      <c r="C666" t="s">
        <v>8</v>
      </c>
      <c r="E666" s="3">
        <f t="shared" si="50"/>
        <v>2</v>
      </c>
      <c r="F666" s="5">
        <v>44495.625</v>
      </c>
      <c r="G666" s="19" t="str">
        <f t="shared" si="51"/>
        <v/>
      </c>
      <c r="J666" s="28">
        <f t="shared" si="52"/>
        <v>0.23454545454545461</v>
      </c>
      <c r="K666">
        <f t="shared" si="53"/>
        <v>3954</v>
      </c>
      <c r="L666" s="37">
        <f t="shared" si="54"/>
        <v>7586</v>
      </c>
    </row>
    <row r="667" spans="1:12">
      <c r="A667" s="3">
        <v>640</v>
      </c>
      <c r="B667" t="s">
        <v>713</v>
      </c>
      <c r="C667" t="s">
        <v>8</v>
      </c>
      <c r="E667" s="3">
        <f t="shared" si="50"/>
        <v>3</v>
      </c>
      <c r="F667" s="5">
        <v>44496.625</v>
      </c>
      <c r="G667" s="19" t="str">
        <f t="shared" si="51"/>
        <v/>
      </c>
      <c r="J667" s="28">
        <f t="shared" si="52"/>
        <v>0.24031007751937983</v>
      </c>
      <c r="K667">
        <f t="shared" si="53"/>
        <v>4078</v>
      </c>
      <c r="L667" s="37">
        <f t="shared" si="54"/>
        <v>7588</v>
      </c>
    </row>
    <row r="668" spans="1:12">
      <c r="A668" s="3">
        <v>589</v>
      </c>
      <c r="B668" t="s">
        <v>714</v>
      </c>
      <c r="C668" t="s">
        <v>8</v>
      </c>
      <c r="E668" s="3">
        <f t="shared" si="50"/>
        <v>4</v>
      </c>
      <c r="F668" s="5">
        <v>44497.625</v>
      </c>
      <c r="G668" s="19" t="str">
        <f t="shared" si="51"/>
        <v/>
      </c>
      <c r="J668" s="28">
        <f t="shared" si="52"/>
        <v>-5.4574638844301804E-2</v>
      </c>
      <c r="K668">
        <f t="shared" si="53"/>
        <v>4044</v>
      </c>
      <c r="L668" s="37">
        <f t="shared" si="54"/>
        <v>7620</v>
      </c>
    </row>
    <row r="669" spans="1:12">
      <c r="A669" s="3">
        <v>656</v>
      </c>
      <c r="B669" t="s">
        <v>715</v>
      </c>
      <c r="C669" t="s">
        <v>8</v>
      </c>
      <c r="E669" s="3">
        <f t="shared" si="50"/>
        <v>5</v>
      </c>
      <c r="F669" s="5">
        <v>44498.625</v>
      </c>
      <c r="G669" s="19" t="str">
        <f t="shared" si="51"/>
        <v/>
      </c>
      <c r="J669" s="28">
        <f t="shared" si="52"/>
        <v>0.13103448275862073</v>
      </c>
      <c r="K669">
        <f t="shared" si="53"/>
        <v>4120</v>
      </c>
      <c r="L669" s="37">
        <f t="shared" si="54"/>
        <v>7714</v>
      </c>
    </row>
    <row r="670" spans="1:12">
      <c r="A670" s="3">
        <v>402</v>
      </c>
      <c r="B670" t="s">
        <v>716</v>
      </c>
      <c r="C670" t="s">
        <v>8</v>
      </c>
      <c r="E670" s="3">
        <f t="shared" si="50"/>
        <v>6</v>
      </c>
      <c r="F670" s="5">
        <v>44499.625</v>
      </c>
      <c r="G670" s="19" t="str">
        <f t="shared" si="51"/>
        <v/>
      </c>
      <c r="J670" s="28">
        <f t="shared" si="52"/>
        <v>7.4866310160427885E-2</v>
      </c>
      <c r="K670">
        <f t="shared" si="53"/>
        <v>4148</v>
      </c>
      <c r="L670" s="37">
        <f t="shared" si="54"/>
        <v>7772</v>
      </c>
    </row>
    <row r="671" spans="1:12">
      <c r="A671" s="3">
        <v>439</v>
      </c>
      <c r="B671" t="s">
        <v>717</v>
      </c>
      <c r="C671" t="s">
        <v>8</v>
      </c>
      <c r="E671" s="3">
        <f t="shared" si="50"/>
        <v>7</v>
      </c>
      <c r="F671" s="5">
        <v>44500.625</v>
      </c>
      <c r="G671" s="19" t="str">
        <f t="shared" si="51"/>
        <v/>
      </c>
      <c r="J671" s="28">
        <f t="shared" si="52"/>
        <v>0.12853470437017989</v>
      </c>
      <c r="K671">
        <f t="shared" si="53"/>
        <v>4198</v>
      </c>
      <c r="L671" s="37">
        <f t="shared" si="54"/>
        <v>7891</v>
      </c>
    </row>
    <row r="672" spans="1:12" s="41" customFormat="1">
      <c r="A672" s="40">
        <v>973</v>
      </c>
      <c r="B672" s="41" t="s">
        <v>718</v>
      </c>
      <c r="C672" s="41" t="s">
        <v>8</v>
      </c>
      <c r="E672" s="40">
        <f t="shared" si="50"/>
        <v>1</v>
      </c>
      <c r="F672" s="42">
        <v>44501.625</v>
      </c>
      <c r="G672" s="43" t="str">
        <f t="shared" si="51"/>
        <v>2021-W44</v>
      </c>
      <c r="H672" s="41">
        <f>SUM(A672:A678)</f>
        <v>5168</v>
      </c>
      <c r="I672" s="44">
        <f>H672/H665-1</f>
        <v>0.23106241067174849</v>
      </c>
      <c r="J672" s="44">
        <f t="shared" si="52"/>
        <v>0.22698612862547285</v>
      </c>
      <c r="K672" s="41">
        <f t="shared" si="53"/>
        <v>4378</v>
      </c>
      <c r="L672" s="37">
        <f t="shared" si="54"/>
        <v>8203</v>
      </c>
    </row>
    <row r="673" spans="1:12">
      <c r="A673" s="3">
        <v>756</v>
      </c>
      <c r="B673" t="s">
        <v>719</v>
      </c>
      <c r="C673" t="s">
        <v>8</v>
      </c>
      <c r="E673" s="3">
        <f t="shared" si="50"/>
        <v>2</v>
      </c>
      <c r="F673" s="5">
        <v>44502.625</v>
      </c>
      <c r="G673" s="19" t="str">
        <f t="shared" si="51"/>
        <v/>
      </c>
      <c r="J673" s="28">
        <f t="shared" si="52"/>
        <v>0.11340206185567014</v>
      </c>
      <c r="K673">
        <f t="shared" si="53"/>
        <v>4455</v>
      </c>
      <c r="L673" s="37">
        <f t="shared" si="54"/>
        <v>8409</v>
      </c>
    </row>
    <row r="674" spans="1:12">
      <c r="A674" s="3">
        <v>770</v>
      </c>
      <c r="B674" t="s">
        <v>720</v>
      </c>
      <c r="C674" t="s">
        <v>8</v>
      </c>
      <c r="E674" s="3">
        <f t="shared" si="50"/>
        <v>3</v>
      </c>
      <c r="F674" s="5">
        <v>44503.625</v>
      </c>
      <c r="G674" s="19" t="str">
        <f t="shared" si="51"/>
        <v/>
      </c>
      <c r="J674" s="28">
        <f t="shared" si="52"/>
        <v>0.203125</v>
      </c>
      <c r="K674">
        <f t="shared" si="53"/>
        <v>4585</v>
      </c>
      <c r="L674" s="37">
        <f t="shared" si="54"/>
        <v>8663</v>
      </c>
    </row>
    <row r="675" spans="1:12">
      <c r="A675" s="3">
        <v>804</v>
      </c>
      <c r="B675" t="s">
        <v>721</v>
      </c>
      <c r="C675" t="s">
        <v>8</v>
      </c>
      <c r="E675" s="3">
        <f t="shared" si="50"/>
        <v>4</v>
      </c>
      <c r="F675" s="5">
        <v>44504.625</v>
      </c>
      <c r="G675" s="19" t="str">
        <f t="shared" si="51"/>
        <v/>
      </c>
      <c r="J675" s="28">
        <f t="shared" si="52"/>
        <v>0.36502546689303905</v>
      </c>
      <c r="K675">
        <f t="shared" si="53"/>
        <v>4800</v>
      </c>
      <c r="L675" s="37">
        <f t="shared" si="54"/>
        <v>8844</v>
      </c>
    </row>
    <row r="676" spans="1:12">
      <c r="A676" s="3">
        <v>843</v>
      </c>
      <c r="B676" t="s">
        <v>722</v>
      </c>
      <c r="C676" t="s">
        <v>8</v>
      </c>
      <c r="E676" s="3">
        <f t="shared" si="50"/>
        <v>5</v>
      </c>
      <c r="F676" s="5">
        <v>44505.625</v>
      </c>
      <c r="G676" s="19" t="str">
        <f t="shared" si="51"/>
        <v/>
      </c>
      <c r="J676" s="28">
        <f t="shared" si="52"/>
        <v>0.28506097560975618</v>
      </c>
      <c r="K676">
        <f t="shared" si="53"/>
        <v>4987</v>
      </c>
      <c r="L676" s="37">
        <f t="shared" si="54"/>
        <v>9107</v>
      </c>
    </row>
    <row r="677" spans="1:12">
      <c r="A677" s="3">
        <v>514</v>
      </c>
      <c r="B677" t="s">
        <v>723</v>
      </c>
      <c r="C677" t="s">
        <v>8</v>
      </c>
      <c r="E677" s="3">
        <f t="shared" si="50"/>
        <v>6</v>
      </c>
      <c r="F677" s="5">
        <v>44506.625</v>
      </c>
      <c r="G677" s="19" t="str">
        <f t="shared" si="51"/>
        <v/>
      </c>
      <c r="J677" s="28">
        <f t="shared" si="52"/>
        <v>0.27860696517412942</v>
      </c>
      <c r="K677">
        <f t="shared" si="53"/>
        <v>5099</v>
      </c>
      <c r="L677" s="37">
        <f t="shared" si="54"/>
        <v>9247</v>
      </c>
    </row>
    <row r="678" spans="1:12">
      <c r="A678" s="3">
        <v>508</v>
      </c>
      <c r="B678" t="s">
        <v>724</v>
      </c>
      <c r="C678" t="s">
        <v>8</v>
      </c>
      <c r="E678" s="3">
        <f t="shared" si="50"/>
        <v>7</v>
      </c>
      <c r="F678" s="5">
        <v>44507.625</v>
      </c>
      <c r="G678" s="19" t="str">
        <f t="shared" si="51"/>
        <v/>
      </c>
      <c r="J678" s="28">
        <f t="shared" si="52"/>
        <v>0.15717539863325736</v>
      </c>
      <c r="K678">
        <f t="shared" si="53"/>
        <v>5168</v>
      </c>
      <c r="L678" s="37">
        <f t="shared" si="54"/>
        <v>9366</v>
      </c>
    </row>
    <row r="679" spans="1:12" s="41" customFormat="1">
      <c r="A679" s="40">
        <v>1121</v>
      </c>
      <c r="B679" s="41" t="s">
        <v>725</v>
      </c>
      <c r="C679" s="41" t="s">
        <v>8</v>
      </c>
      <c r="E679" s="40">
        <f t="shared" si="50"/>
        <v>1</v>
      </c>
      <c r="F679" s="42">
        <v>44508.625</v>
      </c>
      <c r="G679" s="43" t="str">
        <f t="shared" si="51"/>
        <v>2021-W45</v>
      </c>
      <c r="H679" s="41">
        <f>SUM(A679:A685)</f>
        <v>5994</v>
      </c>
      <c r="I679" s="44">
        <f>H679/H672-1</f>
        <v>0.15982972136222906</v>
      </c>
      <c r="J679" s="44">
        <f t="shared" si="52"/>
        <v>0.15210688591983557</v>
      </c>
      <c r="K679" s="41">
        <f t="shared" si="53"/>
        <v>5316</v>
      </c>
      <c r="L679" s="54">
        <f>SUM(A666:A679)</f>
        <v>9694</v>
      </c>
    </row>
    <row r="680" spans="1:12">
      <c r="A680" s="3">
        <v>833</v>
      </c>
      <c r="B680" t="s">
        <v>726</v>
      </c>
      <c r="C680" t="s">
        <v>8</v>
      </c>
      <c r="E680" s="3">
        <f t="shared" si="50"/>
        <v>2</v>
      </c>
      <c r="F680" s="5">
        <v>44509.625</v>
      </c>
      <c r="G680" s="19" t="str">
        <f t="shared" si="51"/>
        <v/>
      </c>
      <c r="J680" s="28">
        <f t="shared" si="52"/>
        <v>0.10185185185185186</v>
      </c>
      <c r="K680">
        <f t="shared" si="53"/>
        <v>5393</v>
      </c>
      <c r="L680" s="37">
        <f t="shared" ref="L680:L743" si="55">SUM(A667:A680)</f>
        <v>9848</v>
      </c>
    </row>
    <row r="681" spans="1:12">
      <c r="A681" s="3">
        <v>968</v>
      </c>
      <c r="B681" t="s">
        <v>727</v>
      </c>
      <c r="C681" t="s">
        <v>8</v>
      </c>
      <c r="E681" s="3">
        <f t="shared" si="50"/>
        <v>3</v>
      </c>
      <c r="F681" s="5">
        <v>44510.625</v>
      </c>
      <c r="G681" s="19" t="str">
        <f t="shared" si="51"/>
        <v/>
      </c>
      <c r="J681" s="28">
        <f t="shared" si="52"/>
        <v>0.25714285714285712</v>
      </c>
      <c r="K681">
        <f t="shared" si="53"/>
        <v>5591</v>
      </c>
      <c r="L681" s="37">
        <f t="shared" si="55"/>
        <v>10176</v>
      </c>
    </row>
    <row r="682" spans="1:12">
      <c r="A682" s="3">
        <v>934</v>
      </c>
      <c r="B682" t="s">
        <v>728</v>
      </c>
      <c r="C682" t="s">
        <v>8</v>
      </c>
      <c r="E682" s="3">
        <f t="shared" si="50"/>
        <v>4</v>
      </c>
      <c r="F682" s="5">
        <v>44511.625</v>
      </c>
      <c r="G682" s="19" t="str">
        <f t="shared" si="51"/>
        <v/>
      </c>
      <c r="J682" s="28">
        <f t="shared" si="52"/>
        <v>0.1616915422885572</v>
      </c>
      <c r="K682">
        <f t="shared" si="53"/>
        <v>5721</v>
      </c>
      <c r="L682" s="37">
        <f t="shared" si="55"/>
        <v>10521</v>
      </c>
    </row>
    <row r="683" spans="1:12">
      <c r="A683" s="3">
        <v>946</v>
      </c>
      <c r="B683" t="s">
        <v>729</v>
      </c>
      <c r="C683" t="s">
        <v>8</v>
      </c>
      <c r="E683" s="3">
        <f t="shared" si="50"/>
        <v>5</v>
      </c>
      <c r="F683" s="5">
        <v>44512.625</v>
      </c>
      <c r="G683" s="19" t="str">
        <f t="shared" si="51"/>
        <v/>
      </c>
      <c r="J683" s="28">
        <f t="shared" si="52"/>
        <v>0.12218268090154205</v>
      </c>
      <c r="K683">
        <f t="shared" si="53"/>
        <v>5824</v>
      </c>
      <c r="L683" s="37">
        <f t="shared" si="55"/>
        <v>10811</v>
      </c>
    </row>
    <row r="684" spans="1:12">
      <c r="A684" s="3">
        <v>620</v>
      </c>
      <c r="B684" t="s">
        <v>730</v>
      </c>
      <c r="C684" t="s">
        <v>8</v>
      </c>
      <c r="E684" s="3">
        <f t="shared" si="50"/>
        <v>6</v>
      </c>
      <c r="F684" s="5">
        <v>44513.625</v>
      </c>
      <c r="G684" s="19" t="str">
        <f t="shared" si="51"/>
        <v/>
      </c>
      <c r="J684" s="28">
        <f t="shared" si="52"/>
        <v>0.20622568093385207</v>
      </c>
      <c r="K684">
        <f t="shared" si="53"/>
        <v>5930</v>
      </c>
      <c r="L684" s="37">
        <f t="shared" si="55"/>
        <v>11029</v>
      </c>
    </row>
    <row r="685" spans="1:12">
      <c r="A685" s="3">
        <v>572</v>
      </c>
      <c r="B685" t="s">
        <v>731</v>
      </c>
      <c r="C685" t="s">
        <v>8</v>
      </c>
      <c r="E685" s="3">
        <f t="shared" si="50"/>
        <v>7</v>
      </c>
      <c r="F685" s="5">
        <v>44514.625</v>
      </c>
      <c r="G685" s="19" t="str">
        <f t="shared" si="51"/>
        <v/>
      </c>
      <c r="J685" s="28">
        <f t="shared" si="52"/>
        <v>0.12598425196850394</v>
      </c>
      <c r="K685">
        <f t="shared" si="53"/>
        <v>5994</v>
      </c>
      <c r="L685" s="37">
        <f t="shared" si="55"/>
        <v>11162</v>
      </c>
    </row>
    <row r="686" spans="1:12" s="41" customFormat="1">
      <c r="A686" s="40">
        <v>1252</v>
      </c>
      <c r="B686" s="41" t="s">
        <v>732</v>
      </c>
      <c r="C686" s="41" t="s">
        <v>8</v>
      </c>
      <c r="E686" s="40">
        <f t="shared" si="50"/>
        <v>1</v>
      </c>
      <c r="F686" s="42">
        <v>44515.625</v>
      </c>
      <c r="G686" s="43" t="str">
        <f t="shared" si="51"/>
        <v>2021-W46</v>
      </c>
      <c r="H686" s="41">
        <f>SUM(A686:A692)</f>
        <v>7489</v>
      </c>
      <c r="I686" s="44">
        <f>H686/H679-1</f>
        <v>0.24941608274941607</v>
      </c>
      <c r="J686" s="44">
        <f t="shared" si="52"/>
        <v>0.11685994647636044</v>
      </c>
      <c r="K686" s="41">
        <f t="shared" si="53"/>
        <v>6125</v>
      </c>
      <c r="L686" s="54">
        <f t="shared" si="55"/>
        <v>11441</v>
      </c>
    </row>
    <row r="687" spans="1:12">
      <c r="A687" s="3">
        <v>1199</v>
      </c>
      <c r="B687" t="s">
        <v>733</v>
      </c>
      <c r="C687" t="s">
        <v>8</v>
      </c>
      <c r="E687" s="3">
        <f t="shared" si="50"/>
        <v>2</v>
      </c>
      <c r="F687" s="5">
        <v>44516.625</v>
      </c>
      <c r="G687" s="19" t="str">
        <f t="shared" si="51"/>
        <v/>
      </c>
      <c r="J687" s="28">
        <f t="shared" si="52"/>
        <v>0.4393757503001201</v>
      </c>
      <c r="K687">
        <f t="shared" si="53"/>
        <v>6491</v>
      </c>
      <c r="L687" s="37">
        <f t="shared" si="55"/>
        <v>11884</v>
      </c>
    </row>
    <row r="688" spans="1:12">
      <c r="A688" s="3">
        <v>1168</v>
      </c>
      <c r="B688" t="s">
        <v>734</v>
      </c>
      <c r="C688" t="s">
        <v>8</v>
      </c>
      <c r="E688" s="3">
        <f t="shared" si="50"/>
        <v>3</v>
      </c>
      <c r="F688" s="5">
        <v>44517.625</v>
      </c>
      <c r="G688" s="19" t="str">
        <f t="shared" si="51"/>
        <v/>
      </c>
      <c r="J688" s="28">
        <f t="shared" si="52"/>
        <v>0.20661157024793386</v>
      </c>
      <c r="K688">
        <f t="shared" si="53"/>
        <v>6691</v>
      </c>
      <c r="L688" s="37">
        <f t="shared" si="55"/>
        <v>12282</v>
      </c>
    </row>
    <row r="689" spans="1:12">
      <c r="A689" s="3">
        <v>1213</v>
      </c>
      <c r="B689" t="s">
        <v>735</v>
      </c>
      <c r="C689" t="s">
        <v>8</v>
      </c>
      <c r="E689" s="3">
        <f t="shared" si="50"/>
        <v>4</v>
      </c>
      <c r="F689" s="5">
        <v>44518.625</v>
      </c>
      <c r="G689" s="19" t="str">
        <f t="shared" si="51"/>
        <v/>
      </c>
      <c r="J689" s="28">
        <f t="shared" si="52"/>
        <v>0.29871520342612423</v>
      </c>
      <c r="K689">
        <f t="shared" si="53"/>
        <v>6970</v>
      </c>
      <c r="L689" s="37">
        <f t="shared" si="55"/>
        <v>12691</v>
      </c>
    </row>
    <row r="690" spans="1:12">
      <c r="A690" s="3">
        <v>1273</v>
      </c>
      <c r="B690" t="s">
        <v>736</v>
      </c>
      <c r="C690" t="s">
        <v>8</v>
      </c>
      <c r="E690" s="3">
        <f t="shared" si="50"/>
        <v>5</v>
      </c>
      <c r="F690" s="5">
        <v>44519.625</v>
      </c>
      <c r="G690" s="19" t="str">
        <f t="shared" si="51"/>
        <v/>
      </c>
      <c r="J690" s="28">
        <f t="shared" si="52"/>
        <v>0.34566596194503174</v>
      </c>
      <c r="K690">
        <f t="shared" si="53"/>
        <v>7297</v>
      </c>
      <c r="L690" s="37">
        <f t="shared" si="55"/>
        <v>13121</v>
      </c>
    </row>
    <row r="691" spans="1:12">
      <c r="A691" s="3">
        <v>709</v>
      </c>
      <c r="B691" t="s">
        <v>737</v>
      </c>
      <c r="C691" t="s">
        <v>8</v>
      </c>
      <c r="E691" s="3">
        <f t="shared" si="50"/>
        <v>6</v>
      </c>
      <c r="F691" s="5">
        <v>44520.625</v>
      </c>
      <c r="G691" s="19" t="str">
        <f t="shared" si="51"/>
        <v/>
      </c>
      <c r="J691" s="28">
        <f t="shared" si="52"/>
        <v>0.1435483870967742</v>
      </c>
      <c r="K691">
        <f t="shared" si="53"/>
        <v>7386</v>
      </c>
      <c r="L691" s="37">
        <f t="shared" si="55"/>
        <v>13316</v>
      </c>
    </row>
    <row r="692" spans="1:12">
      <c r="A692" s="3">
        <v>675</v>
      </c>
      <c r="B692" t="s">
        <v>738</v>
      </c>
      <c r="C692" t="s">
        <v>8</v>
      </c>
      <c r="E692" s="3">
        <f t="shared" si="50"/>
        <v>7</v>
      </c>
      <c r="F692" s="5">
        <v>44521.625</v>
      </c>
      <c r="G692" s="19" t="str">
        <f t="shared" si="51"/>
        <v/>
      </c>
      <c r="J692" s="28">
        <f t="shared" si="52"/>
        <v>0.18006993006993</v>
      </c>
      <c r="K692">
        <f t="shared" si="53"/>
        <v>7489</v>
      </c>
      <c r="L692" s="37">
        <f t="shared" si="55"/>
        <v>13483</v>
      </c>
    </row>
    <row r="693" spans="1:12" s="41" customFormat="1">
      <c r="A693" s="40">
        <v>1416</v>
      </c>
      <c r="B693" s="41" t="s">
        <v>740</v>
      </c>
      <c r="C693" s="41" t="s">
        <v>8</v>
      </c>
      <c r="E693" s="40">
        <f t="shared" si="50"/>
        <v>1</v>
      </c>
      <c r="F693" s="42">
        <v>44522.625</v>
      </c>
      <c r="G693" s="43" t="str">
        <f t="shared" si="51"/>
        <v>2021-W47</v>
      </c>
      <c r="H693" s="41">
        <f>SUM(A693:A699)</f>
        <v>8145</v>
      </c>
      <c r="I693" s="44">
        <f>H693/H686-1</f>
        <v>8.7595139537989031E-2</v>
      </c>
      <c r="J693" s="44">
        <f t="shared" si="52"/>
        <v>0.13099041533546329</v>
      </c>
      <c r="K693" s="41">
        <f t="shared" si="53"/>
        <v>7653</v>
      </c>
      <c r="L693" s="54">
        <f t="shared" si="55"/>
        <v>13778</v>
      </c>
    </row>
    <row r="694" spans="1:12">
      <c r="A694" s="3">
        <v>1334</v>
      </c>
      <c r="B694" t="s">
        <v>741</v>
      </c>
      <c r="C694" t="s">
        <v>8</v>
      </c>
      <c r="E694" s="3">
        <f t="shared" si="50"/>
        <v>2</v>
      </c>
      <c r="F694" s="5">
        <v>44523.625</v>
      </c>
      <c r="G694" s="19" t="str">
        <f t="shared" si="51"/>
        <v/>
      </c>
      <c r="J694" s="28">
        <f t="shared" si="52"/>
        <v>0.1125938281901584</v>
      </c>
      <c r="K694">
        <f t="shared" si="53"/>
        <v>7788</v>
      </c>
      <c r="L694" s="37">
        <f t="shared" si="55"/>
        <v>14279</v>
      </c>
    </row>
    <row r="695" spans="1:12">
      <c r="A695" s="3">
        <v>1251</v>
      </c>
      <c r="B695" t="s">
        <v>742</v>
      </c>
      <c r="C695" t="s">
        <v>8</v>
      </c>
      <c r="E695" s="3">
        <f t="shared" si="50"/>
        <v>3</v>
      </c>
      <c r="F695" s="5">
        <v>44524.625</v>
      </c>
      <c r="G695" s="19" t="str">
        <f t="shared" si="51"/>
        <v/>
      </c>
      <c r="J695" s="28">
        <f t="shared" si="52"/>
        <v>7.1061643835616417E-2</v>
      </c>
      <c r="K695">
        <f t="shared" si="53"/>
        <v>7871</v>
      </c>
      <c r="L695" s="37">
        <f t="shared" si="55"/>
        <v>14562</v>
      </c>
    </row>
    <row r="696" spans="1:12">
      <c r="A696" s="3">
        <v>1269</v>
      </c>
      <c r="B696" t="s">
        <v>743</v>
      </c>
      <c r="C696" t="s">
        <v>8</v>
      </c>
      <c r="E696" s="3">
        <f t="shared" si="50"/>
        <v>4</v>
      </c>
      <c r="F696" s="5">
        <v>44525.625</v>
      </c>
      <c r="G696" s="19" t="str">
        <f t="shared" si="51"/>
        <v/>
      </c>
      <c r="J696" s="28">
        <f t="shared" si="52"/>
        <v>4.6166529266281842E-2</v>
      </c>
      <c r="K696">
        <f t="shared" si="53"/>
        <v>7927</v>
      </c>
      <c r="L696" s="37">
        <f t="shared" si="55"/>
        <v>14897</v>
      </c>
    </row>
    <row r="697" spans="1:12">
      <c r="A697" s="3">
        <v>1299</v>
      </c>
      <c r="B697" t="s">
        <v>744</v>
      </c>
      <c r="C697" t="s">
        <v>8</v>
      </c>
      <c r="E697" s="3">
        <f t="shared" si="50"/>
        <v>5</v>
      </c>
      <c r="F697" s="5">
        <v>44526.625</v>
      </c>
      <c r="G697" s="19" t="str">
        <f t="shared" si="51"/>
        <v/>
      </c>
      <c r="J697" s="28">
        <f t="shared" si="52"/>
        <v>2.0424194815396701E-2</v>
      </c>
      <c r="K697">
        <f t="shared" si="53"/>
        <v>7953</v>
      </c>
      <c r="L697" s="37">
        <f t="shared" si="55"/>
        <v>15250</v>
      </c>
    </row>
    <row r="698" spans="1:12">
      <c r="A698" s="3">
        <v>789</v>
      </c>
      <c r="B698" t="s">
        <v>745</v>
      </c>
      <c r="C698" t="s">
        <v>8</v>
      </c>
      <c r="E698" s="3">
        <f t="shared" si="50"/>
        <v>6</v>
      </c>
      <c r="F698" s="5">
        <v>44527.625</v>
      </c>
      <c r="G698" s="19" t="str">
        <f t="shared" si="51"/>
        <v/>
      </c>
      <c r="J698" s="28">
        <f t="shared" si="52"/>
        <v>0.11283497884344151</v>
      </c>
      <c r="K698">
        <f t="shared" si="53"/>
        <v>8033</v>
      </c>
      <c r="L698" s="37">
        <f t="shared" si="55"/>
        <v>15419</v>
      </c>
    </row>
    <row r="699" spans="1:12">
      <c r="A699" s="3">
        <v>787</v>
      </c>
      <c r="B699" t="s">
        <v>746</v>
      </c>
      <c r="C699" t="s">
        <v>8</v>
      </c>
      <c r="E699" s="3">
        <f t="shared" si="50"/>
        <v>7</v>
      </c>
      <c r="F699" s="5">
        <v>44528.625</v>
      </c>
      <c r="G699" s="19" t="str">
        <f t="shared" si="51"/>
        <v/>
      </c>
      <c r="J699" s="28">
        <f t="shared" si="52"/>
        <v>0.16592592592592603</v>
      </c>
      <c r="K699">
        <f t="shared" si="53"/>
        <v>8145</v>
      </c>
      <c r="L699" s="37">
        <f t="shared" si="55"/>
        <v>15634</v>
      </c>
    </row>
    <row r="700" spans="1:12" s="41" customFormat="1">
      <c r="A700" s="40">
        <v>1685</v>
      </c>
      <c r="B700" s="41" t="s">
        <v>747</v>
      </c>
      <c r="C700" s="41" t="s">
        <v>8</v>
      </c>
      <c r="E700" s="40">
        <f t="shared" si="50"/>
        <v>1</v>
      </c>
      <c r="F700" s="42">
        <v>44529.625</v>
      </c>
      <c r="G700" s="43" t="str">
        <f t="shared" si="51"/>
        <v>2021-W48</v>
      </c>
      <c r="H700" s="41">
        <f>SUM(A700:A706)</f>
        <v>9518</v>
      </c>
      <c r="I700" s="44">
        <f>H700/H693-1</f>
        <v>0.16856967464702266</v>
      </c>
      <c r="J700" s="44">
        <f t="shared" si="52"/>
        <v>0.18997175141242928</v>
      </c>
      <c r="K700" s="41">
        <f t="shared" si="53"/>
        <v>8414</v>
      </c>
      <c r="L700" s="54">
        <f t="shared" si="55"/>
        <v>16067</v>
      </c>
    </row>
    <row r="701" spans="1:12">
      <c r="A701" s="3">
        <v>1423</v>
      </c>
      <c r="B701" t="s">
        <v>748</v>
      </c>
      <c r="C701" t="s">
        <v>8</v>
      </c>
      <c r="E701" s="3">
        <f t="shared" si="50"/>
        <v>2</v>
      </c>
      <c r="F701" s="5">
        <v>44530.625</v>
      </c>
      <c r="G701" s="19" t="str">
        <f t="shared" si="51"/>
        <v/>
      </c>
      <c r="J701" s="28">
        <f t="shared" si="52"/>
        <v>6.6716641679160471E-2</v>
      </c>
      <c r="K701">
        <f t="shared" si="53"/>
        <v>8503</v>
      </c>
      <c r="L701" s="37">
        <f t="shared" si="55"/>
        <v>16291</v>
      </c>
    </row>
    <row r="702" spans="1:12">
      <c r="A702" s="3">
        <v>1442</v>
      </c>
      <c r="B702" t="s">
        <v>749</v>
      </c>
      <c r="C702" t="s">
        <v>8</v>
      </c>
      <c r="E702" s="3">
        <f t="shared" si="50"/>
        <v>3</v>
      </c>
      <c r="F702" s="5">
        <v>44531.625</v>
      </c>
      <c r="G702" s="19" t="str">
        <f t="shared" si="51"/>
        <v/>
      </c>
      <c r="J702" s="28">
        <f t="shared" si="52"/>
        <v>0.15267785771382902</v>
      </c>
      <c r="K702">
        <f t="shared" si="53"/>
        <v>8694</v>
      </c>
      <c r="L702" s="37">
        <f t="shared" si="55"/>
        <v>16565</v>
      </c>
    </row>
    <row r="703" spans="1:12">
      <c r="A703" s="3">
        <v>1464</v>
      </c>
      <c r="B703" t="s">
        <v>750</v>
      </c>
      <c r="C703" t="s">
        <v>8</v>
      </c>
      <c r="E703" s="3">
        <f t="shared" ref="E703:E766" si="56">WEEKDAY(F703,2)</f>
        <v>4</v>
      </c>
      <c r="F703" s="5">
        <v>44532.625</v>
      </c>
      <c r="G703" s="19" t="str">
        <f t="shared" si="51"/>
        <v/>
      </c>
      <c r="J703" s="28">
        <f t="shared" si="52"/>
        <v>0.15366430260047292</v>
      </c>
      <c r="K703">
        <f t="shared" si="53"/>
        <v>8889</v>
      </c>
      <c r="L703" s="37">
        <f t="shared" si="55"/>
        <v>16816</v>
      </c>
    </row>
    <row r="704" spans="1:12">
      <c r="A704" s="3">
        <v>1525</v>
      </c>
      <c r="B704" t="s">
        <v>751</v>
      </c>
      <c r="C704" t="s">
        <v>8</v>
      </c>
      <c r="E704" s="3">
        <f t="shared" si="56"/>
        <v>5</v>
      </c>
      <c r="F704" s="5">
        <v>44533.625</v>
      </c>
      <c r="G704" s="19" t="str">
        <f t="shared" si="51"/>
        <v/>
      </c>
      <c r="J704" s="28">
        <f t="shared" si="52"/>
        <v>0.17397998460354125</v>
      </c>
      <c r="K704">
        <f t="shared" si="53"/>
        <v>9115</v>
      </c>
      <c r="L704" s="37">
        <f t="shared" si="55"/>
        <v>17068</v>
      </c>
    </row>
    <row r="705" spans="1:12">
      <c r="A705" s="3">
        <v>976</v>
      </c>
      <c r="B705" t="s">
        <v>752</v>
      </c>
      <c r="C705" t="s">
        <v>8</v>
      </c>
      <c r="E705" s="3">
        <f t="shared" si="56"/>
        <v>6</v>
      </c>
      <c r="F705" s="5">
        <v>44534.625</v>
      </c>
      <c r="G705" s="19" t="str">
        <f t="shared" si="51"/>
        <v/>
      </c>
      <c r="J705" s="28">
        <f t="shared" si="52"/>
        <v>0.23700887198986065</v>
      </c>
      <c r="K705">
        <f t="shared" si="53"/>
        <v>9302</v>
      </c>
      <c r="L705" s="37">
        <f t="shared" si="55"/>
        <v>17335</v>
      </c>
    </row>
    <row r="706" spans="1:12">
      <c r="A706" s="3">
        <v>1003</v>
      </c>
      <c r="B706" t="s">
        <v>753</v>
      </c>
      <c r="C706" t="s">
        <v>8</v>
      </c>
      <c r="E706" s="3">
        <f t="shared" si="56"/>
        <v>7</v>
      </c>
      <c r="F706" s="5">
        <v>44535.625</v>
      </c>
      <c r="G706" s="19" t="str">
        <f t="shared" si="51"/>
        <v/>
      </c>
      <c r="J706" s="28">
        <f t="shared" si="52"/>
        <v>0.2744599745870393</v>
      </c>
      <c r="K706">
        <f t="shared" si="53"/>
        <v>9518</v>
      </c>
      <c r="L706" s="37">
        <f t="shared" si="55"/>
        <v>17663</v>
      </c>
    </row>
    <row r="707" spans="1:12" s="41" customFormat="1">
      <c r="A707" s="40">
        <v>1075</v>
      </c>
      <c r="B707" s="41" t="s">
        <v>754</v>
      </c>
      <c r="C707" s="41" t="s">
        <v>8</v>
      </c>
      <c r="E707" s="40">
        <f t="shared" si="56"/>
        <v>1</v>
      </c>
      <c r="F707" s="42">
        <v>44536.625</v>
      </c>
      <c r="G707" s="43" t="str">
        <f t="shared" ref="G707:G770" si="57">IF(WEEKDAY(F707,2)=1,YEAR(F707)&amp;"-W"&amp;TEXT(WEEKNUM(F707,14),"00"),"")</f>
        <v>2021-W49</v>
      </c>
      <c r="H707" s="41">
        <f>SUM(A707:A713)</f>
        <v>10587</v>
      </c>
      <c r="I707" s="44">
        <f>H707/H700-1</f>
        <v>0.11231351124185762</v>
      </c>
      <c r="J707" s="44">
        <f t="shared" si="52"/>
        <v>-0.36201780415430262</v>
      </c>
      <c r="K707" s="41">
        <f t="shared" si="53"/>
        <v>8908</v>
      </c>
      <c r="L707" s="54">
        <f t="shared" si="55"/>
        <v>17322</v>
      </c>
    </row>
    <row r="708" spans="1:12">
      <c r="A708" s="3">
        <v>1914</v>
      </c>
      <c r="B708" t="s">
        <v>755</v>
      </c>
      <c r="C708" t="s">
        <v>8</v>
      </c>
      <c r="E708" s="3">
        <f t="shared" si="56"/>
        <v>2</v>
      </c>
      <c r="F708" s="5">
        <v>44537.625</v>
      </c>
      <c r="G708" s="19" t="str">
        <f t="shared" si="57"/>
        <v/>
      </c>
      <c r="J708" s="28">
        <f t="shared" si="52"/>
        <v>0.34504567814476461</v>
      </c>
      <c r="K708">
        <f t="shared" si="53"/>
        <v>9399</v>
      </c>
      <c r="L708" s="37">
        <f t="shared" si="55"/>
        <v>17902</v>
      </c>
    </row>
    <row r="709" spans="1:12">
      <c r="A709" s="3">
        <v>1721</v>
      </c>
      <c r="B709" t="s">
        <v>756</v>
      </c>
      <c r="C709" t="s">
        <v>8</v>
      </c>
      <c r="E709" s="3">
        <f t="shared" si="56"/>
        <v>3</v>
      </c>
      <c r="F709" s="5">
        <v>44538.625</v>
      </c>
      <c r="G709" s="19" t="str">
        <f t="shared" si="57"/>
        <v/>
      </c>
      <c r="J709" s="28">
        <f t="shared" ref="J709:J772" si="58">A709/A702-1</f>
        <v>0.19348127600554776</v>
      </c>
      <c r="K709">
        <f t="shared" si="53"/>
        <v>9678</v>
      </c>
      <c r="L709" s="37">
        <f t="shared" si="55"/>
        <v>18372</v>
      </c>
    </row>
    <row r="710" spans="1:12">
      <c r="A710" s="3">
        <v>1696</v>
      </c>
      <c r="B710" t="s">
        <v>757</v>
      </c>
      <c r="C710" t="s">
        <v>8</v>
      </c>
      <c r="E710" s="3">
        <f t="shared" si="56"/>
        <v>4</v>
      </c>
      <c r="F710" s="5">
        <v>44539.625</v>
      </c>
      <c r="G710" s="19" t="str">
        <f t="shared" si="57"/>
        <v/>
      </c>
      <c r="J710" s="28">
        <f t="shared" si="58"/>
        <v>0.15846994535519121</v>
      </c>
      <c r="K710">
        <f t="shared" si="53"/>
        <v>9910</v>
      </c>
      <c r="L710" s="37">
        <f t="shared" si="55"/>
        <v>18799</v>
      </c>
    </row>
    <row r="711" spans="1:12">
      <c r="A711" s="3">
        <v>1800</v>
      </c>
      <c r="B711" t="s">
        <v>758</v>
      </c>
      <c r="C711" t="s">
        <v>8</v>
      </c>
      <c r="E711" s="3">
        <f t="shared" si="56"/>
        <v>5</v>
      </c>
      <c r="F711" s="5">
        <v>44540.625</v>
      </c>
      <c r="G711" s="19" t="str">
        <f t="shared" si="57"/>
        <v/>
      </c>
      <c r="J711" s="28">
        <f t="shared" si="58"/>
        <v>0.18032786885245899</v>
      </c>
      <c r="K711">
        <f t="shared" si="53"/>
        <v>10185</v>
      </c>
      <c r="L711" s="37">
        <f t="shared" si="55"/>
        <v>19300</v>
      </c>
    </row>
    <row r="712" spans="1:12">
      <c r="A712" s="3">
        <v>1115</v>
      </c>
      <c r="B712" t="s">
        <v>759</v>
      </c>
      <c r="C712" t="s">
        <v>8</v>
      </c>
      <c r="E712" s="3">
        <f t="shared" si="56"/>
        <v>6</v>
      </c>
      <c r="F712" s="5">
        <v>44541.625</v>
      </c>
      <c r="G712" s="19" t="str">
        <f t="shared" si="57"/>
        <v/>
      </c>
      <c r="J712" s="28">
        <f t="shared" si="58"/>
        <v>0.14241803278688514</v>
      </c>
      <c r="K712">
        <f t="shared" si="53"/>
        <v>10324</v>
      </c>
      <c r="L712" s="37">
        <f t="shared" si="55"/>
        <v>19626</v>
      </c>
    </row>
    <row r="713" spans="1:12">
      <c r="A713" s="3">
        <v>1266</v>
      </c>
      <c r="B713" t="s">
        <v>760</v>
      </c>
      <c r="C713" t="s">
        <v>8</v>
      </c>
      <c r="E713" s="3">
        <f t="shared" si="56"/>
        <v>7</v>
      </c>
      <c r="F713" s="5">
        <v>44542.625</v>
      </c>
      <c r="G713" s="19" t="str">
        <f t="shared" si="57"/>
        <v/>
      </c>
      <c r="J713" s="28">
        <f t="shared" si="58"/>
        <v>0.2622133599202392</v>
      </c>
      <c r="K713">
        <f t="shared" si="53"/>
        <v>10587</v>
      </c>
      <c r="L713" s="37">
        <f t="shared" si="55"/>
        <v>20105</v>
      </c>
    </row>
    <row r="714" spans="1:12" s="46" customFormat="1">
      <c r="A714" s="45">
        <v>2319</v>
      </c>
      <c r="B714" s="46" t="s">
        <v>761</v>
      </c>
      <c r="C714" s="46" t="s">
        <v>8</v>
      </c>
      <c r="E714" s="45">
        <f t="shared" si="56"/>
        <v>1</v>
      </c>
      <c r="F714" s="47">
        <v>44543.625</v>
      </c>
      <c r="G714" s="48" t="str">
        <f t="shared" si="57"/>
        <v>2021-W50</v>
      </c>
      <c r="H714" s="46">
        <f>SUM(A714:A720)</f>
        <v>6520</v>
      </c>
      <c r="I714" s="49">
        <f>H714/H707-1</f>
        <v>-0.38415037309908373</v>
      </c>
      <c r="J714" s="49">
        <f t="shared" si="58"/>
        <v>1.1572093023255814</v>
      </c>
      <c r="K714" s="46">
        <f t="shared" si="53"/>
        <v>11831</v>
      </c>
      <c r="L714" s="55">
        <f t="shared" si="55"/>
        <v>20739</v>
      </c>
    </row>
    <row r="715" spans="1:12">
      <c r="A715" s="3">
        <v>1752</v>
      </c>
      <c r="B715" t="s">
        <v>762</v>
      </c>
      <c r="C715" t="s">
        <v>8</v>
      </c>
      <c r="E715" s="3">
        <f t="shared" si="56"/>
        <v>2</v>
      </c>
      <c r="F715" s="5">
        <v>44544.625</v>
      </c>
      <c r="G715" s="19" t="str">
        <f t="shared" si="57"/>
        <v/>
      </c>
      <c r="J715" s="28">
        <f t="shared" si="58"/>
        <v>-8.4639498432601878E-2</v>
      </c>
      <c r="K715">
        <f t="shared" si="53"/>
        <v>11669</v>
      </c>
      <c r="L715" s="37">
        <f t="shared" si="55"/>
        <v>21068</v>
      </c>
    </row>
    <row r="716" spans="1:12">
      <c r="A716" s="3">
        <v>1691</v>
      </c>
      <c r="B716" t="s">
        <v>763</v>
      </c>
      <c r="C716" t="s">
        <v>8</v>
      </c>
      <c r="E716" s="3">
        <f t="shared" si="56"/>
        <v>3</v>
      </c>
      <c r="F716" s="5">
        <v>44545.625</v>
      </c>
      <c r="G716" s="19" t="str">
        <f t="shared" si="57"/>
        <v/>
      </c>
      <c r="J716" s="28">
        <f t="shared" si="58"/>
        <v>-1.7431725740848392E-2</v>
      </c>
      <c r="K716">
        <f t="shared" si="53"/>
        <v>11639</v>
      </c>
      <c r="L716" s="37">
        <f t="shared" si="55"/>
        <v>21317</v>
      </c>
    </row>
    <row r="717" spans="1:12">
      <c r="A717" s="3">
        <v>758</v>
      </c>
      <c r="B717" t="s">
        <v>764</v>
      </c>
      <c r="C717" t="s">
        <v>8</v>
      </c>
      <c r="E717" s="3">
        <f t="shared" si="56"/>
        <v>4</v>
      </c>
      <c r="F717" s="5">
        <v>44546.625</v>
      </c>
      <c r="G717" s="19" t="str">
        <f t="shared" si="57"/>
        <v/>
      </c>
      <c r="J717" s="28">
        <f t="shared" si="58"/>
        <v>-0.55306603773584906</v>
      </c>
      <c r="K717">
        <f t="shared" si="53"/>
        <v>10701</v>
      </c>
      <c r="L717" s="37">
        <f t="shared" si="55"/>
        <v>20611</v>
      </c>
    </row>
    <row r="718" spans="1:12">
      <c r="A718" s="3">
        <v>0</v>
      </c>
      <c r="B718" t="s">
        <v>765</v>
      </c>
      <c r="C718" t="s">
        <v>8</v>
      </c>
      <c r="E718" s="3">
        <f t="shared" si="56"/>
        <v>5</v>
      </c>
      <c r="F718" s="5">
        <v>44547.636157407411</v>
      </c>
      <c r="G718" s="19" t="str">
        <f t="shared" si="57"/>
        <v/>
      </c>
      <c r="J718" s="28">
        <f t="shared" si="58"/>
        <v>-1</v>
      </c>
      <c r="K718">
        <f t="shared" si="53"/>
        <v>8901</v>
      </c>
      <c r="L718" s="37">
        <f t="shared" si="55"/>
        <v>19086</v>
      </c>
    </row>
    <row r="719" spans="1:12">
      <c r="E719" s="3">
        <f t="shared" si="56"/>
        <v>6</v>
      </c>
      <c r="G719" s="19" t="str">
        <f t="shared" si="57"/>
        <v/>
      </c>
      <c r="J719" s="28">
        <f t="shared" si="58"/>
        <v>-1</v>
      </c>
      <c r="K719">
        <f t="shared" si="53"/>
        <v>7786</v>
      </c>
      <c r="L719" s="37">
        <f t="shared" si="55"/>
        <v>18110</v>
      </c>
    </row>
    <row r="720" spans="1:12">
      <c r="E720" s="3">
        <f t="shared" si="56"/>
        <v>6</v>
      </c>
      <c r="G720" s="19" t="str">
        <f t="shared" si="57"/>
        <v/>
      </c>
      <c r="J720" s="28">
        <f t="shared" si="58"/>
        <v>-1</v>
      </c>
      <c r="K720">
        <f t="shared" si="53"/>
        <v>6520</v>
      </c>
      <c r="L720" s="37">
        <f t="shared" si="55"/>
        <v>17107</v>
      </c>
    </row>
    <row r="721" spans="5:12">
      <c r="E721" s="3">
        <f t="shared" si="56"/>
        <v>6</v>
      </c>
      <c r="G721" s="19" t="str">
        <f t="shared" si="57"/>
        <v/>
      </c>
      <c r="H721">
        <f>SUM(A721:A727)</f>
        <v>0</v>
      </c>
      <c r="I721" s="28">
        <f>H721/H714-1</f>
        <v>-1</v>
      </c>
      <c r="J721" s="28">
        <f t="shared" si="58"/>
        <v>-1</v>
      </c>
      <c r="K721">
        <f t="shared" si="53"/>
        <v>4201</v>
      </c>
      <c r="L721" s="37">
        <f t="shared" si="55"/>
        <v>16032</v>
      </c>
    </row>
    <row r="722" spans="5:12">
      <c r="E722" s="3">
        <f t="shared" si="56"/>
        <v>6</v>
      </c>
      <c r="G722" s="19" t="str">
        <f t="shared" si="57"/>
        <v/>
      </c>
      <c r="J722" s="28">
        <f t="shared" si="58"/>
        <v>-1</v>
      </c>
      <c r="K722">
        <f t="shared" si="53"/>
        <v>2449</v>
      </c>
      <c r="L722" s="37">
        <f t="shared" si="55"/>
        <v>14118</v>
      </c>
    </row>
    <row r="723" spans="5:12">
      <c r="E723" s="3">
        <f t="shared" si="56"/>
        <v>6</v>
      </c>
      <c r="G723" s="19" t="str">
        <f t="shared" si="57"/>
        <v/>
      </c>
      <c r="J723" s="28">
        <f t="shared" si="58"/>
        <v>-1</v>
      </c>
      <c r="K723">
        <f t="shared" si="53"/>
        <v>758</v>
      </c>
      <c r="L723" s="37">
        <f t="shared" si="55"/>
        <v>12397</v>
      </c>
    </row>
    <row r="724" spans="5:12">
      <c r="E724" s="3">
        <f t="shared" si="56"/>
        <v>6</v>
      </c>
      <c r="G724" s="19" t="str">
        <f t="shared" si="57"/>
        <v/>
      </c>
      <c r="J724" s="28">
        <f t="shared" si="58"/>
        <v>-1</v>
      </c>
      <c r="K724">
        <f t="shared" si="53"/>
        <v>0</v>
      </c>
      <c r="L724" s="37">
        <f t="shared" si="55"/>
        <v>10701</v>
      </c>
    </row>
    <row r="725" spans="5:12">
      <c r="E725" s="3">
        <f t="shared" si="56"/>
        <v>6</v>
      </c>
      <c r="G725" s="19" t="str">
        <f t="shared" si="57"/>
        <v/>
      </c>
      <c r="J725" s="28" t="e">
        <f t="shared" si="58"/>
        <v>#DIV/0!</v>
      </c>
      <c r="K725">
        <f t="shared" ref="K725:K788" si="59">SUM(A719:A725)</f>
        <v>0</v>
      </c>
      <c r="L725" s="37">
        <f t="shared" si="55"/>
        <v>8901</v>
      </c>
    </row>
    <row r="726" spans="5:12">
      <c r="E726" s="3">
        <f t="shared" si="56"/>
        <v>6</v>
      </c>
      <c r="G726" s="19" t="str">
        <f t="shared" si="57"/>
        <v/>
      </c>
      <c r="J726" s="28" t="e">
        <f t="shared" si="58"/>
        <v>#DIV/0!</v>
      </c>
      <c r="K726">
        <f t="shared" si="59"/>
        <v>0</v>
      </c>
      <c r="L726" s="37">
        <f t="shared" si="55"/>
        <v>7786</v>
      </c>
    </row>
    <row r="727" spans="5:12">
      <c r="E727" s="3">
        <f t="shared" si="56"/>
        <v>6</v>
      </c>
      <c r="G727" s="19" t="str">
        <f t="shared" si="57"/>
        <v/>
      </c>
      <c r="J727" s="28" t="e">
        <f t="shared" si="58"/>
        <v>#DIV/0!</v>
      </c>
      <c r="K727">
        <f t="shared" si="59"/>
        <v>0</v>
      </c>
      <c r="L727" s="37">
        <f t="shared" si="55"/>
        <v>6520</v>
      </c>
    </row>
    <row r="728" spans="5:12">
      <c r="E728" s="3">
        <f t="shared" si="56"/>
        <v>6</v>
      </c>
      <c r="G728" s="19" t="str">
        <f t="shared" si="57"/>
        <v/>
      </c>
      <c r="H728">
        <f>SUM(A728:A734)</f>
        <v>0</v>
      </c>
      <c r="I728" s="28" t="e">
        <f>H728/H721-1</f>
        <v>#DIV/0!</v>
      </c>
      <c r="J728" s="28" t="e">
        <f t="shared" si="58"/>
        <v>#DIV/0!</v>
      </c>
      <c r="K728">
        <f t="shared" si="59"/>
        <v>0</v>
      </c>
      <c r="L728" s="37">
        <f t="shared" si="55"/>
        <v>4201</v>
      </c>
    </row>
    <row r="729" spans="5:12">
      <c r="E729" s="3">
        <f t="shared" si="56"/>
        <v>6</v>
      </c>
      <c r="G729" s="19" t="str">
        <f t="shared" si="57"/>
        <v/>
      </c>
      <c r="J729" s="28" t="e">
        <f t="shared" si="58"/>
        <v>#DIV/0!</v>
      </c>
      <c r="K729">
        <f t="shared" si="59"/>
        <v>0</v>
      </c>
      <c r="L729" s="37">
        <f t="shared" si="55"/>
        <v>2449</v>
      </c>
    </row>
    <row r="730" spans="5:12">
      <c r="E730" s="3">
        <f t="shared" si="56"/>
        <v>6</v>
      </c>
      <c r="G730" s="19" t="str">
        <f t="shared" si="57"/>
        <v/>
      </c>
      <c r="J730" s="28" t="e">
        <f t="shared" si="58"/>
        <v>#DIV/0!</v>
      </c>
      <c r="K730">
        <f t="shared" si="59"/>
        <v>0</v>
      </c>
      <c r="L730" s="37">
        <f t="shared" si="55"/>
        <v>758</v>
      </c>
    </row>
    <row r="731" spans="5:12">
      <c r="E731" s="3">
        <f t="shared" si="56"/>
        <v>6</v>
      </c>
      <c r="G731" s="19" t="str">
        <f t="shared" si="57"/>
        <v/>
      </c>
      <c r="J731" s="28" t="e">
        <f t="shared" si="58"/>
        <v>#DIV/0!</v>
      </c>
      <c r="K731">
        <f t="shared" si="59"/>
        <v>0</v>
      </c>
      <c r="L731" s="37">
        <f t="shared" si="55"/>
        <v>0</v>
      </c>
    </row>
    <row r="732" spans="5:12">
      <c r="E732" s="3">
        <f t="shared" si="56"/>
        <v>6</v>
      </c>
      <c r="G732" s="19" t="str">
        <f t="shared" si="57"/>
        <v/>
      </c>
      <c r="J732" s="28" t="e">
        <f t="shared" si="58"/>
        <v>#DIV/0!</v>
      </c>
      <c r="K732">
        <f t="shared" si="59"/>
        <v>0</v>
      </c>
      <c r="L732" s="37">
        <f t="shared" si="55"/>
        <v>0</v>
      </c>
    </row>
    <row r="733" spans="5:12">
      <c r="E733" s="3">
        <f t="shared" si="56"/>
        <v>6</v>
      </c>
      <c r="G733" s="19" t="str">
        <f t="shared" si="57"/>
        <v/>
      </c>
      <c r="J733" s="28" t="e">
        <f t="shared" si="58"/>
        <v>#DIV/0!</v>
      </c>
      <c r="K733">
        <f t="shared" si="59"/>
        <v>0</v>
      </c>
      <c r="L733" s="37">
        <f t="shared" si="55"/>
        <v>0</v>
      </c>
    </row>
    <row r="734" spans="5:12">
      <c r="E734" s="3">
        <f t="shared" si="56"/>
        <v>6</v>
      </c>
      <c r="G734" s="19" t="str">
        <f t="shared" si="57"/>
        <v/>
      </c>
      <c r="J734" s="28" t="e">
        <f t="shared" si="58"/>
        <v>#DIV/0!</v>
      </c>
      <c r="K734">
        <f t="shared" si="59"/>
        <v>0</v>
      </c>
      <c r="L734" s="37">
        <f t="shared" si="55"/>
        <v>0</v>
      </c>
    </row>
    <row r="735" spans="5:12">
      <c r="E735" s="3">
        <f t="shared" si="56"/>
        <v>6</v>
      </c>
      <c r="G735" s="19" t="str">
        <f t="shared" si="57"/>
        <v/>
      </c>
      <c r="H735">
        <f>SUM(A735:A741)</f>
        <v>0</v>
      </c>
      <c r="I735" s="28" t="e">
        <f>H735/H728-1</f>
        <v>#DIV/0!</v>
      </c>
      <c r="J735" s="28" t="e">
        <f t="shared" si="58"/>
        <v>#DIV/0!</v>
      </c>
      <c r="K735">
        <f t="shared" si="59"/>
        <v>0</v>
      </c>
      <c r="L735" s="37">
        <f t="shared" si="55"/>
        <v>0</v>
      </c>
    </row>
    <row r="736" spans="5:12">
      <c r="E736" s="3">
        <f t="shared" si="56"/>
        <v>6</v>
      </c>
      <c r="G736" s="19" t="str">
        <f t="shared" si="57"/>
        <v/>
      </c>
      <c r="J736" s="28" t="e">
        <f t="shared" si="58"/>
        <v>#DIV/0!</v>
      </c>
      <c r="K736">
        <f t="shared" si="59"/>
        <v>0</v>
      </c>
      <c r="L736" s="37">
        <f t="shared" si="55"/>
        <v>0</v>
      </c>
    </row>
    <row r="737" spans="5:12">
      <c r="E737" s="3">
        <f t="shared" si="56"/>
        <v>6</v>
      </c>
      <c r="G737" s="19" t="str">
        <f t="shared" si="57"/>
        <v/>
      </c>
      <c r="J737" s="28" t="e">
        <f t="shared" si="58"/>
        <v>#DIV/0!</v>
      </c>
      <c r="K737">
        <f t="shared" si="59"/>
        <v>0</v>
      </c>
      <c r="L737" s="37">
        <f t="shared" si="55"/>
        <v>0</v>
      </c>
    </row>
    <row r="738" spans="5:12">
      <c r="E738" s="3">
        <f t="shared" si="56"/>
        <v>6</v>
      </c>
      <c r="G738" s="19" t="str">
        <f t="shared" si="57"/>
        <v/>
      </c>
      <c r="J738" s="28" t="e">
        <f t="shared" si="58"/>
        <v>#DIV/0!</v>
      </c>
      <c r="K738">
        <f t="shared" si="59"/>
        <v>0</v>
      </c>
      <c r="L738" s="37">
        <f t="shared" si="55"/>
        <v>0</v>
      </c>
    </row>
    <row r="739" spans="5:12">
      <c r="E739" s="3">
        <f t="shared" si="56"/>
        <v>6</v>
      </c>
      <c r="G739" s="19" t="str">
        <f t="shared" si="57"/>
        <v/>
      </c>
      <c r="J739" s="28" t="e">
        <f t="shared" si="58"/>
        <v>#DIV/0!</v>
      </c>
      <c r="K739">
        <f t="shared" si="59"/>
        <v>0</v>
      </c>
      <c r="L739" s="37">
        <f t="shared" si="55"/>
        <v>0</v>
      </c>
    </row>
    <row r="740" spans="5:12">
      <c r="E740" s="3">
        <f t="shared" si="56"/>
        <v>6</v>
      </c>
      <c r="G740" s="19" t="str">
        <f t="shared" si="57"/>
        <v/>
      </c>
      <c r="J740" s="28" t="e">
        <f t="shared" si="58"/>
        <v>#DIV/0!</v>
      </c>
      <c r="K740">
        <f t="shared" si="59"/>
        <v>0</v>
      </c>
      <c r="L740" s="37">
        <f t="shared" si="55"/>
        <v>0</v>
      </c>
    </row>
    <row r="741" spans="5:12">
      <c r="E741" s="3">
        <f t="shared" si="56"/>
        <v>6</v>
      </c>
      <c r="G741" s="19" t="str">
        <f t="shared" si="57"/>
        <v/>
      </c>
      <c r="J741" s="28" t="e">
        <f t="shared" si="58"/>
        <v>#DIV/0!</v>
      </c>
      <c r="K741">
        <f t="shared" si="59"/>
        <v>0</v>
      </c>
      <c r="L741" s="37">
        <f t="shared" si="55"/>
        <v>0</v>
      </c>
    </row>
    <row r="742" spans="5:12">
      <c r="E742" s="3">
        <f t="shared" si="56"/>
        <v>6</v>
      </c>
      <c r="G742" s="19" t="str">
        <f t="shared" si="57"/>
        <v/>
      </c>
      <c r="H742">
        <f>SUM(A742:A748)</f>
        <v>0</v>
      </c>
      <c r="I742" s="28" t="e">
        <f>H742/H735-1</f>
        <v>#DIV/0!</v>
      </c>
      <c r="J742" s="28" t="e">
        <f t="shared" si="58"/>
        <v>#DIV/0!</v>
      </c>
      <c r="K742">
        <f t="shared" si="59"/>
        <v>0</v>
      </c>
      <c r="L742" s="37">
        <f t="shared" si="55"/>
        <v>0</v>
      </c>
    </row>
    <row r="743" spans="5:12">
      <c r="E743" s="3">
        <f t="shared" si="56"/>
        <v>6</v>
      </c>
      <c r="G743" s="19" t="str">
        <f t="shared" si="57"/>
        <v/>
      </c>
      <c r="J743" s="28" t="e">
        <f t="shared" si="58"/>
        <v>#DIV/0!</v>
      </c>
      <c r="K743">
        <f t="shared" si="59"/>
        <v>0</v>
      </c>
      <c r="L743" s="37">
        <f t="shared" si="55"/>
        <v>0</v>
      </c>
    </row>
    <row r="744" spans="5:12">
      <c r="E744" s="3">
        <f t="shared" si="56"/>
        <v>6</v>
      </c>
      <c r="G744" s="19" t="str">
        <f t="shared" si="57"/>
        <v/>
      </c>
      <c r="J744" s="28" t="e">
        <f t="shared" si="58"/>
        <v>#DIV/0!</v>
      </c>
      <c r="K744">
        <f t="shared" si="59"/>
        <v>0</v>
      </c>
      <c r="L744" s="37">
        <f t="shared" ref="L744:L805" si="60">SUM(A731:A744)</f>
        <v>0</v>
      </c>
    </row>
    <row r="745" spans="5:12">
      <c r="E745" s="3">
        <f t="shared" si="56"/>
        <v>6</v>
      </c>
      <c r="G745" s="19" t="str">
        <f t="shared" si="57"/>
        <v/>
      </c>
      <c r="J745" s="28" t="e">
        <f t="shared" si="58"/>
        <v>#DIV/0!</v>
      </c>
      <c r="K745">
        <f t="shared" si="59"/>
        <v>0</v>
      </c>
      <c r="L745" s="37">
        <f t="shared" si="60"/>
        <v>0</v>
      </c>
    </row>
    <row r="746" spans="5:12">
      <c r="E746" s="3">
        <f t="shared" si="56"/>
        <v>6</v>
      </c>
      <c r="G746" s="19" t="str">
        <f t="shared" si="57"/>
        <v/>
      </c>
      <c r="J746" s="28" t="e">
        <f t="shared" si="58"/>
        <v>#DIV/0!</v>
      </c>
      <c r="K746">
        <f t="shared" si="59"/>
        <v>0</v>
      </c>
      <c r="L746" s="37">
        <f t="shared" si="60"/>
        <v>0</v>
      </c>
    </row>
    <row r="747" spans="5:12">
      <c r="E747" s="3">
        <f t="shared" si="56"/>
        <v>6</v>
      </c>
      <c r="G747" s="19" t="str">
        <f t="shared" si="57"/>
        <v/>
      </c>
      <c r="J747" s="28" t="e">
        <f t="shared" si="58"/>
        <v>#DIV/0!</v>
      </c>
      <c r="K747">
        <f t="shared" si="59"/>
        <v>0</v>
      </c>
      <c r="L747" s="37">
        <f t="shared" si="60"/>
        <v>0</v>
      </c>
    </row>
    <row r="748" spans="5:12">
      <c r="E748" s="3">
        <f t="shared" si="56"/>
        <v>6</v>
      </c>
      <c r="G748" s="19" t="str">
        <f t="shared" si="57"/>
        <v/>
      </c>
      <c r="J748" s="28" t="e">
        <f t="shared" si="58"/>
        <v>#DIV/0!</v>
      </c>
      <c r="K748">
        <f t="shared" si="59"/>
        <v>0</v>
      </c>
      <c r="L748" s="37">
        <f t="shared" si="60"/>
        <v>0</v>
      </c>
    </row>
    <row r="749" spans="5:12">
      <c r="E749" s="3">
        <f t="shared" si="56"/>
        <v>6</v>
      </c>
      <c r="G749" s="19" t="str">
        <f t="shared" si="57"/>
        <v/>
      </c>
      <c r="H749">
        <f>SUM(A749:A755)</f>
        <v>0</v>
      </c>
      <c r="I749" s="28" t="e">
        <f>H749/H742-1</f>
        <v>#DIV/0!</v>
      </c>
      <c r="J749" s="28" t="e">
        <f t="shared" si="58"/>
        <v>#DIV/0!</v>
      </c>
      <c r="K749">
        <f t="shared" si="59"/>
        <v>0</v>
      </c>
      <c r="L749" s="37">
        <f t="shared" si="60"/>
        <v>0</v>
      </c>
    </row>
    <row r="750" spans="5:12">
      <c r="E750" s="3">
        <f t="shared" si="56"/>
        <v>6</v>
      </c>
      <c r="G750" s="19" t="str">
        <f t="shared" si="57"/>
        <v/>
      </c>
      <c r="J750" s="28" t="e">
        <f t="shared" si="58"/>
        <v>#DIV/0!</v>
      </c>
      <c r="K750">
        <f t="shared" si="59"/>
        <v>0</v>
      </c>
      <c r="L750" s="37">
        <f t="shared" si="60"/>
        <v>0</v>
      </c>
    </row>
    <row r="751" spans="5:12">
      <c r="E751" s="3">
        <f t="shared" si="56"/>
        <v>6</v>
      </c>
      <c r="G751" s="19" t="str">
        <f t="shared" si="57"/>
        <v/>
      </c>
      <c r="J751" s="28" t="e">
        <f t="shared" si="58"/>
        <v>#DIV/0!</v>
      </c>
      <c r="K751">
        <f t="shared" si="59"/>
        <v>0</v>
      </c>
      <c r="L751" s="37">
        <f t="shared" si="60"/>
        <v>0</v>
      </c>
    </row>
    <row r="752" spans="5:12">
      <c r="E752" s="3">
        <f t="shared" si="56"/>
        <v>6</v>
      </c>
      <c r="G752" s="19" t="str">
        <f t="shared" si="57"/>
        <v/>
      </c>
      <c r="J752" s="28" t="e">
        <f t="shared" si="58"/>
        <v>#DIV/0!</v>
      </c>
      <c r="K752">
        <f t="shared" si="59"/>
        <v>0</v>
      </c>
      <c r="L752" s="37">
        <f t="shared" si="60"/>
        <v>0</v>
      </c>
    </row>
    <row r="753" spans="5:12">
      <c r="E753" s="3">
        <f t="shared" si="56"/>
        <v>6</v>
      </c>
      <c r="G753" s="19" t="str">
        <f t="shared" si="57"/>
        <v/>
      </c>
      <c r="J753" s="28" t="e">
        <f t="shared" si="58"/>
        <v>#DIV/0!</v>
      </c>
      <c r="K753">
        <f t="shared" si="59"/>
        <v>0</v>
      </c>
      <c r="L753" s="37">
        <f t="shared" si="60"/>
        <v>0</v>
      </c>
    </row>
    <row r="754" spans="5:12">
      <c r="E754" s="3">
        <f t="shared" si="56"/>
        <v>6</v>
      </c>
      <c r="G754" s="19" t="str">
        <f t="shared" si="57"/>
        <v/>
      </c>
      <c r="J754" s="28" t="e">
        <f t="shared" si="58"/>
        <v>#DIV/0!</v>
      </c>
      <c r="K754">
        <f t="shared" si="59"/>
        <v>0</v>
      </c>
      <c r="L754" s="37">
        <f t="shared" si="60"/>
        <v>0</v>
      </c>
    </row>
    <row r="755" spans="5:12">
      <c r="E755" s="3">
        <f t="shared" si="56"/>
        <v>6</v>
      </c>
      <c r="G755" s="19" t="str">
        <f t="shared" si="57"/>
        <v/>
      </c>
      <c r="J755" s="28" t="e">
        <f t="shared" si="58"/>
        <v>#DIV/0!</v>
      </c>
      <c r="K755">
        <f t="shared" si="59"/>
        <v>0</v>
      </c>
      <c r="L755" s="37">
        <f t="shared" si="60"/>
        <v>0</v>
      </c>
    </row>
    <row r="756" spans="5:12">
      <c r="E756" s="3">
        <f t="shared" si="56"/>
        <v>6</v>
      </c>
      <c r="G756" s="19" t="str">
        <f t="shared" si="57"/>
        <v/>
      </c>
      <c r="H756">
        <f>SUM(A756:A762)</f>
        <v>0</v>
      </c>
      <c r="I756" s="28" t="e">
        <f>H756/H749-1</f>
        <v>#DIV/0!</v>
      </c>
      <c r="J756" s="28" t="e">
        <f t="shared" si="58"/>
        <v>#DIV/0!</v>
      </c>
      <c r="K756">
        <f t="shared" si="59"/>
        <v>0</v>
      </c>
      <c r="L756" s="37">
        <f t="shared" si="60"/>
        <v>0</v>
      </c>
    </row>
    <row r="757" spans="5:12">
      <c r="E757" s="3">
        <f t="shared" si="56"/>
        <v>6</v>
      </c>
      <c r="G757" s="19" t="str">
        <f t="shared" si="57"/>
        <v/>
      </c>
      <c r="J757" s="28" t="e">
        <f t="shared" si="58"/>
        <v>#DIV/0!</v>
      </c>
      <c r="K757">
        <f t="shared" si="59"/>
        <v>0</v>
      </c>
      <c r="L757" s="37">
        <f t="shared" si="60"/>
        <v>0</v>
      </c>
    </row>
    <row r="758" spans="5:12">
      <c r="E758" s="3">
        <f t="shared" si="56"/>
        <v>6</v>
      </c>
      <c r="G758" s="19" t="str">
        <f t="shared" si="57"/>
        <v/>
      </c>
      <c r="J758" s="28" t="e">
        <f t="shared" si="58"/>
        <v>#DIV/0!</v>
      </c>
      <c r="K758">
        <f t="shared" si="59"/>
        <v>0</v>
      </c>
      <c r="L758" s="37">
        <f t="shared" si="60"/>
        <v>0</v>
      </c>
    </row>
    <row r="759" spans="5:12">
      <c r="E759" s="3">
        <f t="shared" si="56"/>
        <v>6</v>
      </c>
      <c r="G759" s="19" t="str">
        <f t="shared" si="57"/>
        <v/>
      </c>
      <c r="J759" s="28" t="e">
        <f t="shared" si="58"/>
        <v>#DIV/0!</v>
      </c>
      <c r="K759">
        <f t="shared" si="59"/>
        <v>0</v>
      </c>
      <c r="L759" s="37">
        <f t="shared" si="60"/>
        <v>0</v>
      </c>
    </row>
    <row r="760" spans="5:12">
      <c r="E760" s="3">
        <f t="shared" si="56"/>
        <v>6</v>
      </c>
      <c r="G760" s="19" t="str">
        <f t="shared" si="57"/>
        <v/>
      </c>
      <c r="J760" s="28" t="e">
        <f t="shared" si="58"/>
        <v>#DIV/0!</v>
      </c>
      <c r="K760">
        <f t="shared" si="59"/>
        <v>0</v>
      </c>
      <c r="L760" s="37">
        <f t="shared" si="60"/>
        <v>0</v>
      </c>
    </row>
    <row r="761" spans="5:12">
      <c r="E761" s="3">
        <f t="shared" si="56"/>
        <v>6</v>
      </c>
      <c r="G761" s="19" t="str">
        <f t="shared" si="57"/>
        <v/>
      </c>
      <c r="J761" s="28" t="e">
        <f t="shared" si="58"/>
        <v>#DIV/0!</v>
      </c>
      <c r="K761">
        <f t="shared" si="59"/>
        <v>0</v>
      </c>
      <c r="L761" s="37">
        <f t="shared" si="60"/>
        <v>0</v>
      </c>
    </row>
    <row r="762" spans="5:12">
      <c r="E762" s="3">
        <f t="shared" si="56"/>
        <v>6</v>
      </c>
      <c r="G762" s="19" t="str">
        <f t="shared" si="57"/>
        <v/>
      </c>
      <c r="J762" s="28" t="e">
        <f t="shared" si="58"/>
        <v>#DIV/0!</v>
      </c>
      <c r="K762">
        <f t="shared" si="59"/>
        <v>0</v>
      </c>
      <c r="L762" s="37">
        <f t="shared" si="60"/>
        <v>0</v>
      </c>
    </row>
    <row r="763" spans="5:12">
      <c r="E763" s="3">
        <f t="shared" si="56"/>
        <v>6</v>
      </c>
      <c r="G763" s="19" t="str">
        <f t="shared" si="57"/>
        <v/>
      </c>
      <c r="H763">
        <f>SUM(A763:A769)</f>
        <v>0</v>
      </c>
      <c r="I763" s="28" t="e">
        <f>H763/H756-1</f>
        <v>#DIV/0!</v>
      </c>
      <c r="J763" s="28" t="e">
        <f t="shared" si="58"/>
        <v>#DIV/0!</v>
      </c>
      <c r="K763">
        <f t="shared" si="59"/>
        <v>0</v>
      </c>
      <c r="L763" s="37">
        <f t="shared" si="60"/>
        <v>0</v>
      </c>
    </row>
    <row r="764" spans="5:12">
      <c r="E764" s="3">
        <f t="shared" si="56"/>
        <v>6</v>
      </c>
      <c r="G764" s="19" t="str">
        <f t="shared" si="57"/>
        <v/>
      </c>
      <c r="J764" s="28" t="e">
        <f t="shared" si="58"/>
        <v>#DIV/0!</v>
      </c>
      <c r="K764">
        <f t="shared" si="59"/>
        <v>0</v>
      </c>
      <c r="L764" s="37">
        <f t="shared" si="60"/>
        <v>0</v>
      </c>
    </row>
    <row r="765" spans="5:12">
      <c r="E765" s="3">
        <f t="shared" si="56"/>
        <v>6</v>
      </c>
      <c r="G765" s="19" t="str">
        <f t="shared" si="57"/>
        <v/>
      </c>
      <c r="J765" s="28" t="e">
        <f t="shared" si="58"/>
        <v>#DIV/0!</v>
      </c>
      <c r="K765">
        <f t="shared" si="59"/>
        <v>0</v>
      </c>
      <c r="L765" s="37">
        <f t="shared" si="60"/>
        <v>0</v>
      </c>
    </row>
    <row r="766" spans="5:12">
      <c r="E766" s="3">
        <f t="shared" si="56"/>
        <v>6</v>
      </c>
      <c r="G766" s="19" t="str">
        <f t="shared" si="57"/>
        <v/>
      </c>
      <c r="J766" s="28" t="e">
        <f t="shared" si="58"/>
        <v>#DIV/0!</v>
      </c>
      <c r="K766">
        <f t="shared" si="59"/>
        <v>0</v>
      </c>
      <c r="L766" s="37">
        <f t="shared" si="60"/>
        <v>0</v>
      </c>
    </row>
    <row r="767" spans="5:12">
      <c r="E767" s="3">
        <f t="shared" ref="E767:E805" si="61">WEEKDAY(F767,2)</f>
        <v>6</v>
      </c>
      <c r="G767" s="19" t="str">
        <f t="shared" si="57"/>
        <v/>
      </c>
      <c r="J767" s="28" t="e">
        <f t="shared" si="58"/>
        <v>#DIV/0!</v>
      </c>
      <c r="K767">
        <f t="shared" si="59"/>
        <v>0</v>
      </c>
      <c r="L767" s="37">
        <f t="shared" si="60"/>
        <v>0</v>
      </c>
    </row>
    <row r="768" spans="5:12">
      <c r="E768" s="3">
        <f t="shared" si="61"/>
        <v>6</v>
      </c>
      <c r="G768" s="19" t="str">
        <f t="shared" si="57"/>
        <v/>
      </c>
      <c r="J768" s="28" t="e">
        <f t="shared" si="58"/>
        <v>#DIV/0!</v>
      </c>
      <c r="K768">
        <f t="shared" si="59"/>
        <v>0</v>
      </c>
      <c r="L768" s="37">
        <f t="shared" si="60"/>
        <v>0</v>
      </c>
    </row>
    <row r="769" spans="5:12">
      <c r="E769" s="3">
        <f t="shared" si="61"/>
        <v>6</v>
      </c>
      <c r="G769" s="19" t="str">
        <f t="shared" si="57"/>
        <v/>
      </c>
      <c r="J769" s="28" t="e">
        <f t="shared" si="58"/>
        <v>#DIV/0!</v>
      </c>
      <c r="K769">
        <f t="shared" si="59"/>
        <v>0</v>
      </c>
      <c r="L769" s="37">
        <f t="shared" si="60"/>
        <v>0</v>
      </c>
    </row>
    <row r="770" spans="5:12">
      <c r="E770" s="3">
        <f t="shared" si="61"/>
        <v>6</v>
      </c>
      <c r="G770" s="19" t="str">
        <f t="shared" si="57"/>
        <v/>
      </c>
      <c r="H770">
        <f>SUM(A770:A776)</f>
        <v>0</v>
      </c>
      <c r="I770" s="28" t="e">
        <f>H770/H763-1</f>
        <v>#DIV/0!</v>
      </c>
      <c r="J770" s="28" t="e">
        <f t="shared" si="58"/>
        <v>#DIV/0!</v>
      </c>
      <c r="K770">
        <f t="shared" si="59"/>
        <v>0</v>
      </c>
      <c r="L770" s="37">
        <f t="shared" si="60"/>
        <v>0</v>
      </c>
    </row>
    <row r="771" spans="5:12">
      <c r="E771" s="3">
        <f t="shared" si="61"/>
        <v>6</v>
      </c>
      <c r="G771" s="19" t="str">
        <f t="shared" ref="G771:G805" si="62">IF(WEEKDAY(F771,2)=1,YEAR(F771)&amp;"-W"&amp;TEXT(WEEKNUM(F771,14),"00"),"")</f>
        <v/>
      </c>
      <c r="J771" s="28" t="e">
        <f t="shared" si="58"/>
        <v>#DIV/0!</v>
      </c>
      <c r="K771">
        <f t="shared" si="59"/>
        <v>0</v>
      </c>
      <c r="L771" s="37">
        <f t="shared" si="60"/>
        <v>0</v>
      </c>
    </row>
    <row r="772" spans="5:12">
      <c r="E772" s="3">
        <f t="shared" si="61"/>
        <v>6</v>
      </c>
      <c r="G772" s="19" t="str">
        <f t="shared" si="62"/>
        <v/>
      </c>
      <c r="J772" s="28" t="e">
        <f t="shared" si="58"/>
        <v>#DIV/0!</v>
      </c>
      <c r="K772">
        <f t="shared" si="59"/>
        <v>0</v>
      </c>
      <c r="L772" s="37">
        <f t="shared" si="60"/>
        <v>0</v>
      </c>
    </row>
    <row r="773" spans="5:12">
      <c r="E773" s="3">
        <f t="shared" si="61"/>
        <v>6</v>
      </c>
      <c r="G773" s="19" t="str">
        <f t="shared" si="62"/>
        <v/>
      </c>
      <c r="J773" s="28" t="e">
        <f t="shared" ref="J773:J805" si="63">A773/A766-1</f>
        <v>#DIV/0!</v>
      </c>
      <c r="K773">
        <f t="shared" si="59"/>
        <v>0</v>
      </c>
      <c r="L773" s="37">
        <f t="shared" si="60"/>
        <v>0</v>
      </c>
    </row>
    <row r="774" spans="5:12">
      <c r="E774" s="3">
        <f t="shared" si="61"/>
        <v>6</v>
      </c>
      <c r="G774" s="19" t="str">
        <f t="shared" si="62"/>
        <v/>
      </c>
      <c r="J774" s="28" t="e">
        <f t="shared" si="63"/>
        <v>#DIV/0!</v>
      </c>
      <c r="K774">
        <f t="shared" si="59"/>
        <v>0</v>
      </c>
      <c r="L774" s="37">
        <f t="shared" si="60"/>
        <v>0</v>
      </c>
    </row>
    <row r="775" spans="5:12">
      <c r="E775" s="3">
        <f t="shared" si="61"/>
        <v>6</v>
      </c>
      <c r="G775" s="19" t="str">
        <f t="shared" si="62"/>
        <v/>
      </c>
      <c r="J775" s="28" t="e">
        <f t="shared" si="63"/>
        <v>#DIV/0!</v>
      </c>
      <c r="K775">
        <f t="shared" si="59"/>
        <v>0</v>
      </c>
      <c r="L775" s="37">
        <f t="shared" si="60"/>
        <v>0</v>
      </c>
    </row>
    <row r="776" spans="5:12">
      <c r="E776" s="3">
        <f t="shared" si="61"/>
        <v>6</v>
      </c>
      <c r="G776" s="19" t="str">
        <f t="shared" si="62"/>
        <v/>
      </c>
      <c r="J776" s="28" t="e">
        <f t="shared" si="63"/>
        <v>#DIV/0!</v>
      </c>
      <c r="K776">
        <f t="shared" si="59"/>
        <v>0</v>
      </c>
      <c r="L776" s="37">
        <f t="shared" si="60"/>
        <v>0</v>
      </c>
    </row>
    <row r="777" spans="5:12">
      <c r="E777" s="3">
        <f t="shared" si="61"/>
        <v>6</v>
      </c>
      <c r="G777" s="19" t="str">
        <f t="shared" si="62"/>
        <v/>
      </c>
      <c r="H777">
        <f>SUM(A777:A783)</f>
        <v>0</v>
      </c>
      <c r="I777" s="28" t="e">
        <f>H777/H770-1</f>
        <v>#DIV/0!</v>
      </c>
      <c r="J777" s="28" t="e">
        <f t="shared" si="63"/>
        <v>#DIV/0!</v>
      </c>
      <c r="K777">
        <f t="shared" si="59"/>
        <v>0</v>
      </c>
      <c r="L777" s="37">
        <f t="shared" si="60"/>
        <v>0</v>
      </c>
    </row>
    <row r="778" spans="5:12">
      <c r="E778" s="3">
        <f t="shared" si="61"/>
        <v>6</v>
      </c>
      <c r="G778" s="19" t="str">
        <f t="shared" si="62"/>
        <v/>
      </c>
      <c r="J778" s="28" t="e">
        <f t="shared" si="63"/>
        <v>#DIV/0!</v>
      </c>
      <c r="K778">
        <f t="shared" si="59"/>
        <v>0</v>
      </c>
      <c r="L778" s="37">
        <f t="shared" si="60"/>
        <v>0</v>
      </c>
    </row>
    <row r="779" spans="5:12">
      <c r="E779" s="3">
        <f t="shared" si="61"/>
        <v>6</v>
      </c>
      <c r="G779" s="19" t="str">
        <f t="shared" si="62"/>
        <v/>
      </c>
      <c r="J779" s="28" t="e">
        <f t="shared" si="63"/>
        <v>#DIV/0!</v>
      </c>
      <c r="K779">
        <f t="shared" si="59"/>
        <v>0</v>
      </c>
      <c r="L779" s="37">
        <f t="shared" si="60"/>
        <v>0</v>
      </c>
    </row>
    <row r="780" spans="5:12">
      <c r="E780" s="3">
        <f t="shared" si="61"/>
        <v>6</v>
      </c>
      <c r="G780" s="19" t="str">
        <f t="shared" si="62"/>
        <v/>
      </c>
      <c r="J780" s="28" t="e">
        <f t="shared" si="63"/>
        <v>#DIV/0!</v>
      </c>
      <c r="K780">
        <f t="shared" si="59"/>
        <v>0</v>
      </c>
      <c r="L780" s="37">
        <f t="shared" si="60"/>
        <v>0</v>
      </c>
    </row>
    <row r="781" spans="5:12">
      <c r="E781" s="3">
        <f t="shared" si="61"/>
        <v>6</v>
      </c>
      <c r="G781" s="19" t="str">
        <f t="shared" si="62"/>
        <v/>
      </c>
      <c r="J781" s="28" t="e">
        <f t="shared" si="63"/>
        <v>#DIV/0!</v>
      </c>
      <c r="K781">
        <f t="shared" si="59"/>
        <v>0</v>
      </c>
      <c r="L781" s="37">
        <f t="shared" si="60"/>
        <v>0</v>
      </c>
    </row>
    <row r="782" spans="5:12">
      <c r="E782" s="3">
        <f t="shared" si="61"/>
        <v>6</v>
      </c>
      <c r="G782" s="19" t="str">
        <f t="shared" si="62"/>
        <v/>
      </c>
      <c r="J782" s="28" t="e">
        <f t="shared" si="63"/>
        <v>#DIV/0!</v>
      </c>
      <c r="K782">
        <f t="shared" si="59"/>
        <v>0</v>
      </c>
      <c r="L782" s="37">
        <f t="shared" si="60"/>
        <v>0</v>
      </c>
    </row>
    <row r="783" spans="5:12">
      <c r="E783" s="3">
        <f t="shared" si="61"/>
        <v>6</v>
      </c>
      <c r="G783" s="19" t="str">
        <f t="shared" si="62"/>
        <v/>
      </c>
      <c r="J783" s="28" t="e">
        <f t="shared" si="63"/>
        <v>#DIV/0!</v>
      </c>
      <c r="K783">
        <f t="shared" si="59"/>
        <v>0</v>
      </c>
      <c r="L783" s="37">
        <f t="shared" si="60"/>
        <v>0</v>
      </c>
    </row>
    <row r="784" spans="5:12">
      <c r="E784" s="3">
        <f t="shared" si="61"/>
        <v>6</v>
      </c>
      <c r="G784" s="19" t="str">
        <f t="shared" si="62"/>
        <v/>
      </c>
      <c r="H784">
        <f>SUM(A784:A790)</f>
        <v>0</v>
      </c>
      <c r="I784" s="28" t="e">
        <f>H784/H777-1</f>
        <v>#DIV/0!</v>
      </c>
      <c r="J784" s="28" t="e">
        <f t="shared" si="63"/>
        <v>#DIV/0!</v>
      </c>
      <c r="K784">
        <f t="shared" si="59"/>
        <v>0</v>
      </c>
      <c r="L784" s="37">
        <f t="shared" si="60"/>
        <v>0</v>
      </c>
    </row>
    <row r="785" spans="5:12">
      <c r="E785" s="3">
        <f t="shared" si="61"/>
        <v>6</v>
      </c>
      <c r="G785" s="19" t="str">
        <f t="shared" si="62"/>
        <v/>
      </c>
      <c r="J785" s="28" t="e">
        <f t="shared" si="63"/>
        <v>#DIV/0!</v>
      </c>
      <c r="K785">
        <f t="shared" si="59"/>
        <v>0</v>
      </c>
      <c r="L785" s="37">
        <f t="shared" si="60"/>
        <v>0</v>
      </c>
    </row>
    <row r="786" spans="5:12">
      <c r="E786" s="3">
        <f t="shared" si="61"/>
        <v>6</v>
      </c>
      <c r="G786" s="19" t="str">
        <f t="shared" si="62"/>
        <v/>
      </c>
      <c r="J786" s="28" t="e">
        <f t="shared" si="63"/>
        <v>#DIV/0!</v>
      </c>
      <c r="K786">
        <f t="shared" si="59"/>
        <v>0</v>
      </c>
      <c r="L786" s="37">
        <f t="shared" si="60"/>
        <v>0</v>
      </c>
    </row>
    <row r="787" spans="5:12">
      <c r="E787" s="3">
        <f t="shared" si="61"/>
        <v>6</v>
      </c>
      <c r="G787" s="19" t="str">
        <f t="shared" si="62"/>
        <v/>
      </c>
      <c r="J787" s="28" t="e">
        <f t="shared" si="63"/>
        <v>#DIV/0!</v>
      </c>
      <c r="K787">
        <f t="shared" si="59"/>
        <v>0</v>
      </c>
      <c r="L787" s="37">
        <f t="shared" si="60"/>
        <v>0</v>
      </c>
    </row>
    <row r="788" spans="5:12">
      <c r="E788" s="3">
        <f t="shared" si="61"/>
        <v>6</v>
      </c>
      <c r="G788" s="19" t="str">
        <f t="shared" si="62"/>
        <v/>
      </c>
      <c r="J788" s="28" t="e">
        <f t="shared" si="63"/>
        <v>#DIV/0!</v>
      </c>
      <c r="K788">
        <f t="shared" si="59"/>
        <v>0</v>
      </c>
      <c r="L788" s="37">
        <f t="shared" si="60"/>
        <v>0</v>
      </c>
    </row>
    <row r="789" spans="5:12">
      <c r="E789" s="3">
        <f t="shared" si="61"/>
        <v>6</v>
      </c>
      <c r="G789" s="19" t="str">
        <f t="shared" si="62"/>
        <v/>
      </c>
      <c r="J789" s="28" t="e">
        <f t="shared" si="63"/>
        <v>#DIV/0!</v>
      </c>
      <c r="K789">
        <f t="shared" ref="K789:K805" si="64">SUM(A783:A789)</f>
        <v>0</v>
      </c>
      <c r="L789" s="37">
        <f t="shared" si="60"/>
        <v>0</v>
      </c>
    </row>
    <row r="790" spans="5:12">
      <c r="E790" s="3">
        <f t="shared" si="61"/>
        <v>6</v>
      </c>
      <c r="G790" s="19" t="str">
        <f t="shared" si="62"/>
        <v/>
      </c>
      <c r="J790" s="28" t="e">
        <f t="shared" si="63"/>
        <v>#DIV/0!</v>
      </c>
      <c r="K790">
        <f t="shared" si="64"/>
        <v>0</v>
      </c>
      <c r="L790" s="37">
        <f t="shared" si="60"/>
        <v>0</v>
      </c>
    </row>
    <row r="791" spans="5:12">
      <c r="E791" s="3">
        <f t="shared" si="61"/>
        <v>6</v>
      </c>
      <c r="G791" s="19" t="str">
        <f t="shared" si="62"/>
        <v/>
      </c>
      <c r="H791">
        <f>SUM(A791:A797)</f>
        <v>0</v>
      </c>
      <c r="I791" s="28" t="e">
        <f>H791/H784-1</f>
        <v>#DIV/0!</v>
      </c>
      <c r="J791" s="28" t="e">
        <f t="shared" si="63"/>
        <v>#DIV/0!</v>
      </c>
      <c r="K791">
        <f t="shared" si="64"/>
        <v>0</v>
      </c>
      <c r="L791" s="37">
        <f t="shared" si="60"/>
        <v>0</v>
      </c>
    </row>
    <row r="792" spans="5:12">
      <c r="E792" s="3">
        <f t="shared" si="61"/>
        <v>6</v>
      </c>
      <c r="G792" s="19" t="str">
        <f t="shared" si="62"/>
        <v/>
      </c>
      <c r="J792" s="28" t="e">
        <f t="shared" si="63"/>
        <v>#DIV/0!</v>
      </c>
      <c r="K792">
        <f t="shared" si="64"/>
        <v>0</v>
      </c>
      <c r="L792" s="37">
        <f t="shared" si="60"/>
        <v>0</v>
      </c>
    </row>
    <row r="793" spans="5:12">
      <c r="E793" s="3">
        <f t="shared" si="61"/>
        <v>6</v>
      </c>
      <c r="G793" s="19" t="str">
        <f t="shared" si="62"/>
        <v/>
      </c>
      <c r="J793" s="28" t="e">
        <f t="shared" si="63"/>
        <v>#DIV/0!</v>
      </c>
      <c r="K793">
        <f t="shared" si="64"/>
        <v>0</v>
      </c>
      <c r="L793" s="37">
        <f t="shared" si="60"/>
        <v>0</v>
      </c>
    </row>
    <row r="794" spans="5:12">
      <c r="E794" s="3">
        <f t="shared" si="61"/>
        <v>6</v>
      </c>
      <c r="G794" s="19" t="str">
        <f t="shared" si="62"/>
        <v/>
      </c>
      <c r="J794" s="28" t="e">
        <f t="shared" si="63"/>
        <v>#DIV/0!</v>
      </c>
      <c r="K794">
        <f t="shared" si="64"/>
        <v>0</v>
      </c>
      <c r="L794" s="37">
        <f t="shared" si="60"/>
        <v>0</v>
      </c>
    </row>
    <row r="795" spans="5:12">
      <c r="E795" s="3">
        <f t="shared" si="61"/>
        <v>6</v>
      </c>
      <c r="G795" s="19" t="str">
        <f t="shared" si="62"/>
        <v/>
      </c>
      <c r="J795" s="28" t="e">
        <f t="shared" si="63"/>
        <v>#DIV/0!</v>
      </c>
      <c r="K795">
        <f t="shared" si="64"/>
        <v>0</v>
      </c>
      <c r="L795" s="37">
        <f t="shared" si="60"/>
        <v>0</v>
      </c>
    </row>
    <row r="796" spans="5:12">
      <c r="E796" s="3">
        <f t="shared" si="61"/>
        <v>6</v>
      </c>
      <c r="G796" s="19" t="str">
        <f t="shared" si="62"/>
        <v/>
      </c>
      <c r="J796" s="28" t="e">
        <f t="shared" si="63"/>
        <v>#DIV/0!</v>
      </c>
      <c r="K796">
        <f t="shared" si="64"/>
        <v>0</v>
      </c>
      <c r="L796" s="37">
        <f t="shared" si="60"/>
        <v>0</v>
      </c>
    </row>
    <row r="797" spans="5:12">
      <c r="E797" s="3">
        <f t="shared" si="61"/>
        <v>6</v>
      </c>
      <c r="G797" s="19" t="str">
        <f t="shared" si="62"/>
        <v/>
      </c>
      <c r="J797" s="28" t="e">
        <f t="shared" si="63"/>
        <v>#DIV/0!</v>
      </c>
      <c r="K797">
        <f t="shared" si="64"/>
        <v>0</v>
      </c>
      <c r="L797" s="37">
        <f t="shared" si="60"/>
        <v>0</v>
      </c>
    </row>
    <row r="798" spans="5:12">
      <c r="E798" s="3">
        <f t="shared" si="61"/>
        <v>6</v>
      </c>
      <c r="G798" s="19" t="str">
        <f t="shared" si="62"/>
        <v/>
      </c>
      <c r="H798">
        <f>SUM(A798:A804)</f>
        <v>0</v>
      </c>
      <c r="I798" s="28" t="e">
        <f>H798/H791-1</f>
        <v>#DIV/0!</v>
      </c>
      <c r="J798" s="28" t="e">
        <f t="shared" si="63"/>
        <v>#DIV/0!</v>
      </c>
      <c r="K798">
        <f t="shared" si="64"/>
        <v>0</v>
      </c>
      <c r="L798" s="37">
        <f t="shared" si="60"/>
        <v>0</v>
      </c>
    </row>
    <row r="799" spans="5:12">
      <c r="E799" s="3">
        <f t="shared" si="61"/>
        <v>6</v>
      </c>
      <c r="G799" s="19" t="str">
        <f t="shared" si="62"/>
        <v/>
      </c>
      <c r="J799" s="28" t="e">
        <f t="shared" si="63"/>
        <v>#DIV/0!</v>
      </c>
      <c r="K799">
        <f t="shared" si="64"/>
        <v>0</v>
      </c>
      <c r="L799" s="37">
        <f t="shared" si="60"/>
        <v>0</v>
      </c>
    </row>
    <row r="800" spans="5:12">
      <c r="E800" s="3">
        <f t="shared" si="61"/>
        <v>6</v>
      </c>
      <c r="G800" s="19" t="str">
        <f t="shared" si="62"/>
        <v/>
      </c>
      <c r="J800" s="28" t="e">
        <f t="shared" si="63"/>
        <v>#DIV/0!</v>
      </c>
      <c r="K800">
        <f t="shared" si="64"/>
        <v>0</v>
      </c>
      <c r="L800" s="37">
        <f t="shared" si="60"/>
        <v>0</v>
      </c>
    </row>
    <row r="801" spans="5:12">
      <c r="E801" s="3">
        <f t="shared" si="61"/>
        <v>6</v>
      </c>
      <c r="G801" s="19" t="str">
        <f t="shared" si="62"/>
        <v/>
      </c>
      <c r="J801" s="28" t="e">
        <f t="shared" si="63"/>
        <v>#DIV/0!</v>
      </c>
      <c r="K801">
        <f t="shared" si="64"/>
        <v>0</v>
      </c>
      <c r="L801" s="37">
        <f t="shared" si="60"/>
        <v>0</v>
      </c>
    </row>
    <row r="802" spans="5:12">
      <c r="E802" s="3">
        <f t="shared" si="61"/>
        <v>6</v>
      </c>
      <c r="G802" s="19" t="str">
        <f t="shared" si="62"/>
        <v/>
      </c>
      <c r="J802" s="28" t="e">
        <f t="shared" si="63"/>
        <v>#DIV/0!</v>
      </c>
      <c r="K802">
        <f t="shared" si="64"/>
        <v>0</v>
      </c>
      <c r="L802" s="37">
        <f t="shared" si="60"/>
        <v>0</v>
      </c>
    </row>
    <row r="803" spans="5:12">
      <c r="E803" s="3">
        <f t="shared" si="61"/>
        <v>6</v>
      </c>
      <c r="G803" s="19" t="str">
        <f t="shared" si="62"/>
        <v/>
      </c>
      <c r="J803" s="28" t="e">
        <f t="shared" si="63"/>
        <v>#DIV/0!</v>
      </c>
      <c r="K803">
        <f t="shared" si="64"/>
        <v>0</v>
      </c>
      <c r="L803" s="37">
        <f t="shared" si="60"/>
        <v>0</v>
      </c>
    </row>
    <row r="804" spans="5:12">
      <c r="E804" s="3">
        <f t="shared" si="61"/>
        <v>6</v>
      </c>
      <c r="G804" s="19" t="str">
        <f t="shared" si="62"/>
        <v/>
      </c>
      <c r="J804" s="28" t="e">
        <f t="shared" si="63"/>
        <v>#DIV/0!</v>
      </c>
      <c r="K804">
        <f t="shared" si="64"/>
        <v>0</v>
      </c>
      <c r="L804" s="37">
        <f t="shared" si="60"/>
        <v>0</v>
      </c>
    </row>
    <row r="805" spans="5:12">
      <c r="E805" s="3">
        <f t="shared" si="61"/>
        <v>6</v>
      </c>
      <c r="G805" s="19" t="str">
        <f t="shared" si="62"/>
        <v/>
      </c>
      <c r="H805">
        <f>SUM(A805:A811)</f>
        <v>0</v>
      </c>
      <c r="I805" s="28" t="e">
        <f>H805/H798-1</f>
        <v>#DIV/0!</v>
      </c>
      <c r="J805" s="28" t="e">
        <f t="shared" si="63"/>
        <v>#DIV/0!</v>
      </c>
      <c r="K805">
        <f t="shared" si="64"/>
        <v>0</v>
      </c>
      <c r="L805" s="37">
        <f t="shared" si="60"/>
        <v>0</v>
      </c>
    </row>
  </sheetData>
  <autoFilter ref="A1:O805" xr:uid="{00000000-0001-0000-0200-000000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350520</xdr:colOff>
                    <xdr:row>0</xdr:row>
                    <xdr:rowOff>68580</xdr:rowOff>
                  </from>
                  <to>
                    <xdr:col>1</xdr:col>
                    <xdr:colOff>1363980</xdr:colOff>
                    <xdr:row>0</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665" activePane="bottomLeft" state="frozen"/>
      <selection pane="bottomLeft" activeCell="A560" sqref="A560"/>
    </sheetView>
  </sheetViews>
  <sheetFormatPr defaultRowHeight="14.4"/>
  <cols>
    <col min="1" max="1" width="8.886718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2.109375" customWidth="1"/>
    <col min="11" max="11" width="14" bestFit="1" customWidth="1"/>
    <col min="13" max="13" width="14.109375" bestFit="1" customWidth="1"/>
  </cols>
  <sheetData>
    <row r="1" spans="1:14" s="7" customFormat="1" ht="39.9" customHeight="1">
      <c r="A1" s="31" t="s">
        <v>290</v>
      </c>
      <c r="B1" s="1" t="s">
        <v>1</v>
      </c>
      <c r="C1" s="1" t="s">
        <v>9</v>
      </c>
      <c r="D1" s="1" t="s">
        <v>291</v>
      </c>
      <c r="E1" s="1" t="s">
        <v>299</v>
      </c>
      <c r="F1" s="6" t="s">
        <v>7</v>
      </c>
      <c r="G1" s="7" t="s">
        <v>465</v>
      </c>
      <c r="H1" s="7" t="s">
        <v>467</v>
      </c>
      <c r="I1" s="7">
        <f>SUM(A:A)</f>
        <v>106603</v>
      </c>
      <c r="J1" s="7">
        <f>MAX(A:A)</f>
        <v>899</v>
      </c>
      <c r="K1" s="15">
        <f>VLOOKUP(J1,A:F,6,FALSE)</f>
        <v>44545.625</v>
      </c>
      <c r="L1" s="7">
        <f>COUNT(DataN)-5</f>
        <v>712</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13.12.2021 saakka. Suurin arvo 899, joka 15.12.2021.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613</v>
      </c>
      <c r="I91" s="28">
        <f>H91/H84-1</f>
        <v>0.73163841807909602</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133</v>
      </c>
      <c r="B95" t="s">
        <v>49</v>
      </c>
      <c r="C95" t="s">
        <v>456</v>
      </c>
      <c r="E95" s="3">
        <f t="shared" si="3"/>
        <v>5</v>
      </c>
      <c r="F95" s="5">
        <v>43924.625</v>
      </c>
      <c r="G95" s="19" t="str">
        <f t="shared" si="4"/>
        <v/>
      </c>
      <c r="J95" s="28">
        <f t="shared" si="5"/>
        <v>1.7142857142857144</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3.4257748776509001E-2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-0.56390977443609025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118</v>
      </c>
      <c r="I231" s="28">
        <f>H231/H224-1</f>
        <v>-4.065040650406504E-2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7</v>
      </c>
      <c r="B237" t="s">
        <v>189</v>
      </c>
      <c r="C237" t="s">
        <v>456</v>
      </c>
      <c r="E237" s="3">
        <f t="shared" si="9"/>
        <v>7</v>
      </c>
      <c r="F237" s="5">
        <v>44066.625</v>
      </c>
      <c r="G237" s="19" t="str">
        <f t="shared" si="10"/>
        <v/>
      </c>
      <c r="J237" s="28">
        <f t="shared" si="11"/>
        <v>-0.77419354838709675</v>
      </c>
    </row>
    <row r="238" spans="1:10">
      <c r="A238" s="3">
        <v>12</v>
      </c>
      <c r="B238" t="s">
        <v>190</v>
      </c>
      <c r="C238" t="s">
        <v>456</v>
      </c>
      <c r="E238" s="3">
        <f t="shared" si="9"/>
        <v>1</v>
      </c>
      <c r="F238" s="5">
        <v>44067.625</v>
      </c>
      <c r="G238" s="19" t="str">
        <f t="shared" si="10"/>
        <v>2020-W35</v>
      </c>
      <c r="H238">
        <f>SUM(A238:A244)</f>
        <v>87</v>
      </c>
      <c r="I238" s="28">
        <f>H238/H231-1</f>
        <v>-0.26271186440677963</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0.5714285714285714</v>
      </c>
    </row>
    <row r="245" spans="1:10">
      <c r="A245" s="3">
        <v>19</v>
      </c>
      <c r="B245" t="s">
        <v>197</v>
      </c>
      <c r="C245" t="s">
        <v>456</v>
      </c>
      <c r="E245" s="3">
        <f t="shared" si="9"/>
        <v>1</v>
      </c>
      <c r="F245" s="5">
        <v>44074.625</v>
      </c>
      <c r="G245" s="19" t="str">
        <f t="shared" si="10"/>
        <v>2020-W36</v>
      </c>
      <c r="H245">
        <f>SUM(A245:A251)</f>
        <v>121</v>
      </c>
      <c r="I245" s="28">
        <f>H245/H238-1</f>
        <v>0.39080459770114939</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16</v>
      </c>
      <c r="B248" t="s">
        <v>200</v>
      </c>
      <c r="C248" t="s">
        <v>456</v>
      </c>
      <c r="E248" s="3">
        <f t="shared" si="9"/>
        <v>4</v>
      </c>
      <c r="F248" s="5">
        <v>44077.625</v>
      </c>
      <c r="G248" s="19" t="str">
        <f t="shared" si="10"/>
        <v/>
      </c>
      <c r="J248" s="28">
        <f t="shared" si="11"/>
        <v>-0.23809523809523814</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0.10743801652892571</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6.25E-2</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84</v>
      </c>
      <c r="B273" t="s">
        <v>225</v>
      </c>
      <c r="C273" t="s">
        <v>456</v>
      </c>
      <c r="E273" s="3">
        <f t="shared" si="12"/>
        <v>1</v>
      </c>
      <c r="F273" s="5">
        <v>44102.625</v>
      </c>
      <c r="G273" s="19" t="str">
        <f t="shared" si="13"/>
        <v>2020-W40</v>
      </c>
      <c r="H273">
        <f>SUM(A273:A279)</f>
        <v>566</v>
      </c>
      <c r="I273" s="28">
        <f>H273/H266-1</f>
        <v>0.29223744292237441</v>
      </c>
      <c r="J273" s="28">
        <f t="shared" si="14"/>
        <v>0.27272727272727271</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0.33745583038869253</v>
      </c>
      <c r="J280" s="28">
        <f t="shared" si="14"/>
        <v>0.41666666666666674</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674</v>
      </c>
      <c r="I294" s="28">
        <f>H294/H287-1</f>
        <v>-5.2039381153305198E-2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104</v>
      </c>
      <c r="B298" t="s">
        <v>316</v>
      </c>
      <c r="C298" t="s">
        <v>456</v>
      </c>
      <c r="E298" s="3">
        <f t="shared" si="12"/>
        <v>5</v>
      </c>
      <c r="F298" s="5">
        <v>44127.625</v>
      </c>
      <c r="G298" s="19" t="str">
        <f t="shared" si="13"/>
        <v/>
      </c>
      <c r="J298" s="28">
        <f t="shared" si="14"/>
        <v>-0.12605042016806722</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763</v>
      </c>
      <c r="I301" s="28">
        <f>H301/H294-1</f>
        <v>0.13204747774480707</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100</v>
      </c>
      <c r="B304" t="s">
        <v>322</v>
      </c>
      <c r="C304" t="s">
        <v>456</v>
      </c>
      <c r="E304" s="3">
        <f t="shared" si="12"/>
        <v>4</v>
      </c>
      <c r="F304" s="5">
        <v>44133.625</v>
      </c>
      <c r="G304" s="19" t="str">
        <f t="shared" si="13"/>
        <v/>
      </c>
      <c r="J304" s="28">
        <f t="shared" si="14"/>
        <v>-9.9099099099099086E-2</v>
      </c>
    </row>
    <row r="305" spans="1:10">
      <c r="A305" s="3">
        <v>123</v>
      </c>
      <c r="B305" t="s">
        <v>323</v>
      </c>
      <c r="C305" t="s">
        <v>456</v>
      </c>
      <c r="E305" s="3">
        <f t="shared" si="12"/>
        <v>5</v>
      </c>
      <c r="F305" s="5">
        <v>44134.625</v>
      </c>
      <c r="G305" s="19" t="str">
        <f t="shared" si="13"/>
        <v/>
      </c>
      <c r="J305" s="28">
        <f t="shared" si="14"/>
        <v>0.18269230769230771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155</v>
      </c>
      <c r="B308" s="10" t="s">
        <v>326</v>
      </c>
      <c r="C308" s="10" t="s">
        <v>456</v>
      </c>
      <c r="E308" s="14">
        <f t="shared" si="12"/>
        <v>1</v>
      </c>
      <c r="F308" s="18">
        <v>44137.625</v>
      </c>
      <c r="G308" s="19" t="str">
        <f t="shared" si="13"/>
        <v>2020-W45</v>
      </c>
      <c r="H308">
        <f>SUM(A308:A314)</f>
        <v>858</v>
      </c>
      <c r="I308" s="28">
        <f>H308/H301-1</f>
        <v>0.12450851900393189</v>
      </c>
      <c r="J308" s="28">
        <f t="shared" si="14"/>
        <v>0.16541353383458657</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0.37999999999999989</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0.1631701631701632</v>
      </c>
      <c r="J315" s="28">
        <f t="shared" si="14"/>
        <v>4.5161290322580649E-2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1665</v>
      </c>
      <c r="I322" s="28">
        <f>H322/H315-1</f>
        <v>0.66833667334669333</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180</v>
      </c>
      <c r="B327" t="s">
        <v>347</v>
      </c>
      <c r="C327" t="s">
        <v>456</v>
      </c>
      <c r="E327" s="3">
        <f t="shared" si="16"/>
        <v>6</v>
      </c>
      <c r="F327" s="5">
        <v>44156.625</v>
      </c>
      <c r="G327" s="19" t="str">
        <f t="shared" si="15"/>
        <v/>
      </c>
      <c r="J327" s="28">
        <f t="shared" si="14"/>
        <v>0.9780219780219781</v>
      </c>
    </row>
    <row r="328" spans="1:10">
      <c r="A328" s="3">
        <v>161</v>
      </c>
      <c r="B328" t="s">
        <v>348</v>
      </c>
      <c r="C328" t="s">
        <v>456</v>
      </c>
      <c r="E328" s="3">
        <f t="shared" si="16"/>
        <v>7</v>
      </c>
      <c r="F328" s="5">
        <v>44157.625</v>
      </c>
      <c r="G328" s="19" t="str">
        <f t="shared" si="15"/>
        <v/>
      </c>
      <c r="J328" s="28">
        <f t="shared" si="14"/>
        <v>0.46363636363636362</v>
      </c>
    </row>
    <row r="329" spans="1:10">
      <c r="A329" s="3">
        <v>261</v>
      </c>
      <c r="B329" t="s">
        <v>349</v>
      </c>
      <c r="C329" t="s">
        <v>456</v>
      </c>
      <c r="E329" s="3">
        <f t="shared" si="16"/>
        <v>1</v>
      </c>
      <c r="F329" s="5">
        <v>44158.625</v>
      </c>
      <c r="G329" s="19" t="str">
        <f t="shared" si="15"/>
        <v>2020-W48</v>
      </c>
      <c r="H329">
        <f>SUM(A329:A335)</f>
        <v>1655</v>
      </c>
      <c r="I329" s="28">
        <f>H329/H322-1</f>
        <v>-6.0060060060059817E-3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261</v>
      </c>
      <c r="B332" t="s">
        <v>354</v>
      </c>
      <c r="C332" t="s">
        <v>456</v>
      </c>
      <c r="E332" s="3">
        <f t="shared" si="16"/>
        <v>4</v>
      </c>
      <c r="F332" s="5">
        <v>44161.625</v>
      </c>
      <c r="G332" s="19" t="str">
        <f t="shared" si="15"/>
        <v/>
      </c>
      <c r="J332" s="28">
        <f t="shared" si="17"/>
        <v>-0.18437499999999996</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-0.16111111111111109</v>
      </c>
    </row>
    <row r="335" spans="1:10">
      <c r="A335" s="3">
        <v>158</v>
      </c>
      <c r="B335" t="s">
        <v>357</v>
      </c>
      <c r="C335" t="s">
        <v>456</v>
      </c>
      <c r="E335" s="3">
        <f t="shared" si="16"/>
        <v>7</v>
      </c>
      <c r="F335" s="5">
        <v>44164.625</v>
      </c>
      <c r="G335" s="19" t="str">
        <f t="shared" si="15"/>
        <v/>
      </c>
      <c r="J335" s="28">
        <f t="shared" si="17"/>
        <v>-1.8633540372670843E-2</v>
      </c>
    </row>
    <row r="336" spans="1:10">
      <c r="A336" s="3">
        <v>313</v>
      </c>
      <c r="B336" t="s">
        <v>358</v>
      </c>
      <c r="C336" t="s">
        <v>456</v>
      </c>
      <c r="E336" s="3">
        <f t="shared" si="16"/>
        <v>1</v>
      </c>
      <c r="F336" s="5">
        <v>44165.625</v>
      </c>
      <c r="G336" s="19" t="str">
        <f t="shared" si="15"/>
        <v>2020-W49</v>
      </c>
      <c r="H336">
        <f>SUM(A336:A342)</f>
        <v>1599</v>
      </c>
      <c r="I336" s="28">
        <f>H336/H329-1</f>
        <v>-3.3836858006042303E-2</v>
      </c>
      <c r="J336" s="28">
        <f t="shared" si="17"/>
        <v>0.19923371647509569</v>
      </c>
    </row>
    <row r="337" spans="1:10">
      <c r="A337" s="3">
        <v>221</v>
      </c>
      <c r="B337" t="s">
        <v>360</v>
      </c>
      <c r="C337" t="s">
        <v>456</v>
      </c>
      <c r="E337" s="3">
        <f t="shared" si="16"/>
        <v>2</v>
      </c>
      <c r="F337" s="5">
        <v>44166.625</v>
      </c>
      <c r="G337" s="19" t="str">
        <f t="shared" si="15"/>
        <v/>
      </c>
      <c r="J337" s="28">
        <f t="shared" si="17"/>
        <v>-0.21908127208480566</v>
      </c>
    </row>
    <row r="338" spans="1:10">
      <c r="A338" s="3">
        <v>250</v>
      </c>
      <c r="B338" t="s">
        <v>361</v>
      </c>
      <c r="C338" t="s">
        <v>456</v>
      </c>
      <c r="E338" s="3">
        <f t="shared" si="16"/>
        <v>3</v>
      </c>
      <c r="F338" s="5">
        <v>44167.625</v>
      </c>
      <c r="G338" s="19" t="str">
        <f t="shared" si="15"/>
        <v/>
      </c>
      <c r="J338" s="28">
        <f t="shared" si="17"/>
        <v>-0.16387959866220736</v>
      </c>
    </row>
    <row r="339" spans="1:10">
      <c r="A339" s="3">
        <v>281</v>
      </c>
      <c r="B339" t="s">
        <v>362</v>
      </c>
      <c r="C339" t="s">
        <v>456</v>
      </c>
      <c r="E339" s="3">
        <f t="shared" si="16"/>
        <v>4</v>
      </c>
      <c r="F339" s="5">
        <v>44168.625</v>
      </c>
      <c r="G339" s="19" t="str">
        <f t="shared" si="15"/>
        <v/>
      </c>
      <c r="J339" s="28">
        <f t="shared" si="17"/>
        <v>7.6628352490421436E-2</v>
      </c>
    </row>
    <row r="340" spans="1:10">
      <c r="A340" s="3">
        <v>224</v>
      </c>
      <c r="B340" t="s">
        <v>363</v>
      </c>
      <c r="C340" t="s">
        <v>456</v>
      </c>
      <c r="E340" s="3">
        <f t="shared" si="16"/>
        <v>5</v>
      </c>
      <c r="F340" s="5">
        <v>44169.625</v>
      </c>
      <c r="G340" s="19" t="str">
        <f t="shared" si="15"/>
        <v/>
      </c>
      <c r="J340" s="28">
        <f t="shared" si="17"/>
        <v>-7.4380165289256173E-2</v>
      </c>
    </row>
    <row r="341" spans="1:10">
      <c r="A341" s="3">
        <v>153</v>
      </c>
      <c r="B341" t="s">
        <v>364</v>
      </c>
      <c r="C341" t="s">
        <v>456</v>
      </c>
      <c r="E341" s="3">
        <f t="shared" si="16"/>
        <v>6</v>
      </c>
      <c r="F341" s="5">
        <v>44170.625</v>
      </c>
      <c r="G341" s="19" t="str">
        <f t="shared" si="15"/>
        <v/>
      </c>
      <c r="J341" s="28">
        <f t="shared" si="17"/>
        <v>1.3245033112582849E-2</v>
      </c>
    </row>
    <row r="342" spans="1:10">
      <c r="A342" s="3">
        <v>157</v>
      </c>
      <c r="B342" t="s">
        <v>365</v>
      </c>
      <c r="C342" t="s">
        <v>456</v>
      </c>
      <c r="E342" s="3">
        <f t="shared" si="16"/>
        <v>7</v>
      </c>
      <c r="F342" s="5">
        <v>44171.625</v>
      </c>
      <c r="G342" s="19" t="str">
        <f t="shared" si="15"/>
        <v/>
      </c>
      <c r="J342" s="28">
        <f t="shared" si="17"/>
        <v>-6.3291139240506666E-3</v>
      </c>
    </row>
    <row r="343" spans="1:10">
      <c r="A343" s="3">
        <v>284</v>
      </c>
      <c r="B343" t="s">
        <v>366</v>
      </c>
      <c r="C343" t="s">
        <v>456</v>
      </c>
      <c r="E343" s="3">
        <f t="shared" si="16"/>
        <v>1</v>
      </c>
      <c r="F343" s="5">
        <v>44172.625</v>
      </c>
      <c r="G343" s="19" t="str">
        <f t="shared" si="15"/>
        <v>2020-W50</v>
      </c>
      <c r="H343">
        <f>SUM(A343:A349)</f>
        <v>1579</v>
      </c>
      <c r="I343" s="28">
        <f>H343/H336-1</f>
        <v>-1.2507817385866149E-2</v>
      </c>
      <c r="J343" s="28">
        <f t="shared" si="17"/>
        <v>-9.2651757188498385E-2</v>
      </c>
    </row>
    <row r="344" spans="1:10">
      <c r="A344" s="3">
        <v>253</v>
      </c>
      <c r="B344" t="s">
        <v>367</v>
      </c>
      <c r="C344" t="s">
        <v>456</v>
      </c>
      <c r="E344" s="3">
        <f t="shared" si="16"/>
        <v>2</v>
      </c>
      <c r="F344" s="5">
        <v>44173.625</v>
      </c>
      <c r="G344" s="19" t="str">
        <f t="shared" si="15"/>
        <v/>
      </c>
      <c r="J344" s="28">
        <f t="shared" si="17"/>
        <v>0.14479638009049767</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-0.20996441281138789</v>
      </c>
    </row>
    <row r="347" spans="1:10">
      <c r="A347" s="3">
        <v>236</v>
      </c>
      <c r="B347" t="s">
        <v>370</v>
      </c>
      <c r="C347" t="s">
        <v>456</v>
      </c>
      <c r="E347" s="3">
        <f t="shared" si="16"/>
        <v>5</v>
      </c>
      <c r="F347" s="5">
        <v>44176.625</v>
      </c>
      <c r="G347" s="19" t="str">
        <f t="shared" si="15"/>
        <v/>
      </c>
      <c r="J347" s="28">
        <f t="shared" si="17"/>
        <v>5.3571428571428603E-2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7.6433121019108263E-2</v>
      </c>
    </row>
    <row r="350" spans="1:10">
      <c r="A350" s="3">
        <v>233</v>
      </c>
      <c r="B350" t="s">
        <v>373</v>
      </c>
      <c r="C350" t="s">
        <v>456</v>
      </c>
      <c r="E350" s="3">
        <f t="shared" si="16"/>
        <v>1</v>
      </c>
      <c r="F350" s="5">
        <v>44179.625</v>
      </c>
      <c r="G350" s="19" t="str">
        <f t="shared" si="15"/>
        <v>2020-W51</v>
      </c>
      <c r="H350">
        <f>SUM(A350:A356)</f>
        <v>1223</v>
      </c>
      <c r="I350" s="28">
        <f>H350/H343-1</f>
        <v>-0.22545915136162131</v>
      </c>
      <c r="J350" s="28">
        <f t="shared" si="17"/>
        <v>-0.17957746478873238</v>
      </c>
    </row>
    <row r="351" spans="1:10">
      <c r="A351" s="3">
        <v>195</v>
      </c>
      <c r="B351" t="s">
        <v>374</v>
      </c>
      <c r="C351" t="s">
        <v>456</v>
      </c>
      <c r="E351" s="3">
        <f t="shared" si="16"/>
        <v>2</v>
      </c>
      <c r="F351" s="5">
        <v>44180.625</v>
      </c>
      <c r="G351" s="19" t="str">
        <f t="shared" si="15"/>
        <v/>
      </c>
      <c r="J351" s="28">
        <f t="shared" si="17"/>
        <v>-0.22924901185770752</v>
      </c>
    </row>
    <row r="352" spans="1:10">
      <c r="A352" s="3">
        <v>191</v>
      </c>
      <c r="B352" t="s">
        <v>375</v>
      </c>
      <c r="C352" t="s">
        <v>456</v>
      </c>
      <c r="E352" s="3">
        <f t="shared" si="16"/>
        <v>3</v>
      </c>
      <c r="F352" s="5">
        <v>44181.625</v>
      </c>
      <c r="G352" s="19" t="str">
        <f t="shared" si="15"/>
        <v/>
      </c>
      <c r="J352" s="28">
        <f t="shared" si="17"/>
        <v>-0.28731343283582089</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-0.23305084745762716</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939</v>
      </c>
      <c r="I357" s="28">
        <f>H357/H350-1</f>
        <v>-0.23221586263286997</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-0.23560209424083767</v>
      </c>
    </row>
    <row r="360" spans="1:10">
      <c r="A360" s="3">
        <v>95</v>
      </c>
      <c r="B360" t="s">
        <v>383</v>
      </c>
      <c r="C360" t="s">
        <v>456</v>
      </c>
      <c r="E360" s="3">
        <f t="shared" si="16"/>
        <v>4</v>
      </c>
      <c r="F360" s="5">
        <v>44189.625</v>
      </c>
      <c r="G360" s="19" t="str">
        <f t="shared" si="15"/>
        <v/>
      </c>
      <c r="J360" s="28">
        <f t="shared" si="17"/>
        <v>-0.37086092715231789</v>
      </c>
    </row>
    <row r="361" spans="1:10">
      <c r="A361" s="3">
        <v>95</v>
      </c>
      <c r="B361" t="s">
        <v>384</v>
      </c>
      <c r="C361" t="s">
        <v>456</v>
      </c>
      <c r="E361" s="3">
        <f t="shared" si="16"/>
        <v>5</v>
      </c>
      <c r="F361" s="5">
        <v>44190.625</v>
      </c>
      <c r="G361" s="19" t="str">
        <f t="shared" si="15"/>
        <v/>
      </c>
      <c r="J361" s="28">
        <f t="shared" si="17"/>
        <v>-0.47513812154696133</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-3.1948881789137351E-2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136</v>
      </c>
      <c r="B367" t="s">
        <v>390</v>
      </c>
      <c r="C367" t="s">
        <v>456</v>
      </c>
      <c r="E367" s="3">
        <f t="shared" si="16"/>
        <v>4</v>
      </c>
      <c r="F367" s="5">
        <v>44196.625</v>
      </c>
      <c r="G367" s="19" t="str">
        <f t="shared" si="15"/>
        <v/>
      </c>
      <c r="J367" s="28">
        <f t="shared" si="17"/>
        <v>0.43157894736842106</v>
      </c>
    </row>
    <row r="368" spans="1:10">
      <c r="A368" s="3">
        <v>66</v>
      </c>
      <c r="B368" t="s">
        <v>391</v>
      </c>
      <c r="C368" t="s">
        <v>456</v>
      </c>
      <c r="E368" s="3">
        <f t="shared" si="16"/>
        <v>5</v>
      </c>
      <c r="F368" s="5">
        <v>44197.625</v>
      </c>
      <c r="G368" s="19" t="str">
        <f t="shared" si="15"/>
        <v/>
      </c>
      <c r="J368" s="28">
        <f t="shared" si="17"/>
        <v>-0.30526315789473679</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195</v>
      </c>
      <c r="B371" t="s">
        <v>394</v>
      </c>
      <c r="C371" t="s">
        <v>456</v>
      </c>
      <c r="E371" s="3">
        <f t="shared" si="16"/>
        <v>1</v>
      </c>
      <c r="F371" s="5">
        <v>44200.625</v>
      </c>
      <c r="G371" s="19" t="str">
        <f t="shared" si="15"/>
        <v>2021-W01</v>
      </c>
      <c r="H371">
        <f>SUM(A371:A377)</f>
        <v>968</v>
      </c>
      <c r="I371" s="28">
        <f>H371/H364-1</f>
        <v>6.4906490649064841E-2</v>
      </c>
      <c r="J371" s="28">
        <f t="shared" si="17"/>
        <v>-0.12556053811659196</v>
      </c>
    </row>
    <row r="372" spans="1:10">
      <c r="A372" s="3">
        <v>153</v>
      </c>
      <c r="B372" t="s">
        <v>395</v>
      </c>
      <c r="C372" t="s">
        <v>456</v>
      </c>
      <c r="E372" s="3">
        <f t="shared" si="16"/>
        <v>2</v>
      </c>
      <c r="F372" s="5">
        <v>44201.625</v>
      </c>
      <c r="G372" s="19" t="str">
        <f t="shared" si="15"/>
        <v/>
      </c>
      <c r="J372" s="28">
        <f t="shared" si="17"/>
        <v>-6.7073170731707266E-2</v>
      </c>
    </row>
    <row r="373" spans="1:10">
      <c r="A373" s="3">
        <v>94</v>
      </c>
      <c r="B373" t="s">
        <v>396</v>
      </c>
      <c r="C373" t="s">
        <v>456</v>
      </c>
      <c r="E373" s="3">
        <f t="shared" si="16"/>
        <v>3</v>
      </c>
      <c r="F373" s="5">
        <v>44202.625</v>
      </c>
      <c r="G373" s="19" t="str">
        <f t="shared" si="15"/>
        <v/>
      </c>
      <c r="J373" s="28">
        <f t="shared" si="17"/>
        <v>-0.1454545454545455</v>
      </c>
    </row>
    <row r="374" spans="1:10">
      <c r="A374" s="3">
        <v>161</v>
      </c>
      <c r="B374" t="s">
        <v>397</v>
      </c>
      <c r="C374" t="s">
        <v>456</v>
      </c>
      <c r="E374" s="3">
        <f t="shared" si="16"/>
        <v>4</v>
      </c>
      <c r="F374" s="5">
        <v>44203.625</v>
      </c>
      <c r="G374" s="19" t="str">
        <f t="shared" si="15"/>
        <v/>
      </c>
      <c r="J374" s="28">
        <f t="shared" si="17"/>
        <v>0.18382352941176472</v>
      </c>
    </row>
    <row r="375" spans="1:10">
      <c r="A375" s="3">
        <v>146</v>
      </c>
      <c r="B375" t="s">
        <v>398</v>
      </c>
      <c r="C375" t="s">
        <v>456</v>
      </c>
      <c r="E375" s="3">
        <f t="shared" si="16"/>
        <v>5</v>
      </c>
      <c r="F375" s="5">
        <v>44204.625</v>
      </c>
      <c r="G375" s="19" t="str">
        <f t="shared" si="15"/>
        <v/>
      </c>
      <c r="J375" s="28">
        <f t="shared" si="17"/>
        <v>1.2121212121212119</v>
      </c>
    </row>
    <row r="376" spans="1:10">
      <c r="A376" s="3">
        <v>100</v>
      </c>
      <c r="B376" t="s">
        <v>399</v>
      </c>
      <c r="C376" t="s">
        <v>456</v>
      </c>
      <c r="E376" s="3">
        <f t="shared" si="16"/>
        <v>6</v>
      </c>
      <c r="F376" s="5">
        <v>44205.625</v>
      </c>
      <c r="G376" s="19" t="str">
        <f t="shared" si="15"/>
        <v/>
      </c>
      <c r="J376" s="28">
        <f t="shared" si="17"/>
        <v>-0.14529914529914534</v>
      </c>
    </row>
    <row r="377" spans="1:10">
      <c r="A377" s="3">
        <v>119</v>
      </c>
      <c r="B377" t="s">
        <v>400</v>
      </c>
      <c r="C377" t="s">
        <v>456</v>
      </c>
      <c r="E377" s="3">
        <f t="shared" si="16"/>
        <v>7</v>
      </c>
      <c r="F377" s="5">
        <v>44206.625</v>
      </c>
      <c r="G377" s="19" t="str">
        <f t="shared" si="15"/>
        <v/>
      </c>
      <c r="J377" s="28">
        <f t="shared" si="17"/>
        <v>0.27956989247311825</v>
      </c>
    </row>
    <row r="378" spans="1:10">
      <c r="A378" s="3">
        <v>187</v>
      </c>
      <c r="B378" t="s">
        <v>401</v>
      </c>
      <c r="C378" t="s">
        <v>456</v>
      </c>
      <c r="E378" s="3">
        <f t="shared" si="16"/>
        <v>1</v>
      </c>
      <c r="F378" s="5">
        <v>44207.625</v>
      </c>
      <c r="G378" s="19" t="str">
        <f t="shared" si="15"/>
        <v>2021-W02</v>
      </c>
      <c r="H378">
        <f>SUM(A378:A384)</f>
        <v>857</v>
      </c>
      <c r="I378" s="28">
        <f>H378/H371-1</f>
        <v>-0.11466942148760328</v>
      </c>
      <c r="J378" s="28">
        <f t="shared" si="17"/>
        <v>-4.1025641025640991E-2</v>
      </c>
    </row>
    <row r="379" spans="1:10">
      <c r="A379" s="3">
        <v>127</v>
      </c>
      <c r="B379" t="s">
        <v>402</v>
      </c>
      <c r="C379" t="s">
        <v>456</v>
      </c>
      <c r="E379" s="3">
        <f t="shared" si="16"/>
        <v>2</v>
      </c>
      <c r="F379" s="5">
        <v>44208.625</v>
      </c>
      <c r="G379" s="19" t="str">
        <f t="shared" si="15"/>
        <v/>
      </c>
      <c r="J379" s="28">
        <f t="shared" si="17"/>
        <v>-0.16993464052287577</v>
      </c>
    </row>
    <row r="380" spans="1:10">
      <c r="A380" s="3">
        <v>119</v>
      </c>
      <c r="B380" t="s">
        <v>403</v>
      </c>
      <c r="C380" t="s">
        <v>456</v>
      </c>
      <c r="E380" s="3">
        <f t="shared" si="16"/>
        <v>3</v>
      </c>
      <c r="F380" s="5">
        <v>44209.625</v>
      </c>
      <c r="G380" s="19" t="str">
        <f t="shared" si="15"/>
        <v/>
      </c>
      <c r="J380" s="28">
        <f t="shared" si="17"/>
        <v>0.26595744680851063</v>
      </c>
    </row>
    <row r="381" spans="1:10">
      <c r="A381" s="3">
        <v>122</v>
      </c>
      <c r="B381" t="s">
        <v>404</v>
      </c>
      <c r="C381" t="s">
        <v>456</v>
      </c>
      <c r="E381" s="3">
        <f t="shared" si="16"/>
        <v>4</v>
      </c>
      <c r="F381" s="5">
        <v>44210.625</v>
      </c>
      <c r="G381" s="19" t="str">
        <f t="shared" si="15"/>
        <v/>
      </c>
      <c r="J381" s="28">
        <f t="shared" si="17"/>
        <v>-0.24223602484472051</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-3.0000000000000027E-2</v>
      </c>
    </row>
    <row r="384" spans="1:10">
      <c r="A384" s="3">
        <v>97</v>
      </c>
      <c r="B384" t="s">
        <v>407</v>
      </c>
      <c r="C384" t="s">
        <v>456</v>
      </c>
      <c r="E384" s="3">
        <f t="shared" si="16"/>
        <v>7</v>
      </c>
      <c r="F384" s="5">
        <v>44213.625</v>
      </c>
      <c r="G384" s="19" t="str">
        <f t="shared" si="15"/>
        <v/>
      </c>
      <c r="J384" s="28">
        <f t="shared" si="17"/>
        <v>-0.18487394957983194</v>
      </c>
    </row>
    <row r="385" spans="1:10">
      <c r="A385" s="3">
        <v>257</v>
      </c>
      <c r="B385" t="s">
        <v>408</v>
      </c>
      <c r="C385" t="s">
        <v>456</v>
      </c>
      <c r="E385" s="3">
        <f t="shared" si="16"/>
        <v>1</v>
      </c>
      <c r="F385" s="5">
        <v>44214.625</v>
      </c>
      <c r="G385" s="19" t="str">
        <f t="shared" si="15"/>
        <v>2021-W03</v>
      </c>
      <c r="H385">
        <f>SUM(A385:A391)</f>
        <v>1277</v>
      </c>
      <c r="I385" s="28">
        <f>H385/H378-1</f>
        <v>0.49008168028004673</v>
      </c>
      <c r="J385" s="28">
        <f t="shared" si="17"/>
        <v>0.37433155080213898</v>
      </c>
    </row>
    <row r="386" spans="1:10">
      <c r="A386" s="3">
        <v>189</v>
      </c>
      <c r="B386" t="s">
        <v>409</v>
      </c>
      <c r="C386" t="s">
        <v>456</v>
      </c>
      <c r="E386" s="3">
        <f t="shared" si="16"/>
        <v>2</v>
      </c>
      <c r="F386" s="5">
        <v>44215.625</v>
      </c>
      <c r="G386" s="19" t="str">
        <f t="shared" si="15"/>
        <v/>
      </c>
      <c r="J386" s="28">
        <f t="shared" si="17"/>
        <v>0.48818897637795278</v>
      </c>
    </row>
    <row r="387" spans="1:10">
      <c r="A387" s="3">
        <v>211</v>
      </c>
      <c r="B387" t="s">
        <v>410</v>
      </c>
      <c r="C387" t="s">
        <v>456</v>
      </c>
      <c r="E387" s="3">
        <f t="shared" si="16"/>
        <v>3</v>
      </c>
      <c r="F387" s="5">
        <v>44216.625</v>
      </c>
      <c r="G387" s="19" t="str">
        <f t="shared" ref="G387:G450" si="18">IF(WEEKDAY(F387,2)=1,YEAR(F387)&amp;"-W"&amp;TEXT(WEEKNUM(F387,14),"00"),"")</f>
        <v/>
      </c>
      <c r="J387" s="28">
        <f t="shared" si="17"/>
        <v>0.77310924369747891</v>
      </c>
    </row>
    <row r="388" spans="1:10">
      <c r="A388" s="3">
        <v>178</v>
      </c>
      <c r="B388" t="s">
        <v>411</v>
      </c>
      <c r="C388" t="s">
        <v>456</v>
      </c>
      <c r="E388" s="3">
        <f t="shared" si="16"/>
        <v>4</v>
      </c>
      <c r="F388" s="5">
        <v>44217.625</v>
      </c>
      <c r="G388" s="19" t="str">
        <f t="shared" si="18"/>
        <v/>
      </c>
      <c r="J388" s="28">
        <f t="shared" si="17"/>
        <v>0.45901639344262302</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0.57731958762886593</v>
      </c>
    </row>
    <row r="392" spans="1:10">
      <c r="A392" s="3">
        <v>254</v>
      </c>
      <c r="B392" t="s">
        <v>415</v>
      </c>
      <c r="C392" t="s">
        <v>456</v>
      </c>
      <c r="E392" s="3">
        <f t="shared" si="19"/>
        <v>1</v>
      </c>
      <c r="F392" s="5">
        <v>44221.625</v>
      </c>
      <c r="G392" s="19" t="str">
        <f t="shared" si="18"/>
        <v>2021-W04</v>
      </c>
      <c r="H392">
        <f>SUM(A392:A398)</f>
        <v>1375</v>
      </c>
      <c r="I392" s="28">
        <f>H392/H385-1</f>
        <v>7.6742364917776085E-2</v>
      </c>
      <c r="J392" s="28">
        <f t="shared" si="17"/>
        <v>-1.1673151750972721E-2</v>
      </c>
    </row>
    <row r="393" spans="1:10">
      <c r="A393" s="3">
        <v>212</v>
      </c>
      <c r="B393" t="s">
        <v>416</v>
      </c>
      <c r="C393" t="s">
        <v>456</v>
      </c>
      <c r="E393" s="3">
        <f t="shared" si="19"/>
        <v>2</v>
      </c>
      <c r="F393" s="5">
        <v>44222.625</v>
      </c>
      <c r="G393" s="19" t="str">
        <f t="shared" si="18"/>
        <v/>
      </c>
      <c r="J393" s="28">
        <f t="shared" ref="J393:J456" si="20">A393/A386-1</f>
        <v>0.12169312169312163</v>
      </c>
    </row>
    <row r="394" spans="1:10">
      <c r="A394" s="3">
        <v>188</v>
      </c>
      <c r="B394" t="s">
        <v>417</v>
      </c>
      <c r="C394" t="s">
        <v>456</v>
      </c>
      <c r="E394" s="3">
        <f t="shared" si="19"/>
        <v>3</v>
      </c>
      <c r="F394" s="5">
        <v>44223.625</v>
      </c>
      <c r="G394" s="19" t="str">
        <f t="shared" si="18"/>
        <v/>
      </c>
      <c r="J394" s="28">
        <f t="shared" si="20"/>
        <v>-0.10900473933649291</v>
      </c>
    </row>
    <row r="395" spans="1:10">
      <c r="A395" s="3">
        <v>229</v>
      </c>
      <c r="B395" t="s">
        <v>418</v>
      </c>
      <c r="C395" t="s">
        <v>456</v>
      </c>
      <c r="E395" s="3">
        <f t="shared" si="19"/>
        <v>4</v>
      </c>
      <c r="F395" s="5">
        <v>44224.625</v>
      </c>
      <c r="G395" s="19" t="str">
        <f t="shared" si="18"/>
        <v/>
      </c>
      <c r="J395" s="28">
        <f t="shared" si="20"/>
        <v>0.28651685393258419</v>
      </c>
    </row>
    <row r="396" spans="1:10">
      <c r="A396" s="3">
        <v>191</v>
      </c>
      <c r="B396" t="s">
        <v>419</v>
      </c>
      <c r="C396" t="s">
        <v>456</v>
      </c>
      <c r="E396" s="3">
        <f t="shared" si="19"/>
        <v>5</v>
      </c>
      <c r="F396" s="5">
        <v>44225.625</v>
      </c>
      <c r="G396" s="19" t="str">
        <f t="shared" si="18"/>
        <v/>
      </c>
      <c r="J396" s="28">
        <f t="shared" si="20"/>
        <v>-2.5510204081632626E-2</v>
      </c>
    </row>
    <row r="397" spans="1:10">
      <c r="A397" s="3">
        <v>134</v>
      </c>
      <c r="B397" t="s">
        <v>421</v>
      </c>
      <c r="C397" t="s">
        <v>456</v>
      </c>
      <c r="E397" s="3">
        <f t="shared" si="19"/>
        <v>6</v>
      </c>
      <c r="F397" s="5">
        <v>44226.625</v>
      </c>
      <c r="G397" s="19" t="str">
        <f t="shared" si="18"/>
        <v/>
      </c>
      <c r="J397" s="28">
        <f t="shared" si="20"/>
        <v>0.44086021505376349</v>
      </c>
    </row>
    <row r="398" spans="1:10">
      <c r="A398" s="3">
        <v>167</v>
      </c>
      <c r="B398" t="s">
        <v>422</v>
      </c>
      <c r="C398" t="s">
        <v>456</v>
      </c>
      <c r="E398" s="3">
        <f t="shared" si="19"/>
        <v>7</v>
      </c>
      <c r="F398" s="5">
        <v>44227.625</v>
      </c>
      <c r="G398" s="19" t="str">
        <f t="shared" si="18"/>
        <v/>
      </c>
      <c r="J398" s="28">
        <f t="shared" si="20"/>
        <v>9.1503267973856106E-2</v>
      </c>
    </row>
    <row r="399" spans="1:10">
      <c r="A399" s="3">
        <v>296</v>
      </c>
      <c r="B399" t="s">
        <v>423</v>
      </c>
      <c r="C399" t="s">
        <v>456</v>
      </c>
      <c r="E399" s="3">
        <f t="shared" si="19"/>
        <v>1</v>
      </c>
      <c r="F399" s="5">
        <v>44228.625</v>
      </c>
      <c r="G399" s="19" t="str">
        <f t="shared" si="18"/>
        <v>2021-W05</v>
      </c>
      <c r="H399">
        <f>SUM(A399:A405)</f>
        <v>1573</v>
      </c>
      <c r="I399" s="28">
        <f>H399/H392-1</f>
        <v>0.14399999999999991</v>
      </c>
      <c r="J399" s="28">
        <f t="shared" si="20"/>
        <v>0.16535433070866135</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224</v>
      </c>
      <c r="B402" t="s">
        <v>426</v>
      </c>
      <c r="C402" t="s">
        <v>456</v>
      </c>
      <c r="E402" s="3">
        <f t="shared" si="19"/>
        <v>4</v>
      </c>
      <c r="F402" s="5">
        <v>44231.625</v>
      </c>
      <c r="G402" s="19" t="str">
        <f t="shared" si="18"/>
        <v/>
      </c>
      <c r="J402" s="28">
        <f t="shared" si="20"/>
        <v>-2.183406113537123E-2</v>
      </c>
    </row>
    <row r="403" spans="1:10">
      <c r="A403" s="3">
        <v>216</v>
      </c>
      <c r="B403" t="s">
        <v>427</v>
      </c>
      <c r="C403" t="s">
        <v>456</v>
      </c>
      <c r="E403" s="3">
        <f t="shared" si="19"/>
        <v>5</v>
      </c>
      <c r="F403" s="5">
        <v>44232.625</v>
      </c>
      <c r="G403" s="19" t="str">
        <f t="shared" si="18"/>
        <v/>
      </c>
      <c r="J403" s="28">
        <f t="shared" si="20"/>
        <v>0.13089005235602102</v>
      </c>
    </row>
    <row r="404" spans="1:10">
      <c r="A404" s="3">
        <v>152</v>
      </c>
      <c r="B404" t="s">
        <v>428</v>
      </c>
      <c r="C404" t="s">
        <v>456</v>
      </c>
      <c r="E404" s="3">
        <f t="shared" si="19"/>
        <v>6</v>
      </c>
      <c r="F404" s="5">
        <v>44233.625</v>
      </c>
      <c r="G404" s="19" t="str">
        <f t="shared" si="18"/>
        <v/>
      </c>
      <c r="J404" s="28">
        <f t="shared" si="20"/>
        <v>0.13432835820895517</v>
      </c>
    </row>
    <row r="405" spans="1:10">
      <c r="A405" s="3">
        <v>172</v>
      </c>
      <c r="B405" t="s">
        <v>429</v>
      </c>
      <c r="C405" t="s">
        <v>456</v>
      </c>
      <c r="E405" s="3">
        <f t="shared" si="19"/>
        <v>7</v>
      </c>
      <c r="F405" s="5">
        <v>44234.625</v>
      </c>
      <c r="G405" s="19" t="str">
        <f t="shared" si="18"/>
        <v/>
      </c>
      <c r="J405" s="28">
        <f t="shared" si="20"/>
        <v>2.9940119760478945E-2</v>
      </c>
    </row>
    <row r="406" spans="1:10">
      <c r="A406" s="3">
        <v>294</v>
      </c>
      <c r="B406" t="s">
        <v>437</v>
      </c>
      <c r="C406" t="s">
        <v>456</v>
      </c>
      <c r="E406" s="3">
        <f t="shared" si="19"/>
        <v>1</v>
      </c>
      <c r="F406" s="5">
        <v>44235.625</v>
      </c>
      <c r="G406" s="19" t="str">
        <f t="shared" si="18"/>
        <v>2021-W06</v>
      </c>
      <c r="H406">
        <f>SUM(A406:A412)</f>
        <v>1633</v>
      </c>
      <c r="I406" s="28">
        <f>H406/H399-1</f>
        <v>3.8143674507310932E-2</v>
      </c>
      <c r="J406" s="28">
        <f t="shared" si="20"/>
        <v>-6.7567567567567988E-3</v>
      </c>
    </row>
    <row r="407" spans="1:10">
      <c r="A407" s="3">
        <v>241</v>
      </c>
      <c r="B407" t="s">
        <v>438</v>
      </c>
      <c r="C407" t="s">
        <v>456</v>
      </c>
      <c r="E407" s="3">
        <f t="shared" si="19"/>
        <v>2</v>
      </c>
      <c r="F407" s="5">
        <v>44236.625</v>
      </c>
      <c r="G407" s="19" t="str">
        <f t="shared" si="18"/>
        <v/>
      </c>
      <c r="J407" s="28">
        <f t="shared" si="20"/>
        <v>-3.6000000000000032E-2</v>
      </c>
    </row>
    <row r="408" spans="1:10">
      <c r="A408" s="3">
        <v>229</v>
      </c>
      <c r="B408" t="s">
        <v>439</v>
      </c>
      <c r="C408" t="s">
        <v>456</v>
      </c>
      <c r="E408" s="3">
        <f t="shared" si="19"/>
        <v>3</v>
      </c>
      <c r="F408" s="5">
        <v>44237.625</v>
      </c>
      <c r="G408" s="19" t="str">
        <f t="shared" si="18"/>
        <v/>
      </c>
      <c r="J408" s="28">
        <f t="shared" si="20"/>
        <v>-0.12927756653992395</v>
      </c>
    </row>
    <row r="409" spans="1:10">
      <c r="A409" s="3">
        <v>236</v>
      </c>
      <c r="B409" t="s">
        <v>440</v>
      </c>
      <c r="C409" t="s">
        <v>456</v>
      </c>
      <c r="E409" s="3">
        <f t="shared" si="19"/>
        <v>4</v>
      </c>
      <c r="F409" s="5">
        <v>44238.625</v>
      </c>
      <c r="G409" s="19" t="str">
        <f t="shared" si="18"/>
        <v/>
      </c>
      <c r="J409" s="28">
        <f t="shared" si="20"/>
        <v>5.3571428571428603E-2</v>
      </c>
    </row>
    <row r="410" spans="1:10">
      <c r="A410" s="3">
        <v>260</v>
      </c>
      <c r="B410" t="s">
        <v>441</v>
      </c>
      <c r="C410" t="s">
        <v>456</v>
      </c>
      <c r="E410" s="3">
        <f t="shared" si="19"/>
        <v>5</v>
      </c>
      <c r="F410" s="5">
        <v>44239.625</v>
      </c>
      <c r="G410" s="19" t="str">
        <f t="shared" si="18"/>
        <v/>
      </c>
      <c r="J410" s="28">
        <f t="shared" si="20"/>
        <v>0.20370370370370372</v>
      </c>
    </row>
    <row r="411" spans="1:10">
      <c r="A411" s="3">
        <v>192</v>
      </c>
      <c r="B411" t="s">
        <v>442</v>
      </c>
      <c r="C411" t="s">
        <v>456</v>
      </c>
      <c r="E411" s="3">
        <f t="shared" si="19"/>
        <v>6</v>
      </c>
      <c r="F411" s="5">
        <v>44240.625</v>
      </c>
      <c r="G411" s="19" t="str">
        <f t="shared" si="18"/>
        <v/>
      </c>
      <c r="J411" s="28">
        <f t="shared" si="20"/>
        <v>0.26315789473684204</v>
      </c>
    </row>
    <row r="412" spans="1:10">
      <c r="A412" s="3">
        <v>181</v>
      </c>
      <c r="B412" t="s">
        <v>443</v>
      </c>
      <c r="C412" t="s">
        <v>456</v>
      </c>
      <c r="E412" s="3">
        <f t="shared" si="19"/>
        <v>7</v>
      </c>
      <c r="F412" s="5">
        <v>44241.625</v>
      </c>
      <c r="G412" s="19" t="str">
        <f t="shared" si="18"/>
        <v/>
      </c>
      <c r="J412" s="28">
        <f t="shared" si="20"/>
        <v>5.232558139534893E-2</v>
      </c>
    </row>
    <row r="413" spans="1:10" s="10" customFormat="1">
      <c r="A413" s="14">
        <v>362</v>
      </c>
      <c r="B413" s="10" t="s">
        <v>444</v>
      </c>
      <c r="C413" s="10" t="s">
        <v>456</v>
      </c>
      <c r="E413" s="14">
        <f t="shared" si="19"/>
        <v>1</v>
      </c>
      <c r="F413" s="18">
        <v>44242.625</v>
      </c>
      <c r="G413" s="19" t="str">
        <f t="shared" si="18"/>
        <v>2021-W07</v>
      </c>
      <c r="H413" s="10">
        <f>SUM(A413:A419)</f>
        <v>2055</v>
      </c>
      <c r="I413" s="34">
        <f>H413/H406-1</f>
        <v>0.25842008573178199</v>
      </c>
      <c r="J413" s="28">
        <f t="shared" si="20"/>
        <v>0.23129251700680276</v>
      </c>
    </row>
    <row r="414" spans="1:10">
      <c r="A414" s="3">
        <v>328</v>
      </c>
      <c r="B414" t="s">
        <v>445</v>
      </c>
      <c r="C414" t="s">
        <v>456</v>
      </c>
      <c r="E414" s="3">
        <f t="shared" si="19"/>
        <v>2</v>
      </c>
      <c r="F414" s="5">
        <v>44243.625</v>
      </c>
      <c r="G414" s="19" t="str">
        <f t="shared" si="18"/>
        <v/>
      </c>
      <c r="J414" s="28">
        <f t="shared" si="20"/>
        <v>0.36099585062240669</v>
      </c>
    </row>
    <row r="415" spans="1:10">
      <c r="A415" s="3">
        <v>329</v>
      </c>
      <c r="B415" t="s">
        <v>446</v>
      </c>
      <c r="C415" t="s">
        <v>456</v>
      </c>
      <c r="E415" s="3">
        <f t="shared" si="19"/>
        <v>3</v>
      </c>
      <c r="F415" s="5">
        <v>44244.625</v>
      </c>
      <c r="G415" s="19" t="str">
        <f t="shared" si="18"/>
        <v/>
      </c>
      <c r="J415" s="28">
        <f t="shared" si="20"/>
        <v>0.43668122270742349</v>
      </c>
    </row>
    <row r="416" spans="1:10">
      <c r="A416" s="3">
        <v>327</v>
      </c>
      <c r="B416" t="s">
        <v>447</v>
      </c>
      <c r="C416" t="s">
        <v>456</v>
      </c>
      <c r="E416" s="3">
        <f t="shared" si="19"/>
        <v>4</v>
      </c>
      <c r="F416" s="5">
        <v>44245.625</v>
      </c>
      <c r="G416" s="19" t="str">
        <f t="shared" si="18"/>
        <v/>
      </c>
      <c r="J416" s="28">
        <f t="shared" si="20"/>
        <v>0.38559322033898313</v>
      </c>
    </row>
    <row r="417" spans="1:10">
      <c r="A417" s="3">
        <v>306</v>
      </c>
      <c r="B417" t="s">
        <v>448</v>
      </c>
      <c r="C417" t="s">
        <v>456</v>
      </c>
      <c r="E417" s="3">
        <f t="shared" si="19"/>
        <v>5</v>
      </c>
      <c r="F417" s="5">
        <v>44246.625</v>
      </c>
      <c r="G417" s="19" t="str">
        <f t="shared" si="18"/>
        <v/>
      </c>
      <c r="J417" s="28">
        <f t="shared" si="20"/>
        <v>0.17692307692307696</v>
      </c>
    </row>
    <row r="418" spans="1:10">
      <c r="A418" s="3">
        <v>185</v>
      </c>
      <c r="B418" t="s">
        <v>450</v>
      </c>
      <c r="C418" t="s">
        <v>456</v>
      </c>
      <c r="E418" s="3">
        <f t="shared" si="19"/>
        <v>6</v>
      </c>
      <c r="F418" s="5">
        <v>44247.625</v>
      </c>
      <c r="G418" s="19" t="str">
        <f t="shared" si="18"/>
        <v/>
      </c>
      <c r="J418" s="28">
        <f t="shared" si="20"/>
        <v>-3.645833333333337E-2</v>
      </c>
    </row>
    <row r="419" spans="1:10">
      <c r="A419" s="3">
        <v>218</v>
      </c>
      <c r="B419" t="s">
        <v>451</v>
      </c>
      <c r="C419" t="s">
        <v>456</v>
      </c>
      <c r="E419" s="3">
        <f t="shared" si="19"/>
        <v>7</v>
      </c>
      <c r="F419" s="5">
        <v>44248.625</v>
      </c>
      <c r="G419" s="19" t="str">
        <f t="shared" si="18"/>
        <v/>
      </c>
      <c r="J419" s="28">
        <f t="shared" si="20"/>
        <v>0.20441988950276246</v>
      </c>
    </row>
    <row r="420" spans="1:10">
      <c r="A420" s="3">
        <v>387</v>
      </c>
      <c r="B420" t="s">
        <v>452</v>
      </c>
      <c r="C420" t="s">
        <v>456</v>
      </c>
      <c r="E420" s="3">
        <f t="shared" si="19"/>
        <v>1</v>
      </c>
      <c r="F420" s="5">
        <v>44249.625</v>
      </c>
      <c r="G420" s="19" t="str">
        <f t="shared" si="18"/>
        <v>2021-W08</v>
      </c>
      <c r="H420">
        <f>SUM(A420:A426)</f>
        <v>2511</v>
      </c>
      <c r="I420" s="28">
        <f>H420/H413-1</f>
        <v>0.22189781021897814</v>
      </c>
      <c r="J420" s="28">
        <f t="shared" si="20"/>
        <v>6.9060773480662974E-2</v>
      </c>
    </row>
    <row r="421" spans="1:10">
      <c r="A421" s="3">
        <v>383</v>
      </c>
      <c r="B421" t="s">
        <v>455</v>
      </c>
      <c r="C421" t="s">
        <v>456</v>
      </c>
      <c r="E421" s="3">
        <f t="shared" si="19"/>
        <v>2</v>
      </c>
      <c r="F421" s="5">
        <v>44250.625</v>
      </c>
      <c r="G421" s="19" t="str">
        <f t="shared" si="18"/>
        <v/>
      </c>
      <c r="J421" s="28">
        <f t="shared" si="20"/>
        <v>0.16768292682926833</v>
      </c>
    </row>
    <row r="422" spans="1:10">
      <c r="A422" s="3">
        <v>417</v>
      </c>
      <c r="B422" t="s">
        <v>461</v>
      </c>
      <c r="C422" t="s">
        <v>456</v>
      </c>
      <c r="E422" s="3">
        <f t="shared" si="19"/>
        <v>3</v>
      </c>
      <c r="F422" s="5">
        <v>44251.625</v>
      </c>
      <c r="G422" s="19" t="str">
        <f t="shared" si="18"/>
        <v/>
      </c>
      <c r="J422" s="28">
        <f t="shared" si="20"/>
        <v>0.26747720364741645</v>
      </c>
    </row>
    <row r="423" spans="1:10">
      <c r="A423" s="3">
        <v>361</v>
      </c>
      <c r="B423" t="s">
        <v>463</v>
      </c>
      <c r="C423" t="s">
        <v>456</v>
      </c>
      <c r="E423" s="3">
        <f t="shared" si="19"/>
        <v>4</v>
      </c>
      <c r="F423" s="5">
        <v>44252.625</v>
      </c>
      <c r="G423" s="19" t="str">
        <f t="shared" si="18"/>
        <v/>
      </c>
      <c r="J423" s="28">
        <f t="shared" si="20"/>
        <v>0.10397553516819569</v>
      </c>
    </row>
    <row r="424" spans="1:10">
      <c r="A424" s="3">
        <v>428</v>
      </c>
      <c r="B424" t="s">
        <v>464</v>
      </c>
      <c r="C424" t="s">
        <v>456</v>
      </c>
      <c r="E424" s="3">
        <f t="shared" si="19"/>
        <v>5</v>
      </c>
      <c r="F424" s="5">
        <v>44253.625</v>
      </c>
      <c r="G424" s="19" t="str">
        <f t="shared" si="18"/>
        <v/>
      </c>
      <c r="J424" s="28">
        <f t="shared" si="20"/>
        <v>0.39869281045751626</v>
      </c>
    </row>
    <row r="425" spans="1:10">
      <c r="A425" s="3">
        <v>268</v>
      </c>
      <c r="B425" t="s">
        <v>469</v>
      </c>
      <c r="C425" t="s">
        <v>456</v>
      </c>
      <c r="E425" s="3">
        <f t="shared" si="19"/>
        <v>6</v>
      </c>
      <c r="F425" s="5">
        <v>44254.625</v>
      </c>
      <c r="G425" s="19" t="str">
        <f t="shared" si="18"/>
        <v/>
      </c>
      <c r="J425" s="28">
        <f t="shared" si="20"/>
        <v>0.44864864864864873</v>
      </c>
    </row>
    <row r="426" spans="1:10">
      <c r="A426" s="3">
        <v>267</v>
      </c>
      <c r="B426" t="s">
        <v>470</v>
      </c>
      <c r="C426" t="s">
        <v>456</v>
      </c>
      <c r="E426" s="3">
        <f t="shared" si="19"/>
        <v>7</v>
      </c>
      <c r="F426" s="5">
        <v>44255.625</v>
      </c>
      <c r="G426" s="19" t="str">
        <f t="shared" si="18"/>
        <v/>
      </c>
      <c r="J426" s="28">
        <f t="shared" si="20"/>
        <v>0.22477064220183496</v>
      </c>
    </row>
    <row r="427" spans="1:10">
      <c r="A427" s="3">
        <v>480</v>
      </c>
      <c r="B427" t="s">
        <v>471</v>
      </c>
      <c r="C427" t="s">
        <v>456</v>
      </c>
      <c r="E427" s="3">
        <f t="shared" si="19"/>
        <v>1</v>
      </c>
      <c r="F427" s="5">
        <v>44256.625</v>
      </c>
      <c r="G427" s="19" t="str">
        <f t="shared" si="18"/>
        <v>2021-W09</v>
      </c>
      <c r="H427">
        <f>SUM(A427:A433)</f>
        <v>2790</v>
      </c>
      <c r="I427" s="28">
        <f>H427/H420-1</f>
        <v>0.11111111111111116</v>
      </c>
      <c r="J427" s="28">
        <f t="shared" si="20"/>
        <v>0.24031007751937983</v>
      </c>
    </row>
    <row r="428" spans="1:10">
      <c r="A428" s="3">
        <v>492</v>
      </c>
      <c r="B428" t="s">
        <v>472</v>
      </c>
      <c r="C428" t="s">
        <v>456</v>
      </c>
      <c r="E428" s="3">
        <f t="shared" si="19"/>
        <v>2</v>
      </c>
      <c r="F428" s="5">
        <v>44257.625</v>
      </c>
      <c r="G428" s="19" t="str">
        <f t="shared" si="18"/>
        <v/>
      </c>
      <c r="J428" s="28">
        <f t="shared" si="20"/>
        <v>0.28459530026109658</v>
      </c>
    </row>
    <row r="429" spans="1:10">
      <c r="A429" s="3">
        <v>476</v>
      </c>
      <c r="B429" t="s">
        <v>473</v>
      </c>
      <c r="C429" t="s">
        <v>456</v>
      </c>
      <c r="E429" s="3">
        <f t="shared" si="19"/>
        <v>3</v>
      </c>
      <c r="F429" s="5">
        <v>44258.625</v>
      </c>
      <c r="G429" s="19" t="str">
        <f t="shared" si="18"/>
        <v/>
      </c>
      <c r="J429" s="28">
        <f t="shared" si="20"/>
        <v>0.14148681055155876</v>
      </c>
    </row>
    <row r="430" spans="1:10">
      <c r="A430" s="3">
        <v>389</v>
      </c>
      <c r="B430" t="s">
        <v>474</v>
      </c>
      <c r="C430" t="s">
        <v>456</v>
      </c>
      <c r="E430" s="3">
        <f t="shared" si="19"/>
        <v>4</v>
      </c>
      <c r="F430" s="5">
        <v>44259.625</v>
      </c>
      <c r="G430" s="19" t="str">
        <f t="shared" si="18"/>
        <v/>
      </c>
      <c r="J430" s="28">
        <f t="shared" si="20"/>
        <v>7.756232686980602E-2</v>
      </c>
    </row>
    <row r="431" spans="1:10">
      <c r="A431" s="3">
        <v>420</v>
      </c>
      <c r="B431" t="s">
        <v>475</v>
      </c>
      <c r="C431" t="s">
        <v>456</v>
      </c>
      <c r="E431" s="3">
        <f t="shared" si="19"/>
        <v>5</v>
      </c>
      <c r="F431" s="5">
        <v>44260.625</v>
      </c>
      <c r="G431" s="19" t="str">
        <f t="shared" si="18"/>
        <v/>
      </c>
      <c r="J431" s="28">
        <f t="shared" si="20"/>
        <v>-1.8691588785046731E-2</v>
      </c>
    </row>
    <row r="432" spans="1:10">
      <c r="A432" s="3">
        <v>276</v>
      </c>
      <c r="B432" t="s">
        <v>476</v>
      </c>
      <c r="C432" t="s">
        <v>456</v>
      </c>
      <c r="E432" s="3">
        <f t="shared" si="19"/>
        <v>6</v>
      </c>
      <c r="F432" s="5">
        <v>44261.625</v>
      </c>
      <c r="G432" s="19" t="str">
        <f t="shared" si="18"/>
        <v/>
      </c>
      <c r="J432" s="28">
        <f t="shared" si="20"/>
        <v>2.9850746268656803E-2</v>
      </c>
    </row>
    <row r="433" spans="1:10">
      <c r="A433" s="3">
        <v>257</v>
      </c>
      <c r="B433" t="s">
        <v>477</v>
      </c>
      <c r="C433" t="s">
        <v>456</v>
      </c>
      <c r="E433" s="3">
        <f t="shared" si="19"/>
        <v>7</v>
      </c>
      <c r="F433" s="5">
        <v>44262.625</v>
      </c>
      <c r="G433" s="19" t="str">
        <f t="shared" si="18"/>
        <v/>
      </c>
      <c r="J433" s="28">
        <f t="shared" si="20"/>
        <v>-3.7453183520599231E-2</v>
      </c>
    </row>
    <row r="434" spans="1:10">
      <c r="A434" s="3">
        <v>500</v>
      </c>
      <c r="B434" t="s">
        <v>478</v>
      </c>
      <c r="C434" t="s">
        <v>456</v>
      </c>
      <c r="E434" s="3">
        <f t="shared" si="19"/>
        <v>1</v>
      </c>
      <c r="F434" s="5">
        <v>44263.625</v>
      </c>
      <c r="G434" s="19" t="str">
        <f t="shared" si="18"/>
        <v>2021-W10</v>
      </c>
      <c r="H434">
        <f>SUM(A434:A440)</f>
        <v>3097</v>
      </c>
      <c r="I434" s="28">
        <f>H434/H427-1</f>
        <v>0.11003584229390673</v>
      </c>
      <c r="J434" s="28">
        <f t="shared" si="20"/>
        <v>4.1666666666666741E-2</v>
      </c>
    </row>
    <row r="435" spans="1:10">
      <c r="A435" s="3">
        <v>506</v>
      </c>
      <c r="B435" t="s">
        <v>479</v>
      </c>
      <c r="C435" t="s">
        <v>456</v>
      </c>
      <c r="E435" s="3">
        <f t="shared" si="19"/>
        <v>2</v>
      </c>
      <c r="F435" s="5">
        <v>44264.625</v>
      </c>
      <c r="G435" s="19" t="str">
        <f t="shared" si="18"/>
        <v/>
      </c>
      <c r="J435" s="28">
        <f t="shared" si="20"/>
        <v>2.8455284552845628E-2</v>
      </c>
    </row>
    <row r="436" spans="1:10">
      <c r="A436" s="3">
        <v>504</v>
      </c>
      <c r="B436" t="s">
        <v>480</v>
      </c>
      <c r="C436" t="s">
        <v>456</v>
      </c>
      <c r="E436" s="3">
        <f t="shared" si="19"/>
        <v>3</v>
      </c>
      <c r="F436" s="5">
        <v>44265.625</v>
      </c>
      <c r="G436" s="19" t="str">
        <f t="shared" si="18"/>
        <v/>
      </c>
      <c r="J436" s="28">
        <f t="shared" si="20"/>
        <v>5.8823529411764719E-2</v>
      </c>
    </row>
    <row r="437" spans="1:10">
      <c r="A437" s="3">
        <v>477</v>
      </c>
      <c r="B437" t="s">
        <v>481</v>
      </c>
      <c r="C437" t="s">
        <v>456</v>
      </c>
      <c r="E437" s="3">
        <f t="shared" si="19"/>
        <v>4</v>
      </c>
      <c r="F437" s="5">
        <v>44266.625</v>
      </c>
      <c r="G437" s="19" t="str">
        <f t="shared" si="18"/>
        <v/>
      </c>
      <c r="J437" s="28">
        <f t="shared" si="20"/>
        <v>0.22622107969151672</v>
      </c>
    </row>
    <row r="438" spans="1:10">
      <c r="A438" s="3">
        <v>519</v>
      </c>
      <c r="B438" t="s">
        <v>482</v>
      </c>
      <c r="C438" t="s">
        <v>456</v>
      </c>
      <c r="E438" s="3">
        <f t="shared" si="19"/>
        <v>5</v>
      </c>
      <c r="F438" s="5">
        <v>44267.625</v>
      </c>
      <c r="G438" s="19" t="str">
        <f t="shared" si="18"/>
        <v/>
      </c>
      <c r="J438" s="28">
        <f t="shared" si="20"/>
        <v>0.23571428571428577</v>
      </c>
    </row>
    <row r="439" spans="1:10">
      <c r="A439" s="3">
        <v>329</v>
      </c>
      <c r="B439" t="s">
        <v>483</v>
      </c>
      <c r="C439" t="s">
        <v>456</v>
      </c>
      <c r="E439" s="3">
        <f t="shared" si="19"/>
        <v>6</v>
      </c>
      <c r="F439" s="5">
        <v>44268.625</v>
      </c>
      <c r="G439" s="19" t="str">
        <f t="shared" si="18"/>
        <v/>
      </c>
      <c r="J439" s="28">
        <f t="shared" si="20"/>
        <v>0.19202898550724634</v>
      </c>
    </row>
    <row r="440" spans="1:10">
      <c r="A440" s="3">
        <v>262</v>
      </c>
      <c r="B440" t="s">
        <v>484</v>
      </c>
      <c r="C440" t="s">
        <v>456</v>
      </c>
      <c r="E440" s="3">
        <f t="shared" si="19"/>
        <v>7</v>
      </c>
      <c r="F440" s="5">
        <v>44269.625</v>
      </c>
      <c r="G440" s="19" t="str">
        <f t="shared" si="18"/>
        <v/>
      </c>
      <c r="J440" s="28">
        <f t="shared" si="20"/>
        <v>1.9455252918287869E-2</v>
      </c>
    </row>
    <row r="441" spans="1:10">
      <c r="A441" s="3">
        <v>508</v>
      </c>
      <c r="B441" t="s">
        <v>485</v>
      </c>
      <c r="C441" t="s">
        <v>456</v>
      </c>
      <c r="E441" s="3">
        <f t="shared" si="19"/>
        <v>1</v>
      </c>
      <c r="F441" s="5">
        <v>44270.625</v>
      </c>
      <c r="G441" s="19" t="str">
        <f t="shared" si="18"/>
        <v>2021-W11</v>
      </c>
      <c r="H441">
        <f>SUM(A441:A447)</f>
        <v>2852</v>
      </c>
      <c r="I441" s="28">
        <f>H441/H434-1</f>
        <v>-7.9108814982240871E-2</v>
      </c>
      <c r="J441" s="28">
        <f t="shared" si="20"/>
        <v>1.6000000000000014E-2</v>
      </c>
    </row>
    <row r="442" spans="1:10">
      <c r="A442" s="3">
        <v>453</v>
      </c>
      <c r="B442" t="s">
        <v>486</v>
      </c>
      <c r="C442" t="s">
        <v>456</v>
      </c>
      <c r="E442" s="3">
        <f t="shared" si="19"/>
        <v>2</v>
      </c>
      <c r="F442" s="5">
        <v>44271.625</v>
      </c>
      <c r="G442" s="19" t="str">
        <f t="shared" si="18"/>
        <v/>
      </c>
      <c r="J442" s="28">
        <f t="shared" si="20"/>
        <v>-0.10474308300395252</v>
      </c>
    </row>
    <row r="443" spans="1:10">
      <c r="A443" s="3">
        <v>417</v>
      </c>
      <c r="B443" t="s">
        <v>487</v>
      </c>
      <c r="C443" t="s">
        <v>456</v>
      </c>
      <c r="E443" s="3">
        <f t="shared" si="19"/>
        <v>3</v>
      </c>
      <c r="F443" s="5">
        <v>44272.625</v>
      </c>
      <c r="G443" s="19" t="str">
        <f t="shared" si="18"/>
        <v/>
      </c>
      <c r="J443" s="28">
        <f t="shared" si="20"/>
        <v>-0.17261904761904767</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-0.1445086705202312</v>
      </c>
    </row>
    <row r="446" spans="1:10">
      <c r="A446" s="3">
        <v>287</v>
      </c>
      <c r="B446" t="s">
        <v>490</v>
      </c>
      <c r="C446" t="s">
        <v>456</v>
      </c>
      <c r="E446" s="3">
        <f t="shared" si="19"/>
        <v>6</v>
      </c>
      <c r="F446" s="5">
        <v>44275.625</v>
      </c>
      <c r="G446" s="19" t="str">
        <f t="shared" si="18"/>
        <v/>
      </c>
      <c r="J446" s="28">
        <f t="shared" si="20"/>
        <v>-0.12765957446808507</v>
      </c>
    </row>
    <row r="447" spans="1:10">
      <c r="A447" s="3">
        <v>288</v>
      </c>
      <c r="B447" t="s">
        <v>491</v>
      </c>
      <c r="C447" t="s">
        <v>456</v>
      </c>
      <c r="E447" s="3">
        <f t="shared" si="19"/>
        <v>7</v>
      </c>
      <c r="F447" s="5">
        <v>44276.625</v>
      </c>
      <c r="G447" s="19" t="str">
        <f t="shared" si="18"/>
        <v/>
      </c>
      <c r="J447" s="28">
        <f t="shared" si="20"/>
        <v>9.92366412213741E-2</v>
      </c>
    </row>
    <row r="448" spans="1:10">
      <c r="A448" s="3">
        <v>450</v>
      </c>
      <c r="B448" t="s">
        <v>492</v>
      </c>
      <c r="C448" t="s">
        <v>456</v>
      </c>
      <c r="E448" s="3">
        <f t="shared" si="19"/>
        <v>1</v>
      </c>
      <c r="F448" s="5">
        <v>44277.625</v>
      </c>
      <c r="G448" s="19" t="str">
        <f t="shared" si="18"/>
        <v>2021-W12</v>
      </c>
      <c r="H448">
        <f>SUM(A448:A454)</f>
        <v>2505</v>
      </c>
      <c r="I448" s="28">
        <f>H448/H441-1</f>
        <v>-0.12166900420757365</v>
      </c>
      <c r="J448" s="28">
        <f t="shared" si="20"/>
        <v>-0.11417322834645671</v>
      </c>
    </row>
    <row r="449" spans="1:10">
      <c r="A449" s="3">
        <v>452</v>
      </c>
      <c r="B449" t="s">
        <v>493</v>
      </c>
      <c r="C449" t="s">
        <v>456</v>
      </c>
      <c r="E449" s="3">
        <f t="shared" si="19"/>
        <v>2</v>
      </c>
      <c r="F449" s="5">
        <v>44278.625</v>
      </c>
      <c r="G449" s="19" t="str">
        <f t="shared" si="18"/>
        <v/>
      </c>
      <c r="J449" s="28">
        <f t="shared" si="20"/>
        <v>-2.2075055187638082E-3</v>
      </c>
    </row>
    <row r="450" spans="1:10">
      <c r="A450" s="3">
        <v>394</v>
      </c>
      <c r="B450" t="s">
        <v>494</v>
      </c>
      <c r="C450" t="s">
        <v>456</v>
      </c>
      <c r="E450" s="3">
        <f t="shared" si="19"/>
        <v>3</v>
      </c>
      <c r="F450" s="5">
        <v>44279.625</v>
      </c>
      <c r="G450" s="19" t="str">
        <f t="shared" si="18"/>
        <v/>
      </c>
      <c r="J450" s="28">
        <f t="shared" si="20"/>
        <v>-5.5155875299760182E-2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248</v>
      </c>
      <c r="B454" t="s">
        <v>498</v>
      </c>
      <c r="C454" t="s">
        <v>456</v>
      </c>
      <c r="E454" s="3">
        <f t="shared" si="22"/>
        <v>7</v>
      </c>
      <c r="F454" s="5">
        <v>44283.625</v>
      </c>
      <c r="G454" s="19" t="str">
        <f t="shared" si="21"/>
        <v/>
      </c>
      <c r="J454" s="28">
        <f t="shared" si="20"/>
        <v>-0.13888888888888884</v>
      </c>
    </row>
    <row r="455" spans="1:10">
      <c r="A455" s="3">
        <v>378</v>
      </c>
      <c r="B455" t="s">
        <v>499</v>
      </c>
      <c r="C455" t="s">
        <v>456</v>
      </c>
      <c r="E455" s="3">
        <f t="shared" si="22"/>
        <v>1</v>
      </c>
      <c r="F455" s="5">
        <v>44284.625</v>
      </c>
      <c r="G455" s="19" t="str">
        <f t="shared" si="21"/>
        <v>2021-W13</v>
      </c>
      <c r="H455">
        <f>SUM(A455:A461)</f>
        <v>1906</v>
      </c>
      <c r="I455" s="28">
        <f>H455/H448-1</f>
        <v>-0.23912175648702594</v>
      </c>
      <c r="J455" s="28">
        <f t="shared" si="20"/>
        <v>-0.16000000000000003</v>
      </c>
    </row>
    <row r="456" spans="1:10">
      <c r="A456" s="3">
        <v>323</v>
      </c>
      <c r="B456" t="s">
        <v>500</v>
      </c>
      <c r="C456" t="s">
        <v>456</v>
      </c>
      <c r="E456" s="3">
        <f t="shared" si="22"/>
        <v>2</v>
      </c>
      <c r="F456" s="5">
        <v>44285.625</v>
      </c>
      <c r="G456" s="19" t="str">
        <f t="shared" si="21"/>
        <v/>
      </c>
      <c r="J456" s="28">
        <f t="shared" si="20"/>
        <v>-0.28539823008849563</v>
      </c>
    </row>
    <row r="457" spans="1:10">
      <c r="A457" s="3">
        <v>333</v>
      </c>
      <c r="B457" t="s">
        <v>501</v>
      </c>
      <c r="C457" t="s">
        <v>456</v>
      </c>
      <c r="E457" s="3">
        <f t="shared" si="22"/>
        <v>3</v>
      </c>
      <c r="F457" s="5">
        <v>44286.625</v>
      </c>
      <c r="G457" s="19" t="str">
        <f t="shared" si="21"/>
        <v/>
      </c>
      <c r="J457" s="28">
        <f t="shared" ref="J457:J520" si="23">A457/A450-1</f>
        <v>-0.15482233502538068</v>
      </c>
    </row>
    <row r="458" spans="1:10">
      <c r="A458" s="3">
        <v>252</v>
      </c>
      <c r="B458" t="s">
        <v>502</v>
      </c>
      <c r="C458" t="s">
        <v>456</v>
      </c>
      <c r="E458" s="3">
        <f t="shared" si="22"/>
        <v>4</v>
      </c>
      <c r="F458" s="5">
        <v>44287.625</v>
      </c>
      <c r="G458" s="19" t="str">
        <f t="shared" si="21"/>
        <v/>
      </c>
      <c r="J458" s="28">
        <f t="shared" si="23"/>
        <v>-0.29014084507042248</v>
      </c>
    </row>
    <row r="459" spans="1:10">
      <c r="A459" s="3">
        <v>223</v>
      </c>
      <c r="B459" t="s">
        <v>503</v>
      </c>
      <c r="C459" t="s">
        <v>456</v>
      </c>
      <c r="E459" s="3">
        <f t="shared" si="22"/>
        <v>5</v>
      </c>
      <c r="F459" s="5">
        <v>44288.625</v>
      </c>
      <c r="G459" s="19" t="str">
        <f t="shared" si="21"/>
        <v/>
      </c>
      <c r="J459" s="28">
        <f t="shared" si="23"/>
        <v>-0.45208845208845205</v>
      </c>
    </row>
    <row r="460" spans="1:10">
      <c r="A460" s="3">
        <v>191</v>
      </c>
      <c r="B460" t="s">
        <v>504</v>
      </c>
      <c r="C460" t="s">
        <v>456</v>
      </c>
      <c r="E460" s="3">
        <f t="shared" si="22"/>
        <v>6</v>
      </c>
      <c r="F460" s="5">
        <v>44289.625</v>
      </c>
      <c r="G460" s="19" t="str">
        <f t="shared" si="21"/>
        <v/>
      </c>
      <c r="J460" s="28">
        <f t="shared" si="23"/>
        <v>-4.020100502512558E-2</v>
      </c>
    </row>
    <row r="461" spans="1:10">
      <c r="A461" s="3">
        <v>206</v>
      </c>
      <c r="B461" t="s">
        <v>505</v>
      </c>
      <c r="C461" t="s">
        <v>456</v>
      </c>
      <c r="E461" s="3">
        <f t="shared" si="22"/>
        <v>7</v>
      </c>
      <c r="F461" s="5">
        <v>44290.625</v>
      </c>
      <c r="G461" s="19" t="str">
        <f t="shared" si="21"/>
        <v/>
      </c>
      <c r="J461" s="28">
        <f t="shared" si="23"/>
        <v>-0.16935483870967738</v>
      </c>
    </row>
    <row r="462" spans="1:10">
      <c r="A462" s="3">
        <v>233</v>
      </c>
      <c r="B462" t="s">
        <v>506</v>
      </c>
      <c r="C462" t="s">
        <v>456</v>
      </c>
      <c r="E462" s="3">
        <f t="shared" si="22"/>
        <v>1</v>
      </c>
      <c r="F462" s="5">
        <v>44291.625</v>
      </c>
      <c r="G462" s="19" t="str">
        <f t="shared" si="21"/>
        <v>2021-W14</v>
      </c>
      <c r="H462">
        <f>SUM(A462:A468)</f>
        <v>1451</v>
      </c>
      <c r="I462" s="28">
        <f>H462/H455-1</f>
        <v>-0.23871983210912906</v>
      </c>
      <c r="J462" s="28">
        <f t="shared" si="23"/>
        <v>-0.3835978835978836</v>
      </c>
    </row>
    <row r="463" spans="1:10">
      <c r="A463" s="3">
        <v>306</v>
      </c>
      <c r="B463" t="s">
        <v>507</v>
      </c>
      <c r="C463" t="s">
        <v>456</v>
      </c>
      <c r="E463" s="3">
        <f t="shared" si="22"/>
        <v>2</v>
      </c>
      <c r="F463" s="5">
        <v>44292.625</v>
      </c>
      <c r="G463" s="19" t="str">
        <f t="shared" si="21"/>
        <v/>
      </c>
      <c r="J463" s="28">
        <f t="shared" si="23"/>
        <v>-5.2631578947368474E-2</v>
      </c>
    </row>
    <row r="464" spans="1:10">
      <c r="A464" s="3">
        <v>246</v>
      </c>
      <c r="B464" t="s">
        <v>508</v>
      </c>
      <c r="C464" t="s">
        <v>456</v>
      </c>
      <c r="E464" s="3">
        <f t="shared" si="22"/>
        <v>3</v>
      </c>
      <c r="F464" s="5">
        <v>44293.625</v>
      </c>
      <c r="G464" s="19" t="str">
        <f t="shared" si="21"/>
        <v/>
      </c>
      <c r="J464" s="28">
        <f t="shared" si="23"/>
        <v>-0.26126126126126126</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-0.2152466367713004</v>
      </c>
    </row>
    <row r="467" spans="1:10">
      <c r="A467" s="3">
        <v>138</v>
      </c>
      <c r="B467" t="s">
        <v>511</v>
      </c>
      <c r="C467" t="s">
        <v>456</v>
      </c>
      <c r="E467" s="3">
        <f t="shared" si="22"/>
        <v>6</v>
      </c>
      <c r="F467" s="5">
        <v>44296.625</v>
      </c>
      <c r="G467" s="19" t="str">
        <f t="shared" si="21"/>
        <v/>
      </c>
      <c r="J467" s="28">
        <f t="shared" si="23"/>
        <v>-0.27748691099476441</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-0.30392832529290148</v>
      </c>
      <c r="J469" s="28">
        <f t="shared" si="23"/>
        <v>-7.7253218884120178E-2</v>
      </c>
    </row>
    <row r="470" spans="1:10">
      <c r="A470" s="3">
        <v>155</v>
      </c>
      <c r="B470" t="s">
        <v>514</v>
      </c>
      <c r="C470" t="s">
        <v>456</v>
      </c>
      <c r="E470" s="3">
        <f t="shared" si="22"/>
        <v>2</v>
      </c>
      <c r="F470" s="5">
        <v>44299.625</v>
      </c>
      <c r="G470" s="19" t="str">
        <f t="shared" si="21"/>
        <v/>
      </c>
      <c r="J470" s="28">
        <f t="shared" si="23"/>
        <v>-0.49346405228758172</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-0.10144927536231885</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812</v>
      </c>
      <c r="I476" s="28">
        <f>H476/H469-1</f>
        <v>-0.19603960396039599</v>
      </c>
      <c r="J476" s="28">
        <f t="shared" si="23"/>
        <v>-0.36744186046511629</v>
      </c>
    </row>
    <row r="477" spans="1:10">
      <c r="A477" s="3">
        <v>145</v>
      </c>
      <c r="B477" t="s">
        <v>521</v>
      </c>
      <c r="C477" t="s">
        <v>456</v>
      </c>
      <c r="E477" s="3">
        <f t="shared" si="22"/>
        <v>2</v>
      </c>
      <c r="F477" s="5">
        <v>44306.625</v>
      </c>
      <c r="G477" s="19" t="str">
        <f t="shared" si="21"/>
        <v/>
      </c>
      <c r="J477" s="28">
        <f t="shared" si="23"/>
        <v>-6.4516129032258118E-2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85</v>
      </c>
      <c r="B481" t="s">
        <v>526</v>
      </c>
      <c r="C481" t="s">
        <v>456</v>
      </c>
      <c r="E481" s="3">
        <f t="shared" si="22"/>
        <v>6</v>
      </c>
      <c r="F481" s="5">
        <v>44310.625</v>
      </c>
      <c r="G481" s="19" t="str">
        <f t="shared" si="21"/>
        <v/>
      </c>
      <c r="J481" s="28">
        <f t="shared" si="23"/>
        <v>-0.31451612903225812</v>
      </c>
    </row>
    <row r="482" spans="1:10">
      <c r="A482" s="3">
        <v>83</v>
      </c>
      <c r="B482" t="s">
        <v>527</v>
      </c>
      <c r="C482" t="s">
        <v>456</v>
      </c>
      <c r="E482" s="3">
        <f t="shared" si="22"/>
        <v>7</v>
      </c>
      <c r="F482" s="5">
        <v>44311.625</v>
      </c>
      <c r="G482" s="19" t="str">
        <f t="shared" si="21"/>
        <v/>
      </c>
      <c r="J482" s="28">
        <f t="shared" si="23"/>
        <v>-5.6818181818181768E-2</v>
      </c>
    </row>
    <row r="483" spans="1:10">
      <c r="A483" s="3">
        <v>121</v>
      </c>
      <c r="B483" t="s">
        <v>528</v>
      </c>
      <c r="C483" t="s">
        <v>456</v>
      </c>
      <c r="E483" s="3">
        <f t="shared" si="22"/>
        <v>1</v>
      </c>
      <c r="F483" s="5">
        <v>44312.625</v>
      </c>
      <c r="G483" s="19" t="str">
        <f t="shared" si="21"/>
        <v>2021-W17</v>
      </c>
      <c r="H483">
        <f>SUM(A483:A489)</f>
        <v>703</v>
      </c>
      <c r="I483" s="28">
        <f>H483/H476-1</f>
        <v>-0.13423645320197042</v>
      </c>
      <c r="J483" s="28">
        <f t="shared" si="23"/>
        <v>-0.11029411764705888</v>
      </c>
    </row>
    <row r="484" spans="1:10">
      <c r="A484" s="3">
        <v>109</v>
      </c>
      <c r="B484" t="s">
        <v>529</v>
      </c>
      <c r="C484" t="s">
        <v>456</v>
      </c>
      <c r="E484" s="3">
        <f t="shared" si="22"/>
        <v>2</v>
      </c>
      <c r="F484" s="5">
        <v>44313.625</v>
      </c>
      <c r="G484" s="19" t="str">
        <f t="shared" si="21"/>
        <v/>
      </c>
      <c r="J484" s="28">
        <f t="shared" si="23"/>
        <v>-0.24827586206896557</v>
      </c>
    </row>
    <row r="485" spans="1:10">
      <c r="A485" s="3">
        <v>146</v>
      </c>
      <c r="B485" t="s">
        <v>530</v>
      </c>
      <c r="C485" t="s">
        <v>456</v>
      </c>
      <c r="E485" s="3">
        <f t="shared" si="22"/>
        <v>3</v>
      </c>
      <c r="F485" s="5">
        <v>44314.625</v>
      </c>
      <c r="G485" s="19" t="str">
        <f t="shared" si="21"/>
        <v/>
      </c>
      <c r="J485" s="28">
        <f t="shared" si="23"/>
        <v>0.2807017543859649</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55</v>
      </c>
      <c r="B488" t="s">
        <v>533</v>
      </c>
      <c r="C488" t="s">
        <v>456</v>
      </c>
      <c r="E488" s="3">
        <f t="shared" si="22"/>
        <v>6</v>
      </c>
      <c r="F488" s="5">
        <v>44317.625</v>
      </c>
      <c r="G488" s="19" t="str">
        <f t="shared" si="21"/>
        <v/>
      </c>
      <c r="J488" s="28">
        <f t="shared" si="23"/>
        <v>-0.3529411764705882</v>
      </c>
    </row>
    <row r="489" spans="1:10">
      <c r="A489" s="3">
        <v>81</v>
      </c>
      <c r="B489" t="s">
        <v>534</v>
      </c>
      <c r="C489" t="s">
        <v>456</v>
      </c>
      <c r="E489" s="3">
        <f t="shared" si="22"/>
        <v>7</v>
      </c>
      <c r="F489" s="5">
        <v>44318.625</v>
      </c>
      <c r="G489" s="19" t="str">
        <f t="shared" si="21"/>
        <v/>
      </c>
      <c r="J489" s="28">
        <f t="shared" si="23"/>
        <v>-2.4096385542168641E-2</v>
      </c>
    </row>
    <row r="490" spans="1:10">
      <c r="A490" s="3">
        <v>158</v>
      </c>
      <c r="B490" t="s">
        <v>535</v>
      </c>
      <c r="C490" t="s">
        <v>456</v>
      </c>
      <c r="E490" s="3">
        <f t="shared" si="22"/>
        <v>1</v>
      </c>
      <c r="F490" s="5">
        <v>44319.625</v>
      </c>
      <c r="G490" s="19" t="str">
        <f t="shared" si="21"/>
        <v>2021-W18</v>
      </c>
      <c r="H490">
        <f>SUM(A490:A496)</f>
        <v>742</v>
      </c>
      <c r="I490" s="28">
        <f>H490/H483-1</f>
        <v>5.5476529160739751E-2</v>
      </c>
      <c r="J490" s="28">
        <f t="shared" si="23"/>
        <v>0.30578512396694224</v>
      </c>
    </row>
    <row r="491" spans="1:10">
      <c r="A491" s="3">
        <v>114</v>
      </c>
      <c r="B491" t="s">
        <v>536</v>
      </c>
      <c r="C491" t="s">
        <v>456</v>
      </c>
      <c r="E491" s="3">
        <f t="shared" si="22"/>
        <v>2</v>
      </c>
      <c r="F491" s="5">
        <v>44320.625</v>
      </c>
      <c r="G491" s="19" t="str">
        <f t="shared" si="21"/>
        <v/>
      </c>
      <c r="J491" s="28">
        <f t="shared" si="23"/>
        <v>4.587155963302747E-2</v>
      </c>
    </row>
    <row r="492" spans="1:10">
      <c r="A492" s="3">
        <v>125</v>
      </c>
      <c r="B492" t="s">
        <v>537</v>
      </c>
      <c r="C492" t="s">
        <v>456</v>
      </c>
      <c r="E492" s="3">
        <f t="shared" si="22"/>
        <v>3</v>
      </c>
      <c r="F492" s="5">
        <v>44321.625</v>
      </c>
      <c r="G492" s="19" t="str">
        <f t="shared" si="21"/>
        <v/>
      </c>
      <c r="J492" s="28">
        <f t="shared" si="23"/>
        <v>-0.14383561643835618</v>
      </c>
    </row>
    <row r="493" spans="1:10">
      <c r="A493" s="3">
        <v>113</v>
      </c>
      <c r="B493" t="s">
        <v>539</v>
      </c>
      <c r="C493" t="s">
        <v>456</v>
      </c>
      <c r="E493" s="3">
        <f t="shared" si="22"/>
        <v>4</v>
      </c>
      <c r="F493" s="5">
        <v>44322.625</v>
      </c>
      <c r="G493" s="19" t="str">
        <f t="shared" si="21"/>
        <v/>
      </c>
      <c r="J493" s="28">
        <f t="shared" si="23"/>
        <v>0.2021276595744681</v>
      </c>
    </row>
    <row r="494" spans="1:10">
      <c r="A494" s="3">
        <v>94</v>
      </c>
      <c r="B494" t="s">
        <v>540</v>
      </c>
      <c r="C494" t="s">
        <v>456</v>
      </c>
      <c r="E494" s="3">
        <f t="shared" si="22"/>
        <v>5</v>
      </c>
      <c r="F494" s="5">
        <v>44323.625</v>
      </c>
      <c r="G494" s="19" t="str">
        <f t="shared" si="21"/>
        <v/>
      </c>
      <c r="J494" s="28">
        <f t="shared" si="23"/>
        <v>-3.0927835051546393E-2</v>
      </c>
    </row>
    <row r="495" spans="1:10">
      <c r="A495" s="3">
        <v>69</v>
      </c>
      <c r="B495" t="s">
        <v>541</v>
      </c>
      <c r="C495" t="s">
        <v>456</v>
      </c>
      <c r="E495" s="3">
        <f t="shared" si="22"/>
        <v>6</v>
      </c>
      <c r="F495" s="5">
        <v>44324.625</v>
      </c>
      <c r="G495" s="19" t="str">
        <f t="shared" si="21"/>
        <v/>
      </c>
      <c r="J495" s="28">
        <f t="shared" si="23"/>
        <v>0.25454545454545463</v>
      </c>
    </row>
    <row r="496" spans="1:10">
      <c r="A496" s="3">
        <v>69</v>
      </c>
      <c r="B496" t="s">
        <v>542</v>
      </c>
      <c r="C496" t="s">
        <v>456</v>
      </c>
      <c r="E496" s="3">
        <f t="shared" si="22"/>
        <v>7</v>
      </c>
      <c r="F496" s="5">
        <v>44325.625</v>
      </c>
      <c r="G496" s="19" t="str">
        <f t="shared" si="21"/>
        <v/>
      </c>
      <c r="J496" s="28">
        <f t="shared" si="23"/>
        <v>-0.14814814814814814</v>
      </c>
    </row>
    <row r="497" spans="1:10">
      <c r="A497" s="3">
        <v>138</v>
      </c>
      <c r="B497" t="s">
        <v>543</v>
      </c>
      <c r="C497" t="s">
        <v>456</v>
      </c>
      <c r="E497" s="3">
        <f t="shared" si="22"/>
        <v>1</v>
      </c>
      <c r="F497" s="5">
        <v>44326.625</v>
      </c>
      <c r="G497" s="19" t="str">
        <f t="shared" si="21"/>
        <v>2021-W19</v>
      </c>
      <c r="H497">
        <f>SUM(A497:A503)</f>
        <v>691</v>
      </c>
      <c r="I497" s="28">
        <f>H497/H490-1</f>
        <v>-6.8733153638814048E-2</v>
      </c>
      <c r="J497" s="28">
        <f t="shared" si="23"/>
        <v>-0.12658227848101267</v>
      </c>
    </row>
    <row r="498" spans="1:10">
      <c r="A498" s="3">
        <v>108</v>
      </c>
      <c r="B498" t="s">
        <v>544</v>
      </c>
      <c r="C498" t="s">
        <v>456</v>
      </c>
      <c r="E498" s="3">
        <f t="shared" si="22"/>
        <v>2</v>
      </c>
      <c r="F498" s="5">
        <v>44327.625</v>
      </c>
      <c r="G498" s="19" t="str">
        <f t="shared" si="21"/>
        <v/>
      </c>
      <c r="J498" s="28">
        <f t="shared" si="23"/>
        <v>-5.2631578947368474E-2</v>
      </c>
    </row>
    <row r="499" spans="1:10">
      <c r="A499" s="3">
        <v>146</v>
      </c>
      <c r="B499" t="s">
        <v>545</v>
      </c>
      <c r="C499" t="s">
        <v>456</v>
      </c>
      <c r="E499" s="3">
        <f t="shared" si="22"/>
        <v>3</v>
      </c>
      <c r="F499" s="5">
        <v>44328.625</v>
      </c>
      <c r="G499" s="19" t="str">
        <f t="shared" si="21"/>
        <v/>
      </c>
      <c r="J499" s="28">
        <f t="shared" si="23"/>
        <v>0.16799999999999993</v>
      </c>
    </row>
    <row r="500" spans="1:10">
      <c r="A500" s="3">
        <v>77</v>
      </c>
      <c r="B500" t="s">
        <v>546</v>
      </c>
      <c r="C500" t="s">
        <v>456</v>
      </c>
      <c r="E500" s="3">
        <f t="shared" si="22"/>
        <v>4</v>
      </c>
      <c r="F500" s="5">
        <v>44329.625</v>
      </c>
      <c r="G500" s="19" t="str">
        <f t="shared" si="21"/>
        <v/>
      </c>
      <c r="J500" s="28">
        <f t="shared" si="23"/>
        <v>-0.31858407079646023</v>
      </c>
    </row>
    <row r="501" spans="1:10">
      <c r="A501" s="3">
        <v>86</v>
      </c>
      <c r="B501" t="s">
        <v>547</v>
      </c>
      <c r="C501" t="s">
        <v>456</v>
      </c>
      <c r="E501" s="3">
        <f t="shared" si="22"/>
        <v>5</v>
      </c>
      <c r="F501" s="5">
        <v>44330.625</v>
      </c>
      <c r="G501" s="19" t="str">
        <f t="shared" si="21"/>
        <v/>
      </c>
      <c r="J501" s="28">
        <f t="shared" si="23"/>
        <v>-8.5106382978723416E-2</v>
      </c>
    </row>
    <row r="502" spans="1:10">
      <c r="A502" s="3">
        <v>80</v>
      </c>
      <c r="B502" t="s">
        <v>548</v>
      </c>
      <c r="C502" t="s">
        <v>456</v>
      </c>
      <c r="E502" s="3">
        <f t="shared" si="22"/>
        <v>6</v>
      </c>
      <c r="F502" s="5">
        <v>44331.625</v>
      </c>
      <c r="G502" s="19" t="str">
        <f t="shared" si="21"/>
        <v/>
      </c>
      <c r="J502" s="28">
        <f t="shared" si="23"/>
        <v>0.15942028985507251</v>
      </c>
    </row>
    <row r="503" spans="1:10">
      <c r="A503" s="3">
        <v>56</v>
      </c>
      <c r="B503" t="s">
        <v>549</v>
      </c>
      <c r="C503" t="s">
        <v>456</v>
      </c>
      <c r="E503" s="3">
        <f t="shared" si="22"/>
        <v>7</v>
      </c>
      <c r="F503" s="5">
        <v>44332.625</v>
      </c>
      <c r="G503" s="19" t="str">
        <f t="shared" si="21"/>
        <v/>
      </c>
      <c r="J503" s="28">
        <f t="shared" si="23"/>
        <v>-0.18840579710144922</v>
      </c>
    </row>
    <row r="504" spans="1:10">
      <c r="A504" s="3">
        <v>120</v>
      </c>
      <c r="B504" t="s">
        <v>550</v>
      </c>
      <c r="C504" t="s">
        <v>456</v>
      </c>
      <c r="E504" s="3">
        <f t="shared" si="22"/>
        <v>1</v>
      </c>
      <c r="F504" s="5">
        <v>44333.625</v>
      </c>
      <c r="G504" s="19" t="str">
        <f t="shared" si="21"/>
        <v>2021-W20</v>
      </c>
      <c r="H504">
        <f>SUM(A504:A510)</f>
        <v>639</v>
      </c>
      <c r="I504" s="28">
        <f>H504/H497-1</f>
        <v>-7.5253256150506487E-2</v>
      </c>
      <c r="J504" s="28">
        <f t="shared" si="23"/>
        <v>-0.13043478260869568</v>
      </c>
    </row>
    <row r="505" spans="1:10">
      <c r="A505" s="3">
        <v>110</v>
      </c>
      <c r="B505" t="s">
        <v>551</v>
      </c>
      <c r="C505" t="s">
        <v>456</v>
      </c>
      <c r="E505" s="3">
        <f t="shared" si="22"/>
        <v>2</v>
      </c>
      <c r="F505" s="5">
        <v>44334.625</v>
      </c>
      <c r="G505" s="19" t="str">
        <f t="shared" si="21"/>
        <v/>
      </c>
      <c r="J505" s="28">
        <f t="shared" si="23"/>
        <v>1.8518518518518601E-2</v>
      </c>
    </row>
    <row r="506" spans="1:10">
      <c r="A506" s="3">
        <v>113</v>
      </c>
      <c r="B506" t="s">
        <v>552</v>
      </c>
      <c r="C506" t="s">
        <v>456</v>
      </c>
      <c r="E506" s="3">
        <f t="shared" si="22"/>
        <v>3</v>
      </c>
      <c r="F506" s="5">
        <v>44335.625</v>
      </c>
      <c r="G506" s="19" t="str">
        <f t="shared" si="21"/>
        <v/>
      </c>
      <c r="J506" s="28">
        <f t="shared" si="23"/>
        <v>-0.22602739726027399</v>
      </c>
    </row>
    <row r="507" spans="1:10">
      <c r="A507" s="3">
        <v>103</v>
      </c>
      <c r="B507" t="s">
        <v>553</v>
      </c>
      <c r="C507" t="s">
        <v>456</v>
      </c>
      <c r="E507" s="3">
        <f t="shared" si="22"/>
        <v>4</v>
      </c>
      <c r="F507" s="5">
        <v>44336.625</v>
      </c>
      <c r="G507" s="19" t="str">
        <f t="shared" si="21"/>
        <v/>
      </c>
      <c r="J507" s="28">
        <f t="shared" si="23"/>
        <v>0.33766233766233755</v>
      </c>
    </row>
    <row r="508" spans="1:10">
      <c r="A508" s="3">
        <v>85</v>
      </c>
      <c r="B508" t="s">
        <v>554</v>
      </c>
      <c r="C508" t="s">
        <v>456</v>
      </c>
      <c r="E508" s="3">
        <f t="shared" si="22"/>
        <v>5</v>
      </c>
      <c r="F508" s="5">
        <v>44337.625</v>
      </c>
      <c r="G508" s="19" t="str">
        <f t="shared" si="21"/>
        <v/>
      </c>
      <c r="J508" s="28">
        <f t="shared" si="23"/>
        <v>-1.1627906976744207E-2</v>
      </c>
    </row>
    <row r="509" spans="1:10">
      <c r="A509" s="3">
        <v>54</v>
      </c>
      <c r="B509" t="s">
        <v>555</v>
      </c>
      <c r="C509" t="s">
        <v>456</v>
      </c>
      <c r="E509" s="3">
        <f t="shared" si="22"/>
        <v>6</v>
      </c>
      <c r="F509" s="5">
        <v>44338.625</v>
      </c>
      <c r="G509" s="19" t="str">
        <f t="shared" si="21"/>
        <v/>
      </c>
      <c r="J509" s="28">
        <f t="shared" si="23"/>
        <v>-0.32499999999999996</v>
      </c>
    </row>
    <row r="510" spans="1:10">
      <c r="A510" s="3">
        <v>54</v>
      </c>
      <c r="B510" t="s">
        <v>556</v>
      </c>
      <c r="C510" t="s">
        <v>456</v>
      </c>
      <c r="E510" s="3">
        <f t="shared" si="22"/>
        <v>7</v>
      </c>
      <c r="F510" s="5">
        <v>44339.625</v>
      </c>
      <c r="G510" s="19" t="str">
        <f t="shared" si="21"/>
        <v/>
      </c>
      <c r="J510" s="28">
        <f t="shared" si="23"/>
        <v>-3.5714285714285698E-2</v>
      </c>
    </row>
    <row r="511" spans="1:10">
      <c r="A511" s="3">
        <v>109</v>
      </c>
      <c r="B511" t="s">
        <v>557</v>
      </c>
      <c r="C511" t="s">
        <v>456</v>
      </c>
      <c r="E511" s="3">
        <f t="shared" si="22"/>
        <v>1</v>
      </c>
      <c r="F511" s="5">
        <v>44340.625</v>
      </c>
      <c r="G511" s="19" t="str">
        <f t="shared" si="21"/>
        <v>2021-W21</v>
      </c>
      <c r="H511">
        <f>SUM(A511:A517)</f>
        <v>469</v>
      </c>
      <c r="I511" s="28">
        <f>H511/H504-1</f>
        <v>-0.2660406885758998</v>
      </c>
      <c r="J511" s="28">
        <f t="shared" si="23"/>
        <v>-9.1666666666666674E-2</v>
      </c>
    </row>
    <row r="512" spans="1:10">
      <c r="A512" s="3">
        <v>86</v>
      </c>
      <c r="B512" t="s">
        <v>558</v>
      </c>
      <c r="C512" t="s">
        <v>456</v>
      </c>
      <c r="E512" s="3">
        <f t="shared" si="22"/>
        <v>2</v>
      </c>
      <c r="F512" s="5">
        <v>44341.625</v>
      </c>
      <c r="G512" s="19" t="str">
        <f t="shared" si="21"/>
        <v/>
      </c>
      <c r="J512" s="28">
        <f t="shared" si="23"/>
        <v>-0.21818181818181814</v>
      </c>
    </row>
    <row r="513" spans="1:10">
      <c r="A513" s="3">
        <v>77</v>
      </c>
      <c r="B513" t="s">
        <v>559</v>
      </c>
      <c r="C513" t="s">
        <v>456</v>
      </c>
      <c r="E513" s="3">
        <f t="shared" si="22"/>
        <v>3</v>
      </c>
      <c r="F513" s="5">
        <v>44342.625</v>
      </c>
      <c r="G513" s="19" t="str">
        <f t="shared" si="21"/>
        <v/>
      </c>
      <c r="J513" s="28">
        <f t="shared" si="23"/>
        <v>-0.31858407079646023</v>
      </c>
    </row>
    <row r="514" spans="1:10">
      <c r="A514" s="3">
        <v>56</v>
      </c>
      <c r="B514" t="s">
        <v>560</v>
      </c>
      <c r="C514" t="s">
        <v>456</v>
      </c>
      <c r="E514" s="3">
        <f t="shared" si="22"/>
        <v>4</v>
      </c>
      <c r="F514" s="5">
        <v>44343.625</v>
      </c>
      <c r="G514" s="19" t="str">
        <f t="shared" si="21"/>
        <v/>
      </c>
      <c r="J514" s="28">
        <f t="shared" si="23"/>
        <v>-0.4563106796116505</v>
      </c>
    </row>
    <row r="515" spans="1:10">
      <c r="A515" s="3">
        <v>64</v>
      </c>
      <c r="B515" t="s">
        <v>561</v>
      </c>
      <c r="C515" t="s">
        <v>456</v>
      </c>
      <c r="E515" s="3">
        <f t="shared" si="22"/>
        <v>5</v>
      </c>
      <c r="F515" s="5">
        <v>44344.625</v>
      </c>
      <c r="G515" s="19" t="str">
        <f t="shared" ref="G515:G578" si="24">IF(WEEKDAY(F515,2)=1,YEAR(F515)&amp;"-W"&amp;TEXT(WEEKNUM(F515,14),"00"),"")</f>
        <v/>
      </c>
      <c r="J515" s="28">
        <f t="shared" si="23"/>
        <v>-0.24705882352941178</v>
      </c>
    </row>
    <row r="516" spans="1:10">
      <c r="A516" s="3">
        <v>28</v>
      </c>
      <c r="B516" t="s">
        <v>562</v>
      </c>
      <c r="C516" t="s">
        <v>456</v>
      </c>
      <c r="E516" s="3">
        <f t="shared" si="22"/>
        <v>6</v>
      </c>
      <c r="F516" s="5">
        <v>44345.625</v>
      </c>
      <c r="G516" s="19" t="str">
        <f t="shared" si="24"/>
        <v/>
      </c>
      <c r="J516" s="28">
        <f t="shared" si="23"/>
        <v>-0.48148148148148151</v>
      </c>
    </row>
    <row r="517" spans="1:10">
      <c r="A517" s="3">
        <v>49</v>
      </c>
      <c r="B517" t="s">
        <v>563</v>
      </c>
      <c r="C517" t="s">
        <v>456</v>
      </c>
      <c r="E517" s="3">
        <f t="shared" ref="E517:E580" si="25">WEEKDAY(F517,2)</f>
        <v>7</v>
      </c>
      <c r="F517" s="5">
        <v>44346.625</v>
      </c>
      <c r="G517" s="19" t="str">
        <f t="shared" si="24"/>
        <v/>
      </c>
      <c r="J517" s="28">
        <f t="shared" si="23"/>
        <v>-9.259259259259256E-2</v>
      </c>
    </row>
    <row r="518" spans="1:10">
      <c r="A518" s="3">
        <v>99</v>
      </c>
      <c r="B518" t="s">
        <v>564</v>
      </c>
      <c r="C518" t="s">
        <v>456</v>
      </c>
      <c r="E518" s="3">
        <f t="shared" si="25"/>
        <v>1</v>
      </c>
      <c r="F518" s="5">
        <v>44347.625</v>
      </c>
      <c r="G518" s="19" t="str">
        <f t="shared" si="24"/>
        <v>2021-W22</v>
      </c>
      <c r="H518">
        <f>SUM(A518:A524)</f>
        <v>455</v>
      </c>
      <c r="I518" s="28">
        <f>H518/H511-1</f>
        <v>-2.9850746268656692E-2</v>
      </c>
      <c r="J518" s="28">
        <f t="shared" si="23"/>
        <v>-9.1743119266055051E-2</v>
      </c>
    </row>
    <row r="519" spans="1:10">
      <c r="A519" s="3">
        <v>76</v>
      </c>
      <c r="B519" t="s">
        <v>565</v>
      </c>
      <c r="C519" t="s">
        <v>456</v>
      </c>
      <c r="E519" s="3">
        <f t="shared" si="25"/>
        <v>2</v>
      </c>
      <c r="F519" s="5">
        <v>44348.625</v>
      </c>
      <c r="G519" s="19" t="str">
        <f t="shared" si="24"/>
        <v/>
      </c>
      <c r="J519" s="28">
        <f t="shared" si="23"/>
        <v>-0.11627906976744184</v>
      </c>
    </row>
    <row r="520" spans="1:10">
      <c r="A520" s="3">
        <v>68</v>
      </c>
      <c r="B520" t="s">
        <v>566</v>
      </c>
      <c r="C520" t="s">
        <v>456</v>
      </c>
      <c r="E520" s="3">
        <f t="shared" si="25"/>
        <v>3</v>
      </c>
      <c r="F520" s="5">
        <v>44349.625</v>
      </c>
      <c r="G520" s="19" t="str">
        <f t="shared" si="24"/>
        <v/>
      </c>
      <c r="J520" s="28">
        <f t="shared" si="23"/>
        <v>-0.11688311688311692</v>
      </c>
    </row>
    <row r="521" spans="1:10">
      <c r="A521" s="3">
        <v>67</v>
      </c>
      <c r="B521" t="s">
        <v>567</v>
      </c>
      <c r="C521" t="s">
        <v>456</v>
      </c>
      <c r="E521" s="3">
        <f t="shared" si="25"/>
        <v>4</v>
      </c>
      <c r="F521" s="5">
        <v>44350.625</v>
      </c>
      <c r="G521" s="19" t="str">
        <f t="shared" si="24"/>
        <v/>
      </c>
      <c r="J521" s="28">
        <f t="shared" ref="J521:J584" si="26">A521/A514-1</f>
        <v>0.1964285714285714</v>
      </c>
    </row>
    <row r="522" spans="1:10">
      <c r="A522" s="3">
        <v>64</v>
      </c>
      <c r="B522" t="s">
        <v>568</v>
      </c>
      <c r="C522" t="s">
        <v>456</v>
      </c>
      <c r="E522" s="3">
        <f t="shared" si="25"/>
        <v>5</v>
      </c>
      <c r="F522" s="5">
        <v>44351.625</v>
      </c>
      <c r="G522" s="19" t="str">
        <f t="shared" si="24"/>
        <v/>
      </c>
      <c r="J522" s="28">
        <f t="shared" si="26"/>
        <v>0</v>
      </c>
    </row>
    <row r="523" spans="1:10">
      <c r="A523" s="3">
        <v>40</v>
      </c>
      <c r="B523" t="s">
        <v>569</v>
      </c>
      <c r="C523" t="s">
        <v>456</v>
      </c>
      <c r="E523" s="3">
        <f t="shared" si="25"/>
        <v>6</v>
      </c>
      <c r="F523" s="5">
        <v>44352.625</v>
      </c>
      <c r="G523" s="19" t="str">
        <f t="shared" si="24"/>
        <v/>
      </c>
      <c r="J523" s="28">
        <f t="shared" si="26"/>
        <v>0.4285714285714286</v>
      </c>
    </row>
    <row r="524" spans="1:10">
      <c r="A524" s="3">
        <v>41</v>
      </c>
      <c r="B524" t="s">
        <v>570</v>
      </c>
      <c r="C524" t="s">
        <v>456</v>
      </c>
      <c r="E524" s="3">
        <f t="shared" si="25"/>
        <v>7</v>
      </c>
      <c r="F524" s="5">
        <v>44353.625</v>
      </c>
      <c r="G524" s="19" t="str">
        <f t="shared" si="24"/>
        <v/>
      </c>
      <c r="J524" s="28">
        <f t="shared" si="26"/>
        <v>-0.16326530612244894</v>
      </c>
    </row>
    <row r="525" spans="1:10">
      <c r="A525" s="3">
        <v>86</v>
      </c>
      <c r="B525" t="s">
        <v>571</v>
      </c>
      <c r="C525" t="s">
        <v>456</v>
      </c>
      <c r="E525" s="3">
        <f t="shared" si="25"/>
        <v>1</v>
      </c>
      <c r="F525" s="5">
        <v>44354.625</v>
      </c>
      <c r="G525" s="19" t="str">
        <f t="shared" si="24"/>
        <v>2021-W23</v>
      </c>
      <c r="H525">
        <f>SUM(A525:A531)</f>
        <v>311</v>
      </c>
      <c r="I525" s="28">
        <f>H525/H518-1</f>
        <v>-0.31648351648351647</v>
      </c>
      <c r="J525" s="28">
        <f t="shared" si="26"/>
        <v>-0.13131313131313127</v>
      </c>
    </row>
    <row r="526" spans="1:10">
      <c r="A526" s="3">
        <v>55</v>
      </c>
      <c r="B526" t="s">
        <v>572</v>
      </c>
      <c r="C526" t="s">
        <v>456</v>
      </c>
      <c r="E526" s="3">
        <f t="shared" si="25"/>
        <v>2</v>
      </c>
      <c r="F526" s="5">
        <v>44355.625</v>
      </c>
      <c r="G526" s="19" t="str">
        <f t="shared" si="24"/>
        <v/>
      </c>
      <c r="J526" s="28">
        <f t="shared" si="26"/>
        <v>-0.27631578947368418</v>
      </c>
    </row>
    <row r="527" spans="1:10">
      <c r="A527" s="3">
        <v>36</v>
      </c>
      <c r="B527" t="s">
        <v>573</v>
      </c>
      <c r="C527" t="s">
        <v>456</v>
      </c>
      <c r="E527" s="3">
        <f t="shared" si="25"/>
        <v>3</v>
      </c>
      <c r="F527" s="5">
        <v>44356.625</v>
      </c>
      <c r="G527" s="19" t="str">
        <f t="shared" si="24"/>
        <v/>
      </c>
      <c r="J527" s="28">
        <f t="shared" si="26"/>
        <v>-0.47058823529411764</v>
      </c>
    </row>
    <row r="528" spans="1:10">
      <c r="A528" s="3">
        <v>31</v>
      </c>
      <c r="B528" t="s">
        <v>574</v>
      </c>
      <c r="C528" t="s">
        <v>456</v>
      </c>
      <c r="E528" s="3">
        <f t="shared" si="25"/>
        <v>4</v>
      </c>
      <c r="F528" s="5">
        <v>44357.625</v>
      </c>
      <c r="G528" s="19" t="str">
        <f t="shared" si="24"/>
        <v/>
      </c>
      <c r="J528" s="28">
        <f t="shared" si="26"/>
        <v>-0.53731343283582089</v>
      </c>
    </row>
    <row r="529" spans="1:10">
      <c r="A529" s="3">
        <v>34</v>
      </c>
      <c r="B529" t="s">
        <v>575</v>
      </c>
      <c r="C529" t="s">
        <v>456</v>
      </c>
      <c r="E529" s="3">
        <f t="shared" si="25"/>
        <v>5</v>
      </c>
      <c r="F529" s="5">
        <v>44358.625</v>
      </c>
      <c r="G529" s="19" t="str">
        <f t="shared" si="24"/>
        <v/>
      </c>
      <c r="J529" s="28">
        <f t="shared" si="26"/>
        <v>-0.46875</v>
      </c>
    </row>
    <row r="530" spans="1:10">
      <c r="A530" s="3">
        <v>36</v>
      </c>
      <c r="B530" t="s">
        <v>576</v>
      </c>
      <c r="C530" t="s">
        <v>456</v>
      </c>
      <c r="E530" s="3">
        <f t="shared" si="25"/>
        <v>6</v>
      </c>
      <c r="F530" s="5">
        <v>44359.625</v>
      </c>
      <c r="G530" s="19" t="str">
        <f t="shared" si="24"/>
        <v/>
      </c>
      <c r="J530" s="28">
        <f t="shared" si="26"/>
        <v>-9.9999999999999978E-2</v>
      </c>
    </row>
    <row r="531" spans="1:10">
      <c r="A531" s="3">
        <v>33</v>
      </c>
      <c r="B531" t="s">
        <v>577</v>
      </c>
      <c r="C531" t="s">
        <v>456</v>
      </c>
      <c r="E531" s="3">
        <f t="shared" si="25"/>
        <v>7</v>
      </c>
      <c r="F531" s="5">
        <v>44360.625</v>
      </c>
      <c r="G531" s="19" t="str">
        <f t="shared" si="24"/>
        <v/>
      </c>
      <c r="J531" s="28">
        <f t="shared" si="26"/>
        <v>-0.19512195121951215</v>
      </c>
    </row>
    <row r="532" spans="1:10">
      <c r="A532" s="3">
        <v>38</v>
      </c>
      <c r="B532" t="s">
        <v>578</v>
      </c>
      <c r="C532" t="s">
        <v>456</v>
      </c>
      <c r="E532" s="3">
        <f t="shared" si="25"/>
        <v>1</v>
      </c>
      <c r="F532" s="5">
        <v>44361.625</v>
      </c>
      <c r="G532" s="19" t="str">
        <f t="shared" si="24"/>
        <v>2021-W24</v>
      </c>
      <c r="H532">
        <f>SUM(A532:A538)</f>
        <v>261</v>
      </c>
      <c r="I532" s="28">
        <f>H532/H525-1</f>
        <v>-0.16077170418006426</v>
      </c>
      <c r="J532" s="28">
        <f t="shared" si="26"/>
        <v>-0.55813953488372092</v>
      </c>
    </row>
    <row r="533" spans="1:10">
      <c r="A533" s="3">
        <v>41</v>
      </c>
      <c r="B533" t="s">
        <v>579</v>
      </c>
      <c r="C533" t="s">
        <v>456</v>
      </c>
      <c r="E533" s="3">
        <f t="shared" si="25"/>
        <v>2</v>
      </c>
      <c r="F533" s="5">
        <v>44362.625</v>
      </c>
      <c r="G533" s="19" t="str">
        <f t="shared" si="24"/>
        <v/>
      </c>
      <c r="J533" s="28">
        <f t="shared" si="26"/>
        <v>-0.25454545454545452</v>
      </c>
    </row>
    <row r="534" spans="1:10">
      <c r="A534" s="3">
        <v>35</v>
      </c>
      <c r="B534" t="s">
        <v>580</v>
      </c>
      <c r="C534" t="s">
        <v>456</v>
      </c>
      <c r="E534" s="3">
        <f t="shared" si="25"/>
        <v>3</v>
      </c>
      <c r="F534" s="5">
        <v>44363.625</v>
      </c>
      <c r="G534" s="19" t="str">
        <f t="shared" si="24"/>
        <v/>
      </c>
      <c r="J534" s="28">
        <f t="shared" si="26"/>
        <v>-2.777777777777779E-2</v>
      </c>
    </row>
    <row r="535" spans="1:10">
      <c r="A535" s="3">
        <v>48</v>
      </c>
      <c r="B535" t="s">
        <v>581</v>
      </c>
      <c r="C535" t="s">
        <v>456</v>
      </c>
      <c r="E535" s="3">
        <f t="shared" si="25"/>
        <v>4</v>
      </c>
      <c r="F535" s="5">
        <v>44364.625</v>
      </c>
      <c r="G535" s="19" t="str">
        <f t="shared" si="24"/>
        <v/>
      </c>
      <c r="J535" s="28">
        <f t="shared" si="26"/>
        <v>0.54838709677419351</v>
      </c>
    </row>
    <row r="536" spans="1:10">
      <c r="A536" s="3">
        <v>33</v>
      </c>
      <c r="B536" t="s">
        <v>582</v>
      </c>
      <c r="C536" t="s">
        <v>456</v>
      </c>
      <c r="E536" s="3">
        <f t="shared" si="25"/>
        <v>5</v>
      </c>
      <c r="F536" s="5">
        <v>44365.625</v>
      </c>
      <c r="G536" s="19" t="str">
        <f t="shared" si="24"/>
        <v/>
      </c>
      <c r="J536" s="28">
        <f t="shared" si="26"/>
        <v>-2.9411764705882359E-2</v>
      </c>
    </row>
    <row r="537" spans="1:10">
      <c r="A537" s="3">
        <v>26</v>
      </c>
      <c r="B537" t="s">
        <v>583</v>
      </c>
      <c r="C537" t="s">
        <v>456</v>
      </c>
      <c r="E537" s="3">
        <f t="shared" si="25"/>
        <v>6</v>
      </c>
      <c r="F537" s="5">
        <v>44366.625</v>
      </c>
      <c r="G537" s="19" t="str">
        <f t="shared" si="24"/>
        <v/>
      </c>
      <c r="J537" s="28">
        <f t="shared" si="26"/>
        <v>-0.27777777777777779</v>
      </c>
    </row>
    <row r="538" spans="1:10">
      <c r="A538" s="3">
        <v>40</v>
      </c>
      <c r="B538" t="s">
        <v>584</v>
      </c>
      <c r="C538" t="s">
        <v>456</v>
      </c>
      <c r="E538" s="3">
        <f t="shared" si="25"/>
        <v>7</v>
      </c>
      <c r="F538" s="5">
        <v>44367.625</v>
      </c>
      <c r="G538" s="19" t="str">
        <f t="shared" si="24"/>
        <v/>
      </c>
      <c r="J538" s="28">
        <f t="shared" si="26"/>
        <v>0.21212121212121215</v>
      </c>
    </row>
    <row r="539" spans="1:10">
      <c r="A539" s="3">
        <v>56</v>
      </c>
      <c r="B539" t="s">
        <v>585</v>
      </c>
      <c r="C539" t="s">
        <v>456</v>
      </c>
      <c r="E539" s="3">
        <f t="shared" si="25"/>
        <v>1</v>
      </c>
      <c r="F539" s="5">
        <v>44368.625</v>
      </c>
      <c r="G539" s="19" t="str">
        <f t="shared" si="24"/>
        <v>2021-W25</v>
      </c>
      <c r="H539">
        <f>SUM(A539:A545)</f>
        <v>558</v>
      </c>
      <c r="I539" s="28">
        <f>H539/H532-1</f>
        <v>1.1379310344827585</v>
      </c>
      <c r="J539" s="28">
        <f t="shared" si="26"/>
        <v>0.47368421052631571</v>
      </c>
    </row>
    <row r="540" spans="1:10">
      <c r="A540" s="3">
        <v>67</v>
      </c>
      <c r="B540" t="s">
        <v>586</v>
      </c>
      <c r="C540" t="s">
        <v>456</v>
      </c>
      <c r="E540" s="3">
        <f t="shared" si="25"/>
        <v>2</v>
      </c>
      <c r="F540" s="5">
        <v>44369.625</v>
      </c>
      <c r="G540" s="19" t="str">
        <f t="shared" si="24"/>
        <v/>
      </c>
      <c r="J540" s="28">
        <f t="shared" si="26"/>
        <v>0.63414634146341453</v>
      </c>
    </row>
    <row r="541" spans="1:10">
      <c r="A541" s="3">
        <v>76</v>
      </c>
      <c r="B541" t="s">
        <v>587</v>
      </c>
      <c r="C541" t="s">
        <v>456</v>
      </c>
      <c r="E541" s="3">
        <f t="shared" si="25"/>
        <v>3</v>
      </c>
      <c r="F541" s="5">
        <v>44370.625</v>
      </c>
      <c r="G541" s="19" t="str">
        <f t="shared" si="24"/>
        <v/>
      </c>
      <c r="J541" s="28">
        <f t="shared" si="26"/>
        <v>1.1714285714285713</v>
      </c>
    </row>
    <row r="542" spans="1:10">
      <c r="A542" s="3">
        <v>93</v>
      </c>
      <c r="B542" t="s">
        <v>588</v>
      </c>
      <c r="C542" t="s">
        <v>456</v>
      </c>
      <c r="E542" s="3">
        <f t="shared" si="25"/>
        <v>4</v>
      </c>
      <c r="F542" s="5">
        <v>44371.625</v>
      </c>
      <c r="G542" s="19" t="str">
        <f t="shared" si="24"/>
        <v/>
      </c>
      <c r="J542" s="28">
        <f t="shared" si="26"/>
        <v>0.9375</v>
      </c>
    </row>
    <row r="543" spans="1:10">
      <c r="A543" s="3">
        <v>127</v>
      </c>
      <c r="B543" t="s">
        <v>589</v>
      </c>
      <c r="C543" t="s">
        <v>456</v>
      </c>
      <c r="E543" s="3">
        <f t="shared" si="25"/>
        <v>5</v>
      </c>
      <c r="F543" s="5">
        <v>44372.625</v>
      </c>
      <c r="G543" s="19" t="str">
        <f t="shared" si="24"/>
        <v/>
      </c>
      <c r="J543" s="28">
        <f t="shared" si="26"/>
        <v>2.8484848484848486</v>
      </c>
    </row>
    <row r="544" spans="1:10">
      <c r="A544" s="3">
        <v>81</v>
      </c>
      <c r="B544" t="s">
        <v>590</v>
      </c>
      <c r="C544" t="s">
        <v>456</v>
      </c>
      <c r="E544" s="3">
        <f t="shared" si="25"/>
        <v>6</v>
      </c>
      <c r="F544" s="5">
        <v>44373.625</v>
      </c>
      <c r="G544" s="19" t="str">
        <f t="shared" si="24"/>
        <v/>
      </c>
      <c r="J544" s="28">
        <f t="shared" si="26"/>
        <v>2.1153846153846154</v>
      </c>
    </row>
    <row r="545" spans="1:10">
      <c r="A545" s="3">
        <v>58</v>
      </c>
      <c r="B545" t="s">
        <v>591</v>
      </c>
      <c r="C545" t="s">
        <v>456</v>
      </c>
      <c r="E545" s="3">
        <f t="shared" si="25"/>
        <v>7</v>
      </c>
      <c r="F545" s="5">
        <v>44374.625</v>
      </c>
      <c r="G545" s="19" t="str">
        <f t="shared" si="24"/>
        <v/>
      </c>
      <c r="J545" s="28">
        <f t="shared" si="26"/>
        <v>0.44999999999999996</v>
      </c>
    </row>
    <row r="546" spans="1:10">
      <c r="A546" s="3">
        <v>115</v>
      </c>
      <c r="B546" t="s">
        <v>592</v>
      </c>
      <c r="C546" t="s">
        <v>456</v>
      </c>
      <c r="E546" s="3">
        <f t="shared" si="25"/>
        <v>1</v>
      </c>
      <c r="F546" s="5">
        <v>44375.625</v>
      </c>
      <c r="G546" s="19" t="str">
        <f t="shared" si="24"/>
        <v>2021-W26</v>
      </c>
      <c r="H546">
        <f>SUM(A546:A552)</f>
        <v>628</v>
      </c>
      <c r="I546" s="28">
        <f>H546/H539-1</f>
        <v>0.12544802867383509</v>
      </c>
      <c r="J546" s="28">
        <f t="shared" si="26"/>
        <v>1.0535714285714284</v>
      </c>
    </row>
    <row r="547" spans="1:10">
      <c r="A547" s="3">
        <v>137</v>
      </c>
      <c r="B547" t="s">
        <v>593</v>
      </c>
      <c r="C547" t="s">
        <v>456</v>
      </c>
      <c r="E547" s="3">
        <f t="shared" si="25"/>
        <v>2</v>
      </c>
      <c r="F547" s="5">
        <v>44376.625</v>
      </c>
      <c r="G547" s="19" t="str">
        <f t="shared" si="24"/>
        <v/>
      </c>
      <c r="J547" s="28">
        <f t="shared" si="26"/>
        <v>1.044776119402985</v>
      </c>
    </row>
    <row r="548" spans="1:10">
      <c r="A548" s="3">
        <v>84</v>
      </c>
      <c r="B548" t="s">
        <v>594</v>
      </c>
      <c r="C548" t="s">
        <v>456</v>
      </c>
      <c r="E548" s="3">
        <f t="shared" si="25"/>
        <v>3</v>
      </c>
      <c r="F548" s="5">
        <v>44377.625</v>
      </c>
      <c r="G548" s="19" t="str">
        <f t="shared" si="24"/>
        <v/>
      </c>
      <c r="J548" s="28">
        <f t="shared" si="26"/>
        <v>0.10526315789473695</v>
      </c>
    </row>
    <row r="549" spans="1:10">
      <c r="A549" s="3">
        <v>96</v>
      </c>
      <c r="B549" t="s">
        <v>595</v>
      </c>
      <c r="C549" t="s">
        <v>456</v>
      </c>
      <c r="E549" s="3">
        <f t="shared" si="25"/>
        <v>4</v>
      </c>
      <c r="F549" s="5">
        <v>44378.625</v>
      </c>
      <c r="G549" s="19" t="str">
        <f t="shared" si="24"/>
        <v/>
      </c>
      <c r="J549" s="28">
        <f t="shared" si="26"/>
        <v>3.2258064516129004E-2</v>
      </c>
    </row>
    <row r="550" spans="1:10">
      <c r="A550" s="3">
        <v>77</v>
      </c>
      <c r="B550" t="s">
        <v>596</v>
      </c>
      <c r="C550" t="s">
        <v>456</v>
      </c>
      <c r="E550" s="3">
        <f t="shared" si="25"/>
        <v>5</v>
      </c>
      <c r="F550" s="5">
        <v>44379.625</v>
      </c>
      <c r="G550" s="19" t="str">
        <f t="shared" si="24"/>
        <v/>
      </c>
      <c r="J550" s="28">
        <f t="shared" si="26"/>
        <v>-0.39370078740157477</v>
      </c>
    </row>
    <row r="551" spans="1:10">
      <c r="A551" s="3">
        <v>60</v>
      </c>
      <c r="B551" t="s">
        <v>597</v>
      </c>
      <c r="C551" t="s">
        <v>456</v>
      </c>
      <c r="E551" s="3">
        <f t="shared" si="25"/>
        <v>6</v>
      </c>
      <c r="F551" s="5">
        <v>44380.625</v>
      </c>
      <c r="G551" s="19" t="str">
        <f t="shared" si="24"/>
        <v/>
      </c>
      <c r="J551" s="28">
        <f t="shared" si="26"/>
        <v>-0.2592592592592593</v>
      </c>
    </row>
    <row r="552" spans="1:10">
      <c r="A552" s="3">
        <v>59</v>
      </c>
      <c r="B552" t="s">
        <v>598</v>
      </c>
      <c r="C552" t="s">
        <v>456</v>
      </c>
      <c r="E552" s="3">
        <f t="shared" si="25"/>
        <v>7</v>
      </c>
      <c r="F552" s="5">
        <v>44381.625</v>
      </c>
      <c r="G552" s="19" t="str">
        <f t="shared" si="24"/>
        <v/>
      </c>
      <c r="J552" s="28">
        <f t="shared" si="26"/>
        <v>1.7241379310344751E-2</v>
      </c>
    </row>
    <row r="553" spans="1:10">
      <c r="A553" s="3">
        <v>99</v>
      </c>
      <c r="B553" t="s">
        <v>599</v>
      </c>
      <c r="C553" t="s">
        <v>456</v>
      </c>
      <c r="E553" s="3">
        <f t="shared" si="25"/>
        <v>1</v>
      </c>
      <c r="F553" s="5">
        <v>44382.625</v>
      </c>
      <c r="G553" s="19" t="str">
        <f t="shared" si="24"/>
        <v>2021-W27</v>
      </c>
      <c r="H553">
        <f>SUM(A553:A559)</f>
        <v>914</v>
      </c>
      <c r="I553" s="28">
        <f>H553/H546-1</f>
        <v>0.45541401273885351</v>
      </c>
      <c r="J553" s="28">
        <f t="shared" si="26"/>
        <v>-0.13913043478260867</v>
      </c>
    </row>
    <row r="554" spans="1:10">
      <c r="A554" s="3">
        <v>133</v>
      </c>
      <c r="B554" t="s">
        <v>600</v>
      </c>
      <c r="C554" t="s">
        <v>456</v>
      </c>
      <c r="E554" s="3">
        <f t="shared" si="25"/>
        <v>2</v>
      </c>
      <c r="F554" s="5">
        <v>44383.625</v>
      </c>
      <c r="G554" s="19" t="str">
        <f t="shared" si="24"/>
        <v/>
      </c>
      <c r="J554" s="28">
        <f t="shared" si="26"/>
        <v>-2.9197080291970767E-2</v>
      </c>
    </row>
    <row r="555" spans="1:10">
      <c r="A555" s="3">
        <v>157</v>
      </c>
      <c r="B555" t="s">
        <v>601</v>
      </c>
      <c r="C555" t="s">
        <v>456</v>
      </c>
      <c r="E555" s="3">
        <f t="shared" si="25"/>
        <v>3</v>
      </c>
      <c r="F555" s="5">
        <v>44384.625</v>
      </c>
      <c r="G555" s="19" t="str">
        <f t="shared" si="24"/>
        <v/>
      </c>
      <c r="J555" s="28">
        <f t="shared" si="26"/>
        <v>0.86904761904761907</v>
      </c>
    </row>
    <row r="556" spans="1:10">
      <c r="A556" s="3">
        <v>159</v>
      </c>
      <c r="B556" t="s">
        <v>602</v>
      </c>
      <c r="C556" t="s">
        <v>456</v>
      </c>
      <c r="E556" s="3">
        <f t="shared" si="25"/>
        <v>4</v>
      </c>
      <c r="F556" s="5">
        <v>44385.625</v>
      </c>
      <c r="G556" s="19" t="str">
        <f t="shared" si="24"/>
        <v/>
      </c>
      <c r="J556" s="28">
        <f t="shared" si="26"/>
        <v>0.65625</v>
      </c>
    </row>
    <row r="557" spans="1:10">
      <c r="A557" s="3">
        <v>174</v>
      </c>
      <c r="B557" t="s">
        <v>603</v>
      </c>
      <c r="C557" t="s">
        <v>456</v>
      </c>
      <c r="E557" s="3">
        <f t="shared" si="25"/>
        <v>5</v>
      </c>
      <c r="F557" s="5">
        <v>44386.625</v>
      </c>
      <c r="G557" s="19" t="str">
        <f t="shared" si="24"/>
        <v/>
      </c>
      <c r="J557" s="28">
        <f t="shared" si="26"/>
        <v>1.2597402597402598</v>
      </c>
    </row>
    <row r="558" spans="1:10">
      <c r="A558" s="3">
        <v>92</v>
      </c>
      <c r="B558" t="s">
        <v>604</v>
      </c>
      <c r="C558" t="s">
        <v>456</v>
      </c>
      <c r="E558" s="3">
        <f t="shared" si="25"/>
        <v>6</v>
      </c>
      <c r="F558" s="5">
        <v>44387.625</v>
      </c>
      <c r="G558" s="19" t="str">
        <f t="shared" si="24"/>
        <v/>
      </c>
      <c r="J558" s="28">
        <f t="shared" si="26"/>
        <v>0.53333333333333344</v>
      </c>
    </row>
    <row r="559" spans="1:10">
      <c r="A559" s="3">
        <v>100</v>
      </c>
      <c r="B559" t="s">
        <v>605</v>
      </c>
      <c r="C559" t="s">
        <v>456</v>
      </c>
      <c r="E559" s="3">
        <f t="shared" si="25"/>
        <v>7</v>
      </c>
      <c r="F559" s="5">
        <v>44388.625</v>
      </c>
      <c r="G559" s="19" t="str">
        <f t="shared" si="24"/>
        <v/>
      </c>
      <c r="J559" s="28">
        <f t="shared" si="26"/>
        <v>0.69491525423728806</v>
      </c>
    </row>
    <row r="560" spans="1:10">
      <c r="A560" s="3">
        <v>191</v>
      </c>
      <c r="B560" t="s">
        <v>606</v>
      </c>
      <c r="C560" t="s">
        <v>456</v>
      </c>
      <c r="E560" s="3">
        <f t="shared" si="25"/>
        <v>1</v>
      </c>
      <c r="F560" s="5">
        <v>44389.625</v>
      </c>
      <c r="G560" s="19" t="str">
        <f t="shared" si="24"/>
        <v>2021-W28</v>
      </c>
      <c r="H560">
        <f>SUM(A560:A566)</f>
        <v>1330</v>
      </c>
      <c r="I560" s="28">
        <f>H560/H553-1</f>
        <v>0.4551422319474836</v>
      </c>
      <c r="J560" s="28">
        <f t="shared" si="26"/>
        <v>0.92929292929292928</v>
      </c>
    </row>
    <row r="561" spans="1:10">
      <c r="A561" s="3">
        <v>205</v>
      </c>
      <c r="B561" t="s">
        <v>607</v>
      </c>
      <c r="C561" t="s">
        <v>456</v>
      </c>
      <c r="E561" s="3">
        <f t="shared" si="25"/>
        <v>2</v>
      </c>
      <c r="F561" s="5">
        <v>44390.625</v>
      </c>
      <c r="G561" s="19" t="str">
        <f t="shared" si="24"/>
        <v/>
      </c>
      <c r="J561" s="28">
        <f t="shared" si="26"/>
        <v>0.54135338345864659</v>
      </c>
    </row>
    <row r="562" spans="1:10">
      <c r="A562" s="3">
        <v>232</v>
      </c>
      <c r="B562" t="s">
        <v>608</v>
      </c>
      <c r="C562" t="s">
        <v>456</v>
      </c>
      <c r="E562" s="3">
        <f t="shared" si="25"/>
        <v>3</v>
      </c>
      <c r="F562" s="5">
        <v>44391.625</v>
      </c>
      <c r="G562" s="19" t="str">
        <f t="shared" si="24"/>
        <v/>
      </c>
      <c r="J562" s="28">
        <f t="shared" si="26"/>
        <v>0.47770700636942665</v>
      </c>
    </row>
    <row r="563" spans="1:10">
      <c r="A563" s="3">
        <v>216</v>
      </c>
      <c r="B563" t="s">
        <v>609</v>
      </c>
      <c r="C563" t="s">
        <v>456</v>
      </c>
      <c r="E563" s="3">
        <f t="shared" si="25"/>
        <v>4</v>
      </c>
      <c r="F563" s="5">
        <v>44392.625</v>
      </c>
      <c r="G563" s="19" t="str">
        <f t="shared" si="24"/>
        <v/>
      </c>
      <c r="J563" s="28">
        <f t="shared" si="26"/>
        <v>0.35849056603773577</v>
      </c>
    </row>
    <row r="564" spans="1:10">
      <c r="A564" s="3">
        <v>208</v>
      </c>
      <c r="B564" t="s">
        <v>610</v>
      </c>
      <c r="C564" t="s">
        <v>456</v>
      </c>
      <c r="E564" s="3">
        <f t="shared" si="25"/>
        <v>5</v>
      </c>
      <c r="F564" s="5">
        <v>44393.625</v>
      </c>
      <c r="G564" s="19" t="str">
        <f t="shared" si="24"/>
        <v/>
      </c>
      <c r="J564" s="28">
        <f t="shared" si="26"/>
        <v>0.19540229885057481</v>
      </c>
    </row>
    <row r="565" spans="1:10">
      <c r="A565" s="3">
        <v>140</v>
      </c>
      <c r="B565" t="s">
        <v>611</v>
      </c>
      <c r="C565" t="s">
        <v>456</v>
      </c>
      <c r="E565" s="3">
        <f t="shared" si="25"/>
        <v>6</v>
      </c>
      <c r="F565" s="5">
        <v>44394.625</v>
      </c>
      <c r="G565" s="19" t="str">
        <f t="shared" si="24"/>
        <v/>
      </c>
      <c r="J565" s="28">
        <f t="shared" si="26"/>
        <v>0.52173913043478271</v>
      </c>
    </row>
    <row r="566" spans="1:10">
      <c r="A566" s="3">
        <v>138</v>
      </c>
      <c r="B566" t="s">
        <v>612</v>
      </c>
      <c r="C566" t="s">
        <v>456</v>
      </c>
      <c r="E566" s="3">
        <f t="shared" si="25"/>
        <v>7</v>
      </c>
      <c r="F566" s="5">
        <v>44395.625</v>
      </c>
      <c r="G566" s="19" t="str">
        <f t="shared" si="24"/>
        <v/>
      </c>
      <c r="J566" s="28">
        <f t="shared" si="26"/>
        <v>0.37999999999999989</v>
      </c>
    </row>
    <row r="567" spans="1:10">
      <c r="A567" s="3">
        <v>214</v>
      </c>
      <c r="B567" t="s">
        <v>613</v>
      </c>
      <c r="C567" t="s">
        <v>456</v>
      </c>
      <c r="E567" s="3">
        <f t="shared" si="25"/>
        <v>1</v>
      </c>
      <c r="F567" s="5">
        <v>44396.625</v>
      </c>
      <c r="G567" s="19" t="str">
        <f t="shared" si="24"/>
        <v>2021-W29</v>
      </c>
      <c r="H567">
        <f>SUM(A567:A573)</f>
        <v>1497</v>
      </c>
      <c r="I567" s="28">
        <f>H567/H560-1</f>
        <v>0.1255639097744361</v>
      </c>
      <c r="J567" s="28">
        <f t="shared" si="26"/>
        <v>0.12041884816753923</v>
      </c>
    </row>
    <row r="568" spans="1:10">
      <c r="A568" s="3">
        <v>242</v>
      </c>
      <c r="B568" t="s">
        <v>614</v>
      </c>
      <c r="C568" t="s">
        <v>456</v>
      </c>
      <c r="E568" s="3">
        <f t="shared" si="25"/>
        <v>2</v>
      </c>
      <c r="F568" s="5">
        <v>44397.625</v>
      </c>
      <c r="G568" s="19" t="str">
        <f t="shared" si="24"/>
        <v/>
      </c>
      <c r="J568" s="28">
        <f t="shared" si="26"/>
        <v>0.18048780487804872</v>
      </c>
    </row>
    <row r="569" spans="1:10">
      <c r="A569" s="3">
        <v>228</v>
      </c>
      <c r="B569" t="s">
        <v>615</v>
      </c>
      <c r="C569" t="s">
        <v>456</v>
      </c>
      <c r="E569" s="3">
        <f t="shared" si="25"/>
        <v>3</v>
      </c>
      <c r="F569" s="5">
        <v>44398.625</v>
      </c>
      <c r="G569" s="19" t="str">
        <f t="shared" si="24"/>
        <v/>
      </c>
      <c r="J569" s="28">
        <f t="shared" si="26"/>
        <v>-1.7241379310344862E-2</v>
      </c>
    </row>
    <row r="570" spans="1:10">
      <c r="A570" s="3">
        <v>213</v>
      </c>
      <c r="B570" t="s">
        <v>616</v>
      </c>
      <c r="C570" t="s">
        <v>456</v>
      </c>
      <c r="E570" s="3">
        <f t="shared" si="25"/>
        <v>4</v>
      </c>
      <c r="F570" s="5">
        <v>44399.625</v>
      </c>
      <c r="G570" s="19" t="str">
        <f t="shared" si="24"/>
        <v/>
      </c>
      <c r="J570" s="28">
        <f t="shared" si="26"/>
        <v>-1.388888888888884E-2</v>
      </c>
    </row>
    <row r="571" spans="1:10">
      <c r="A571" s="3">
        <v>241</v>
      </c>
      <c r="B571" t="s">
        <v>617</v>
      </c>
      <c r="C571" t="s">
        <v>456</v>
      </c>
      <c r="E571" s="3">
        <f t="shared" si="25"/>
        <v>5</v>
      </c>
      <c r="F571" s="5">
        <v>44400.625</v>
      </c>
      <c r="G571" s="19" t="str">
        <f t="shared" si="24"/>
        <v/>
      </c>
      <c r="J571" s="28">
        <f t="shared" si="26"/>
        <v>0.15865384615384626</v>
      </c>
    </row>
    <row r="572" spans="1:10">
      <c r="A572" s="3">
        <v>172</v>
      </c>
      <c r="B572" t="s">
        <v>618</v>
      </c>
      <c r="C572" t="s">
        <v>456</v>
      </c>
      <c r="E572" s="3">
        <f t="shared" si="25"/>
        <v>6</v>
      </c>
      <c r="F572" s="5">
        <v>44401.625</v>
      </c>
      <c r="G572" s="19" t="str">
        <f t="shared" si="24"/>
        <v/>
      </c>
      <c r="J572" s="28">
        <f t="shared" si="26"/>
        <v>0.22857142857142865</v>
      </c>
    </row>
    <row r="573" spans="1:10">
      <c r="A573" s="3">
        <v>187</v>
      </c>
      <c r="B573" t="s">
        <v>619</v>
      </c>
      <c r="C573" t="s">
        <v>456</v>
      </c>
      <c r="E573" s="3">
        <f t="shared" si="25"/>
        <v>7</v>
      </c>
      <c r="F573" s="5">
        <v>44402.625</v>
      </c>
      <c r="G573" s="19" t="str">
        <f t="shared" si="24"/>
        <v/>
      </c>
      <c r="J573" s="28">
        <f t="shared" si="26"/>
        <v>0.35507246376811596</v>
      </c>
    </row>
    <row r="574" spans="1:10">
      <c r="A574" s="3">
        <v>410</v>
      </c>
      <c r="B574" t="s">
        <v>620</v>
      </c>
      <c r="C574" t="s">
        <v>456</v>
      </c>
      <c r="E574" s="3">
        <f t="shared" si="25"/>
        <v>1</v>
      </c>
      <c r="F574" s="5">
        <v>44403.625</v>
      </c>
      <c r="G574" s="19" t="str">
        <f t="shared" si="24"/>
        <v>2021-W30</v>
      </c>
      <c r="H574">
        <f>SUM(A574:A580)</f>
        <v>2336</v>
      </c>
      <c r="I574" s="28">
        <f>H574/H567-1</f>
        <v>0.56045424181696735</v>
      </c>
      <c r="J574" s="28">
        <f t="shared" si="26"/>
        <v>0.91588785046728982</v>
      </c>
    </row>
    <row r="575" spans="1:10">
      <c r="A575" s="3">
        <v>327</v>
      </c>
      <c r="B575" t="s">
        <v>621</v>
      </c>
      <c r="C575" t="s">
        <v>456</v>
      </c>
      <c r="E575" s="3">
        <f t="shared" si="25"/>
        <v>2</v>
      </c>
      <c r="F575" s="5">
        <v>44404.625</v>
      </c>
      <c r="G575" s="19" t="str">
        <f t="shared" si="24"/>
        <v/>
      </c>
      <c r="J575" s="28">
        <f t="shared" si="26"/>
        <v>0.35123966942148765</v>
      </c>
    </row>
    <row r="576" spans="1:10">
      <c r="A576" s="3">
        <v>411</v>
      </c>
      <c r="B576" t="s">
        <v>622</v>
      </c>
      <c r="C576" t="s">
        <v>456</v>
      </c>
      <c r="E576" s="3">
        <f t="shared" si="25"/>
        <v>3</v>
      </c>
      <c r="F576" s="5">
        <v>44405.625</v>
      </c>
      <c r="G576" s="19" t="str">
        <f t="shared" si="24"/>
        <v/>
      </c>
      <c r="J576" s="28">
        <f t="shared" si="26"/>
        <v>0.80263157894736836</v>
      </c>
    </row>
    <row r="577" spans="1:10">
      <c r="A577" s="3">
        <v>358</v>
      </c>
      <c r="B577" t="s">
        <v>623</v>
      </c>
      <c r="C577" t="s">
        <v>456</v>
      </c>
      <c r="E577" s="3">
        <f t="shared" si="25"/>
        <v>4</v>
      </c>
      <c r="F577" s="5">
        <v>44406.625</v>
      </c>
      <c r="G577" s="19" t="str">
        <f t="shared" si="24"/>
        <v/>
      </c>
      <c r="J577" s="28">
        <f t="shared" si="26"/>
        <v>0.68075117370892024</v>
      </c>
    </row>
    <row r="578" spans="1:10">
      <c r="A578" s="3">
        <v>318</v>
      </c>
      <c r="B578" t="s">
        <v>624</v>
      </c>
      <c r="C578" t="s">
        <v>456</v>
      </c>
      <c r="E578" s="3">
        <f t="shared" si="25"/>
        <v>5</v>
      </c>
      <c r="F578" s="5">
        <v>44407.625</v>
      </c>
      <c r="G578" s="19" t="str">
        <f t="shared" si="24"/>
        <v/>
      </c>
      <c r="J578" s="28">
        <f t="shared" si="26"/>
        <v>0.31950207468879666</v>
      </c>
    </row>
    <row r="579" spans="1:10">
      <c r="A579" s="3">
        <v>237</v>
      </c>
      <c r="B579" t="s">
        <v>625</v>
      </c>
      <c r="C579" t="s">
        <v>456</v>
      </c>
      <c r="E579" s="3">
        <f t="shared" si="25"/>
        <v>6</v>
      </c>
      <c r="F579" s="5">
        <v>44408.625</v>
      </c>
      <c r="G579" s="19" t="str">
        <f t="shared" ref="G579:G642" si="27">IF(WEEKDAY(F579,2)=1,YEAR(F579)&amp;"-W"&amp;TEXT(WEEKNUM(F579,14),"00"),"")</f>
        <v/>
      </c>
      <c r="J579" s="28">
        <f t="shared" si="26"/>
        <v>0.37790697674418605</v>
      </c>
    </row>
    <row r="580" spans="1:10">
      <c r="A580" s="3">
        <v>275</v>
      </c>
      <c r="B580" t="s">
        <v>626</v>
      </c>
      <c r="C580" t="s">
        <v>456</v>
      </c>
      <c r="E580" s="3">
        <f t="shared" si="25"/>
        <v>7</v>
      </c>
      <c r="F580" s="5">
        <v>44409.625</v>
      </c>
      <c r="G580" s="19" t="str">
        <f t="shared" si="27"/>
        <v/>
      </c>
      <c r="J580" s="28">
        <f t="shared" si="26"/>
        <v>0.47058823529411775</v>
      </c>
    </row>
    <row r="581" spans="1:10">
      <c r="A581" s="3">
        <v>442</v>
      </c>
      <c r="B581" t="s">
        <v>627</v>
      </c>
      <c r="C581" t="s">
        <v>456</v>
      </c>
      <c r="E581" s="3">
        <f t="shared" ref="E581:E644" si="28">WEEKDAY(F581,2)</f>
        <v>1</v>
      </c>
      <c r="F581" s="5">
        <v>44410.625</v>
      </c>
      <c r="G581" s="19" t="str">
        <f t="shared" si="27"/>
        <v>2021-W31</v>
      </c>
      <c r="H581">
        <f>SUM(A581:A587)</f>
        <v>2543</v>
      </c>
      <c r="I581" s="28">
        <f>H581/H574-1</f>
        <v>8.8613013698630061E-2</v>
      </c>
      <c r="J581" s="28">
        <f t="shared" si="26"/>
        <v>7.8048780487804947E-2</v>
      </c>
    </row>
    <row r="582" spans="1:10">
      <c r="A582" s="3">
        <v>439</v>
      </c>
      <c r="B582" t="s">
        <v>628</v>
      </c>
      <c r="C582" t="s">
        <v>456</v>
      </c>
      <c r="E582" s="3">
        <f t="shared" si="28"/>
        <v>2</v>
      </c>
      <c r="F582" s="5">
        <v>44411.625</v>
      </c>
      <c r="G582" s="19" t="str">
        <f t="shared" si="27"/>
        <v/>
      </c>
      <c r="J582" s="28">
        <f t="shared" si="26"/>
        <v>0.34250764525993893</v>
      </c>
    </row>
    <row r="583" spans="1:10">
      <c r="A583" s="3">
        <v>391</v>
      </c>
      <c r="B583" t="s">
        <v>629</v>
      </c>
      <c r="C583" t="s">
        <v>456</v>
      </c>
      <c r="E583" s="3">
        <f t="shared" si="28"/>
        <v>3</v>
      </c>
      <c r="F583" s="5">
        <v>44412.625</v>
      </c>
      <c r="G583" s="19" t="str">
        <f t="shared" si="27"/>
        <v/>
      </c>
      <c r="J583" s="28">
        <f t="shared" si="26"/>
        <v>-4.8661800486618056E-2</v>
      </c>
    </row>
    <row r="584" spans="1:10">
      <c r="A584" s="3">
        <v>373</v>
      </c>
      <c r="B584" t="s">
        <v>630</v>
      </c>
      <c r="C584" t="s">
        <v>456</v>
      </c>
      <c r="E584" s="3">
        <f t="shared" si="28"/>
        <v>4</v>
      </c>
      <c r="F584" s="5">
        <v>44413.625</v>
      </c>
      <c r="G584" s="19" t="str">
        <f t="shared" si="27"/>
        <v/>
      </c>
      <c r="J584" s="28">
        <f t="shared" si="26"/>
        <v>4.1899441340782051E-2</v>
      </c>
    </row>
    <row r="585" spans="1:10">
      <c r="A585" s="3">
        <v>324</v>
      </c>
      <c r="B585" t="s">
        <v>631</v>
      </c>
      <c r="C585" t="s">
        <v>456</v>
      </c>
      <c r="E585" s="3">
        <f t="shared" si="28"/>
        <v>5</v>
      </c>
      <c r="F585" s="5">
        <v>44414.625</v>
      </c>
      <c r="G585" s="19" t="str">
        <f t="shared" si="27"/>
        <v/>
      </c>
      <c r="J585" s="28">
        <f t="shared" ref="J585:J641" si="29">A585/A578-1</f>
        <v>1.8867924528301883E-2</v>
      </c>
    </row>
    <row r="586" spans="1:10">
      <c r="A586" s="3">
        <v>263</v>
      </c>
      <c r="B586" t="s">
        <v>632</v>
      </c>
      <c r="C586" t="s">
        <v>456</v>
      </c>
      <c r="E586" s="3">
        <f t="shared" si="28"/>
        <v>6</v>
      </c>
      <c r="F586" s="5">
        <v>44415.625</v>
      </c>
      <c r="G586" s="19" t="str">
        <f t="shared" si="27"/>
        <v/>
      </c>
      <c r="J586" s="28">
        <f t="shared" si="29"/>
        <v>0.10970464135021096</v>
      </c>
    </row>
    <row r="587" spans="1:10">
      <c r="A587" s="3">
        <v>311</v>
      </c>
      <c r="B587" t="s">
        <v>633</v>
      </c>
      <c r="C587" t="s">
        <v>456</v>
      </c>
      <c r="E587" s="3">
        <f t="shared" si="28"/>
        <v>7</v>
      </c>
      <c r="F587" s="5">
        <v>44416.625</v>
      </c>
      <c r="G587" s="19" t="str">
        <f t="shared" si="27"/>
        <v/>
      </c>
      <c r="J587" s="28">
        <f t="shared" si="29"/>
        <v>0.13090909090909086</v>
      </c>
    </row>
    <row r="588" spans="1:10">
      <c r="A588" s="3">
        <v>494</v>
      </c>
      <c r="B588" t="s">
        <v>634</v>
      </c>
      <c r="C588" t="s">
        <v>456</v>
      </c>
      <c r="E588" s="3">
        <f t="shared" si="28"/>
        <v>1</v>
      </c>
      <c r="F588" s="5">
        <v>44417.625</v>
      </c>
      <c r="G588" s="19" t="str">
        <f t="shared" si="27"/>
        <v>2021-W32</v>
      </c>
      <c r="H588">
        <f>SUM(A588:A594)</f>
        <v>2796</v>
      </c>
      <c r="I588" s="28">
        <f>H588/H581-1</f>
        <v>9.9488792764451439E-2</v>
      </c>
      <c r="J588" s="28">
        <f t="shared" si="29"/>
        <v>0.11764705882352944</v>
      </c>
    </row>
    <row r="589" spans="1:10">
      <c r="A589" s="3">
        <v>495</v>
      </c>
      <c r="B589" t="s">
        <v>635</v>
      </c>
      <c r="C589" t="s">
        <v>456</v>
      </c>
      <c r="E589" s="3">
        <f t="shared" si="28"/>
        <v>2</v>
      </c>
      <c r="F589" s="5">
        <v>44418.625</v>
      </c>
      <c r="G589" s="19" t="str">
        <f t="shared" si="27"/>
        <v/>
      </c>
      <c r="J589" s="28">
        <f t="shared" si="29"/>
        <v>0.1275626423690206</v>
      </c>
    </row>
    <row r="590" spans="1:10">
      <c r="A590" s="3">
        <v>472</v>
      </c>
      <c r="B590" t="s">
        <v>636</v>
      </c>
      <c r="C590" t="s">
        <v>456</v>
      </c>
      <c r="E590" s="3">
        <f t="shared" si="28"/>
        <v>3</v>
      </c>
      <c r="F590" s="5">
        <v>44419.625</v>
      </c>
      <c r="G590" s="19" t="str">
        <f t="shared" si="27"/>
        <v/>
      </c>
      <c r="J590" s="28">
        <f t="shared" si="29"/>
        <v>0.207161125319693</v>
      </c>
    </row>
    <row r="591" spans="1:10">
      <c r="A591" s="3">
        <v>411</v>
      </c>
      <c r="B591" t="s">
        <v>637</v>
      </c>
      <c r="C591" t="s">
        <v>456</v>
      </c>
      <c r="E591" s="3">
        <f t="shared" si="28"/>
        <v>4</v>
      </c>
      <c r="F591" s="5">
        <v>44420.625</v>
      </c>
      <c r="G591" s="19" t="str">
        <f t="shared" si="27"/>
        <v/>
      </c>
      <c r="J591" s="28">
        <f t="shared" si="29"/>
        <v>0.10187667560321723</v>
      </c>
    </row>
    <row r="592" spans="1:10">
      <c r="A592" s="3">
        <v>399</v>
      </c>
      <c r="B592" t="s">
        <v>638</v>
      </c>
      <c r="C592" t="s">
        <v>456</v>
      </c>
      <c r="E592" s="3">
        <f t="shared" si="28"/>
        <v>5</v>
      </c>
      <c r="F592" s="5">
        <v>44421.625</v>
      </c>
      <c r="G592" s="19" t="str">
        <f t="shared" si="27"/>
        <v/>
      </c>
      <c r="J592" s="28">
        <f t="shared" si="29"/>
        <v>0.2314814814814814</v>
      </c>
    </row>
    <row r="593" spans="1:10">
      <c r="A593" s="3">
        <v>233</v>
      </c>
      <c r="B593" t="s">
        <v>639</v>
      </c>
      <c r="C593" t="s">
        <v>456</v>
      </c>
      <c r="E593" s="3">
        <f t="shared" si="28"/>
        <v>6</v>
      </c>
      <c r="F593" s="5">
        <v>44422.625</v>
      </c>
      <c r="G593" s="19" t="str">
        <f t="shared" si="27"/>
        <v/>
      </c>
      <c r="J593" s="28">
        <f t="shared" si="29"/>
        <v>-0.11406844106463876</v>
      </c>
    </row>
    <row r="594" spans="1:10">
      <c r="A594" s="3">
        <v>292</v>
      </c>
      <c r="B594" t="s">
        <v>640</v>
      </c>
      <c r="C594" t="s">
        <v>456</v>
      </c>
      <c r="E594" s="3">
        <f t="shared" si="28"/>
        <v>7</v>
      </c>
      <c r="F594" s="5">
        <v>44423.625</v>
      </c>
      <c r="G594" s="19" t="str">
        <f t="shared" si="27"/>
        <v/>
      </c>
      <c r="J594" s="28">
        <f t="shared" si="29"/>
        <v>-6.1093247588424382E-2</v>
      </c>
    </row>
    <row r="595" spans="1:10">
      <c r="A595" s="3">
        <v>376</v>
      </c>
      <c r="B595" t="s">
        <v>641</v>
      </c>
      <c r="C595" t="s">
        <v>456</v>
      </c>
      <c r="E595" s="3">
        <f t="shared" si="28"/>
        <v>1</v>
      </c>
      <c r="F595" s="5">
        <v>44424.625</v>
      </c>
      <c r="G595" s="19" t="str">
        <f t="shared" si="27"/>
        <v>2021-W33</v>
      </c>
      <c r="H595">
        <f>SUM(A595:A601)</f>
        <v>2308</v>
      </c>
      <c r="I595" s="28">
        <f>H595/H588-1</f>
        <v>-0.17453505007153081</v>
      </c>
      <c r="J595" s="28">
        <f t="shared" si="29"/>
        <v>-0.23886639676113364</v>
      </c>
    </row>
    <row r="596" spans="1:10">
      <c r="A596" s="3">
        <v>393</v>
      </c>
      <c r="B596" t="s">
        <v>642</v>
      </c>
      <c r="C596" t="s">
        <v>456</v>
      </c>
      <c r="E596" s="3">
        <f t="shared" si="28"/>
        <v>2</v>
      </c>
      <c r="F596" s="5">
        <v>44425.625</v>
      </c>
      <c r="G596" s="19" t="str">
        <f t="shared" si="27"/>
        <v/>
      </c>
      <c r="J596" s="28">
        <f t="shared" si="29"/>
        <v>-0.20606060606060606</v>
      </c>
    </row>
    <row r="597" spans="1:10">
      <c r="A597" s="3">
        <v>360</v>
      </c>
      <c r="B597" t="s">
        <v>643</v>
      </c>
      <c r="C597" t="s">
        <v>456</v>
      </c>
      <c r="E597" s="3">
        <f t="shared" si="28"/>
        <v>3</v>
      </c>
      <c r="F597" s="5">
        <v>44426.625</v>
      </c>
      <c r="G597" s="19" t="str">
        <f t="shared" si="27"/>
        <v/>
      </c>
      <c r="J597" s="28">
        <f t="shared" si="29"/>
        <v>-0.23728813559322037</v>
      </c>
    </row>
    <row r="598" spans="1:10">
      <c r="A598" s="3">
        <v>338</v>
      </c>
      <c r="B598" t="s">
        <v>644</v>
      </c>
      <c r="C598" t="s">
        <v>456</v>
      </c>
      <c r="E598" s="3">
        <f t="shared" si="28"/>
        <v>4</v>
      </c>
      <c r="F598" s="5">
        <v>44427.625</v>
      </c>
      <c r="G598" s="19" t="str">
        <f t="shared" si="27"/>
        <v/>
      </c>
      <c r="J598" s="28">
        <f t="shared" si="29"/>
        <v>-0.17761557177615572</v>
      </c>
    </row>
    <row r="599" spans="1:10">
      <c r="A599" s="3">
        <v>348</v>
      </c>
      <c r="B599" t="s">
        <v>645</v>
      </c>
      <c r="C599" t="s">
        <v>456</v>
      </c>
      <c r="E599" s="3">
        <f t="shared" si="28"/>
        <v>5</v>
      </c>
      <c r="F599" s="5">
        <v>44428.625</v>
      </c>
      <c r="G599" s="19" t="str">
        <f t="shared" si="27"/>
        <v/>
      </c>
      <c r="J599" s="28">
        <f t="shared" si="29"/>
        <v>-0.1278195488721805</v>
      </c>
    </row>
    <row r="600" spans="1:10">
      <c r="A600" s="3">
        <v>225</v>
      </c>
      <c r="B600" t="s">
        <v>646</v>
      </c>
      <c r="C600" t="s">
        <v>456</v>
      </c>
      <c r="E600" s="3">
        <f t="shared" si="28"/>
        <v>6</v>
      </c>
      <c r="F600" s="5">
        <v>44429.625</v>
      </c>
      <c r="G600" s="19" t="str">
        <f t="shared" si="27"/>
        <v/>
      </c>
      <c r="J600" s="28">
        <f t="shared" si="29"/>
        <v>-3.4334763948497882E-2</v>
      </c>
    </row>
    <row r="601" spans="1:10">
      <c r="A601" s="3">
        <v>268</v>
      </c>
      <c r="B601" t="s">
        <v>647</v>
      </c>
      <c r="C601" t="s">
        <v>456</v>
      </c>
      <c r="E601" s="3">
        <f t="shared" si="28"/>
        <v>7</v>
      </c>
      <c r="F601" s="5">
        <v>44430.625</v>
      </c>
      <c r="G601" s="19" t="str">
        <f t="shared" si="27"/>
        <v/>
      </c>
      <c r="J601" s="28">
        <f t="shared" si="29"/>
        <v>-8.2191780821917804E-2</v>
      </c>
    </row>
    <row r="602" spans="1:10">
      <c r="A602" s="3">
        <v>345</v>
      </c>
      <c r="B602" t="s">
        <v>648</v>
      </c>
      <c r="C602" t="s">
        <v>456</v>
      </c>
      <c r="E602" s="3">
        <f t="shared" si="28"/>
        <v>1</v>
      </c>
      <c r="F602" s="5">
        <v>44431.625</v>
      </c>
      <c r="G602" s="19" t="str">
        <f t="shared" si="27"/>
        <v>2021-W34</v>
      </c>
      <c r="H602">
        <f>SUM(A602:A608)</f>
        <v>2224</v>
      </c>
      <c r="I602" s="28">
        <f>H602/H595-1</f>
        <v>-3.6395147313691534E-2</v>
      </c>
      <c r="J602" s="28">
        <f t="shared" si="29"/>
        <v>-8.2446808510638347E-2</v>
      </c>
    </row>
    <row r="603" spans="1:10">
      <c r="A603" s="3">
        <v>330</v>
      </c>
      <c r="B603" t="s">
        <v>649</v>
      </c>
      <c r="C603" t="s">
        <v>456</v>
      </c>
      <c r="E603" s="3">
        <f t="shared" si="28"/>
        <v>2</v>
      </c>
      <c r="F603" s="5">
        <v>44432.625</v>
      </c>
      <c r="G603" s="19" t="str">
        <f t="shared" si="27"/>
        <v/>
      </c>
      <c r="J603" s="28">
        <f t="shared" si="29"/>
        <v>-0.16030534351145043</v>
      </c>
    </row>
    <row r="604" spans="1:10">
      <c r="A604" s="3">
        <v>365</v>
      </c>
      <c r="B604" t="s">
        <v>650</v>
      </c>
      <c r="C604" t="s">
        <v>456</v>
      </c>
      <c r="E604" s="3">
        <f t="shared" si="28"/>
        <v>3</v>
      </c>
      <c r="F604" s="5">
        <v>44433.625</v>
      </c>
      <c r="G604" s="19" t="str">
        <f t="shared" si="27"/>
        <v/>
      </c>
      <c r="J604" s="28">
        <f t="shared" si="29"/>
        <v>1.388888888888884E-2</v>
      </c>
    </row>
    <row r="605" spans="1:10">
      <c r="A605" s="3">
        <v>303</v>
      </c>
      <c r="B605" t="s">
        <v>651</v>
      </c>
      <c r="C605" t="s">
        <v>456</v>
      </c>
      <c r="E605" s="3">
        <f t="shared" si="28"/>
        <v>4</v>
      </c>
      <c r="F605" s="5">
        <v>44434.625</v>
      </c>
      <c r="G605" s="19" t="str">
        <f t="shared" si="27"/>
        <v/>
      </c>
      <c r="J605" s="28">
        <f t="shared" si="29"/>
        <v>-0.10355029585798814</v>
      </c>
    </row>
    <row r="606" spans="1:10">
      <c r="A606" s="3">
        <v>373</v>
      </c>
      <c r="B606" t="s">
        <v>652</v>
      </c>
      <c r="C606" t="s">
        <v>456</v>
      </c>
      <c r="E606" s="3">
        <f t="shared" si="28"/>
        <v>5</v>
      </c>
      <c r="F606" s="5">
        <v>44435.625</v>
      </c>
      <c r="G606" s="19" t="str">
        <f t="shared" si="27"/>
        <v/>
      </c>
      <c r="J606" s="28">
        <f t="shared" si="29"/>
        <v>7.1839080459770166E-2</v>
      </c>
    </row>
    <row r="607" spans="1:10">
      <c r="A607" s="3">
        <v>252</v>
      </c>
      <c r="B607" t="s">
        <v>653</v>
      </c>
      <c r="C607" t="s">
        <v>456</v>
      </c>
      <c r="E607" s="3">
        <f t="shared" si="28"/>
        <v>6</v>
      </c>
      <c r="F607" s="5">
        <v>44436.625</v>
      </c>
      <c r="G607" s="19" t="str">
        <f t="shared" si="27"/>
        <v/>
      </c>
      <c r="J607" s="28">
        <f t="shared" si="29"/>
        <v>0.12000000000000011</v>
      </c>
    </row>
    <row r="608" spans="1:10">
      <c r="A608" s="3">
        <v>256</v>
      </c>
      <c r="B608" t="s">
        <v>654</v>
      </c>
      <c r="C608" t="s">
        <v>456</v>
      </c>
      <c r="E608" s="3">
        <f t="shared" si="28"/>
        <v>7</v>
      </c>
      <c r="F608" s="5">
        <v>44437.625</v>
      </c>
      <c r="G608" s="19" t="str">
        <f t="shared" si="27"/>
        <v/>
      </c>
      <c r="J608" s="28">
        <f t="shared" si="29"/>
        <v>-4.4776119402985093E-2</v>
      </c>
    </row>
    <row r="609" spans="1:10">
      <c r="A609" s="3">
        <v>353</v>
      </c>
      <c r="B609" t="s">
        <v>655</v>
      </c>
      <c r="C609" t="s">
        <v>456</v>
      </c>
      <c r="E609" s="3">
        <f t="shared" si="28"/>
        <v>1</v>
      </c>
      <c r="F609" s="5">
        <v>44438.625</v>
      </c>
      <c r="G609" s="19" t="str">
        <f t="shared" si="27"/>
        <v>2021-W35</v>
      </c>
      <c r="H609">
        <f>SUM(A609:A615)</f>
        <v>1961</v>
      </c>
      <c r="I609" s="28">
        <f>H609/H602-1</f>
        <v>-0.11825539568345322</v>
      </c>
      <c r="J609" s="28">
        <f t="shared" si="29"/>
        <v>2.3188405797101463E-2</v>
      </c>
    </row>
    <row r="610" spans="1:10">
      <c r="A610" s="3">
        <v>352</v>
      </c>
      <c r="B610" t="s">
        <v>656</v>
      </c>
      <c r="C610" t="s">
        <v>456</v>
      </c>
      <c r="E610" s="3">
        <f t="shared" si="28"/>
        <v>2</v>
      </c>
      <c r="F610" s="5">
        <v>44439.625</v>
      </c>
      <c r="G610" s="19" t="str">
        <f t="shared" si="27"/>
        <v/>
      </c>
      <c r="J610" s="28">
        <f t="shared" si="29"/>
        <v>6.6666666666666652E-2</v>
      </c>
    </row>
    <row r="611" spans="1:10">
      <c r="A611" s="3">
        <v>331</v>
      </c>
      <c r="B611" t="s">
        <v>657</v>
      </c>
      <c r="C611" t="s">
        <v>456</v>
      </c>
      <c r="E611" s="3">
        <f t="shared" si="28"/>
        <v>3</v>
      </c>
      <c r="F611" s="5">
        <v>44440.625</v>
      </c>
      <c r="G611" s="19" t="str">
        <f t="shared" si="27"/>
        <v/>
      </c>
      <c r="J611" s="28">
        <f t="shared" si="29"/>
        <v>-9.31506849315068E-2</v>
      </c>
    </row>
    <row r="612" spans="1:10">
      <c r="A612" s="3">
        <v>336</v>
      </c>
      <c r="B612" t="s">
        <v>658</v>
      </c>
      <c r="C612" t="s">
        <v>456</v>
      </c>
      <c r="E612" s="3">
        <f t="shared" si="28"/>
        <v>4</v>
      </c>
      <c r="F612" s="5">
        <v>44441.625</v>
      </c>
      <c r="G612" s="19" t="str">
        <f t="shared" si="27"/>
        <v/>
      </c>
      <c r="J612" s="28">
        <f t="shared" si="29"/>
        <v>0.10891089108910901</v>
      </c>
    </row>
    <row r="613" spans="1:10">
      <c r="A613" s="3">
        <v>253</v>
      </c>
      <c r="B613" t="s">
        <v>659</v>
      </c>
      <c r="C613" t="s">
        <v>456</v>
      </c>
      <c r="E613" s="3">
        <f t="shared" si="28"/>
        <v>5</v>
      </c>
      <c r="F613" s="5">
        <v>44442.625</v>
      </c>
      <c r="G613" s="19" t="str">
        <f t="shared" si="27"/>
        <v/>
      </c>
      <c r="J613" s="28">
        <f t="shared" si="29"/>
        <v>-0.32171581769436997</v>
      </c>
    </row>
    <row r="614" spans="1:10">
      <c r="A614" s="3">
        <v>163</v>
      </c>
      <c r="B614" t="s">
        <v>660</v>
      </c>
      <c r="C614" t="s">
        <v>456</v>
      </c>
      <c r="E614" s="3">
        <f t="shared" si="28"/>
        <v>6</v>
      </c>
      <c r="F614" s="5">
        <v>44443.625</v>
      </c>
      <c r="G614" s="19" t="str">
        <f t="shared" si="27"/>
        <v/>
      </c>
      <c r="J614" s="28">
        <f t="shared" si="29"/>
        <v>-0.35317460317460314</v>
      </c>
    </row>
    <row r="615" spans="1:10">
      <c r="A615" s="3">
        <v>173</v>
      </c>
      <c r="B615" t="s">
        <v>661</v>
      </c>
      <c r="C615" t="s">
        <v>456</v>
      </c>
      <c r="E615" s="3">
        <f t="shared" si="28"/>
        <v>7</v>
      </c>
      <c r="F615" s="5">
        <v>44444.625</v>
      </c>
      <c r="G615" s="19" t="str">
        <f t="shared" si="27"/>
        <v/>
      </c>
      <c r="J615" s="28">
        <f t="shared" si="29"/>
        <v>-0.32421875</v>
      </c>
    </row>
    <row r="616" spans="1:10">
      <c r="A616" s="3">
        <v>258</v>
      </c>
      <c r="B616" t="s">
        <v>662</v>
      </c>
      <c r="C616" t="s">
        <v>456</v>
      </c>
      <c r="E616" s="3">
        <f t="shared" si="28"/>
        <v>1</v>
      </c>
      <c r="F616" s="5">
        <v>44445.625</v>
      </c>
      <c r="G616" s="19" t="str">
        <f t="shared" si="27"/>
        <v>2021-W36</v>
      </c>
      <c r="H616">
        <f>SUM(A616:A622)</f>
        <v>1407</v>
      </c>
      <c r="I616" s="28">
        <f>H616/H609-1</f>
        <v>-0.28250892401835803</v>
      </c>
      <c r="J616" s="28">
        <f t="shared" si="29"/>
        <v>-0.26912181303116145</v>
      </c>
    </row>
    <row r="617" spans="1:10">
      <c r="A617" s="3">
        <v>260</v>
      </c>
      <c r="B617" t="s">
        <v>663</v>
      </c>
      <c r="C617" t="s">
        <v>456</v>
      </c>
      <c r="E617" s="3">
        <f t="shared" si="28"/>
        <v>2</v>
      </c>
      <c r="F617" s="5">
        <v>44446.625</v>
      </c>
      <c r="G617" s="19" t="str">
        <f t="shared" si="27"/>
        <v/>
      </c>
      <c r="J617" s="28">
        <f t="shared" si="29"/>
        <v>-0.26136363636363635</v>
      </c>
    </row>
    <row r="618" spans="1:10">
      <c r="A618" s="3">
        <v>190</v>
      </c>
      <c r="B618" t="s">
        <v>664</v>
      </c>
      <c r="C618" t="s">
        <v>456</v>
      </c>
      <c r="E618" s="3">
        <f t="shared" si="28"/>
        <v>3</v>
      </c>
      <c r="F618" s="5">
        <v>44447.625</v>
      </c>
      <c r="G618" s="19" t="str">
        <f t="shared" si="27"/>
        <v/>
      </c>
      <c r="J618" s="28">
        <f t="shared" si="29"/>
        <v>-0.42598187311178248</v>
      </c>
    </row>
    <row r="619" spans="1:10">
      <c r="A619" s="3">
        <v>204</v>
      </c>
      <c r="B619" t="s">
        <v>665</v>
      </c>
      <c r="C619" t="s">
        <v>456</v>
      </c>
      <c r="E619" s="3">
        <f t="shared" si="28"/>
        <v>4</v>
      </c>
      <c r="F619" s="5">
        <v>44448.625</v>
      </c>
      <c r="G619" s="19" t="str">
        <f t="shared" si="27"/>
        <v/>
      </c>
      <c r="J619" s="28">
        <f t="shared" si="29"/>
        <v>-0.3928571428571429</v>
      </c>
    </row>
    <row r="620" spans="1:10">
      <c r="A620" s="3">
        <v>206</v>
      </c>
      <c r="B620" t="s">
        <v>666</v>
      </c>
      <c r="C620" t="s">
        <v>456</v>
      </c>
      <c r="E620" s="3">
        <f t="shared" si="28"/>
        <v>5</v>
      </c>
      <c r="F620" s="5">
        <v>44449.625</v>
      </c>
      <c r="G620" s="19" t="str">
        <f t="shared" si="27"/>
        <v/>
      </c>
      <c r="J620" s="28">
        <f t="shared" si="29"/>
        <v>-0.18577075098814233</v>
      </c>
    </row>
    <row r="621" spans="1:10">
      <c r="A621" s="3">
        <v>164</v>
      </c>
      <c r="B621" t="s">
        <v>667</v>
      </c>
      <c r="C621" t="s">
        <v>456</v>
      </c>
      <c r="E621" s="3">
        <f t="shared" si="28"/>
        <v>6</v>
      </c>
      <c r="F621" s="5">
        <v>44450.625</v>
      </c>
      <c r="G621" s="19" t="str">
        <f t="shared" si="27"/>
        <v/>
      </c>
      <c r="J621" s="28">
        <f t="shared" si="29"/>
        <v>6.1349693251533388E-3</v>
      </c>
    </row>
    <row r="622" spans="1:10">
      <c r="A622" s="3">
        <v>125</v>
      </c>
      <c r="B622" t="s">
        <v>668</v>
      </c>
      <c r="C622" t="s">
        <v>456</v>
      </c>
      <c r="E622" s="3">
        <f t="shared" si="28"/>
        <v>7</v>
      </c>
      <c r="F622" s="5">
        <v>44451.625</v>
      </c>
      <c r="G622" s="19" t="str">
        <f t="shared" si="27"/>
        <v/>
      </c>
      <c r="J622" s="28">
        <f t="shared" si="29"/>
        <v>-0.2774566473988439</v>
      </c>
    </row>
    <row r="623" spans="1:10">
      <c r="A623" s="3">
        <v>215</v>
      </c>
      <c r="B623" t="s">
        <v>669</v>
      </c>
      <c r="C623" t="s">
        <v>456</v>
      </c>
      <c r="E623" s="3">
        <f t="shared" si="28"/>
        <v>1</v>
      </c>
      <c r="F623" s="5">
        <v>44452.625</v>
      </c>
      <c r="G623" s="19" t="str">
        <f t="shared" si="27"/>
        <v>2021-W37</v>
      </c>
      <c r="H623">
        <f>SUM(A623:A629)</f>
        <v>1123</v>
      </c>
      <c r="I623" s="28">
        <f>H623/H616-1</f>
        <v>-0.20184790334044067</v>
      </c>
      <c r="J623" s="28">
        <f t="shared" si="29"/>
        <v>-0.16666666666666663</v>
      </c>
    </row>
    <row r="624" spans="1:10">
      <c r="A624" s="3">
        <v>191</v>
      </c>
      <c r="B624" t="s">
        <v>670</v>
      </c>
      <c r="C624" t="s">
        <v>456</v>
      </c>
      <c r="E624" s="3">
        <f t="shared" si="28"/>
        <v>2</v>
      </c>
      <c r="F624" s="5">
        <v>44453.625</v>
      </c>
      <c r="G624" s="19" t="str">
        <f t="shared" si="27"/>
        <v/>
      </c>
      <c r="J624" s="28">
        <f t="shared" si="29"/>
        <v>-0.26538461538461533</v>
      </c>
    </row>
    <row r="625" spans="1:10">
      <c r="A625" s="3">
        <v>162</v>
      </c>
      <c r="B625" t="s">
        <v>671</v>
      </c>
      <c r="C625" t="s">
        <v>456</v>
      </c>
      <c r="E625" s="3">
        <f t="shared" si="28"/>
        <v>3</v>
      </c>
      <c r="F625" s="5">
        <v>44454.625</v>
      </c>
      <c r="G625" s="19" t="str">
        <f t="shared" si="27"/>
        <v/>
      </c>
      <c r="J625" s="28">
        <f t="shared" si="29"/>
        <v>-0.14736842105263159</v>
      </c>
    </row>
    <row r="626" spans="1:10">
      <c r="A626" s="3">
        <v>187</v>
      </c>
      <c r="B626" t="s">
        <v>672</v>
      </c>
      <c r="C626" t="s">
        <v>456</v>
      </c>
      <c r="E626" s="3">
        <f t="shared" si="28"/>
        <v>4</v>
      </c>
      <c r="F626" s="5">
        <v>44455.625</v>
      </c>
      <c r="G626" s="19" t="str">
        <f t="shared" si="27"/>
        <v/>
      </c>
      <c r="J626" s="28">
        <f t="shared" si="29"/>
        <v>-8.333333333333337E-2</v>
      </c>
    </row>
    <row r="627" spans="1:10">
      <c r="A627" s="3">
        <v>143</v>
      </c>
      <c r="B627" t="s">
        <v>673</v>
      </c>
      <c r="C627" t="s">
        <v>456</v>
      </c>
      <c r="E627" s="3">
        <f t="shared" si="28"/>
        <v>5</v>
      </c>
      <c r="F627" s="5">
        <v>44456.625</v>
      </c>
      <c r="G627" s="19" t="str">
        <f t="shared" si="27"/>
        <v/>
      </c>
      <c r="J627" s="28">
        <f t="shared" si="29"/>
        <v>-0.30582524271844658</v>
      </c>
    </row>
    <row r="628" spans="1:10">
      <c r="A628" s="3">
        <v>107</v>
      </c>
      <c r="B628" t="s">
        <v>674</v>
      </c>
      <c r="C628" t="s">
        <v>456</v>
      </c>
      <c r="E628" s="3">
        <f t="shared" si="28"/>
        <v>6</v>
      </c>
      <c r="F628" s="5">
        <v>44457.625</v>
      </c>
      <c r="G628" s="19" t="str">
        <f t="shared" si="27"/>
        <v/>
      </c>
      <c r="J628" s="28">
        <f t="shared" si="29"/>
        <v>-0.34756097560975607</v>
      </c>
    </row>
    <row r="629" spans="1:10">
      <c r="A629" s="3">
        <v>118</v>
      </c>
      <c r="B629" t="s">
        <v>675</v>
      </c>
      <c r="C629" t="s">
        <v>456</v>
      </c>
      <c r="E629" s="3">
        <f t="shared" si="28"/>
        <v>7</v>
      </c>
      <c r="F629" s="5">
        <v>44458.625</v>
      </c>
      <c r="G629" s="19" t="str">
        <f t="shared" si="27"/>
        <v/>
      </c>
      <c r="J629" s="28">
        <f t="shared" si="29"/>
        <v>-5.600000000000005E-2</v>
      </c>
    </row>
    <row r="630" spans="1:10">
      <c r="A630" s="3">
        <v>192</v>
      </c>
      <c r="B630" t="s">
        <v>676</v>
      </c>
      <c r="C630" t="s">
        <v>456</v>
      </c>
      <c r="E630" s="3">
        <f t="shared" si="28"/>
        <v>1</v>
      </c>
      <c r="F630" s="5">
        <v>44459.625</v>
      </c>
      <c r="G630" s="19" t="str">
        <f t="shared" si="27"/>
        <v>2021-W38</v>
      </c>
      <c r="H630">
        <f>SUM(A630:A636)</f>
        <v>1112</v>
      </c>
      <c r="I630" s="28">
        <f>H630/H623-1</f>
        <v>-9.7951914514692318E-3</v>
      </c>
      <c r="J630" s="28">
        <f t="shared" si="29"/>
        <v>-0.10697674418604652</v>
      </c>
    </row>
    <row r="631" spans="1:10">
      <c r="A631" s="3">
        <v>166</v>
      </c>
      <c r="B631" t="s">
        <v>677</v>
      </c>
      <c r="C631" t="s">
        <v>456</v>
      </c>
      <c r="E631" s="3">
        <f t="shared" si="28"/>
        <v>2</v>
      </c>
      <c r="F631" s="5">
        <v>44460.625</v>
      </c>
      <c r="G631" s="19" t="str">
        <f t="shared" si="27"/>
        <v/>
      </c>
      <c r="J631" s="28">
        <f t="shared" si="29"/>
        <v>-0.13089005235602091</v>
      </c>
    </row>
    <row r="632" spans="1:10">
      <c r="A632" s="3">
        <v>175</v>
      </c>
      <c r="B632" t="s">
        <v>678</v>
      </c>
      <c r="C632" t="s">
        <v>456</v>
      </c>
      <c r="E632" s="3">
        <f t="shared" si="28"/>
        <v>3</v>
      </c>
      <c r="F632" s="5">
        <v>44461.625</v>
      </c>
      <c r="G632" s="19" t="str">
        <f t="shared" si="27"/>
        <v/>
      </c>
      <c r="J632" s="28">
        <f t="shared" si="29"/>
        <v>8.0246913580246826E-2</v>
      </c>
    </row>
    <row r="633" spans="1:10">
      <c r="A633" s="3">
        <v>158</v>
      </c>
      <c r="B633" t="s">
        <v>679</v>
      </c>
      <c r="C633" t="s">
        <v>456</v>
      </c>
      <c r="E633" s="3">
        <f t="shared" si="28"/>
        <v>4</v>
      </c>
      <c r="F633" s="5">
        <v>44462.625</v>
      </c>
      <c r="G633" s="19" t="str">
        <f t="shared" si="27"/>
        <v/>
      </c>
      <c r="J633" s="28">
        <f t="shared" si="29"/>
        <v>-0.15508021390374327</v>
      </c>
    </row>
    <row r="634" spans="1:10">
      <c r="A634" s="3">
        <v>146</v>
      </c>
      <c r="B634" t="s">
        <v>680</v>
      </c>
      <c r="C634" t="s">
        <v>456</v>
      </c>
      <c r="E634" s="3">
        <f t="shared" si="28"/>
        <v>5</v>
      </c>
      <c r="F634" s="5">
        <v>44463.625</v>
      </c>
      <c r="G634" s="19" t="str">
        <f t="shared" si="27"/>
        <v/>
      </c>
      <c r="J634" s="28">
        <f t="shared" si="29"/>
        <v>2.0979020979021046E-2</v>
      </c>
    </row>
    <row r="635" spans="1:10">
      <c r="A635" s="3">
        <v>128</v>
      </c>
      <c r="B635" t="s">
        <v>681</v>
      </c>
      <c r="C635" t="s">
        <v>456</v>
      </c>
      <c r="E635" s="3">
        <f t="shared" si="28"/>
        <v>6</v>
      </c>
      <c r="F635" s="5">
        <v>44464.625</v>
      </c>
      <c r="G635" s="19" t="str">
        <f t="shared" si="27"/>
        <v/>
      </c>
      <c r="J635" s="28">
        <f t="shared" si="29"/>
        <v>0.19626168224299056</v>
      </c>
    </row>
    <row r="636" spans="1:10">
      <c r="A636" s="3">
        <v>147</v>
      </c>
      <c r="B636" t="s">
        <v>682</v>
      </c>
      <c r="C636" t="s">
        <v>456</v>
      </c>
      <c r="E636" s="3">
        <f t="shared" si="28"/>
        <v>7</v>
      </c>
      <c r="F636" s="5">
        <v>44465.625</v>
      </c>
      <c r="G636" s="19" t="str">
        <f t="shared" si="27"/>
        <v/>
      </c>
      <c r="J636" s="28">
        <f t="shared" si="29"/>
        <v>0.24576271186440679</v>
      </c>
    </row>
    <row r="637" spans="1:10">
      <c r="A637" s="3">
        <v>220</v>
      </c>
      <c r="B637" t="s">
        <v>683</v>
      </c>
      <c r="C637" t="s">
        <v>456</v>
      </c>
      <c r="E637" s="3">
        <f t="shared" si="28"/>
        <v>1</v>
      </c>
      <c r="F637" s="5">
        <v>44466.625</v>
      </c>
      <c r="G637" s="19" t="str">
        <f t="shared" si="27"/>
        <v>2021-W39</v>
      </c>
      <c r="H637">
        <f>SUM(A637:A643)</f>
        <v>1426</v>
      </c>
      <c r="I637" s="28">
        <f>H637/H630-1</f>
        <v>0.28237410071942448</v>
      </c>
      <c r="J637" s="28">
        <f t="shared" si="29"/>
        <v>0.14583333333333326</v>
      </c>
    </row>
    <row r="638" spans="1:10">
      <c r="A638" s="3">
        <v>230</v>
      </c>
      <c r="B638" t="s">
        <v>684</v>
      </c>
      <c r="C638" t="s">
        <v>456</v>
      </c>
      <c r="E638" s="3">
        <f t="shared" si="28"/>
        <v>2</v>
      </c>
      <c r="F638" s="5">
        <v>44467.625</v>
      </c>
      <c r="G638" s="19" t="str">
        <f t="shared" si="27"/>
        <v/>
      </c>
      <c r="J638" s="28">
        <f t="shared" si="29"/>
        <v>0.3855421686746987</v>
      </c>
    </row>
    <row r="639" spans="1:10">
      <c r="A639" s="3">
        <v>250</v>
      </c>
      <c r="B639" t="s">
        <v>685</v>
      </c>
      <c r="C639" t="s">
        <v>456</v>
      </c>
      <c r="E639" s="3">
        <f t="shared" si="28"/>
        <v>3</v>
      </c>
      <c r="F639" s="5">
        <v>44468.625</v>
      </c>
      <c r="G639" s="19" t="str">
        <f t="shared" si="27"/>
        <v/>
      </c>
      <c r="J639" s="28">
        <f t="shared" si="29"/>
        <v>0.4285714285714286</v>
      </c>
    </row>
    <row r="640" spans="1:10">
      <c r="A640" s="3">
        <v>240</v>
      </c>
      <c r="B640" t="s">
        <v>686</v>
      </c>
      <c r="C640" t="s">
        <v>456</v>
      </c>
      <c r="E640" s="3">
        <f t="shared" si="28"/>
        <v>4</v>
      </c>
      <c r="F640" s="5">
        <v>44469.625</v>
      </c>
      <c r="G640" s="19" t="str">
        <f t="shared" si="27"/>
        <v/>
      </c>
      <c r="J640" s="28">
        <f t="shared" si="29"/>
        <v>0.518987341772152</v>
      </c>
    </row>
    <row r="641" spans="1:10">
      <c r="A641" s="3">
        <v>184</v>
      </c>
      <c r="B641" t="s">
        <v>687</v>
      </c>
      <c r="C641" t="s">
        <v>456</v>
      </c>
      <c r="E641" s="3">
        <f t="shared" si="28"/>
        <v>5</v>
      </c>
      <c r="F641" s="5">
        <v>44470.625</v>
      </c>
      <c r="G641" s="19" t="str">
        <f t="shared" si="27"/>
        <v/>
      </c>
      <c r="J641" s="28">
        <f t="shared" si="29"/>
        <v>0.26027397260273966</v>
      </c>
    </row>
    <row r="642" spans="1:10">
      <c r="A642" s="3">
        <v>141</v>
      </c>
      <c r="B642" t="s">
        <v>688</v>
      </c>
      <c r="C642" t="s">
        <v>456</v>
      </c>
      <c r="E642" s="3">
        <f t="shared" si="28"/>
        <v>6</v>
      </c>
      <c r="F642" s="5">
        <v>44471.625</v>
      </c>
      <c r="G642" s="19" t="str">
        <f t="shared" si="27"/>
        <v/>
      </c>
    </row>
    <row r="643" spans="1:10">
      <c r="A643" s="3">
        <v>161</v>
      </c>
      <c r="B643" t="s">
        <v>689</v>
      </c>
      <c r="C643" t="s">
        <v>456</v>
      </c>
      <c r="E643" s="3">
        <f t="shared" si="28"/>
        <v>7</v>
      </c>
      <c r="F643" s="5">
        <v>44472.625</v>
      </c>
      <c r="G643" s="19" t="str">
        <f t="shared" ref="G643:G706" si="30">IF(WEEKDAY(F643,2)=1,YEAR(F643)&amp;"-W"&amp;TEXT(WEEKNUM(F643,14),"00"),"")</f>
        <v/>
      </c>
    </row>
    <row r="644" spans="1:10">
      <c r="A644" s="3">
        <v>249</v>
      </c>
      <c r="B644" t="s">
        <v>690</v>
      </c>
      <c r="C644" t="s">
        <v>456</v>
      </c>
      <c r="E644" s="3">
        <f t="shared" si="28"/>
        <v>1</v>
      </c>
      <c r="F644" s="5">
        <v>44473.625</v>
      </c>
      <c r="G644" s="19" t="str">
        <f t="shared" si="30"/>
        <v>2021-W40</v>
      </c>
      <c r="H644">
        <f>SUM(A644:A650)</f>
        <v>1492</v>
      </c>
      <c r="I644" s="28">
        <f>H644/H637-1</f>
        <v>4.628330995792429E-2</v>
      </c>
      <c r="J644" s="28">
        <f>A644/A637-1</f>
        <v>0.13181818181818183</v>
      </c>
    </row>
    <row r="645" spans="1:10">
      <c r="A645" s="3">
        <v>308</v>
      </c>
      <c r="B645" t="s">
        <v>691</v>
      </c>
      <c r="C645" t="s">
        <v>456</v>
      </c>
      <c r="E645" s="3">
        <f t="shared" ref="E645:E708" si="31">WEEKDAY(F645,2)</f>
        <v>2</v>
      </c>
      <c r="F645" s="5">
        <v>44474.625</v>
      </c>
      <c r="G645" s="19" t="str">
        <f t="shared" si="30"/>
        <v/>
      </c>
    </row>
    <row r="646" spans="1:10">
      <c r="A646" s="3">
        <v>234</v>
      </c>
      <c r="B646" t="s">
        <v>692</v>
      </c>
      <c r="C646" t="s">
        <v>456</v>
      </c>
      <c r="E646" s="3">
        <f t="shared" si="31"/>
        <v>3</v>
      </c>
      <c r="F646" s="5">
        <v>44475.625</v>
      </c>
      <c r="G646" s="19" t="str">
        <f t="shared" si="30"/>
        <v/>
      </c>
    </row>
    <row r="647" spans="1:10">
      <c r="A647" s="3">
        <v>191</v>
      </c>
      <c r="B647" t="s">
        <v>693</v>
      </c>
      <c r="C647" t="s">
        <v>456</v>
      </c>
      <c r="E647" s="3">
        <f t="shared" si="31"/>
        <v>4</v>
      </c>
      <c r="F647" s="5">
        <v>44476.625</v>
      </c>
      <c r="G647" s="19" t="str">
        <f t="shared" si="30"/>
        <v/>
      </c>
    </row>
    <row r="648" spans="1:10">
      <c r="A648" s="3">
        <v>210</v>
      </c>
      <c r="B648" t="s">
        <v>694</v>
      </c>
      <c r="C648" t="s">
        <v>456</v>
      </c>
      <c r="E648" s="3">
        <f t="shared" si="31"/>
        <v>5</v>
      </c>
      <c r="F648" s="5">
        <v>44477.625</v>
      </c>
      <c r="G648" s="19" t="str">
        <f t="shared" si="30"/>
        <v/>
      </c>
    </row>
    <row r="649" spans="1:10">
      <c r="A649" s="3">
        <v>149</v>
      </c>
      <c r="B649" t="s">
        <v>695</v>
      </c>
      <c r="C649" t="s">
        <v>456</v>
      </c>
      <c r="E649" s="3">
        <f t="shared" si="31"/>
        <v>6</v>
      </c>
      <c r="F649" s="5">
        <v>44478.625</v>
      </c>
      <c r="G649" s="19" t="str">
        <f t="shared" si="30"/>
        <v/>
      </c>
    </row>
    <row r="650" spans="1:10">
      <c r="A650" s="3">
        <v>151</v>
      </c>
      <c r="B650" t="s">
        <v>696</v>
      </c>
      <c r="C650" t="s">
        <v>456</v>
      </c>
      <c r="E650" s="3">
        <f t="shared" si="31"/>
        <v>7</v>
      </c>
      <c r="F650" s="5">
        <v>44479.625</v>
      </c>
      <c r="G650" s="19" t="str">
        <f t="shared" si="30"/>
        <v/>
      </c>
    </row>
    <row r="651" spans="1:10">
      <c r="A651" s="3">
        <v>227</v>
      </c>
      <c r="B651" t="s">
        <v>697</v>
      </c>
      <c r="C651" t="s">
        <v>456</v>
      </c>
      <c r="E651" s="3">
        <f t="shared" si="31"/>
        <v>1</v>
      </c>
      <c r="F651" s="5">
        <v>44480.625</v>
      </c>
      <c r="G651" s="19" t="str">
        <f t="shared" si="30"/>
        <v>2021-W41</v>
      </c>
      <c r="H651">
        <f>SUM(A651:A657)</f>
        <v>1511</v>
      </c>
      <c r="I651" s="28">
        <f>H651/H644-1</f>
        <v>1.2734584450402098E-2</v>
      </c>
      <c r="J651" s="28">
        <f>A651/A644-1</f>
        <v>-8.8353413654618462E-2</v>
      </c>
    </row>
    <row r="652" spans="1:10">
      <c r="A652" s="3">
        <v>264</v>
      </c>
      <c r="B652" t="s">
        <v>698</v>
      </c>
      <c r="C652" t="s">
        <v>456</v>
      </c>
      <c r="E652" s="3">
        <f t="shared" si="31"/>
        <v>2</v>
      </c>
      <c r="F652" s="5">
        <v>44481.625</v>
      </c>
      <c r="G652" s="19" t="str">
        <f t="shared" si="30"/>
        <v/>
      </c>
    </row>
    <row r="653" spans="1:10">
      <c r="A653" s="3">
        <v>232</v>
      </c>
      <c r="B653" t="s">
        <v>699</v>
      </c>
      <c r="C653" t="s">
        <v>456</v>
      </c>
      <c r="E653" s="3">
        <f t="shared" si="31"/>
        <v>3</v>
      </c>
      <c r="F653" s="5">
        <v>44482.625</v>
      </c>
      <c r="G653" s="19" t="str">
        <f t="shared" si="30"/>
        <v/>
      </c>
    </row>
    <row r="654" spans="1:10">
      <c r="A654" s="3">
        <v>241</v>
      </c>
      <c r="B654" t="s">
        <v>700</v>
      </c>
      <c r="C654" t="s">
        <v>456</v>
      </c>
      <c r="E654" s="3">
        <f t="shared" si="31"/>
        <v>4</v>
      </c>
      <c r="F654" s="5">
        <v>44483.625</v>
      </c>
      <c r="G654" s="19" t="str">
        <f t="shared" si="30"/>
        <v/>
      </c>
    </row>
    <row r="655" spans="1:10">
      <c r="A655" s="3">
        <v>238</v>
      </c>
      <c r="B655" t="s">
        <v>701</v>
      </c>
      <c r="C655" t="s">
        <v>456</v>
      </c>
      <c r="E655" s="3">
        <f t="shared" si="31"/>
        <v>5</v>
      </c>
      <c r="F655" s="5">
        <v>44484.625</v>
      </c>
      <c r="G655" s="19" t="str">
        <f t="shared" si="30"/>
        <v/>
      </c>
    </row>
    <row r="656" spans="1:10">
      <c r="A656" s="3">
        <v>149</v>
      </c>
      <c r="B656" t="s">
        <v>702</v>
      </c>
      <c r="C656" t="s">
        <v>456</v>
      </c>
      <c r="E656" s="3">
        <f t="shared" si="31"/>
        <v>6</v>
      </c>
      <c r="F656" s="5">
        <v>44485.625</v>
      </c>
      <c r="G656" s="19" t="str">
        <f t="shared" si="30"/>
        <v/>
      </c>
    </row>
    <row r="657" spans="1:10">
      <c r="A657" s="3">
        <v>160</v>
      </c>
      <c r="B657" t="s">
        <v>703</v>
      </c>
      <c r="C657" t="s">
        <v>456</v>
      </c>
      <c r="E657" s="3">
        <f t="shared" si="31"/>
        <v>7</v>
      </c>
      <c r="F657" s="5">
        <v>44486.625</v>
      </c>
      <c r="G657" s="19" t="str">
        <f t="shared" si="30"/>
        <v/>
      </c>
    </row>
    <row r="658" spans="1:10">
      <c r="A658" s="3">
        <v>267</v>
      </c>
      <c r="B658" t="s">
        <v>704</v>
      </c>
      <c r="C658" t="s">
        <v>456</v>
      </c>
      <c r="E658" s="3">
        <f t="shared" si="31"/>
        <v>1</v>
      </c>
      <c r="F658" s="5">
        <v>44487.625</v>
      </c>
      <c r="G658" s="19" t="str">
        <f t="shared" si="30"/>
        <v>2021-W42</v>
      </c>
      <c r="H658">
        <f>SUM(A658:A664)</f>
        <v>1637</v>
      </c>
      <c r="I658" s="28">
        <f>H658/H651-1</f>
        <v>8.338848444738578E-2</v>
      </c>
      <c r="J658" s="28">
        <f>A658/A651-1</f>
        <v>0.17621145374449343</v>
      </c>
    </row>
    <row r="659" spans="1:10">
      <c r="A659" s="3">
        <v>229</v>
      </c>
      <c r="B659" t="s">
        <v>705</v>
      </c>
      <c r="C659" t="s">
        <v>456</v>
      </c>
      <c r="E659" s="3">
        <f t="shared" si="31"/>
        <v>2</v>
      </c>
      <c r="F659" s="5">
        <v>44488.625</v>
      </c>
      <c r="G659" s="19" t="str">
        <f t="shared" si="30"/>
        <v/>
      </c>
    </row>
    <row r="660" spans="1:10">
      <c r="A660" s="3">
        <v>211</v>
      </c>
      <c r="B660" t="s">
        <v>706</v>
      </c>
      <c r="C660" t="s">
        <v>456</v>
      </c>
      <c r="E660" s="3">
        <f t="shared" si="31"/>
        <v>3</v>
      </c>
      <c r="F660" s="5">
        <v>44489.625</v>
      </c>
      <c r="G660" s="19" t="str">
        <f t="shared" si="30"/>
        <v/>
      </c>
    </row>
    <row r="661" spans="1:10">
      <c r="A661" s="3">
        <v>272</v>
      </c>
      <c r="B661" t="s">
        <v>707</v>
      </c>
      <c r="C661" t="s">
        <v>456</v>
      </c>
      <c r="E661" s="3">
        <f t="shared" si="31"/>
        <v>4</v>
      </c>
      <c r="F661" s="5">
        <v>44490.625</v>
      </c>
      <c r="G661" s="19" t="str">
        <f t="shared" si="30"/>
        <v/>
      </c>
    </row>
    <row r="662" spans="1:10">
      <c r="A662" s="3">
        <v>257</v>
      </c>
      <c r="B662" t="s">
        <v>708</v>
      </c>
      <c r="C662" t="s">
        <v>456</v>
      </c>
      <c r="E662" s="3">
        <f t="shared" si="31"/>
        <v>5</v>
      </c>
      <c r="F662" s="5">
        <v>44491.625</v>
      </c>
      <c r="G662" s="19" t="str">
        <f t="shared" si="30"/>
        <v/>
      </c>
    </row>
    <row r="663" spans="1:10">
      <c r="A663" s="3">
        <v>178</v>
      </c>
      <c r="B663" t="s">
        <v>709</v>
      </c>
      <c r="C663" t="s">
        <v>456</v>
      </c>
      <c r="E663" s="3">
        <f t="shared" si="31"/>
        <v>6</v>
      </c>
      <c r="F663" s="5">
        <v>44492.625</v>
      </c>
      <c r="G663" s="19" t="str">
        <f t="shared" si="30"/>
        <v/>
      </c>
    </row>
    <row r="664" spans="1:10">
      <c r="A664" s="3">
        <v>223</v>
      </c>
      <c r="B664" t="s">
        <v>710</v>
      </c>
      <c r="C664" t="s">
        <v>456</v>
      </c>
      <c r="E664" s="3">
        <f t="shared" si="31"/>
        <v>7</v>
      </c>
      <c r="F664" s="5">
        <v>44493.625</v>
      </c>
      <c r="G664" s="19" t="str">
        <f t="shared" si="30"/>
        <v/>
      </c>
    </row>
    <row r="665" spans="1:10">
      <c r="A665" s="3">
        <v>344</v>
      </c>
      <c r="B665" t="s">
        <v>711</v>
      </c>
      <c r="C665" t="s">
        <v>456</v>
      </c>
      <c r="E665" s="3">
        <f t="shared" si="31"/>
        <v>1</v>
      </c>
      <c r="F665" s="5">
        <v>44494.625</v>
      </c>
      <c r="G665" s="19" t="str">
        <f t="shared" si="30"/>
        <v>2021-W43</v>
      </c>
      <c r="H665">
        <f>SUM(A665:A671)</f>
        <v>1815</v>
      </c>
      <c r="I665" s="28">
        <f>H665/H658-1</f>
        <v>0.10873549175320707</v>
      </c>
      <c r="J665" s="28">
        <f>A665/A658-1</f>
        <v>0.28838951310861427</v>
      </c>
    </row>
    <row r="666" spans="1:10">
      <c r="A666" s="3">
        <v>288</v>
      </c>
      <c r="B666" t="s">
        <v>712</v>
      </c>
      <c r="C666" t="s">
        <v>456</v>
      </c>
      <c r="E666" s="3">
        <f t="shared" si="31"/>
        <v>2</v>
      </c>
      <c r="F666" s="5">
        <v>44495.625</v>
      </c>
      <c r="G666" s="19" t="str">
        <f t="shared" si="30"/>
        <v/>
      </c>
    </row>
    <row r="667" spans="1:10">
      <c r="A667" s="3">
        <v>254</v>
      </c>
      <c r="B667" t="s">
        <v>713</v>
      </c>
      <c r="C667" t="s">
        <v>456</v>
      </c>
      <c r="E667" s="3">
        <f t="shared" si="31"/>
        <v>3</v>
      </c>
      <c r="F667" s="5">
        <v>44496.625</v>
      </c>
      <c r="G667" s="19" t="str">
        <f t="shared" si="30"/>
        <v/>
      </c>
    </row>
    <row r="668" spans="1:10">
      <c r="A668" s="3">
        <v>259</v>
      </c>
      <c r="B668" t="s">
        <v>714</v>
      </c>
      <c r="C668" t="s">
        <v>456</v>
      </c>
      <c r="E668" s="3">
        <f t="shared" si="31"/>
        <v>4</v>
      </c>
      <c r="F668" s="5">
        <v>44497.625</v>
      </c>
      <c r="G668" s="19" t="str">
        <f t="shared" si="30"/>
        <v/>
      </c>
    </row>
    <row r="669" spans="1:10">
      <c r="A669" s="3">
        <v>270</v>
      </c>
      <c r="B669" t="s">
        <v>715</v>
      </c>
      <c r="C669" t="s">
        <v>456</v>
      </c>
      <c r="E669" s="3">
        <f t="shared" si="31"/>
        <v>5</v>
      </c>
      <c r="F669" s="5">
        <v>44498.625</v>
      </c>
      <c r="G669" s="19" t="str">
        <f t="shared" si="30"/>
        <v/>
      </c>
    </row>
    <row r="670" spans="1:10">
      <c r="A670" s="3">
        <v>184</v>
      </c>
      <c r="B670" t="s">
        <v>716</v>
      </c>
      <c r="C670" t="s">
        <v>456</v>
      </c>
      <c r="E670" s="3">
        <f t="shared" si="31"/>
        <v>6</v>
      </c>
      <c r="F670" s="5">
        <v>44499.625</v>
      </c>
      <c r="G670" s="19" t="str">
        <f t="shared" si="30"/>
        <v/>
      </c>
    </row>
    <row r="671" spans="1:10">
      <c r="A671" s="3">
        <v>216</v>
      </c>
      <c r="B671" t="s">
        <v>717</v>
      </c>
      <c r="C671" t="s">
        <v>456</v>
      </c>
      <c r="E671" s="3">
        <f t="shared" si="31"/>
        <v>7</v>
      </c>
      <c r="F671" s="5">
        <v>44500.625</v>
      </c>
      <c r="G671" s="19" t="str">
        <f t="shared" si="30"/>
        <v/>
      </c>
    </row>
    <row r="672" spans="1:10">
      <c r="A672" s="3">
        <v>374</v>
      </c>
      <c r="B672" t="s">
        <v>718</v>
      </c>
      <c r="C672" t="s">
        <v>456</v>
      </c>
      <c r="E672" s="3">
        <f t="shared" si="31"/>
        <v>1</v>
      </c>
      <c r="F672" s="5">
        <v>44501.625</v>
      </c>
      <c r="G672" s="19" t="str">
        <f t="shared" si="30"/>
        <v>2021-W44</v>
      </c>
      <c r="H672">
        <f>SUM(A672:A678)</f>
        <v>2116</v>
      </c>
      <c r="I672" s="28">
        <f>H672/H665-1</f>
        <v>0.16584022038567503</v>
      </c>
      <c r="J672" s="28">
        <f>A672/A665-1</f>
        <v>8.7209302325581328E-2</v>
      </c>
    </row>
    <row r="673" spans="1:10">
      <c r="A673" s="3">
        <v>328</v>
      </c>
      <c r="B673" t="s">
        <v>719</v>
      </c>
      <c r="C673" t="s">
        <v>456</v>
      </c>
      <c r="E673" s="3">
        <f t="shared" si="31"/>
        <v>2</v>
      </c>
      <c r="F673" s="5">
        <v>44502.625</v>
      </c>
      <c r="G673" s="19" t="str">
        <f t="shared" si="30"/>
        <v/>
      </c>
    </row>
    <row r="674" spans="1:10">
      <c r="A674" s="3">
        <v>291</v>
      </c>
      <c r="B674" t="s">
        <v>720</v>
      </c>
      <c r="C674" t="s">
        <v>456</v>
      </c>
      <c r="E674" s="3">
        <f t="shared" si="31"/>
        <v>3</v>
      </c>
      <c r="F674" s="5">
        <v>44503.625</v>
      </c>
      <c r="G674" s="19" t="str">
        <f t="shared" si="30"/>
        <v/>
      </c>
    </row>
    <row r="675" spans="1:10">
      <c r="A675" s="3">
        <v>295</v>
      </c>
      <c r="B675" t="s">
        <v>721</v>
      </c>
      <c r="C675" t="s">
        <v>456</v>
      </c>
      <c r="E675" s="3">
        <f t="shared" si="31"/>
        <v>4</v>
      </c>
      <c r="F675" s="5">
        <v>44504.625</v>
      </c>
      <c r="G675" s="19" t="str">
        <f t="shared" si="30"/>
        <v/>
      </c>
    </row>
    <row r="676" spans="1:10">
      <c r="A676" s="3">
        <v>315</v>
      </c>
      <c r="B676" t="s">
        <v>722</v>
      </c>
      <c r="C676" t="s">
        <v>456</v>
      </c>
      <c r="E676" s="3">
        <f t="shared" si="31"/>
        <v>5</v>
      </c>
      <c r="F676" s="5">
        <v>44505.625</v>
      </c>
      <c r="G676" s="19" t="str">
        <f t="shared" si="30"/>
        <v/>
      </c>
    </row>
    <row r="677" spans="1:10">
      <c r="A677" s="3">
        <v>246</v>
      </c>
      <c r="B677" t="s">
        <v>723</v>
      </c>
      <c r="C677" t="s">
        <v>456</v>
      </c>
      <c r="E677" s="3">
        <f t="shared" si="31"/>
        <v>6</v>
      </c>
      <c r="F677" s="5">
        <v>44506.625</v>
      </c>
      <c r="G677" s="19" t="str">
        <f t="shared" si="30"/>
        <v/>
      </c>
    </row>
    <row r="678" spans="1:10">
      <c r="A678" s="3">
        <v>267</v>
      </c>
      <c r="B678" t="s">
        <v>724</v>
      </c>
      <c r="C678" t="s">
        <v>456</v>
      </c>
      <c r="E678" s="3">
        <f t="shared" si="31"/>
        <v>7</v>
      </c>
      <c r="F678" s="5">
        <v>44507.625</v>
      </c>
      <c r="G678" s="19" t="str">
        <f t="shared" si="30"/>
        <v/>
      </c>
    </row>
    <row r="679" spans="1:10">
      <c r="A679" s="3">
        <v>424</v>
      </c>
      <c r="B679" t="s">
        <v>725</v>
      </c>
      <c r="C679" t="s">
        <v>456</v>
      </c>
      <c r="E679" s="3">
        <f t="shared" si="31"/>
        <v>1</v>
      </c>
      <c r="F679" s="5">
        <v>44508.625</v>
      </c>
      <c r="G679" s="19" t="str">
        <f t="shared" si="30"/>
        <v>2021-W45</v>
      </c>
      <c r="H679">
        <f>SUM(A679:A685)</f>
        <v>2444</v>
      </c>
      <c r="I679" s="28">
        <f>H679/H672-1</f>
        <v>0.15500945179584114</v>
      </c>
      <c r="J679" s="28">
        <f>A679/A672-1</f>
        <v>0.1336898395721926</v>
      </c>
    </row>
    <row r="680" spans="1:10">
      <c r="A680" s="3">
        <v>376</v>
      </c>
      <c r="B680" t="s">
        <v>726</v>
      </c>
      <c r="C680" t="s">
        <v>456</v>
      </c>
      <c r="E680" s="3">
        <f t="shared" si="31"/>
        <v>2</v>
      </c>
      <c r="F680" s="5">
        <v>44509.625</v>
      </c>
      <c r="G680" s="19" t="str">
        <f t="shared" si="30"/>
        <v/>
      </c>
    </row>
    <row r="681" spans="1:10">
      <c r="A681" s="3">
        <v>365</v>
      </c>
      <c r="B681" t="s">
        <v>727</v>
      </c>
      <c r="C681" t="s">
        <v>456</v>
      </c>
      <c r="E681" s="3">
        <f t="shared" si="31"/>
        <v>3</v>
      </c>
      <c r="F681" s="5">
        <v>44510.625</v>
      </c>
      <c r="G681" s="19" t="str">
        <f t="shared" si="30"/>
        <v/>
      </c>
    </row>
    <row r="682" spans="1:10">
      <c r="A682" s="3">
        <v>374</v>
      </c>
      <c r="B682" t="s">
        <v>728</v>
      </c>
      <c r="C682" t="s">
        <v>456</v>
      </c>
      <c r="E682" s="3">
        <f t="shared" si="31"/>
        <v>4</v>
      </c>
      <c r="F682" s="5">
        <v>44511.625</v>
      </c>
      <c r="G682" s="19" t="str">
        <f t="shared" si="30"/>
        <v/>
      </c>
    </row>
    <row r="683" spans="1:10">
      <c r="A683" s="3">
        <v>371</v>
      </c>
      <c r="B683" t="s">
        <v>729</v>
      </c>
      <c r="C683" t="s">
        <v>456</v>
      </c>
      <c r="E683" s="3">
        <f t="shared" si="31"/>
        <v>5</v>
      </c>
      <c r="F683" s="5">
        <v>44512.625</v>
      </c>
      <c r="G683" s="19" t="str">
        <f t="shared" si="30"/>
        <v/>
      </c>
    </row>
    <row r="684" spans="1:10">
      <c r="A684" s="3">
        <v>280</v>
      </c>
      <c r="B684" t="s">
        <v>730</v>
      </c>
      <c r="C684" t="s">
        <v>456</v>
      </c>
      <c r="E684" s="3">
        <f t="shared" si="31"/>
        <v>6</v>
      </c>
      <c r="F684" s="5">
        <v>44513.625</v>
      </c>
      <c r="G684" s="19" t="str">
        <f t="shared" si="30"/>
        <v/>
      </c>
    </row>
    <row r="685" spans="1:10">
      <c r="A685" s="3">
        <v>254</v>
      </c>
      <c r="B685" t="s">
        <v>731</v>
      </c>
      <c r="C685" t="s">
        <v>456</v>
      </c>
      <c r="E685" s="3">
        <f t="shared" si="31"/>
        <v>7</v>
      </c>
      <c r="F685" s="5">
        <v>44514.625</v>
      </c>
      <c r="G685" s="19" t="str">
        <f t="shared" si="30"/>
        <v/>
      </c>
    </row>
    <row r="686" spans="1:10">
      <c r="A686" s="3">
        <v>442</v>
      </c>
      <c r="B686" t="s">
        <v>732</v>
      </c>
      <c r="C686" t="s">
        <v>456</v>
      </c>
      <c r="E686" s="3">
        <f t="shared" si="31"/>
        <v>1</v>
      </c>
      <c r="F686" s="5">
        <v>44515.625</v>
      </c>
      <c r="G686" s="19" t="str">
        <f t="shared" si="30"/>
        <v>2021-W46</v>
      </c>
      <c r="H686">
        <f>SUM(A686:A692)</f>
        <v>2879</v>
      </c>
      <c r="I686" s="28">
        <f>H686/H679-1</f>
        <v>0.17798690671031103</v>
      </c>
      <c r="J686" s="28">
        <f>A686/A679-1</f>
        <v>4.2452830188679291E-2</v>
      </c>
    </row>
    <row r="687" spans="1:10">
      <c r="A687" s="3">
        <v>430</v>
      </c>
      <c r="B687" t="s">
        <v>733</v>
      </c>
      <c r="C687" t="s">
        <v>456</v>
      </c>
      <c r="E687" s="3">
        <f t="shared" si="31"/>
        <v>2</v>
      </c>
      <c r="F687" s="5">
        <v>44516.625</v>
      </c>
      <c r="G687" s="19" t="str">
        <f t="shared" si="30"/>
        <v/>
      </c>
    </row>
    <row r="688" spans="1:10">
      <c r="A688" s="3">
        <v>448</v>
      </c>
      <c r="B688" t="s">
        <v>734</v>
      </c>
      <c r="C688" t="s">
        <v>456</v>
      </c>
      <c r="E688" s="3">
        <f t="shared" si="31"/>
        <v>3</v>
      </c>
      <c r="F688" s="5">
        <v>44517.625</v>
      </c>
      <c r="G688" s="19" t="str">
        <f t="shared" si="30"/>
        <v/>
      </c>
    </row>
    <row r="689" spans="1:10">
      <c r="A689" s="3">
        <v>452</v>
      </c>
      <c r="B689" t="s">
        <v>735</v>
      </c>
      <c r="C689" t="s">
        <v>456</v>
      </c>
      <c r="E689" s="3">
        <f t="shared" si="31"/>
        <v>4</v>
      </c>
      <c r="F689" s="5">
        <v>44518.625</v>
      </c>
      <c r="G689" s="19" t="str">
        <f t="shared" si="30"/>
        <v/>
      </c>
    </row>
    <row r="690" spans="1:10">
      <c r="A690" s="3">
        <v>481</v>
      </c>
      <c r="B690" t="s">
        <v>736</v>
      </c>
      <c r="C690" t="s">
        <v>456</v>
      </c>
      <c r="E690" s="3">
        <f t="shared" si="31"/>
        <v>5</v>
      </c>
      <c r="F690" s="5">
        <v>44519.625</v>
      </c>
      <c r="G690" s="19" t="str">
        <f t="shared" si="30"/>
        <v/>
      </c>
    </row>
    <row r="691" spans="1:10">
      <c r="A691" s="3">
        <v>290</v>
      </c>
      <c r="B691" t="s">
        <v>737</v>
      </c>
      <c r="C691" t="s">
        <v>456</v>
      </c>
      <c r="E691" s="3">
        <f t="shared" si="31"/>
        <v>6</v>
      </c>
      <c r="F691" s="5">
        <v>44520.625</v>
      </c>
      <c r="G691" s="19" t="str">
        <f t="shared" si="30"/>
        <v/>
      </c>
    </row>
    <row r="692" spans="1:10">
      <c r="A692" s="3">
        <v>336</v>
      </c>
      <c r="B692" t="s">
        <v>738</v>
      </c>
      <c r="C692" t="s">
        <v>456</v>
      </c>
      <c r="E692" s="3">
        <f t="shared" si="31"/>
        <v>7</v>
      </c>
      <c r="F692" s="5">
        <v>44521.625</v>
      </c>
      <c r="G692" s="19" t="str">
        <f t="shared" si="30"/>
        <v/>
      </c>
    </row>
    <row r="693" spans="1:10">
      <c r="A693" s="3">
        <v>497</v>
      </c>
      <c r="B693" t="s">
        <v>740</v>
      </c>
      <c r="C693" t="s">
        <v>456</v>
      </c>
      <c r="E693" s="3">
        <f t="shared" si="31"/>
        <v>1</v>
      </c>
      <c r="F693" s="5">
        <v>44522.625</v>
      </c>
      <c r="G693" s="19" t="str">
        <f t="shared" si="30"/>
        <v>2021-W47</v>
      </c>
      <c r="H693">
        <f>SUM(A693:A699)</f>
        <v>3025</v>
      </c>
      <c r="I693" s="28">
        <f>H693/H686-1</f>
        <v>5.0712052796109797E-2</v>
      </c>
      <c r="J693" s="28">
        <f>A693/A686-1</f>
        <v>0.1244343891402715</v>
      </c>
    </row>
    <row r="694" spans="1:10">
      <c r="A694" s="3">
        <v>517</v>
      </c>
      <c r="B694" t="s">
        <v>741</v>
      </c>
      <c r="C694" t="s">
        <v>456</v>
      </c>
      <c r="E694" s="3">
        <f t="shared" si="31"/>
        <v>2</v>
      </c>
      <c r="F694" s="5">
        <v>44523.625</v>
      </c>
      <c r="G694" s="19" t="str">
        <f t="shared" si="30"/>
        <v/>
      </c>
    </row>
    <row r="695" spans="1:10">
      <c r="A695" s="3">
        <v>421</v>
      </c>
      <c r="B695" t="s">
        <v>742</v>
      </c>
      <c r="C695" t="s">
        <v>456</v>
      </c>
      <c r="E695" s="3">
        <f t="shared" si="31"/>
        <v>3</v>
      </c>
      <c r="F695" s="5">
        <v>44524.625</v>
      </c>
      <c r="G695" s="19" t="str">
        <f t="shared" si="30"/>
        <v/>
      </c>
    </row>
    <row r="696" spans="1:10">
      <c r="A696" s="3">
        <v>439</v>
      </c>
      <c r="B696" t="s">
        <v>743</v>
      </c>
      <c r="C696" t="s">
        <v>456</v>
      </c>
      <c r="E696" s="3">
        <f t="shared" si="31"/>
        <v>4</v>
      </c>
      <c r="F696" s="5">
        <v>44525.625</v>
      </c>
      <c r="G696" s="19" t="str">
        <f t="shared" si="30"/>
        <v/>
      </c>
    </row>
    <row r="697" spans="1:10">
      <c r="A697" s="3">
        <v>459</v>
      </c>
      <c r="B697" t="s">
        <v>744</v>
      </c>
      <c r="C697" t="s">
        <v>456</v>
      </c>
      <c r="E697" s="3">
        <f t="shared" si="31"/>
        <v>5</v>
      </c>
      <c r="F697" s="5">
        <v>44526.625</v>
      </c>
      <c r="G697" s="19" t="str">
        <f t="shared" si="30"/>
        <v/>
      </c>
    </row>
    <row r="698" spans="1:10">
      <c r="A698" s="3">
        <v>329</v>
      </c>
      <c r="B698" t="s">
        <v>745</v>
      </c>
      <c r="C698" t="s">
        <v>456</v>
      </c>
      <c r="E698" s="3">
        <f t="shared" si="31"/>
        <v>6</v>
      </c>
      <c r="F698" s="5">
        <v>44527.625</v>
      </c>
      <c r="G698" s="19" t="str">
        <f t="shared" si="30"/>
        <v/>
      </c>
    </row>
    <row r="699" spans="1:10">
      <c r="A699" s="3">
        <v>363</v>
      </c>
      <c r="B699" t="s">
        <v>746</v>
      </c>
      <c r="C699" t="s">
        <v>456</v>
      </c>
      <c r="E699" s="3">
        <f t="shared" si="31"/>
        <v>7</v>
      </c>
      <c r="F699" s="5">
        <v>44528.625</v>
      </c>
      <c r="G699" s="19" t="str">
        <f t="shared" si="30"/>
        <v/>
      </c>
    </row>
    <row r="700" spans="1:10">
      <c r="A700" s="3">
        <v>556</v>
      </c>
      <c r="B700" t="s">
        <v>747</v>
      </c>
      <c r="C700" t="s">
        <v>456</v>
      </c>
      <c r="E700" s="3">
        <f t="shared" si="31"/>
        <v>1</v>
      </c>
      <c r="F700" s="5">
        <v>44529.625</v>
      </c>
      <c r="G700" s="19" t="str">
        <f t="shared" si="30"/>
        <v>2021-W48</v>
      </c>
      <c r="H700">
        <f>SUM(A700:A706)</f>
        <v>3440</v>
      </c>
      <c r="I700" s="28">
        <f>H700/H693-1</f>
        <v>0.13719008264462818</v>
      </c>
      <c r="J700" s="28">
        <f>A700/A693-1</f>
        <v>0.11871227364185111</v>
      </c>
    </row>
    <row r="701" spans="1:10">
      <c r="A701" s="3">
        <v>568</v>
      </c>
      <c r="B701" t="s">
        <v>748</v>
      </c>
      <c r="C701" t="s">
        <v>456</v>
      </c>
      <c r="E701" s="3">
        <f t="shared" si="31"/>
        <v>2</v>
      </c>
      <c r="F701" s="5">
        <v>44530.625</v>
      </c>
      <c r="G701" s="19" t="str">
        <f t="shared" si="30"/>
        <v/>
      </c>
    </row>
    <row r="702" spans="1:10">
      <c r="A702" s="3">
        <v>535</v>
      </c>
      <c r="B702" t="s">
        <v>749</v>
      </c>
      <c r="C702" t="s">
        <v>456</v>
      </c>
      <c r="E702" s="3">
        <f t="shared" si="31"/>
        <v>3</v>
      </c>
      <c r="F702" s="5">
        <v>44531.625</v>
      </c>
      <c r="G702" s="19" t="str">
        <f t="shared" si="30"/>
        <v/>
      </c>
    </row>
    <row r="703" spans="1:10">
      <c r="A703" s="3">
        <v>501</v>
      </c>
      <c r="B703" t="s">
        <v>750</v>
      </c>
      <c r="C703" t="s">
        <v>456</v>
      </c>
      <c r="E703" s="3">
        <f t="shared" si="31"/>
        <v>4</v>
      </c>
      <c r="F703" s="5">
        <v>44532.625</v>
      </c>
      <c r="G703" s="19" t="str">
        <f t="shared" si="30"/>
        <v/>
      </c>
    </row>
    <row r="704" spans="1:10">
      <c r="A704" s="3">
        <v>515</v>
      </c>
      <c r="B704" t="s">
        <v>751</v>
      </c>
      <c r="C704" t="s">
        <v>456</v>
      </c>
      <c r="E704" s="3">
        <f t="shared" si="31"/>
        <v>5</v>
      </c>
      <c r="F704" s="5">
        <v>44533.625</v>
      </c>
      <c r="G704" s="19" t="str">
        <f t="shared" si="30"/>
        <v/>
      </c>
    </row>
    <row r="705" spans="1:10">
      <c r="A705" s="3">
        <v>351</v>
      </c>
      <c r="B705" t="s">
        <v>752</v>
      </c>
      <c r="C705" t="s">
        <v>456</v>
      </c>
      <c r="E705" s="3">
        <f t="shared" si="31"/>
        <v>6</v>
      </c>
      <c r="F705" s="5">
        <v>44534.625</v>
      </c>
      <c r="G705" s="19" t="str">
        <f t="shared" si="30"/>
        <v/>
      </c>
    </row>
    <row r="706" spans="1:10">
      <c r="A706" s="3">
        <v>414</v>
      </c>
      <c r="B706" t="s">
        <v>753</v>
      </c>
      <c r="C706" t="s">
        <v>456</v>
      </c>
      <c r="E706" s="3">
        <f t="shared" si="31"/>
        <v>7</v>
      </c>
      <c r="F706" s="5">
        <v>44535.625</v>
      </c>
      <c r="G706" s="19" t="str">
        <f t="shared" si="30"/>
        <v/>
      </c>
    </row>
    <row r="707" spans="1:10">
      <c r="A707" s="3">
        <v>457</v>
      </c>
      <c r="B707" t="s">
        <v>754</v>
      </c>
      <c r="C707" t="s">
        <v>456</v>
      </c>
      <c r="E707" s="3">
        <f t="shared" si="31"/>
        <v>1</v>
      </c>
      <c r="F707" s="5">
        <v>44536.625</v>
      </c>
      <c r="G707" s="19" t="str">
        <f t="shared" ref="G707:G770" si="32">IF(WEEKDAY(F707,2)=1,YEAR(F707)&amp;"-W"&amp;TEXT(WEEKNUM(F707,14),"00"),"")</f>
        <v>2021-W49</v>
      </c>
      <c r="H707">
        <f>SUM(A707:A713)</f>
        <v>4168</v>
      </c>
      <c r="I707" s="28">
        <f>H707/H700-1</f>
        <v>0.21162790697674416</v>
      </c>
      <c r="J707" s="28">
        <f>A707/A700-1</f>
        <v>-0.17805755395683454</v>
      </c>
    </row>
    <row r="708" spans="1:10">
      <c r="A708" s="3">
        <v>616</v>
      </c>
      <c r="B708" t="s">
        <v>755</v>
      </c>
      <c r="C708" t="s">
        <v>456</v>
      </c>
      <c r="E708" s="3">
        <f t="shared" si="31"/>
        <v>2</v>
      </c>
      <c r="F708" s="5">
        <v>44537.625</v>
      </c>
      <c r="G708" s="19" t="str">
        <f t="shared" si="32"/>
        <v/>
      </c>
    </row>
    <row r="709" spans="1:10">
      <c r="A709" s="3">
        <v>630</v>
      </c>
      <c r="B709" t="s">
        <v>756</v>
      </c>
      <c r="C709" t="s">
        <v>456</v>
      </c>
      <c r="E709" s="3">
        <f t="shared" ref="E709:E772" si="33">WEEKDAY(F709,2)</f>
        <v>3</v>
      </c>
      <c r="F709" s="5">
        <v>44538.625</v>
      </c>
      <c r="G709" s="19" t="str">
        <f t="shared" si="32"/>
        <v/>
      </c>
    </row>
    <row r="710" spans="1:10">
      <c r="A710" s="3">
        <v>670</v>
      </c>
      <c r="B710" t="s">
        <v>757</v>
      </c>
      <c r="C710" t="s">
        <v>456</v>
      </c>
      <c r="E710" s="3">
        <f t="shared" si="33"/>
        <v>4</v>
      </c>
      <c r="F710" s="5">
        <v>44539.625</v>
      </c>
      <c r="G710" s="19" t="str">
        <f t="shared" si="32"/>
        <v/>
      </c>
    </row>
    <row r="711" spans="1:10">
      <c r="A711" s="3">
        <v>712</v>
      </c>
      <c r="B711" t="s">
        <v>758</v>
      </c>
      <c r="C711" t="s">
        <v>456</v>
      </c>
      <c r="E711" s="3">
        <f t="shared" si="33"/>
        <v>5</v>
      </c>
      <c r="F711" s="5">
        <v>44540.625</v>
      </c>
      <c r="G711" s="19" t="str">
        <f t="shared" si="32"/>
        <v/>
      </c>
    </row>
    <row r="712" spans="1:10">
      <c r="A712" s="3">
        <v>495</v>
      </c>
      <c r="B712" t="s">
        <v>759</v>
      </c>
      <c r="C712" t="s">
        <v>456</v>
      </c>
      <c r="E712" s="3">
        <f t="shared" si="33"/>
        <v>6</v>
      </c>
      <c r="F712" s="5">
        <v>44541.625</v>
      </c>
      <c r="G712" s="19" t="str">
        <f t="shared" si="32"/>
        <v/>
      </c>
    </row>
    <row r="713" spans="1:10">
      <c r="A713" s="3">
        <v>588</v>
      </c>
      <c r="B713" t="s">
        <v>760</v>
      </c>
      <c r="C713" t="s">
        <v>456</v>
      </c>
      <c r="E713" s="3">
        <f t="shared" si="33"/>
        <v>7</v>
      </c>
      <c r="F713" s="5">
        <v>44542.625</v>
      </c>
      <c r="G713" s="19" t="str">
        <f t="shared" si="32"/>
        <v/>
      </c>
    </row>
    <row r="714" spans="1:10">
      <c r="A714" s="3">
        <v>885</v>
      </c>
      <c r="B714" t="s">
        <v>761</v>
      </c>
      <c r="C714" t="s">
        <v>456</v>
      </c>
      <c r="E714" s="3">
        <f t="shared" si="33"/>
        <v>1</v>
      </c>
      <c r="F714" s="5">
        <v>44543.625</v>
      </c>
      <c r="G714" s="19" t="str">
        <f t="shared" si="32"/>
        <v>2021-W50</v>
      </c>
      <c r="H714">
        <f>SUM(A714:A720)</f>
        <v>3231</v>
      </c>
      <c r="I714" s="28">
        <f>H714/H707-1</f>
        <v>-0.22480806142034548</v>
      </c>
      <c r="J714" s="28">
        <f>A714/A707-1</f>
        <v>0.93654266958424515</v>
      </c>
    </row>
    <row r="715" spans="1:10">
      <c r="A715" s="3">
        <v>809</v>
      </c>
      <c r="B715" t="s">
        <v>762</v>
      </c>
      <c r="C715" t="s">
        <v>456</v>
      </c>
      <c r="E715" s="3">
        <f t="shared" si="33"/>
        <v>2</v>
      </c>
      <c r="F715" s="5">
        <v>44544.625</v>
      </c>
      <c r="G715" s="19" t="str">
        <f t="shared" si="32"/>
        <v/>
      </c>
    </row>
    <row r="716" spans="1:10">
      <c r="A716" s="3">
        <v>899</v>
      </c>
      <c r="B716" t="s">
        <v>763</v>
      </c>
      <c r="C716" t="s">
        <v>456</v>
      </c>
      <c r="E716" s="3">
        <f t="shared" si="33"/>
        <v>3</v>
      </c>
      <c r="F716" s="5">
        <v>44545.625</v>
      </c>
      <c r="G716" s="19" t="str">
        <f t="shared" si="32"/>
        <v/>
      </c>
    </row>
    <row r="717" spans="1:10">
      <c r="A717" s="3">
        <v>638</v>
      </c>
      <c r="B717" t="s">
        <v>764</v>
      </c>
      <c r="C717" t="s">
        <v>456</v>
      </c>
      <c r="E717" s="3">
        <f t="shared" si="33"/>
        <v>4</v>
      </c>
      <c r="F717" s="5">
        <v>44546.625</v>
      </c>
      <c r="G717" s="19" t="str">
        <f t="shared" si="32"/>
        <v/>
      </c>
    </row>
    <row r="718" spans="1:10">
      <c r="A718" s="3">
        <v>0</v>
      </c>
      <c r="B718" t="s">
        <v>765</v>
      </c>
      <c r="C718" t="s">
        <v>456</v>
      </c>
      <c r="E718" s="3">
        <f t="shared" si="33"/>
        <v>5</v>
      </c>
      <c r="F718" s="5">
        <v>44547.636157407411</v>
      </c>
      <c r="G718" s="19" t="str">
        <f t="shared" si="32"/>
        <v/>
      </c>
    </row>
    <row r="719" spans="1:10">
      <c r="E719" s="3">
        <f t="shared" si="33"/>
        <v>6</v>
      </c>
      <c r="G719" s="19" t="str">
        <f t="shared" si="32"/>
        <v/>
      </c>
    </row>
    <row r="720" spans="1:10">
      <c r="E720" s="3">
        <f t="shared" si="33"/>
        <v>6</v>
      </c>
      <c r="G720" s="19" t="str">
        <f t="shared" si="32"/>
        <v/>
      </c>
    </row>
    <row r="721" spans="5:10">
      <c r="E721" s="3">
        <f t="shared" si="33"/>
        <v>6</v>
      </c>
      <c r="G721" s="19" t="str">
        <f t="shared" si="32"/>
        <v/>
      </c>
      <c r="H721">
        <f>SUM(A721:A727)</f>
        <v>0</v>
      </c>
      <c r="I721" s="28">
        <f>H721/H714-1</f>
        <v>-1</v>
      </c>
      <c r="J721" s="28">
        <f>A721/A714-1</f>
        <v>-1</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350520</xdr:colOff>
                    <xdr:row>0</xdr:row>
                    <xdr:rowOff>45720</xdr:rowOff>
                  </from>
                  <to>
                    <xdr:col>1</xdr:col>
                    <xdr:colOff>1363980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A541" workbookViewId="0">
      <selection activeCell="A556" sqref="A556"/>
    </sheetView>
  </sheetViews>
  <sheetFormatPr defaultRowHeight="14.4"/>
  <cols>
    <col min="1" max="1" width="12.88671875" bestFit="1" customWidth="1"/>
    <col min="4" max="4" width="10.109375" bestFit="1" customWidth="1"/>
    <col min="5" max="5" width="8.88671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133</v>
      </c>
      <c r="E95" s="38">
        <f t="shared" si="1"/>
        <v>0.66834170854271358</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11</v>
      </c>
      <c r="D237">
        <f>HUS!A237</f>
        <v>7</v>
      </c>
      <c r="E237" s="38">
        <f t="shared" si="3"/>
        <v>0.63636363636363635</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36</v>
      </c>
      <c r="D248">
        <f>HUS!A248</f>
        <v>16</v>
      </c>
      <c r="E248" s="38">
        <f t="shared" si="3"/>
        <v>0.44444444444444442</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45</v>
      </c>
      <c r="D258">
        <f>HUS!A258</f>
        <v>15</v>
      </c>
      <c r="E258" s="38">
        <f t="shared" si="3"/>
        <v>0.33333333333333331</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58</v>
      </c>
      <c r="D261">
        <f>HUS!A261</f>
        <v>25</v>
      </c>
      <c r="E261" s="38">
        <f t="shared" si="4"/>
        <v>0.43103448275862066</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124</v>
      </c>
      <c r="D273">
        <f>HUS!A273</f>
        <v>84</v>
      </c>
      <c r="E273" s="38">
        <f t="shared" si="4"/>
        <v>0.67741935483870963</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167</v>
      </c>
      <c r="D275">
        <f>HUS!A275</f>
        <v>93</v>
      </c>
      <c r="E275" s="38">
        <f t="shared" si="4"/>
        <v>0.55688622754491013</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187</v>
      </c>
      <c r="D277">
        <f>HUS!A277</f>
        <v>79</v>
      </c>
      <c r="E277" s="38">
        <f t="shared" si="4"/>
        <v>0.42245989304812837</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301</v>
      </c>
      <c r="D281">
        <f>HUS!A281</f>
        <v>129</v>
      </c>
      <c r="E281" s="38">
        <f t="shared" si="4"/>
        <v>0.42857142857142855</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111</v>
      </c>
      <c r="D285">
        <f>HUS!A285</f>
        <v>53</v>
      </c>
      <c r="E285" s="38">
        <f t="shared" si="4"/>
        <v>0.47747747747747749</v>
      </c>
    </row>
    <row r="286" spans="1:5">
      <c r="A286" s="30">
        <f>Kaikki!F286</f>
        <v>44115.625</v>
      </c>
      <c r="B286" s="37" t="str">
        <f>Kaikki!G286</f>
        <v/>
      </c>
      <c r="C286">
        <f>Kaikki!A286</f>
        <v>132</v>
      </c>
      <c r="D286">
        <f>HUS!A286</f>
        <v>74</v>
      </c>
      <c r="E286" s="38">
        <f t="shared" si="4"/>
        <v>0.56060606060606055</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222</v>
      </c>
      <c r="D297">
        <f>HUS!A297</f>
        <v>111</v>
      </c>
      <c r="E297" s="38">
        <f t="shared" si="4"/>
        <v>0.5</v>
      </c>
    </row>
    <row r="298" spans="1:5">
      <c r="A298" s="30">
        <f>Kaikki!F298</f>
        <v>44127.625</v>
      </c>
      <c r="B298" s="37" t="str">
        <f>Kaikki!G298</f>
        <v/>
      </c>
      <c r="C298">
        <f>Kaikki!A298</f>
        <v>194</v>
      </c>
      <c r="D298">
        <f>HUS!A298</f>
        <v>104</v>
      </c>
      <c r="E298" s="38">
        <f t="shared" si="4"/>
        <v>0.53608247422680411</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234</v>
      </c>
      <c r="D302">
        <f>HUS!A302</f>
        <v>121</v>
      </c>
      <c r="E302" s="38">
        <f t="shared" si="4"/>
        <v>0.51709401709401714</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236</v>
      </c>
      <c r="D304">
        <f>HUS!A304</f>
        <v>100</v>
      </c>
      <c r="E304" s="38">
        <f t="shared" si="4"/>
        <v>0.42372881355932202</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287</v>
      </c>
      <c r="D308">
        <f>HUS!A308</f>
        <v>155</v>
      </c>
      <c r="E308" s="38">
        <f t="shared" si="4"/>
        <v>0.54006968641114983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214</v>
      </c>
      <c r="D310">
        <f>HUS!A310</f>
        <v>126</v>
      </c>
      <c r="E310" s="38">
        <f t="shared" si="4"/>
        <v>0.58878504672897192</v>
      </c>
    </row>
    <row r="311" spans="1:5">
      <c r="A311" s="30">
        <f>Kaikki!F311</f>
        <v>44140.625</v>
      </c>
      <c r="B311" s="37" t="str">
        <f>Kaikki!G311</f>
        <v/>
      </c>
      <c r="C311">
        <f>Kaikki!A311</f>
        <v>218</v>
      </c>
      <c r="D311">
        <f>HUS!A311</f>
        <v>138</v>
      </c>
      <c r="E311" s="38">
        <f t="shared" si="4"/>
        <v>0.6330275229357798</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295</v>
      </c>
      <c r="D317">
        <f>HUS!A317</f>
        <v>147</v>
      </c>
      <c r="E317" s="38">
        <f t="shared" si="4"/>
        <v>0.49830508474576274</v>
      </c>
    </row>
    <row r="318" spans="1:5">
      <c r="A318" s="30">
        <f>Kaikki!F318</f>
        <v>44147.625</v>
      </c>
      <c r="B318" s="37" t="str">
        <f>Kaikki!G318</f>
        <v/>
      </c>
      <c r="C318">
        <f>Kaikki!A318</f>
        <v>284</v>
      </c>
      <c r="D318">
        <f>HUS!A318</f>
        <v>194</v>
      </c>
      <c r="E318" s="38">
        <f t="shared" si="4"/>
        <v>0.68309859154929575</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180</v>
      </c>
      <c r="D321">
        <f>HUS!A321</f>
        <v>110</v>
      </c>
      <c r="E321" s="38">
        <f t="shared" si="4"/>
        <v>0.61111111111111116</v>
      </c>
    </row>
    <row r="322" spans="1:5">
      <c r="A322" s="30">
        <f>Kaikki!F322</f>
        <v>44151.625</v>
      </c>
      <c r="B322" s="37" t="str">
        <f>Kaikki!G322</f>
        <v>2020-W47</v>
      </c>
      <c r="C322">
        <f>Kaikki!A322</f>
        <v>393</v>
      </c>
      <c r="D322">
        <f>HUS!A322</f>
        <v>241</v>
      </c>
      <c r="E322" s="38">
        <f t="shared" si="4"/>
        <v>0.61323155216284986</v>
      </c>
    </row>
    <row r="323" spans="1:5">
      <c r="A323" s="30">
        <f>Kaikki!F323</f>
        <v>44152.625</v>
      </c>
      <c r="B323" s="37" t="str">
        <f>Kaikki!G323</f>
        <v/>
      </c>
      <c r="C323">
        <f>Kaikki!A323</f>
        <v>388</v>
      </c>
      <c r="D323">
        <f>HUS!A323</f>
        <v>258</v>
      </c>
      <c r="E323" s="38">
        <f t="shared" ref="E323:E386" si="5">D323/C323</f>
        <v>0.66494845360824739</v>
      </c>
    </row>
    <row r="324" spans="1:5">
      <c r="A324" s="30">
        <f>Kaikki!F324</f>
        <v>44153.625</v>
      </c>
      <c r="B324" s="37" t="str">
        <f>Kaikki!G324</f>
        <v/>
      </c>
      <c r="C324">
        <f>Kaikki!A324</f>
        <v>377</v>
      </c>
      <c r="D324">
        <f>HUS!A324</f>
        <v>241</v>
      </c>
      <c r="E324" s="38">
        <f t="shared" si="5"/>
        <v>0.63925729442970824</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270</v>
      </c>
      <c r="D327">
        <f>HUS!A327</f>
        <v>180</v>
      </c>
      <c r="E327" s="38">
        <f t="shared" si="5"/>
        <v>0.66666666666666663</v>
      </c>
    </row>
    <row r="328" spans="1:5">
      <c r="A328" s="30">
        <f>Kaikki!F328</f>
        <v>44157.625</v>
      </c>
      <c r="B328" s="37" t="str">
        <f>Kaikki!G328</f>
        <v/>
      </c>
      <c r="C328">
        <f>Kaikki!A328</f>
        <v>266</v>
      </c>
      <c r="D328">
        <f>HUS!A328</f>
        <v>161</v>
      </c>
      <c r="E328" s="38">
        <f t="shared" si="5"/>
        <v>0.60526315789473684</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509</v>
      </c>
      <c r="D332">
        <f>HUS!A332</f>
        <v>261</v>
      </c>
      <c r="E332" s="38">
        <f t="shared" si="5"/>
        <v>0.51277013752455791</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440</v>
      </c>
      <c r="D337">
        <f>HUS!A337</f>
        <v>221</v>
      </c>
      <c r="E337" s="38">
        <f t="shared" si="5"/>
        <v>0.50227272727272732</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478</v>
      </c>
      <c r="D339">
        <f>HUS!A339</f>
        <v>281</v>
      </c>
      <c r="E339" s="38">
        <f t="shared" si="5"/>
        <v>0.58786610878661083</v>
      </c>
    </row>
    <row r="340" spans="1:5">
      <c r="A340" s="30">
        <f>Kaikki!F340</f>
        <v>44169.625</v>
      </c>
      <c r="B340" s="37" t="str">
        <f>Kaikki!G340</f>
        <v/>
      </c>
      <c r="C340">
        <f>Kaikki!A340</f>
        <v>473</v>
      </c>
      <c r="D340">
        <f>HUS!A340</f>
        <v>224</v>
      </c>
      <c r="E340" s="38">
        <f t="shared" si="5"/>
        <v>0.47357293868921774</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157</v>
      </c>
      <c r="E342" s="38">
        <f t="shared" si="5"/>
        <v>0.55477031802120136</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253</v>
      </c>
      <c r="E344" s="38">
        <f t="shared" si="5"/>
        <v>0.52928870292887031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447</v>
      </c>
      <c r="D347">
        <f>HUS!A347</f>
        <v>236</v>
      </c>
      <c r="E347" s="38">
        <f t="shared" si="5"/>
        <v>0.52796420581655479</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360</v>
      </c>
      <c r="D351">
        <f>HUS!A351</f>
        <v>195</v>
      </c>
      <c r="E351" s="38">
        <f t="shared" si="5"/>
        <v>0.54166666666666663</v>
      </c>
    </row>
    <row r="352" spans="1:5">
      <c r="A352" s="30">
        <f>Kaikki!F352</f>
        <v>44181.625</v>
      </c>
      <c r="B352" s="37" t="str">
        <f>Kaikki!G352</f>
        <v/>
      </c>
      <c r="C352">
        <f>Kaikki!A352</f>
        <v>352</v>
      </c>
      <c r="D352">
        <f>HUS!A352</f>
        <v>191</v>
      </c>
      <c r="E352" s="38">
        <f t="shared" si="5"/>
        <v>0.54261363636363635</v>
      </c>
    </row>
    <row r="353" spans="1:5">
      <c r="A353" s="30">
        <f>Kaikki!F353</f>
        <v>44182.625</v>
      </c>
      <c r="B353" s="37" t="str">
        <f>Kaikki!G353</f>
        <v/>
      </c>
      <c r="C353">
        <f>Kaikki!A353</f>
        <v>324</v>
      </c>
      <c r="D353">
        <f>HUS!A353</f>
        <v>151</v>
      </c>
      <c r="E353" s="38">
        <f t="shared" si="5"/>
        <v>0.4660493827160494</v>
      </c>
    </row>
    <row r="354" spans="1:5">
      <c r="A354" s="30">
        <f>Kaikki!F354</f>
        <v>44183.625</v>
      </c>
      <c r="B354" s="37" t="str">
        <f>Kaikki!G354</f>
        <v/>
      </c>
      <c r="C354">
        <f>Kaikki!A354</f>
        <v>394</v>
      </c>
      <c r="D354">
        <f>HUS!A354</f>
        <v>181</v>
      </c>
      <c r="E354" s="38">
        <f t="shared" si="5"/>
        <v>0.45939086294416243</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95</v>
      </c>
      <c r="E361" s="38">
        <f t="shared" si="5"/>
        <v>0.60509554140127386</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308</v>
      </c>
      <c r="D365">
        <f>HUS!A365</f>
        <v>164</v>
      </c>
      <c r="E365" s="38">
        <f t="shared" si="5"/>
        <v>0.53246753246753242</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254</v>
      </c>
      <c r="D367">
        <f>HUS!A367</f>
        <v>136</v>
      </c>
      <c r="E367" s="38">
        <f t="shared" si="5"/>
        <v>0.53543307086614178</v>
      </c>
    </row>
    <row r="368" spans="1:5">
      <c r="A368" s="30">
        <f>Kaikki!F368</f>
        <v>44197.625</v>
      </c>
      <c r="B368" s="37" t="str">
        <f>Kaikki!G368</f>
        <v/>
      </c>
      <c r="C368">
        <f>Kaikki!A368</f>
        <v>128</v>
      </c>
      <c r="D368">
        <f>HUS!A368</f>
        <v>66</v>
      </c>
      <c r="E368" s="38">
        <f t="shared" si="5"/>
        <v>0.515625</v>
      </c>
    </row>
    <row r="369" spans="1:5">
      <c r="A369" s="30">
        <f>Kaikki!F369</f>
        <v>44198.625</v>
      </c>
      <c r="B369" s="37" t="str">
        <f>Kaikki!G369</f>
        <v/>
      </c>
      <c r="C369">
        <f>Kaikki!A369</f>
        <v>205</v>
      </c>
      <c r="D369">
        <f>HUS!A369</f>
        <v>117</v>
      </c>
      <c r="E369" s="38">
        <f t="shared" si="5"/>
        <v>0.57073170731707312</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396</v>
      </c>
      <c r="D371">
        <f>HUS!A371</f>
        <v>195</v>
      </c>
      <c r="E371" s="38">
        <f t="shared" si="5"/>
        <v>0.49242424242424243</v>
      </c>
    </row>
    <row r="372" spans="1:5">
      <c r="A372" s="30">
        <f>Kaikki!F372</f>
        <v>44201.625</v>
      </c>
      <c r="B372" s="37" t="str">
        <f>Kaikki!G372</f>
        <v/>
      </c>
      <c r="C372">
        <f>Kaikki!A372</f>
        <v>262</v>
      </c>
      <c r="D372">
        <f>HUS!A372</f>
        <v>153</v>
      </c>
      <c r="E372" s="38">
        <f t="shared" si="5"/>
        <v>0.58396946564885499</v>
      </c>
    </row>
    <row r="373" spans="1:5">
      <c r="A373" s="30">
        <f>Kaikki!F373</f>
        <v>44202.625</v>
      </c>
      <c r="B373" s="37" t="str">
        <f>Kaikki!G373</f>
        <v/>
      </c>
      <c r="C373">
        <f>Kaikki!A373</f>
        <v>208</v>
      </c>
      <c r="D373">
        <f>HUS!A373</f>
        <v>94</v>
      </c>
      <c r="E373" s="38">
        <f t="shared" si="5"/>
        <v>0.45192307692307693</v>
      </c>
    </row>
    <row r="374" spans="1:5">
      <c r="A374" s="30">
        <f>Kaikki!F374</f>
        <v>44203.625</v>
      </c>
      <c r="B374" s="37" t="str">
        <f>Kaikki!G374</f>
        <v/>
      </c>
      <c r="C374">
        <f>Kaikki!A374</f>
        <v>332</v>
      </c>
      <c r="D374">
        <f>HUS!A374</f>
        <v>161</v>
      </c>
      <c r="E374" s="38">
        <f t="shared" si="5"/>
        <v>0.48493975903614456</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193</v>
      </c>
      <c r="D376">
        <f>HUS!A376</f>
        <v>100</v>
      </c>
      <c r="E376" s="38">
        <f t="shared" si="5"/>
        <v>0.51813471502590669</v>
      </c>
    </row>
    <row r="377" spans="1:5">
      <c r="A377" s="30">
        <f>Kaikki!F377</f>
        <v>44206.625</v>
      </c>
      <c r="B377" s="37" t="str">
        <f>Kaikki!G377</f>
        <v/>
      </c>
      <c r="C377">
        <f>Kaikki!A377</f>
        <v>188</v>
      </c>
      <c r="D377">
        <f>HUS!A377</f>
        <v>119</v>
      </c>
      <c r="E377" s="38">
        <f t="shared" si="5"/>
        <v>0.63297872340425532</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119</v>
      </c>
      <c r="E380" s="38">
        <f t="shared" si="5"/>
        <v>0.45945945945945948</v>
      </c>
    </row>
    <row r="381" spans="1:5">
      <c r="A381" s="30">
        <f>Kaikki!F381</f>
        <v>44210.625</v>
      </c>
      <c r="B381" s="37" t="str">
        <f>Kaikki!G381</f>
        <v/>
      </c>
      <c r="C381">
        <f>Kaikki!A381</f>
        <v>248</v>
      </c>
      <c r="D381">
        <f>HUS!A381</f>
        <v>122</v>
      </c>
      <c r="E381" s="38">
        <f t="shared" si="5"/>
        <v>0.49193548387096775</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198</v>
      </c>
      <c r="D384">
        <f>HUS!A384</f>
        <v>97</v>
      </c>
      <c r="E384" s="38">
        <f t="shared" si="5"/>
        <v>0.48989898989898989</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189</v>
      </c>
      <c r="E386" s="38">
        <f t="shared" si="5"/>
        <v>0.55263157894736847</v>
      </c>
    </row>
    <row r="387" spans="1:5">
      <c r="A387" s="30">
        <f>Kaikki!F387</f>
        <v>44216.625</v>
      </c>
      <c r="B387" s="37" t="str">
        <f>Kaikki!G387</f>
        <v/>
      </c>
      <c r="C387">
        <f>Kaikki!A387</f>
        <v>406</v>
      </c>
      <c r="D387">
        <f>HUS!A387</f>
        <v>211</v>
      </c>
      <c r="E387" s="38">
        <f t="shared" ref="E387:E450" si="6">D387/C387</f>
        <v>0.51970443349753692</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604</v>
      </c>
      <c r="D392">
        <f>HUS!A392</f>
        <v>254</v>
      </c>
      <c r="E392" s="38">
        <f t="shared" si="6"/>
        <v>0.42052980132450329</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379</v>
      </c>
      <c r="D396">
        <f>HUS!A396</f>
        <v>191</v>
      </c>
      <c r="E396" s="38">
        <f t="shared" si="6"/>
        <v>0.50395778364116095</v>
      </c>
    </row>
    <row r="397" spans="1:5">
      <c r="A397" s="30">
        <f>Kaikki!F397</f>
        <v>44226.625</v>
      </c>
      <c r="B397" s="37" t="str">
        <f>Kaikki!G397</f>
        <v/>
      </c>
      <c r="C397">
        <f>Kaikki!A397</f>
        <v>233</v>
      </c>
      <c r="D397">
        <f>HUS!A397</f>
        <v>134</v>
      </c>
      <c r="E397" s="38">
        <f t="shared" si="6"/>
        <v>0.57510729613733902</v>
      </c>
    </row>
    <row r="398" spans="1:5">
      <c r="A398" s="30">
        <f>Kaikki!F398</f>
        <v>44227.625</v>
      </c>
      <c r="B398" s="37" t="str">
        <f>Kaikki!G398</f>
        <v/>
      </c>
      <c r="C398">
        <f>Kaikki!A398</f>
        <v>274</v>
      </c>
      <c r="D398">
        <f>HUS!A398</f>
        <v>167</v>
      </c>
      <c r="E398" s="38">
        <f t="shared" si="6"/>
        <v>0.60948905109489049</v>
      </c>
    </row>
    <row r="399" spans="1:5">
      <c r="A399" s="30">
        <f>Kaikki!F399</f>
        <v>44228.625</v>
      </c>
      <c r="B399" s="37" t="str">
        <f>Kaikki!G399</f>
        <v>2021-W05</v>
      </c>
      <c r="C399">
        <f>Kaikki!A399</f>
        <v>534</v>
      </c>
      <c r="D399">
        <f>HUS!A399</f>
        <v>296</v>
      </c>
      <c r="E399" s="38">
        <f t="shared" si="6"/>
        <v>0.55430711610486894</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372</v>
      </c>
      <c r="D402">
        <f>HUS!A402</f>
        <v>224</v>
      </c>
      <c r="E402" s="38">
        <f t="shared" si="6"/>
        <v>0.60215053763440862</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237</v>
      </c>
      <c r="D404">
        <f>HUS!A404</f>
        <v>152</v>
      </c>
      <c r="E404" s="38">
        <f t="shared" si="6"/>
        <v>0.64135021097046419</v>
      </c>
    </row>
    <row r="405" spans="1:5">
      <c r="A405" s="30">
        <f>Kaikki!F405</f>
        <v>44234.625</v>
      </c>
      <c r="B405" s="37" t="str">
        <f>Kaikki!G405</f>
        <v/>
      </c>
      <c r="C405">
        <f>Kaikki!A405</f>
        <v>264</v>
      </c>
      <c r="D405">
        <f>HUS!A405</f>
        <v>172</v>
      </c>
      <c r="E405" s="38">
        <f t="shared" si="6"/>
        <v>0.65151515151515149</v>
      </c>
    </row>
    <row r="406" spans="1:5">
      <c r="A406" s="30">
        <f>Kaikki!F406</f>
        <v>44235.625</v>
      </c>
      <c r="B406" s="37" t="str">
        <f>Kaikki!G406</f>
        <v>2021-W06</v>
      </c>
      <c r="C406">
        <f>Kaikki!A406</f>
        <v>461</v>
      </c>
      <c r="D406">
        <f>HUS!A406</f>
        <v>294</v>
      </c>
      <c r="E406" s="38">
        <f t="shared" si="6"/>
        <v>0.63774403470715835</v>
      </c>
    </row>
    <row r="407" spans="1:5">
      <c r="A407" s="30">
        <f>Kaikki!F407</f>
        <v>44236.625</v>
      </c>
      <c r="B407" s="37" t="str">
        <f>Kaikki!G407</f>
        <v/>
      </c>
      <c r="C407">
        <f>Kaikki!A407</f>
        <v>373</v>
      </c>
      <c r="D407">
        <f>HUS!A407</f>
        <v>241</v>
      </c>
      <c r="E407" s="38">
        <f t="shared" si="6"/>
        <v>0.64611260053619302</v>
      </c>
    </row>
    <row r="408" spans="1:5">
      <c r="A408" s="30">
        <f>Kaikki!F408</f>
        <v>44237.625</v>
      </c>
      <c r="B408" s="37" t="str">
        <f>Kaikki!G408</f>
        <v/>
      </c>
      <c r="C408">
        <f>Kaikki!A408</f>
        <v>383</v>
      </c>
      <c r="D408">
        <f>HUS!A408</f>
        <v>229</v>
      </c>
      <c r="E408" s="38">
        <f t="shared" si="6"/>
        <v>0.59791122715404699</v>
      </c>
    </row>
    <row r="409" spans="1:5">
      <c r="A409" s="30">
        <f>Kaikki!F409</f>
        <v>44238.625</v>
      </c>
      <c r="B409" s="37" t="str">
        <f>Kaikki!G409</f>
        <v/>
      </c>
      <c r="C409">
        <f>Kaikki!A409</f>
        <v>361</v>
      </c>
      <c r="D409">
        <f>HUS!A409</f>
        <v>236</v>
      </c>
      <c r="E409" s="38">
        <f t="shared" si="6"/>
        <v>0.65373961218836563</v>
      </c>
    </row>
    <row r="410" spans="1:5">
      <c r="A410" s="30">
        <f>Kaikki!F410</f>
        <v>44239.625</v>
      </c>
      <c r="B410" s="37" t="str">
        <f>Kaikki!G410</f>
        <v/>
      </c>
      <c r="C410">
        <f>Kaikki!A410</f>
        <v>418</v>
      </c>
      <c r="D410">
        <f>HUS!A410</f>
        <v>260</v>
      </c>
      <c r="E410" s="38">
        <f t="shared" si="6"/>
        <v>0.62200956937799046</v>
      </c>
    </row>
    <row r="411" spans="1:5">
      <c r="A411" s="30">
        <f>Kaikki!F411</f>
        <v>44240.625</v>
      </c>
      <c r="B411" s="37" t="str">
        <f>Kaikki!G411</f>
        <v/>
      </c>
      <c r="C411">
        <f>Kaikki!A411</f>
        <v>279</v>
      </c>
      <c r="D411">
        <f>HUS!A411</f>
        <v>192</v>
      </c>
      <c r="E411" s="38">
        <f t="shared" si="6"/>
        <v>0.68817204301075274</v>
      </c>
    </row>
    <row r="412" spans="1:5">
      <c r="A412" s="30">
        <f>Kaikki!F412</f>
        <v>44241.625</v>
      </c>
      <c r="B412" s="37" t="str">
        <f>Kaikki!G412</f>
        <v/>
      </c>
      <c r="C412">
        <f>Kaikki!A412</f>
        <v>281</v>
      </c>
      <c r="D412">
        <f>HUS!A412</f>
        <v>181</v>
      </c>
      <c r="E412" s="38">
        <f t="shared" si="6"/>
        <v>0.64412811387900359</v>
      </c>
    </row>
    <row r="413" spans="1:5">
      <c r="A413" s="30">
        <f>Kaikki!F413</f>
        <v>44242.625</v>
      </c>
      <c r="B413" s="37" t="str">
        <f>Kaikki!G413</f>
        <v>2021-W07</v>
      </c>
      <c r="C413">
        <f>Kaikki!A413</f>
        <v>617</v>
      </c>
      <c r="D413">
        <f>HUS!A413</f>
        <v>362</v>
      </c>
      <c r="E413" s="38">
        <f t="shared" si="6"/>
        <v>0.58670988654781198</v>
      </c>
    </row>
    <row r="414" spans="1:5">
      <c r="A414" s="30">
        <f>Kaikki!F414</f>
        <v>44243.625</v>
      </c>
      <c r="B414" s="37" t="str">
        <f>Kaikki!G414</f>
        <v/>
      </c>
      <c r="C414">
        <f>Kaikki!A414</f>
        <v>514</v>
      </c>
      <c r="D414">
        <f>HUS!A414</f>
        <v>328</v>
      </c>
      <c r="E414" s="38">
        <f t="shared" si="6"/>
        <v>0.63813229571984431</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613</v>
      </c>
      <c r="D416">
        <f>HUS!A416</f>
        <v>327</v>
      </c>
      <c r="E416" s="38">
        <f t="shared" si="6"/>
        <v>0.53344208809135396</v>
      </c>
    </row>
    <row r="417" spans="1:5">
      <c r="A417" s="30">
        <f>Kaikki!F417</f>
        <v>44246.625</v>
      </c>
      <c r="B417" s="37" t="str">
        <f>Kaikki!G417</f>
        <v/>
      </c>
      <c r="C417">
        <f>Kaikki!A417</f>
        <v>573</v>
      </c>
      <c r="D417">
        <f>HUS!A417</f>
        <v>306</v>
      </c>
      <c r="E417" s="38">
        <f t="shared" si="6"/>
        <v>0.53403141361256545</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355</v>
      </c>
      <c r="D419">
        <f>HUS!A419</f>
        <v>218</v>
      </c>
      <c r="E419" s="38">
        <f t="shared" si="6"/>
        <v>0.61408450704225348</v>
      </c>
    </row>
    <row r="420" spans="1:5">
      <c r="A420" s="30">
        <f>Kaikki!F420</f>
        <v>44249.625</v>
      </c>
      <c r="B420" s="37" t="str">
        <f>Kaikki!G420</f>
        <v>2021-W08</v>
      </c>
      <c r="C420">
        <f>Kaikki!A420</f>
        <v>624</v>
      </c>
      <c r="D420">
        <f>HUS!A420</f>
        <v>387</v>
      </c>
      <c r="E420" s="38">
        <f t="shared" si="6"/>
        <v>0.62019230769230771</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599</v>
      </c>
      <c r="D422">
        <f>HUS!A422</f>
        <v>417</v>
      </c>
      <c r="E422" s="38">
        <f t="shared" si="6"/>
        <v>0.69616026711185308</v>
      </c>
    </row>
    <row r="423" spans="1:5">
      <c r="A423" s="30">
        <f>Kaikki!F423</f>
        <v>44252.625</v>
      </c>
      <c r="B423" s="37" t="str">
        <f>Kaikki!G423</f>
        <v/>
      </c>
      <c r="C423">
        <f>Kaikki!A423</f>
        <v>629</v>
      </c>
      <c r="D423">
        <f>HUS!A423</f>
        <v>361</v>
      </c>
      <c r="E423" s="38">
        <f t="shared" si="6"/>
        <v>0.57392686804451509</v>
      </c>
    </row>
    <row r="424" spans="1:5">
      <c r="A424" s="30">
        <f>Kaikki!F424</f>
        <v>44253.625</v>
      </c>
      <c r="B424" s="37" t="str">
        <f>Kaikki!G424</f>
        <v/>
      </c>
      <c r="C424">
        <f>Kaikki!A424</f>
        <v>688</v>
      </c>
      <c r="D424">
        <f>HUS!A424</f>
        <v>428</v>
      </c>
      <c r="E424" s="38">
        <f t="shared" si="6"/>
        <v>0.62209302325581395</v>
      </c>
    </row>
    <row r="425" spans="1:5">
      <c r="A425" s="30">
        <f>Kaikki!F425</f>
        <v>44254.625</v>
      </c>
      <c r="B425" s="37" t="str">
        <f>Kaikki!G425</f>
        <v/>
      </c>
      <c r="C425">
        <f>Kaikki!A425</f>
        <v>405</v>
      </c>
      <c r="D425">
        <f>HUS!A425</f>
        <v>268</v>
      </c>
      <c r="E425" s="38">
        <f t="shared" si="6"/>
        <v>0.66172839506172842</v>
      </c>
    </row>
    <row r="426" spans="1:5">
      <c r="A426" s="30">
        <f>Kaikki!F426</f>
        <v>44255.625</v>
      </c>
      <c r="B426" s="37" t="str">
        <f>Kaikki!G426</f>
        <v/>
      </c>
      <c r="C426">
        <f>Kaikki!A426</f>
        <v>422</v>
      </c>
      <c r="D426">
        <f>HUS!A426</f>
        <v>267</v>
      </c>
      <c r="E426" s="38">
        <f t="shared" si="6"/>
        <v>0.63270142180094791</v>
      </c>
    </row>
    <row r="427" spans="1:5">
      <c r="A427" s="30">
        <f>Kaikki!F427</f>
        <v>44256.625</v>
      </c>
      <c r="B427" s="37" t="str">
        <f>Kaikki!G427</f>
        <v>2021-W09</v>
      </c>
      <c r="C427">
        <f>Kaikki!A427</f>
        <v>873</v>
      </c>
      <c r="D427">
        <f>HUS!A427</f>
        <v>480</v>
      </c>
      <c r="E427" s="38">
        <f t="shared" si="6"/>
        <v>0.54982817869415812</v>
      </c>
    </row>
    <row r="428" spans="1:5">
      <c r="A428" s="30">
        <f>Kaikki!F428</f>
        <v>44257.625</v>
      </c>
      <c r="B428" s="37" t="str">
        <f>Kaikki!G428</f>
        <v/>
      </c>
      <c r="C428">
        <f>Kaikki!A428</f>
        <v>758</v>
      </c>
      <c r="D428">
        <f>HUS!A428</f>
        <v>492</v>
      </c>
      <c r="E428" s="38">
        <f t="shared" si="6"/>
        <v>0.64907651715039583</v>
      </c>
    </row>
    <row r="429" spans="1:5">
      <c r="A429" s="30">
        <f>Kaikki!F429</f>
        <v>44258.625</v>
      </c>
      <c r="B429" s="37" t="str">
        <f>Kaikki!G429</f>
        <v/>
      </c>
      <c r="C429">
        <f>Kaikki!A429</f>
        <v>733</v>
      </c>
      <c r="D429">
        <f>HUS!A429</f>
        <v>476</v>
      </c>
      <c r="E429" s="38">
        <f t="shared" si="6"/>
        <v>0.64938608458390179</v>
      </c>
    </row>
    <row r="430" spans="1:5">
      <c r="A430" s="30">
        <f>Kaikki!F430</f>
        <v>44259.625</v>
      </c>
      <c r="B430" s="37" t="str">
        <f>Kaikki!G430</f>
        <v/>
      </c>
      <c r="C430">
        <f>Kaikki!A430</f>
        <v>639</v>
      </c>
      <c r="D430">
        <f>HUS!A430</f>
        <v>389</v>
      </c>
      <c r="E430" s="38">
        <f t="shared" si="6"/>
        <v>0.60876369327073554</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433</v>
      </c>
      <c r="D432">
        <f>HUS!A432</f>
        <v>276</v>
      </c>
      <c r="E432" s="38">
        <f t="shared" si="6"/>
        <v>0.6374133949191686</v>
      </c>
    </row>
    <row r="433" spans="1:5">
      <c r="A433" s="30">
        <f>Kaikki!F433</f>
        <v>44262.625</v>
      </c>
      <c r="B433" s="37" t="str">
        <f>Kaikki!G433</f>
        <v/>
      </c>
      <c r="C433">
        <f>Kaikki!A433</f>
        <v>396</v>
      </c>
      <c r="D433">
        <f>HUS!A433</f>
        <v>257</v>
      </c>
      <c r="E433" s="38">
        <f t="shared" si="6"/>
        <v>0.64898989898989901</v>
      </c>
    </row>
    <row r="434" spans="1:5">
      <c r="A434" s="30">
        <f>Kaikki!F434</f>
        <v>44263.625</v>
      </c>
      <c r="B434" s="37" t="str">
        <f>Kaikki!G434</f>
        <v>2021-W10</v>
      </c>
      <c r="C434">
        <f>Kaikki!A434</f>
        <v>834</v>
      </c>
      <c r="D434">
        <f>HUS!A434</f>
        <v>500</v>
      </c>
      <c r="E434" s="38">
        <f t="shared" si="6"/>
        <v>0.59952038369304561</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822</v>
      </c>
      <c r="D436">
        <f>HUS!A436</f>
        <v>504</v>
      </c>
      <c r="E436" s="38">
        <f t="shared" si="6"/>
        <v>0.61313868613138689</v>
      </c>
    </row>
    <row r="437" spans="1:5">
      <c r="A437" s="30">
        <f>Kaikki!F437</f>
        <v>44266.625</v>
      </c>
      <c r="B437" s="37" t="str">
        <f>Kaikki!G437</f>
        <v/>
      </c>
      <c r="C437">
        <f>Kaikki!A437</f>
        <v>780</v>
      </c>
      <c r="D437">
        <f>HUS!A437</f>
        <v>477</v>
      </c>
      <c r="E437" s="38">
        <f t="shared" si="6"/>
        <v>0.61153846153846159</v>
      </c>
    </row>
    <row r="438" spans="1:5">
      <c r="A438" s="30">
        <f>Kaikki!F438</f>
        <v>44267.625</v>
      </c>
      <c r="B438" s="37" t="str">
        <f>Kaikki!G438</f>
        <v/>
      </c>
      <c r="C438">
        <f>Kaikki!A438</f>
        <v>808</v>
      </c>
      <c r="D438">
        <f>HUS!A438</f>
        <v>519</v>
      </c>
      <c r="E438" s="38">
        <f t="shared" si="6"/>
        <v>0.64232673267326734</v>
      </c>
    </row>
    <row r="439" spans="1:5">
      <c r="A439" s="30">
        <f>Kaikki!F439</f>
        <v>44268.625</v>
      </c>
      <c r="B439" s="37" t="str">
        <f>Kaikki!G439</f>
        <v/>
      </c>
      <c r="C439">
        <f>Kaikki!A439</f>
        <v>495</v>
      </c>
      <c r="D439">
        <f>HUS!A439</f>
        <v>329</v>
      </c>
      <c r="E439" s="38">
        <f t="shared" si="6"/>
        <v>0.6646464646464646</v>
      </c>
    </row>
    <row r="440" spans="1:5">
      <c r="A440" s="30">
        <f>Kaikki!F440</f>
        <v>44269.625</v>
      </c>
      <c r="B440" s="37" t="str">
        <f>Kaikki!G440</f>
        <v/>
      </c>
      <c r="C440">
        <f>Kaikki!A440</f>
        <v>435</v>
      </c>
      <c r="D440">
        <f>HUS!A440</f>
        <v>262</v>
      </c>
      <c r="E440" s="38">
        <f t="shared" si="6"/>
        <v>0.60229885057471266</v>
      </c>
    </row>
    <row r="441" spans="1:5">
      <c r="A441" s="30">
        <f>Kaikki!F441</f>
        <v>44270.625</v>
      </c>
      <c r="B441" s="37" t="str">
        <f>Kaikki!G441</f>
        <v>2021-W11</v>
      </c>
      <c r="C441">
        <f>Kaikki!A441</f>
        <v>893</v>
      </c>
      <c r="D441">
        <f>HUS!A441</f>
        <v>508</v>
      </c>
      <c r="E441" s="38">
        <f t="shared" si="6"/>
        <v>0.56886898096304594</v>
      </c>
    </row>
    <row r="442" spans="1:5">
      <c r="A442" s="30">
        <f>Kaikki!F442</f>
        <v>44271.625</v>
      </c>
      <c r="B442" s="37" t="str">
        <f>Kaikki!G442</f>
        <v/>
      </c>
      <c r="C442">
        <f>Kaikki!A442</f>
        <v>767</v>
      </c>
      <c r="D442">
        <f>HUS!A442</f>
        <v>453</v>
      </c>
      <c r="E442" s="38">
        <f t="shared" si="6"/>
        <v>0.59061277705345505</v>
      </c>
    </row>
    <row r="443" spans="1:5">
      <c r="A443" s="30">
        <f>Kaikki!F443</f>
        <v>44272.625</v>
      </c>
      <c r="B443" s="37" t="str">
        <f>Kaikki!G443</f>
        <v/>
      </c>
      <c r="C443">
        <f>Kaikki!A443</f>
        <v>744</v>
      </c>
      <c r="D443">
        <f>HUS!A443</f>
        <v>417</v>
      </c>
      <c r="E443" s="38">
        <f t="shared" si="6"/>
        <v>0.56048387096774188</v>
      </c>
    </row>
    <row r="444" spans="1:5">
      <c r="A444" s="30">
        <f>Kaikki!F444</f>
        <v>44273.625</v>
      </c>
      <c r="B444" s="37" t="str">
        <f>Kaikki!G444</f>
        <v/>
      </c>
      <c r="C444">
        <f>Kaikki!A444</f>
        <v>739</v>
      </c>
      <c r="D444">
        <f>HUS!A444</f>
        <v>455</v>
      </c>
      <c r="E444" s="38">
        <f t="shared" si="6"/>
        <v>0.61569688768606223</v>
      </c>
    </row>
    <row r="445" spans="1:5">
      <c r="A445" s="30">
        <f>Kaikki!F445</f>
        <v>44274.625</v>
      </c>
      <c r="B445" s="37" t="str">
        <f>Kaikki!G445</f>
        <v/>
      </c>
      <c r="C445">
        <f>Kaikki!A445</f>
        <v>745</v>
      </c>
      <c r="D445">
        <f>HUS!A445</f>
        <v>444</v>
      </c>
      <c r="E445" s="38">
        <f t="shared" si="6"/>
        <v>0.59597315436241616</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420</v>
      </c>
      <c r="D447">
        <f>HUS!A447</f>
        <v>288</v>
      </c>
      <c r="E447" s="38">
        <f t="shared" si="6"/>
        <v>0.68571428571428572</v>
      </c>
    </row>
    <row r="448" spans="1:5">
      <c r="A448" s="30">
        <f>Kaikki!F448</f>
        <v>44277.625</v>
      </c>
      <c r="B448" s="37" t="str">
        <f>Kaikki!G448</f>
        <v>2021-W12</v>
      </c>
      <c r="C448">
        <f>Kaikki!A448</f>
        <v>768</v>
      </c>
      <c r="D448">
        <f>HUS!A448</f>
        <v>450</v>
      </c>
      <c r="E448" s="38">
        <f t="shared" si="6"/>
        <v>0.5859375</v>
      </c>
    </row>
    <row r="449" spans="1:5">
      <c r="A449" s="30">
        <f>Kaikki!F449</f>
        <v>44278.625</v>
      </c>
      <c r="B449" s="37" t="str">
        <f>Kaikki!G449</f>
        <v/>
      </c>
      <c r="C449">
        <f>Kaikki!A449</f>
        <v>704</v>
      </c>
      <c r="D449">
        <f>HUS!A449</f>
        <v>452</v>
      </c>
      <c r="E449" s="38">
        <f t="shared" si="6"/>
        <v>0.64204545454545459</v>
      </c>
    </row>
    <row r="450" spans="1:5">
      <c r="A450" s="30">
        <f>Kaikki!F450</f>
        <v>44279.625</v>
      </c>
      <c r="B450" s="37" t="str">
        <f>Kaikki!G450</f>
        <v/>
      </c>
      <c r="C450">
        <f>Kaikki!A450</f>
        <v>695</v>
      </c>
      <c r="D450">
        <f>HUS!A450</f>
        <v>394</v>
      </c>
      <c r="E450" s="38">
        <f t="shared" si="6"/>
        <v>0.56690647482014389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352</v>
      </c>
      <c r="D453">
        <f>HUS!A453</f>
        <v>199</v>
      </c>
      <c r="E453" s="38">
        <f t="shared" si="7"/>
        <v>0.56534090909090906</v>
      </c>
    </row>
    <row r="454" spans="1:5">
      <c r="A454" s="30">
        <f>Kaikki!F454</f>
        <v>44283.625</v>
      </c>
      <c r="B454" s="37" t="str">
        <f>Kaikki!G454</f>
        <v/>
      </c>
      <c r="C454">
        <f>Kaikki!A454</f>
        <v>376</v>
      </c>
      <c r="D454">
        <f>HUS!A454</f>
        <v>248</v>
      </c>
      <c r="E454" s="38">
        <f t="shared" si="7"/>
        <v>0.65957446808510634</v>
      </c>
    </row>
    <row r="455" spans="1:5">
      <c r="A455" s="30">
        <f>Kaikki!F455</f>
        <v>44284.625</v>
      </c>
      <c r="B455" s="37" t="str">
        <f>Kaikki!G455</f>
        <v>2021-W13</v>
      </c>
      <c r="C455">
        <f>Kaikki!A455</f>
        <v>655</v>
      </c>
      <c r="D455">
        <f>HUS!A455</f>
        <v>378</v>
      </c>
      <c r="E455" s="38">
        <f t="shared" si="7"/>
        <v>0.57709923664122142</v>
      </c>
    </row>
    <row r="456" spans="1:5">
      <c r="A456" s="30">
        <f>Kaikki!F456</f>
        <v>44285.625</v>
      </c>
      <c r="B456" s="37" t="str">
        <f>Kaikki!G456</f>
        <v/>
      </c>
      <c r="C456">
        <f>Kaikki!A456</f>
        <v>572</v>
      </c>
      <c r="D456">
        <f>HUS!A456</f>
        <v>323</v>
      </c>
      <c r="E456" s="38">
        <f t="shared" si="7"/>
        <v>0.56468531468531469</v>
      </c>
    </row>
    <row r="457" spans="1:5">
      <c r="A457" s="30">
        <f>Kaikki!F457</f>
        <v>44286.625</v>
      </c>
      <c r="B457" s="37" t="str">
        <f>Kaikki!G457</f>
        <v/>
      </c>
      <c r="C457">
        <f>Kaikki!A457</f>
        <v>550</v>
      </c>
      <c r="D457">
        <f>HUS!A457</f>
        <v>333</v>
      </c>
      <c r="E457" s="38">
        <f t="shared" si="7"/>
        <v>0.60545454545454547</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223</v>
      </c>
      <c r="E459" s="38">
        <f t="shared" si="7"/>
        <v>0.61772853185595566</v>
      </c>
    </row>
    <row r="460" spans="1:5">
      <c r="A460" s="30">
        <f>Kaikki!F460</f>
        <v>44289.625</v>
      </c>
      <c r="B460" s="37" t="str">
        <f>Kaikki!G460</f>
        <v/>
      </c>
      <c r="C460">
        <f>Kaikki!A460</f>
        <v>324</v>
      </c>
      <c r="D460">
        <f>HUS!A460</f>
        <v>191</v>
      </c>
      <c r="E460" s="38">
        <f t="shared" si="7"/>
        <v>0.58950617283950613</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360</v>
      </c>
      <c r="D462">
        <f>HUS!A462</f>
        <v>233</v>
      </c>
      <c r="E462" s="38">
        <f t="shared" si="7"/>
        <v>0.64722222222222225</v>
      </c>
    </row>
    <row r="463" spans="1:5">
      <c r="A463" s="30">
        <f>Kaikki!F463</f>
        <v>44292.625</v>
      </c>
      <c r="B463" s="37" t="str">
        <f>Kaikki!G463</f>
        <v/>
      </c>
      <c r="C463">
        <f>Kaikki!A463</f>
        <v>544</v>
      </c>
      <c r="D463">
        <f>HUS!A463</f>
        <v>306</v>
      </c>
      <c r="E463" s="38">
        <f t="shared" si="7"/>
        <v>0.5625</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407</v>
      </c>
      <c r="D465">
        <f>HUS!A465</f>
        <v>211</v>
      </c>
      <c r="E465" s="38">
        <f t="shared" si="7"/>
        <v>0.51842751842751844</v>
      </c>
    </row>
    <row r="466" spans="1:5">
      <c r="A466" s="30">
        <f>Kaikki!F466</f>
        <v>44295.625</v>
      </c>
      <c r="B466" s="37" t="str">
        <f>Kaikki!G466</f>
        <v/>
      </c>
      <c r="C466">
        <f>Kaikki!A466</f>
        <v>352</v>
      </c>
      <c r="D466">
        <f>HUS!A466</f>
        <v>175</v>
      </c>
      <c r="E466" s="38">
        <f t="shared" si="7"/>
        <v>0.49715909090909088</v>
      </c>
    </row>
    <row r="467" spans="1:5">
      <c r="A467" s="30">
        <f>Kaikki!F467</f>
        <v>44296.625</v>
      </c>
      <c r="B467" s="37" t="str">
        <f>Kaikki!G467</f>
        <v/>
      </c>
      <c r="C467">
        <f>Kaikki!A467</f>
        <v>227</v>
      </c>
      <c r="D467">
        <f>HUS!A467</f>
        <v>138</v>
      </c>
      <c r="E467" s="38">
        <f t="shared" si="7"/>
        <v>0.60792951541850215</v>
      </c>
    </row>
    <row r="468" spans="1:5">
      <c r="A468" s="30">
        <f>Kaikki!F468</f>
        <v>44297.625</v>
      </c>
      <c r="B468" s="37" t="str">
        <f>Kaikki!G468</f>
        <v/>
      </c>
      <c r="C468">
        <f>Kaikki!A468</f>
        <v>240</v>
      </c>
      <c r="D468">
        <f>HUS!A468</f>
        <v>142</v>
      </c>
      <c r="E468" s="38">
        <f t="shared" si="7"/>
        <v>0.59166666666666667</v>
      </c>
    </row>
    <row r="469" spans="1:5">
      <c r="A469" s="30">
        <f>Kaikki!F469</f>
        <v>44298.625</v>
      </c>
      <c r="B469" s="37" t="str">
        <f>Kaikki!G469</f>
        <v>2021-W15</v>
      </c>
      <c r="C469">
        <f>Kaikki!A469</f>
        <v>399</v>
      </c>
      <c r="D469">
        <f>HUS!A469</f>
        <v>215</v>
      </c>
      <c r="E469" s="38">
        <f t="shared" si="7"/>
        <v>0.53884711779448624</v>
      </c>
    </row>
    <row r="470" spans="1:5">
      <c r="A470" s="30">
        <f>Kaikki!F470</f>
        <v>44299.625</v>
      </c>
      <c r="B470" s="37" t="str">
        <f>Kaikki!G470</f>
        <v/>
      </c>
      <c r="C470">
        <f>Kaikki!A470</f>
        <v>323</v>
      </c>
      <c r="D470">
        <f>HUS!A470</f>
        <v>155</v>
      </c>
      <c r="E470" s="38">
        <f t="shared" si="7"/>
        <v>0.47987616099071206</v>
      </c>
    </row>
    <row r="471" spans="1:5">
      <c r="A471" s="30">
        <f>Kaikki!F471</f>
        <v>44300.625</v>
      </c>
      <c r="B471" s="37" t="str">
        <f>Kaikki!G471</f>
        <v/>
      </c>
      <c r="C471">
        <f>Kaikki!A471</f>
        <v>344</v>
      </c>
      <c r="D471">
        <f>HUS!A471</f>
        <v>169</v>
      </c>
      <c r="E471" s="38">
        <f t="shared" si="7"/>
        <v>0.49127906976744184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265</v>
      </c>
      <c r="D473">
        <f>HUS!A473</f>
        <v>130</v>
      </c>
      <c r="E473" s="38">
        <f t="shared" si="7"/>
        <v>0.49056603773584906</v>
      </c>
    </row>
    <row r="474" spans="1:5">
      <c r="A474" s="30">
        <f>Kaikki!F474</f>
        <v>44303.625</v>
      </c>
      <c r="B474" s="37" t="str">
        <f>Kaikki!G474</f>
        <v/>
      </c>
      <c r="C474">
        <f>Kaikki!A474</f>
        <v>172</v>
      </c>
      <c r="D474">
        <f>HUS!A474</f>
        <v>124</v>
      </c>
      <c r="E474" s="38">
        <f t="shared" si="7"/>
        <v>0.72093023255813948</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286</v>
      </c>
      <c r="D476">
        <f>HUS!A476</f>
        <v>136</v>
      </c>
      <c r="E476" s="38">
        <f t="shared" si="7"/>
        <v>0.47552447552447552</v>
      </c>
    </row>
    <row r="477" spans="1:5">
      <c r="A477" s="30">
        <f>Kaikki!F477</f>
        <v>44306.625</v>
      </c>
      <c r="B477" s="37" t="str">
        <f>Kaikki!G477</f>
        <v/>
      </c>
      <c r="C477">
        <f>Kaikki!A477</f>
        <v>286</v>
      </c>
      <c r="D477">
        <f>HUS!A477</f>
        <v>145</v>
      </c>
      <c r="E477" s="38">
        <f t="shared" si="7"/>
        <v>0.50699300699300698</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257</v>
      </c>
      <c r="D479">
        <f>HUS!A479</f>
        <v>139</v>
      </c>
      <c r="E479" s="38">
        <f t="shared" si="7"/>
        <v>0.54085603112840464</v>
      </c>
    </row>
    <row r="480" spans="1:5">
      <c r="A480" s="30">
        <f>Kaikki!F480</f>
        <v>44309.625</v>
      </c>
      <c r="B480" s="37" t="str">
        <f>Kaikki!G480</f>
        <v/>
      </c>
      <c r="C480">
        <f>Kaikki!A480</f>
        <v>255</v>
      </c>
      <c r="D480">
        <f>HUS!A480</f>
        <v>110</v>
      </c>
      <c r="E480" s="38">
        <f t="shared" si="7"/>
        <v>0.43137254901960786</v>
      </c>
    </row>
    <row r="481" spans="1:5">
      <c r="A481" s="30">
        <f>Kaikki!F481</f>
        <v>44310.625</v>
      </c>
      <c r="B481" s="37" t="str">
        <f>Kaikki!G481</f>
        <v/>
      </c>
      <c r="C481">
        <f>Kaikki!A481</f>
        <v>155</v>
      </c>
      <c r="D481">
        <f>HUS!A481</f>
        <v>85</v>
      </c>
      <c r="E481" s="38">
        <f t="shared" si="7"/>
        <v>0.54838709677419351</v>
      </c>
    </row>
    <row r="482" spans="1:5">
      <c r="A482" s="30">
        <f>Kaikki!F482</f>
        <v>44311.625</v>
      </c>
      <c r="B482" s="37" t="str">
        <f>Kaikki!G482</f>
        <v/>
      </c>
      <c r="C482">
        <f>Kaikki!A482</f>
        <v>140</v>
      </c>
      <c r="D482">
        <f>HUS!A482</f>
        <v>83</v>
      </c>
      <c r="E482" s="38">
        <f t="shared" si="7"/>
        <v>0.59285714285714286</v>
      </c>
    </row>
    <row r="483" spans="1:5">
      <c r="A483" s="30">
        <f>Kaikki!F483</f>
        <v>44312.625</v>
      </c>
      <c r="B483" s="37" t="str">
        <f>Kaikki!G483</f>
        <v>2021-W17</v>
      </c>
      <c r="C483">
        <f>Kaikki!A483</f>
        <v>242</v>
      </c>
      <c r="D483">
        <f>HUS!A483</f>
        <v>121</v>
      </c>
      <c r="E483" s="38">
        <f t="shared" si="7"/>
        <v>0.5</v>
      </c>
    </row>
    <row r="484" spans="1:5">
      <c r="A484" s="30">
        <f>Kaikki!F484</f>
        <v>44313.625</v>
      </c>
      <c r="B484" s="37" t="str">
        <f>Kaikki!G484</f>
        <v/>
      </c>
      <c r="C484">
        <f>Kaikki!A484</f>
        <v>229</v>
      </c>
      <c r="D484">
        <f>HUS!A484</f>
        <v>109</v>
      </c>
      <c r="E484" s="38">
        <f t="shared" si="7"/>
        <v>0.4759825327510917</v>
      </c>
    </row>
    <row r="485" spans="1:5">
      <c r="A485" s="30">
        <f>Kaikki!F485</f>
        <v>44314.625</v>
      </c>
      <c r="B485" s="37" t="str">
        <f>Kaikki!G485</f>
        <v/>
      </c>
      <c r="C485">
        <f>Kaikki!A485</f>
        <v>274</v>
      </c>
      <c r="D485">
        <f>HUS!A485</f>
        <v>146</v>
      </c>
      <c r="E485" s="38">
        <f t="shared" si="7"/>
        <v>0.53284671532846717</v>
      </c>
    </row>
    <row r="486" spans="1:5">
      <c r="A486" s="30">
        <f>Kaikki!F486</f>
        <v>44315.625</v>
      </c>
      <c r="B486" s="37" t="str">
        <f>Kaikki!G486</f>
        <v/>
      </c>
      <c r="C486">
        <f>Kaikki!A486</f>
        <v>201</v>
      </c>
      <c r="D486">
        <f>HUS!A486</f>
        <v>94</v>
      </c>
      <c r="E486" s="38">
        <f t="shared" si="7"/>
        <v>0.46766169154228854</v>
      </c>
    </row>
    <row r="487" spans="1:5">
      <c r="A487" s="30">
        <f>Kaikki!F487</f>
        <v>44316.625</v>
      </c>
      <c r="B487" s="37" t="str">
        <f>Kaikki!G487</f>
        <v/>
      </c>
      <c r="C487">
        <f>Kaikki!A487</f>
        <v>197</v>
      </c>
      <c r="D487">
        <f>HUS!A487</f>
        <v>97</v>
      </c>
      <c r="E487" s="38">
        <f t="shared" si="7"/>
        <v>0.49238578680203043</v>
      </c>
    </row>
    <row r="488" spans="1:5">
      <c r="A488" s="30">
        <f>Kaikki!F488</f>
        <v>44317.625</v>
      </c>
      <c r="B488" s="37" t="str">
        <f>Kaikki!G488</f>
        <v/>
      </c>
      <c r="C488">
        <f>Kaikki!A488</f>
        <v>109</v>
      </c>
      <c r="D488">
        <f>HUS!A488</f>
        <v>55</v>
      </c>
      <c r="E488" s="38">
        <f t="shared" si="7"/>
        <v>0.50458715596330272</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158</v>
      </c>
      <c r="E490" s="38">
        <f t="shared" si="7"/>
        <v>0.49685534591194969</v>
      </c>
    </row>
    <row r="491" spans="1:5">
      <c r="A491" s="30">
        <f>Kaikki!F491</f>
        <v>44320.625</v>
      </c>
      <c r="B491" s="37" t="str">
        <f>Kaikki!G491</f>
        <v/>
      </c>
      <c r="C491">
        <f>Kaikki!A491</f>
        <v>206</v>
      </c>
      <c r="D491">
        <f>HUS!A491</f>
        <v>114</v>
      </c>
      <c r="E491" s="38">
        <f t="shared" si="7"/>
        <v>0.55339805825242716</v>
      </c>
    </row>
    <row r="492" spans="1:5">
      <c r="A492" s="30">
        <f>Kaikki!F492</f>
        <v>44321.625</v>
      </c>
      <c r="B492" s="37" t="str">
        <f>Kaikki!G492</f>
        <v/>
      </c>
      <c r="C492">
        <f>Kaikki!A492</f>
        <v>265</v>
      </c>
      <c r="D492">
        <f>HUS!A492</f>
        <v>125</v>
      </c>
      <c r="E492" s="38">
        <f t="shared" si="7"/>
        <v>0.47169811320754718</v>
      </c>
    </row>
    <row r="493" spans="1:5">
      <c r="A493" s="30">
        <f>Kaikki!F493</f>
        <v>44322.625</v>
      </c>
      <c r="B493" s="37" t="str">
        <f>Kaikki!G493</f>
        <v/>
      </c>
      <c r="C493">
        <f>Kaikki!A493</f>
        <v>239</v>
      </c>
      <c r="D493">
        <f>HUS!A493</f>
        <v>113</v>
      </c>
      <c r="E493" s="38">
        <f t="shared" si="7"/>
        <v>0.47280334728033474</v>
      </c>
    </row>
    <row r="494" spans="1:5">
      <c r="A494" s="30">
        <f>Kaikki!F494</f>
        <v>44323.625</v>
      </c>
      <c r="B494" s="37" t="str">
        <f>Kaikki!G494</f>
        <v/>
      </c>
      <c r="C494">
        <f>Kaikki!A494</f>
        <v>214</v>
      </c>
      <c r="D494">
        <f>HUS!A494</f>
        <v>94</v>
      </c>
      <c r="E494" s="38">
        <f t="shared" si="7"/>
        <v>0.43925233644859812</v>
      </c>
    </row>
    <row r="495" spans="1:5">
      <c r="A495" s="30">
        <f>Kaikki!F495</f>
        <v>44324.625</v>
      </c>
      <c r="B495" s="37" t="str">
        <f>Kaikki!G495</f>
        <v/>
      </c>
      <c r="C495">
        <f>Kaikki!A495</f>
        <v>134</v>
      </c>
      <c r="D495">
        <f>HUS!A495</f>
        <v>69</v>
      </c>
      <c r="E495" s="38">
        <f t="shared" si="7"/>
        <v>0.5149253731343284</v>
      </c>
    </row>
    <row r="496" spans="1:5">
      <c r="A496" s="30">
        <f>Kaikki!F496</f>
        <v>44325.625</v>
      </c>
      <c r="B496" s="37" t="str">
        <f>Kaikki!G496</f>
        <v/>
      </c>
      <c r="C496">
        <f>Kaikki!A496</f>
        <v>130</v>
      </c>
      <c r="D496">
        <f>HUS!A496</f>
        <v>69</v>
      </c>
      <c r="E496" s="38">
        <f t="shared" si="7"/>
        <v>0.53076923076923077</v>
      </c>
    </row>
    <row r="497" spans="1:5">
      <c r="A497" s="30">
        <f>Kaikki!F497</f>
        <v>44326.625</v>
      </c>
      <c r="B497" s="37" t="str">
        <f>Kaikki!G497</f>
        <v>2021-W19</v>
      </c>
      <c r="C497">
        <f>Kaikki!A497</f>
        <v>257</v>
      </c>
      <c r="D497">
        <f>HUS!A497</f>
        <v>138</v>
      </c>
      <c r="E497" s="38">
        <f t="shared" si="7"/>
        <v>0.53696498054474706</v>
      </c>
    </row>
    <row r="498" spans="1:5">
      <c r="A498" s="30">
        <f>Kaikki!F498</f>
        <v>44327.625</v>
      </c>
      <c r="B498" s="37" t="str">
        <f>Kaikki!G498</f>
        <v/>
      </c>
      <c r="C498">
        <f>Kaikki!A498</f>
        <v>215</v>
      </c>
      <c r="D498">
        <f>HUS!A498</f>
        <v>108</v>
      </c>
      <c r="E498" s="38">
        <f t="shared" si="7"/>
        <v>0.50232558139534889</v>
      </c>
    </row>
    <row r="499" spans="1:5">
      <c r="A499" s="30">
        <f>Kaikki!F499</f>
        <v>44328.625</v>
      </c>
      <c r="B499" s="37" t="str">
        <f>Kaikki!G499</f>
        <v/>
      </c>
      <c r="C499">
        <f>Kaikki!A499</f>
        <v>256</v>
      </c>
      <c r="D499">
        <f>HUS!A499</f>
        <v>146</v>
      </c>
      <c r="E499" s="38">
        <f t="shared" si="7"/>
        <v>0.5703125</v>
      </c>
    </row>
    <row r="500" spans="1:5">
      <c r="A500" s="30">
        <f>Kaikki!F500</f>
        <v>44329.625</v>
      </c>
      <c r="B500" s="37" t="str">
        <f>Kaikki!G500</f>
        <v/>
      </c>
      <c r="C500">
        <f>Kaikki!A500</f>
        <v>157</v>
      </c>
      <c r="D500">
        <f>HUS!A500</f>
        <v>77</v>
      </c>
      <c r="E500" s="38">
        <f t="shared" si="7"/>
        <v>0.49044585987261147</v>
      </c>
    </row>
    <row r="501" spans="1:5">
      <c r="A501" s="30">
        <f>Kaikki!F501</f>
        <v>44330.625</v>
      </c>
      <c r="B501" s="37" t="str">
        <f>Kaikki!G501</f>
        <v/>
      </c>
      <c r="C501">
        <f>Kaikki!A501</f>
        <v>249</v>
      </c>
      <c r="D501">
        <f>HUS!A501</f>
        <v>86</v>
      </c>
      <c r="E501" s="38">
        <f t="shared" si="7"/>
        <v>0.34538152610441769</v>
      </c>
    </row>
    <row r="502" spans="1:5">
      <c r="A502" s="30">
        <f>Kaikki!F502</f>
        <v>44331.625</v>
      </c>
      <c r="B502" s="37" t="str">
        <f>Kaikki!G502</f>
        <v/>
      </c>
      <c r="C502">
        <f>Kaikki!A502</f>
        <v>164</v>
      </c>
      <c r="D502">
        <f>HUS!A502</f>
        <v>80</v>
      </c>
      <c r="E502" s="38">
        <f t="shared" si="7"/>
        <v>0.48780487804878048</v>
      </c>
    </row>
    <row r="503" spans="1:5">
      <c r="A503" s="30">
        <f>Kaikki!F503</f>
        <v>44332.625</v>
      </c>
      <c r="B503" s="37" t="str">
        <f>Kaikki!G503</f>
        <v/>
      </c>
      <c r="C503">
        <f>Kaikki!A503</f>
        <v>134</v>
      </c>
      <c r="D503">
        <f>HUS!A503</f>
        <v>56</v>
      </c>
      <c r="E503" s="38">
        <f t="shared" si="7"/>
        <v>0.41791044776119401</v>
      </c>
    </row>
    <row r="504" spans="1:5">
      <c r="A504" s="30">
        <f>Kaikki!F504</f>
        <v>44333.625</v>
      </c>
      <c r="B504" s="37" t="str">
        <f>Kaikki!G504</f>
        <v>2021-W20</v>
      </c>
      <c r="C504">
        <f>Kaikki!A504</f>
        <v>285</v>
      </c>
      <c r="D504">
        <f>HUS!A504</f>
        <v>120</v>
      </c>
      <c r="E504" s="38">
        <f t="shared" si="7"/>
        <v>0.42105263157894735</v>
      </c>
    </row>
    <row r="505" spans="1:5">
      <c r="A505" s="30">
        <f>Kaikki!F505</f>
        <v>44334.625</v>
      </c>
      <c r="B505" s="37" t="str">
        <f>Kaikki!G505</f>
        <v/>
      </c>
      <c r="C505">
        <f>Kaikki!A505</f>
        <v>217</v>
      </c>
      <c r="D505">
        <f>HUS!A505</f>
        <v>110</v>
      </c>
      <c r="E505" s="38">
        <f t="shared" si="7"/>
        <v>0.50691244239631339</v>
      </c>
    </row>
    <row r="506" spans="1:5">
      <c r="A506" s="30">
        <f>Kaikki!F506</f>
        <v>44335.625</v>
      </c>
      <c r="B506" s="37" t="str">
        <f>Kaikki!G506</f>
        <v/>
      </c>
      <c r="C506">
        <f>Kaikki!A506</f>
        <v>231</v>
      </c>
      <c r="D506">
        <f>HUS!A506</f>
        <v>113</v>
      </c>
      <c r="E506" s="38">
        <f t="shared" si="7"/>
        <v>0.48917748917748916</v>
      </c>
    </row>
    <row r="507" spans="1:5">
      <c r="A507" s="30">
        <f>Kaikki!F507</f>
        <v>44336.625</v>
      </c>
      <c r="B507" s="37" t="str">
        <f>Kaikki!G507</f>
        <v/>
      </c>
      <c r="C507">
        <f>Kaikki!A507</f>
        <v>217</v>
      </c>
      <c r="D507">
        <f>HUS!A507</f>
        <v>103</v>
      </c>
      <c r="E507" s="38">
        <f t="shared" si="7"/>
        <v>0.47465437788018433</v>
      </c>
    </row>
    <row r="508" spans="1:5">
      <c r="A508" s="30">
        <f>Kaikki!F508</f>
        <v>44337.625</v>
      </c>
      <c r="B508" s="37" t="str">
        <f>Kaikki!G508</f>
        <v/>
      </c>
      <c r="C508">
        <f>Kaikki!A508</f>
        <v>168</v>
      </c>
      <c r="D508">
        <f>HUS!A508</f>
        <v>85</v>
      </c>
      <c r="E508" s="38">
        <f t="shared" si="7"/>
        <v>0.50595238095238093</v>
      </c>
    </row>
    <row r="509" spans="1:5">
      <c r="A509" s="30">
        <f>Kaikki!F509</f>
        <v>44338.625</v>
      </c>
      <c r="B509" s="37" t="str">
        <f>Kaikki!G509</f>
        <v/>
      </c>
      <c r="C509">
        <f>Kaikki!A509</f>
        <v>108</v>
      </c>
      <c r="D509">
        <f>HUS!A509</f>
        <v>54</v>
      </c>
      <c r="E509" s="38">
        <f t="shared" si="7"/>
        <v>0.5</v>
      </c>
    </row>
    <row r="510" spans="1:5">
      <c r="A510" s="30">
        <f>Kaikki!F510</f>
        <v>44339.625</v>
      </c>
      <c r="B510" s="37" t="str">
        <f>Kaikki!G510</f>
        <v/>
      </c>
      <c r="C510">
        <f>Kaikki!A510</f>
        <v>93</v>
      </c>
      <c r="D510">
        <f>HUS!A510</f>
        <v>54</v>
      </c>
      <c r="E510" s="38">
        <f t="shared" si="7"/>
        <v>0.58064516129032262</v>
      </c>
    </row>
    <row r="511" spans="1:5">
      <c r="A511" s="30">
        <f>Kaikki!F511</f>
        <v>44340.625</v>
      </c>
      <c r="B511" s="37" t="str">
        <f>Kaikki!G511</f>
        <v>2021-W21</v>
      </c>
      <c r="C511">
        <f>Kaikki!A511</f>
        <v>188</v>
      </c>
      <c r="D511">
        <f>HUS!A511</f>
        <v>109</v>
      </c>
      <c r="E511" s="38">
        <f t="shared" si="7"/>
        <v>0.57978723404255317</v>
      </c>
    </row>
    <row r="512" spans="1:5">
      <c r="A512" s="30">
        <f>Kaikki!F512</f>
        <v>44341.625</v>
      </c>
      <c r="B512" s="37" t="str">
        <f>Kaikki!G512</f>
        <v/>
      </c>
      <c r="C512">
        <f>Kaikki!A512</f>
        <v>153</v>
      </c>
      <c r="D512">
        <f>HUS!A512</f>
        <v>86</v>
      </c>
      <c r="E512" s="38">
        <f t="shared" si="7"/>
        <v>0.56209150326797386</v>
      </c>
    </row>
    <row r="513" spans="1:5">
      <c r="A513" s="30">
        <f>Kaikki!F513</f>
        <v>44342.625</v>
      </c>
      <c r="B513" s="37" t="str">
        <f>Kaikki!G513</f>
        <v/>
      </c>
      <c r="C513">
        <f>Kaikki!A513</f>
        <v>143</v>
      </c>
      <c r="D513">
        <f>HUS!A513</f>
        <v>77</v>
      </c>
      <c r="E513" s="38">
        <f t="shared" si="7"/>
        <v>0.53846153846153844</v>
      </c>
    </row>
    <row r="514" spans="1:5">
      <c r="A514" s="30">
        <f>Kaikki!F514</f>
        <v>44343.625</v>
      </c>
      <c r="B514" s="37" t="str">
        <f>Kaikki!G514</f>
        <v/>
      </c>
      <c r="C514">
        <f>Kaikki!A514</f>
        <v>127</v>
      </c>
      <c r="D514">
        <f>HUS!A514</f>
        <v>56</v>
      </c>
      <c r="E514" s="38">
        <f t="shared" si="7"/>
        <v>0.44094488188976377</v>
      </c>
    </row>
    <row r="515" spans="1:5">
      <c r="A515" s="30">
        <f>Kaikki!F515</f>
        <v>44344.625</v>
      </c>
      <c r="B515" s="37" t="str">
        <f>Kaikki!G515</f>
        <v/>
      </c>
      <c r="C515">
        <f>Kaikki!A515</f>
        <v>136</v>
      </c>
      <c r="D515">
        <f>HUS!A515</f>
        <v>64</v>
      </c>
      <c r="E515" s="38">
        <f t="shared" ref="E515:E556" si="8">D515/C515</f>
        <v>0.47058823529411764</v>
      </c>
    </row>
    <row r="516" spans="1:5">
      <c r="A516" s="30">
        <f>Kaikki!F516</f>
        <v>44345.625</v>
      </c>
      <c r="B516" s="37" t="str">
        <f>Kaikki!G516</f>
        <v/>
      </c>
      <c r="C516">
        <f>Kaikki!A516</f>
        <v>64</v>
      </c>
      <c r="D516">
        <f>HUS!A516</f>
        <v>28</v>
      </c>
      <c r="E516" s="38">
        <f t="shared" si="8"/>
        <v>0.4375</v>
      </c>
    </row>
    <row r="517" spans="1:5">
      <c r="A517" s="30">
        <f>Kaikki!F517</f>
        <v>44346.625</v>
      </c>
      <c r="B517" s="37" t="str">
        <f>Kaikki!G517</f>
        <v/>
      </c>
      <c r="C517">
        <f>Kaikki!A517</f>
        <v>79</v>
      </c>
      <c r="D517">
        <f>HUS!A517</f>
        <v>49</v>
      </c>
      <c r="E517" s="38">
        <f t="shared" si="8"/>
        <v>0.620253164556962</v>
      </c>
    </row>
    <row r="518" spans="1:5">
      <c r="A518" s="30">
        <f>Kaikki!F518</f>
        <v>44347.625</v>
      </c>
      <c r="B518" s="37" t="str">
        <f>Kaikki!G518</f>
        <v>2021-W22</v>
      </c>
      <c r="C518">
        <f>Kaikki!A518</f>
        <v>151</v>
      </c>
      <c r="D518">
        <f>HUS!A518</f>
        <v>99</v>
      </c>
      <c r="E518" s="38">
        <f t="shared" si="8"/>
        <v>0.6556291390728477</v>
      </c>
    </row>
    <row r="519" spans="1:5">
      <c r="A519" s="30">
        <f>Kaikki!F519</f>
        <v>44348.625</v>
      </c>
      <c r="B519" s="37" t="str">
        <f>Kaikki!G519</f>
        <v/>
      </c>
      <c r="C519">
        <f>Kaikki!A519</f>
        <v>121</v>
      </c>
      <c r="D519">
        <f>HUS!A519</f>
        <v>76</v>
      </c>
      <c r="E519" s="38">
        <f t="shared" si="8"/>
        <v>0.62809917355371903</v>
      </c>
    </row>
    <row r="520" spans="1:5">
      <c r="A520" s="30">
        <f>Kaikki!F520</f>
        <v>44349.625</v>
      </c>
      <c r="B520" s="37" t="str">
        <f>Kaikki!G520</f>
        <v/>
      </c>
      <c r="C520">
        <f>Kaikki!A520</f>
        <v>119</v>
      </c>
      <c r="D520">
        <f>HUS!A520</f>
        <v>68</v>
      </c>
      <c r="E520" s="38">
        <f t="shared" si="8"/>
        <v>0.5714285714285714</v>
      </c>
    </row>
    <row r="521" spans="1:5">
      <c r="A521" s="30">
        <f>Kaikki!F521</f>
        <v>44350.625</v>
      </c>
      <c r="B521" s="37" t="str">
        <f>Kaikki!G521</f>
        <v/>
      </c>
      <c r="C521">
        <f>Kaikki!A521</f>
        <v>111</v>
      </c>
      <c r="D521">
        <f>HUS!A521</f>
        <v>67</v>
      </c>
      <c r="E521" s="38">
        <f t="shared" si="8"/>
        <v>0.60360360360360366</v>
      </c>
    </row>
    <row r="522" spans="1:5">
      <c r="A522" s="30">
        <f>Kaikki!F522</f>
        <v>44351.625</v>
      </c>
      <c r="B522" s="37" t="str">
        <f>Kaikki!G522</f>
        <v/>
      </c>
      <c r="C522">
        <f>Kaikki!A522</f>
        <v>103</v>
      </c>
      <c r="D522">
        <f>HUS!A522</f>
        <v>64</v>
      </c>
      <c r="E522" s="38">
        <f t="shared" si="8"/>
        <v>0.62135922330097082</v>
      </c>
    </row>
    <row r="523" spans="1:5">
      <c r="A523" s="30">
        <f>Kaikki!F523</f>
        <v>44352.625</v>
      </c>
      <c r="B523" s="37" t="str">
        <f>Kaikki!G523</f>
        <v/>
      </c>
      <c r="C523">
        <f>Kaikki!A523</f>
        <v>64</v>
      </c>
      <c r="D523">
        <f>HUS!A523</f>
        <v>40</v>
      </c>
      <c r="E523" s="38">
        <f t="shared" si="8"/>
        <v>0.625</v>
      </c>
    </row>
    <row r="524" spans="1:5">
      <c r="A524" s="30">
        <f>Kaikki!F524</f>
        <v>44353.625</v>
      </c>
      <c r="B524" s="37" t="str">
        <f>Kaikki!G524</f>
        <v/>
      </c>
      <c r="C524">
        <f>Kaikki!A524</f>
        <v>60</v>
      </c>
      <c r="D524">
        <f>HUS!A524</f>
        <v>41</v>
      </c>
      <c r="E524" s="38">
        <f t="shared" si="8"/>
        <v>0.68333333333333335</v>
      </c>
    </row>
    <row r="525" spans="1:5">
      <c r="A525" s="30">
        <f>Kaikki!F525</f>
        <v>44354.625</v>
      </c>
      <c r="B525" s="37" t="str">
        <f>Kaikki!G525</f>
        <v>2021-W23</v>
      </c>
      <c r="C525">
        <f>Kaikki!A525</f>
        <v>139</v>
      </c>
      <c r="D525">
        <f>HUS!A525</f>
        <v>86</v>
      </c>
      <c r="E525" s="38">
        <f t="shared" si="8"/>
        <v>0.61870503597122306</v>
      </c>
    </row>
    <row r="526" spans="1:5">
      <c r="A526" s="30">
        <f>Kaikki!F526</f>
        <v>44355.625</v>
      </c>
      <c r="B526" s="37" t="str">
        <f>Kaikki!G526</f>
        <v/>
      </c>
      <c r="C526">
        <f>Kaikki!A526</f>
        <v>101</v>
      </c>
      <c r="D526">
        <f>HUS!A526</f>
        <v>55</v>
      </c>
      <c r="E526" s="38">
        <f t="shared" si="8"/>
        <v>0.54455445544554459</v>
      </c>
    </row>
    <row r="527" spans="1:5">
      <c r="A527" s="30">
        <f>Kaikki!F527</f>
        <v>44356.625</v>
      </c>
      <c r="B527" s="37" t="str">
        <f>Kaikki!G527</f>
        <v/>
      </c>
      <c r="C527">
        <f>Kaikki!A527</f>
        <v>81</v>
      </c>
      <c r="D527">
        <f>HUS!A527</f>
        <v>36</v>
      </c>
      <c r="E527" s="38">
        <f t="shared" si="8"/>
        <v>0.44444444444444442</v>
      </c>
    </row>
    <row r="528" spans="1:5">
      <c r="A528" s="30">
        <f>Kaikki!F528</f>
        <v>44357.625</v>
      </c>
      <c r="B528" s="37" t="str">
        <f>Kaikki!G528</f>
        <v/>
      </c>
      <c r="C528">
        <f>Kaikki!A528</f>
        <v>73</v>
      </c>
      <c r="D528">
        <f>HUS!A528</f>
        <v>31</v>
      </c>
      <c r="E528" s="38">
        <f t="shared" si="8"/>
        <v>0.42465753424657532</v>
      </c>
    </row>
    <row r="529" spans="1:5">
      <c r="A529" s="30">
        <f>Kaikki!F529</f>
        <v>44358.625</v>
      </c>
      <c r="B529" s="37" t="str">
        <f>Kaikki!G529</f>
        <v/>
      </c>
      <c r="C529">
        <f>Kaikki!A529</f>
        <v>70</v>
      </c>
      <c r="D529">
        <f>HUS!A529</f>
        <v>34</v>
      </c>
      <c r="E529" s="38">
        <f t="shared" si="8"/>
        <v>0.48571428571428571</v>
      </c>
    </row>
    <row r="530" spans="1:5">
      <c r="A530" s="30">
        <f>Kaikki!F530</f>
        <v>44359.625</v>
      </c>
      <c r="B530" s="37" t="str">
        <f>Kaikki!G530</f>
        <v/>
      </c>
      <c r="C530">
        <f>Kaikki!A530</f>
        <v>46</v>
      </c>
      <c r="D530">
        <f>HUS!A530</f>
        <v>36</v>
      </c>
      <c r="E530" s="38">
        <f t="shared" si="8"/>
        <v>0.78260869565217395</v>
      </c>
    </row>
    <row r="531" spans="1:5">
      <c r="A531" s="30">
        <f>Kaikki!F531</f>
        <v>44360.625</v>
      </c>
      <c r="B531" s="37" t="str">
        <f>Kaikki!G531</f>
        <v/>
      </c>
      <c r="C531">
        <f>Kaikki!A531</f>
        <v>48</v>
      </c>
      <c r="D531">
        <f>HUS!A531</f>
        <v>33</v>
      </c>
      <c r="E531" s="38">
        <f t="shared" si="8"/>
        <v>0.6875</v>
      </c>
    </row>
    <row r="532" spans="1:5">
      <c r="A532" s="30">
        <f>Kaikki!F532</f>
        <v>44361.625</v>
      </c>
      <c r="B532" s="37" t="str">
        <f>Kaikki!G532</f>
        <v>2021-W24</v>
      </c>
      <c r="C532">
        <f>Kaikki!A532</f>
        <v>93</v>
      </c>
      <c r="D532">
        <f>HUS!A532</f>
        <v>38</v>
      </c>
      <c r="E532" s="38">
        <f t="shared" si="8"/>
        <v>0.40860215053763443</v>
      </c>
    </row>
    <row r="533" spans="1:5">
      <c r="A533" s="30">
        <f>Kaikki!F533</f>
        <v>44362.625</v>
      </c>
      <c r="B533" s="37" t="str">
        <f>Kaikki!G533</f>
        <v/>
      </c>
      <c r="C533">
        <f>Kaikki!A533</f>
        <v>78</v>
      </c>
      <c r="D533">
        <f>HUS!A533</f>
        <v>41</v>
      </c>
      <c r="E533" s="38">
        <f t="shared" si="8"/>
        <v>0.52564102564102566</v>
      </c>
    </row>
    <row r="534" spans="1:5">
      <c r="A534" s="30">
        <f>Kaikki!F534</f>
        <v>44363.625</v>
      </c>
      <c r="B534" s="37" t="str">
        <f>Kaikki!G534</f>
        <v/>
      </c>
      <c r="C534">
        <f>Kaikki!A534</f>
        <v>64</v>
      </c>
      <c r="D534">
        <f>HUS!A534</f>
        <v>35</v>
      </c>
      <c r="E534" s="38">
        <f t="shared" si="8"/>
        <v>0.546875</v>
      </c>
    </row>
    <row r="535" spans="1:5">
      <c r="A535" s="30">
        <f>Kaikki!F535</f>
        <v>44364.625</v>
      </c>
      <c r="B535" s="37" t="str">
        <f>Kaikki!G535</f>
        <v/>
      </c>
      <c r="C535">
        <f>Kaikki!A535</f>
        <v>91</v>
      </c>
      <c r="D535">
        <f>HUS!A535</f>
        <v>48</v>
      </c>
      <c r="E535" s="38">
        <f t="shared" si="8"/>
        <v>0.52747252747252749</v>
      </c>
    </row>
    <row r="536" spans="1:5">
      <c r="A536" s="30">
        <f>Kaikki!F536</f>
        <v>44365.625</v>
      </c>
      <c r="B536" s="37" t="str">
        <f>Kaikki!G536</f>
        <v/>
      </c>
      <c r="C536">
        <f>Kaikki!A536</f>
        <v>81</v>
      </c>
      <c r="D536">
        <f>HUS!A536</f>
        <v>33</v>
      </c>
      <c r="E536" s="38">
        <f t="shared" si="8"/>
        <v>0.40740740740740738</v>
      </c>
    </row>
    <row r="537" spans="1:5">
      <c r="A537" s="30">
        <f>Kaikki!F537</f>
        <v>44366.625</v>
      </c>
      <c r="B537" s="37" t="str">
        <f>Kaikki!G537</f>
        <v/>
      </c>
      <c r="C537">
        <f>Kaikki!A537</f>
        <v>57</v>
      </c>
      <c r="D537">
        <f>HUS!A537</f>
        <v>26</v>
      </c>
      <c r="E537" s="38">
        <f t="shared" si="8"/>
        <v>0.45614035087719296</v>
      </c>
    </row>
    <row r="538" spans="1:5">
      <c r="A538" s="30">
        <f>Kaikki!F538</f>
        <v>44367.625</v>
      </c>
      <c r="B538" s="37" t="str">
        <f>Kaikki!G538</f>
        <v/>
      </c>
      <c r="C538">
        <f>Kaikki!A538</f>
        <v>80</v>
      </c>
      <c r="D538">
        <f>HUS!A538</f>
        <v>40</v>
      </c>
      <c r="E538" s="38">
        <f t="shared" si="8"/>
        <v>0.5</v>
      </c>
    </row>
    <row r="539" spans="1:5">
      <c r="A539" s="30">
        <f>Kaikki!F539</f>
        <v>44368.625</v>
      </c>
      <c r="B539" s="37" t="str">
        <f>Kaikki!G539</f>
        <v>2021-W25</v>
      </c>
      <c r="C539">
        <f>Kaikki!A539</f>
        <v>112</v>
      </c>
      <c r="D539">
        <f>HUS!A539</f>
        <v>56</v>
      </c>
      <c r="E539" s="38">
        <f t="shared" si="8"/>
        <v>0.5</v>
      </c>
    </row>
    <row r="540" spans="1:5">
      <c r="A540" s="30">
        <f>Kaikki!F540</f>
        <v>44369.625</v>
      </c>
      <c r="B540" s="37" t="str">
        <f>Kaikki!G540</f>
        <v/>
      </c>
      <c r="C540">
        <f>Kaikki!A540</f>
        <v>110</v>
      </c>
      <c r="D540">
        <f>HUS!A540</f>
        <v>67</v>
      </c>
      <c r="E540" s="38">
        <f t="shared" si="8"/>
        <v>0.60909090909090913</v>
      </c>
    </row>
    <row r="541" spans="1:5">
      <c r="A541" s="30">
        <f>Kaikki!F541</f>
        <v>44370.625</v>
      </c>
      <c r="B541" s="37" t="str">
        <f>Kaikki!G541</f>
        <v/>
      </c>
      <c r="C541">
        <f>Kaikki!A541</f>
        <v>145</v>
      </c>
      <c r="D541">
        <f>HUS!A541</f>
        <v>76</v>
      </c>
      <c r="E541" s="38">
        <f t="shared" si="8"/>
        <v>0.52413793103448281</v>
      </c>
    </row>
    <row r="542" spans="1:5">
      <c r="A542" s="30">
        <f>Kaikki!F542</f>
        <v>44371.625</v>
      </c>
      <c r="B542" s="37" t="str">
        <f>Kaikki!G542</f>
        <v/>
      </c>
      <c r="C542">
        <f>Kaikki!A542</f>
        <v>162</v>
      </c>
      <c r="D542">
        <f>HUS!A542</f>
        <v>93</v>
      </c>
      <c r="E542" s="38">
        <f t="shared" si="8"/>
        <v>0.57407407407407407</v>
      </c>
    </row>
    <row r="543" spans="1:5">
      <c r="A543" s="30">
        <f>Kaikki!F543</f>
        <v>44372.625</v>
      </c>
      <c r="B543" s="37" t="str">
        <f>Kaikki!G543</f>
        <v/>
      </c>
      <c r="C543">
        <f>Kaikki!A543</f>
        <v>196</v>
      </c>
      <c r="D543">
        <f>HUS!A543</f>
        <v>127</v>
      </c>
      <c r="E543" s="38">
        <f t="shared" si="8"/>
        <v>0.64795918367346939</v>
      </c>
    </row>
    <row r="544" spans="1:5">
      <c r="A544" s="30">
        <f>Kaikki!F544</f>
        <v>44373.625</v>
      </c>
      <c r="B544" s="37" t="str">
        <f>Kaikki!G544</f>
        <v/>
      </c>
      <c r="C544">
        <f>Kaikki!A544</f>
        <v>131</v>
      </c>
      <c r="D544">
        <f>HUS!A544</f>
        <v>81</v>
      </c>
      <c r="E544" s="38">
        <f t="shared" si="8"/>
        <v>0.61832061068702293</v>
      </c>
    </row>
    <row r="545" spans="1:5">
      <c r="A545" s="30">
        <f>Kaikki!F545</f>
        <v>44374.625</v>
      </c>
      <c r="B545" s="37" t="str">
        <f>Kaikki!G545</f>
        <v/>
      </c>
      <c r="C545">
        <f>Kaikki!A545</f>
        <v>119</v>
      </c>
      <c r="D545">
        <f>HUS!A545</f>
        <v>58</v>
      </c>
      <c r="E545" s="38">
        <f t="shared" si="8"/>
        <v>0.48739495798319327</v>
      </c>
    </row>
    <row r="546" spans="1:5">
      <c r="A546" s="30">
        <f>Kaikki!F546</f>
        <v>44375.625</v>
      </c>
      <c r="B546" s="37" t="str">
        <f>Kaikki!G546</f>
        <v>2021-W26</v>
      </c>
      <c r="C546">
        <f>Kaikki!A546</f>
        <v>230</v>
      </c>
      <c r="D546">
        <f>HUS!A546</f>
        <v>115</v>
      </c>
      <c r="E546" s="38">
        <f t="shared" si="8"/>
        <v>0.5</v>
      </c>
    </row>
    <row r="547" spans="1:5">
      <c r="A547" s="30">
        <f>Kaikki!F547</f>
        <v>44376.625</v>
      </c>
      <c r="B547" s="37" t="str">
        <f>Kaikki!G547</f>
        <v/>
      </c>
      <c r="C547">
        <f>Kaikki!A547</f>
        <v>261</v>
      </c>
      <c r="D547">
        <f>HUS!A547</f>
        <v>137</v>
      </c>
      <c r="E547" s="38">
        <f t="shared" si="8"/>
        <v>0.52490421455938696</v>
      </c>
    </row>
    <row r="548" spans="1:5">
      <c r="A548" s="30">
        <f>Kaikki!F548</f>
        <v>44377.625</v>
      </c>
      <c r="B548" s="37" t="str">
        <f>Kaikki!G548</f>
        <v/>
      </c>
      <c r="C548">
        <f>Kaikki!A548</f>
        <v>196</v>
      </c>
      <c r="D548">
        <f>HUS!A548</f>
        <v>84</v>
      </c>
      <c r="E548" s="38">
        <f t="shared" si="8"/>
        <v>0.42857142857142855</v>
      </c>
    </row>
    <row r="549" spans="1:5">
      <c r="A549" s="30">
        <f>Kaikki!F549</f>
        <v>44378.625</v>
      </c>
      <c r="B549" s="37" t="str">
        <f>Kaikki!G549</f>
        <v/>
      </c>
      <c r="C549">
        <f>Kaikki!A549</f>
        <v>205</v>
      </c>
      <c r="D549">
        <f>HUS!A549</f>
        <v>96</v>
      </c>
      <c r="E549" s="38">
        <f t="shared" si="8"/>
        <v>0.4682926829268293</v>
      </c>
    </row>
    <row r="550" spans="1:5">
      <c r="A550" s="30">
        <f>Kaikki!F550</f>
        <v>44379.625</v>
      </c>
      <c r="B550" s="37" t="str">
        <f>Kaikki!G550</f>
        <v/>
      </c>
      <c r="C550">
        <f>Kaikki!A550</f>
        <v>167</v>
      </c>
      <c r="D550">
        <f>HUS!A550</f>
        <v>77</v>
      </c>
      <c r="E550" s="38">
        <f t="shared" si="8"/>
        <v>0.46107784431137727</v>
      </c>
    </row>
    <row r="551" spans="1:5">
      <c r="A551" s="30">
        <f>Kaikki!F551</f>
        <v>44380.625</v>
      </c>
      <c r="B551" s="37" t="str">
        <f>Kaikki!G551</f>
        <v/>
      </c>
      <c r="C551">
        <f>Kaikki!A551</f>
        <v>132</v>
      </c>
      <c r="D551">
        <f>HUS!A551</f>
        <v>60</v>
      </c>
      <c r="E551" s="38">
        <f t="shared" si="8"/>
        <v>0.45454545454545453</v>
      </c>
    </row>
    <row r="552" spans="1:5">
      <c r="A552" s="30">
        <f>Kaikki!F552</f>
        <v>44381.625</v>
      </c>
      <c r="B552" s="37" t="str">
        <f>Kaikki!G552</f>
        <v/>
      </c>
      <c r="C552">
        <f>Kaikki!A552</f>
        <v>108</v>
      </c>
      <c r="D552">
        <f>HUS!A552</f>
        <v>59</v>
      </c>
      <c r="E552" s="38">
        <f t="shared" si="8"/>
        <v>0.54629629629629628</v>
      </c>
    </row>
    <row r="553" spans="1:5">
      <c r="A553" s="30">
        <f>Kaikki!F553</f>
        <v>44382.625</v>
      </c>
      <c r="B553" s="37" t="str">
        <f>Kaikki!G553</f>
        <v>2021-W27</v>
      </c>
      <c r="C553">
        <f>Kaikki!A553</f>
        <v>244</v>
      </c>
      <c r="D553">
        <f>HUS!A553</f>
        <v>99</v>
      </c>
      <c r="E553" s="38">
        <f t="shared" si="8"/>
        <v>0.40573770491803279</v>
      </c>
    </row>
    <row r="554" spans="1:5">
      <c r="A554" s="30">
        <f>Kaikki!F554</f>
        <v>44383.625</v>
      </c>
      <c r="B554" s="37" t="str">
        <f>Kaikki!G554</f>
        <v/>
      </c>
      <c r="C554">
        <f>Kaikki!A554</f>
        <v>260</v>
      </c>
      <c r="D554">
        <f>HUS!A554</f>
        <v>133</v>
      </c>
      <c r="E554" s="38">
        <f t="shared" si="8"/>
        <v>0.5115384615384615</v>
      </c>
    </row>
    <row r="555" spans="1:5">
      <c r="A555" s="30">
        <f>Kaikki!F555</f>
        <v>44384.625</v>
      </c>
      <c r="B555" s="37" t="str">
        <f>Kaikki!G555</f>
        <v/>
      </c>
      <c r="C555">
        <f>Kaikki!A555</f>
        <v>292</v>
      </c>
      <c r="D555">
        <f>HUS!A555</f>
        <v>157</v>
      </c>
      <c r="E555" s="38">
        <f t="shared" si="8"/>
        <v>0.53767123287671237</v>
      </c>
    </row>
    <row r="556" spans="1:5">
      <c r="A556" s="30">
        <f>Kaikki!F556</f>
        <v>44385.625</v>
      </c>
      <c r="B556" s="37" t="str">
        <f>Kaikki!G556</f>
        <v/>
      </c>
      <c r="C556">
        <f>Kaikki!A556</f>
        <v>285</v>
      </c>
      <c r="D556">
        <f>HUS!A556</f>
        <v>159</v>
      </c>
      <c r="E556" s="38">
        <f t="shared" si="8"/>
        <v>0.55789473684210522</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V257"/>
  <sheetViews>
    <sheetView topLeftCell="A13" zoomScaleNormal="100" workbookViewId="0">
      <selection activeCell="E35" sqref="E35"/>
    </sheetView>
  </sheetViews>
  <sheetFormatPr defaultRowHeight="14.4"/>
  <cols>
    <col min="2" max="2" width="10.109375" bestFit="1" customWidth="1"/>
    <col min="3" max="3" width="10.109375" customWidth="1"/>
    <col min="4" max="4" width="10.88671875" bestFit="1" customWidth="1"/>
    <col min="6" max="6" width="9.88671875" bestFit="1" customWidth="1"/>
    <col min="7" max="7" width="11.44140625" customWidth="1"/>
    <col min="10" max="11" width="10.109375" bestFit="1" customWidth="1"/>
    <col min="12" max="12" width="9.109375" style="4"/>
    <col min="14" max="14" width="15.109375" style="16" bestFit="1" customWidth="1"/>
    <col min="15" max="15" width="15" bestFit="1" customWidth="1"/>
    <col min="17" max="17" width="9.88671875" style="16" customWidth="1"/>
    <col min="19" max="19" width="15" bestFit="1" customWidth="1"/>
    <col min="20" max="20" width="15" style="16" bestFit="1" customWidth="1"/>
    <col min="23" max="23" width="15" style="16" bestFit="1" customWidth="1"/>
    <col min="26" max="26" width="12.109375" style="16" customWidth="1"/>
    <col min="27" max="27" width="15" bestFit="1" customWidth="1"/>
    <col min="29" max="29" width="12.109375" style="16" customWidth="1"/>
    <col min="31" max="31" width="15" bestFit="1" customWidth="1"/>
    <col min="32" max="32" width="12.109375" style="16" customWidth="1"/>
    <col min="35" max="35" width="15" style="16" bestFit="1" customWidth="1"/>
    <col min="38" max="38" width="12.109375" style="16" customWidth="1"/>
    <col min="39" max="39" width="15" bestFit="1" customWidth="1"/>
    <col min="41" max="41" width="12.109375" style="16" customWidth="1"/>
    <col min="43" max="43" width="15" bestFit="1" customWidth="1"/>
    <col min="44" max="44" width="9.109375" style="16"/>
    <col min="47" max="47" width="9.109375" style="16"/>
    <col min="50" max="50" width="9.109375" style="16"/>
    <col min="53" max="53" width="9.109375" style="16"/>
    <col min="56" max="56" width="9.109375" style="16"/>
    <col min="59" max="59" width="9.109375" style="16"/>
    <col min="62" max="62" width="9.109375" style="16"/>
    <col min="65" max="65" width="9.109375" style="16"/>
    <col min="68" max="68" width="9.109375" style="16"/>
    <col min="71" max="71" width="9.109375" style="16"/>
    <col min="74" max="74" width="9.109375" style="16"/>
    <col min="77" max="77" width="9.109375" style="16"/>
    <col min="80" max="80" width="9.109375" style="16"/>
    <col min="83" max="83" width="9.109375" style="16"/>
    <col min="86" max="86" width="9.109375" style="16"/>
    <col min="89" max="89" width="9.109375" style="16"/>
  </cols>
  <sheetData>
    <row r="1" spans="1:1003">
      <c r="C1" s="4"/>
    </row>
    <row r="2" spans="1:1003">
      <c r="C2" s="4"/>
    </row>
    <row r="3" spans="1:1003">
      <c r="C3" s="4"/>
    </row>
    <row r="4" spans="1:1003">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1003">
      <c r="C5" s="4" t="s">
        <v>5</v>
      </c>
      <c r="D5" t="s">
        <v>0</v>
      </c>
      <c r="E5" t="s">
        <v>6</v>
      </c>
      <c r="F5">
        <f ca="1">SUM(F7:F35)</f>
        <v>2077</v>
      </c>
      <c r="G5" t="s">
        <v>227</v>
      </c>
      <c r="H5" t="s">
        <v>345</v>
      </c>
      <c r="J5" t="s">
        <v>346</v>
      </c>
      <c r="K5" t="s">
        <v>345</v>
      </c>
      <c r="N5" s="16" t="s">
        <v>302</v>
      </c>
      <c r="Q5" s="16" t="s">
        <v>303</v>
      </c>
      <c r="T5" s="16" t="s">
        <v>304</v>
      </c>
    </row>
    <row r="6" spans="1:1003">
      <c r="B6" t="str">
        <f ca="1">IF(WEEKDAY(C6,2)=1,"Ma "&amp;TEXT(C6,"p"),TEXT(C6,"p.k"))</f>
        <v>19.11</v>
      </c>
      <c r="C6" s="4">
        <f t="shared" ref="C6:C34" ca="1" si="0">C7-1</f>
        <v>44519</v>
      </c>
      <c r="D6" s="11">
        <f t="shared" ref="D6:D35" ca="1" si="1">SUMIF(aika,"&lt;"&amp;(C6+1),DataN)</f>
        <v>177164</v>
      </c>
      <c r="P6" s="10">
        <v>244</v>
      </c>
    </row>
    <row r="7" spans="1:1003" s="10" customFormat="1">
      <c r="B7" t="str">
        <f t="shared" ref="B7:B35" ca="1" si="2">IF(WEEKDAY(C7,2)=1,"Ma "&amp;TEXT(C7,"p"),TEXT(C7,"p.k"))</f>
        <v>20.11</v>
      </c>
      <c r="C7" s="9">
        <f t="shared" ca="1" si="0"/>
        <v>44520</v>
      </c>
      <c r="D7" s="10">
        <f t="shared" ca="1" si="1"/>
        <v>177873</v>
      </c>
      <c r="E7" s="10">
        <f t="shared" ref="E7:E35" ca="1" si="3">D7-D6</f>
        <v>709</v>
      </c>
      <c r="F7" s="10">
        <f t="shared" ref="F7:F35" ca="1" si="4">_xlfn.IFNA(E7-G7,"")</f>
        <v>0</v>
      </c>
      <c r="G7" s="10">
        <f ca="1">VLOOKUP(C7,Previous,3,FALSE)</f>
        <v>709</v>
      </c>
      <c r="H7" s="10">
        <f ca="1">SUM(E7:E13)</f>
        <v>7953</v>
      </c>
      <c r="J7" s="10">
        <f ca="1">SUM(E7:E20)</f>
        <v>17068</v>
      </c>
      <c r="L7" s="14"/>
      <c r="N7" s="17">
        <v>44519</v>
      </c>
      <c r="O7" s="10">
        <v>177162</v>
      </c>
      <c r="P7">
        <v>1272</v>
      </c>
      <c r="Q7" s="17">
        <v>44519</v>
      </c>
      <c r="R7" s="10">
        <v>177162</v>
      </c>
      <c r="S7" s="10">
        <v>1272</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7">
        <v>44268</v>
      </c>
      <c r="RU7" s="10">
        <v>67406</v>
      </c>
      <c r="RV7" s="10">
        <v>491</v>
      </c>
      <c r="RW7" s="17">
        <v>44269</v>
      </c>
      <c r="RX7" s="10">
        <v>67840</v>
      </c>
      <c r="RY7" s="10">
        <v>434</v>
      </c>
      <c r="RZ7" s="17">
        <v>44270</v>
      </c>
      <c r="SA7" s="10">
        <v>68731</v>
      </c>
      <c r="SB7" s="10">
        <v>891</v>
      </c>
      <c r="SC7" s="17">
        <v>44271</v>
      </c>
      <c r="SD7" s="10">
        <v>69494</v>
      </c>
      <c r="SE7" s="10">
        <v>763</v>
      </c>
      <c r="SF7" s="17">
        <v>44272</v>
      </c>
      <c r="SG7" s="10">
        <v>70239</v>
      </c>
      <c r="SH7" s="10">
        <v>743</v>
      </c>
      <c r="SI7" s="17">
        <v>44273</v>
      </c>
      <c r="SJ7" s="10">
        <v>70975</v>
      </c>
      <c r="SK7" s="10">
        <v>736</v>
      </c>
      <c r="SL7" s="17">
        <v>44275</v>
      </c>
      <c r="SM7" s="10">
        <v>72123</v>
      </c>
      <c r="SN7" s="10">
        <v>403</v>
      </c>
      <c r="SO7" s="17">
        <v>44276</v>
      </c>
      <c r="SP7" s="10">
        <v>72558</v>
      </c>
      <c r="SQ7" s="10">
        <v>417</v>
      </c>
      <c r="SR7" s="17">
        <v>44277</v>
      </c>
      <c r="SS7" s="10">
        <v>73327</v>
      </c>
      <c r="ST7" s="10">
        <v>767</v>
      </c>
      <c r="SU7" s="17">
        <v>44278</v>
      </c>
      <c r="SV7" s="10">
        <v>74030</v>
      </c>
      <c r="SW7" s="10">
        <v>703</v>
      </c>
      <c r="SX7" s="17">
        <v>44280</v>
      </c>
      <c r="SY7" s="10">
        <v>75331</v>
      </c>
      <c r="SZ7" s="10">
        <v>606</v>
      </c>
      <c r="TA7" s="17">
        <v>44281</v>
      </c>
      <c r="TB7" s="10">
        <v>76020</v>
      </c>
      <c r="TC7" s="10">
        <v>687</v>
      </c>
      <c r="TD7" s="17">
        <v>44283</v>
      </c>
      <c r="TE7" s="10">
        <v>76740</v>
      </c>
      <c r="TF7" s="10">
        <v>368</v>
      </c>
      <c r="TG7" s="17">
        <v>44284</v>
      </c>
      <c r="TH7" s="10">
        <v>77397</v>
      </c>
      <c r="TI7" s="10">
        <v>653</v>
      </c>
      <c r="TJ7" s="17">
        <v>44285</v>
      </c>
      <c r="TK7" s="10">
        <v>77966</v>
      </c>
      <c r="TL7" s="10">
        <v>568</v>
      </c>
      <c r="TM7" s="17">
        <v>44286</v>
      </c>
      <c r="TN7" s="10">
        <v>78516</v>
      </c>
      <c r="TO7" s="10">
        <v>550</v>
      </c>
      <c r="TP7" s="17">
        <v>44288</v>
      </c>
      <c r="TQ7" s="10">
        <v>79368</v>
      </c>
      <c r="TR7" s="10">
        <v>361</v>
      </c>
      <c r="TS7" s="17">
        <v>44289</v>
      </c>
      <c r="TT7" s="10">
        <v>79690</v>
      </c>
      <c r="TU7" s="10">
        <v>319</v>
      </c>
      <c r="TV7" s="17">
        <v>44289</v>
      </c>
      <c r="TW7" s="10">
        <v>79696</v>
      </c>
      <c r="TX7" s="10">
        <v>319</v>
      </c>
      <c r="TY7" s="17">
        <v>44290</v>
      </c>
      <c r="TZ7" s="10">
        <v>80016</v>
      </c>
      <c r="UA7" s="10">
        <v>320</v>
      </c>
      <c r="UB7" s="17">
        <v>44292</v>
      </c>
      <c r="UC7" s="10">
        <v>80919</v>
      </c>
      <c r="UD7" s="10">
        <v>544</v>
      </c>
      <c r="UE7" s="17">
        <v>44292</v>
      </c>
      <c r="UF7" s="10">
        <v>80919</v>
      </c>
      <c r="UG7" s="10">
        <v>544</v>
      </c>
      <c r="UH7" s="17">
        <v>44293</v>
      </c>
      <c r="UI7" s="10">
        <v>81346</v>
      </c>
      <c r="UJ7" s="10">
        <v>425</v>
      </c>
      <c r="UK7" s="17">
        <v>44294</v>
      </c>
      <c r="UL7" s="10">
        <v>81750</v>
      </c>
      <c r="UM7" s="10">
        <v>403</v>
      </c>
      <c r="UN7" s="17">
        <v>44298</v>
      </c>
      <c r="UO7" s="10">
        <v>82966</v>
      </c>
      <c r="UP7" s="10">
        <v>396</v>
      </c>
      <c r="UQ7" s="17">
        <v>44299</v>
      </c>
      <c r="UR7" s="10">
        <v>83293</v>
      </c>
      <c r="US7" s="10">
        <v>325</v>
      </c>
      <c r="UT7" s="17">
        <v>44300</v>
      </c>
      <c r="UU7" s="10">
        <v>83639</v>
      </c>
      <c r="UV7" s="10">
        <v>345</v>
      </c>
      <c r="UW7" s="17">
        <v>44301</v>
      </c>
      <c r="UX7" s="10">
        <v>83915</v>
      </c>
      <c r="UY7" s="10">
        <v>274</v>
      </c>
      <c r="UZ7" s="17">
        <v>44303</v>
      </c>
      <c r="VA7" s="10">
        <v>84354</v>
      </c>
      <c r="VB7" s="10">
        <v>171</v>
      </c>
      <c r="VC7" s="17">
        <v>44303</v>
      </c>
      <c r="VD7" s="10">
        <v>84352</v>
      </c>
      <c r="VE7" s="10">
        <v>171</v>
      </c>
      <c r="VF7" s="17">
        <v>44304</v>
      </c>
      <c r="VG7" s="10">
        <v>84508</v>
      </c>
      <c r="VH7" s="10">
        <v>156</v>
      </c>
      <c r="VI7" s="17">
        <v>44306</v>
      </c>
      <c r="VJ7" s="10">
        <v>85076</v>
      </c>
      <c r="VK7" s="10">
        <v>285</v>
      </c>
      <c r="VL7" s="17">
        <v>44306</v>
      </c>
      <c r="VM7" s="10">
        <v>85076</v>
      </c>
      <c r="VN7" s="10">
        <v>285</v>
      </c>
      <c r="VO7" s="17">
        <v>44306</v>
      </c>
      <c r="VP7" s="10">
        <v>85309</v>
      </c>
      <c r="VQ7" s="10">
        <v>233</v>
      </c>
      <c r="VR7" s="17">
        <v>44308</v>
      </c>
      <c r="VS7" s="10">
        <v>85566</v>
      </c>
      <c r="VT7" s="10">
        <v>258</v>
      </c>
      <c r="VU7" s="17">
        <v>44310</v>
      </c>
      <c r="VV7" s="10">
        <v>85978</v>
      </c>
      <c r="VW7" s="10">
        <v>155</v>
      </c>
      <c r="VX7" s="17">
        <v>44310</v>
      </c>
      <c r="VY7" s="10">
        <v>85980</v>
      </c>
      <c r="VZ7" s="10">
        <v>155</v>
      </c>
      <c r="WA7" s="17">
        <v>44311</v>
      </c>
      <c r="WB7" s="10">
        <v>86124</v>
      </c>
      <c r="WC7" s="10">
        <v>140</v>
      </c>
      <c r="WD7" s="17">
        <v>44311</v>
      </c>
      <c r="WE7" s="10">
        <v>86367</v>
      </c>
      <c r="WF7" s="10">
        <v>243</v>
      </c>
      <c r="WG7" s="17">
        <v>44313</v>
      </c>
      <c r="WH7" s="10">
        <v>86595</v>
      </c>
      <c r="WI7" s="10">
        <v>228</v>
      </c>
      <c r="WJ7" s="17">
        <v>44315</v>
      </c>
      <c r="WK7" s="10">
        <v>87070</v>
      </c>
      <c r="WL7" s="10">
        <v>201</v>
      </c>
      <c r="WM7" s="17">
        <v>44315</v>
      </c>
      <c r="WN7" s="10">
        <v>87071</v>
      </c>
      <c r="WO7" s="10">
        <v>201</v>
      </c>
      <c r="WP7" s="17">
        <v>44318</v>
      </c>
      <c r="WQ7" s="10">
        <v>87510</v>
      </c>
      <c r="WR7" s="10">
        <v>135</v>
      </c>
      <c r="WS7" s="17">
        <v>44319</v>
      </c>
      <c r="WT7" s="10">
        <v>87828</v>
      </c>
      <c r="WU7" s="10">
        <v>318</v>
      </c>
      <c r="WV7" s="17">
        <v>44320</v>
      </c>
      <c r="WW7" s="10">
        <v>88035</v>
      </c>
      <c r="WX7" s="10">
        <v>205</v>
      </c>
      <c r="WY7" s="17">
        <v>44321</v>
      </c>
      <c r="WZ7" s="10">
        <v>88304</v>
      </c>
      <c r="XA7" s="10">
        <v>266</v>
      </c>
      <c r="XB7" s="17">
        <v>44321</v>
      </c>
      <c r="XC7" s="10">
        <v>88539</v>
      </c>
      <c r="XD7" s="10">
        <v>234</v>
      </c>
      <c r="XE7" s="17">
        <v>44324</v>
      </c>
      <c r="XF7" s="10">
        <v>88884</v>
      </c>
      <c r="XG7" s="10">
        <v>130</v>
      </c>
      <c r="XH7" s="17">
        <v>44324</v>
      </c>
      <c r="XI7" s="10">
        <v>88890</v>
      </c>
      <c r="XJ7" s="10">
        <v>130</v>
      </c>
      <c r="XK7" s="17">
        <v>44325</v>
      </c>
      <c r="XL7" s="10">
        <v>89020</v>
      </c>
      <c r="XM7" s="10">
        <v>130</v>
      </c>
      <c r="XN7" s="17">
        <v>44326</v>
      </c>
      <c r="XO7" s="10">
        <v>89278</v>
      </c>
      <c r="XP7" s="10">
        <v>258</v>
      </c>
      <c r="XQ7" s="17">
        <v>44327</v>
      </c>
      <c r="XR7" s="10">
        <v>89492</v>
      </c>
      <c r="XS7" s="10">
        <v>214</v>
      </c>
      <c r="XT7" s="17">
        <v>44328</v>
      </c>
      <c r="XU7" s="10">
        <v>89751</v>
      </c>
      <c r="XV7" s="10">
        <v>256</v>
      </c>
      <c r="XW7" s="17">
        <v>44329</v>
      </c>
      <c r="XX7" s="10">
        <v>89909</v>
      </c>
      <c r="XY7" s="10">
        <v>155</v>
      </c>
      <c r="XZ7" s="17">
        <v>44330</v>
      </c>
      <c r="YA7" s="10">
        <v>90154</v>
      </c>
      <c r="YB7" s="10">
        <v>244</v>
      </c>
      <c r="YC7" s="17">
        <v>44332</v>
      </c>
      <c r="YD7" s="10">
        <v>90449</v>
      </c>
      <c r="YE7" s="10">
        <v>133</v>
      </c>
      <c r="YF7" s="17">
        <v>44333</v>
      </c>
      <c r="YG7" s="10">
        <v>90735</v>
      </c>
      <c r="YH7" s="10">
        <v>284</v>
      </c>
      <c r="YI7" s="17">
        <v>44334</v>
      </c>
      <c r="YJ7" s="10">
        <v>90951</v>
      </c>
      <c r="YK7" s="10">
        <v>216</v>
      </c>
      <c r="YL7" s="17">
        <v>44334</v>
      </c>
      <c r="YM7" s="10">
        <v>91181</v>
      </c>
      <c r="YN7" s="10">
        <v>230</v>
      </c>
      <c r="YO7" s="17">
        <v>44335</v>
      </c>
      <c r="YP7" s="10">
        <v>91400</v>
      </c>
      <c r="YQ7" s="10">
        <v>215</v>
      </c>
      <c r="YR7" s="17">
        <v>44337</v>
      </c>
      <c r="YS7" s="10">
        <v>91570</v>
      </c>
      <c r="YT7" s="10">
        <v>169</v>
      </c>
      <c r="YU7" s="17">
        <v>44339</v>
      </c>
      <c r="YV7" s="10">
        <v>91779</v>
      </c>
      <c r="YW7" s="10">
        <v>93</v>
      </c>
      <c r="YX7" s="17">
        <v>44340</v>
      </c>
      <c r="YY7" s="10">
        <v>91967</v>
      </c>
      <c r="YZ7" s="10">
        <v>188</v>
      </c>
      <c r="ZA7" s="17">
        <v>44341</v>
      </c>
      <c r="ZB7" s="10">
        <v>92121</v>
      </c>
      <c r="ZC7" s="10">
        <v>152</v>
      </c>
      <c r="ZD7" s="17">
        <v>44352</v>
      </c>
      <c r="ZE7" s="10">
        <v>93334</v>
      </c>
      <c r="ZF7" s="10">
        <v>65</v>
      </c>
      <c r="ZG7" s="17">
        <v>44352</v>
      </c>
      <c r="ZH7" s="10">
        <v>93401</v>
      </c>
      <c r="ZI7" s="10">
        <v>60</v>
      </c>
      <c r="ZJ7" s="17">
        <v>44353</v>
      </c>
      <c r="ZK7" s="10">
        <v>93540</v>
      </c>
      <c r="ZL7" s="10">
        <v>139</v>
      </c>
      <c r="ZM7" s="17">
        <v>44355</v>
      </c>
      <c r="ZN7" s="10">
        <v>93643</v>
      </c>
      <c r="ZO7" s="10">
        <v>101</v>
      </c>
      <c r="ZP7" s="17">
        <v>44356</v>
      </c>
      <c r="ZQ7" s="10">
        <v>93716</v>
      </c>
      <c r="ZR7" s="10">
        <v>81</v>
      </c>
      <c r="ZS7" s="17">
        <v>44360</v>
      </c>
      <c r="ZT7" s="10">
        <v>93952</v>
      </c>
      <c r="ZU7" s="10">
        <v>47</v>
      </c>
      <c r="ZV7" s="17">
        <v>44361</v>
      </c>
      <c r="ZW7" s="10">
        <v>94044</v>
      </c>
      <c r="ZX7" s="10">
        <v>92</v>
      </c>
      <c r="ZY7" s="17">
        <v>44361</v>
      </c>
      <c r="ZZ7" s="10">
        <v>94121</v>
      </c>
      <c r="AAA7" s="10">
        <v>77</v>
      </c>
      <c r="AAB7" s="17">
        <v>44363</v>
      </c>
      <c r="AAC7" s="10">
        <v>94189</v>
      </c>
      <c r="AAD7" s="10">
        <v>65</v>
      </c>
      <c r="AAE7" s="17">
        <v>44363</v>
      </c>
      <c r="AAF7" s="10">
        <v>94281</v>
      </c>
      <c r="AAG7" s="10">
        <v>91</v>
      </c>
      <c r="AAH7" s="17">
        <v>44367</v>
      </c>
      <c r="AAI7" s="10">
        <v>94497</v>
      </c>
      <c r="AAJ7" s="10">
        <v>80</v>
      </c>
      <c r="AAK7" s="17">
        <v>44368</v>
      </c>
      <c r="AAL7" s="10">
        <v>94614</v>
      </c>
      <c r="AAM7" s="10">
        <v>112</v>
      </c>
      <c r="AAN7" s="17">
        <v>44370</v>
      </c>
      <c r="AAO7" s="10">
        <v>94867</v>
      </c>
      <c r="AAP7" s="10">
        <v>145</v>
      </c>
      <c r="AAQ7" s="17">
        <v>44370</v>
      </c>
      <c r="AAR7" s="10">
        <v>94878</v>
      </c>
      <c r="AAS7" s="10">
        <v>145</v>
      </c>
      <c r="AAT7" s="17">
        <v>44371</v>
      </c>
      <c r="AAU7" s="10">
        <v>95037</v>
      </c>
      <c r="AAV7" s="10">
        <v>160</v>
      </c>
      <c r="AAW7" s="17">
        <v>44373</v>
      </c>
      <c r="AAX7" s="10">
        <v>95364</v>
      </c>
      <c r="AAY7" s="10">
        <v>129</v>
      </c>
      <c r="AAZ7" s="17">
        <v>44373</v>
      </c>
      <c r="ABA7" s="10">
        <v>95366</v>
      </c>
      <c r="ABB7" s="10">
        <v>129</v>
      </c>
      <c r="ABC7" s="17">
        <v>44374</v>
      </c>
      <c r="ABD7" s="10">
        <v>95485</v>
      </c>
      <c r="ABE7" s="10">
        <v>119</v>
      </c>
      <c r="ABF7" s="17">
        <v>44376</v>
      </c>
      <c r="ABG7" s="10">
        <v>95975</v>
      </c>
      <c r="ABH7" s="10">
        <v>261</v>
      </c>
      <c r="ABI7" s="17">
        <v>44376</v>
      </c>
      <c r="ABJ7" s="10">
        <v>95975</v>
      </c>
      <c r="ABK7" s="10">
        <v>261</v>
      </c>
      <c r="ABL7" s="17">
        <v>44377</v>
      </c>
      <c r="ABM7" s="10">
        <v>96171</v>
      </c>
      <c r="ABN7" s="10">
        <v>196</v>
      </c>
      <c r="ABO7" s="17">
        <v>44378</v>
      </c>
      <c r="ABP7" s="10">
        <v>96378</v>
      </c>
      <c r="ABQ7" s="10">
        <v>207</v>
      </c>
      <c r="ABR7" s="17">
        <v>44379</v>
      </c>
      <c r="ABS7" s="10">
        <v>96545</v>
      </c>
      <c r="ABT7" s="10">
        <v>167</v>
      </c>
      <c r="ABU7" s="17">
        <v>44380</v>
      </c>
      <c r="ABV7" s="10">
        <v>96676</v>
      </c>
      <c r="ABW7" s="10">
        <v>129</v>
      </c>
      <c r="ABX7" s="17">
        <v>44381</v>
      </c>
      <c r="ABY7" s="10">
        <v>96787</v>
      </c>
      <c r="ABZ7" s="10">
        <v>108</v>
      </c>
      <c r="ACA7" s="17">
        <v>44381</v>
      </c>
      <c r="ACB7" s="10">
        <v>97034</v>
      </c>
      <c r="ACC7" s="10">
        <v>244</v>
      </c>
      <c r="ACD7" s="17">
        <v>44382</v>
      </c>
      <c r="ACE7" s="10">
        <v>97294</v>
      </c>
      <c r="ACF7" s="10">
        <v>260</v>
      </c>
      <c r="ACG7" s="17">
        <v>44384</v>
      </c>
      <c r="ACH7" s="10">
        <v>97586</v>
      </c>
      <c r="ACI7" s="10">
        <v>291</v>
      </c>
      <c r="ACJ7" s="17">
        <v>44385</v>
      </c>
      <c r="ACK7" s="10">
        <v>97866</v>
      </c>
      <c r="ACL7" s="10">
        <v>285</v>
      </c>
      <c r="ACM7" s="17">
        <v>44385</v>
      </c>
      <c r="ACN7" s="10">
        <v>98484</v>
      </c>
      <c r="ACO7" s="10">
        <v>157</v>
      </c>
      <c r="ACP7" s="17">
        <v>44388</v>
      </c>
      <c r="ACQ7" s="10">
        <v>98813</v>
      </c>
      <c r="ACR7" s="10">
        <v>330</v>
      </c>
      <c r="ACS7" s="17">
        <v>44390</v>
      </c>
      <c r="ACT7" s="10">
        <v>99154</v>
      </c>
      <c r="ACU7" s="10">
        <v>341</v>
      </c>
      <c r="ACV7" s="17">
        <v>44391</v>
      </c>
      <c r="ACW7" s="10">
        <v>99540</v>
      </c>
      <c r="ACX7" s="10">
        <v>386</v>
      </c>
      <c r="ACY7" s="17">
        <v>44391</v>
      </c>
      <c r="ACZ7" s="10">
        <v>99920</v>
      </c>
      <c r="ADA7" s="10">
        <v>380</v>
      </c>
      <c r="ADB7" s="17">
        <v>44393</v>
      </c>
      <c r="ADC7" s="10">
        <v>100276</v>
      </c>
      <c r="ADD7" s="10">
        <v>355</v>
      </c>
      <c r="ADE7" s="17">
        <v>44393</v>
      </c>
      <c r="ADF7" s="10">
        <v>100479</v>
      </c>
      <c r="ADG7" s="10">
        <v>203</v>
      </c>
      <c r="ADH7" s="17">
        <v>44394</v>
      </c>
      <c r="ADI7" s="10">
        <v>100727</v>
      </c>
      <c r="ADJ7" s="10">
        <v>248</v>
      </c>
      <c r="ADK7" s="17">
        <v>44396</v>
      </c>
      <c r="ADL7" s="10">
        <v>101148</v>
      </c>
      <c r="ADM7" s="10">
        <v>421</v>
      </c>
      <c r="ADN7" s="17">
        <v>44397</v>
      </c>
      <c r="ADO7" s="10">
        <v>101572</v>
      </c>
      <c r="ADP7" s="10">
        <v>424</v>
      </c>
      <c r="ADQ7" s="17">
        <v>44398</v>
      </c>
      <c r="ADR7" s="10">
        <v>102040</v>
      </c>
      <c r="ADS7" s="10">
        <v>468</v>
      </c>
      <c r="ADT7" s="17">
        <v>44398</v>
      </c>
      <c r="ADU7" s="10">
        <v>102528</v>
      </c>
      <c r="ADV7" s="10">
        <v>486</v>
      </c>
      <c r="ADW7" s="17">
        <v>44402</v>
      </c>
      <c r="ADX7" s="10">
        <v>103662</v>
      </c>
      <c r="ADY7" s="10">
        <v>352</v>
      </c>
      <c r="ADZ7" s="17">
        <v>44402</v>
      </c>
      <c r="AEA7" s="10">
        <v>104427</v>
      </c>
      <c r="AEB7" s="10">
        <v>766</v>
      </c>
      <c r="AEC7" s="17">
        <v>44404</v>
      </c>
      <c r="AED7" s="10">
        <v>105107</v>
      </c>
      <c r="AEE7" s="10">
        <v>680</v>
      </c>
      <c r="AEF7" s="17">
        <v>44404</v>
      </c>
      <c r="AEG7" s="10">
        <v>105951</v>
      </c>
      <c r="AEH7" s="10">
        <v>846</v>
      </c>
      <c r="AEI7" s="17">
        <v>44405</v>
      </c>
      <c r="AEJ7" s="10">
        <v>106720</v>
      </c>
      <c r="AEK7" s="10">
        <v>769</v>
      </c>
      <c r="AEL7" s="17">
        <v>44409</v>
      </c>
      <c r="AEM7" s="10">
        <v>108300</v>
      </c>
      <c r="AEN7" s="10">
        <v>476</v>
      </c>
      <c r="AEO7" s="17">
        <v>44410</v>
      </c>
      <c r="AEP7" s="10">
        <v>109195</v>
      </c>
      <c r="AEQ7" s="10">
        <v>893</v>
      </c>
      <c r="AER7" s="17">
        <v>44411</v>
      </c>
      <c r="AES7" s="10">
        <v>110034</v>
      </c>
      <c r="AET7" s="10">
        <v>840</v>
      </c>
      <c r="AEU7" s="17">
        <v>44411</v>
      </c>
      <c r="AEV7" s="10">
        <v>110817</v>
      </c>
      <c r="AEW7" s="10">
        <v>784</v>
      </c>
      <c r="AEX7" s="17">
        <v>44412</v>
      </c>
      <c r="AEY7" s="10">
        <v>112371</v>
      </c>
      <c r="AEZ7" s="10">
        <v>687</v>
      </c>
      <c r="AFA7" s="17">
        <v>44414</v>
      </c>
      <c r="AFB7" s="10">
        <v>112855</v>
      </c>
      <c r="AFC7" s="10">
        <v>483</v>
      </c>
      <c r="AFD7" s="10">
        <v>44420</v>
      </c>
      <c r="AFE7" s="10">
        <v>116969</v>
      </c>
      <c r="AFF7" s="10">
        <v>790</v>
      </c>
      <c r="AFG7" s="10">
        <v>44421</v>
      </c>
      <c r="AFH7" s="10">
        <v>117714</v>
      </c>
      <c r="AFI7" s="10">
        <v>740</v>
      </c>
      <c r="AFJ7" s="10">
        <v>44423</v>
      </c>
      <c r="AFK7" s="10">
        <v>118587</v>
      </c>
      <c r="AFL7" s="10">
        <v>442</v>
      </c>
      <c r="AFM7" s="10">
        <v>44426</v>
      </c>
      <c r="AFN7" s="10">
        <v>120800</v>
      </c>
      <c r="AFO7" s="10">
        <v>704</v>
      </c>
      <c r="AFP7" s="10">
        <v>44426</v>
      </c>
      <c r="AFQ7" s="10">
        <v>121469</v>
      </c>
      <c r="AFR7" s="10">
        <v>669</v>
      </c>
      <c r="AFS7" s="10">
        <v>44427</v>
      </c>
      <c r="AFT7" s="10">
        <v>122521</v>
      </c>
      <c r="AFU7" s="10">
        <v>397</v>
      </c>
      <c r="AFV7" s="10">
        <v>44429</v>
      </c>
      <c r="AFW7" s="10">
        <v>122979</v>
      </c>
      <c r="AFX7" s="10">
        <v>456</v>
      </c>
      <c r="AFY7" s="10">
        <v>44432</v>
      </c>
      <c r="AFZ7" s="10">
        <v>124264</v>
      </c>
      <c r="AGA7" s="10">
        <v>605</v>
      </c>
      <c r="AGB7" s="10">
        <v>44433</v>
      </c>
      <c r="AGC7" s="10">
        <v>124961</v>
      </c>
      <c r="AGD7" s="10">
        <v>698</v>
      </c>
      <c r="AGE7" s="10">
        <v>44436</v>
      </c>
      <c r="AGF7" s="10">
        <v>126714</v>
      </c>
      <c r="AGG7" s="10">
        <v>436</v>
      </c>
      <c r="AGH7" s="10">
        <v>44437</v>
      </c>
      <c r="AGI7" s="10">
        <v>127176</v>
      </c>
      <c r="AGJ7" s="10">
        <v>459</v>
      </c>
      <c r="AGK7" s="10">
        <v>44439</v>
      </c>
      <c r="AGL7" s="10">
        <v>128563</v>
      </c>
      <c r="AGM7" s="10">
        <v>648</v>
      </c>
      <c r="AGN7" s="10">
        <v>44439</v>
      </c>
      <c r="AGO7" s="10">
        <v>128564</v>
      </c>
      <c r="AGP7" s="10">
        <v>648</v>
      </c>
      <c r="AGQ7" s="10">
        <v>44440</v>
      </c>
      <c r="AGR7" s="10">
        <v>129213</v>
      </c>
      <c r="AGS7" s="10">
        <v>648</v>
      </c>
      <c r="AGT7" s="10">
        <v>44441</v>
      </c>
      <c r="AGU7" s="10">
        <v>129862</v>
      </c>
      <c r="AGV7" s="10">
        <v>649</v>
      </c>
      <c r="AGW7" s="10">
        <v>44443</v>
      </c>
      <c r="AGX7" s="10">
        <v>130714</v>
      </c>
      <c r="AGY7" s="10">
        <v>335</v>
      </c>
      <c r="AGZ7" s="10">
        <v>44445</v>
      </c>
      <c r="AHA7" s="10">
        <v>131643</v>
      </c>
      <c r="AHB7" s="10">
        <v>581</v>
      </c>
      <c r="AHC7" s="10">
        <v>44446</v>
      </c>
      <c r="AHD7" s="10">
        <v>132161</v>
      </c>
      <c r="AHE7" s="10">
        <v>516</v>
      </c>
      <c r="AHF7" s="10">
        <v>44447</v>
      </c>
      <c r="AHG7" s="10">
        <v>132643</v>
      </c>
      <c r="AHH7" s="10">
        <v>482</v>
      </c>
      <c r="AHI7" s="10">
        <v>44448</v>
      </c>
      <c r="AHJ7" s="10">
        <v>133102</v>
      </c>
      <c r="AHK7" s="10">
        <v>459</v>
      </c>
      <c r="AHL7" s="10">
        <v>44452</v>
      </c>
      <c r="AHM7" s="10">
        <v>134737</v>
      </c>
      <c r="AHN7" s="10">
        <v>532</v>
      </c>
      <c r="AHO7" s="10">
        <v>44453</v>
      </c>
      <c r="AHP7" s="10">
        <v>135211</v>
      </c>
      <c r="AHQ7" s="10">
        <v>476</v>
      </c>
      <c r="AHR7" s="10">
        <v>44454</v>
      </c>
      <c r="AHS7" s="10">
        <v>135664</v>
      </c>
      <c r="AHT7" s="10">
        <v>452</v>
      </c>
      <c r="AHU7" s="10">
        <v>44455</v>
      </c>
      <c r="AHV7" s="10">
        <v>136095</v>
      </c>
      <c r="AHW7" s="10">
        <v>431</v>
      </c>
      <c r="AHX7" s="10">
        <v>44456</v>
      </c>
      <c r="AHY7" s="10">
        <v>136485</v>
      </c>
      <c r="AHZ7" s="10">
        <v>388</v>
      </c>
      <c r="AIA7" s="10">
        <v>44456</v>
      </c>
      <c r="AIB7" s="10">
        <v>137984</v>
      </c>
      <c r="AIC7" s="10">
        <v>487</v>
      </c>
      <c r="AID7" s="10">
        <v>44464</v>
      </c>
      <c r="AIE7" s="10">
        <v>139671</v>
      </c>
      <c r="AIF7" s="10">
        <v>295</v>
      </c>
      <c r="AIG7" s="10">
        <v>44468</v>
      </c>
      <c r="AIH7" s="10">
        <v>142021</v>
      </c>
      <c r="AII7" s="10">
        <v>668</v>
      </c>
      <c r="AIJ7" s="10">
        <v>44469</v>
      </c>
      <c r="AIK7" s="10">
        <v>142649</v>
      </c>
      <c r="AIL7" s="10">
        <v>619</v>
      </c>
      <c r="AIM7" s="10">
        <v>44470</v>
      </c>
      <c r="AIN7" s="10">
        <v>143182</v>
      </c>
      <c r="AIO7" s="10">
        <v>533</v>
      </c>
      <c r="AIP7" s="10">
        <v>44473</v>
      </c>
      <c r="AIQ7" s="10">
        <v>144678</v>
      </c>
      <c r="AIR7" s="10">
        <v>747</v>
      </c>
      <c r="AIS7" s="10">
        <v>44474</v>
      </c>
      <c r="AIT7" s="10">
        <v>145364</v>
      </c>
      <c r="AIU7" s="10">
        <v>684</v>
      </c>
      <c r="AIV7" s="10">
        <v>44475</v>
      </c>
      <c r="AIW7" s="10">
        <v>145904</v>
      </c>
      <c r="AIX7" s="10">
        <v>535</v>
      </c>
      <c r="AIY7" s="10">
        <v>44476</v>
      </c>
      <c r="AIZ7" s="10">
        <v>146736</v>
      </c>
      <c r="AJA7" s="10">
        <v>609</v>
      </c>
      <c r="AJB7" s="10">
        <v>44477</v>
      </c>
      <c r="AJC7" s="10">
        <v>147330</v>
      </c>
      <c r="AJD7" s="10">
        <v>592</v>
      </c>
      <c r="AJE7" s="10">
        <v>44480</v>
      </c>
      <c r="AJF7" s="10">
        <v>148843</v>
      </c>
      <c r="AJG7" s="10">
        <v>693</v>
      </c>
      <c r="AJH7" s="10">
        <v>44481</v>
      </c>
      <c r="AJI7" s="10">
        <v>149486</v>
      </c>
      <c r="AJJ7" s="10">
        <v>610</v>
      </c>
      <c r="AJK7" s="10">
        <v>44481</v>
      </c>
      <c r="AJL7" s="10">
        <v>150124</v>
      </c>
      <c r="AJM7" s="10">
        <v>637</v>
      </c>
      <c r="AJN7" s="10">
        <v>44483</v>
      </c>
      <c r="AJO7" s="10">
        <v>150685</v>
      </c>
      <c r="AJP7" s="10">
        <v>558</v>
      </c>
      <c r="AJQ7" s="10">
        <v>44487</v>
      </c>
      <c r="AJR7" s="10">
        <v>152572</v>
      </c>
      <c r="AJS7" s="10">
        <v>661</v>
      </c>
      <c r="AJT7" s="10">
        <v>44488</v>
      </c>
      <c r="AJU7" s="10">
        <v>153126</v>
      </c>
      <c r="AJV7" s="10">
        <v>550</v>
      </c>
      <c r="AJW7" s="10">
        <v>44489</v>
      </c>
      <c r="AJX7" s="10">
        <v>153640</v>
      </c>
      <c r="AJY7" s="10">
        <v>515</v>
      </c>
      <c r="AJZ7" s="10">
        <v>44490</v>
      </c>
      <c r="AKA7" s="10">
        <v>154266</v>
      </c>
      <c r="AKB7" s="10">
        <v>623</v>
      </c>
      <c r="AKC7" s="10">
        <v>44491</v>
      </c>
      <c r="AKD7" s="10">
        <v>154843</v>
      </c>
      <c r="AKE7" s="10">
        <v>578</v>
      </c>
      <c r="AKF7" s="10">
        <v>44494</v>
      </c>
      <c r="AKG7" s="10">
        <v>156398</v>
      </c>
      <c r="AKH7" s="10">
        <v>792</v>
      </c>
      <c r="AKI7" s="10">
        <v>44497</v>
      </c>
      <c r="AKJ7" s="10">
        <v>158302</v>
      </c>
      <c r="AKK7" s="10">
        <v>584</v>
      </c>
      <c r="AKL7" s="10">
        <v>44499</v>
      </c>
      <c r="AKM7" s="10">
        <v>159360</v>
      </c>
      <c r="AKN7" s="10">
        <v>400</v>
      </c>
      <c r="AKO7" s="10">
        <v>44501</v>
      </c>
      <c r="AKP7" s="10">
        <v>160775</v>
      </c>
      <c r="AKQ7" s="10">
        <v>972</v>
      </c>
      <c r="AKR7" s="10">
        <v>44502</v>
      </c>
      <c r="AKS7" s="10">
        <v>161539</v>
      </c>
      <c r="AKT7" s="10">
        <v>756</v>
      </c>
      <c r="AKU7" s="10">
        <v>44504</v>
      </c>
      <c r="AKV7" s="10">
        <v>163113</v>
      </c>
      <c r="AKW7" s="10">
        <v>804</v>
      </c>
      <c r="AKX7" s="10">
        <v>44505</v>
      </c>
      <c r="AKY7" s="10">
        <v>163957</v>
      </c>
      <c r="AKZ7" s="10">
        <v>842</v>
      </c>
      <c r="ALA7" s="10">
        <v>44508</v>
      </c>
      <c r="ALB7" s="10">
        <v>166094</v>
      </c>
      <c r="ALC7" s="10">
        <v>1118</v>
      </c>
      <c r="ALD7" s="10">
        <v>44509</v>
      </c>
      <c r="ALE7" s="10">
        <v>166928</v>
      </c>
      <c r="ALF7" s="10">
        <v>832</v>
      </c>
      <c r="ALG7" s="10">
        <v>44510</v>
      </c>
      <c r="ALH7" s="10">
        <v>167899</v>
      </c>
      <c r="ALI7" s="10">
        <v>969</v>
      </c>
      <c r="ALJ7" s="10">
        <v>44511</v>
      </c>
      <c r="ALK7" s="10">
        <v>168828</v>
      </c>
      <c r="ALL7" s="10">
        <v>934</v>
      </c>
      <c r="ALM7" s="10">
        <v>44519</v>
      </c>
      <c r="ALN7" s="10">
        <v>177162</v>
      </c>
      <c r="ALO7" s="10">
        <v>1272</v>
      </c>
    </row>
    <row r="8" spans="1:1003">
      <c r="B8" t="str">
        <f t="shared" ca="1" si="2"/>
        <v>21.11</v>
      </c>
      <c r="C8" s="4">
        <f t="shared" ca="1" si="0"/>
        <v>44521</v>
      </c>
      <c r="D8" s="11">
        <f t="shared" ca="1" si="1"/>
        <v>178548</v>
      </c>
      <c r="E8">
        <f t="shared" ca="1" si="3"/>
        <v>675</v>
      </c>
      <c r="F8" s="11">
        <f t="shared" ca="1" si="4"/>
        <v>0</v>
      </c>
      <c r="G8" s="11">
        <f t="shared" ref="G8:G35" ca="1" si="5">VLOOKUP(C8,Previous,3,FALSE)</f>
        <v>675</v>
      </c>
      <c r="L8" s="3"/>
      <c r="N8" s="16">
        <v>44520</v>
      </c>
      <c r="O8">
        <v>177871</v>
      </c>
      <c r="P8">
        <v>709</v>
      </c>
      <c r="Q8" s="16">
        <v>44520</v>
      </c>
      <c r="R8">
        <v>177871</v>
      </c>
      <c r="S8">
        <v>709</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s="16">
        <v>44269</v>
      </c>
      <c r="RU8">
        <v>67840</v>
      </c>
      <c r="RV8">
        <v>434</v>
      </c>
      <c r="RW8" s="16">
        <v>44270</v>
      </c>
      <c r="RX8">
        <v>68731</v>
      </c>
      <c r="RY8">
        <v>891</v>
      </c>
      <c r="RZ8" s="16">
        <v>44271</v>
      </c>
      <c r="SA8">
        <v>69494</v>
      </c>
      <c r="SB8">
        <v>763</v>
      </c>
      <c r="SC8" s="16">
        <v>44272</v>
      </c>
      <c r="SD8">
        <v>70237</v>
      </c>
      <c r="SE8">
        <v>743</v>
      </c>
      <c r="SF8" s="16">
        <v>44273</v>
      </c>
      <c r="SG8">
        <v>70975</v>
      </c>
      <c r="SH8">
        <v>736</v>
      </c>
      <c r="SI8" s="16">
        <v>44274</v>
      </c>
      <c r="SJ8">
        <v>71719</v>
      </c>
      <c r="SK8">
        <v>744</v>
      </c>
      <c r="SL8" s="16">
        <v>44276</v>
      </c>
      <c r="SM8">
        <v>72540</v>
      </c>
      <c r="SN8">
        <v>417</v>
      </c>
      <c r="SO8" s="16">
        <v>44277</v>
      </c>
      <c r="SP8">
        <v>73324</v>
      </c>
      <c r="SQ8">
        <v>766</v>
      </c>
      <c r="SR8" s="16">
        <v>44278</v>
      </c>
      <c r="SS8">
        <v>74030</v>
      </c>
      <c r="ST8">
        <v>703</v>
      </c>
      <c r="SU8" s="16">
        <v>44279</v>
      </c>
      <c r="SV8">
        <v>74723</v>
      </c>
      <c r="SW8">
        <v>693</v>
      </c>
      <c r="SX8" s="16">
        <v>44281</v>
      </c>
      <c r="SY8">
        <v>76018</v>
      </c>
      <c r="SZ8">
        <v>687</v>
      </c>
      <c r="TA8" s="16">
        <v>44282</v>
      </c>
      <c r="TB8">
        <v>76371</v>
      </c>
      <c r="TC8">
        <v>351</v>
      </c>
      <c r="TD8" s="16">
        <v>44284</v>
      </c>
      <c r="TE8">
        <v>77393</v>
      </c>
      <c r="TF8">
        <v>653</v>
      </c>
      <c r="TG8" s="16">
        <v>44285</v>
      </c>
      <c r="TH8">
        <v>77965</v>
      </c>
      <c r="TI8">
        <v>568</v>
      </c>
      <c r="TJ8" s="16">
        <v>44286</v>
      </c>
      <c r="TK8">
        <v>78516</v>
      </c>
      <c r="TL8">
        <v>550</v>
      </c>
      <c r="TM8" s="16">
        <v>44287</v>
      </c>
      <c r="TN8">
        <v>79003</v>
      </c>
      <c r="TO8">
        <v>487</v>
      </c>
      <c r="TP8" s="16">
        <v>44289</v>
      </c>
      <c r="TQ8">
        <v>79687</v>
      </c>
      <c r="TR8">
        <v>319</v>
      </c>
      <c r="TS8" s="16">
        <v>44290</v>
      </c>
      <c r="TT8">
        <v>80010</v>
      </c>
      <c r="TU8">
        <v>320</v>
      </c>
      <c r="TV8" s="16">
        <v>44290</v>
      </c>
      <c r="TW8">
        <v>80016</v>
      </c>
      <c r="TX8">
        <v>320</v>
      </c>
      <c r="TY8" s="16">
        <v>44291</v>
      </c>
      <c r="TZ8">
        <v>80375</v>
      </c>
      <c r="UA8">
        <v>359</v>
      </c>
      <c r="UB8" s="16">
        <v>44293</v>
      </c>
      <c r="UC8">
        <v>81344</v>
      </c>
      <c r="UD8">
        <v>425</v>
      </c>
      <c r="UE8" s="16">
        <v>44293</v>
      </c>
      <c r="UF8">
        <v>81344</v>
      </c>
      <c r="UG8">
        <v>425</v>
      </c>
      <c r="UH8" s="16">
        <v>44294</v>
      </c>
      <c r="UI8">
        <v>81749</v>
      </c>
      <c r="UJ8">
        <v>403</v>
      </c>
      <c r="UK8" s="16">
        <v>44295</v>
      </c>
      <c r="UL8">
        <v>82098</v>
      </c>
      <c r="UM8">
        <v>348</v>
      </c>
      <c r="UN8" s="16">
        <v>44299</v>
      </c>
      <c r="UO8">
        <v>83291</v>
      </c>
      <c r="UP8">
        <v>325</v>
      </c>
      <c r="UQ8" s="16">
        <v>44300</v>
      </c>
      <c r="UR8">
        <v>83638</v>
      </c>
      <c r="US8">
        <v>345</v>
      </c>
      <c r="UT8" s="16">
        <v>44301</v>
      </c>
      <c r="UU8">
        <v>83913</v>
      </c>
      <c r="UV8">
        <v>274</v>
      </c>
      <c r="UW8" s="16">
        <v>44302</v>
      </c>
      <c r="UX8">
        <v>84179</v>
      </c>
      <c r="UY8">
        <v>264</v>
      </c>
      <c r="UZ8" s="16">
        <v>44304</v>
      </c>
      <c r="VA8">
        <v>84509</v>
      </c>
      <c r="VB8">
        <v>155</v>
      </c>
      <c r="VC8" s="16">
        <v>44304</v>
      </c>
      <c r="VD8">
        <v>84507</v>
      </c>
      <c r="VE8">
        <v>155</v>
      </c>
      <c r="VF8" s="16">
        <v>44305</v>
      </c>
      <c r="VG8">
        <v>84791</v>
      </c>
      <c r="VH8">
        <v>283</v>
      </c>
      <c r="VI8" s="16">
        <v>44307</v>
      </c>
      <c r="VJ8">
        <v>85309</v>
      </c>
      <c r="VK8">
        <v>233</v>
      </c>
      <c r="VL8" s="16">
        <v>44307</v>
      </c>
      <c r="VM8">
        <v>85309</v>
      </c>
      <c r="VN8">
        <v>233</v>
      </c>
      <c r="VO8" s="16">
        <v>44308</v>
      </c>
      <c r="VP8">
        <v>85567</v>
      </c>
      <c r="VQ8">
        <v>258</v>
      </c>
      <c r="VR8" s="16">
        <v>44309</v>
      </c>
      <c r="VS8">
        <v>85821</v>
      </c>
      <c r="VT8">
        <v>255</v>
      </c>
      <c r="VU8" s="16">
        <v>44311</v>
      </c>
      <c r="VV8">
        <v>86118</v>
      </c>
      <c r="VW8">
        <v>140</v>
      </c>
      <c r="VX8" s="16">
        <v>44311</v>
      </c>
      <c r="VY8">
        <v>86120</v>
      </c>
      <c r="VZ8">
        <v>140</v>
      </c>
      <c r="WA8" s="16">
        <v>44312</v>
      </c>
      <c r="WB8">
        <v>86367</v>
      </c>
      <c r="WC8">
        <v>243</v>
      </c>
      <c r="WD8" s="16">
        <v>44313</v>
      </c>
      <c r="WE8">
        <v>86595</v>
      </c>
      <c r="WF8">
        <v>228</v>
      </c>
      <c r="WG8" s="16">
        <v>44314</v>
      </c>
      <c r="WH8">
        <v>86868</v>
      </c>
      <c r="WI8">
        <v>273</v>
      </c>
      <c r="WJ8" s="16">
        <v>44316</v>
      </c>
      <c r="WK8">
        <v>87265</v>
      </c>
      <c r="WL8">
        <v>195</v>
      </c>
      <c r="WM8" s="16">
        <v>44316</v>
      </c>
      <c r="WN8">
        <v>87266</v>
      </c>
      <c r="WO8">
        <v>195</v>
      </c>
      <c r="WP8" s="16">
        <v>44319</v>
      </c>
      <c r="WQ8">
        <v>87828</v>
      </c>
      <c r="WR8">
        <v>318</v>
      </c>
      <c r="WS8" s="16">
        <v>44320</v>
      </c>
      <c r="WT8">
        <v>88033</v>
      </c>
      <c r="WU8">
        <v>205</v>
      </c>
      <c r="WV8" s="16">
        <v>44321</v>
      </c>
      <c r="WW8">
        <v>88301</v>
      </c>
      <c r="WX8">
        <v>266</v>
      </c>
      <c r="WY8" s="16">
        <v>44322</v>
      </c>
      <c r="WZ8">
        <v>88538</v>
      </c>
      <c r="XA8">
        <v>234</v>
      </c>
      <c r="XB8" s="16">
        <v>44323</v>
      </c>
      <c r="XC8">
        <v>88753</v>
      </c>
      <c r="XD8">
        <v>214</v>
      </c>
      <c r="XE8" s="16">
        <v>44325</v>
      </c>
      <c r="XF8">
        <v>89014</v>
      </c>
      <c r="XG8">
        <v>130</v>
      </c>
      <c r="XH8" s="16">
        <v>44325</v>
      </c>
      <c r="XI8">
        <v>89020</v>
      </c>
      <c r="XJ8">
        <v>130</v>
      </c>
      <c r="XK8" s="16">
        <v>44326</v>
      </c>
      <c r="XL8">
        <v>89278</v>
      </c>
      <c r="XM8">
        <v>258</v>
      </c>
      <c r="XN8" s="16">
        <v>44327</v>
      </c>
      <c r="XO8">
        <v>89492</v>
      </c>
      <c r="XP8">
        <v>214</v>
      </c>
      <c r="XQ8" s="16">
        <v>44328</v>
      </c>
      <c r="XR8">
        <v>89748</v>
      </c>
      <c r="XS8">
        <v>256</v>
      </c>
      <c r="XT8" s="16">
        <v>44329</v>
      </c>
      <c r="XU8">
        <v>89906</v>
      </c>
      <c r="XV8">
        <v>155</v>
      </c>
      <c r="XW8" s="16">
        <v>44330</v>
      </c>
      <c r="XX8">
        <v>90153</v>
      </c>
      <c r="XY8">
        <v>244</v>
      </c>
      <c r="XZ8" s="16">
        <v>44331</v>
      </c>
      <c r="YA8">
        <v>90314</v>
      </c>
      <c r="YB8">
        <v>160</v>
      </c>
      <c r="YC8" s="16">
        <v>44333</v>
      </c>
      <c r="YD8">
        <v>90733</v>
      </c>
      <c r="YE8">
        <v>284</v>
      </c>
      <c r="YF8" s="16">
        <v>44334</v>
      </c>
      <c r="YG8">
        <v>90951</v>
      </c>
      <c r="YH8">
        <v>216</v>
      </c>
      <c r="YI8" s="16">
        <v>44335</v>
      </c>
      <c r="YJ8">
        <v>91181</v>
      </c>
      <c r="YK8">
        <v>230</v>
      </c>
      <c r="YL8" s="16">
        <v>44336</v>
      </c>
      <c r="YM8">
        <v>91396</v>
      </c>
      <c r="YN8">
        <v>215</v>
      </c>
      <c r="YO8" s="16">
        <v>44337</v>
      </c>
      <c r="YP8">
        <v>91570</v>
      </c>
      <c r="YQ8">
        <v>170</v>
      </c>
      <c r="YR8" s="16">
        <v>44338</v>
      </c>
      <c r="YS8">
        <v>91678</v>
      </c>
      <c r="YT8">
        <v>108</v>
      </c>
      <c r="YU8" s="16">
        <v>44340</v>
      </c>
      <c r="YV8">
        <v>91967</v>
      </c>
      <c r="YW8">
        <v>188</v>
      </c>
      <c r="YX8" s="16">
        <v>44341</v>
      </c>
      <c r="YY8">
        <v>92119</v>
      </c>
      <c r="YZ8">
        <v>152</v>
      </c>
      <c r="ZA8" s="16">
        <v>44342</v>
      </c>
      <c r="ZB8">
        <v>92263</v>
      </c>
      <c r="ZC8">
        <v>142</v>
      </c>
      <c r="ZD8" s="16">
        <v>44353</v>
      </c>
      <c r="ZE8">
        <v>93393</v>
      </c>
      <c r="ZF8">
        <v>59</v>
      </c>
      <c r="ZG8" s="16">
        <v>44354</v>
      </c>
      <c r="ZH8">
        <v>93540</v>
      </c>
      <c r="ZI8">
        <v>139</v>
      </c>
      <c r="ZJ8" s="16">
        <v>44355</v>
      </c>
      <c r="ZK8">
        <v>93641</v>
      </c>
      <c r="ZL8">
        <v>101</v>
      </c>
      <c r="ZM8" s="16">
        <v>44356</v>
      </c>
      <c r="ZN8">
        <v>93724</v>
      </c>
      <c r="ZO8">
        <v>81</v>
      </c>
      <c r="ZP8" s="16">
        <v>44357</v>
      </c>
      <c r="ZQ8">
        <v>93791</v>
      </c>
      <c r="ZR8">
        <v>75</v>
      </c>
      <c r="ZS8" s="16">
        <v>44361</v>
      </c>
      <c r="ZT8">
        <v>94044</v>
      </c>
      <c r="ZU8">
        <v>92</v>
      </c>
      <c r="ZV8" s="16">
        <v>44362</v>
      </c>
      <c r="ZW8">
        <v>94121</v>
      </c>
      <c r="ZX8">
        <v>77</v>
      </c>
      <c r="ZY8" s="16">
        <v>44363</v>
      </c>
      <c r="ZZ8">
        <v>94186</v>
      </c>
      <c r="AAA8">
        <v>65</v>
      </c>
      <c r="AAB8" s="16">
        <v>44364</v>
      </c>
      <c r="AAC8">
        <v>94280</v>
      </c>
      <c r="AAD8">
        <v>91</v>
      </c>
      <c r="AAE8" s="16">
        <v>44365</v>
      </c>
      <c r="AAF8">
        <v>94360</v>
      </c>
      <c r="AAG8">
        <v>79</v>
      </c>
      <c r="AAH8" s="16">
        <v>44368</v>
      </c>
      <c r="AAI8">
        <v>94609</v>
      </c>
      <c r="AAJ8">
        <v>112</v>
      </c>
      <c r="AAK8" s="16">
        <v>44369</v>
      </c>
      <c r="AAL8">
        <v>94724</v>
      </c>
      <c r="AAM8">
        <v>110</v>
      </c>
      <c r="AAN8" s="16">
        <v>44371</v>
      </c>
      <c r="AAO8">
        <v>95027</v>
      </c>
      <c r="AAP8">
        <v>160</v>
      </c>
      <c r="AAQ8" s="16">
        <v>44371</v>
      </c>
      <c r="AAR8">
        <v>95038</v>
      </c>
      <c r="AAS8">
        <v>160</v>
      </c>
      <c r="AAT8" s="16">
        <v>44372</v>
      </c>
      <c r="AAU8">
        <v>95233</v>
      </c>
      <c r="AAV8">
        <v>196</v>
      </c>
      <c r="AAW8" s="16">
        <v>44374</v>
      </c>
      <c r="AAX8">
        <v>95483</v>
      </c>
      <c r="AAY8">
        <v>119</v>
      </c>
      <c r="AAZ8" s="16">
        <v>44374</v>
      </c>
      <c r="ABA8">
        <v>95485</v>
      </c>
      <c r="ABB8">
        <v>119</v>
      </c>
      <c r="ABC8" s="16">
        <v>44375</v>
      </c>
      <c r="ABD8">
        <v>95715</v>
      </c>
      <c r="ABE8">
        <v>230</v>
      </c>
      <c r="ABF8" s="16">
        <v>44377</v>
      </c>
      <c r="ABG8">
        <v>96170</v>
      </c>
      <c r="ABH8">
        <v>195</v>
      </c>
      <c r="ABI8" s="16">
        <v>44377</v>
      </c>
      <c r="ABJ8">
        <v>96171</v>
      </c>
      <c r="ABK8">
        <v>196</v>
      </c>
      <c r="ABL8" s="16">
        <v>44378</v>
      </c>
      <c r="ABM8">
        <v>96378</v>
      </c>
      <c r="ABN8">
        <v>207</v>
      </c>
      <c r="ABO8" s="16">
        <v>44379</v>
      </c>
      <c r="ABP8">
        <v>96545</v>
      </c>
      <c r="ABQ8">
        <v>167</v>
      </c>
      <c r="ABR8" s="16">
        <v>44380</v>
      </c>
      <c r="ABS8">
        <v>96674</v>
      </c>
      <c r="ABT8">
        <v>129</v>
      </c>
      <c r="ABU8" s="16">
        <v>44381</v>
      </c>
      <c r="ABV8">
        <v>96784</v>
      </c>
      <c r="ABW8">
        <v>108</v>
      </c>
      <c r="ABX8" s="16">
        <v>44382</v>
      </c>
      <c r="ABY8">
        <v>97030</v>
      </c>
      <c r="ABZ8">
        <v>243</v>
      </c>
      <c r="ACA8" s="16">
        <v>44383</v>
      </c>
      <c r="ACB8">
        <v>97294</v>
      </c>
      <c r="ACC8">
        <v>260</v>
      </c>
      <c r="ACD8" s="16">
        <v>44384</v>
      </c>
      <c r="ACE8">
        <v>97585</v>
      </c>
      <c r="ACF8">
        <v>291</v>
      </c>
      <c r="ACG8" s="16">
        <v>44385</v>
      </c>
      <c r="ACH8">
        <v>97871</v>
      </c>
      <c r="ACI8">
        <v>285</v>
      </c>
      <c r="ACJ8" s="16">
        <v>44386</v>
      </c>
      <c r="ACK8">
        <v>98177</v>
      </c>
      <c r="ACL8">
        <v>311</v>
      </c>
      <c r="ACM8" s="16">
        <v>44389</v>
      </c>
      <c r="ACN8">
        <v>98813</v>
      </c>
      <c r="ACO8">
        <v>329</v>
      </c>
      <c r="ACP8" s="16">
        <v>44390</v>
      </c>
      <c r="ACQ8">
        <v>99154</v>
      </c>
      <c r="ACR8">
        <v>341</v>
      </c>
      <c r="ACS8" s="16">
        <v>44391</v>
      </c>
      <c r="ACT8">
        <v>99540</v>
      </c>
      <c r="ACU8">
        <v>386</v>
      </c>
      <c r="ACV8" s="16">
        <v>44392</v>
      </c>
      <c r="ACW8">
        <v>99919</v>
      </c>
      <c r="ACX8">
        <v>379</v>
      </c>
      <c r="ACY8" s="16">
        <v>44393</v>
      </c>
      <c r="ACZ8">
        <v>100275</v>
      </c>
      <c r="ADA8">
        <v>355</v>
      </c>
      <c r="ADB8" s="16">
        <v>44394</v>
      </c>
      <c r="ADC8">
        <v>100479</v>
      </c>
      <c r="ADD8">
        <v>203</v>
      </c>
      <c r="ADE8" s="16">
        <v>44395</v>
      </c>
      <c r="ADF8">
        <v>100727</v>
      </c>
      <c r="ADG8">
        <v>248</v>
      </c>
      <c r="ADH8" s="16">
        <v>44396</v>
      </c>
      <c r="ADI8">
        <v>101148</v>
      </c>
      <c r="ADJ8">
        <v>421</v>
      </c>
      <c r="ADK8" s="16">
        <v>44397</v>
      </c>
      <c r="ADL8">
        <v>101572</v>
      </c>
      <c r="ADM8">
        <v>424</v>
      </c>
      <c r="ADN8" s="16">
        <v>44398</v>
      </c>
      <c r="ADO8">
        <v>102040</v>
      </c>
      <c r="ADP8">
        <v>468</v>
      </c>
      <c r="ADQ8" s="16">
        <v>44399</v>
      </c>
      <c r="ADR8">
        <v>102526</v>
      </c>
      <c r="ADS8">
        <v>486</v>
      </c>
      <c r="ADT8" s="16">
        <v>44400</v>
      </c>
      <c r="ADU8">
        <v>103009</v>
      </c>
      <c r="ADV8">
        <v>481</v>
      </c>
      <c r="ADW8" s="16">
        <v>44403</v>
      </c>
      <c r="ADX8">
        <v>104428</v>
      </c>
      <c r="ADY8">
        <v>766</v>
      </c>
      <c r="ADZ8" s="16">
        <v>44404</v>
      </c>
      <c r="AEA8">
        <v>105107</v>
      </c>
      <c r="AEB8">
        <v>680</v>
      </c>
      <c r="AEC8" s="16">
        <v>44405</v>
      </c>
      <c r="AED8">
        <v>105953</v>
      </c>
      <c r="AEE8">
        <v>846</v>
      </c>
      <c r="AEF8" s="16">
        <v>44406</v>
      </c>
      <c r="AEG8">
        <v>106719</v>
      </c>
      <c r="AEH8">
        <v>768</v>
      </c>
      <c r="AEI8" s="16">
        <v>44407</v>
      </c>
      <c r="AEJ8">
        <v>107415</v>
      </c>
      <c r="AEK8">
        <v>695</v>
      </c>
      <c r="AEL8" s="16">
        <v>44410</v>
      </c>
      <c r="AEM8">
        <v>109193</v>
      </c>
      <c r="AEN8">
        <v>893</v>
      </c>
      <c r="AEO8" s="16">
        <v>44411</v>
      </c>
      <c r="AEP8">
        <v>110035</v>
      </c>
      <c r="AEQ8">
        <v>840</v>
      </c>
      <c r="AER8" s="16">
        <v>44412</v>
      </c>
      <c r="AES8">
        <v>110818</v>
      </c>
      <c r="AET8">
        <v>784</v>
      </c>
      <c r="AEU8" s="16">
        <v>44413</v>
      </c>
      <c r="AEV8">
        <v>111686</v>
      </c>
      <c r="AEW8">
        <v>869</v>
      </c>
      <c r="AEX8" s="16">
        <v>44415</v>
      </c>
      <c r="AEY8">
        <v>112853</v>
      </c>
      <c r="AEZ8">
        <v>482</v>
      </c>
      <c r="AFA8" s="16">
        <v>44416</v>
      </c>
      <c r="AFB8">
        <v>113392</v>
      </c>
      <c r="AFC8">
        <v>537</v>
      </c>
      <c r="AFD8">
        <v>44421</v>
      </c>
      <c r="AFE8">
        <v>117709</v>
      </c>
      <c r="AFF8">
        <v>740</v>
      </c>
      <c r="AFG8">
        <v>44422</v>
      </c>
      <c r="AFH8">
        <v>118140</v>
      </c>
      <c r="AFI8">
        <v>426</v>
      </c>
      <c r="AFJ8">
        <v>44424</v>
      </c>
      <c r="AFK8">
        <v>119355</v>
      </c>
      <c r="AFL8">
        <v>768</v>
      </c>
      <c r="AFM8">
        <v>44427</v>
      </c>
      <c r="AFN8">
        <v>121469</v>
      </c>
      <c r="AFO8">
        <v>669</v>
      </c>
      <c r="AFP8">
        <v>44428</v>
      </c>
      <c r="AFQ8">
        <v>122124</v>
      </c>
      <c r="AFR8">
        <v>655</v>
      </c>
      <c r="AFS8">
        <v>44430</v>
      </c>
      <c r="AFT8">
        <v>122977</v>
      </c>
      <c r="AFU8">
        <v>456</v>
      </c>
      <c r="AFV8">
        <v>44431</v>
      </c>
      <c r="AFW8">
        <v>123659</v>
      </c>
      <c r="AFX8">
        <v>680</v>
      </c>
      <c r="AFY8">
        <v>44433</v>
      </c>
      <c r="AFZ8">
        <v>124960</v>
      </c>
      <c r="AGA8">
        <v>696</v>
      </c>
      <c r="AGB8">
        <v>44434</v>
      </c>
      <c r="AGC8">
        <v>125567</v>
      </c>
      <c r="AGD8">
        <v>606</v>
      </c>
      <c r="AGE8">
        <v>44437</v>
      </c>
      <c r="AGF8">
        <v>127173</v>
      </c>
      <c r="AGG8">
        <v>459</v>
      </c>
      <c r="AGH8">
        <v>44438</v>
      </c>
      <c r="AGI8">
        <v>127915</v>
      </c>
      <c r="AGJ8">
        <v>739</v>
      </c>
      <c r="AGK8">
        <v>44440</v>
      </c>
      <c r="AGL8">
        <v>129211</v>
      </c>
      <c r="AGM8">
        <v>648</v>
      </c>
      <c r="AGN8">
        <v>44440</v>
      </c>
      <c r="AGO8">
        <v>129212</v>
      </c>
      <c r="AGP8">
        <v>648</v>
      </c>
      <c r="AGQ8">
        <v>44441</v>
      </c>
      <c r="AGR8">
        <v>129862</v>
      </c>
      <c r="AGS8">
        <v>649</v>
      </c>
      <c r="AGT8">
        <v>44442</v>
      </c>
      <c r="AGU8">
        <v>130382</v>
      </c>
      <c r="AGV8">
        <v>520</v>
      </c>
      <c r="AGW8">
        <v>44444</v>
      </c>
      <c r="AGX8">
        <v>131059</v>
      </c>
      <c r="AGY8">
        <v>345</v>
      </c>
      <c r="AGZ8">
        <v>44446</v>
      </c>
      <c r="AHA8">
        <v>132159</v>
      </c>
      <c r="AHB8">
        <v>516</v>
      </c>
      <c r="AHC8">
        <v>44447</v>
      </c>
      <c r="AHD8">
        <v>132643</v>
      </c>
      <c r="AHE8">
        <v>482</v>
      </c>
      <c r="AHF8">
        <v>44448</v>
      </c>
      <c r="AHG8">
        <v>133102</v>
      </c>
      <c r="AHH8">
        <v>459</v>
      </c>
      <c r="AHI8">
        <v>44449</v>
      </c>
      <c r="AHJ8">
        <v>133598</v>
      </c>
      <c r="AHK8">
        <v>496</v>
      </c>
      <c r="AHL8">
        <v>44453</v>
      </c>
      <c r="AHM8">
        <v>135211</v>
      </c>
      <c r="AHN8">
        <v>474</v>
      </c>
      <c r="AHO8">
        <v>44454</v>
      </c>
      <c r="AHP8">
        <v>135663</v>
      </c>
      <c r="AHQ8">
        <v>452</v>
      </c>
      <c r="AHR8">
        <v>44455</v>
      </c>
      <c r="AHS8">
        <v>136095</v>
      </c>
      <c r="AHT8">
        <v>431</v>
      </c>
      <c r="AHU8">
        <v>44456</v>
      </c>
      <c r="AHV8">
        <v>136483</v>
      </c>
      <c r="AHW8">
        <v>388</v>
      </c>
      <c r="AHX8">
        <v>44457</v>
      </c>
      <c r="AHY8">
        <v>136724</v>
      </c>
      <c r="AHZ8">
        <v>239</v>
      </c>
      <c r="AIA8">
        <v>44461</v>
      </c>
      <c r="AIB8">
        <v>138466</v>
      </c>
      <c r="AIC8">
        <v>482</v>
      </c>
      <c r="AID8">
        <v>44465</v>
      </c>
      <c r="AIE8">
        <v>140025</v>
      </c>
      <c r="AIF8">
        <v>354</v>
      </c>
      <c r="AIG8">
        <v>44469</v>
      </c>
      <c r="AIH8">
        <v>142640</v>
      </c>
      <c r="AII8">
        <v>619</v>
      </c>
      <c r="AIJ8">
        <v>44470</v>
      </c>
      <c r="AIK8">
        <v>143182</v>
      </c>
      <c r="AIL8">
        <v>533</v>
      </c>
      <c r="AIM8">
        <v>44471</v>
      </c>
      <c r="AIN8">
        <v>143541</v>
      </c>
      <c r="AIO8">
        <v>359</v>
      </c>
      <c r="AIP8">
        <v>44474</v>
      </c>
      <c r="AIQ8">
        <v>145361</v>
      </c>
      <c r="AIR8">
        <v>683</v>
      </c>
      <c r="AIS8">
        <v>44475</v>
      </c>
      <c r="AIT8">
        <v>145899</v>
      </c>
      <c r="AIU8">
        <v>535</v>
      </c>
      <c r="AIV8">
        <v>44476</v>
      </c>
      <c r="AIW8">
        <v>146464</v>
      </c>
      <c r="AIX8">
        <v>560</v>
      </c>
      <c r="AIY8">
        <v>44477</v>
      </c>
      <c r="AIZ8">
        <v>147328</v>
      </c>
      <c r="AJA8">
        <v>592</v>
      </c>
      <c r="AJB8">
        <v>44478</v>
      </c>
      <c r="AJC8">
        <v>147754</v>
      </c>
      <c r="AJD8">
        <v>424</v>
      </c>
      <c r="AJE8">
        <v>44481</v>
      </c>
      <c r="AJF8">
        <v>149452</v>
      </c>
      <c r="AJG8">
        <v>609</v>
      </c>
      <c r="AJH8">
        <v>44482</v>
      </c>
      <c r="AJI8">
        <v>150123</v>
      </c>
      <c r="AJJ8">
        <v>637</v>
      </c>
      <c r="AJK8">
        <v>44483</v>
      </c>
      <c r="AJL8">
        <v>150682</v>
      </c>
      <c r="AJM8">
        <v>558</v>
      </c>
      <c r="AJN8">
        <v>44484</v>
      </c>
      <c r="AJO8">
        <v>151248</v>
      </c>
      <c r="AJP8">
        <v>563</v>
      </c>
      <c r="AJQ8">
        <v>44488</v>
      </c>
      <c r="AJR8">
        <v>153122</v>
      </c>
      <c r="AJS8">
        <v>550</v>
      </c>
      <c r="AJT8">
        <v>44489</v>
      </c>
      <c r="AJU8">
        <v>153641</v>
      </c>
      <c r="AJV8">
        <v>515</v>
      </c>
      <c r="AJW8">
        <v>44490</v>
      </c>
      <c r="AJX8">
        <v>154263</v>
      </c>
      <c r="AJY8">
        <v>623</v>
      </c>
      <c r="AJZ8">
        <v>44491</v>
      </c>
      <c r="AKA8">
        <v>154844</v>
      </c>
      <c r="AKB8">
        <v>578</v>
      </c>
      <c r="AKC8">
        <v>44492</v>
      </c>
      <c r="AKD8">
        <v>155217</v>
      </c>
      <c r="AKE8">
        <v>374</v>
      </c>
      <c r="AKF8">
        <v>44495</v>
      </c>
      <c r="AKG8">
        <v>157076</v>
      </c>
      <c r="AKH8">
        <v>678</v>
      </c>
      <c r="AKI8">
        <v>44498</v>
      </c>
      <c r="AKJ8">
        <v>158954</v>
      </c>
      <c r="AKK8">
        <v>652</v>
      </c>
      <c r="AKL8">
        <v>44500</v>
      </c>
      <c r="AKM8">
        <v>159799</v>
      </c>
      <c r="AKN8">
        <v>439</v>
      </c>
      <c r="AKO8">
        <v>44502</v>
      </c>
      <c r="AKP8">
        <v>161529</v>
      </c>
      <c r="AKQ8">
        <v>754</v>
      </c>
      <c r="AKR8">
        <v>44503</v>
      </c>
      <c r="AKS8">
        <v>162308</v>
      </c>
      <c r="AKT8">
        <v>769</v>
      </c>
      <c r="AKU8">
        <v>44505</v>
      </c>
      <c r="AKV8">
        <v>163955</v>
      </c>
      <c r="AKW8">
        <v>842</v>
      </c>
      <c r="AKX8">
        <v>44506</v>
      </c>
      <c r="AKY8">
        <v>164472</v>
      </c>
      <c r="AKZ8">
        <v>515</v>
      </c>
      <c r="ALA8">
        <v>44509</v>
      </c>
      <c r="ALB8">
        <v>166925</v>
      </c>
      <c r="ALC8">
        <v>831</v>
      </c>
      <c r="ALD8">
        <v>44510</v>
      </c>
      <c r="ALE8">
        <v>167897</v>
      </c>
      <c r="ALF8">
        <v>969</v>
      </c>
      <c r="ALG8">
        <v>44511</v>
      </c>
      <c r="ALH8">
        <v>168833</v>
      </c>
      <c r="ALI8">
        <v>934</v>
      </c>
      <c r="ALJ8">
        <v>44512</v>
      </c>
      <c r="ALK8">
        <v>169775</v>
      </c>
      <c r="ALL8">
        <v>947</v>
      </c>
      <c r="ALM8">
        <v>44520</v>
      </c>
      <c r="ALN8">
        <v>177871</v>
      </c>
      <c r="ALO8">
        <v>709</v>
      </c>
    </row>
    <row r="9" spans="1:1003">
      <c r="B9" t="str">
        <f t="shared" ca="1" si="2"/>
        <v>Ma 22</v>
      </c>
      <c r="C9" s="4">
        <f t="shared" ca="1" si="0"/>
        <v>44522</v>
      </c>
      <c r="D9" s="11">
        <f t="shared" ca="1" si="1"/>
        <v>179964</v>
      </c>
      <c r="E9">
        <f t="shared" ca="1" si="3"/>
        <v>1416</v>
      </c>
      <c r="F9" s="11">
        <f t="shared" ca="1" si="4"/>
        <v>0</v>
      </c>
      <c r="G9" s="11">
        <f t="shared" ca="1" si="5"/>
        <v>1416</v>
      </c>
      <c r="L9" s="3"/>
      <c r="N9" s="16">
        <v>44521</v>
      </c>
      <c r="O9">
        <v>178546</v>
      </c>
      <c r="P9">
        <v>675</v>
      </c>
      <c r="Q9" s="16">
        <v>44521</v>
      </c>
      <c r="R9">
        <v>178546</v>
      </c>
      <c r="S9">
        <v>675</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s="16">
        <v>44270</v>
      </c>
      <c r="RU9">
        <v>68731</v>
      </c>
      <c r="RV9">
        <v>891</v>
      </c>
      <c r="RW9" s="16">
        <v>44271</v>
      </c>
      <c r="RX9">
        <v>69494</v>
      </c>
      <c r="RY9">
        <v>763</v>
      </c>
      <c r="RZ9" s="16">
        <v>44272</v>
      </c>
      <c r="SA9">
        <v>70237</v>
      </c>
      <c r="SB9">
        <v>743</v>
      </c>
      <c r="SC9" s="16">
        <v>44273</v>
      </c>
      <c r="SD9">
        <v>70973</v>
      </c>
      <c r="SE9">
        <v>736</v>
      </c>
      <c r="SF9" s="16">
        <v>44274</v>
      </c>
      <c r="SG9">
        <v>71719</v>
      </c>
      <c r="SH9">
        <v>744</v>
      </c>
      <c r="SI9" s="16">
        <v>44275</v>
      </c>
      <c r="SJ9">
        <v>72122</v>
      </c>
      <c r="SK9">
        <v>403</v>
      </c>
      <c r="SL9" s="16">
        <v>44277</v>
      </c>
      <c r="SM9">
        <v>73306</v>
      </c>
      <c r="SN9">
        <v>766</v>
      </c>
      <c r="SO9" s="16">
        <v>44278</v>
      </c>
      <c r="SP9">
        <v>74027</v>
      </c>
      <c r="SQ9">
        <v>703</v>
      </c>
      <c r="SR9" s="16">
        <v>44279</v>
      </c>
      <c r="SS9">
        <v>74723</v>
      </c>
      <c r="ST9">
        <v>693</v>
      </c>
      <c r="SU9" s="16">
        <v>44280</v>
      </c>
      <c r="SV9">
        <v>75329</v>
      </c>
      <c r="SW9">
        <v>606</v>
      </c>
      <c r="SX9" s="16">
        <v>44282</v>
      </c>
      <c r="SY9">
        <v>76368</v>
      </c>
      <c r="SZ9">
        <v>350</v>
      </c>
      <c r="TA9" s="16">
        <v>44283</v>
      </c>
      <c r="TB9">
        <v>76740</v>
      </c>
      <c r="TC9">
        <v>369</v>
      </c>
      <c r="TD9" s="16">
        <v>44285</v>
      </c>
      <c r="TE9">
        <v>77961</v>
      </c>
      <c r="TF9">
        <v>568</v>
      </c>
      <c r="TG9" s="16">
        <v>44286</v>
      </c>
      <c r="TH9">
        <v>78515</v>
      </c>
      <c r="TI9">
        <v>550</v>
      </c>
      <c r="TJ9" s="16">
        <v>44287</v>
      </c>
      <c r="TK9">
        <v>79003</v>
      </c>
      <c r="TL9">
        <v>487</v>
      </c>
      <c r="TM9" s="16">
        <v>44288</v>
      </c>
      <c r="TN9">
        <v>79364</v>
      </c>
      <c r="TO9">
        <v>361</v>
      </c>
      <c r="TP9" s="16">
        <v>44290</v>
      </c>
      <c r="TQ9">
        <v>80007</v>
      </c>
      <c r="TR9">
        <v>320</v>
      </c>
      <c r="TS9" s="16">
        <v>44291</v>
      </c>
      <c r="TT9">
        <v>80369</v>
      </c>
      <c r="TU9">
        <v>359</v>
      </c>
      <c r="TV9" s="16">
        <v>44291</v>
      </c>
      <c r="TW9">
        <v>80375</v>
      </c>
      <c r="TX9">
        <v>359</v>
      </c>
      <c r="TY9" s="16">
        <v>44292</v>
      </c>
      <c r="TZ9">
        <v>80919</v>
      </c>
      <c r="UA9">
        <v>544</v>
      </c>
      <c r="UB9" s="16">
        <v>44294</v>
      </c>
      <c r="UC9">
        <v>81747</v>
      </c>
      <c r="UD9">
        <v>403</v>
      </c>
      <c r="UE9" s="16">
        <v>44294</v>
      </c>
      <c r="UF9">
        <v>81747</v>
      </c>
      <c r="UG9">
        <v>403</v>
      </c>
      <c r="UH9" s="16">
        <v>44295</v>
      </c>
      <c r="UI9">
        <v>82097</v>
      </c>
      <c r="UJ9">
        <v>348</v>
      </c>
      <c r="UK9" s="16">
        <v>44296</v>
      </c>
      <c r="UL9">
        <v>82323</v>
      </c>
      <c r="UM9">
        <v>225</v>
      </c>
      <c r="UN9" s="16">
        <v>44300</v>
      </c>
      <c r="UO9">
        <v>83636</v>
      </c>
      <c r="UP9">
        <v>345</v>
      </c>
      <c r="UQ9" s="16">
        <v>44301</v>
      </c>
      <c r="UR9">
        <v>83912</v>
      </c>
      <c r="US9">
        <v>274</v>
      </c>
      <c r="UT9" s="16">
        <v>44302</v>
      </c>
      <c r="UU9">
        <v>84177</v>
      </c>
      <c r="UV9">
        <v>264</v>
      </c>
      <c r="UW9" s="16">
        <v>44303</v>
      </c>
      <c r="UX9">
        <v>84350</v>
      </c>
      <c r="UY9">
        <v>171</v>
      </c>
      <c r="UZ9" s="16">
        <v>44305</v>
      </c>
      <c r="VA9">
        <v>84792</v>
      </c>
      <c r="VB9">
        <v>283</v>
      </c>
      <c r="VC9" s="16">
        <v>44305</v>
      </c>
      <c r="VD9">
        <v>84790</v>
      </c>
      <c r="VE9">
        <v>283</v>
      </c>
      <c r="VF9" s="16">
        <v>44306</v>
      </c>
      <c r="VG9">
        <v>85076</v>
      </c>
      <c r="VH9">
        <v>285</v>
      </c>
      <c r="VI9" s="16">
        <v>44308</v>
      </c>
      <c r="VJ9">
        <v>85567</v>
      </c>
      <c r="VK9">
        <v>258</v>
      </c>
      <c r="VL9" s="16">
        <v>44308</v>
      </c>
      <c r="VM9">
        <v>85567</v>
      </c>
      <c r="VN9">
        <v>258</v>
      </c>
      <c r="VO9" s="16">
        <v>44309</v>
      </c>
      <c r="VP9">
        <v>85822</v>
      </c>
      <c r="VQ9">
        <v>255</v>
      </c>
      <c r="VR9" s="16">
        <v>44310</v>
      </c>
      <c r="VS9">
        <v>85976</v>
      </c>
      <c r="VT9">
        <v>155</v>
      </c>
      <c r="VU9" s="16">
        <v>44312</v>
      </c>
      <c r="VV9">
        <v>86361</v>
      </c>
      <c r="VW9">
        <v>243</v>
      </c>
      <c r="VX9" s="16">
        <v>44312</v>
      </c>
      <c r="VY9">
        <v>86363</v>
      </c>
      <c r="VZ9">
        <v>243</v>
      </c>
      <c r="WA9" s="16">
        <v>44313</v>
      </c>
      <c r="WB9">
        <v>86595</v>
      </c>
      <c r="WC9">
        <v>228</v>
      </c>
      <c r="WD9" s="16">
        <v>44314</v>
      </c>
      <c r="WE9">
        <v>86868</v>
      </c>
      <c r="WF9">
        <v>273</v>
      </c>
      <c r="WG9" s="16">
        <v>44315</v>
      </c>
      <c r="WH9">
        <v>87069</v>
      </c>
      <c r="WI9">
        <v>201</v>
      </c>
      <c r="WJ9" s="16">
        <v>44317</v>
      </c>
      <c r="WK9">
        <v>87372</v>
      </c>
      <c r="WL9">
        <v>107</v>
      </c>
      <c r="WM9" s="16">
        <v>44317</v>
      </c>
      <c r="WN9">
        <v>87373</v>
      </c>
      <c r="WO9">
        <v>107</v>
      </c>
      <c r="WP9" s="16">
        <v>44320</v>
      </c>
      <c r="WQ9">
        <v>88033</v>
      </c>
      <c r="WR9">
        <v>205</v>
      </c>
      <c r="WS9" s="16">
        <v>44321</v>
      </c>
      <c r="WT9">
        <v>88299</v>
      </c>
      <c r="WU9">
        <v>266</v>
      </c>
      <c r="WV9" s="16">
        <v>44322</v>
      </c>
      <c r="WW9">
        <v>88535</v>
      </c>
      <c r="WX9">
        <v>234</v>
      </c>
      <c r="WY9" s="16">
        <v>44323</v>
      </c>
      <c r="WZ9">
        <v>88752</v>
      </c>
      <c r="XA9">
        <v>214</v>
      </c>
      <c r="XB9" s="16">
        <v>44324</v>
      </c>
      <c r="XC9">
        <v>88883</v>
      </c>
      <c r="XD9">
        <v>130</v>
      </c>
      <c r="XE9" s="16">
        <v>44326</v>
      </c>
      <c r="XF9">
        <v>89272</v>
      </c>
      <c r="XG9">
        <v>258</v>
      </c>
      <c r="XH9" s="16">
        <v>44326</v>
      </c>
      <c r="XI9">
        <v>89278</v>
      </c>
      <c r="XJ9">
        <v>258</v>
      </c>
      <c r="XK9" s="16">
        <v>44327</v>
      </c>
      <c r="XL9">
        <v>89492</v>
      </c>
      <c r="XM9">
        <v>214</v>
      </c>
      <c r="XN9" s="16">
        <v>44328</v>
      </c>
      <c r="XO9">
        <v>89748</v>
      </c>
      <c r="XP9">
        <v>256</v>
      </c>
      <c r="XQ9" s="16">
        <v>44329</v>
      </c>
      <c r="XR9">
        <v>89903</v>
      </c>
      <c r="XS9">
        <v>155</v>
      </c>
      <c r="XT9" s="16">
        <v>44330</v>
      </c>
      <c r="XU9">
        <v>90150</v>
      </c>
      <c r="XV9">
        <v>244</v>
      </c>
      <c r="XW9" s="16">
        <v>44331</v>
      </c>
      <c r="XX9">
        <v>90313</v>
      </c>
      <c r="XY9">
        <v>160</v>
      </c>
      <c r="XZ9" s="16">
        <v>44332</v>
      </c>
      <c r="YA9">
        <v>90447</v>
      </c>
      <c r="YB9">
        <v>133</v>
      </c>
      <c r="YC9" s="16">
        <v>44334</v>
      </c>
      <c r="YD9">
        <v>90949</v>
      </c>
      <c r="YE9">
        <v>216</v>
      </c>
      <c r="YF9" s="16">
        <v>44335</v>
      </c>
      <c r="YG9">
        <v>91181</v>
      </c>
      <c r="YH9">
        <v>230</v>
      </c>
      <c r="YI9" s="16">
        <v>44336</v>
      </c>
      <c r="YJ9">
        <v>91396</v>
      </c>
      <c r="YK9">
        <v>215</v>
      </c>
      <c r="YL9" s="16">
        <v>44337</v>
      </c>
      <c r="YM9">
        <v>91566</v>
      </c>
      <c r="YN9">
        <v>170</v>
      </c>
      <c r="YO9" s="16">
        <v>44338</v>
      </c>
      <c r="YP9">
        <v>91678</v>
      </c>
      <c r="YQ9">
        <v>108</v>
      </c>
      <c r="YR9" s="16">
        <v>44339</v>
      </c>
      <c r="YS9">
        <v>91771</v>
      </c>
      <c r="YT9">
        <v>93</v>
      </c>
      <c r="YU9" s="16">
        <v>44341</v>
      </c>
      <c r="YV9">
        <v>92119</v>
      </c>
      <c r="YW9">
        <v>152</v>
      </c>
      <c r="YX9" s="16">
        <v>44342</v>
      </c>
      <c r="YY9">
        <v>92261</v>
      </c>
      <c r="YZ9">
        <v>142</v>
      </c>
      <c r="ZA9" s="16">
        <v>44343</v>
      </c>
      <c r="ZB9">
        <v>92390</v>
      </c>
      <c r="ZC9">
        <v>127</v>
      </c>
      <c r="ZD9" s="16">
        <v>44354</v>
      </c>
      <c r="ZE9">
        <v>93529</v>
      </c>
      <c r="ZF9">
        <v>136</v>
      </c>
      <c r="ZG9" s="16">
        <v>44355</v>
      </c>
      <c r="ZH9">
        <v>93641</v>
      </c>
      <c r="ZI9">
        <v>101</v>
      </c>
      <c r="ZJ9" s="16">
        <v>44356</v>
      </c>
      <c r="ZK9">
        <v>93722</v>
      </c>
      <c r="ZL9">
        <v>81</v>
      </c>
      <c r="ZM9" s="16">
        <v>44357</v>
      </c>
      <c r="ZN9">
        <v>93799</v>
      </c>
      <c r="ZO9">
        <v>75</v>
      </c>
      <c r="ZP9" s="16">
        <v>44358</v>
      </c>
      <c r="ZQ9">
        <v>93861</v>
      </c>
      <c r="ZR9">
        <v>70</v>
      </c>
      <c r="ZS9" s="16">
        <v>44362</v>
      </c>
      <c r="ZT9">
        <v>94120</v>
      </c>
      <c r="ZU9">
        <v>76</v>
      </c>
      <c r="ZV9" s="16">
        <v>44363</v>
      </c>
      <c r="ZW9">
        <v>94186</v>
      </c>
      <c r="ZX9">
        <v>65</v>
      </c>
      <c r="ZY9" s="16">
        <v>44364</v>
      </c>
      <c r="ZZ9">
        <v>94279</v>
      </c>
      <c r="AAA9">
        <v>93</v>
      </c>
      <c r="AAB9" s="16">
        <v>44365</v>
      </c>
      <c r="AAC9">
        <v>94359</v>
      </c>
      <c r="AAD9">
        <v>79</v>
      </c>
      <c r="AAE9" s="16">
        <v>44366</v>
      </c>
      <c r="AAF9">
        <v>94417</v>
      </c>
      <c r="AAG9">
        <v>57</v>
      </c>
      <c r="AAH9" s="16">
        <v>44369</v>
      </c>
      <c r="AAI9">
        <v>94719</v>
      </c>
      <c r="AAJ9">
        <v>110</v>
      </c>
      <c r="AAK9" s="16">
        <v>44370</v>
      </c>
      <c r="AAL9">
        <v>94869</v>
      </c>
      <c r="AAM9">
        <v>145</v>
      </c>
      <c r="AAN9" s="16">
        <v>44372</v>
      </c>
      <c r="AAO9">
        <v>95223</v>
      </c>
      <c r="AAP9">
        <v>196</v>
      </c>
      <c r="AAQ9" s="16">
        <v>44372</v>
      </c>
      <c r="AAR9">
        <v>95234</v>
      </c>
      <c r="AAS9">
        <v>196</v>
      </c>
      <c r="AAT9" s="16">
        <v>44373</v>
      </c>
      <c r="AAU9">
        <v>95362</v>
      </c>
      <c r="AAV9">
        <v>129</v>
      </c>
      <c r="AAW9" s="16">
        <v>44375</v>
      </c>
      <c r="AAX9">
        <v>95713</v>
      </c>
      <c r="AAY9">
        <v>230</v>
      </c>
      <c r="AAZ9" s="16">
        <v>44375</v>
      </c>
      <c r="ABA9">
        <v>95715</v>
      </c>
      <c r="ABB9">
        <v>230</v>
      </c>
      <c r="ABC9" s="16">
        <v>44376</v>
      </c>
      <c r="ABD9">
        <v>95976</v>
      </c>
      <c r="ABE9">
        <v>261</v>
      </c>
      <c r="ABF9" s="16">
        <v>44378</v>
      </c>
      <c r="ABG9">
        <v>96378</v>
      </c>
      <c r="ABH9">
        <v>208</v>
      </c>
      <c r="ABI9" s="16">
        <v>44378</v>
      </c>
      <c r="ABJ9">
        <v>96379</v>
      </c>
      <c r="ABK9">
        <v>208</v>
      </c>
      <c r="ABL9" s="16">
        <v>44379</v>
      </c>
      <c r="ABM9">
        <v>96545</v>
      </c>
      <c r="ABN9">
        <v>167</v>
      </c>
      <c r="ABO9" s="16">
        <v>44380</v>
      </c>
      <c r="ABP9">
        <v>96674</v>
      </c>
      <c r="ABQ9">
        <v>129</v>
      </c>
      <c r="ABR9" s="16">
        <v>44381</v>
      </c>
      <c r="ABS9">
        <v>96782</v>
      </c>
      <c r="ABT9">
        <v>108</v>
      </c>
      <c r="ABU9" s="16">
        <v>44382</v>
      </c>
      <c r="ABV9">
        <v>97027</v>
      </c>
      <c r="ABW9">
        <v>243</v>
      </c>
      <c r="ABX9" s="16">
        <v>44383</v>
      </c>
      <c r="ABY9">
        <v>97290</v>
      </c>
      <c r="ABZ9">
        <v>260</v>
      </c>
      <c r="ACA9" s="16">
        <v>44384</v>
      </c>
      <c r="ACB9">
        <v>97585</v>
      </c>
      <c r="ACC9">
        <v>291</v>
      </c>
      <c r="ACD9" s="16">
        <v>44385</v>
      </c>
      <c r="ACE9">
        <v>97870</v>
      </c>
      <c r="ACF9">
        <v>285</v>
      </c>
      <c r="ACG9" s="16">
        <v>44386</v>
      </c>
      <c r="ACH9">
        <v>98182</v>
      </c>
      <c r="ACI9">
        <v>311</v>
      </c>
      <c r="ACJ9" s="16">
        <v>44387</v>
      </c>
      <c r="ACK9">
        <v>98327</v>
      </c>
      <c r="ACL9">
        <v>150</v>
      </c>
      <c r="ACM9" s="16">
        <v>44390</v>
      </c>
      <c r="ACN9">
        <v>99153</v>
      </c>
      <c r="ACO9">
        <v>340</v>
      </c>
      <c r="ACP9" s="16">
        <v>44391</v>
      </c>
      <c r="ACQ9">
        <v>99540</v>
      </c>
      <c r="ACR9">
        <v>386</v>
      </c>
      <c r="ACS9" s="16">
        <v>44392</v>
      </c>
      <c r="ACT9">
        <v>99919</v>
      </c>
      <c r="ACU9">
        <v>379</v>
      </c>
      <c r="ACV9" s="16">
        <v>44393</v>
      </c>
      <c r="ACW9">
        <v>100274</v>
      </c>
      <c r="ACX9">
        <v>355</v>
      </c>
      <c r="ACY9" s="16">
        <v>44394</v>
      </c>
      <c r="ACZ9">
        <v>100478</v>
      </c>
      <c r="ADA9">
        <v>203</v>
      </c>
      <c r="ADB9" s="16">
        <v>44395</v>
      </c>
      <c r="ADC9">
        <v>100727</v>
      </c>
      <c r="ADD9">
        <v>248</v>
      </c>
      <c r="ADE9" s="16">
        <v>44396</v>
      </c>
      <c r="ADF9">
        <v>101148</v>
      </c>
      <c r="ADG9">
        <v>421</v>
      </c>
      <c r="ADH9" s="16">
        <v>44397</v>
      </c>
      <c r="ADI9">
        <v>101572</v>
      </c>
      <c r="ADJ9">
        <v>424</v>
      </c>
      <c r="ADK9" s="16">
        <v>44398</v>
      </c>
      <c r="ADL9">
        <v>102040</v>
      </c>
      <c r="ADM9">
        <v>468</v>
      </c>
      <c r="ADN9" s="16">
        <v>44399</v>
      </c>
      <c r="ADO9">
        <v>102526</v>
      </c>
      <c r="ADP9">
        <v>486</v>
      </c>
      <c r="ADQ9" s="16">
        <v>44400</v>
      </c>
      <c r="ADR9">
        <v>103007</v>
      </c>
      <c r="ADS9">
        <v>481</v>
      </c>
      <c r="ADT9" s="16">
        <v>44401</v>
      </c>
      <c r="ADU9">
        <v>103308</v>
      </c>
      <c r="ADV9">
        <v>299</v>
      </c>
      <c r="ADW9" s="16">
        <v>44404</v>
      </c>
      <c r="ADX9">
        <v>105106</v>
      </c>
      <c r="ADY9">
        <v>678</v>
      </c>
      <c r="ADZ9" s="16">
        <v>44405</v>
      </c>
      <c r="AEA9">
        <v>105953</v>
      </c>
      <c r="AEB9">
        <v>846</v>
      </c>
      <c r="AEC9" s="16">
        <v>44406</v>
      </c>
      <c r="AED9">
        <v>106721</v>
      </c>
      <c r="AEE9">
        <v>768</v>
      </c>
      <c r="AEF9" s="16">
        <v>44407</v>
      </c>
      <c r="AEG9">
        <v>107414</v>
      </c>
      <c r="AEH9">
        <v>695</v>
      </c>
      <c r="AEI9" s="16">
        <v>44408</v>
      </c>
      <c r="AEJ9">
        <v>107822</v>
      </c>
      <c r="AEK9">
        <v>407</v>
      </c>
      <c r="AEL9" s="16">
        <v>44411</v>
      </c>
      <c r="AEM9">
        <v>110033</v>
      </c>
      <c r="AEN9">
        <v>840</v>
      </c>
      <c r="AEO9" s="16">
        <v>44412</v>
      </c>
      <c r="AEP9">
        <v>110819</v>
      </c>
      <c r="AEQ9">
        <v>784</v>
      </c>
      <c r="AER9" s="16">
        <v>44413</v>
      </c>
      <c r="AES9">
        <v>111687</v>
      </c>
      <c r="AET9">
        <v>869</v>
      </c>
      <c r="AEU9" s="16">
        <v>44414</v>
      </c>
      <c r="AEV9">
        <v>112373</v>
      </c>
      <c r="AEW9">
        <v>687</v>
      </c>
      <c r="AEX9" s="16">
        <v>44416</v>
      </c>
      <c r="AEY9">
        <v>113388</v>
      </c>
      <c r="AEZ9">
        <v>535</v>
      </c>
      <c r="AFA9" s="16">
        <v>44417</v>
      </c>
      <c r="AFB9">
        <v>114428</v>
      </c>
      <c r="AFC9">
        <v>1036</v>
      </c>
      <c r="AFD9">
        <v>44422</v>
      </c>
      <c r="AFE9">
        <v>118135</v>
      </c>
      <c r="AFF9">
        <v>426</v>
      </c>
      <c r="AFG9">
        <v>44423</v>
      </c>
      <c r="AFH9">
        <v>118582</v>
      </c>
      <c r="AFI9">
        <v>442</v>
      </c>
      <c r="AFJ9">
        <v>44425</v>
      </c>
      <c r="AFK9">
        <v>120095</v>
      </c>
      <c r="AFL9">
        <v>740</v>
      </c>
      <c r="AFM9">
        <v>44428</v>
      </c>
      <c r="AFN9">
        <v>122124</v>
      </c>
      <c r="AFO9">
        <v>655</v>
      </c>
      <c r="AFP9">
        <v>44429</v>
      </c>
      <c r="AFQ9">
        <v>122521</v>
      </c>
      <c r="AFR9">
        <v>397</v>
      </c>
      <c r="AFS9">
        <v>44431</v>
      </c>
      <c r="AFT9">
        <v>123657</v>
      </c>
      <c r="AFU9">
        <v>680</v>
      </c>
      <c r="AFV9">
        <v>44432</v>
      </c>
      <c r="AFW9">
        <v>124264</v>
      </c>
      <c r="AFX9">
        <v>605</v>
      </c>
      <c r="AFY9">
        <v>44434</v>
      </c>
      <c r="AFZ9">
        <v>125566</v>
      </c>
      <c r="AGA9">
        <v>606</v>
      </c>
      <c r="AGB9">
        <v>44435</v>
      </c>
      <c r="AGC9">
        <v>126271</v>
      </c>
      <c r="AGD9">
        <v>704</v>
      </c>
      <c r="AGE9">
        <v>44438</v>
      </c>
      <c r="AGF9">
        <v>127912</v>
      </c>
      <c r="AGG9">
        <v>739</v>
      </c>
      <c r="AGH9">
        <v>44439</v>
      </c>
      <c r="AGI9">
        <v>128563</v>
      </c>
      <c r="AGJ9">
        <v>648</v>
      </c>
      <c r="AGK9">
        <v>44441</v>
      </c>
      <c r="AGL9">
        <v>129860</v>
      </c>
      <c r="AGM9">
        <v>649</v>
      </c>
      <c r="AGN9">
        <v>44441</v>
      </c>
      <c r="AGO9">
        <v>129861</v>
      </c>
      <c r="AGP9">
        <v>649</v>
      </c>
      <c r="AGQ9">
        <v>44442</v>
      </c>
      <c r="AGR9">
        <v>130382</v>
      </c>
      <c r="AGS9">
        <v>520</v>
      </c>
      <c r="AGT9">
        <v>44443</v>
      </c>
      <c r="AGU9">
        <v>130717</v>
      </c>
      <c r="AGV9">
        <v>335</v>
      </c>
      <c r="AGW9">
        <v>44445</v>
      </c>
      <c r="AGX9">
        <v>131639</v>
      </c>
      <c r="AGY9">
        <v>580</v>
      </c>
      <c r="AGZ9">
        <v>44447</v>
      </c>
      <c r="AHA9">
        <v>132641</v>
      </c>
      <c r="AHB9">
        <v>482</v>
      </c>
      <c r="AHC9">
        <v>44448</v>
      </c>
      <c r="AHD9">
        <v>133102</v>
      </c>
      <c r="AHE9">
        <v>459</v>
      </c>
      <c r="AHF9">
        <v>44449</v>
      </c>
      <c r="AHG9">
        <v>133598</v>
      </c>
      <c r="AHH9">
        <v>496</v>
      </c>
      <c r="AHI9">
        <v>44450</v>
      </c>
      <c r="AHJ9">
        <v>133924</v>
      </c>
      <c r="AHK9">
        <v>326</v>
      </c>
      <c r="AHL9">
        <v>44454</v>
      </c>
      <c r="AHM9">
        <v>135667</v>
      </c>
      <c r="AHN9">
        <v>456</v>
      </c>
      <c r="AHO9">
        <v>44455</v>
      </c>
      <c r="AHP9">
        <v>136094</v>
      </c>
      <c r="AHQ9">
        <v>431</v>
      </c>
      <c r="AHR9">
        <v>44456</v>
      </c>
      <c r="AHS9">
        <v>136483</v>
      </c>
      <c r="AHT9">
        <v>388</v>
      </c>
      <c r="AHU9">
        <v>44457</v>
      </c>
      <c r="AHV9">
        <v>136722</v>
      </c>
      <c r="AHW9">
        <v>239</v>
      </c>
      <c r="AHX9">
        <v>44458</v>
      </c>
      <c r="AHY9">
        <v>137005</v>
      </c>
      <c r="AHZ9">
        <v>281</v>
      </c>
      <c r="AIA9">
        <v>44462</v>
      </c>
      <c r="AIB9">
        <v>138945</v>
      </c>
      <c r="AIC9">
        <v>479</v>
      </c>
      <c r="AID9">
        <v>44466</v>
      </c>
      <c r="AIE9">
        <v>140708</v>
      </c>
      <c r="AIF9">
        <v>683</v>
      </c>
      <c r="AIG9">
        <v>44470</v>
      </c>
      <c r="AIH9">
        <v>143172</v>
      </c>
      <c r="AII9">
        <v>532</v>
      </c>
      <c r="AIJ9">
        <v>44471</v>
      </c>
      <c r="AIK9">
        <v>143541</v>
      </c>
      <c r="AIL9">
        <v>359</v>
      </c>
      <c r="AIM9">
        <v>44472</v>
      </c>
      <c r="AIN9">
        <v>143930</v>
      </c>
      <c r="AIO9">
        <v>389</v>
      </c>
      <c r="AIP9">
        <v>44475</v>
      </c>
      <c r="AIQ9">
        <v>145896</v>
      </c>
      <c r="AIR9">
        <v>535</v>
      </c>
      <c r="AIS9">
        <v>44476</v>
      </c>
      <c r="AIT9">
        <v>146459</v>
      </c>
      <c r="AIU9">
        <v>560</v>
      </c>
      <c r="AIV9">
        <v>44477</v>
      </c>
      <c r="AIW9">
        <v>147056</v>
      </c>
      <c r="AIX9">
        <v>592</v>
      </c>
      <c r="AIY9">
        <v>44478</v>
      </c>
      <c r="AIZ9">
        <v>147752</v>
      </c>
      <c r="AJA9">
        <v>424</v>
      </c>
      <c r="AJB9">
        <v>44479</v>
      </c>
      <c r="AJC9">
        <v>148149</v>
      </c>
      <c r="AJD9">
        <v>395</v>
      </c>
      <c r="AJE9">
        <v>44482</v>
      </c>
      <c r="AJF9">
        <v>150089</v>
      </c>
      <c r="AJG9">
        <v>637</v>
      </c>
      <c r="AJH9">
        <v>44483</v>
      </c>
      <c r="AJI9">
        <v>150681</v>
      </c>
      <c r="AJJ9">
        <v>558</v>
      </c>
      <c r="AJK9">
        <v>44484</v>
      </c>
      <c r="AJL9">
        <v>151245</v>
      </c>
      <c r="AJM9">
        <v>563</v>
      </c>
      <c r="AJN9">
        <v>44485</v>
      </c>
      <c r="AJO9">
        <v>151592</v>
      </c>
      <c r="AJP9">
        <v>344</v>
      </c>
      <c r="AJQ9">
        <v>44489</v>
      </c>
      <c r="AJR9">
        <v>153637</v>
      </c>
      <c r="AJS9">
        <v>515</v>
      </c>
      <c r="AJT9">
        <v>44490</v>
      </c>
      <c r="AJU9">
        <v>154264</v>
      </c>
      <c r="AJV9">
        <v>623</v>
      </c>
      <c r="AJW9">
        <v>44491</v>
      </c>
      <c r="AJX9">
        <v>154841</v>
      </c>
      <c r="AJY9">
        <v>578</v>
      </c>
      <c r="AJZ9">
        <v>44492</v>
      </c>
      <c r="AKA9">
        <v>155218</v>
      </c>
      <c r="AKB9">
        <v>374</v>
      </c>
      <c r="AKC9">
        <v>44493</v>
      </c>
      <c r="AKD9">
        <v>155606</v>
      </c>
      <c r="AKE9">
        <v>389</v>
      </c>
      <c r="AKF9">
        <v>44496</v>
      </c>
      <c r="AKG9">
        <v>157718</v>
      </c>
      <c r="AKH9">
        <v>642</v>
      </c>
      <c r="AKI9">
        <v>44499</v>
      </c>
      <c r="AKJ9">
        <v>159354</v>
      </c>
      <c r="AKK9">
        <v>400</v>
      </c>
      <c r="AKL9">
        <v>44501</v>
      </c>
      <c r="AKM9">
        <v>160771</v>
      </c>
      <c r="AKN9">
        <v>972</v>
      </c>
      <c r="AKO9">
        <v>44503</v>
      </c>
      <c r="AKP9">
        <v>162298</v>
      </c>
      <c r="AKQ9">
        <v>769</v>
      </c>
      <c r="AKR9">
        <v>44504</v>
      </c>
      <c r="AKS9">
        <v>163112</v>
      </c>
      <c r="AKT9">
        <v>804</v>
      </c>
      <c r="AKU9">
        <v>44506</v>
      </c>
      <c r="AKV9">
        <v>164470</v>
      </c>
      <c r="AKW9">
        <v>515</v>
      </c>
      <c r="AKX9">
        <v>44507</v>
      </c>
      <c r="AKY9">
        <v>164980</v>
      </c>
      <c r="AKZ9">
        <v>508</v>
      </c>
      <c r="ALA9">
        <v>44510</v>
      </c>
      <c r="ALB9">
        <v>167894</v>
      </c>
      <c r="ALC9">
        <v>969</v>
      </c>
      <c r="ALD9">
        <v>44511</v>
      </c>
      <c r="ALE9">
        <v>168831</v>
      </c>
      <c r="ALF9">
        <v>934</v>
      </c>
      <c r="ALG9">
        <v>44512</v>
      </c>
      <c r="ALH9">
        <v>169779</v>
      </c>
      <c r="ALI9">
        <v>946</v>
      </c>
      <c r="ALJ9">
        <v>44513</v>
      </c>
      <c r="ALK9">
        <v>170390</v>
      </c>
      <c r="ALL9">
        <v>615</v>
      </c>
      <c r="ALM9">
        <v>44521</v>
      </c>
      <c r="ALN9">
        <v>178546</v>
      </c>
      <c r="ALO9">
        <v>675</v>
      </c>
    </row>
    <row r="10" spans="1:1003">
      <c r="B10" t="str">
        <f t="shared" ca="1" si="2"/>
        <v>23.11</v>
      </c>
      <c r="C10" s="4">
        <f t="shared" ca="1" si="0"/>
        <v>44523</v>
      </c>
      <c r="D10" s="11">
        <f t="shared" ca="1" si="1"/>
        <v>181298</v>
      </c>
      <c r="E10">
        <f t="shared" ca="1" si="3"/>
        <v>1334</v>
      </c>
      <c r="F10" s="11">
        <f t="shared" ca="1" si="4"/>
        <v>1</v>
      </c>
      <c r="G10" s="11">
        <f t="shared" ca="1" si="5"/>
        <v>1333</v>
      </c>
      <c r="L10" s="10"/>
      <c r="N10" s="16">
        <v>44522</v>
      </c>
      <c r="O10">
        <v>179962</v>
      </c>
      <c r="P10">
        <v>1416</v>
      </c>
      <c r="Q10" s="16">
        <v>44522</v>
      </c>
      <c r="R10">
        <v>179962</v>
      </c>
      <c r="S10">
        <v>1416</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s="16">
        <v>44271</v>
      </c>
      <c r="RU10">
        <v>69494</v>
      </c>
      <c r="RV10">
        <v>763</v>
      </c>
      <c r="RW10" s="16">
        <v>44272</v>
      </c>
      <c r="RX10">
        <v>70237</v>
      </c>
      <c r="RY10">
        <v>743</v>
      </c>
      <c r="RZ10" s="16">
        <v>44273</v>
      </c>
      <c r="SA10">
        <v>70973</v>
      </c>
      <c r="SB10">
        <v>736</v>
      </c>
      <c r="SC10" s="16">
        <v>44274</v>
      </c>
      <c r="SD10">
        <v>71717</v>
      </c>
      <c r="SE10">
        <v>744</v>
      </c>
      <c r="SF10" s="16">
        <v>44275</v>
      </c>
      <c r="SG10">
        <v>72123</v>
      </c>
      <c r="SH10">
        <v>404</v>
      </c>
      <c r="SI10" s="16">
        <v>44276</v>
      </c>
      <c r="SJ10">
        <v>72539</v>
      </c>
      <c r="SK10">
        <v>417</v>
      </c>
      <c r="SL10" s="16">
        <v>44278</v>
      </c>
      <c r="SM10">
        <v>74009</v>
      </c>
      <c r="SN10">
        <v>703</v>
      </c>
      <c r="SO10" s="16">
        <v>44279</v>
      </c>
      <c r="SP10">
        <v>74720</v>
      </c>
      <c r="SQ10">
        <v>693</v>
      </c>
      <c r="SR10" s="16">
        <v>44280</v>
      </c>
      <c r="SS10">
        <v>75329</v>
      </c>
      <c r="ST10">
        <v>606</v>
      </c>
      <c r="SU10" s="16">
        <v>44281</v>
      </c>
      <c r="SV10">
        <v>76015</v>
      </c>
      <c r="SW10">
        <v>686</v>
      </c>
      <c r="SX10" s="16">
        <v>44283</v>
      </c>
      <c r="SY10">
        <v>76737</v>
      </c>
      <c r="SZ10">
        <v>369</v>
      </c>
      <c r="TA10" s="16">
        <v>44284</v>
      </c>
      <c r="TB10">
        <v>77393</v>
      </c>
      <c r="TC10">
        <v>653</v>
      </c>
      <c r="TD10" s="16">
        <v>44286</v>
      </c>
      <c r="TE10">
        <v>78511</v>
      </c>
      <c r="TF10">
        <v>550</v>
      </c>
      <c r="TG10" s="16">
        <v>44287</v>
      </c>
      <c r="TH10">
        <v>79002</v>
      </c>
      <c r="TI10">
        <v>487</v>
      </c>
      <c r="TJ10" s="16">
        <v>44288</v>
      </c>
      <c r="TK10">
        <v>79364</v>
      </c>
      <c r="TL10">
        <v>361</v>
      </c>
      <c r="TM10" s="16">
        <v>44289</v>
      </c>
      <c r="TN10">
        <v>79683</v>
      </c>
      <c r="TO10">
        <v>319</v>
      </c>
      <c r="TP10" s="16">
        <v>44291</v>
      </c>
      <c r="TQ10">
        <v>80366</v>
      </c>
      <c r="TR10">
        <v>359</v>
      </c>
      <c r="TS10" s="16">
        <v>44292</v>
      </c>
      <c r="TT10">
        <v>80912</v>
      </c>
      <c r="TU10">
        <v>543</v>
      </c>
      <c r="TV10" s="16">
        <v>44292</v>
      </c>
      <c r="TW10">
        <v>80918</v>
      </c>
      <c r="TX10">
        <v>543</v>
      </c>
      <c r="TY10" s="16">
        <v>44293</v>
      </c>
      <c r="TZ10">
        <v>81344</v>
      </c>
      <c r="UA10">
        <v>425</v>
      </c>
      <c r="UB10" s="16">
        <v>44295</v>
      </c>
      <c r="UC10">
        <v>82095</v>
      </c>
      <c r="UD10">
        <v>348</v>
      </c>
      <c r="UE10" s="16">
        <v>44295</v>
      </c>
      <c r="UF10">
        <v>82095</v>
      </c>
      <c r="UG10">
        <v>348</v>
      </c>
      <c r="UH10" s="16">
        <v>44296</v>
      </c>
      <c r="UI10">
        <v>82322</v>
      </c>
      <c r="UJ10">
        <v>225</v>
      </c>
      <c r="UK10" s="16">
        <v>44297</v>
      </c>
      <c r="UL10">
        <v>82561</v>
      </c>
      <c r="UM10">
        <v>238</v>
      </c>
      <c r="UN10" s="16">
        <v>44301</v>
      </c>
      <c r="UO10">
        <v>83911</v>
      </c>
      <c r="UP10">
        <v>275</v>
      </c>
      <c r="UQ10" s="16">
        <v>44302</v>
      </c>
      <c r="UR10">
        <v>84176</v>
      </c>
      <c r="US10">
        <v>264</v>
      </c>
      <c r="UT10" s="16">
        <v>44303</v>
      </c>
      <c r="UU10">
        <v>84348</v>
      </c>
      <c r="UV10">
        <v>171</v>
      </c>
      <c r="UW10" s="16">
        <v>44304</v>
      </c>
      <c r="UX10">
        <v>84505</v>
      </c>
      <c r="UY10">
        <v>155</v>
      </c>
      <c r="UZ10" s="16">
        <v>44306</v>
      </c>
      <c r="VA10">
        <v>85077</v>
      </c>
      <c r="VB10">
        <v>285</v>
      </c>
      <c r="VC10" s="16">
        <v>44306</v>
      </c>
      <c r="VD10">
        <v>85075</v>
      </c>
      <c r="VE10">
        <v>285</v>
      </c>
      <c r="VF10" s="16">
        <v>44307</v>
      </c>
      <c r="VG10">
        <v>85309</v>
      </c>
      <c r="VH10">
        <v>233</v>
      </c>
      <c r="VI10" s="16">
        <v>44309</v>
      </c>
      <c r="VJ10">
        <v>85822</v>
      </c>
      <c r="VK10">
        <v>255</v>
      </c>
      <c r="VL10" s="16">
        <v>44309</v>
      </c>
      <c r="VM10">
        <v>85822</v>
      </c>
      <c r="VN10">
        <v>255</v>
      </c>
      <c r="VO10" s="16">
        <v>44310</v>
      </c>
      <c r="VP10">
        <v>85977</v>
      </c>
      <c r="VQ10">
        <v>155</v>
      </c>
      <c r="VR10" s="16">
        <v>44311</v>
      </c>
      <c r="VS10">
        <v>86116</v>
      </c>
      <c r="VT10">
        <v>140</v>
      </c>
      <c r="VU10" s="16">
        <v>44313</v>
      </c>
      <c r="VV10">
        <v>86589</v>
      </c>
      <c r="VW10">
        <v>228</v>
      </c>
      <c r="VX10" s="16">
        <v>44313</v>
      </c>
      <c r="VY10">
        <v>86591</v>
      </c>
      <c r="VZ10">
        <v>228</v>
      </c>
      <c r="WA10" s="16">
        <v>44314</v>
      </c>
      <c r="WB10">
        <v>86868</v>
      </c>
      <c r="WC10">
        <v>273</v>
      </c>
      <c r="WD10" s="16">
        <v>44315</v>
      </c>
      <c r="WE10">
        <v>87069</v>
      </c>
      <c r="WF10">
        <v>201</v>
      </c>
      <c r="WG10" s="16">
        <v>44316</v>
      </c>
      <c r="WH10">
        <v>87264</v>
      </c>
      <c r="WI10">
        <v>195</v>
      </c>
      <c r="WJ10" s="16">
        <v>44318</v>
      </c>
      <c r="WK10">
        <v>87507</v>
      </c>
      <c r="WL10">
        <v>135</v>
      </c>
      <c r="WM10" s="16">
        <v>44318</v>
      </c>
      <c r="WN10">
        <v>87508</v>
      </c>
      <c r="WO10">
        <v>135</v>
      </c>
      <c r="WP10" s="16">
        <v>44321</v>
      </c>
      <c r="WQ10">
        <v>88299</v>
      </c>
      <c r="WR10">
        <v>266</v>
      </c>
      <c r="WS10" s="16">
        <v>44322</v>
      </c>
      <c r="WT10">
        <v>88533</v>
      </c>
      <c r="WU10">
        <v>234</v>
      </c>
      <c r="WV10" s="16">
        <v>44323</v>
      </c>
      <c r="WW10">
        <v>88749</v>
      </c>
      <c r="WX10">
        <v>214</v>
      </c>
      <c r="WY10" s="16">
        <v>44324</v>
      </c>
      <c r="WZ10">
        <v>88882</v>
      </c>
      <c r="XA10">
        <v>130</v>
      </c>
      <c r="XB10" s="16">
        <v>44325</v>
      </c>
      <c r="XC10">
        <v>89013</v>
      </c>
      <c r="XD10">
        <v>130</v>
      </c>
      <c r="XE10" s="16">
        <v>44327</v>
      </c>
      <c r="XF10">
        <v>89486</v>
      </c>
      <c r="XG10">
        <v>214</v>
      </c>
      <c r="XH10" s="16">
        <v>44327</v>
      </c>
      <c r="XI10">
        <v>89492</v>
      </c>
      <c r="XJ10">
        <v>214</v>
      </c>
      <c r="XK10" s="16">
        <v>44328</v>
      </c>
      <c r="XL10">
        <v>89748</v>
      </c>
      <c r="XM10">
        <v>256</v>
      </c>
      <c r="XN10" s="16">
        <v>44329</v>
      </c>
      <c r="XO10">
        <v>89903</v>
      </c>
      <c r="XP10">
        <v>155</v>
      </c>
      <c r="XQ10" s="16">
        <v>44330</v>
      </c>
      <c r="XR10">
        <v>90147</v>
      </c>
      <c r="XS10">
        <v>244</v>
      </c>
      <c r="XT10" s="16">
        <v>44331</v>
      </c>
      <c r="XU10">
        <v>90310</v>
      </c>
      <c r="XV10">
        <v>160</v>
      </c>
      <c r="XW10" s="16">
        <v>44332</v>
      </c>
      <c r="XX10">
        <v>90446</v>
      </c>
      <c r="XY10">
        <v>133</v>
      </c>
      <c r="XZ10" s="16">
        <v>44333</v>
      </c>
      <c r="YA10">
        <v>90731</v>
      </c>
      <c r="YB10">
        <v>284</v>
      </c>
      <c r="YC10" s="16">
        <v>44335</v>
      </c>
      <c r="YD10">
        <v>91179</v>
      </c>
      <c r="YE10">
        <v>230</v>
      </c>
      <c r="YF10" s="16">
        <v>44336</v>
      </c>
      <c r="YG10">
        <v>91396</v>
      </c>
      <c r="YH10">
        <v>215</v>
      </c>
      <c r="YI10" s="16">
        <v>44337</v>
      </c>
      <c r="YJ10">
        <v>91566</v>
      </c>
      <c r="YK10">
        <v>170</v>
      </c>
      <c r="YL10" s="16">
        <v>44338</v>
      </c>
      <c r="YM10">
        <v>91674</v>
      </c>
      <c r="YN10">
        <v>108</v>
      </c>
      <c r="YO10" s="16">
        <v>44339</v>
      </c>
      <c r="YP10">
        <v>91771</v>
      </c>
      <c r="YQ10">
        <v>93</v>
      </c>
      <c r="YR10" s="16">
        <v>44340</v>
      </c>
      <c r="YS10">
        <v>91959</v>
      </c>
      <c r="YT10">
        <v>188</v>
      </c>
      <c r="YU10" s="16">
        <v>44342</v>
      </c>
      <c r="YV10">
        <v>92261</v>
      </c>
      <c r="YW10">
        <v>142</v>
      </c>
      <c r="YX10" s="16">
        <v>44343</v>
      </c>
      <c r="YY10">
        <v>92388</v>
      </c>
      <c r="YZ10">
        <v>127</v>
      </c>
      <c r="ZA10" s="16">
        <v>44344</v>
      </c>
      <c r="ZB10">
        <v>92526</v>
      </c>
      <c r="ZC10">
        <v>136</v>
      </c>
      <c r="ZD10" s="16">
        <v>44355</v>
      </c>
      <c r="ZE10">
        <v>93630</v>
      </c>
      <c r="ZF10">
        <v>101</v>
      </c>
      <c r="ZG10" s="16">
        <v>44356</v>
      </c>
      <c r="ZH10">
        <v>93722</v>
      </c>
      <c r="ZI10">
        <v>81</v>
      </c>
      <c r="ZJ10" s="16">
        <v>44357</v>
      </c>
      <c r="ZK10">
        <v>93797</v>
      </c>
      <c r="ZL10">
        <v>75</v>
      </c>
      <c r="ZM10" s="16">
        <v>44358</v>
      </c>
      <c r="ZN10">
        <v>93869</v>
      </c>
      <c r="ZO10">
        <v>70</v>
      </c>
      <c r="ZP10" s="16">
        <v>44359</v>
      </c>
      <c r="ZQ10">
        <v>93906</v>
      </c>
      <c r="ZR10">
        <v>45</v>
      </c>
      <c r="ZS10" s="16">
        <v>44363</v>
      </c>
      <c r="ZT10">
        <v>94184</v>
      </c>
      <c r="ZU10">
        <v>64</v>
      </c>
      <c r="ZV10" s="16">
        <v>44364</v>
      </c>
      <c r="ZW10">
        <v>94279</v>
      </c>
      <c r="ZX10">
        <v>93</v>
      </c>
      <c r="ZY10" s="16">
        <v>44365</v>
      </c>
      <c r="ZZ10">
        <v>94358</v>
      </c>
      <c r="AAA10">
        <v>79</v>
      </c>
      <c r="AAB10" s="16">
        <v>44366</v>
      </c>
      <c r="AAC10">
        <v>94416</v>
      </c>
      <c r="AAD10">
        <v>57</v>
      </c>
      <c r="AAE10" s="16">
        <v>44367</v>
      </c>
      <c r="AAF10">
        <v>94497</v>
      </c>
      <c r="AAG10">
        <v>80</v>
      </c>
      <c r="AAH10" s="16">
        <v>44370</v>
      </c>
      <c r="AAI10">
        <v>94864</v>
      </c>
      <c r="AAJ10">
        <v>145</v>
      </c>
      <c r="AAK10" s="16">
        <v>44371</v>
      </c>
      <c r="AAL10">
        <v>95029</v>
      </c>
      <c r="AAM10">
        <v>160</v>
      </c>
      <c r="AAN10" s="16">
        <v>44373</v>
      </c>
      <c r="AAO10">
        <v>95352</v>
      </c>
      <c r="AAP10">
        <v>129</v>
      </c>
      <c r="AAQ10" s="16">
        <v>44373</v>
      </c>
      <c r="AAR10">
        <v>95363</v>
      </c>
      <c r="AAS10">
        <v>129</v>
      </c>
      <c r="AAT10" s="16">
        <v>44374</v>
      </c>
      <c r="AAU10">
        <v>95481</v>
      </c>
      <c r="AAV10">
        <v>119</v>
      </c>
      <c r="AAW10" s="16">
        <v>44376</v>
      </c>
      <c r="AAX10">
        <v>95975</v>
      </c>
      <c r="AAY10">
        <v>262</v>
      </c>
      <c r="AAZ10" s="16">
        <v>44376</v>
      </c>
      <c r="ABA10">
        <v>95977</v>
      </c>
      <c r="ABB10">
        <v>262</v>
      </c>
      <c r="ABC10" s="16">
        <v>44377</v>
      </c>
      <c r="ABD10">
        <v>96171</v>
      </c>
      <c r="ABE10">
        <v>195</v>
      </c>
      <c r="ABF10" s="16">
        <v>44379</v>
      </c>
      <c r="ABG10">
        <v>96545</v>
      </c>
      <c r="ABH10">
        <v>167</v>
      </c>
      <c r="ABI10" s="16">
        <v>44379</v>
      </c>
      <c r="ABJ10">
        <v>96546</v>
      </c>
      <c r="ABK10">
        <v>167</v>
      </c>
      <c r="ABL10" s="16">
        <v>44380</v>
      </c>
      <c r="ABM10">
        <v>96674</v>
      </c>
      <c r="ABN10">
        <v>129</v>
      </c>
      <c r="ABO10" s="16">
        <v>44381</v>
      </c>
      <c r="ABP10">
        <v>96782</v>
      </c>
      <c r="ABQ10">
        <v>108</v>
      </c>
      <c r="ABR10" s="16">
        <v>44382</v>
      </c>
      <c r="ABS10">
        <v>97025</v>
      </c>
      <c r="ABT10">
        <v>243</v>
      </c>
      <c r="ABU10" s="16">
        <v>44383</v>
      </c>
      <c r="ABV10">
        <v>97287</v>
      </c>
      <c r="ABW10">
        <v>260</v>
      </c>
      <c r="ABX10" s="16">
        <v>44384</v>
      </c>
      <c r="ABY10">
        <v>97581</v>
      </c>
      <c r="ABZ10">
        <v>291</v>
      </c>
      <c r="ACA10" s="16">
        <v>44385</v>
      </c>
      <c r="ACB10">
        <v>97870</v>
      </c>
      <c r="ACC10">
        <v>285</v>
      </c>
      <c r="ACD10" s="16">
        <v>44386</v>
      </c>
      <c r="ACE10">
        <v>98181</v>
      </c>
      <c r="ACF10">
        <v>311</v>
      </c>
      <c r="ACG10" s="16">
        <v>44387</v>
      </c>
      <c r="ACH10">
        <v>98332</v>
      </c>
      <c r="ACI10">
        <v>150</v>
      </c>
      <c r="ACJ10" s="16">
        <v>44388</v>
      </c>
      <c r="ACK10">
        <v>98484</v>
      </c>
      <c r="ACL10">
        <v>157</v>
      </c>
      <c r="ACM10" s="16">
        <v>44391</v>
      </c>
      <c r="ACN10">
        <v>99538</v>
      </c>
      <c r="ACO10">
        <v>385</v>
      </c>
      <c r="ACP10" s="16">
        <v>44392</v>
      </c>
      <c r="ACQ10">
        <v>99919</v>
      </c>
      <c r="ACR10">
        <v>379</v>
      </c>
      <c r="ACS10" s="16">
        <v>44393</v>
      </c>
      <c r="ACT10">
        <v>100274</v>
      </c>
      <c r="ACU10">
        <v>355</v>
      </c>
      <c r="ACV10" s="16">
        <v>44394</v>
      </c>
      <c r="ACW10">
        <v>100477</v>
      </c>
      <c r="ACX10">
        <v>203</v>
      </c>
      <c r="ACY10" s="16">
        <v>44395</v>
      </c>
      <c r="ACZ10">
        <v>100725</v>
      </c>
      <c r="ADA10">
        <v>247</v>
      </c>
      <c r="ADB10" s="16">
        <v>44396</v>
      </c>
      <c r="ADC10">
        <v>101148</v>
      </c>
      <c r="ADD10">
        <v>421</v>
      </c>
      <c r="ADE10" s="16">
        <v>44397</v>
      </c>
      <c r="ADF10">
        <v>101572</v>
      </c>
      <c r="ADG10">
        <v>424</v>
      </c>
      <c r="ADH10" s="16">
        <v>44398</v>
      </c>
      <c r="ADI10">
        <v>102040</v>
      </c>
      <c r="ADJ10">
        <v>468</v>
      </c>
      <c r="ADK10" s="16">
        <v>44399</v>
      </c>
      <c r="ADL10">
        <v>102526</v>
      </c>
      <c r="ADM10">
        <v>486</v>
      </c>
      <c r="ADN10" s="16">
        <v>44400</v>
      </c>
      <c r="ADO10">
        <v>103007</v>
      </c>
      <c r="ADP10">
        <v>481</v>
      </c>
      <c r="ADQ10" s="16">
        <v>44401</v>
      </c>
      <c r="ADR10">
        <v>103306</v>
      </c>
      <c r="ADS10">
        <v>299</v>
      </c>
      <c r="ADT10" s="16">
        <v>44402</v>
      </c>
      <c r="ADU10">
        <v>103660</v>
      </c>
      <c r="ADV10">
        <v>352</v>
      </c>
      <c r="ADW10" s="16">
        <v>44405</v>
      </c>
      <c r="ADX10">
        <v>105952</v>
      </c>
      <c r="ADY10">
        <v>846</v>
      </c>
      <c r="ADZ10" s="16">
        <v>44406</v>
      </c>
      <c r="AEA10">
        <v>106721</v>
      </c>
      <c r="AEB10">
        <v>768</v>
      </c>
      <c r="AEC10" s="16">
        <v>44407</v>
      </c>
      <c r="AED10">
        <v>107416</v>
      </c>
      <c r="AEE10">
        <v>695</v>
      </c>
      <c r="AEF10" s="16">
        <v>44408</v>
      </c>
      <c r="AEG10">
        <v>107820</v>
      </c>
      <c r="AEH10">
        <v>406</v>
      </c>
      <c r="AEI10" s="16">
        <v>44409</v>
      </c>
      <c r="AEJ10">
        <v>108298</v>
      </c>
      <c r="AEK10">
        <v>476</v>
      </c>
      <c r="AEL10" s="16">
        <v>44412</v>
      </c>
      <c r="AEM10">
        <v>110817</v>
      </c>
      <c r="AEN10">
        <v>784</v>
      </c>
      <c r="AEO10" s="16">
        <v>44413</v>
      </c>
      <c r="AEP10">
        <v>111688</v>
      </c>
      <c r="AEQ10">
        <v>869</v>
      </c>
      <c r="AER10" s="16">
        <v>44414</v>
      </c>
      <c r="AES10">
        <v>112374</v>
      </c>
      <c r="AET10">
        <v>687</v>
      </c>
      <c r="AEU10" s="16">
        <v>44415</v>
      </c>
      <c r="AEV10">
        <v>112855</v>
      </c>
      <c r="AEW10">
        <v>482</v>
      </c>
      <c r="AEX10" s="16">
        <v>44417</v>
      </c>
      <c r="AEY10">
        <v>114423</v>
      </c>
      <c r="AEZ10">
        <v>1035</v>
      </c>
      <c r="AFA10" s="16">
        <v>44418</v>
      </c>
      <c r="AFB10">
        <v>115255</v>
      </c>
      <c r="AFC10">
        <v>827</v>
      </c>
      <c r="AFD10">
        <v>44423</v>
      </c>
      <c r="AFE10">
        <v>118577</v>
      </c>
      <c r="AFF10">
        <v>442</v>
      </c>
      <c r="AFG10">
        <v>44424</v>
      </c>
      <c r="AFH10">
        <v>119350</v>
      </c>
      <c r="AFI10">
        <v>768</v>
      </c>
      <c r="AFJ10">
        <v>44426</v>
      </c>
      <c r="AFK10">
        <v>120799</v>
      </c>
      <c r="AFL10">
        <v>704</v>
      </c>
      <c r="AFM10">
        <v>44429</v>
      </c>
      <c r="AFN10">
        <v>122521</v>
      </c>
      <c r="AFO10">
        <v>397</v>
      </c>
      <c r="AFP10">
        <v>44430</v>
      </c>
      <c r="AFQ10">
        <v>122978</v>
      </c>
      <c r="AFR10">
        <v>457</v>
      </c>
      <c r="AFS10">
        <v>44432</v>
      </c>
      <c r="AFT10">
        <v>124262</v>
      </c>
      <c r="AFU10">
        <v>605</v>
      </c>
      <c r="AFV10">
        <v>44433</v>
      </c>
      <c r="AFW10">
        <v>124960</v>
      </c>
      <c r="AFX10">
        <v>696</v>
      </c>
      <c r="AFY10">
        <v>44435</v>
      </c>
      <c r="AFZ10">
        <v>126270</v>
      </c>
      <c r="AGA10">
        <v>704</v>
      </c>
      <c r="AGB10">
        <v>44436</v>
      </c>
      <c r="AGC10">
        <v>126707</v>
      </c>
      <c r="AGD10">
        <v>436</v>
      </c>
      <c r="AGE10">
        <v>44439</v>
      </c>
      <c r="AGF10">
        <v>128560</v>
      </c>
      <c r="AGG10">
        <v>648</v>
      </c>
      <c r="AGH10">
        <v>44440</v>
      </c>
      <c r="AGI10">
        <v>129211</v>
      </c>
      <c r="AGJ10">
        <v>648</v>
      </c>
      <c r="AGK10">
        <v>44442</v>
      </c>
      <c r="AGL10">
        <v>130380</v>
      </c>
      <c r="AGM10">
        <v>520</v>
      </c>
      <c r="AGN10">
        <v>44442</v>
      </c>
      <c r="AGO10">
        <v>130381</v>
      </c>
      <c r="AGP10">
        <v>520</v>
      </c>
      <c r="AGQ10">
        <v>44443</v>
      </c>
      <c r="AGR10">
        <v>130717</v>
      </c>
      <c r="AGS10">
        <v>335</v>
      </c>
      <c r="AGT10">
        <v>44444</v>
      </c>
      <c r="AGU10">
        <v>131062</v>
      </c>
      <c r="AGV10">
        <v>345</v>
      </c>
      <c r="AGW10">
        <v>44446</v>
      </c>
      <c r="AGX10">
        <v>132154</v>
      </c>
      <c r="AGY10">
        <v>515</v>
      </c>
      <c r="AGZ10">
        <v>44448</v>
      </c>
      <c r="AHA10">
        <v>133100</v>
      </c>
      <c r="AHB10">
        <v>459</v>
      </c>
      <c r="AHC10">
        <v>44449</v>
      </c>
      <c r="AHD10">
        <v>133598</v>
      </c>
      <c r="AHE10">
        <v>496</v>
      </c>
      <c r="AHF10">
        <v>44450</v>
      </c>
      <c r="AHG10">
        <v>133924</v>
      </c>
      <c r="AHH10">
        <v>326</v>
      </c>
      <c r="AHI10">
        <v>44451</v>
      </c>
      <c r="AHJ10">
        <v>134205</v>
      </c>
      <c r="AHK10">
        <v>281</v>
      </c>
      <c r="AHL10">
        <v>44455</v>
      </c>
      <c r="AHM10">
        <v>136097</v>
      </c>
      <c r="AHN10">
        <v>430</v>
      </c>
      <c r="AHO10">
        <v>44456</v>
      </c>
      <c r="AHP10">
        <v>136482</v>
      </c>
      <c r="AHQ10">
        <v>388</v>
      </c>
      <c r="AHR10">
        <v>44457</v>
      </c>
      <c r="AHS10">
        <v>136722</v>
      </c>
      <c r="AHT10">
        <v>239</v>
      </c>
      <c r="AHU10">
        <v>44458</v>
      </c>
      <c r="AHV10">
        <v>137002</v>
      </c>
      <c r="AHW10">
        <v>280</v>
      </c>
      <c r="AHX10">
        <v>44459</v>
      </c>
      <c r="AHY10">
        <v>137494</v>
      </c>
      <c r="AHZ10">
        <v>489</v>
      </c>
      <c r="AIA10">
        <v>44463</v>
      </c>
      <c r="AIB10">
        <v>139371</v>
      </c>
      <c r="AIC10">
        <v>426</v>
      </c>
      <c r="AID10">
        <v>44467</v>
      </c>
      <c r="AIE10">
        <v>141350</v>
      </c>
      <c r="AIF10">
        <v>642</v>
      </c>
      <c r="AIG10">
        <v>44471</v>
      </c>
      <c r="AIH10">
        <v>143529</v>
      </c>
      <c r="AII10">
        <v>357</v>
      </c>
      <c r="AIJ10">
        <v>44472</v>
      </c>
      <c r="AIK10">
        <v>143930</v>
      </c>
      <c r="AIL10">
        <v>389</v>
      </c>
      <c r="AIM10">
        <v>44473</v>
      </c>
      <c r="AIN10">
        <v>144677</v>
      </c>
      <c r="AIO10">
        <v>747</v>
      </c>
      <c r="AIP10">
        <v>44476</v>
      </c>
      <c r="AIQ10">
        <v>146456</v>
      </c>
      <c r="AIR10">
        <v>560</v>
      </c>
      <c r="AIS10">
        <v>44477</v>
      </c>
      <c r="AIT10">
        <v>147051</v>
      </c>
      <c r="AIU10">
        <v>592</v>
      </c>
      <c r="AIV10">
        <v>44478</v>
      </c>
      <c r="AIW10">
        <v>147480</v>
      </c>
      <c r="AIX10">
        <v>424</v>
      </c>
      <c r="AIY10">
        <v>44479</v>
      </c>
      <c r="AIZ10">
        <v>148147</v>
      </c>
      <c r="AJA10">
        <v>395</v>
      </c>
      <c r="AJB10">
        <v>44480</v>
      </c>
      <c r="AJC10">
        <v>148842</v>
      </c>
      <c r="AJD10">
        <v>693</v>
      </c>
      <c r="AJE10">
        <v>44483</v>
      </c>
      <c r="AJF10">
        <v>150646</v>
      </c>
      <c r="AJG10">
        <v>557</v>
      </c>
      <c r="AJH10">
        <v>44484</v>
      </c>
      <c r="AJI10">
        <v>151243</v>
      </c>
      <c r="AJJ10">
        <v>562</v>
      </c>
      <c r="AJK10">
        <v>44485</v>
      </c>
      <c r="AJL10">
        <v>151589</v>
      </c>
      <c r="AJM10">
        <v>344</v>
      </c>
      <c r="AJN10">
        <v>44486</v>
      </c>
      <c r="AJO10">
        <v>151911</v>
      </c>
      <c r="AJP10">
        <v>319</v>
      </c>
      <c r="AJQ10">
        <v>44490</v>
      </c>
      <c r="AJR10">
        <v>154260</v>
      </c>
      <c r="AJS10">
        <v>623</v>
      </c>
      <c r="AJT10">
        <v>44491</v>
      </c>
      <c r="AJU10">
        <v>154842</v>
      </c>
      <c r="AJV10">
        <v>578</v>
      </c>
      <c r="AJW10">
        <v>44492</v>
      </c>
      <c r="AJX10">
        <v>155215</v>
      </c>
      <c r="AJY10">
        <v>374</v>
      </c>
      <c r="AJZ10">
        <v>44493</v>
      </c>
      <c r="AKA10">
        <v>155607</v>
      </c>
      <c r="AKB10">
        <v>389</v>
      </c>
      <c r="AKC10">
        <v>44494</v>
      </c>
      <c r="AKD10">
        <v>156398</v>
      </c>
      <c r="AKE10">
        <v>792</v>
      </c>
      <c r="AKF10">
        <v>44497</v>
      </c>
      <c r="AKG10">
        <v>158300</v>
      </c>
      <c r="AKH10">
        <v>582</v>
      </c>
      <c r="AKI10">
        <v>44500</v>
      </c>
      <c r="AKJ10">
        <v>159793</v>
      </c>
      <c r="AKK10">
        <v>439</v>
      </c>
      <c r="AKL10">
        <v>44502</v>
      </c>
      <c r="AKM10">
        <v>161525</v>
      </c>
      <c r="AKN10">
        <v>754</v>
      </c>
      <c r="AKO10">
        <v>44504</v>
      </c>
      <c r="AKP10">
        <v>163102</v>
      </c>
      <c r="AKQ10">
        <v>804</v>
      </c>
      <c r="AKR10">
        <v>44505</v>
      </c>
      <c r="AKS10">
        <v>163954</v>
      </c>
      <c r="AKT10">
        <v>842</v>
      </c>
      <c r="AKU10">
        <v>44507</v>
      </c>
      <c r="AKV10">
        <v>164978</v>
      </c>
      <c r="AKW10">
        <v>508</v>
      </c>
      <c r="AKX10">
        <v>44508</v>
      </c>
      <c r="AKY10">
        <v>166098</v>
      </c>
      <c r="AKZ10">
        <v>1118</v>
      </c>
      <c r="ALA10">
        <v>44511</v>
      </c>
      <c r="ALB10">
        <v>168827</v>
      </c>
      <c r="ALC10">
        <v>933</v>
      </c>
      <c r="ALD10">
        <v>44512</v>
      </c>
      <c r="ALE10">
        <v>169776</v>
      </c>
      <c r="ALF10">
        <v>945</v>
      </c>
      <c r="ALG10">
        <v>44513</v>
      </c>
      <c r="ALH10">
        <v>170394</v>
      </c>
      <c r="ALI10">
        <v>615</v>
      </c>
      <c r="ALJ10">
        <v>44514</v>
      </c>
      <c r="ALK10">
        <v>170961</v>
      </c>
      <c r="ALL10">
        <v>571</v>
      </c>
      <c r="ALM10">
        <v>44522</v>
      </c>
      <c r="ALN10">
        <v>179962</v>
      </c>
      <c r="ALO10">
        <v>1416</v>
      </c>
    </row>
    <row r="11" spans="1:1003">
      <c r="B11" t="str">
        <f t="shared" ca="1" si="2"/>
        <v>24.11</v>
      </c>
      <c r="C11" s="4">
        <f t="shared" ca="1" si="0"/>
        <v>44524</v>
      </c>
      <c r="D11" s="11">
        <f t="shared" ca="1" si="1"/>
        <v>182549</v>
      </c>
      <c r="E11">
        <f t="shared" ca="1" si="3"/>
        <v>1251</v>
      </c>
      <c r="F11" s="11">
        <f t="shared" ca="1" si="4"/>
        <v>0</v>
      </c>
      <c r="G11" s="11">
        <f t="shared" ca="1" si="5"/>
        <v>1251</v>
      </c>
      <c r="K11" s="10">
        <f ca="1">SUM(E11:E17)</f>
        <v>8503</v>
      </c>
      <c r="L11" s="3"/>
      <c r="N11" s="16">
        <v>44523</v>
      </c>
      <c r="O11">
        <v>181295</v>
      </c>
      <c r="P11">
        <v>1333</v>
      </c>
      <c r="Q11" s="16">
        <v>44523</v>
      </c>
      <c r="R11">
        <v>181295</v>
      </c>
      <c r="S11">
        <v>1333</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s="16">
        <v>44272</v>
      </c>
      <c r="RU11">
        <v>70237</v>
      </c>
      <c r="RV11">
        <v>743</v>
      </c>
      <c r="RW11" s="16">
        <v>44273</v>
      </c>
      <c r="RX11">
        <v>70973</v>
      </c>
      <c r="RY11">
        <v>736</v>
      </c>
      <c r="RZ11" s="16">
        <v>44274</v>
      </c>
      <c r="SA11">
        <v>71717</v>
      </c>
      <c r="SB11">
        <v>744</v>
      </c>
      <c r="SC11" s="16">
        <v>44275</v>
      </c>
      <c r="SD11">
        <v>72121</v>
      </c>
      <c r="SE11">
        <v>404</v>
      </c>
      <c r="SF11" s="16">
        <v>44276</v>
      </c>
      <c r="SG11">
        <v>72540</v>
      </c>
      <c r="SH11">
        <v>417</v>
      </c>
      <c r="SI11" s="16">
        <v>44277</v>
      </c>
      <c r="SJ11">
        <v>73306</v>
      </c>
      <c r="SK11">
        <v>767</v>
      </c>
      <c r="SL11" s="16">
        <v>44279</v>
      </c>
      <c r="SM11">
        <v>74702</v>
      </c>
      <c r="SN11">
        <v>693</v>
      </c>
      <c r="SO11" s="16">
        <v>44280</v>
      </c>
      <c r="SP11">
        <v>75326</v>
      </c>
      <c r="SQ11">
        <v>606</v>
      </c>
      <c r="SR11" s="16">
        <v>44281</v>
      </c>
      <c r="SS11">
        <v>76015</v>
      </c>
      <c r="ST11">
        <v>686</v>
      </c>
      <c r="SU11" s="16">
        <v>44282</v>
      </c>
      <c r="SV11">
        <v>76365</v>
      </c>
      <c r="SW11">
        <v>350</v>
      </c>
      <c r="SX11" s="16">
        <v>44284</v>
      </c>
      <c r="SY11">
        <v>77392</v>
      </c>
      <c r="SZ11">
        <v>655</v>
      </c>
      <c r="TA11" s="16">
        <v>44285</v>
      </c>
      <c r="TB11">
        <v>77961</v>
      </c>
      <c r="TC11">
        <v>568</v>
      </c>
      <c r="TD11" s="16">
        <v>44287</v>
      </c>
      <c r="TE11">
        <v>78998</v>
      </c>
      <c r="TF11">
        <v>487</v>
      </c>
      <c r="TG11" s="16">
        <v>44288</v>
      </c>
      <c r="TH11">
        <v>79363</v>
      </c>
      <c r="TI11">
        <v>361</v>
      </c>
      <c r="TJ11" s="16">
        <v>44289</v>
      </c>
      <c r="TK11">
        <v>79683</v>
      </c>
      <c r="TL11">
        <v>319</v>
      </c>
      <c r="TM11" s="16">
        <v>44290</v>
      </c>
      <c r="TN11">
        <v>80003</v>
      </c>
      <c r="TO11">
        <v>320</v>
      </c>
      <c r="TP11" s="16">
        <v>44292</v>
      </c>
      <c r="TQ11">
        <v>80909</v>
      </c>
      <c r="TR11">
        <v>543</v>
      </c>
      <c r="TS11" s="16">
        <v>44293</v>
      </c>
      <c r="TT11">
        <v>81336</v>
      </c>
      <c r="TU11">
        <v>424</v>
      </c>
      <c r="TV11" s="16">
        <v>44293</v>
      </c>
      <c r="TW11">
        <v>81342</v>
      </c>
      <c r="TX11">
        <v>424</v>
      </c>
      <c r="TY11" s="16">
        <v>44294</v>
      </c>
      <c r="TZ11">
        <v>81747</v>
      </c>
      <c r="UA11">
        <v>403</v>
      </c>
      <c r="UB11" s="16">
        <v>44296</v>
      </c>
      <c r="UC11">
        <v>82319</v>
      </c>
      <c r="UD11">
        <v>224</v>
      </c>
      <c r="UE11" s="16">
        <v>44296</v>
      </c>
      <c r="UF11">
        <v>82320</v>
      </c>
      <c r="UG11">
        <v>225</v>
      </c>
      <c r="UH11" s="16">
        <v>44297</v>
      </c>
      <c r="UI11">
        <v>82560</v>
      </c>
      <c r="UJ11">
        <v>238</v>
      </c>
      <c r="UK11" s="16">
        <v>44298</v>
      </c>
      <c r="UL11">
        <v>82957</v>
      </c>
      <c r="UM11">
        <v>396</v>
      </c>
      <c r="UN11" s="16">
        <v>44302</v>
      </c>
      <c r="UO11">
        <v>84175</v>
      </c>
      <c r="UP11">
        <v>264</v>
      </c>
      <c r="UQ11" s="16">
        <v>44303</v>
      </c>
      <c r="UR11">
        <v>84347</v>
      </c>
      <c r="US11">
        <v>171</v>
      </c>
      <c r="UT11" s="16">
        <v>44304</v>
      </c>
      <c r="UU11">
        <v>84503</v>
      </c>
      <c r="UV11">
        <v>155</v>
      </c>
      <c r="UW11" s="16">
        <v>44305</v>
      </c>
      <c r="UX11">
        <v>84788</v>
      </c>
      <c r="UY11">
        <v>283</v>
      </c>
      <c r="UZ11" s="16">
        <v>44307</v>
      </c>
      <c r="VA11">
        <v>85310</v>
      </c>
      <c r="VB11">
        <v>233</v>
      </c>
      <c r="VC11" s="16">
        <v>44307</v>
      </c>
      <c r="VD11">
        <v>85308</v>
      </c>
      <c r="VE11">
        <v>233</v>
      </c>
      <c r="VF11" s="16">
        <v>44308</v>
      </c>
      <c r="VG11">
        <v>85567</v>
      </c>
      <c r="VH11">
        <v>258</v>
      </c>
      <c r="VI11" s="16">
        <v>44310</v>
      </c>
      <c r="VJ11">
        <v>85976</v>
      </c>
      <c r="VK11">
        <v>154</v>
      </c>
      <c r="VL11" s="16">
        <v>44310</v>
      </c>
      <c r="VM11">
        <v>85976</v>
      </c>
      <c r="VN11">
        <v>154</v>
      </c>
      <c r="VO11" s="16">
        <v>44311</v>
      </c>
      <c r="VP11">
        <v>86118</v>
      </c>
      <c r="VQ11">
        <v>141</v>
      </c>
      <c r="VR11" s="16">
        <v>44312</v>
      </c>
      <c r="VS11">
        <v>86358</v>
      </c>
      <c r="VT11">
        <v>242</v>
      </c>
      <c r="VU11" s="16">
        <v>44314</v>
      </c>
      <c r="VV11">
        <v>86862</v>
      </c>
      <c r="VW11">
        <v>273</v>
      </c>
      <c r="VX11" s="16">
        <v>44314</v>
      </c>
      <c r="VY11">
        <v>86864</v>
      </c>
      <c r="VZ11">
        <v>273</v>
      </c>
      <c r="WA11" s="16">
        <v>44315</v>
      </c>
      <c r="WB11">
        <v>87069</v>
      </c>
      <c r="WC11">
        <v>201</v>
      </c>
      <c r="WD11" s="16">
        <v>44316</v>
      </c>
      <c r="WE11">
        <v>87264</v>
      </c>
      <c r="WF11">
        <v>195</v>
      </c>
      <c r="WG11" s="16">
        <v>44317</v>
      </c>
      <c r="WH11">
        <v>87371</v>
      </c>
      <c r="WI11">
        <v>107</v>
      </c>
      <c r="WJ11" s="16">
        <v>44319</v>
      </c>
      <c r="WK11">
        <v>87825</v>
      </c>
      <c r="WL11">
        <v>318</v>
      </c>
      <c r="WM11" s="16">
        <v>44319</v>
      </c>
      <c r="WN11">
        <v>87826</v>
      </c>
      <c r="WO11">
        <v>318</v>
      </c>
      <c r="WP11" s="16">
        <v>44322</v>
      </c>
      <c r="WQ11">
        <v>88533</v>
      </c>
      <c r="WR11">
        <v>234</v>
      </c>
      <c r="WS11" s="16">
        <v>44323</v>
      </c>
      <c r="WT11">
        <v>88747</v>
      </c>
      <c r="WU11">
        <v>214</v>
      </c>
      <c r="WV11" s="16">
        <v>44324</v>
      </c>
      <c r="WW11">
        <v>88879</v>
      </c>
      <c r="WX11">
        <v>130</v>
      </c>
      <c r="WY11" s="16">
        <v>44325</v>
      </c>
      <c r="WZ11">
        <v>89012</v>
      </c>
      <c r="XA11">
        <v>130</v>
      </c>
      <c r="XB11" s="16">
        <v>44326</v>
      </c>
      <c r="XC11">
        <v>89271</v>
      </c>
      <c r="XD11">
        <v>258</v>
      </c>
      <c r="XE11" s="16">
        <v>44328</v>
      </c>
      <c r="XF11">
        <v>89742</v>
      </c>
      <c r="XG11">
        <v>256</v>
      </c>
      <c r="XH11" s="16">
        <v>44328</v>
      </c>
      <c r="XI11">
        <v>89748</v>
      </c>
      <c r="XJ11">
        <v>256</v>
      </c>
      <c r="XK11" s="16">
        <v>44329</v>
      </c>
      <c r="XL11">
        <v>89903</v>
      </c>
      <c r="XM11">
        <v>155</v>
      </c>
      <c r="XN11" s="16">
        <v>44330</v>
      </c>
      <c r="XO11">
        <v>90147</v>
      </c>
      <c r="XP11">
        <v>244</v>
      </c>
      <c r="XQ11" s="16">
        <v>44331</v>
      </c>
      <c r="XR11">
        <v>90307</v>
      </c>
      <c r="XS11">
        <v>160</v>
      </c>
      <c r="XT11" s="16">
        <v>44332</v>
      </c>
      <c r="XU11">
        <v>90443</v>
      </c>
      <c r="XV11">
        <v>133</v>
      </c>
      <c r="XW11" s="16">
        <v>44333</v>
      </c>
      <c r="XX11">
        <v>90730</v>
      </c>
      <c r="XY11">
        <v>284</v>
      </c>
      <c r="XZ11" s="16">
        <v>44334</v>
      </c>
      <c r="YA11">
        <v>90947</v>
      </c>
      <c r="YB11">
        <v>216</v>
      </c>
      <c r="YC11" s="16">
        <v>44336</v>
      </c>
      <c r="YD11">
        <v>91394</v>
      </c>
      <c r="YE11">
        <v>215</v>
      </c>
      <c r="YF11" s="16">
        <v>44337</v>
      </c>
      <c r="YG11">
        <v>91566</v>
      </c>
      <c r="YH11">
        <v>170</v>
      </c>
      <c r="YI11" s="16">
        <v>44338</v>
      </c>
      <c r="YJ11">
        <v>91674</v>
      </c>
      <c r="YK11">
        <v>108</v>
      </c>
      <c r="YL11" s="16">
        <v>44339</v>
      </c>
      <c r="YM11">
        <v>91767</v>
      </c>
      <c r="YN11">
        <v>93</v>
      </c>
      <c r="YO11" s="16">
        <v>44340</v>
      </c>
      <c r="YP11">
        <v>91959</v>
      </c>
      <c r="YQ11">
        <v>188</v>
      </c>
      <c r="YR11" s="16">
        <v>44341</v>
      </c>
      <c r="YS11">
        <v>92111</v>
      </c>
      <c r="YT11">
        <v>152</v>
      </c>
      <c r="YU11" s="16">
        <v>44343</v>
      </c>
      <c r="YV11">
        <v>92388</v>
      </c>
      <c r="YW11">
        <v>127</v>
      </c>
      <c r="YX11" s="16">
        <v>44344</v>
      </c>
      <c r="YY11">
        <v>92524</v>
      </c>
      <c r="YZ11">
        <v>136</v>
      </c>
      <c r="ZA11" s="16">
        <v>44345</v>
      </c>
      <c r="ZB11">
        <v>92590</v>
      </c>
      <c r="ZC11">
        <v>64</v>
      </c>
      <c r="ZD11" s="16">
        <v>44356</v>
      </c>
      <c r="ZE11">
        <v>93712</v>
      </c>
      <c r="ZF11">
        <v>82</v>
      </c>
      <c r="ZG11" s="16">
        <v>44357</v>
      </c>
      <c r="ZH11">
        <v>93797</v>
      </c>
      <c r="ZI11">
        <v>75</v>
      </c>
      <c r="ZJ11" s="16">
        <v>44358</v>
      </c>
      <c r="ZK11">
        <v>93867</v>
      </c>
      <c r="ZL11">
        <v>70</v>
      </c>
      <c r="ZM11" s="16">
        <v>44359</v>
      </c>
      <c r="ZN11">
        <v>93914</v>
      </c>
      <c r="ZO11">
        <v>45</v>
      </c>
      <c r="ZP11" s="16">
        <v>44360</v>
      </c>
      <c r="ZQ11">
        <v>93953</v>
      </c>
      <c r="ZR11">
        <v>47</v>
      </c>
      <c r="ZS11" s="16">
        <v>44364</v>
      </c>
      <c r="ZT11">
        <v>94275</v>
      </c>
      <c r="ZU11">
        <v>91</v>
      </c>
      <c r="ZV11" s="16">
        <v>44365</v>
      </c>
      <c r="ZW11">
        <v>94358</v>
      </c>
      <c r="ZX11">
        <v>79</v>
      </c>
      <c r="ZY11" s="16">
        <v>44366</v>
      </c>
      <c r="ZZ11">
        <v>94415</v>
      </c>
      <c r="AAA11">
        <v>57</v>
      </c>
      <c r="AAB11" s="16">
        <v>44367</v>
      </c>
      <c r="AAC11">
        <v>94496</v>
      </c>
      <c r="AAD11">
        <v>80</v>
      </c>
      <c r="AAE11" s="16">
        <v>44368</v>
      </c>
      <c r="AAF11">
        <v>94610</v>
      </c>
      <c r="AAG11">
        <v>113</v>
      </c>
      <c r="AAH11" s="16">
        <v>44371</v>
      </c>
      <c r="AAI11">
        <v>95024</v>
      </c>
      <c r="AAJ11">
        <v>160</v>
      </c>
      <c r="AAK11" s="16">
        <v>44372</v>
      </c>
      <c r="AAL11">
        <v>95225</v>
      </c>
      <c r="AAM11">
        <v>196</v>
      </c>
      <c r="AAN11" s="16">
        <v>44374</v>
      </c>
      <c r="AAO11">
        <v>95472</v>
      </c>
      <c r="AAP11">
        <v>120</v>
      </c>
      <c r="AAQ11" s="16">
        <v>44374</v>
      </c>
      <c r="AAR11">
        <v>95482</v>
      </c>
      <c r="AAS11">
        <v>119</v>
      </c>
      <c r="AAT11" s="16">
        <v>44375</v>
      </c>
      <c r="AAU11">
        <v>95711</v>
      </c>
      <c r="AAV11">
        <v>230</v>
      </c>
      <c r="AAW11" s="16">
        <v>44377</v>
      </c>
      <c r="AAX11">
        <v>96170</v>
      </c>
      <c r="AAY11">
        <v>195</v>
      </c>
      <c r="AAZ11" s="16">
        <v>44377</v>
      </c>
      <c r="ABA11">
        <v>96172</v>
      </c>
      <c r="ABB11">
        <v>195</v>
      </c>
      <c r="ABC11" s="16">
        <v>44378</v>
      </c>
      <c r="ABD11">
        <v>96379</v>
      </c>
      <c r="ABE11">
        <v>208</v>
      </c>
      <c r="ABF11" s="16">
        <v>44380</v>
      </c>
      <c r="ABG11">
        <v>96674</v>
      </c>
      <c r="ABH11">
        <v>129</v>
      </c>
      <c r="ABI11" s="16">
        <v>44380</v>
      </c>
      <c r="ABJ11">
        <v>96675</v>
      </c>
      <c r="ABK11">
        <v>129</v>
      </c>
      <c r="ABL11" s="16">
        <v>44381</v>
      </c>
      <c r="ABM11">
        <v>96782</v>
      </c>
      <c r="ABN11">
        <v>108</v>
      </c>
      <c r="ABO11" s="16">
        <v>44382</v>
      </c>
      <c r="ABP11">
        <v>97025</v>
      </c>
      <c r="ABQ11">
        <v>243</v>
      </c>
      <c r="ABR11" s="16">
        <v>44383</v>
      </c>
      <c r="ABS11">
        <v>97285</v>
      </c>
      <c r="ABT11">
        <v>260</v>
      </c>
      <c r="ABU11" s="16">
        <v>44384</v>
      </c>
      <c r="ABV11">
        <v>97578</v>
      </c>
      <c r="ABW11">
        <v>291</v>
      </c>
      <c r="ABX11" s="16">
        <v>44385</v>
      </c>
      <c r="ABY11">
        <v>97866</v>
      </c>
      <c r="ABZ11">
        <v>285</v>
      </c>
      <c r="ACA11" s="16">
        <v>44386</v>
      </c>
      <c r="ACB11">
        <v>98181</v>
      </c>
      <c r="ACC11">
        <v>311</v>
      </c>
      <c r="ACD11" s="16">
        <v>44387</v>
      </c>
      <c r="ACE11">
        <v>98331</v>
      </c>
      <c r="ACF11">
        <v>150</v>
      </c>
      <c r="ACG11" s="16">
        <v>44388</v>
      </c>
      <c r="ACH11">
        <v>98489</v>
      </c>
      <c r="ACI11">
        <v>157</v>
      </c>
      <c r="ACJ11" s="16">
        <v>44389</v>
      </c>
      <c r="ACK11">
        <v>98813</v>
      </c>
      <c r="ACL11">
        <v>329</v>
      </c>
      <c r="ACM11" s="16">
        <v>44392</v>
      </c>
      <c r="ACN11">
        <v>99919</v>
      </c>
      <c r="ACO11">
        <v>381</v>
      </c>
      <c r="ACP11" s="16">
        <v>44393</v>
      </c>
      <c r="ACQ11">
        <v>100274</v>
      </c>
      <c r="ACR11">
        <v>355</v>
      </c>
      <c r="ACS11" s="16">
        <v>44394</v>
      </c>
      <c r="ACT11">
        <v>100477</v>
      </c>
      <c r="ACU11">
        <v>203</v>
      </c>
      <c r="ACV11" s="16">
        <v>44395</v>
      </c>
      <c r="ACW11">
        <v>100724</v>
      </c>
      <c r="ACX11">
        <v>247</v>
      </c>
      <c r="ACY11" s="16">
        <v>44396</v>
      </c>
      <c r="ACZ11">
        <v>101146</v>
      </c>
      <c r="ADA11">
        <v>421</v>
      </c>
      <c r="ADB11" s="16">
        <v>44397</v>
      </c>
      <c r="ADC11">
        <v>101572</v>
      </c>
      <c r="ADD11">
        <v>424</v>
      </c>
      <c r="ADE11" s="16">
        <v>44398</v>
      </c>
      <c r="ADF11">
        <v>102040</v>
      </c>
      <c r="ADG11">
        <v>468</v>
      </c>
      <c r="ADH11" s="16">
        <v>44399</v>
      </c>
      <c r="ADI11">
        <v>102526</v>
      </c>
      <c r="ADJ11">
        <v>486</v>
      </c>
      <c r="ADK11" s="16">
        <v>44400</v>
      </c>
      <c r="ADL11">
        <v>103007</v>
      </c>
      <c r="ADM11">
        <v>481</v>
      </c>
      <c r="ADN11" s="16">
        <v>44401</v>
      </c>
      <c r="ADO11">
        <v>103306</v>
      </c>
      <c r="ADP11">
        <v>299</v>
      </c>
      <c r="ADQ11" s="16">
        <v>44402</v>
      </c>
      <c r="ADR11">
        <v>103657</v>
      </c>
      <c r="ADS11">
        <v>351</v>
      </c>
      <c r="ADT11" s="16">
        <v>44403</v>
      </c>
      <c r="ADU11">
        <v>104426</v>
      </c>
      <c r="ADV11">
        <v>766</v>
      </c>
      <c r="ADW11" s="16">
        <v>44406</v>
      </c>
      <c r="ADX11">
        <v>106719</v>
      </c>
      <c r="ADY11">
        <v>767</v>
      </c>
      <c r="ADZ11" s="16">
        <v>44407</v>
      </c>
      <c r="AEA11">
        <v>107416</v>
      </c>
      <c r="AEB11">
        <v>695</v>
      </c>
      <c r="AEC11" s="16">
        <v>44408</v>
      </c>
      <c r="AED11">
        <v>107822</v>
      </c>
      <c r="AEE11">
        <v>406</v>
      </c>
      <c r="AEF11" s="16">
        <v>44409</v>
      </c>
      <c r="AEG11">
        <v>108296</v>
      </c>
      <c r="AEH11">
        <v>476</v>
      </c>
      <c r="AEI11" s="16">
        <v>44410</v>
      </c>
      <c r="AEJ11">
        <v>109191</v>
      </c>
      <c r="AEK11">
        <v>893</v>
      </c>
      <c r="AEL11" s="16">
        <v>44413</v>
      </c>
      <c r="AEM11">
        <v>111683</v>
      </c>
      <c r="AEN11">
        <v>866</v>
      </c>
      <c r="AEO11" s="16">
        <v>44414</v>
      </c>
      <c r="AEP11">
        <v>112375</v>
      </c>
      <c r="AEQ11">
        <v>687</v>
      </c>
      <c r="AER11" s="16">
        <v>44415</v>
      </c>
      <c r="AES11">
        <v>112856</v>
      </c>
      <c r="AET11">
        <v>482</v>
      </c>
      <c r="AEU11" s="16">
        <v>44416</v>
      </c>
      <c r="AEV11">
        <v>113390</v>
      </c>
      <c r="AEW11">
        <v>535</v>
      </c>
      <c r="AEX11" s="16">
        <v>44418</v>
      </c>
      <c r="AEY11">
        <v>115252</v>
      </c>
      <c r="AEZ11">
        <v>829</v>
      </c>
      <c r="AFA11" s="16">
        <v>44419</v>
      </c>
      <c r="AFB11">
        <v>116180</v>
      </c>
      <c r="AFC11">
        <v>925</v>
      </c>
      <c r="AFD11">
        <v>44424</v>
      </c>
      <c r="AFE11">
        <v>119345</v>
      </c>
      <c r="AFF11">
        <v>768</v>
      </c>
      <c r="AFG11">
        <v>44425</v>
      </c>
      <c r="AFH11">
        <v>120090</v>
      </c>
      <c r="AFI11">
        <v>740</v>
      </c>
      <c r="AFJ11">
        <v>44427</v>
      </c>
      <c r="AFK11">
        <v>121467</v>
      </c>
      <c r="AFL11">
        <v>668</v>
      </c>
      <c r="AFM11">
        <v>44430</v>
      </c>
      <c r="AFN11">
        <v>122978</v>
      </c>
      <c r="AFO11">
        <v>457</v>
      </c>
      <c r="AFP11">
        <v>44431</v>
      </c>
      <c r="AFQ11">
        <v>123659</v>
      </c>
      <c r="AFR11">
        <v>681</v>
      </c>
      <c r="AFS11">
        <v>44433</v>
      </c>
      <c r="AFT11">
        <v>124958</v>
      </c>
      <c r="AFU11">
        <v>696</v>
      </c>
      <c r="AFV11">
        <v>44434</v>
      </c>
      <c r="AFW11">
        <v>125566</v>
      </c>
      <c r="AFX11">
        <v>606</v>
      </c>
      <c r="AFY11">
        <v>44436</v>
      </c>
      <c r="AFZ11">
        <v>126706</v>
      </c>
      <c r="AGA11">
        <v>436</v>
      </c>
      <c r="AGB11">
        <v>44437</v>
      </c>
      <c r="AGC11">
        <v>127165</v>
      </c>
      <c r="AGD11">
        <v>458</v>
      </c>
      <c r="AGE11">
        <v>44440</v>
      </c>
      <c r="AGF11">
        <v>129208</v>
      </c>
      <c r="AGG11">
        <v>648</v>
      </c>
      <c r="AGH11">
        <v>44441</v>
      </c>
      <c r="AGI11">
        <v>129860</v>
      </c>
      <c r="AGJ11">
        <v>649</v>
      </c>
      <c r="AGK11">
        <v>44443</v>
      </c>
      <c r="AGL11">
        <v>130715</v>
      </c>
      <c r="AGM11">
        <v>335</v>
      </c>
      <c r="AGN11">
        <v>44443</v>
      </c>
      <c r="AGO11">
        <v>130716</v>
      </c>
      <c r="AGP11">
        <v>335</v>
      </c>
      <c r="AGQ11">
        <v>44444</v>
      </c>
      <c r="AGR11">
        <v>131061</v>
      </c>
      <c r="AGS11">
        <v>344</v>
      </c>
      <c r="AGT11">
        <v>44445</v>
      </c>
      <c r="AGU11">
        <v>131642</v>
      </c>
      <c r="AGV11">
        <v>580</v>
      </c>
      <c r="AGW11">
        <v>44447</v>
      </c>
      <c r="AGX11">
        <v>132636</v>
      </c>
      <c r="AGY11">
        <v>482</v>
      </c>
      <c r="AGZ11">
        <v>44449</v>
      </c>
      <c r="AHA11">
        <v>133596</v>
      </c>
      <c r="AHB11">
        <v>496</v>
      </c>
      <c r="AHC11">
        <v>44450</v>
      </c>
      <c r="AHD11">
        <v>133924</v>
      </c>
      <c r="AHE11">
        <v>326</v>
      </c>
      <c r="AHF11">
        <v>44451</v>
      </c>
      <c r="AHG11">
        <v>134205</v>
      </c>
      <c r="AHH11">
        <v>281</v>
      </c>
      <c r="AHI11">
        <v>44452</v>
      </c>
      <c r="AHJ11">
        <v>134737</v>
      </c>
      <c r="AHK11">
        <v>532</v>
      </c>
      <c r="AHL11">
        <v>44456</v>
      </c>
      <c r="AHM11">
        <v>136483</v>
      </c>
      <c r="AHN11">
        <v>386</v>
      </c>
      <c r="AHO11">
        <v>44457</v>
      </c>
      <c r="AHP11">
        <v>136721</v>
      </c>
      <c r="AHQ11">
        <v>239</v>
      </c>
      <c r="AHR11">
        <v>44458</v>
      </c>
      <c r="AHS11">
        <v>137003</v>
      </c>
      <c r="AHT11">
        <v>281</v>
      </c>
      <c r="AHU11">
        <v>44459</v>
      </c>
      <c r="AHV11">
        <v>137491</v>
      </c>
      <c r="AHW11">
        <v>489</v>
      </c>
      <c r="AHX11">
        <v>44460</v>
      </c>
      <c r="AHY11">
        <v>137981</v>
      </c>
      <c r="AHZ11">
        <v>487</v>
      </c>
      <c r="AIA11">
        <v>44464</v>
      </c>
      <c r="AIB11">
        <v>139666</v>
      </c>
      <c r="AIC11">
        <v>295</v>
      </c>
      <c r="AID11">
        <v>44468</v>
      </c>
      <c r="AIE11">
        <v>142018</v>
      </c>
      <c r="AIF11">
        <v>668</v>
      </c>
      <c r="AIG11">
        <v>44472</v>
      </c>
      <c r="AIH11">
        <v>143917</v>
      </c>
      <c r="AII11">
        <v>388</v>
      </c>
      <c r="AIJ11">
        <v>44473</v>
      </c>
      <c r="AIK11">
        <v>144676</v>
      </c>
      <c r="AIL11">
        <v>746</v>
      </c>
      <c r="AIM11">
        <v>44474</v>
      </c>
      <c r="AIN11">
        <v>145360</v>
      </c>
      <c r="AIO11">
        <v>683</v>
      </c>
      <c r="AIP11">
        <v>44477</v>
      </c>
      <c r="AIQ11">
        <v>147048</v>
      </c>
      <c r="AIR11">
        <v>592</v>
      </c>
      <c r="AIS11">
        <v>44478</v>
      </c>
      <c r="AIT11">
        <v>147475</v>
      </c>
      <c r="AIU11">
        <v>424</v>
      </c>
      <c r="AIV11">
        <v>44479</v>
      </c>
      <c r="AIW11">
        <v>147875</v>
      </c>
      <c r="AIX11">
        <v>395</v>
      </c>
      <c r="AIY11">
        <v>44480</v>
      </c>
      <c r="AIZ11">
        <v>148840</v>
      </c>
      <c r="AJA11">
        <v>693</v>
      </c>
      <c r="AJB11">
        <v>44481</v>
      </c>
      <c r="AJC11">
        <v>149451</v>
      </c>
      <c r="AJD11">
        <v>609</v>
      </c>
      <c r="AJE11">
        <v>44484</v>
      </c>
      <c r="AJF11">
        <v>151209</v>
      </c>
      <c r="AJG11">
        <v>563</v>
      </c>
      <c r="AJH11">
        <v>44485</v>
      </c>
      <c r="AJI11">
        <v>151588</v>
      </c>
      <c r="AJJ11">
        <v>345</v>
      </c>
      <c r="AJK11">
        <v>44486</v>
      </c>
      <c r="AJL11">
        <v>151908</v>
      </c>
      <c r="AJM11">
        <v>319</v>
      </c>
      <c r="AJN11">
        <v>44487</v>
      </c>
      <c r="AJO11">
        <v>152571</v>
      </c>
      <c r="AJP11">
        <v>660</v>
      </c>
      <c r="AJQ11">
        <v>44491</v>
      </c>
      <c r="AJR11">
        <v>154838</v>
      </c>
      <c r="AJS11">
        <v>578</v>
      </c>
      <c r="AJT11">
        <v>44492</v>
      </c>
      <c r="AJU11">
        <v>155216</v>
      </c>
      <c r="AJV11">
        <v>374</v>
      </c>
      <c r="AJW11">
        <v>44493</v>
      </c>
      <c r="AJX11">
        <v>155604</v>
      </c>
      <c r="AJY11">
        <v>389</v>
      </c>
      <c r="AJZ11">
        <v>44494</v>
      </c>
      <c r="AKA11">
        <v>156399</v>
      </c>
      <c r="AKB11">
        <v>792</v>
      </c>
      <c r="AKC11">
        <v>44495</v>
      </c>
      <c r="AKD11">
        <v>157076</v>
      </c>
      <c r="AKE11">
        <v>678</v>
      </c>
      <c r="AKF11">
        <v>44498</v>
      </c>
      <c r="AKG11">
        <v>158952</v>
      </c>
      <c r="AKH11">
        <v>652</v>
      </c>
      <c r="AKI11">
        <v>44501</v>
      </c>
      <c r="AKJ11">
        <v>160766</v>
      </c>
      <c r="AKK11">
        <v>973</v>
      </c>
      <c r="AKL11">
        <v>44503</v>
      </c>
      <c r="AKM11">
        <v>162294</v>
      </c>
      <c r="AKN11">
        <v>769</v>
      </c>
      <c r="AKO11">
        <v>44505</v>
      </c>
      <c r="AKP11">
        <v>163944</v>
      </c>
      <c r="AKQ11">
        <v>842</v>
      </c>
      <c r="AKR11">
        <v>44506</v>
      </c>
      <c r="AKS11">
        <v>164469</v>
      </c>
      <c r="AKT11">
        <v>515</v>
      </c>
      <c r="AKU11">
        <v>44508</v>
      </c>
      <c r="AKV11">
        <v>166096</v>
      </c>
      <c r="AKW11">
        <v>1118</v>
      </c>
      <c r="AKX11">
        <v>44509</v>
      </c>
      <c r="AKY11">
        <v>166930</v>
      </c>
      <c r="AKZ11">
        <v>832</v>
      </c>
      <c r="ALA11">
        <v>44512</v>
      </c>
      <c r="ALB11">
        <v>169772</v>
      </c>
      <c r="ALC11">
        <v>945</v>
      </c>
      <c r="ALD11">
        <v>44513</v>
      </c>
      <c r="ALE11">
        <v>170391</v>
      </c>
      <c r="ALF11">
        <v>615</v>
      </c>
      <c r="ALG11">
        <v>44514</v>
      </c>
      <c r="ALH11">
        <v>170965</v>
      </c>
      <c r="ALI11">
        <v>571</v>
      </c>
      <c r="ALJ11">
        <v>44515</v>
      </c>
      <c r="ALK11">
        <v>172214</v>
      </c>
      <c r="ALL11">
        <v>1253</v>
      </c>
      <c r="ALM11">
        <v>44523</v>
      </c>
      <c r="ALN11">
        <v>181295</v>
      </c>
      <c r="ALO11">
        <v>1333</v>
      </c>
    </row>
    <row r="12" spans="1:1003">
      <c r="B12" t="str">
        <f t="shared" ca="1" si="2"/>
        <v>25.11</v>
      </c>
      <c r="C12" s="4">
        <f t="shared" ca="1" si="0"/>
        <v>44525</v>
      </c>
      <c r="D12" s="11">
        <f t="shared" ca="1" si="1"/>
        <v>183818</v>
      </c>
      <c r="E12">
        <f t="shared" ca="1" si="3"/>
        <v>1269</v>
      </c>
      <c r="F12" s="11">
        <f t="shared" ca="1" si="4"/>
        <v>0</v>
      </c>
      <c r="G12" s="11">
        <f t="shared" ca="1" si="5"/>
        <v>1269</v>
      </c>
      <c r="L12" s="3"/>
      <c r="N12" s="16">
        <v>44524</v>
      </c>
      <c r="O12">
        <v>182546</v>
      </c>
      <c r="P12">
        <v>1251</v>
      </c>
      <c r="Q12" s="16">
        <v>44524</v>
      </c>
      <c r="R12">
        <v>182546</v>
      </c>
      <c r="S12">
        <v>1251</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s="16">
        <v>44273</v>
      </c>
      <c r="RU12">
        <v>70973</v>
      </c>
      <c r="RV12">
        <v>736</v>
      </c>
      <c r="RW12" s="16">
        <v>44274</v>
      </c>
      <c r="RX12">
        <v>71717</v>
      </c>
      <c r="RY12">
        <v>744</v>
      </c>
      <c r="RZ12" s="16">
        <v>44275</v>
      </c>
      <c r="SA12">
        <v>72121</v>
      </c>
      <c r="SB12">
        <v>404</v>
      </c>
      <c r="SC12" s="16">
        <v>44276</v>
      </c>
      <c r="SD12">
        <v>72538</v>
      </c>
      <c r="SE12">
        <v>417</v>
      </c>
      <c r="SF12" s="16">
        <v>44277</v>
      </c>
      <c r="SG12">
        <v>73306</v>
      </c>
      <c r="SH12">
        <v>766</v>
      </c>
      <c r="SI12" s="16">
        <v>44278</v>
      </c>
      <c r="SJ12">
        <v>74009</v>
      </c>
      <c r="SK12">
        <v>703</v>
      </c>
      <c r="SL12" s="16">
        <v>44280</v>
      </c>
      <c r="SM12">
        <v>75308</v>
      </c>
      <c r="SN12">
        <v>606</v>
      </c>
      <c r="SO12" s="16">
        <v>44281</v>
      </c>
      <c r="SP12">
        <v>76012</v>
      </c>
      <c r="SQ12">
        <v>686</v>
      </c>
      <c r="SR12" s="16">
        <v>44282</v>
      </c>
      <c r="SS12">
        <v>76365</v>
      </c>
      <c r="ST12">
        <v>350</v>
      </c>
      <c r="SU12" s="16">
        <v>44283</v>
      </c>
      <c r="SV12">
        <v>76734</v>
      </c>
      <c r="SW12">
        <v>369</v>
      </c>
      <c r="SX12" s="16">
        <v>44285</v>
      </c>
      <c r="SY12">
        <v>77958</v>
      </c>
      <c r="SZ12">
        <v>566</v>
      </c>
      <c r="TA12" s="16">
        <v>44286</v>
      </c>
      <c r="TB12">
        <v>78511</v>
      </c>
      <c r="TC12">
        <v>550</v>
      </c>
      <c r="TD12" s="16">
        <v>44288</v>
      </c>
      <c r="TE12">
        <v>79359</v>
      </c>
      <c r="TF12">
        <v>361</v>
      </c>
      <c r="TG12" s="16">
        <v>44289</v>
      </c>
      <c r="TH12">
        <v>79682</v>
      </c>
      <c r="TI12">
        <v>319</v>
      </c>
      <c r="TJ12" s="16">
        <v>44290</v>
      </c>
      <c r="TK12">
        <v>80002</v>
      </c>
      <c r="TL12">
        <v>319</v>
      </c>
      <c r="TM12" s="16">
        <v>44291</v>
      </c>
      <c r="TN12">
        <v>80362</v>
      </c>
      <c r="TO12">
        <v>359</v>
      </c>
      <c r="TP12" s="16">
        <v>44293</v>
      </c>
      <c r="TQ12">
        <v>81333</v>
      </c>
      <c r="TR12">
        <v>424</v>
      </c>
      <c r="TS12" s="16">
        <v>44294</v>
      </c>
      <c r="TT12">
        <v>81739</v>
      </c>
      <c r="TU12">
        <v>403</v>
      </c>
      <c r="TV12" s="16">
        <v>44294</v>
      </c>
      <c r="TW12">
        <v>81745</v>
      </c>
      <c r="TX12">
        <v>403</v>
      </c>
      <c r="TY12" s="16">
        <v>44295</v>
      </c>
      <c r="TZ12">
        <v>82095</v>
      </c>
      <c r="UA12">
        <v>348</v>
      </c>
      <c r="UB12" s="16">
        <v>44297</v>
      </c>
      <c r="UC12">
        <v>82557</v>
      </c>
      <c r="UD12">
        <v>238</v>
      </c>
      <c r="UE12" s="16">
        <v>44297</v>
      </c>
      <c r="UF12">
        <v>82558</v>
      </c>
      <c r="UG12">
        <v>238</v>
      </c>
      <c r="UH12" s="16">
        <v>44298</v>
      </c>
      <c r="UI12">
        <v>82956</v>
      </c>
      <c r="UJ12">
        <v>396</v>
      </c>
      <c r="UK12" s="16">
        <v>44299</v>
      </c>
      <c r="UL12">
        <v>83282</v>
      </c>
      <c r="UM12">
        <v>325</v>
      </c>
      <c r="UN12" s="16">
        <v>44303</v>
      </c>
      <c r="UO12">
        <v>84345</v>
      </c>
      <c r="UP12">
        <v>170</v>
      </c>
      <c r="UQ12" s="16">
        <v>44304</v>
      </c>
      <c r="UR12">
        <v>84502</v>
      </c>
      <c r="US12">
        <v>155</v>
      </c>
      <c r="UT12" s="16">
        <v>44305</v>
      </c>
      <c r="UU12">
        <v>84786</v>
      </c>
      <c r="UV12">
        <v>283</v>
      </c>
      <c r="UW12" s="16">
        <v>44306</v>
      </c>
      <c r="UX12">
        <v>85073</v>
      </c>
      <c r="UY12">
        <v>285</v>
      </c>
      <c r="UZ12" s="16">
        <v>44308</v>
      </c>
      <c r="VA12">
        <v>85568</v>
      </c>
      <c r="VB12">
        <v>258</v>
      </c>
      <c r="VC12" s="16">
        <v>44308</v>
      </c>
      <c r="VD12">
        <v>85565</v>
      </c>
      <c r="VE12">
        <v>257</v>
      </c>
      <c r="VF12" s="16">
        <v>44309</v>
      </c>
      <c r="VG12">
        <v>85822</v>
      </c>
      <c r="VH12">
        <v>255</v>
      </c>
      <c r="VI12" s="16">
        <v>44311</v>
      </c>
      <c r="VJ12">
        <v>86117</v>
      </c>
      <c r="VK12">
        <v>141</v>
      </c>
      <c r="VL12" s="16">
        <v>44311</v>
      </c>
      <c r="VM12">
        <v>86117</v>
      </c>
      <c r="VN12">
        <v>141</v>
      </c>
      <c r="VO12" s="16">
        <v>44312</v>
      </c>
      <c r="VP12">
        <v>86360</v>
      </c>
      <c r="VQ12">
        <v>242</v>
      </c>
      <c r="VR12" s="16">
        <v>44313</v>
      </c>
      <c r="VS12">
        <v>86586</v>
      </c>
      <c r="VT12">
        <v>228</v>
      </c>
      <c r="VU12" s="16">
        <v>44315</v>
      </c>
      <c r="VV12">
        <v>87064</v>
      </c>
      <c r="VW12">
        <v>202</v>
      </c>
      <c r="VX12" s="16">
        <v>44315</v>
      </c>
      <c r="VY12">
        <v>87066</v>
      </c>
      <c r="VZ12">
        <v>202</v>
      </c>
      <c r="WA12" s="16">
        <v>44316</v>
      </c>
      <c r="WB12">
        <v>87264</v>
      </c>
      <c r="WC12">
        <v>195</v>
      </c>
      <c r="WD12" s="16">
        <v>44317</v>
      </c>
      <c r="WE12">
        <v>87371</v>
      </c>
      <c r="WF12">
        <v>107</v>
      </c>
      <c r="WG12" s="16">
        <v>44318</v>
      </c>
      <c r="WH12">
        <v>87506</v>
      </c>
      <c r="WI12">
        <v>135</v>
      </c>
      <c r="WJ12" s="16">
        <v>44320</v>
      </c>
      <c r="WK12">
        <v>88030</v>
      </c>
      <c r="WL12">
        <v>205</v>
      </c>
      <c r="WM12" s="16">
        <v>44320</v>
      </c>
      <c r="WN12">
        <v>88031</v>
      </c>
      <c r="WO12">
        <v>205</v>
      </c>
      <c r="WP12" s="16">
        <v>44323</v>
      </c>
      <c r="WQ12">
        <v>88747</v>
      </c>
      <c r="WR12">
        <v>214</v>
      </c>
      <c r="WS12" s="16">
        <v>44324</v>
      </c>
      <c r="WT12">
        <v>88877</v>
      </c>
      <c r="WU12">
        <v>130</v>
      </c>
      <c r="WV12" s="16">
        <v>44325</v>
      </c>
      <c r="WW12">
        <v>89009</v>
      </c>
      <c r="WX12">
        <v>130</v>
      </c>
      <c r="WY12" s="16">
        <v>44326</v>
      </c>
      <c r="WZ12">
        <v>89270</v>
      </c>
      <c r="XA12">
        <v>258</v>
      </c>
      <c r="XB12" s="16">
        <v>44327</v>
      </c>
      <c r="XC12">
        <v>89485</v>
      </c>
      <c r="XD12">
        <v>214</v>
      </c>
      <c r="XE12" s="16">
        <v>44329</v>
      </c>
      <c r="XF12">
        <v>89897</v>
      </c>
      <c r="XG12">
        <v>155</v>
      </c>
      <c r="XH12" s="16">
        <v>44329</v>
      </c>
      <c r="XI12">
        <v>89903</v>
      </c>
      <c r="XJ12">
        <v>155</v>
      </c>
      <c r="XK12" s="16">
        <v>44330</v>
      </c>
      <c r="XL12">
        <v>90147</v>
      </c>
      <c r="XM12">
        <v>244</v>
      </c>
      <c r="XN12" s="16">
        <v>44331</v>
      </c>
      <c r="XO12">
        <v>90307</v>
      </c>
      <c r="XP12">
        <v>160</v>
      </c>
      <c r="XQ12" s="16">
        <v>44332</v>
      </c>
      <c r="XR12">
        <v>90440</v>
      </c>
      <c r="XS12">
        <v>133</v>
      </c>
      <c r="XT12" s="16">
        <v>44333</v>
      </c>
      <c r="XU12">
        <v>90727</v>
      </c>
      <c r="XV12">
        <v>284</v>
      </c>
      <c r="XW12" s="16">
        <v>44334</v>
      </c>
      <c r="XX12">
        <v>90946</v>
      </c>
      <c r="XY12">
        <v>216</v>
      </c>
      <c r="XZ12" s="16">
        <v>44335</v>
      </c>
      <c r="YA12">
        <v>91177</v>
      </c>
      <c r="YB12">
        <v>230</v>
      </c>
      <c r="YC12" s="16">
        <v>44337</v>
      </c>
      <c r="YD12">
        <v>91564</v>
      </c>
      <c r="YE12">
        <v>170</v>
      </c>
      <c r="YF12" s="16">
        <v>44338</v>
      </c>
      <c r="YG12">
        <v>91673</v>
      </c>
      <c r="YH12">
        <v>107</v>
      </c>
      <c r="YI12" s="16">
        <v>44339</v>
      </c>
      <c r="YJ12">
        <v>91767</v>
      </c>
      <c r="YK12">
        <v>93</v>
      </c>
      <c r="YL12" s="16">
        <v>44340</v>
      </c>
      <c r="YM12">
        <v>91955</v>
      </c>
      <c r="YN12">
        <v>188</v>
      </c>
      <c r="YO12" s="16">
        <v>44341</v>
      </c>
      <c r="YP12">
        <v>92111</v>
      </c>
      <c r="YQ12">
        <v>152</v>
      </c>
      <c r="YR12" s="16">
        <v>44342</v>
      </c>
      <c r="YS12">
        <v>92253</v>
      </c>
      <c r="YT12">
        <v>142</v>
      </c>
      <c r="YU12" s="16">
        <v>44344</v>
      </c>
      <c r="YV12">
        <v>92524</v>
      </c>
      <c r="YW12">
        <v>136</v>
      </c>
      <c r="YX12" s="16">
        <v>44345</v>
      </c>
      <c r="YY12">
        <v>92588</v>
      </c>
      <c r="YZ12">
        <v>64</v>
      </c>
      <c r="ZA12" s="16">
        <v>44346</v>
      </c>
      <c r="ZB12">
        <v>92669</v>
      </c>
      <c r="ZC12">
        <v>79</v>
      </c>
      <c r="ZD12" s="16">
        <v>44357</v>
      </c>
      <c r="ZE12">
        <v>93788</v>
      </c>
      <c r="ZF12">
        <v>76</v>
      </c>
      <c r="ZG12" s="16">
        <v>44358</v>
      </c>
      <c r="ZH12">
        <v>93867</v>
      </c>
      <c r="ZI12">
        <v>70</v>
      </c>
      <c r="ZJ12" s="16">
        <v>44359</v>
      </c>
      <c r="ZK12">
        <v>93912</v>
      </c>
      <c r="ZL12">
        <v>45</v>
      </c>
      <c r="ZM12" s="16">
        <v>44360</v>
      </c>
      <c r="ZN12">
        <v>93961</v>
      </c>
      <c r="ZO12">
        <v>47</v>
      </c>
      <c r="ZP12" s="16">
        <v>44361</v>
      </c>
      <c r="ZQ12">
        <v>94045</v>
      </c>
      <c r="ZR12">
        <v>92</v>
      </c>
      <c r="ZS12" s="16">
        <v>44365</v>
      </c>
      <c r="ZT12">
        <v>94353</v>
      </c>
      <c r="ZU12">
        <v>78</v>
      </c>
      <c r="ZV12" s="16">
        <v>44366</v>
      </c>
      <c r="ZW12">
        <v>94415</v>
      </c>
      <c r="ZX12">
        <v>57</v>
      </c>
      <c r="ZY12" s="16">
        <v>44367</v>
      </c>
      <c r="ZZ12">
        <v>94495</v>
      </c>
      <c r="AAA12">
        <v>80</v>
      </c>
      <c r="AAB12" s="16">
        <v>44368</v>
      </c>
      <c r="AAC12">
        <v>94610</v>
      </c>
      <c r="AAD12">
        <v>114</v>
      </c>
      <c r="AAE12" s="16">
        <v>44369</v>
      </c>
      <c r="AAF12">
        <v>94720</v>
      </c>
      <c r="AAG12">
        <v>110</v>
      </c>
      <c r="AAH12" s="16">
        <v>44372</v>
      </c>
      <c r="AAI12">
        <v>95220</v>
      </c>
      <c r="AAJ12">
        <v>196</v>
      </c>
      <c r="AAK12" s="16">
        <v>44373</v>
      </c>
      <c r="AAL12">
        <v>95354</v>
      </c>
      <c r="AAM12">
        <v>129</v>
      </c>
      <c r="AAN12" s="16">
        <v>44375</v>
      </c>
      <c r="AAO12">
        <v>95702</v>
      </c>
      <c r="AAP12">
        <v>230</v>
      </c>
      <c r="AAQ12" s="16">
        <v>44375</v>
      </c>
      <c r="AAR12">
        <v>95712</v>
      </c>
      <c r="AAS12">
        <v>230</v>
      </c>
      <c r="AAT12" s="16">
        <v>44376</v>
      </c>
      <c r="AAU12">
        <v>95973</v>
      </c>
      <c r="AAV12">
        <v>262</v>
      </c>
      <c r="AAW12" s="16">
        <v>44378</v>
      </c>
      <c r="AAX12">
        <v>96379</v>
      </c>
      <c r="AAY12">
        <v>209</v>
      </c>
      <c r="AAZ12" s="16">
        <v>44378</v>
      </c>
      <c r="ABA12">
        <v>96381</v>
      </c>
      <c r="ABB12">
        <v>209</v>
      </c>
      <c r="ABC12" s="16">
        <v>44379</v>
      </c>
      <c r="ABD12">
        <v>96546</v>
      </c>
      <c r="ABE12">
        <v>167</v>
      </c>
      <c r="ABF12" s="16">
        <v>44381</v>
      </c>
      <c r="ABG12">
        <v>96782</v>
      </c>
      <c r="ABH12">
        <v>108</v>
      </c>
      <c r="ABI12" s="16">
        <v>44381</v>
      </c>
      <c r="ABJ12">
        <v>96783</v>
      </c>
      <c r="ABK12">
        <v>108</v>
      </c>
      <c r="ABL12" s="16">
        <v>44382</v>
      </c>
      <c r="ABM12">
        <v>97025</v>
      </c>
      <c r="ABN12">
        <v>243</v>
      </c>
      <c r="ABO12" s="16">
        <v>44383</v>
      </c>
      <c r="ABP12">
        <v>97285</v>
      </c>
      <c r="ABQ12">
        <v>260</v>
      </c>
      <c r="ABR12" s="16">
        <v>44384</v>
      </c>
      <c r="ABS12">
        <v>97576</v>
      </c>
      <c r="ABT12">
        <v>291</v>
      </c>
      <c r="ABU12" s="16">
        <v>44385</v>
      </c>
      <c r="ABV12">
        <v>97860</v>
      </c>
      <c r="ABW12">
        <v>282</v>
      </c>
      <c r="ABX12" s="16">
        <v>44386</v>
      </c>
      <c r="ABY12">
        <v>98177</v>
      </c>
      <c r="ABZ12">
        <v>311</v>
      </c>
      <c r="ACA12" s="16">
        <v>44387</v>
      </c>
      <c r="ACB12">
        <v>98331</v>
      </c>
      <c r="ACC12">
        <v>150</v>
      </c>
      <c r="ACD12" s="16">
        <v>44388</v>
      </c>
      <c r="ACE12">
        <v>98488</v>
      </c>
      <c r="ACF12">
        <v>157</v>
      </c>
      <c r="ACG12" s="16">
        <v>44389</v>
      </c>
      <c r="ACH12">
        <v>98818</v>
      </c>
      <c r="ACI12">
        <v>329</v>
      </c>
      <c r="ACJ12" s="16">
        <v>44390</v>
      </c>
      <c r="ACK12">
        <v>99153</v>
      </c>
      <c r="ACL12">
        <v>340</v>
      </c>
      <c r="ACM12" s="16">
        <v>44393</v>
      </c>
      <c r="ACN12">
        <v>100273</v>
      </c>
      <c r="ACO12">
        <v>354</v>
      </c>
      <c r="ACP12" s="16">
        <v>44394</v>
      </c>
      <c r="ACQ12">
        <v>100477</v>
      </c>
      <c r="ACR12">
        <v>203</v>
      </c>
      <c r="ACS12" s="16">
        <v>44395</v>
      </c>
      <c r="ACT12">
        <v>100724</v>
      </c>
      <c r="ACU12">
        <v>247</v>
      </c>
      <c r="ACV12" s="16">
        <v>44396</v>
      </c>
      <c r="ACW12">
        <v>101145</v>
      </c>
      <c r="ACX12">
        <v>421</v>
      </c>
      <c r="ACY12" s="16">
        <v>44397</v>
      </c>
      <c r="ACZ12">
        <v>101570</v>
      </c>
      <c r="ADA12">
        <v>424</v>
      </c>
      <c r="ADB12" s="16">
        <v>44398</v>
      </c>
      <c r="ADC12">
        <v>102040</v>
      </c>
      <c r="ADD12">
        <v>468</v>
      </c>
      <c r="ADE12" s="16">
        <v>44399</v>
      </c>
      <c r="ADF12">
        <v>102526</v>
      </c>
      <c r="ADG12">
        <v>486</v>
      </c>
      <c r="ADH12" s="16">
        <v>44400</v>
      </c>
      <c r="ADI12">
        <v>103007</v>
      </c>
      <c r="ADJ12">
        <v>481</v>
      </c>
      <c r="ADK12" s="16">
        <v>44401</v>
      </c>
      <c r="ADL12">
        <v>103306</v>
      </c>
      <c r="ADM12">
        <v>299</v>
      </c>
      <c r="ADN12" s="16">
        <v>44402</v>
      </c>
      <c r="ADO12">
        <v>103657</v>
      </c>
      <c r="ADP12">
        <v>351</v>
      </c>
      <c r="ADQ12" s="16">
        <v>44403</v>
      </c>
      <c r="ADR12">
        <v>104423</v>
      </c>
      <c r="ADS12">
        <v>766</v>
      </c>
      <c r="ADT12" s="16">
        <v>44404</v>
      </c>
      <c r="ADU12">
        <v>105104</v>
      </c>
      <c r="ADV12">
        <v>678</v>
      </c>
      <c r="ADW12" s="16">
        <v>44407</v>
      </c>
      <c r="ADX12">
        <v>107415</v>
      </c>
      <c r="ADY12">
        <v>696</v>
      </c>
      <c r="ADZ12" s="16">
        <v>44408</v>
      </c>
      <c r="AEA12">
        <v>107822</v>
      </c>
      <c r="AEB12">
        <v>406</v>
      </c>
      <c r="AEC12" s="16">
        <v>44409</v>
      </c>
      <c r="AED12">
        <v>108298</v>
      </c>
      <c r="AEE12">
        <v>476</v>
      </c>
      <c r="AEF12" s="16">
        <v>44410</v>
      </c>
      <c r="AEG12">
        <v>109188</v>
      </c>
      <c r="AEH12">
        <v>892</v>
      </c>
      <c r="AEI12" s="16">
        <v>44411</v>
      </c>
      <c r="AEJ12">
        <v>110031</v>
      </c>
      <c r="AEK12">
        <v>840</v>
      </c>
      <c r="AEL12" s="16">
        <v>44414</v>
      </c>
      <c r="AEM12">
        <v>112367</v>
      </c>
      <c r="AEN12">
        <v>684</v>
      </c>
      <c r="AEO12" s="16">
        <v>44415</v>
      </c>
      <c r="AEP12">
        <v>112857</v>
      </c>
      <c r="AEQ12">
        <v>482</v>
      </c>
      <c r="AER12" s="16">
        <v>44416</v>
      </c>
      <c r="AES12">
        <v>113391</v>
      </c>
      <c r="AET12">
        <v>535</v>
      </c>
      <c r="AEU12" s="16">
        <v>44417</v>
      </c>
      <c r="AEV12">
        <v>114425</v>
      </c>
      <c r="AEW12">
        <v>1035</v>
      </c>
      <c r="AEX12" s="16">
        <v>44419</v>
      </c>
      <c r="AEY12">
        <v>116177</v>
      </c>
      <c r="AEZ12">
        <v>925</v>
      </c>
      <c r="AFA12" s="16">
        <v>44420</v>
      </c>
      <c r="AFB12">
        <v>116970</v>
      </c>
      <c r="AFC12">
        <v>790</v>
      </c>
      <c r="AFD12">
        <v>44425</v>
      </c>
      <c r="AFE12">
        <v>120085</v>
      </c>
      <c r="AFF12">
        <v>740</v>
      </c>
      <c r="AFG12">
        <v>44426</v>
      </c>
      <c r="AFH12">
        <v>120794</v>
      </c>
      <c r="AFI12">
        <v>704</v>
      </c>
      <c r="AFJ12">
        <v>44428</v>
      </c>
      <c r="AFK12">
        <v>122122</v>
      </c>
      <c r="AFL12">
        <v>655</v>
      </c>
      <c r="AFM12">
        <v>44431</v>
      </c>
      <c r="AFN12">
        <v>123658</v>
      </c>
      <c r="AFO12">
        <v>680</v>
      </c>
      <c r="AFP12">
        <v>44432</v>
      </c>
      <c r="AFQ12">
        <v>124264</v>
      </c>
      <c r="AFR12">
        <v>605</v>
      </c>
      <c r="AFS12">
        <v>44434</v>
      </c>
      <c r="AFT12">
        <v>125564</v>
      </c>
      <c r="AFU12">
        <v>606</v>
      </c>
      <c r="AFV12">
        <v>44435</v>
      </c>
      <c r="AFW12">
        <v>126270</v>
      </c>
      <c r="AFX12">
        <v>704</v>
      </c>
      <c r="AFY12">
        <v>44437</v>
      </c>
      <c r="AFZ12">
        <v>127165</v>
      </c>
      <c r="AGA12">
        <v>459</v>
      </c>
      <c r="AGB12">
        <v>44438</v>
      </c>
      <c r="AGC12">
        <v>127903</v>
      </c>
      <c r="AGD12">
        <v>738</v>
      </c>
      <c r="AGE12">
        <v>44441</v>
      </c>
      <c r="AGF12">
        <v>129857</v>
      </c>
      <c r="AGG12">
        <v>649</v>
      </c>
      <c r="AGH12">
        <v>44442</v>
      </c>
      <c r="AGI12">
        <v>130379</v>
      </c>
      <c r="AGJ12">
        <v>519</v>
      </c>
      <c r="AGK12">
        <v>44444</v>
      </c>
      <c r="AGL12">
        <v>131059</v>
      </c>
      <c r="AGM12">
        <v>344</v>
      </c>
      <c r="AGN12">
        <v>44444</v>
      </c>
      <c r="AGO12">
        <v>131060</v>
      </c>
      <c r="AGP12">
        <v>344</v>
      </c>
      <c r="AGQ12">
        <v>44445</v>
      </c>
      <c r="AGR12">
        <v>131641</v>
      </c>
      <c r="AGS12">
        <v>580</v>
      </c>
      <c r="AGT12">
        <v>44446</v>
      </c>
      <c r="AGU12">
        <v>132157</v>
      </c>
      <c r="AGV12">
        <v>515</v>
      </c>
      <c r="AGW12">
        <v>44448</v>
      </c>
      <c r="AGX12">
        <v>133095</v>
      </c>
      <c r="AGY12">
        <v>459</v>
      </c>
      <c r="AGZ12">
        <v>44450</v>
      </c>
      <c r="AHA12">
        <v>133922</v>
      </c>
      <c r="AHB12">
        <v>326</v>
      </c>
      <c r="AHC12">
        <v>44451</v>
      </c>
      <c r="AHD12">
        <v>134205</v>
      </c>
      <c r="AHE12">
        <v>281</v>
      </c>
      <c r="AHF12">
        <v>44452</v>
      </c>
      <c r="AHG12">
        <v>134737</v>
      </c>
      <c r="AHH12">
        <v>532</v>
      </c>
      <c r="AHI12">
        <v>44453</v>
      </c>
      <c r="AHJ12">
        <v>135211</v>
      </c>
      <c r="AHK12">
        <v>474</v>
      </c>
      <c r="AHL12">
        <v>44457</v>
      </c>
      <c r="AHM12">
        <v>136721</v>
      </c>
      <c r="AHN12">
        <v>238</v>
      </c>
      <c r="AHO12">
        <v>44458</v>
      </c>
      <c r="AHP12">
        <v>137002</v>
      </c>
      <c r="AHQ12">
        <v>281</v>
      </c>
      <c r="AHR12">
        <v>44459</v>
      </c>
      <c r="AHS12">
        <v>137492</v>
      </c>
      <c r="AHT12">
        <v>489</v>
      </c>
      <c r="AHU12">
        <v>44460</v>
      </c>
      <c r="AHV12">
        <v>137979</v>
      </c>
      <c r="AHW12">
        <v>488</v>
      </c>
      <c r="AHX12">
        <v>44461</v>
      </c>
      <c r="AHY12">
        <v>138465</v>
      </c>
      <c r="AHZ12">
        <v>484</v>
      </c>
      <c r="AIA12">
        <v>44465</v>
      </c>
      <c r="AIB12">
        <v>140020</v>
      </c>
      <c r="AIC12">
        <v>354</v>
      </c>
      <c r="AID12">
        <v>44469</v>
      </c>
      <c r="AIE12">
        <v>142636</v>
      </c>
      <c r="AIF12">
        <v>618</v>
      </c>
      <c r="AIG12">
        <v>44473</v>
      </c>
      <c r="AIH12">
        <v>144662</v>
      </c>
      <c r="AII12">
        <v>745</v>
      </c>
      <c r="AIJ12">
        <v>44474</v>
      </c>
      <c r="AIK12">
        <v>145360</v>
      </c>
      <c r="AIL12">
        <v>684</v>
      </c>
      <c r="AIM12">
        <v>44475</v>
      </c>
      <c r="AIN12">
        <v>145895</v>
      </c>
      <c r="AIO12">
        <v>535</v>
      </c>
      <c r="AIP12">
        <v>44478</v>
      </c>
      <c r="AIQ12">
        <v>147472</v>
      </c>
      <c r="AIR12">
        <v>424</v>
      </c>
      <c r="AIS12">
        <v>44479</v>
      </c>
      <c r="AIT12">
        <v>147870</v>
      </c>
      <c r="AIU12">
        <v>395</v>
      </c>
      <c r="AIV12">
        <v>44480</v>
      </c>
      <c r="AIW12">
        <v>148568</v>
      </c>
      <c r="AIX12">
        <v>693</v>
      </c>
      <c r="AIY12">
        <v>44481</v>
      </c>
      <c r="AIZ12">
        <v>149449</v>
      </c>
      <c r="AJA12">
        <v>609</v>
      </c>
      <c r="AJB12">
        <v>44482</v>
      </c>
      <c r="AJC12">
        <v>150088</v>
      </c>
      <c r="AJD12">
        <v>637</v>
      </c>
      <c r="AJE12">
        <v>44485</v>
      </c>
      <c r="AJF12">
        <v>151552</v>
      </c>
      <c r="AJG12">
        <v>343</v>
      </c>
      <c r="AJH12">
        <v>44486</v>
      </c>
      <c r="AJI12">
        <v>151907</v>
      </c>
      <c r="AJJ12">
        <v>319</v>
      </c>
      <c r="AJK12">
        <v>44487</v>
      </c>
      <c r="AJL12">
        <v>152568</v>
      </c>
      <c r="AJM12">
        <v>660</v>
      </c>
      <c r="AJN12">
        <v>44488</v>
      </c>
      <c r="AJO12">
        <v>153122</v>
      </c>
      <c r="AJP12">
        <v>551</v>
      </c>
      <c r="AJQ12">
        <v>44492</v>
      </c>
      <c r="AJR12">
        <v>155213</v>
      </c>
      <c r="AJS12">
        <v>375</v>
      </c>
      <c r="AJT12">
        <v>44493</v>
      </c>
      <c r="AJU12">
        <v>155605</v>
      </c>
      <c r="AJV12">
        <v>389</v>
      </c>
      <c r="AJW12">
        <v>44494</v>
      </c>
      <c r="AJX12">
        <v>156396</v>
      </c>
      <c r="AJY12">
        <v>792</v>
      </c>
      <c r="AJZ12">
        <v>44495</v>
      </c>
      <c r="AKA12">
        <v>157076</v>
      </c>
      <c r="AKB12">
        <v>677</v>
      </c>
      <c r="AKC12">
        <v>44496</v>
      </c>
      <c r="AKD12">
        <v>157717</v>
      </c>
      <c r="AKE12">
        <v>641</v>
      </c>
      <c r="AKF12">
        <v>44499</v>
      </c>
      <c r="AKG12">
        <v>159352</v>
      </c>
      <c r="AKH12">
        <v>400</v>
      </c>
      <c r="AKI12">
        <v>44502</v>
      </c>
      <c r="AKJ12">
        <v>161521</v>
      </c>
      <c r="AKK12">
        <v>755</v>
      </c>
      <c r="AKL12">
        <v>44504</v>
      </c>
      <c r="AKM12">
        <v>163098</v>
      </c>
      <c r="AKN12">
        <v>804</v>
      </c>
      <c r="AKO12">
        <v>44506</v>
      </c>
      <c r="AKP12">
        <v>164458</v>
      </c>
      <c r="AKQ12">
        <v>514</v>
      </c>
      <c r="AKR12">
        <v>44507</v>
      </c>
      <c r="AKS12">
        <v>164977</v>
      </c>
      <c r="AKT12">
        <v>508</v>
      </c>
      <c r="AKU12">
        <v>44509</v>
      </c>
      <c r="AKV12">
        <v>166928</v>
      </c>
      <c r="AKW12">
        <v>832</v>
      </c>
      <c r="AKX12">
        <v>44510</v>
      </c>
      <c r="AKY12">
        <v>167899</v>
      </c>
      <c r="AKZ12">
        <v>969</v>
      </c>
      <c r="ALA12">
        <v>44513</v>
      </c>
      <c r="ALB12">
        <v>170387</v>
      </c>
      <c r="ALC12">
        <v>615</v>
      </c>
      <c r="ALD12">
        <v>44514</v>
      </c>
      <c r="ALE12">
        <v>170962</v>
      </c>
      <c r="ALF12">
        <v>571</v>
      </c>
      <c r="ALG12">
        <v>44515</v>
      </c>
      <c r="ALH12">
        <v>172218</v>
      </c>
      <c r="ALI12">
        <v>1253</v>
      </c>
      <c r="ALJ12">
        <v>44516</v>
      </c>
      <c r="ALK12">
        <v>173407</v>
      </c>
      <c r="ALL12">
        <v>1193</v>
      </c>
      <c r="ALM12">
        <v>44524</v>
      </c>
      <c r="ALN12">
        <v>182546</v>
      </c>
      <c r="ALO12">
        <v>1251</v>
      </c>
    </row>
    <row r="13" spans="1:1003">
      <c r="B13" t="str">
        <f t="shared" ca="1" si="2"/>
        <v>26.11</v>
      </c>
      <c r="C13" s="4">
        <f t="shared" ca="1" si="0"/>
        <v>44526</v>
      </c>
      <c r="D13" s="11">
        <f t="shared" ca="1" si="1"/>
        <v>185117</v>
      </c>
      <c r="E13">
        <f t="shared" ca="1" si="3"/>
        <v>1299</v>
      </c>
      <c r="F13" s="11">
        <f t="shared" ca="1" si="4"/>
        <v>0</v>
      </c>
      <c r="G13" s="11">
        <f t="shared" ca="1" si="5"/>
        <v>1299</v>
      </c>
      <c r="H13" s="10"/>
      <c r="L13" s="3"/>
      <c r="N13" s="16">
        <v>44525</v>
      </c>
      <c r="O13">
        <v>183815</v>
      </c>
      <c r="P13" s="10">
        <v>1269</v>
      </c>
      <c r="Q13" s="16">
        <v>44525</v>
      </c>
      <c r="R13">
        <v>183815</v>
      </c>
      <c r="S13">
        <v>1269</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s="16">
        <v>44274</v>
      </c>
      <c r="RU13">
        <v>71717</v>
      </c>
      <c r="RV13">
        <v>744</v>
      </c>
      <c r="RW13" s="16">
        <v>44275</v>
      </c>
      <c r="RX13">
        <v>72120</v>
      </c>
      <c r="RY13">
        <v>403</v>
      </c>
      <c r="RZ13" s="16">
        <v>44276</v>
      </c>
      <c r="SA13">
        <v>72538</v>
      </c>
      <c r="SB13">
        <v>417</v>
      </c>
      <c r="SC13" s="16">
        <v>44277</v>
      </c>
      <c r="SD13">
        <v>73304</v>
      </c>
      <c r="SE13">
        <v>766</v>
      </c>
      <c r="SF13" s="16">
        <v>44278</v>
      </c>
      <c r="SG13">
        <v>74008</v>
      </c>
      <c r="SH13">
        <v>702</v>
      </c>
      <c r="SI13" s="16">
        <v>44279</v>
      </c>
      <c r="SJ13">
        <v>74702</v>
      </c>
      <c r="SK13">
        <v>693</v>
      </c>
      <c r="SL13" s="16">
        <v>44281</v>
      </c>
      <c r="SM13">
        <v>75994</v>
      </c>
      <c r="SN13">
        <v>686</v>
      </c>
      <c r="SO13" s="16">
        <v>44282</v>
      </c>
      <c r="SP13">
        <v>76362</v>
      </c>
      <c r="SQ13">
        <v>350</v>
      </c>
      <c r="SR13" s="16">
        <v>44283</v>
      </c>
      <c r="SS13">
        <v>76734</v>
      </c>
      <c r="ST13">
        <v>369</v>
      </c>
      <c r="SU13" s="16">
        <v>44284</v>
      </c>
      <c r="SV13">
        <v>77389</v>
      </c>
      <c r="SW13">
        <v>655</v>
      </c>
      <c r="SX13" s="16">
        <v>44286</v>
      </c>
      <c r="SY13">
        <v>78507</v>
      </c>
      <c r="SZ13">
        <v>549</v>
      </c>
      <c r="TA13" s="16">
        <v>44287</v>
      </c>
      <c r="TB13">
        <v>78998</v>
      </c>
      <c r="TC13">
        <v>487</v>
      </c>
      <c r="TD13" s="16">
        <v>44289</v>
      </c>
      <c r="TE13">
        <v>79678</v>
      </c>
      <c r="TF13">
        <v>319</v>
      </c>
      <c r="TG13" s="16">
        <v>44290</v>
      </c>
      <c r="TH13">
        <v>80001</v>
      </c>
      <c r="TI13">
        <v>319</v>
      </c>
      <c r="TJ13" s="16">
        <v>44291</v>
      </c>
      <c r="TK13">
        <v>80361</v>
      </c>
      <c r="TL13">
        <v>359</v>
      </c>
      <c r="TM13" s="16">
        <v>44292</v>
      </c>
      <c r="TN13">
        <v>80905</v>
      </c>
      <c r="TO13">
        <v>543</v>
      </c>
      <c r="TP13" s="16">
        <v>44294</v>
      </c>
      <c r="TQ13">
        <v>81736</v>
      </c>
      <c r="TR13">
        <v>403</v>
      </c>
      <c r="TS13" s="16">
        <v>44295</v>
      </c>
      <c r="TT13">
        <v>82087</v>
      </c>
      <c r="TU13">
        <v>348</v>
      </c>
      <c r="TV13" s="16">
        <v>44295</v>
      </c>
      <c r="TW13">
        <v>82093</v>
      </c>
      <c r="TX13">
        <v>348</v>
      </c>
      <c r="TY13" s="16">
        <v>44296</v>
      </c>
      <c r="TZ13">
        <v>82319</v>
      </c>
      <c r="UA13">
        <v>224</v>
      </c>
      <c r="UB13" s="16">
        <v>44298</v>
      </c>
      <c r="UC13">
        <v>82953</v>
      </c>
      <c r="UD13">
        <v>396</v>
      </c>
      <c r="UE13" s="16">
        <v>44298</v>
      </c>
      <c r="UF13">
        <v>82954</v>
      </c>
      <c r="UG13">
        <v>396</v>
      </c>
      <c r="UH13" s="16">
        <v>44299</v>
      </c>
      <c r="UI13">
        <v>83281</v>
      </c>
      <c r="UJ13">
        <v>325</v>
      </c>
      <c r="UK13" s="16">
        <v>44300</v>
      </c>
      <c r="UL13">
        <v>83627</v>
      </c>
      <c r="UM13">
        <v>345</v>
      </c>
      <c r="UN13" s="16">
        <v>44304</v>
      </c>
      <c r="UO13">
        <v>84500</v>
      </c>
      <c r="UP13">
        <v>155</v>
      </c>
      <c r="UQ13" s="16">
        <v>44305</v>
      </c>
      <c r="UR13">
        <v>84785</v>
      </c>
      <c r="US13">
        <v>283</v>
      </c>
      <c r="UT13" s="16">
        <v>44306</v>
      </c>
      <c r="UU13">
        <v>85071</v>
      </c>
      <c r="UV13">
        <v>285</v>
      </c>
      <c r="UW13" s="16">
        <v>44307</v>
      </c>
      <c r="UX13">
        <v>85307</v>
      </c>
      <c r="UY13">
        <v>234</v>
      </c>
      <c r="UZ13" s="16">
        <v>44309</v>
      </c>
      <c r="VA13">
        <v>85825</v>
      </c>
      <c r="VB13">
        <v>257</v>
      </c>
      <c r="VC13" s="16">
        <v>44309</v>
      </c>
      <c r="VD13">
        <v>85820</v>
      </c>
      <c r="VE13">
        <v>255</v>
      </c>
      <c r="VF13" s="16">
        <v>44310</v>
      </c>
      <c r="VG13">
        <v>85976</v>
      </c>
      <c r="VH13">
        <v>154</v>
      </c>
      <c r="VI13" s="16">
        <v>44312</v>
      </c>
      <c r="VJ13">
        <v>86360</v>
      </c>
      <c r="VK13">
        <v>243</v>
      </c>
      <c r="VL13" s="16">
        <v>44312</v>
      </c>
      <c r="VM13">
        <v>86360</v>
      </c>
      <c r="VN13">
        <v>243</v>
      </c>
      <c r="VO13" s="16">
        <v>44313</v>
      </c>
      <c r="VP13">
        <v>86588</v>
      </c>
      <c r="VQ13">
        <v>228</v>
      </c>
      <c r="VR13" s="16">
        <v>44314</v>
      </c>
      <c r="VS13">
        <v>86859</v>
      </c>
      <c r="VT13">
        <v>273</v>
      </c>
      <c r="VU13" s="16">
        <v>44316</v>
      </c>
      <c r="VV13">
        <v>87259</v>
      </c>
      <c r="VW13">
        <v>195</v>
      </c>
      <c r="VX13" s="16">
        <v>44316</v>
      </c>
      <c r="VY13">
        <v>87261</v>
      </c>
      <c r="VZ13">
        <v>195</v>
      </c>
      <c r="WA13" s="16">
        <v>44317</v>
      </c>
      <c r="WB13">
        <v>87371</v>
      </c>
      <c r="WC13">
        <v>107</v>
      </c>
      <c r="WD13" s="16">
        <v>44318</v>
      </c>
      <c r="WE13">
        <v>87506</v>
      </c>
      <c r="WF13">
        <v>135</v>
      </c>
      <c r="WG13" s="16">
        <v>44319</v>
      </c>
      <c r="WH13">
        <v>87824</v>
      </c>
      <c r="WI13">
        <v>318</v>
      </c>
      <c r="WJ13" s="16">
        <v>44321</v>
      </c>
      <c r="WK13">
        <v>88296</v>
      </c>
      <c r="WL13">
        <v>266</v>
      </c>
      <c r="WM13" s="16">
        <v>44321</v>
      </c>
      <c r="WN13">
        <v>88297</v>
      </c>
      <c r="WO13">
        <v>266</v>
      </c>
      <c r="WP13" s="16">
        <v>44324</v>
      </c>
      <c r="WQ13">
        <v>88877</v>
      </c>
      <c r="WR13">
        <v>130</v>
      </c>
      <c r="WS13" s="16">
        <v>44325</v>
      </c>
      <c r="WT13">
        <v>89007</v>
      </c>
      <c r="WU13">
        <v>130</v>
      </c>
      <c r="WV13" s="16">
        <v>44326</v>
      </c>
      <c r="WW13">
        <v>89267</v>
      </c>
      <c r="WX13">
        <v>258</v>
      </c>
      <c r="WY13" s="16">
        <v>44327</v>
      </c>
      <c r="WZ13">
        <v>89484</v>
      </c>
      <c r="XA13">
        <v>214</v>
      </c>
      <c r="XB13" s="16">
        <v>44328</v>
      </c>
      <c r="XC13">
        <v>89741</v>
      </c>
      <c r="XD13">
        <v>256</v>
      </c>
      <c r="XE13" s="16">
        <v>44330</v>
      </c>
      <c r="XF13">
        <v>90140</v>
      </c>
      <c r="XG13">
        <v>243</v>
      </c>
      <c r="XH13" s="16">
        <v>44330</v>
      </c>
      <c r="XI13">
        <v>90147</v>
      </c>
      <c r="XJ13">
        <v>244</v>
      </c>
      <c r="XK13" s="16">
        <v>44331</v>
      </c>
      <c r="XL13">
        <v>90307</v>
      </c>
      <c r="XM13">
        <v>160</v>
      </c>
      <c r="XN13" s="16">
        <v>44332</v>
      </c>
      <c r="XO13">
        <v>90440</v>
      </c>
      <c r="XP13">
        <v>133</v>
      </c>
      <c r="XQ13" s="16">
        <v>44333</v>
      </c>
      <c r="XR13">
        <v>90724</v>
      </c>
      <c r="XS13">
        <v>284</v>
      </c>
      <c r="XT13" s="16">
        <v>44334</v>
      </c>
      <c r="XU13">
        <v>90943</v>
      </c>
      <c r="XV13">
        <v>216</v>
      </c>
      <c r="XW13" s="16">
        <v>44335</v>
      </c>
      <c r="XX13">
        <v>91176</v>
      </c>
      <c r="XY13">
        <v>230</v>
      </c>
      <c r="XZ13" s="16">
        <v>44336</v>
      </c>
      <c r="YA13">
        <v>91392</v>
      </c>
      <c r="YB13">
        <v>215</v>
      </c>
      <c r="YC13" s="16">
        <v>44338</v>
      </c>
      <c r="YD13">
        <v>91671</v>
      </c>
      <c r="YE13">
        <v>107</v>
      </c>
      <c r="YF13" s="16">
        <v>44339</v>
      </c>
      <c r="YG13">
        <v>91765</v>
      </c>
      <c r="YH13">
        <v>92</v>
      </c>
      <c r="YI13" s="16">
        <v>44340</v>
      </c>
      <c r="YJ13">
        <v>91955</v>
      </c>
      <c r="YK13">
        <v>188</v>
      </c>
      <c r="YL13" s="16">
        <v>44341</v>
      </c>
      <c r="YM13">
        <v>92107</v>
      </c>
      <c r="YN13">
        <v>152</v>
      </c>
      <c r="YO13" s="16">
        <v>44342</v>
      </c>
      <c r="YP13">
        <v>92253</v>
      </c>
      <c r="YQ13">
        <v>142</v>
      </c>
      <c r="YR13" s="16">
        <v>44343</v>
      </c>
      <c r="YS13">
        <v>92380</v>
      </c>
      <c r="YT13">
        <v>127</v>
      </c>
      <c r="YU13" s="16">
        <v>44345</v>
      </c>
      <c r="YV13">
        <v>92588</v>
      </c>
      <c r="YW13">
        <v>64</v>
      </c>
      <c r="YX13" s="16">
        <v>44346</v>
      </c>
      <c r="YY13">
        <v>92667</v>
      </c>
      <c r="YZ13">
        <v>79</v>
      </c>
      <c r="ZA13" s="16">
        <v>44347</v>
      </c>
      <c r="ZB13">
        <v>92814</v>
      </c>
      <c r="ZC13">
        <v>145</v>
      </c>
      <c r="ZD13" s="16">
        <v>44358</v>
      </c>
      <c r="ZE13">
        <v>93858</v>
      </c>
      <c r="ZF13">
        <v>70</v>
      </c>
      <c r="ZG13" s="16">
        <v>44359</v>
      </c>
      <c r="ZH13">
        <v>93912</v>
      </c>
      <c r="ZI13">
        <v>45</v>
      </c>
      <c r="ZJ13" s="16">
        <v>44360</v>
      </c>
      <c r="ZK13">
        <v>93959</v>
      </c>
      <c r="ZL13">
        <v>47</v>
      </c>
      <c r="ZM13" s="16">
        <v>44361</v>
      </c>
      <c r="ZN13">
        <v>94053</v>
      </c>
      <c r="ZO13">
        <v>92</v>
      </c>
      <c r="ZP13" s="16">
        <v>44362</v>
      </c>
      <c r="ZQ13">
        <v>94121</v>
      </c>
      <c r="ZR13">
        <v>76</v>
      </c>
      <c r="ZS13" s="16">
        <v>44366</v>
      </c>
      <c r="ZT13">
        <v>94410</v>
      </c>
      <c r="ZU13">
        <v>57</v>
      </c>
      <c r="ZV13" s="16">
        <v>44367</v>
      </c>
      <c r="ZW13">
        <v>94495</v>
      </c>
      <c r="ZX13">
        <v>80</v>
      </c>
      <c r="ZY13" s="16">
        <v>44368</v>
      </c>
      <c r="ZZ13">
        <v>94608</v>
      </c>
      <c r="AAA13">
        <v>113</v>
      </c>
      <c r="AAB13" s="16">
        <v>44369</v>
      </c>
      <c r="AAC13">
        <v>94720</v>
      </c>
      <c r="AAD13">
        <v>110</v>
      </c>
      <c r="AAE13" s="16">
        <v>44370</v>
      </c>
      <c r="AAF13">
        <v>94863</v>
      </c>
      <c r="AAG13">
        <v>143</v>
      </c>
      <c r="AAH13" s="16">
        <v>44373</v>
      </c>
      <c r="AAI13">
        <v>95349</v>
      </c>
      <c r="AAJ13">
        <v>129</v>
      </c>
      <c r="AAK13" s="16">
        <v>44374</v>
      </c>
      <c r="AAL13">
        <v>95473</v>
      </c>
      <c r="AAM13">
        <v>119</v>
      </c>
      <c r="AAN13" s="16">
        <v>44376</v>
      </c>
      <c r="AAO13">
        <v>95964</v>
      </c>
      <c r="AAP13">
        <v>262</v>
      </c>
      <c r="AAQ13" s="16">
        <v>44376</v>
      </c>
      <c r="AAR13">
        <v>95974</v>
      </c>
      <c r="AAS13">
        <v>262</v>
      </c>
      <c r="AAT13" s="16">
        <v>44377</v>
      </c>
      <c r="AAU13">
        <v>96168</v>
      </c>
      <c r="AAV13">
        <v>195</v>
      </c>
      <c r="AAW13" s="16">
        <v>44379</v>
      </c>
      <c r="AAX13">
        <v>96547</v>
      </c>
      <c r="AAY13">
        <v>168</v>
      </c>
      <c r="AAZ13" s="16">
        <v>44379</v>
      </c>
      <c r="ABA13">
        <v>96549</v>
      </c>
      <c r="ABB13">
        <v>168</v>
      </c>
      <c r="ABC13" s="16">
        <v>44380</v>
      </c>
      <c r="ABD13">
        <v>96675</v>
      </c>
      <c r="ABE13">
        <v>129</v>
      </c>
      <c r="ABF13" s="16">
        <v>44382</v>
      </c>
      <c r="ABG13">
        <v>97025</v>
      </c>
      <c r="ABH13">
        <v>243</v>
      </c>
      <c r="ABI13" s="16">
        <v>44382</v>
      </c>
      <c r="ABJ13">
        <v>97026</v>
      </c>
      <c r="ABK13">
        <v>243</v>
      </c>
      <c r="ABL13" s="16">
        <v>44383</v>
      </c>
      <c r="ABM13">
        <v>97285</v>
      </c>
      <c r="ABN13">
        <v>260</v>
      </c>
      <c r="ABO13" s="16">
        <v>44384</v>
      </c>
      <c r="ABP13">
        <v>97576</v>
      </c>
      <c r="ABQ13">
        <v>291</v>
      </c>
      <c r="ABR13" s="16">
        <v>44385</v>
      </c>
      <c r="ABS13">
        <v>97858</v>
      </c>
      <c r="ABT13">
        <v>282</v>
      </c>
      <c r="ABU13" s="16">
        <v>44386</v>
      </c>
      <c r="ABV13">
        <v>98172</v>
      </c>
      <c r="ABW13">
        <v>312</v>
      </c>
      <c r="ABX13" s="16">
        <v>44387</v>
      </c>
      <c r="ABY13">
        <v>98327</v>
      </c>
      <c r="ABZ13">
        <v>150</v>
      </c>
      <c r="ACA13" s="16">
        <v>44388</v>
      </c>
      <c r="ACB13">
        <v>98488</v>
      </c>
      <c r="ACC13">
        <v>157</v>
      </c>
      <c r="ACD13" s="16">
        <v>44389</v>
      </c>
      <c r="ACE13">
        <v>98817</v>
      </c>
      <c r="ACF13">
        <v>329</v>
      </c>
      <c r="ACG13" s="16">
        <v>44390</v>
      </c>
      <c r="ACH13">
        <v>99158</v>
      </c>
      <c r="ACI13">
        <v>340</v>
      </c>
      <c r="ACJ13" s="16">
        <v>44391</v>
      </c>
      <c r="ACK13">
        <v>99538</v>
      </c>
      <c r="ACL13">
        <v>385</v>
      </c>
      <c r="ACM13" s="16">
        <v>44394</v>
      </c>
      <c r="ACN13">
        <v>100476</v>
      </c>
      <c r="ACO13">
        <v>203</v>
      </c>
      <c r="ACP13" s="16">
        <v>44395</v>
      </c>
      <c r="ACQ13">
        <v>100724</v>
      </c>
      <c r="ACR13">
        <v>247</v>
      </c>
      <c r="ACS13" s="16">
        <v>44396</v>
      </c>
      <c r="ACT13">
        <v>101145</v>
      </c>
      <c r="ACU13">
        <v>421</v>
      </c>
      <c r="ACV13" s="16">
        <v>44397</v>
      </c>
      <c r="ACW13">
        <v>101566</v>
      </c>
      <c r="ACX13">
        <v>421</v>
      </c>
      <c r="ACY13" s="16">
        <v>44398</v>
      </c>
      <c r="ACZ13">
        <v>102037</v>
      </c>
      <c r="ADA13">
        <v>467</v>
      </c>
      <c r="ADB13" s="16">
        <v>44399</v>
      </c>
      <c r="ADC13">
        <v>102526</v>
      </c>
      <c r="ADD13">
        <v>486</v>
      </c>
      <c r="ADE13" s="16">
        <v>44400</v>
      </c>
      <c r="ADF13">
        <v>103005</v>
      </c>
      <c r="ADG13">
        <v>479</v>
      </c>
      <c r="ADH13" s="16">
        <v>44401</v>
      </c>
      <c r="ADI13">
        <v>103306</v>
      </c>
      <c r="ADJ13">
        <v>299</v>
      </c>
      <c r="ADK13" s="16">
        <v>44402</v>
      </c>
      <c r="ADL13">
        <v>103657</v>
      </c>
      <c r="ADM13">
        <v>351</v>
      </c>
      <c r="ADN13" s="16">
        <v>44403</v>
      </c>
      <c r="ADO13">
        <v>104423</v>
      </c>
      <c r="ADP13">
        <v>766</v>
      </c>
      <c r="ADQ13" s="16">
        <v>44404</v>
      </c>
      <c r="ADR13">
        <v>105101</v>
      </c>
      <c r="ADS13">
        <v>678</v>
      </c>
      <c r="ADT13" s="16">
        <v>44405</v>
      </c>
      <c r="ADU13">
        <v>105949</v>
      </c>
      <c r="ADV13">
        <v>845</v>
      </c>
      <c r="ADW13" s="16">
        <v>44408</v>
      </c>
      <c r="ADX13">
        <v>107821</v>
      </c>
      <c r="ADY13">
        <v>406</v>
      </c>
      <c r="ADZ13" s="16">
        <v>44409</v>
      </c>
      <c r="AEA13">
        <v>108298</v>
      </c>
      <c r="AEB13">
        <v>476</v>
      </c>
      <c r="AEC13" s="16">
        <v>44410</v>
      </c>
      <c r="AED13">
        <v>109190</v>
      </c>
      <c r="AEE13">
        <v>892</v>
      </c>
      <c r="AEF13" s="16">
        <v>44411</v>
      </c>
      <c r="AEG13">
        <v>110028</v>
      </c>
      <c r="AEH13">
        <v>840</v>
      </c>
      <c r="AEI13" s="16">
        <v>44412</v>
      </c>
      <c r="AEJ13">
        <v>110815</v>
      </c>
      <c r="AEK13">
        <v>784</v>
      </c>
      <c r="AEL13" s="16">
        <v>44415</v>
      </c>
      <c r="AEM13">
        <v>112846</v>
      </c>
      <c r="AEN13">
        <v>479</v>
      </c>
      <c r="AEO13" s="16">
        <v>44416</v>
      </c>
      <c r="AEP13">
        <v>113392</v>
      </c>
      <c r="AEQ13">
        <v>535</v>
      </c>
      <c r="AER13" s="16">
        <v>44417</v>
      </c>
      <c r="AES13">
        <v>114426</v>
      </c>
      <c r="AET13">
        <v>1035</v>
      </c>
      <c r="AEU13" s="16">
        <v>44418</v>
      </c>
      <c r="AEV13">
        <v>115254</v>
      </c>
      <c r="AEW13">
        <v>829</v>
      </c>
      <c r="AEX13" s="16">
        <v>44420</v>
      </c>
      <c r="AEY13">
        <v>116967</v>
      </c>
      <c r="AEZ13">
        <v>790</v>
      </c>
      <c r="AFA13" s="16">
        <v>44421</v>
      </c>
      <c r="AFB13">
        <v>117710</v>
      </c>
      <c r="AFC13">
        <v>740</v>
      </c>
      <c r="AFD13">
        <v>44426</v>
      </c>
      <c r="AFE13">
        <v>120789</v>
      </c>
      <c r="AFF13">
        <v>704</v>
      </c>
      <c r="AFG13">
        <v>44427</v>
      </c>
      <c r="AFH13">
        <v>121462</v>
      </c>
      <c r="AFI13">
        <v>668</v>
      </c>
      <c r="AFJ13">
        <v>44429</v>
      </c>
      <c r="AFK13">
        <v>122519</v>
      </c>
      <c r="AFL13">
        <v>397</v>
      </c>
      <c r="AFM13">
        <v>44432</v>
      </c>
      <c r="AFN13">
        <v>124262</v>
      </c>
      <c r="AFO13">
        <v>604</v>
      </c>
      <c r="AFP13">
        <v>44433</v>
      </c>
      <c r="AFQ13">
        <v>124960</v>
      </c>
      <c r="AFR13">
        <v>696</v>
      </c>
      <c r="AFS13">
        <v>44435</v>
      </c>
      <c r="AFT13">
        <v>126268</v>
      </c>
      <c r="AFU13">
        <v>704</v>
      </c>
      <c r="AFV13">
        <v>44436</v>
      </c>
      <c r="AFW13">
        <v>126706</v>
      </c>
      <c r="AFX13">
        <v>436</v>
      </c>
      <c r="AFY13">
        <v>44438</v>
      </c>
      <c r="AFZ13">
        <v>127903</v>
      </c>
      <c r="AGA13">
        <v>738</v>
      </c>
      <c r="AGB13">
        <v>44439</v>
      </c>
      <c r="AGC13">
        <v>128552</v>
      </c>
      <c r="AGD13">
        <v>649</v>
      </c>
      <c r="AGE13">
        <v>44442</v>
      </c>
      <c r="AGF13">
        <v>130375</v>
      </c>
      <c r="AGG13">
        <v>518</v>
      </c>
      <c r="AGH13">
        <v>44443</v>
      </c>
      <c r="AGI13">
        <v>130714</v>
      </c>
      <c r="AGJ13">
        <v>335</v>
      </c>
      <c r="AGK13">
        <v>44445</v>
      </c>
      <c r="AGL13">
        <v>131639</v>
      </c>
      <c r="AGM13">
        <v>580</v>
      </c>
      <c r="AGN13">
        <v>44445</v>
      </c>
      <c r="AGO13">
        <v>131640</v>
      </c>
      <c r="AGP13">
        <v>580</v>
      </c>
      <c r="AGQ13">
        <v>44446</v>
      </c>
      <c r="AGR13">
        <v>132156</v>
      </c>
      <c r="AGS13">
        <v>515</v>
      </c>
      <c r="AGT13">
        <v>44447</v>
      </c>
      <c r="AGU13">
        <v>132639</v>
      </c>
      <c r="AGV13">
        <v>482</v>
      </c>
      <c r="AGW13">
        <v>44449</v>
      </c>
      <c r="AGX13">
        <v>133590</v>
      </c>
      <c r="AGY13">
        <v>495</v>
      </c>
      <c r="AGZ13">
        <v>44451</v>
      </c>
      <c r="AHA13">
        <v>134203</v>
      </c>
      <c r="AHB13">
        <v>281</v>
      </c>
      <c r="AHC13">
        <v>44452</v>
      </c>
      <c r="AHD13">
        <v>134737</v>
      </c>
      <c r="AHE13">
        <v>532</v>
      </c>
      <c r="AHF13">
        <v>44453</v>
      </c>
      <c r="AHG13">
        <v>135211</v>
      </c>
      <c r="AHH13">
        <v>474</v>
      </c>
      <c r="AHI13">
        <v>44454</v>
      </c>
      <c r="AHJ13">
        <v>135667</v>
      </c>
      <c r="AHK13">
        <v>456</v>
      </c>
      <c r="AHL13">
        <v>44458</v>
      </c>
      <c r="AHM13">
        <v>137003</v>
      </c>
      <c r="AHN13">
        <v>282</v>
      </c>
      <c r="AHO13">
        <v>44459</v>
      </c>
      <c r="AHP13">
        <v>137491</v>
      </c>
      <c r="AHQ13">
        <v>489</v>
      </c>
      <c r="AHR13">
        <v>44460</v>
      </c>
      <c r="AHS13">
        <v>137980</v>
      </c>
      <c r="AHT13">
        <v>488</v>
      </c>
      <c r="AHU13">
        <v>44461</v>
      </c>
      <c r="AHV13">
        <v>138463</v>
      </c>
      <c r="AHW13">
        <v>484</v>
      </c>
      <c r="AHX13">
        <v>44462</v>
      </c>
      <c r="AHY13">
        <v>138941</v>
      </c>
      <c r="AHZ13">
        <v>476</v>
      </c>
      <c r="AIA13">
        <v>44466</v>
      </c>
      <c r="AIB13">
        <v>140703</v>
      </c>
      <c r="AIC13">
        <v>683</v>
      </c>
      <c r="AID13">
        <v>44470</v>
      </c>
      <c r="AIE13">
        <v>143167</v>
      </c>
      <c r="AIF13">
        <v>531</v>
      </c>
      <c r="AIG13">
        <v>44474</v>
      </c>
      <c r="AIH13">
        <v>145341</v>
      </c>
      <c r="AII13">
        <v>679</v>
      </c>
      <c r="AIJ13">
        <v>44475</v>
      </c>
      <c r="AIK13">
        <v>145895</v>
      </c>
      <c r="AIL13">
        <v>535</v>
      </c>
      <c r="AIM13">
        <v>44476</v>
      </c>
      <c r="AIN13">
        <v>146454</v>
      </c>
      <c r="AIO13">
        <v>559</v>
      </c>
      <c r="AIP13">
        <v>44479</v>
      </c>
      <c r="AIQ13">
        <v>147867</v>
      </c>
      <c r="AIR13">
        <v>395</v>
      </c>
      <c r="AIS13">
        <v>44480</v>
      </c>
      <c r="AIT13">
        <v>148563</v>
      </c>
      <c r="AIU13">
        <v>693</v>
      </c>
      <c r="AIV13">
        <v>44481</v>
      </c>
      <c r="AIW13">
        <v>149177</v>
      </c>
      <c r="AIX13">
        <v>609</v>
      </c>
      <c r="AIY13">
        <v>44482</v>
      </c>
      <c r="AIZ13">
        <v>150086</v>
      </c>
      <c r="AJA13">
        <v>637</v>
      </c>
      <c r="AJB13">
        <v>44483</v>
      </c>
      <c r="AJC13">
        <v>150645</v>
      </c>
      <c r="AJD13">
        <v>557</v>
      </c>
      <c r="AJE13">
        <v>44486</v>
      </c>
      <c r="AJF13">
        <v>151871</v>
      </c>
      <c r="AJG13">
        <v>319</v>
      </c>
      <c r="AJH13">
        <v>44487</v>
      </c>
      <c r="AJI13">
        <v>152567</v>
      </c>
      <c r="AJJ13">
        <v>660</v>
      </c>
      <c r="AJK13">
        <v>44488</v>
      </c>
      <c r="AJL13">
        <v>153119</v>
      </c>
      <c r="AJM13">
        <v>551</v>
      </c>
      <c r="AJN13">
        <v>44489</v>
      </c>
      <c r="AJO13">
        <v>153637</v>
      </c>
      <c r="AJP13">
        <v>515</v>
      </c>
      <c r="AJQ13">
        <v>44493</v>
      </c>
      <c r="AJR13">
        <v>155601</v>
      </c>
      <c r="AJS13">
        <v>388</v>
      </c>
      <c r="AJT13">
        <v>44494</v>
      </c>
      <c r="AJU13">
        <v>156397</v>
      </c>
      <c r="AJV13">
        <v>792</v>
      </c>
      <c r="AJW13">
        <v>44495</v>
      </c>
      <c r="AJX13">
        <v>157073</v>
      </c>
      <c r="AJY13">
        <v>677</v>
      </c>
      <c r="AJZ13">
        <v>44496</v>
      </c>
      <c r="AKA13">
        <v>157717</v>
      </c>
      <c r="AKB13">
        <v>641</v>
      </c>
      <c r="AKC13">
        <v>44497</v>
      </c>
      <c r="AKD13">
        <v>158292</v>
      </c>
      <c r="AKE13">
        <v>575</v>
      </c>
      <c r="AKF13">
        <v>44500</v>
      </c>
      <c r="AKG13">
        <v>159791</v>
      </c>
      <c r="AKH13">
        <v>439</v>
      </c>
      <c r="AKI13">
        <v>44503</v>
      </c>
      <c r="AKJ13">
        <v>162291</v>
      </c>
      <c r="AKK13">
        <v>770</v>
      </c>
      <c r="AKL13">
        <v>44505</v>
      </c>
      <c r="AKM13">
        <v>163939</v>
      </c>
      <c r="AKN13">
        <v>841</v>
      </c>
      <c r="AKO13">
        <v>44507</v>
      </c>
      <c r="AKP13">
        <v>164966</v>
      </c>
      <c r="AKQ13">
        <v>508</v>
      </c>
      <c r="AKR13">
        <v>44508</v>
      </c>
      <c r="AKS13">
        <v>166095</v>
      </c>
      <c r="AKT13">
        <v>1118</v>
      </c>
      <c r="AKU13">
        <v>44510</v>
      </c>
      <c r="AKV13">
        <v>167897</v>
      </c>
      <c r="AKW13">
        <v>969</v>
      </c>
      <c r="AKX13">
        <v>44511</v>
      </c>
      <c r="AKY13">
        <v>168832</v>
      </c>
      <c r="AKZ13">
        <v>933</v>
      </c>
      <c r="ALA13">
        <v>44514</v>
      </c>
      <c r="ALB13">
        <v>170958</v>
      </c>
      <c r="ALC13">
        <v>571</v>
      </c>
      <c r="ALD13">
        <v>44515</v>
      </c>
      <c r="ALE13">
        <v>172215</v>
      </c>
      <c r="ALF13">
        <v>1253</v>
      </c>
      <c r="ALG13">
        <v>44516</v>
      </c>
      <c r="ALH13">
        <v>173411</v>
      </c>
      <c r="ALI13">
        <v>1193</v>
      </c>
      <c r="ALJ13">
        <v>44517</v>
      </c>
      <c r="ALK13">
        <v>174575</v>
      </c>
      <c r="ALL13">
        <v>1168</v>
      </c>
      <c r="ALM13">
        <v>44525</v>
      </c>
      <c r="ALN13">
        <v>183815</v>
      </c>
      <c r="ALO13">
        <v>1269</v>
      </c>
    </row>
    <row r="14" spans="1:1003" s="10" customFormat="1">
      <c r="B14" t="str">
        <f t="shared" ca="1" si="2"/>
        <v>27.11</v>
      </c>
      <c r="C14" s="9">
        <f t="shared" ca="1" si="0"/>
        <v>44527</v>
      </c>
      <c r="D14" s="10">
        <f t="shared" ca="1" si="1"/>
        <v>185906</v>
      </c>
      <c r="E14" s="10">
        <f t="shared" ca="1" si="3"/>
        <v>789</v>
      </c>
      <c r="F14" s="10">
        <f t="shared" ca="1" si="4"/>
        <v>1</v>
      </c>
      <c r="G14" s="10">
        <f t="shared" ca="1" si="5"/>
        <v>788</v>
      </c>
      <c r="H14" s="10">
        <f ca="1">SUM(E14:E20)</f>
        <v>9115</v>
      </c>
      <c r="I14" s="10" t="str">
        <f ca="1">TEXT(H14/H7-1,"0 %")</f>
        <v>15 %</v>
      </c>
      <c r="L14" s="14"/>
      <c r="M14"/>
      <c r="N14" s="17">
        <v>44526</v>
      </c>
      <c r="O14" s="10">
        <v>185114</v>
      </c>
      <c r="P14">
        <v>1299</v>
      </c>
      <c r="Q14" s="17">
        <v>44526</v>
      </c>
      <c r="R14" s="10">
        <v>185114</v>
      </c>
      <c r="S14" s="10">
        <v>1299</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7">
        <v>44275</v>
      </c>
      <c r="RU14" s="10">
        <v>72120</v>
      </c>
      <c r="RV14" s="10">
        <v>403</v>
      </c>
      <c r="RW14" s="17">
        <v>44276</v>
      </c>
      <c r="RX14" s="10">
        <v>72537</v>
      </c>
      <c r="RY14" s="10">
        <v>417</v>
      </c>
      <c r="RZ14" s="17">
        <v>44277</v>
      </c>
      <c r="SA14" s="10">
        <v>73304</v>
      </c>
      <c r="SB14" s="10">
        <v>766</v>
      </c>
      <c r="SC14" s="17">
        <v>44278</v>
      </c>
      <c r="SD14" s="10">
        <v>74006</v>
      </c>
      <c r="SE14" s="10">
        <v>702</v>
      </c>
      <c r="SF14" s="17">
        <v>44279</v>
      </c>
      <c r="SG14" s="10">
        <v>74701</v>
      </c>
      <c r="SH14" s="10">
        <v>693</v>
      </c>
      <c r="SI14" s="17">
        <v>44280</v>
      </c>
      <c r="SJ14" s="10">
        <v>75308</v>
      </c>
      <c r="SK14" s="10">
        <v>606</v>
      </c>
      <c r="SL14" s="17">
        <v>44282</v>
      </c>
      <c r="SM14" s="10">
        <v>76344</v>
      </c>
      <c r="SN14" s="10">
        <v>350</v>
      </c>
      <c r="SO14" s="17">
        <v>44283</v>
      </c>
      <c r="SP14" s="10">
        <v>76731</v>
      </c>
      <c r="SQ14" s="10">
        <v>369</v>
      </c>
      <c r="SR14" s="17">
        <v>44284</v>
      </c>
      <c r="SS14" s="10">
        <v>77389</v>
      </c>
      <c r="ST14" s="10">
        <v>655</v>
      </c>
      <c r="SU14" s="17">
        <v>44285</v>
      </c>
      <c r="SV14" s="10">
        <v>77955</v>
      </c>
      <c r="SW14" s="10">
        <v>566</v>
      </c>
      <c r="SX14" s="17">
        <v>44287</v>
      </c>
      <c r="SY14" s="10">
        <v>78995</v>
      </c>
      <c r="SZ14" s="10">
        <v>488</v>
      </c>
      <c r="TA14" s="17">
        <v>44288</v>
      </c>
      <c r="TB14" s="10">
        <v>79359</v>
      </c>
      <c r="TC14" s="10">
        <v>361</v>
      </c>
      <c r="TD14" s="17">
        <v>44290</v>
      </c>
      <c r="TE14" s="10">
        <v>79997</v>
      </c>
      <c r="TF14" s="10">
        <v>319</v>
      </c>
      <c r="TG14" s="17">
        <v>44291</v>
      </c>
      <c r="TH14" s="10">
        <v>80360</v>
      </c>
      <c r="TI14" s="10">
        <v>359</v>
      </c>
      <c r="TJ14" s="17">
        <v>44292</v>
      </c>
      <c r="TK14" s="10">
        <v>80905</v>
      </c>
      <c r="TL14" s="10">
        <v>544</v>
      </c>
      <c r="TM14" s="17">
        <v>44293</v>
      </c>
      <c r="TN14" s="10">
        <v>81329</v>
      </c>
      <c r="TO14" s="10">
        <v>424</v>
      </c>
      <c r="TP14" s="17">
        <v>44295</v>
      </c>
      <c r="TQ14" s="10">
        <v>82084</v>
      </c>
      <c r="TR14" s="10">
        <v>348</v>
      </c>
      <c r="TS14" s="17">
        <v>44296</v>
      </c>
      <c r="TT14" s="10">
        <v>82311</v>
      </c>
      <c r="TU14" s="10">
        <v>224</v>
      </c>
      <c r="TV14" s="17">
        <v>44296</v>
      </c>
      <c r="TW14" s="10">
        <v>82317</v>
      </c>
      <c r="TX14" s="10">
        <v>224</v>
      </c>
      <c r="TY14" s="17">
        <v>44297</v>
      </c>
      <c r="TZ14" s="10">
        <v>82557</v>
      </c>
      <c r="UA14" s="10">
        <v>238</v>
      </c>
      <c r="UB14" s="17">
        <v>44299</v>
      </c>
      <c r="UC14" s="10">
        <v>83278</v>
      </c>
      <c r="UD14" s="10">
        <v>325</v>
      </c>
      <c r="UE14" s="17">
        <v>44299</v>
      </c>
      <c r="UF14" s="10">
        <v>83279</v>
      </c>
      <c r="UG14" s="10">
        <v>325</v>
      </c>
      <c r="UH14" s="17">
        <v>44300</v>
      </c>
      <c r="UI14" s="10">
        <v>83626</v>
      </c>
      <c r="UJ14" s="10">
        <v>345</v>
      </c>
      <c r="UK14" s="17">
        <v>44301</v>
      </c>
      <c r="UL14" s="10">
        <v>83902</v>
      </c>
      <c r="UM14" s="10">
        <v>275</v>
      </c>
      <c r="UN14" s="17">
        <v>44305</v>
      </c>
      <c r="UO14" s="10">
        <v>84783</v>
      </c>
      <c r="UP14" s="10">
        <v>283</v>
      </c>
      <c r="UQ14" s="17">
        <v>44306</v>
      </c>
      <c r="UR14" s="10">
        <v>85070</v>
      </c>
      <c r="US14" s="10">
        <v>285</v>
      </c>
      <c r="UT14" s="17">
        <v>44307</v>
      </c>
      <c r="UU14" s="10">
        <v>85307</v>
      </c>
      <c r="UV14" s="10">
        <v>236</v>
      </c>
      <c r="UW14" s="17">
        <v>44308</v>
      </c>
      <c r="UX14" s="10">
        <v>85566</v>
      </c>
      <c r="UY14" s="10">
        <v>259</v>
      </c>
      <c r="UZ14" s="17">
        <v>44310</v>
      </c>
      <c r="VA14" s="10">
        <v>85979</v>
      </c>
      <c r="VB14" s="10">
        <v>154</v>
      </c>
      <c r="VC14" s="17">
        <v>44310</v>
      </c>
      <c r="VD14" s="10">
        <v>85974</v>
      </c>
      <c r="VE14" s="10">
        <v>154</v>
      </c>
      <c r="VF14" s="17">
        <v>44311</v>
      </c>
      <c r="VG14" s="10">
        <v>86117</v>
      </c>
      <c r="VH14" s="10">
        <v>141</v>
      </c>
      <c r="VI14" s="17">
        <v>44313</v>
      </c>
      <c r="VJ14" s="10">
        <v>86588</v>
      </c>
      <c r="VK14" s="10">
        <v>228</v>
      </c>
      <c r="VL14" s="17">
        <v>44313</v>
      </c>
      <c r="VM14" s="10">
        <v>86588</v>
      </c>
      <c r="VN14" s="10">
        <v>228</v>
      </c>
      <c r="VO14" s="17">
        <v>44314</v>
      </c>
      <c r="VP14" s="10">
        <v>86861</v>
      </c>
      <c r="VQ14" s="10">
        <v>273</v>
      </c>
      <c r="VR14" s="17">
        <v>44315</v>
      </c>
      <c r="VS14" s="10">
        <v>87061</v>
      </c>
      <c r="VT14" s="10">
        <v>202</v>
      </c>
      <c r="VU14" s="17">
        <v>44317</v>
      </c>
      <c r="VV14" s="10">
        <v>87364</v>
      </c>
      <c r="VW14" s="10">
        <v>105</v>
      </c>
      <c r="VX14" s="17">
        <v>44317</v>
      </c>
      <c r="VY14" s="10">
        <v>87368</v>
      </c>
      <c r="VZ14" s="10">
        <v>107</v>
      </c>
      <c r="WA14" s="17">
        <v>44318</v>
      </c>
      <c r="WB14" s="10">
        <v>87506</v>
      </c>
      <c r="WC14" s="10">
        <v>135</v>
      </c>
      <c r="WD14" s="17">
        <v>44319</v>
      </c>
      <c r="WE14" s="10">
        <v>87824</v>
      </c>
      <c r="WF14" s="10">
        <v>318</v>
      </c>
      <c r="WG14" s="17">
        <v>44320</v>
      </c>
      <c r="WH14" s="10">
        <v>88029</v>
      </c>
      <c r="WI14" s="10">
        <v>205</v>
      </c>
      <c r="WJ14" s="17">
        <v>44322</v>
      </c>
      <c r="WK14" s="10">
        <v>88530</v>
      </c>
      <c r="WL14" s="10">
        <v>234</v>
      </c>
      <c r="WM14" s="17">
        <v>44322</v>
      </c>
      <c r="WN14" s="10">
        <v>88531</v>
      </c>
      <c r="WO14" s="10">
        <v>234</v>
      </c>
      <c r="WP14" s="17">
        <v>44325</v>
      </c>
      <c r="WQ14" s="10">
        <v>89006</v>
      </c>
      <c r="WR14" s="10">
        <v>129</v>
      </c>
      <c r="WS14" s="17">
        <v>44326</v>
      </c>
      <c r="WT14" s="10">
        <v>89265</v>
      </c>
      <c r="WU14" s="10">
        <v>258</v>
      </c>
      <c r="WV14" s="17">
        <v>44327</v>
      </c>
      <c r="WW14" s="10">
        <v>89481</v>
      </c>
      <c r="WX14" s="10">
        <v>214</v>
      </c>
      <c r="WY14" s="17">
        <v>44328</v>
      </c>
      <c r="WZ14" s="10">
        <v>89740</v>
      </c>
      <c r="XA14" s="10">
        <v>256</v>
      </c>
      <c r="XB14" s="17">
        <v>44329</v>
      </c>
      <c r="XC14" s="10">
        <v>89896</v>
      </c>
      <c r="XD14" s="10">
        <v>155</v>
      </c>
      <c r="XE14" s="17">
        <v>44331</v>
      </c>
      <c r="XF14" s="10">
        <v>90300</v>
      </c>
      <c r="XG14" s="10">
        <v>160</v>
      </c>
      <c r="XH14" s="17">
        <v>44331</v>
      </c>
      <c r="XI14" s="10">
        <v>90307</v>
      </c>
      <c r="XJ14" s="10">
        <v>160</v>
      </c>
      <c r="XK14" s="17">
        <v>44332</v>
      </c>
      <c r="XL14" s="10">
        <v>90440</v>
      </c>
      <c r="XM14" s="10">
        <v>133</v>
      </c>
      <c r="XN14" s="17">
        <v>44333</v>
      </c>
      <c r="XO14" s="10">
        <v>90724</v>
      </c>
      <c r="XP14" s="10">
        <v>284</v>
      </c>
      <c r="XQ14" s="17">
        <v>44334</v>
      </c>
      <c r="XR14" s="10">
        <v>90940</v>
      </c>
      <c r="XS14" s="10">
        <v>216</v>
      </c>
      <c r="XT14" s="17">
        <v>44335</v>
      </c>
      <c r="XU14" s="10">
        <v>91173</v>
      </c>
      <c r="XV14" s="10">
        <v>230</v>
      </c>
      <c r="XW14" s="17">
        <v>44336</v>
      </c>
      <c r="XX14" s="10">
        <v>91391</v>
      </c>
      <c r="XY14" s="10">
        <v>215</v>
      </c>
      <c r="XZ14" s="17">
        <v>44337</v>
      </c>
      <c r="YA14" s="10">
        <v>91562</v>
      </c>
      <c r="YB14" s="10">
        <v>170</v>
      </c>
      <c r="YC14" s="17">
        <v>44339</v>
      </c>
      <c r="YD14" s="10">
        <v>91763</v>
      </c>
      <c r="YE14" s="10">
        <v>92</v>
      </c>
      <c r="YF14" s="17">
        <v>44340</v>
      </c>
      <c r="YG14" s="10">
        <v>91953</v>
      </c>
      <c r="YH14" s="10">
        <v>188</v>
      </c>
      <c r="YI14" s="17">
        <v>44341</v>
      </c>
      <c r="YJ14" s="10">
        <v>92107</v>
      </c>
      <c r="YK14" s="10">
        <v>152</v>
      </c>
      <c r="YL14" s="17">
        <v>44342</v>
      </c>
      <c r="YM14" s="10">
        <v>92249</v>
      </c>
      <c r="YN14" s="10">
        <v>142</v>
      </c>
      <c r="YO14" s="17">
        <v>44343</v>
      </c>
      <c r="YP14" s="10">
        <v>92380</v>
      </c>
      <c r="YQ14" s="10">
        <v>127</v>
      </c>
      <c r="YR14" s="17">
        <v>44344</v>
      </c>
      <c r="YS14" s="10">
        <v>92516</v>
      </c>
      <c r="YT14" s="10">
        <v>136</v>
      </c>
      <c r="YU14" s="17">
        <v>44346</v>
      </c>
      <c r="YV14" s="10">
        <v>92667</v>
      </c>
      <c r="YW14" s="10">
        <v>79</v>
      </c>
      <c r="YX14" s="17">
        <v>44347</v>
      </c>
      <c r="YY14" s="10">
        <v>92812</v>
      </c>
      <c r="YZ14" s="10">
        <v>145</v>
      </c>
      <c r="ZA14" s="17">
        <v>44348</v>
      </c>
      <c r="ZB14" s="10">
        <v>92935</v>
      </c>
      <c r="ZC14" s="10">
        <v>121</v>
      </c>
      <c r="ZD14" s="17">
        <v>44359</v>
      </c>
      <c r="ZE14" s="10">
        <v>93903</v>
      </c>
      <c r="ZF14" s="10">
        <v>45</v>
      </c>
      <c r="ZG14" s="17">
        <v>44360</v>
      </c>
      <c r="ZH14" s="10">
        <v>93959</v>
      </c>
      <c r="ZI14" s="10">
        <v>47</v>
      </c>
      <c r="ZJ14" s="17">
        <v>44361</v>
      </c>
      <c r="ZK14" s="10">
        <v>94051</v>
      </c>
      <c r="ZL14" s="10">
        <v>92</v>
      </c>
      <c r="ZM14" s="17">
        <v>44362</v>
      </c>
      <c r="ZN14" s="10">
        <v>94129</v>
      </c>
      <c r="ZO14" s="10">
        <v>76</v>
      </c>
      <c r="ZP14" s="17">
        <v>44363</v>
      </c>
      <c r="ZQ14" s="10">
        <v>94185</v>
      </c>
      <c r="ZR14" s="10">
        <v>64</v>
      </c>
      <c r="ZS14" s="17">
        <v>44367</v>
      </c>
      <c r="ZT14" s="10">
        <v>94488</v>
      </c>
      <c r="ZU14" s="10">
        <v>78</v>
      </c>
      <c r="ZV14" s="17">
        <v>44368</v>
      </c>
      <c r="ZW14" s="10">
        <v>94608</v>
      </c>
      <c r="ZX14" s="10">
        <v>113</v>
      </c>
      <c r="ZY14" s="17">
        <v>44369</v>
      </c>
      <c r="ZZ14" s="10">
        <v>94718</v>
      </c>
      <c r="AAA14" s="10">
        <v>110</v>
      </c>
      <c r="AAB14" s="17">
        <v>44370</v>
      </c>
      <c r="AAC14" s="10">
        <v>94861</v>
      </c>
      <c r="AAD14" s="10">
        <v>141</v>
      </c>
      <c r="AAE14" s="17">
        <v>44371</v>
      </c>
      <c r="AAF14" s="10">
        <v>95021</v>
      </c>
      <c r="AAG14" s="10">
        <v>158</v>
      </c>
      <c r="AAH14" s="17">
        <v>44374</v>
      </c>
      <c r="AAI14" s="10">
        <v>95468</v>
      </c>
      <c r="AAJ14" s="10">
        <v>119</v>
      </c>
      <c r="AAK14" s="17">
        <v>44375</v>
      </c>
      <c r="AAL14" s="10">
        <v>95703</v>
      </c>
      <c r="AAM14" s="10">
        <v>230</v>
      </c>
      <c r="AAN14" s="17">
        <v>44377</v>
      </c>
      <c r="AAO14" s="10">
        <v>96159</v>
      </c>
      <c r="AAP14" s="10">
        <v>195</v>
      </c>
      <c r="AAQ14" s="17">
        <v>44377</v>
      </c>
      <c r="AAR14" s="10">
        <v>96169</v>
      </c>
      <c r="AAS14" s="10">
        <v>195</v>
      </c>
      <c r="AAT14" s="17">
        <v>44378</v>
      </c>
      <c r="AAU14" s="10">
        <v>96377</v>
      </c>
      <c r="AAV14" s="10">
        <v>209</v>
      </c>
      <c r="AAW14" s="17">
        <v>44380</v>
      </c>
      <c r="AAX14" s="10">
        <v>96676</v>
      </c>
      <c r="AAY14" s="10">
        <v>129</v>
      </c>
      <c r="AAZ14" s="17">
        <v>44380</v>
      </c>
      <c r="ABA14" s="10">
        <v>96678</v>
      </c>
      <c r="ABB14" s="10">
        <v>129</v>
      </c>
      <c r="ABC14" s="17">
        <v>44381</v>
      </c>
      <c r="ABD14" s="10">
        <v>96783</v>
      </c>
      <c r="ABE14" s="10">
        <v>108</v>
      </c>
      <c r="ABF14" s="17">
        <v>44383</v>
      </c>
      <c r="ABG14" s="10">
        <v>97285</v>
      </c>
      <c r="ABH14" s="10">
        <v>260</v>
      </c>
      <c r="ABI14" s="17">
        <v>44383</v>
      </c>
      <c r="ABJ14" s="10">
        <v>97286</v>
      </c>
      <c r="ABK14" s="10">
        <v>260</v>
      </c>
      <c r="ABL14" s="17">
        <v>44384</v>
      </c>
      <c r="ABM14" s="10">
        <v>97576</v>
      </c>
      <c r="ABN14" s="10">
        <v>291</v>
      </c>
      <c r="ABO14" s="17">
        <v>44385</v>
      </c>
      <c r="ABP14" s="10">
        <v>97857</v>
      </c>
      <c r="ABQ14" s="10">
        <v>281</v>
      </c>
      <c r="ABR14" s="17">
        <v>44386</v>
      </c>
      <c r="ABS14" s="10">
        <v>98167</v>
      </c>
      <c r="ABT14" s="10">
        <v>309</v>
      </c>
      <c r="ABU14" s="17">
        <v>44387</v>
      </c>
      <c r="ABV14" s="10">
        <v>98323</v>
      </c>
      <c r="ABW14" s="10">
        <v>151</v>
      </c>
      <c r="ABX14" s="17">
        <v>44388</v>
      </c>
      <c r="ABY14" s="10">
        <v>98484</v>
      </c>
      <c r="ABZ14" s="10">
        <v>157</v>
      </c>
      <c r="ACA14" s="17">
        <v>44389</v>
      </c>
      <c r="ACB14" s="10">
        <v>98817</v>
      </c>
      <c r="ACC14" s="10">
        <v>329</v>
      </c>
      <c r="ACD14" s="17">
        <v>44390</v>
      </c>
      <c r="ACE14" s="10">
        <v>99157</v>
      </c>
      <c r="ACF14" s="10">
        <v>340</v>
      </c>
      <c r="ACG14" s="17">
        <v>44391</v>
      </c>
      <c r="ACH14" s="10">
        <v>99543</v>
      </c>
      <c r="ACI14" s="10">
        <v>385</v>
      </c>
      <c r="ACJ14" s="17">
        <v>44392</v>
      </c>
      <c r="ACK14" s="10">
        <v>99919</v>
      </c>
      <c r="ACL14" s="10">
        <v>381</v>
      </c>
      <c r="ACM14" s="17">
        <v>44395</v>
      </c>
      <c r="ACN14" s="10">
        <v>100723</v>
      </c>
      <c r="ACO14" s="10">
        <v>247</v>
      </c>
      <c r="ACP14" s="17">
        <v>44396</v>
      </c>
      <c r="ACQ14" s="10">
        <v>101145</v>
      </c>
      <c r="ACR14" s="10">
        <v>421</v>
      </c>
      <c r="ACS14" s="17">
        <v>44397</v>
      </c>
      <c r="ACT14" s="10">
        <v>101567</v>
      </c>
      <c r="ACU14" s="10">
        <v>422</v>
      </c>
      <c r="ACV14" s="17">
        <v>44398</v>
      </c>
      <c r="ACW14" s="10">
        <v>102033</v>
      </c>
      <c r="ACX14" s="10">
        <v>467</v>
      </c>
      <c r="ACY14" s="17">
        <v>44399</v>
      </c>
      <c r="ACZ14" s="10">
        <v>102523</v>
      </c>
      <c r="ADA14" s="10">
        <v>486</v>
      </c>
      <c r="ADB14" s="17">
        <v>44400</v>
      </c>
      <c r="ADC14" s="10">
        <v>103005</v>
      </c>
      <c r="ADD14" s="10">
        <v>479</v>
      </c>
      <c r="ADE14" s="17">
        <v>44401</v>
      </c>
      <c r="ADF14" s="10">
        <v>103304</v>
      </c>
      <c r="ADG14" s="10">
        <v>299</v>
      </c>
      <c r="ADH14" s="17">
        <v>44402</v>
      </c>
      <c r="ADI14" s="10">
        <v>103657</v>
      </c>
      <c r="ADJ14" s="10">
        <v>351</v>
      </c>
      <c r="ADK14" s="17">
        <v>44403</v>
      </c>
      <c r="ADL14" s="10">
        <v>104423</v>
      </c>
      <c r="ADM14" s="10">
        <v>766</v>
      </c>
      <c r="ADN14" s="17">
        <v>44404</v>
      </c>
      <c r="ADO14" s="10">
        <v>105101</v>
      </c>
      <c r="ADP14" s="10">
        <v>678</v>
      </c>
      <c r="ADQ14" s="17">
        <v>44405</v>
      </c>
      <c r="ADR14" s="10">
        <v>105946</v>
      </c>
      <c r="ADS14" s="10">
        <v>845</v>
      </c>
      <c r="ADT14" s="17">
        <v>44406</v>
      </c>
      <c r="ADU14" s="10">
        <v>106716</v>
      </c>
      <c r="ADV14" s="10">
        <v>767</v>
      </c>
      <c r="ADW14" s="17">
        <v>44409</v>
      </c>
      <c r="ADX14" s="10">
        <v>108296</v>
      </c>
      <c r="ADY14" s="10">
        <v>475</v>
      </c>
      <c r="ADZ14" s="17">
        <v>44410</v>
      </c>
      <c r="AEA14" s="10">
        <v>109190</v>
      </c>
      <c r="AEB14" s="10">
        <v>892</v>
      </c>
      <c r="AEC14" s="17">
        <v>44411</v>
      </c>
      <c r="AED14" s="10">
        <v>110030</v>
      </c>
      <c r="AEE14" s="10">
        <v>840</v>
      </c>
      <c r="AEF14" s="17">
        <v>44412</v>
      </c>
      <c r="AEG14" s="10">
        <v>110812</v>
      </c>
      <c r="AEH14" s="10">
        <v>784</v>
      </c>
      <c r="AEI14" s="17">
        <v>44413</v>
      </c>
      <c r="AEJ14" s="10">
        <v>111681</v>
      </c>
      <c r="AEK14" s="10">
        <v>866</v>
      </c>
      <c r="AEL14" s="17">
        <v>44416</v>
      </c>
      <c r="AEM14" s="10">
        <v>113379</v>
      </c>
      <c r="AEN14" s="10">
        <v>533</v>
      </c>
      <c r="AEO14" s="17">
        <v>44417</v>
      </c>
      <c r="AEP14" s="10">
        <v>114426</v>
      </c>
      <c r="AEQ14" s="10">
        <v>1034</v>
      </c>
      <c r="AER14" s="17">
        <v>44418</v>
      </c>
      <c r="AES14" s="10">
        <v>115255</v>
      </c>
      <c r="AET14" s="10">
        <v>829</v>
      </c>
      <c r="AEU14" s="17">
        <v>44419</v>
      </c>
      <c r="AEV14" s="10">
        <v>116179</v>
      </c>
      <c r="AEW14" s="10">
        <v>925</v>
      </c>
      <c r="AEX14" s="17">
        <v>44421</v>
      </c>
      <c r="AEY14" s="10">
        <v>117704</v>
      </c>
      <c r="AEZ14" s="10">
        <v>737</v>
      </c>
      <c r="AFA14" s="17">
        <v>44422</v>
      </c>
      <c r="AFB14" s="10">
        <v>118136</v>
      </c>
      <c r="AFC14" s="10">
        <v>426</v>
      </c>
      <c r="AFD14" s="10">
        <v>44427</v>
      </c>
      <c r="AFE14" s="10">
        <v>121454</v>
      </c>
      <c r="AFF14" s="10">
        <v>665</v>
      </c>
      <c r="AFG14" s="10">
        <v>44428</v>
      </c>
      <c r="AFH14" s="10">
        <v>122117</v>
      </c>
      <c r="AFI14" s="10">
        <v>655</v>
      </c>
      <c r="AFJ14" s="10">
        <v>44430</v>
      </c>
      <c r="AFK14" s="10">
        <v>122974</v>
      </c>
      <c r="AFL14" s="10">
        <v>455</v>
      </c>
      <c r="AFM14" s="10">
        <v>44433</v>
      </c>
      <c r="AFN14" s="10">
        <v>124958</v>
      </c>
      <c r="AFO14" s="10">
        <v>696</v>
      </c>
      <c r="AFP14" s="10">
        <v>44434</v>
      </c>
      <c r="AFQ14" s="10">
        <v>125564</v>
      </c>
      <c r="AFR14" s="10">
        <v>604</v>
      </c>
      <c r="AFS14" s="10">
        <v>44436</v>
      </c>
      <c r="AFT14" s="10">
        <v>126702</v>
      </c>
      <c r="AFU14" s="10">
        <v>434</v>
      </c>
      <c r="AFV14" s="10">
        <v>44437</v>
      </c>
      <c r="AFW14" s="10">
        <v>127165</v>
      </c>
      <c r="AFX14" s="10">
        <v>459</v>
      </c>
      <c r="AFY14" s="10">
        <v>44439</v>
      </c>
      <c r="AFZ14" s="10">
        <v>128552</v>
      </c>
      <c r="AGA14" s="10">
        <v>649</v>
      </c>
      <c r="AGB14" s="10">
        <v>44440</v>
      </c>
      <c r="AGC14" s="10">
        <v>129200</v>
      </c>
      <c r="AGD14" s="10">
        <v>648</v>
      </c>
      <c r="AGE14" s="10">
        <v>44443</v>
      </c>
      <c r="AGF14" s="10">
        <v>130710</v>
      </c>
      <c r="AGG14" s="10">
        <v>335</v>
      </c>
      <c r="AGH14" s="10">
        <v>44444</v>
      </c>
      <c r="AGI14" s="10">
        <v>131058</v>
      </c>
      <c r="AGJ14" s="10">
        <v>344</v>
      </c>
      <c r="AGK14" s="10">
        <v>44446</v>
      </c>
      <c r="AGL14" s="10">
        <v>132154</v>
      </c>
      <c r="AGM14" s="10">
        <v>515</v>
      </c>
      <c r="AGN14" s="10">
        <v>44446</v>
      </c>
      <c r="AGO14" s="10">
        <v>132155</v>
      </c>
      <c r="AGP14" s="10">
        <v>515</v>
      </c>
      <c r="AGQ14" s="10">
        <v>44447</v>
      </c>
      <c r="AGR14" s="10">
        <v>132638</v>
      </c>
      <c r="AGS14" s="10">
        <v>482</v>
      </c>
      <c r="AGT14" s="10">
        <v>44448</v>
      </c>
      <c r="AGU14" s="10">
        <v>133098</v>
      </c>
      <c r="AGV14" s="10">
        <v>459</v>
      </c>
      <c r="AGW14" s="10">
        <v>44450</v>
      </c>
      <c r="AGX14" s="10">
        <v>133916</v>
      </c>
      <c r="AGY14" s="10">
        <v>326</v>
      </c>
      <c r="AGZ14" s="10">
        <v>44452</v>
      </c>
      <c r="AHA14" s="10">
        <v>134735</v>
      </c>
      <c r="AHB14" s="10">
        <v>532</v>
      </c>
      <c r="AHC14" s="10">
        <v>44453</v>
      </c>
      <c r="AHD14" s="10">
        <v>135211</v>
      </c>
      <c r="AHE14" s="10">
        <v>474</v>
      </c>
      <c r="AHF14" s="10">
        <v>44454</v>
      </c>
      <c r="AHG14" s="10">
        <v>135667</v>
      </c>
      <c r="AHH14" s="10">
        <v>456</v>
      </c>
      <c r="AHI14" s="10">
        <v>44455</v>
      </c>
      <c r="AHJ14" s="10">
        <v>136097</v>
      </c>
      <c r="AHK14" s="10">
        <v>430</v>
      </c>
      <c r="AHL14" s="10">
        <v>44459</v>
      </c>
      <c r="AHM14" s="10">
        <v>137489</v>
      </c>
      <c r="AHN14" s="10">
        <v>486</v>
      </c>
      <c r="AHO14" s="10">
        <v>44460</v>
      </c>
      <c r="AHP14" s="10">
        <v>137979</v>
      </c>
      <c r="AHQ14" s="10">
        <v>488</v>
      </c>
      <c r="AHR14" s="10">
        <v>44461</v>
      </c>
      <c r="AHS14" s="10">
        <v>138464</v>
      </c>
      <c r="AHT14" s="10">
        <v>484</v>
      </c>
      <c r="AHU14" s="10">
        <v>44462</v>
      </c>
      <c r="AHV14" s="10">
        <v>138939</v>
      </c>
      <c r="AHW14" s="10">
        <v>476</v>
      </c>
      <c r="AHX14" s="10">
        <v>44463</v>
      </c>
      <c r="AHY14" s="10">
        <v>139367</v>
      </c>
      <c r="AHZ14" s="10">
        <v>426</v>
      </c>
      <c r="AIA14" s="10">
        <v>44467</v>
      </c>
      <c r="AIB14" s="10">
        <v>141345</v>
      </c>
      <c r="AIC14" s="10">
        <v>642</v>
      </c>
      <c r="AID14" s="10">
        <v>44471</v>
      </c>
      <c r="AIE14" s="10">
        <v>143522</v>
      </c>
      <c r="AIF14" s="10">
        <v>355</v>
      </c>
      <c r="AIG14" s="10">
        <v>44475</v>
      </c>
      <c r="AIH14" s="10">
        <v>145875</v>
      </c>
      <c r="AII14" s="10">
        <v>534</v>
      </c>
      <c r="AIJ14" s="10">
        <v>44476</v>
      </c>
      <c r="AIK14" s="10">
        <v>146454</v>
      </c>
      <c r="AIL14" s="10">
        <v>559</v>
      </c>
      <c r="AIM14" s="10">
        <v>44477</v>
      </c>
      <c r="AIN14" s="10">
        <v>147046</v>
      </c>
      <c r="AIO14" s="10">
        <v>592</v>
      </c>
      <c r="AIP14" s="10">
        <v>44480</v>
      </c>
      <c r="AIQ14" s="10">
        <v>148560</v>
      </c>
      <c r="AIR14" s="10">
        <v>693</v>
      </c>
      <c r="AIS14" s="10">
        <v>44481</v>
      </c>
      <c r="AIT14" s="10">
        <v>149172</v>
      </c>
      <c r="AIU14" s="10">
        <v>609</v>
      </c>
      <c r="AIV14" s="10">
        <v>44482</v>
      </c>
      <c r="AIW14" s="10">
        <v>149815</v>
      </c>
      <c r="AIX14" s="10">
        <v>638</v>
      </c>
      <c r="AIY14" s="10">
        <v>44483</v>
      </c>
      <c r="AIZ14" s="10">
        <v>150643</v>
      </c>
      <c r="AJA14" s="10">
        <v>557</v>
      </c>
      <c r="AJB14" s="10">
        <v>44484</v>
      </c>
      <c r="AJC14" s="10">
        <v>151208</v>
      </c>
      <c r="AJD14" s="10">
        <v>563</v>
      </c>
      <c r="AJE14" s="10">
        <v>44487</v>
      </c>
      <c r="AJF14" s="10">
        <v>152530</v>
      </c>
      <c r="AJG14" s="10">
        <v>659</v>
      </c>
      <c r="AJH14" s="10">
        <v>44488</v>
      </c>
      <c r="AJI14" s="10">
        <v>153118</v>
      </c>
      <c r="AJJ14" s="10">
        <v>551</v>
      </c>
      <c r="AJK14" s="10">
        <v>44489</v>
      </c>
      <c r="AJL14" s="10">
        <v>153634</v>
      </c>
      <c r="AJM14" s="10">
        <v>515</v>
      </c>
      <c r="AJN14" s="10">
        <v>44490</v>
      </c>
      <c r="AJO14" s="10">
        <v>154260</v>
      </c>
      <c r="AJP14" s="10">
        <v>623</v>
      </c>
      <c r="AJQ14" s="10">
        <v>44494</v>
      </c>
      <c r="AJR14" s="10">
        <v>156393</v>
      </c>
      <c r="AJS14" s="10">
        <v>792</v>
      </c>
      <c r="AJT14" s="10">
        <v>44495</v>
      </c>
      <c r="AJU14" s="10">
        <v>157074</v>
      </c>
      <c r="AJV14" s="10">
        <v>677</v>
      </c>
      <c r="AJW14" s="10">
        <v>44496</v>
      </c>
      <c r="AJX14" s="10">
        <v>157714</v>
      </c>
      <c r="AJY14" s="10">
        <v>641</v>
      </c>
      <c r="AJZ14" s="10">
        <v>44497</v>
      </c>
      <c r="AKA14" s="10">
        <v>158292</v>
      </c>
      <c r="AKB14" s="10">
        <v>575</v>
      </c>
      <c r="AKC14" s="10">
        <v>44498</v>
      </c>
      <c r="AKD14" s="10">
        <v>158945</v>
      </c>
      <c r="AKE14" s="10">
        <v>653</v>
      </c>
      <c r="AKF14" s="10">
        <v>44501</v>
      </c>
      <c r="AKG14" s="10">
        <v>160764</v>
      </c>
      <c r="AKH14" s="10">
        <v>973</v>
      </c>
      <c r="AKI14" s="10">
        <v>44504</v>
      </c>
      <c r="AKJ14" s="10">
        <v>163095</v>
      </c>
      <c r="AKK14" s="10">
        <v>804</v>
      </c>
      <c r="AKL14" s="10">
        <v>44506</v>
      </c>
      <c r="AKM14" s="10">
        <v>164452</v>
      </c>
      <c r="AKN14" s="10">
        <v>513</v>
      </c>
      <c r="AKO14" s="10">
        <v>44508</v>
      </c>
      <c r="AKP14" s="10">
        <v>166083</v>
      </c>
      <c r="AKQ14" s="10">
        <v>1117</v>
      </c>
      <c r="AKR14" s="10">
        <v>44509</v>
      </c>
      <c r="AKS14" s="10">
        <v>166927</v>
      </c>
      <c r="AKT14" s="10">
        <v>832</v>
      </c>
      <c r="AKU14" s="10">
        <v>44511</v>
      </c>
      <c r="AKV14" s="10">
        <v>168830</v>
      </c>
      <c r="AKW14" s="10">
        <v>933</v>
      </c>
      <c r="AKX14" s="10">
        <v>44512</v>
      </c>
      <c r="AKY14" s="10">
        <v>169777</v>
      </c>
      <c r="AKZ14" s="10">
        <v>945</v>
      </c>
      <c r="ALA14" s="10">
        <v>44515</v>
      </c>
      <c r="ALB14" s="10">
        <v>172212</v>
      </c>
      <c r="ALC14" s="10">
        <v>1254</v>
      </c>
      <c r="ALD14" s="10">
        <v>44516</v>
      </c>
      <c r="ALE14" s="10">
        <v>173408</v>
      </c>
      <c r="ALF14" s="10">
        <v>1193</v>
      </c>
      <c r="ALG14" s="10">
        <v>44517</v>
      </c>
      <c r="ALH14" s="10">
        <v>174579</v>
      </c>
      <c r="ALI14" s="10">
        <v>1168</v>
      </c>
      <c r="ALJ14" s="10">
        <v>44518</v>
      </c>
      <c r="ALK14" s="10">
        <v>175785</v>
      </c>
      <c r="ALL14" s="10">
        <v>1210</v>
      </c>
      <c r="ALM14" s="10">
        <v>44526</v>
      </c>
      <c r="ALN14" s="10">
        <v>185114</v>
      </c>
      <c r="ALO14" s="10">
        <v>1299</v>
      </c>
    </row>
    <row r="15" spans="1:1003">
      <c r="B15" t="str">
        <f t="shared" ca="1" si="2"/>
        <v>28.11</v>
      </c>
      <c r="C15" s="4">
        <f t="shared" ca="1" si="0"/>
        <v>44528</v>
      </c>
      <c r="D15" s="11">
        <f t="shared" ca="1" si="1"/>
        <v>186693</v>
      </c>
      <c r="E15">
        <f t="shared" ca="1" si="3"/>
        <v>787</v>
      </c>
      <c r="F15" s="11">
        <f t="shared" ca="1" si="4"/>
        <v>1</v>
      </c>
      <c r="G15" s="11">
        <f t="shared" ca="1" si="5"/>
        <v>786</v>
      </c>
      <c r="L15" s="3"/>
      <c r="N15" s="16">
        <v>44527</v>
      </c>
      <c r="O15">
        <v>185902</v>
      </c>
      <c r="P15">
        <v>788</v>
      </c>
      <c r="Q15" s="16">
        <v>44527</v>
      </c>
      <c r="R15">
        <v>185902</v>
      </c>
      <c r="S15">
        <v>788</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s="16">
        <v>44276</v>
      </c>
      <c r="RU15">
        <v>72537</v>
      </c>
      <c r="RV15">
        <v>417</v>
      </c>
      <c r="RW15" s="16">
        <v>44277</v>
      </c>
      <c r="RX15">
        <v>73303</v>
      </c>
      <c r="RY15">
        <v>766</v>
      </c>
      <c r="RZ15" s="16">
        <v>44278</v>
      </c>
      <c r="SA15">
        <v>74006</v>
      </c>
      <c r="SB15">
        <v>702</v>
      </c>
      <c r="SC15" s="16">
        <v>44279</v>
      </c>
      <c r="SD15">
        <v>74699</v>
      </c>
      <c r="SE15">
        <v>693</v>
      </c>
      <c r="SF15" s="16">
        <v>44280</v>
      </c>
      <c r="SG15">
        <v>75307</v>
      </c>
      <c r="SH15">
        <v>606</v>
      </c>
      <c r="SI15" s="16">
        <v>44281</v>
      </c>
      <c r="SJ15">
        <v>75994</v>
      </c>
      <c r="SK15">
        <v>686</v>
      </c>
      <c r="SL15" s="16">
        <v>44283</v>
      </c>
      <c r="SM15">
        <v>76713</v>
      </c>
      <c r="SN15">
        <v>369</v>
      </c>
      <c r="SO15" s="16">
        <v>44284</v>
      </c>
      <c r="SP15">
        <v>77386</v>
      </c>
      <c r="SQ15">
        <v>655</v>
      </c>
      <c r="SR15" s="16">
        <v>44285</v>
      </c>
      <c r="SS15">
        <v>77955</v>
      </c>
      <c r="ST15">
        <v>566</v>
      </c>
      <c r="SU15" s="16">
        <v>44286</v>
      </c>
      <c r="SV15">
        <v>78504</v>
      </c>
      <c r="SW15">
        <v>549</v>
      </c>
      <c r="SX15" s="16">
        <v>44288</v>
      </c>
      <c r="SY15">
        <v>79356</v>
      </c>
      <c r="SZ15">
        <v>361</v>
      </c>
      <c r="TA15" s="16">
        <v>44289</v>
      </c>
      <c r="TB15">
        <v>79678</v>
      </c>
      <c r="TC15">
        <v>319</v>
      </c>
      <c r="TD15" s="16">
        <v>44291</v>
      </c>
      <c r="TE15">
        <v>80356</v>
      </c>
      <c r="TF15">
        <v>359</v>
      </c>
      <c r="TG15" s="16">
        <v>44292</v>
      </c>
      <c r="TH15">
        <v>80903</v>
      </c>
      <c r="TI15">
        <v>543</v>
      </c>
      <c r="TJ15" s="16">
        <v>44293</v>
      </c>
      <c r="TK15">
        <v>81329</v>
      </c>
      <c r="TL15">
        <v>424</v>
      </c>
      <c r="TM15" s="16">
        <v>44294</v>
      </c>
      <c r="TN15">
        <v>81732</v>
      </c>
      <c r="TO15">
        <v>403</v>
      </c>
      <c r="TP15" s="16">
        <v>44296</v>
      </c>
      <c r="TQ15">
        <v>82308</v>
      </c>
      <c r="TR15">
        <v>224</v>
      </c>
      <c r="TS15" s="16">
        <v>44297</v>
      </c>
      <c r="TT15">
        <v>82550</v>
      </c>
      <c r="TU15">
        <v>239</v>
      </c>
      <c r="TV15" s="16">
        <v>44297</v>
      </c>
      <c r="TW15">
        <v>82556</v>
      </c>
      <c r="TX15">
        <v>239</v>
      </c>
      <c r="TY15" s="16">
        <v>44298</v>
      </c>
      <c r="TZ15">
        <v>82953</v>
      </c>
      <c r="UA15">
        <v>396</v>
      </c>
      <c r="UB15" s="16">
        <v>44300</v>
      </c>
      <c r="UC15">
        <v>83623</v>
      </c>
      <c r="UD15">
        <v>345</v>
      </c>
      <c r="UE15" s="16">
        <v>44300</v>
      </c>
      <c r="UF15">
        <v>83624</v>
      </c>
      <c r="UG15">
        <v>345</v>
      </c>
      <c r="UH15" s="16">
        <v>44301</v>
      </c>
      <c r="UI15">
        <v>83901</v>
      </c>
      <c r="UJ15">
        <v>275</v>
      </c>
      <c r="UK15" s="16">
        <v>44302</v>
      </c>
      <c r="UL15">
        <v>84166</v>
      </c>
      <c r="UM15">
        <v>264</v>
      </c>
      <c r="UN15" s="16">
        <v>44306</v>
      </c>
      <c r="UO15">
        <v>85068</v>
      </c>
      <c r="UP15">
        <v>285</v>
      </c>
      <c r="UQ15" s="16">
        <v>44307</v>
      </c>
      <c r="UR15">
        <v>85311</v>
      </c>
      <c r="US15">
        <v>241</v>
      </c>
      <c r="UT15" s="16">
        <v>44308</v>
      </c>
      <c r="UU15">
        <v>85567</v>
      </c>
      <c r="UV15">
        <v>260</v>
      </c>
      <c r="UW15" s="16">
        <v>44309</v>
      </c>
      <c r="UX15">
        <v>85823</v>
      </c>
      <c r="UY15">
        <v>257</v>
      </c>
      <c r="UZ15" s="16">
        <v>44311</v>
      </c>
      <c r="VA15">
        <v>86120</v>
      </c>
      <c r="VB15">
        <v>141</v>
      </c>
      <c r="VC15" s="16">
        <v>44311</v>
      </c>
      <c r="VD15">
        <v>86115</v>
      </c>
      <c r="VE15">
        <v>141</v>
      </c>
      <c r="VF15" s="16">
        <v>44312</v>
      </c>
      <c r="VG15">
        <v>86360</v>
      </c>
      <c r="VH15">
        <v>243</v>
      </c>
      <c r="VI15" s="16">
        <v>44314</v>
      </c>
      <c r="VJ15">
        <v>86861</v>
      </c>
      <c r="VK15">
        <v>273</v>
      </c>
      <c r="VL15" s="16">
        <v>44314</v>
      </c>
      <c r="VM15">
        <v>86861</v>
      </c>
      <c r="VN15">
        <v>273</v>
      </c>
      <c r="VO15" s="16">
        <v>44315</v>
      </c>
      <c r="VP15">
        <v>87061</v>
      </c>
      <c r="VQ15">
        <v>200</v>
      </c>
      <c r="VR15" s="16">
        <v>44316</v>
      </c>
      <c r="VS15">
        <v>87256</v>
      </c>
      <c r="VT15">
        <v>195</v>
      </c>
      <c r="VU15" s="16">
        <v>44318</v>
      </c>
      <c r="VV15">
        <v>87499</v>
      </c>
      <c r="VW15">
        <v>135</v>
      </c>
      <c r="VX15" s="16">
        <v>44318</v>
      </c>
      <c r="VY15">
        <v>87503</v>
      </c>
      <c r="VZ15">
        <v>135</v>
      </c>
      <c r="WA15" s="16">
        <v>44319</v>
      </c>
      <c r="WB15">
        <v>87824</v>
      </c>
      <c r="WC15">
        <v>318</v>
      </c>
      <c r="WD15" s="16">
        <v>44320</v>
      </c>
      <c r="WE15">
        <v>88029</v>
      </c>
      <c r="WF15">
        <v>205</v>
      </c>
      <c r="WG15" s="16">
        <v>44321</v>
      </c>
      <c r="WH15">
        <v>88295</v>
      </c>
      <c r="WI15">
        <v>266</v>
      </c>
      <c r="WJ15" s="16">
        <v>44323</v>
      </c>
      <c r="WK15">
        <v>88744</v>
      </c>
      <c r="WL15">
        <v>214</v>
      </c>
      <c r="WM15" s="16">
        <v>44323</v>
      </c>
      <c r="WN15">
        <v>88745</v>
      </c>
      <c r="WO15">
        <v>214</v>
      </c>
      <c r="WP15" s="16">
        <v>44326</v>
      </c>
      <c r="WQ15">
        <v>89264</v>
      </c>
      <c r="WR15">
        <v>258</v>
      </c>
      <c r="WS15" s="16">
        <v>44327</v>
      </c>
      <c r="WT15">
        <v>89479</v>
      </c>
      <c r="WU15">
        <v>214</v>
      </c>
      <c r="WV15" s="16">
        <v>44328</v>
      </c>
      <c r="WW15">
        <v>89737</v>
      </c>
      <c r="WX15">
        <v>256</v>
      </c>
      <c r="WY15" s="16">
        <v>44329</v>
      </c>
      <c r="WZ15">
        <v>89895</v>
      </c>
      <c r="XA15">
        <v>155</v>
      </c>
      <c r="XB15" s="16">
        <v>44330</v>
      </c>
      <c r="XC15">
        <v>90139</v>
      </c>
      <c r="XD15">
        <v>243</v>
      </c>
      <c r="XE15" s="16">
        <v>44332</v>
      </c>
      <c r="XF15">
        <v>90433</v>
      </c>
      <c r="XG15">
        <v>133</v>
      </c>
      <c r="XH15" s="16">
        <v>44332</v>
      </c>
      <c r="XI15">
        <v>90440</v>
      </c>
      <c r="XJ15">
        <v>133</v>
      </c>
      <c r="XK15" s="16">
        <v>44333</v>
      </c>
      <c r="XL15">
        <v>90724</v>
      </c>
      <c r="XM15">
        <v>284</v>
      </c>
      <c r="XN15" s="16">
        <v>44334</v>
      </c>
      <c r="XO15">
        <v>90940</v>
      </c>
      <c r="XP15">
        <v>216</v>
      </c>
      <c r="XQ15" s="16">
        <v>44335</v>
      </c>
      <c r="XR15">
        <v>91169</v>
      </c>
      <c r="XS15">
        <v>229</v>
      </c>
      <c r="XT15" s="16">
        <v>44336</v>
      </c>
      <c r="XU15">
        <v>91388</v>
      </c>
      <c r="XV15">
        <v>215</v>
      </c>
      <c r="XW15" s="16">
        <v>44337</v>
      </c>
      <c r="XX15">
        <v>91561</v>
      </c>
      <c r="XY15">
        <v>170</v>
      </c>
      <c r="XZ15" s="16">
        <v>44338</v>
      </c>
      <c r="YA15">
        <v>91669</v>
      </c>
      <c r="YB15">
        <v>107</v>
      </c>
      <c r="YC15" s="16">
        <v>44340</v>
      </c>
      <c r="YD15">
        <v>91951</v>
      </c>
      <c r="YE15">
        <v>188</v>
      </c>
      <c r="YF15" s="16">
        <v>44341</v>
      </c>
      <c r="YG15">
        <v>92105</v>
      </c>
      <c r="YH15">
        <v>152</v>
      </c>
      <c r="YI15" s="16">
        <v>44342</v>
      </c>
      <c r="YJ15">
        <v>92249</v>
      </c>
      <c r="YK15">
        <v>142</v>
      </c>
      <c r="YL15" s="16">
        <v>44343</v>
      </c>
      <c r="YM15">
        <v>92376</v>
      </c>
      <c r="YN15">
        <v>127</v>
      </c>
      <c r="YO15" s="16">
        <v>44344</v>
      </c>
      <c r="YP15">
        <v>92516</v>
      </c>
      <c r="YQ15">
        <v>136</v>
      </c>
      <c r="YR15" s="16">
        <v>44345</v>
      </c>
      <c r="YS15">
        <v>92580</v>
      </c>
      <c r="YT15">
        <v>64</v>
      </c>
      <c r="YU15" s="16">
        <v>44347</v>
      </c>
      <c r="YV15">
        <v>92812</v>
      </c>
      <c r="YW15">
        <v>145</v>
      </c>
      <c r="YX15" s="16">
        <v>44348</v>
      </c>
      <c r="YY15">
        <v>92933</v>
      </c>
      <c r="YZ15">
        <v>121</v>
      </c>
      <c r="ZA15" s="16">
        <v>44349</v>
      </c>
      <c r="ZB15">
        <v>93053</v>
      </c>
      <c r="ZC15">
        <v>118</v>
      </c>
      <c r="ZD15" s="16">
        <v>44360</v>
      </c>
      <c r="ZE15">
        <v>93951</v>
      </c>
      <c r="ZF15">
        <v>48</v>
      </c>
      <c r="ZG15" s="16">
        <v>44361</v>
      </c>
      <c r="ZH15">
        <v>94051</v>
      </c>
      <c r="ZI15">
        <v>92</v>
      </c>
      <c r="ZJ15" s="16">
        <v>44362</v>
      </c>
      <c r="ZK15">
        <v>94127</v>
      </c>
      <c r="ZL15">
        <v>76</v>
      </c>
      <c r="ZM15" s="16">
        <v>44363</v>
      </c>
      <c r="ZN15">
        <v>94193</v>
      </c>
      <c r="ZO15">
        <v>64</v>
      </c>
      <c r="ZP15" s="16">
        <v>44364</v>
      </c>
      <c r="ZQ15">
        <v>94276</v>
      </c>
      <c r="ZR15">
        <v>91</v>
      </c>
      <c r="ZS15" s="16">
        <v>44368</v>
      </c>
      <c r="ZT15">
        <v>94597</v>
      </c>
      <c r="ZU15">
        <v>109</v>
      </c>
      <c r="ZV15" s="16">
        <v>44369</v>
      </c>
      <c r="ZW15">
        <v>94718</v>
      </c>
      <c r="ZX15">
        <v>110</v>
      </c>
      <c r="ZY15" s="16">
        <v>44370</v>
      </c>
      <c r="ZZ15">
        <v>94858</v>
      </c>
      <c r="AAA15">
        <v>140</v>
      </c>
      <c r="AAB15" s="16">
        <v>44371</v>
      </c>
      <c r="AAC15">
        <v>95019</v>
      </c>
      <c r="AAD15">
        <v>158</v>
      </c>
      <c r="AAE15" s="16">
        <v>44372</v>
      </c>
      <c r="AAF15">
        <v>95219</v>
      </c>
      <c r="AAG15">
        <v>198</v>
      </c>
      <c r="AAH15" s="16">
        <v>44375</v>
      </c>
      <c r="AAI15">
        <v>95698</v>
      </c>
      <c r="AAJ15">
        <v>230</v>
      </c>
      <c r="AAK15" s="16">
        <v>44376</v>
      </c>
      <c r="AAL15">
        <v>95965</v>
      </c>
      <c r="AAM15">
        <v>262</v>
      </c>
      <c r="AAN15" s="16">
        <v>44378</v>
      </c>
      <c r="AAO15">
        <v>96368</v>
      </c>
      <c r="AAP15">
        <v>209</v>
      </c>
      <c r="AAQ15" s="16">
        <v>44378</v>
      </c>
      <c r="AAR15">
        <v>96378</v>
      </c>
      <c r="AAS15">
        <v>209</v>
      </c>
      <c r="AAT15" s="16">
        <v>44379</v>
      </c>
      <c r="AAU15">
        <v>96545</v>
      </c>
      <c r="AAV15">
        <v>168</v>
      </c>
      <c r="AAW15" s="16">
        <v>44381</v>
      </c>
      <c r="AAX15">
        <v>96784</v>
      </c>
      <c r="AAY15">
        <v>108</v>
      </c>
      <c r="AAZ15" s="16">
        <v>44381</v>
      </c>
      <c r="ABA15">
        <v>96786</v>
      </c>
      <c r="ABB15">
        <v>108</v>
      </c>
      <c r="ABC15" s="16">
        <v>44382</v>
      </c>
      <c r="ABD15">
        <v>97026</v>
      </c>
      <c r="ABE15">
        <v>243</v>
      </c>
      <c r="ABF15" s="16">
        <v>44384</v>
      </c>
      <c r="ABG15">
        <v>97576</v>
      </c>
      <c r="ABH15">
        <v>291</v>
      </c>
      <c r="ABI15" s="16">
        <v>44384</v>
      </c>
      <c r="ABJ15">
        <v>97577</v>
      </c>
      <c r="ABK15">
        <v>291</v>
      </c>
      <c r="ABL15" s="16">
        <v>44385</v>
      </c>
      <c r="ABM15">
        <v>97856</v>
      </c>
      <c r="ABN15">
        <v>280</v>
      </c>
      <c r="ABO15" s="16">
        <v>44386</v>
      </c>
      <c r="ABP15">
        <v>98166</v>
      </c>
      <c r="ABQ15">
        <v>309</v>
      </c>
      <c r="ABR15" s="16">
        <v>44387</v>
      </c>
      <c r="ABS15">
        <v>98318</v>
      </c>
      <c r="ABT15">
        <v>151</v>
      </c>
      <c r="ABU15" s="16">
        <v>44388</v>
      </c>
      <c r="ABV15">
        <v>98480</v>
      </c>
      <c r="ABW15">
        <v>157</v>
      </c>
      <c r="ABX15" s="16">
        <v>44389</v>
      </c>
      <c r="ABY15">
        <v>98813</v>
      </c>
      <c r="ABZ15">
        <v>329</v>
      </c>
      <c r="ACA15" s="16">
        <v>44390</v>
      </c>
      <c r="ACB15">
        <v>99157</v>
      </c>
      <c r="ACC15">
        <v>340</v>
      </c>
      <c r="ACD15" s="16">
        <v>44391</v>
      </c>
      <c r="ACE15">
        <v>99542</v>
      </c>
      <c r="ACF15">
        <v>385</v>
      </c>
      <c r="ACG15" s="16">
        <v>44392</v>
      </c>
      <c r="ACH15">
        <v>99924</v>
      </c>
      <c r="ACI15">
        <v>381</v>
      </c>
      <c r="ACJ15" s="16">
        <v>44393</v>
      </c>
      <c r="ACK15">
        <v>100273</v>
      </c>
      <c r="ACL15">
        <v>354</v>
      </c>
      <c r="ACM15" s="16">
        <v>44396</v>
      </c>
      <c r="ACN15">
        <v>101144</v>
      </c>
      <c r="ACO15">
        <v>421</v>
      </c>
      <c r="ACP15" s="16">
        <v>44397</v>
      </c>
      <c r="ACQ15">
        <v>101567</v>
      </c>
      <c r="ACR15">
        <v>422</v>
      </c>
      <c r="ACS15" s="16">
        <v>44398</v>
      </c>
      <c r="ACT15">
        <v>102034</v>
      </c>
      <c r="ACU15">
        <v>467</v>
      </c>
      <c r="ACV15" s="16">
        <v>44399</v>
      </c>
      <c r="ACW15">
        <v>102520</v>
      </c>
      <c r="ACX15">
        <v>487</v>
      </c>
      <c r="ACY15" s="16">
        <v>44400</v>
      </c>
      <c r="ACZ15">
        <v>103002</v>
      </c>
      <c r="ADA15">
        <v>479</v>
      </c>
      <c r="ADB15" s="16">
        <v>44401</v>
      </c>
      <c r="ADC15">
        <v>103304</v>
      </c>
      <c r="ADD15">
        <v>299</v>
      </c>
      <c r="ADE15" s="16">
        <v>44402</v>
      </c>
      <c r="ADF15">
        <v>103655</v>
      </c>
      <c r="ADG15">
        <v>351</v>
      </c>
      <c r="ADH15" s="16">
        <v>44403</v>
      </c>
      <c r="ADI15">
        <v>104423</v>
      </c>
      <c r="ADJ15">
        <v>766</v>
      </c>
      <c r="ADK15" s="16">
        <v>44404</v>
      </c>
      <c r="ADL15">
        <v>105101</v>
      </c>
      <c r="ADM15">
        <v>678</v>
      </c>
      <c r="ADN15" s="16">
        <v>44405</v>
      </c>
      <c r="ADO15">
        <v>105944</v>
      </c>
      <c r="ADP15">
        <v>843</v>
      </c>
      <c r="ADQ15" s="16">
        <v>44406</v>
      </c>
      <c r="ADR15">
        <v>106713</v>
      </c>
      <c r="ADS15">
        <v>767</v>
      </c>
      <c r="ADT15" s="16">
        <v>44407</v>
      </c>
      <c r="ADU15">
        <v>107411</v>
      </c>
      <c r="ADV15">
        <v>695</v>
      </c>
      <c r="ADW15" s="16">
        <v>44410</v>
      </c>
      <c r="ADX15">
        <v>109188</v>
      </c>
      <c r="ADY15">
        <v>892</v>
      </c>
      <c r="ADZ15" s="16">
        <v>44411</v>
      </c>
      <c r="AEA15">
        <v>110030</v>
      </c>
      <c r="AEB15">
        <v>840</v>
      </c>
      <c r="AEC15" s="16">
        <v>44412</v>
      </c>
      <c r="AED15">
        <v>110814</v>
      </c>
      <c r="AEE15">
        <v>784</v>
      </c>
      <c r="AEF15" s="16">
        <v>44413</v>
      </c>
      <c r="AEG15">
        <v>111678</v>
      </c>
      <c r="AEH15">
        <v>866</v>
      </c>
      <c r="AEI15" s="16">
        <v>44414</v>
      </c>
      <c r="AEJ15">
        <v>112364</v>
      </c>
      <c r="AEK15">
        <v>683</v>
      </c>
      <c r="AEL15" s="16">
        <v>44417</v>
      </c>
      <c r="AEM15">
        <v>114412</v>
      </c>
      <c r="AEN15">
        <v>1033</v>
      </c>
      <c r="AEO15" s="16">
        <v>44418</v>
      </c>
      <c r="AEP15">
        <v>115255</v>
      </c>
      <c r="AEQ15">
        <v>829</v>
      </c>
      <c r="AER15" s="16">
        <v>44419</v>
      </c>
      <c r="AES15">
        <v>116180</v>
      </c>
      <c r="AET15">
        <v>925</v>
      </c>
      <c r="AEU15" s="16">
        <v>44420</v>
      </c>
      <c r="AEV15">
        <v>116968</v>
      </c>
      <c r="AEW15">
        <v>789</v>
      </c>
      <c r="AEX15" s="16">
        <v>44422</v>
      </c>
      <c r="AEY15">
        <v>118130</v>
      </c>
      <c r="AEZ15">
        <v>426</v>
      </c>
      <c r="AFA15" s="16">
        <v>44423</v>
      </c>
      <c r="AFB15">
        <v>118578</v>
      </c>
      <c r="AFC15">
        <v>442</v>
      </c>
      <c r="AFD15">
        <v>44428</v>
      </c>
      <c r="AFE15">
        <v>122111</v>
      </c>
      <c r="AFF15">
        <v>657</v>
      </c>
      <c r="AFG15">
        <v>44429</v>
      </c>
      <c r="AFH15">
        <v>122513</v>
      </c>
      <c r="AFI15">
        <v>396</v>
      </c>
      <c r="AFJ15">
        <v>44431</v>
      </c>
      <c r="AFK15">
        <v>123654</v>
      </c>
      <c r="AFL15">
        <v>680</v>
      </c>
      <c r="AFM15">
        <v>44434</v>
      </c>
      <c r="AFN15">
        <v>125563</v>
      </c>
      <c r="AFO15">
        <v>605</v>
      </c>
      <c r="AFP15">
        <v>44435</v>
      </c>
      <c r="AFQ15">
        <v>126268</v>
      </c>
      <c r="AFR15">
        <v>704</v>
      </c>
      <c r="AFS15">
        <v>44437</v>
      </c>
      <c r="AFT15">
        <v>127161</v>
      </c>
      <c r="AFU15">
        <v>459</v>
      </c>
      <c r="AFV15">
        <v>44438</v>
      </c>
      <c r="AFW15">
        <v>127903</v>
      </c>
      <c r="AFX15">
        <v>738</v>
      </c>
      <c r="AFY15">
        <v>44440</v>
      </c>
      <c r="AFZ15">
        <v>129200</v>
      </c>
      <c r="AGA15">
        <v>648</v>
      </c>
      <c r="AGB15">
        <v>44441</v>
      </c>
      <c r="AGC15">
        <v>129850</v>
      </c>
      <c r="AGD15">
        <v>650</v>
      </c>
      <c r="AGE15">
        <v>44444</v>
      </c>
      <c r="AGF15">
        <v>131055</v>
      </c>
      <c r="AGG15">
        <v>345</v>
      </c>
      <c r="AGH15">
        <v>44445</v>
      </c>
      <c r="AGI15">
        <v>131638</v>
      </c>
      <c r="AGJ15">
        <v>580</v>
      </c>
      <c r="AGK15">
        <v>44447</v>
      </c>
      <c r="AGL15">
        <v>132636</v>
      </c>
      <c r="AGM15">
        <v>482</v>
      </c>
      <c r="AGN15">
        <v>44447</v>
      </c>
      <c r="AGO15">
        <v>132637</v>
      </c>
      <c r="AGP15">
        <v>482</v>
      </c>
      <c r="AGQ15">
        <v>44448</v>
      </c>
      <c r="AGR15">
        <v>133098</v>
      </c>
      <c r="AGS15">
        <v>460</v>
      </c>
      <c r="AGT15">
        <v>44449</v>
      </c>
      <c r="AGU15">
        <v>133593</v>
      </c>
      <c r="AGV15">
        <v>495</v>
      </c>
      <c r="AGW15">
        <v>44451</v>
      </c>
      <c r="AGX15">
        <v>134196</v>
      </c>
      <c r="AGY15">
        <v>280</v>
      </c>
      <c r="AGZ15">
        <v>44453</v>
      </c>
      <c r="AHA15">
        <v>135209</v>
      </c>
      <c r="AHB15">
        <v>474</v>
      </c>
      <c r="AHC15">
        <v>44454</v>
      </c>
      <c r="AHD15">
        <v>135667</v>
      </c>
      <c r="AHE15">
        <v>456</v>
      </c>
      <c r="AHF15">
        <v>44455</v>
      </c>
      <c r="AHG15">
        <v>136097</v>
      </c>
      <c r="AHH15">
        <v>430</v>
      </c>
      <c r="AHI15">
        <v>44456</v>
      </c>
      <c r="AHJ15">
        <v>136483</v>
      </c>
      <c r="AHK15">
        <v>386</v>
      </c>
      <c r="AHL15">
        <v>44460</v>
      </c>
      <c r="AHM15">
        <v>137978</v>
      </c>
      <c r="AHN15">
        <v>489</v>
      </c>
      <c r="AHO15">
        <v>44461</v>
      </c>
      <c r="AHP15">
        <v>138463</v>
      </c>
      <c r="AHQ15">
        <v>484</v>
      </c>
      <c r="AHR15">
        <v>44462</v>
      </c>
      <c r="AHS15">
        <v>138940</v>
      </c>
      <c r="AHT15">
        <v>476</v>
      </c>
      <c r="AHU15">
        <v>44463</v>
      </c>
      <c r="AHV15">
        <v>139365</v>
      </c>
      <c r="AHW15">
        <v>426</v>
      </c>
      <c r="AHX15">
        <v>44464</v>
      </c>
      <c r="AHY15">
        <v>139662</v>
      </c>
      <c r="AHZ15">
        <v>295</v>
      </c>
      <c r="AIA15">
        <v>44468</v>
      </c>
      <c r="AIB15">
        <v>142013</v>
      </c>
      <c r="AIC15">
        <v>668</v>
      </c>
      <c r="AID15">
        <v>44472</v>
      </c>
      <c r="AIE15">
        <v>143910</v>
      </c>
      <c r="AIF15">
        <v>388</v>
      </c>
      <c r="AIG15">
        <v>44476</v>
      </c>
      <c r="AIH15">
        <v>146432</v>
      </c>
      <c r="AII15">
        <v>557</v>
      </c>
      <c r="AIJ15">
        <v>44477</v>
      </c>
      <c r="AIK15">
        <v>147046</v>
      </c>
      <c r="AIL15">
        <v>592</v>
      </c>
      <c r="AIM15">
        <v>44478</v>
      </c>
      <c r="AIN15">
        <v>147470</v>
      </c>
      <c r="AIO15">
        <v>424</v>
      </c>
      <c r="AIP15">
        <v>44481</v>
      </c>
      <c r="AIQ15">
        <v>149169</v>
      </c>
      <c r="AIR15">
        <v>609</v>
      </c>
      <c r="AIS15">
        <v>44482</v>
      </c>
      <c r="AIT15">
        <v>149810</v>
      </c>
      <c r="AIU15">
        <v>638</v>
      </c>
      <c r="AIV15">
        <v>44483</v>
      </c>
      <c r="AIW15">
        <v>150372</v>
      </c>
      <c r="AIX15">
        <v>557</v>
      </c>
      <c r="AIY15">
        <v>44484</v>
      </c>
      <c r="AIZ15">
        <v>151206</v>
      </c>
      <c r="AJA15">
        <v>563</v>
      </c>
      <c r="AJB15">
        <v>44485</v>
      </c>
      <c r="AJC15">
        <v>151551</v>
      </c>
      <c r="AJD15">
        <v>343</v>
      </c>
      <c r="AJE15">
        <v>44488</v>
      </c>
      <c r="AJF15">
        <v>153079</v>
      </c>
      <c r="AJG15">
        <v>549</v>
      </c>
      <c r="AJH15">
        <v>44489</v>
      </c>
      <c r="AJI15">
        <v>153633</v>
      </c>
      <c r="AJJ15">
        <v>515</v>
      </c>
      <c r="AJK15">
        <v>44490</v>
      </c>
      <c r="AJL15">
        <v>154257</v>
      </c>
      <c r="AJM15">
        <v>623</v>
      </c>
      <c r="AJN15">
        <v>44491</v>
      </c>
      <c r="AJO15">
        <v>154838</v>
      </c>
      <c r="AJP15">
        <v>578</v>
      </c>
      <c r="AJQ15">
        <v>44495</v>
      </c>
      <c r="AJR15">
        <v>157070</v>
      </c>
      <c r="AJS15">
        <v>677</v>
      </c>
      <c r="AJT15">
        <v>44496</v>
      </c>
      <c r="AJU15">
        <v>157715</v>
      </c>
      <c r="AJV15">
        <v>641</v>
      </c>
      <c r="AJW15">
        <v>44497</v>
      </c>
      <c r="AJX15">
        <v>158289</v>
      </c>
      <c r="AJY15">
        <v>575</v>
      </c>
      <c r="AJZ15">
        <v>44498</v>
      </c>
      <c r="AKA15">
        <v>158943</v>
      </c>
      <c r="AKB15">
        <v>651</v>
      </c>
      <c r="AKC15">
        <v>44499</v>
      </c>
      <c r="AKD15">
        <v>159345</v>
      </c>
      <c r="AKE15">
        <v>400</v>
      </c>
      <c r="AKF15">
        <v>44502</v>
      </c>
      <c r="AKG15">
        <v>161519</v>
      </c>
      <c r="AKH15">
        <v>755</v>
      </c>
      <c r="AKI15">
        <v>44505</v>
      </c>
      <c r="AKJ15">
        <v>163936</v>
      </c>
      <c r="AKK15">
        <v>841</v>
      </c>
      <c r="AKL15">
        <v>44507</v>
      </c>
      <c r="AKM15">
        <v>164960</v>
      </c>
      <c r="AKN15">
        <v>508</v>
      </c>
      <c r="AKO15">
        <v>44509</v>
      </c>
      <c r="AKP15">
        <v>166915</v>
      </c>
      <c r="AKQ15">
        <v>832</v>
      </c>
      <c r="AKR15">
        <v>44510</v>
      </c>
      <c r="AKS15">
        <v>167896</v>
      </c>
      <c r="AKT15">
        <v>969</v>
      </c>
      <c r="AKU15">
        <v>44512</v>
      </c>
      <c r="AKV15">
        <v>169775</v>
      </c>
      <c r="AKW15">
        <v>945</v>
      </c>
      <c r="AKX15">
        <v>44513</v>
      </c>
      <c r="AKY15">
        <v>170392</v>
      </c>
      <c r="AKZ15">
        <v>615</v>
      </c>
      <c r="ALA15">
        <v>44516</v>
      </c>
      <c r="ALB15">
        <v>173405</v>
      </c>
      <c r="ALC15">
        <v>1193</v>
      </c>
      <c r="ALD15">
        <v>44517</v>
      </c>
      <c r="ALE15">
        <v>174576</v>
      </c>
      <c r="ALF15">
        <v>1168</v>
      </c>
      <c r="ALG15">
        <v>44518</v>
      </c>
      <c r="ALH15">
        <v>175789</v>
      </c>
      <c r="ALI15">
        <v>1210</v>
      </c>
      <c r="ALJ15">
        <v>44519</v>
      </c>
      <c r="ALK15">
        <v>177054</v>
      </c>
      <c r="ALL15">
        <v>1269</v>
      </c>
      <c r="ALM15">
        <v>44527</v>
      </c>
      <c r="ALN15">
        <v>185902</v>
      </c>
      <c r="ALO15">
        <v>788</v>
      </c>
    </row>
    <row r="16" spans="1:1003">
      <c r="B16" t="str">
        <f t="shared" ca="1" si="2"/>
        <v>Ma 29</v>
      </c>
      <c r="C16" s="4">
        <f t="shared" ca="1" si="0"/>
        <v>44529</v>
      </c>
      <c r="D16" s="11">
        <f t="shared" ca="1" si="1"/>
        <v>188378</v>
      </c>
      <c r="E16">
        <f t="shared" ca="1" si="3"/>
        <v>1685</v>
      </c>
      <c r="F16" s="11">
        <f t="shared" ca="1" si="4"/>
        <v>1</v>
      </c>
      <c r="G16" s="11">
        <f t="shared" ca="1" si="5"/>
        <v>1684</v>
      </c>
      <c r="L16" s="3"/>
      <c r="N16" s="16">
        <v>44528</v>
      </c>
      <c r="O16">
        <v>186688</v>
      </c>
      <c r="P16">
        <v>786</v>
      </c>
      <c r="Q16" s="16">
        <v>44528</v>
      </c>
      <c r="R16">
        <v>186688</v>
      </c>
      <c r="S16">
        <v>786</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s="16">
        <v>44277</v>
      </c>
      <c r="RU16">
        <v>73303</v>
      </c>
      <c r="RV16">
        <v>766</v>
      </c>
      <c r="RW16" s="16">
        <v>44278</v>
      </c>
      <c r="RX16">
        <v>74005</v>
      </c>
      <c r="RY16">
        <v>702</v>
      </c>
      <c r="RZ16" s="16">
        <v>44279</v>
      </c>
      <c r="SA16">
        <v>74699</v>
      </c>
      <c r="SB16">
        <v>693</v>
      </c>
      <c r="SC16" s="16">
        <v>44280</v>
      </c>
      <c r="SD16">
        <v>75305</v>
      </c>
      <c r="SE16">
        <v>606</v>
      </c>
      <c r="SF16" s="16">
        <v>44281</v>
      </c>
      <c r="SG16">
        <v>75993</v>
      </c>
      <c r="SH16">
        <v>686</v>
      </c>
      <c r="SI16" s="16">
        <v>44282</v>
      </c>
      <c r="SJ16">
        <v>76344</v>
      </c>
      <c r="SK16">
        <v>350</v>
      </c>
      <c r="SL16" s="16">
        <v>44284</v>
      </c>
      <c r="SM16">
        <v>77368</v>
      </c>
      <c r="SN16">
        <v>655</v>
      </c>
      <c r="SO16" s="16">
        <v>44285</v>
      </c>
      <c r="SP16">
        <v>77952</v>
      </c>
      <c r="SQ16">
        <v>566</v>
      </c>
      <c r="SR16" s="16">
        <v>44286</v>
      </c>
      <c r="SS16">
        <v>78504</v>
      </c>
      <c r="ST16">
        <v>549</v>
      </c>
      <c r="SU16" s="16">
        <v>44287</v>
      </c>
      <c r="SV16">
        <v>78992</v>
      </c>
      <c r="SW16">
        <v>488</v>
      </c>
      <c r="SX16" s="16">
        <v>44289</v>
      </c>
      <c r="SY16">
        <v>79672</v>
      </c>
      <c r="SZ16">
        <v>316</v>
      </c>
      <c r="TA16" s="16">
        <v>44290</v>
      </c>
      <c r="TB16">
        <v>79997</v>
      </c>
      <c r="TC16">
        <v>319</v>
      </c>
      <c r="TD16" s="16">
        <v>44292</v>
      </c>
      <c r="TE16">
        <v>80898</v>
      </c>
      <c r="TF16">
        <v>542</v>
      </c>
      <c r="TG16" s="16">
        <v>44293</v>
      </c>
      <c r="TH16">
        <v>81327</v>
      </c>
      <c r="TI16">
        <v>424</v>
      </c>
      <c r="TJ16" s="16">
        <v>44294</v>
      </c>
      <c r="TK16">
        <v>81732</v>
      </c>
      <c r="TL16">
        <v>403</v>
      </c>
      <c r="TM16" s="16">
        <v>44295</v>
      </c>
      <c r="TN16">
        <v>82080</v>
      </c>
      <c r="TO16">
        <v>348</v>
      </c>
      <c r="TP16" s="16">
        <v>44297</v>
      </c>
      <c r="TQ16">
        <v>82547</v>
      </c>
      <c r="TR16">
        <v>239</v>
      </c>
      <c r="TS16" s="16">
        <v>44298</v>
      </c>
      <c r="TT16">
        <v>82947</v>
      </c>
      <c r="TU16">
        <v>397</v>
      </c>
      <c r="TV16" s="16">
        <v>44298</v>
      </c>
      <c r="TW16">
        <v>82953</v>
      </c>
      <c r="TX16">
        <v>397</v>
      </c>
      <c r="TY16" s="16">
        <v>44299</v>
      </c>
      <c r="TZ16">
        <v>83278</v>
      </c>
      <c r="UA16">
        <v>325</v>
      </c>
      <c r="UB16" s="16">
        <v>44301</v>
      </c>
      <c r="UC16">
        <v>83898</v>
      </c>
      <c r="UD16">
        <v>275</v>
      </c>
      <c r="UE16" s="16">
        <v>44301</v>
      </c>
      <c r="UF16">
        <v>83899</v>
      </c>
      <c r="UG16">
        <v>275</v>
      </c>
      <c r="UH16" s="16">
        <v>44302</v>
      </c>
      <c r="UI16">
        <v>84165</v>
      </c>
      <c r="UJ16">
        <v>264</v>
      </c>
      <c r="UK16" s="16">
        <v>44303</v>
      </c>
      <c r="UL16">
        <v>84336</v>
      </c>
      <c r="UM16">
        <v>170</v>
      </c>
      <c r="UN16" s="16">
        <v>44307</v>
      </c>
      <c r="UO16">
        <v>85308</v>
      </c>
      <c r="UP16">
        <v>240</v>
      </c>
      <c r="UQ16" s="16">
        <v>44308</v>
      </c>
      <c r="UR16">
        <v>85571</v>
      </c>
      <c r="US16">
        <v>260</v>
      </c>
      <c r="UT16" s="16">
        <v>44309</v>
      </c>
      <c r="UU16">
        <v>85824</v>
      </c>
      <c r="UV16">
        <v>257</v>
      </c>
      <c r="UW16" s="16">
        <v>44310</v>
      </c>
      <c r="UX16">
        <v>85977</v>
      </c>
      <c r="UY16">
        <v>154</v>
      </c>
      <c r="UZ16" s="16">
        <v>44312</v>
      </c>
      <c r="VA16">
        <v>86363</v>
      </c>
      <c r="VB16">
        <v>243</v>
      </c>
      <c r="VC16" s="16">
        <v>44312</v>
      </c>
      <c r="VD16">
        <v>86358</v>
      </c>
      <c r="VE16">
        <v>243</v>
      </c>
      <c r="VF16" s="16">
        <v>44313</v>
      </c>
      <c r="VG16">
        <v>86588</v>
      </c>
      <c r="VH16">
        <v>228</v>
      </c>
      <c r="VI16" s="16">
        <v>44315</v>
      </c>
      <c r="VJ16">
        <v>87061</v>
      </c>
      <c r="VK16">
        <v>200</v>
      </c>
      <c r="VL16" s="16">
        <v>44315</v>
      </c>
      <c r="VM16">
        <v>87061</v>
      </c>
      <c r="VN16">
        <v>200</v>
      </c>
      <c r="VO16" s="16">
        <v>44316</v>
      </c>
      <c r="VP16">
        <v>87256</v>
      </c>
      <c r="VQ16">
        <v>195</v>
      </c>
      <c r="VR16" s="16">
        <v>44317</v>
      </c>
      <c r="VS16">
        <v>87361</v>
      </c>
      <c r="VT16">
        <v>105</v>
      </c>
      <c r="VU16" s="16">
        <v>44319</v>
      </c>
      <c r="VV16">
        <v>87817</v>
      </c>
      <c r="VW16">
        <v>318</v>
      </c>
      <c r="VX16" s="16">
        <v>44319</v>
      </c>
      <c r="VY16">
        <v>87821</v>
      </c>
      <c r="VZ16">
        <v>318</v>
      </c>
      <c r="WA16" s="16">
        <v>44320</v>
      </c>
      <c r="WB16">
        <v>88029</v>
      </c>
      <c r="WC16">
        <v>205</v>
      </c>
      <c r="WD16" s="16">
        <v>44321</v>
      </c>
      <c r="WE16">
        <v>88295</v>
      </c>
      <c r="WF16">
        <v>266</v>
      </c>
      <c r="WG16" s="16">
        <v>44322</v>
      </c>
      <c r="WH16">
        <v>88529</v>
      </c>
      <c r="WI16">
        <v>234</v>
      </c>
      <c r="WJ16" s="16">
        <v>44324</v>
      </c>
      <c r="WK16">
        <v>88873</v>
      </c>
      <c r="WL16">
        <v>129</v>
      </c>
      <c r="WM16" s="16">
        <v>44324</v>
      </c>
      <c r="WN16">
        <v>88875</v>
      </c>
      <c r="WO16">
        <v>130</v>
      </c>
      <c r="WP16" s="16">
        <v>44327</v>
      </c>
      <c r="WQ16">
        <v>89478</v>
      </c>
      <c r="WR16">
        <v>214</v>
      </c>
      <c r="WS16" s="16">
        <v>44328</v>
      </c>
      <c r="WT16">
        <v>89735</v>
      </c>
      <c r="WU16">
        <v>256</v>
      </c>
      <c r="WV16" s="16">
        <v>44329</v>
      </c>
      <c r="WW16">
        <v>89892</v>
      </c>
      <c r="WX16">
        <v>155</v>
      </c>
      <c r="WY16" s="16">
        <v>44330</v>
      </c>
      <c r="WZ16">
        <v>90138</v>
      </c>
      <c r="XA16">
        <v>243</v>
      </c>
      <c r="XB16" s="16">
        <v>44331</v>
      </c>
      <c r="XC16">
        <v>90299</v>
      </c>
      <c r="XD16">
        <v>160</v>
      </c>
      <c r="XE16" s="16">
        <v>44333</v>
      </c>
      <c r="XF16">
        <v>90717</v>
      </c>
      <c r="XG16">
        <v>284</v>
      </c>
      <c r="XH16" s="16">
        <v>44333</v>
      </c>
      <c r="XI16">
        <v>90724</v>
      </c>
      <c r="XJ16">
        <v>284</v>
      </c>
      <c r="XK16" s="16">
        <v>44334</v>
      </c>
      <c r="XL16">
        <v>90940</v>
      </c>
      <c r="XM16">
        <v>216</v>
      </c>
      <c r="XN16" s="16">
        <v>44335</v>
      </c>
      <c r="XO16">
        <v>91169</v>
      </c>
      <c r="XP16">
        <v>229</v>
      </c>
      <c r="XQ16" s="16">
        <v>44336</v>
      </c>
      <c r="XR16">
        <v>91384</v>
      </c>
      <c r="XS16">
        <v>215</v>
      </c>
      <c r="XT16" s="16">
        <v>44337</v>
      </c>
      <c r="XU16">
        <v>91558</v>
      </c>
      <c r="XV16">
        <v>170</v>
      </c>
      <c r="XW16" s="16">
        <v>44338</v>
      </c>
      <c r="XX16">
        <v>91668</v>
      </c>
      <c r="XY16">
        <v>107</v>
      </c>
      <c r="XZ16" s="16">
        <v>44339</v>
      </c>
      <c r="YA16">
        <v>91761</v>
      </c>
      <c r="YB16">
        <v>92</v>
      </c>
      <c r="YC16" s="16">
        <v>44341</v>
      </c>
      <c r="YD16">
        <v>92103</v>
      </c>
      <c r="YE16">
        <v>152</v>
      </c>
      <c r="YF16" s="16">
        <v>44342</v>
      </c>
      <c r="YG16">
        <v>92247</v>
      </c>
      <c r="YH16">
        <v>142</v>
      </c>
      <c r="YI16" s="16">
        <v>44343</v>
      </c>
      <c r="YJ16">
        <v>92376</v>
      </c>
      <c r="YK16">
        <v>127</v>
      </c>
      <c r="YL16" s="16">
        <v>44344</v>
      </c>
      <c r="YM16">
        <v>92512</v>
      </c>
      <c r="YN16">
        <v>136</v>
      </c>
      <c r="YO16" s="16">
        <v>44345</v>
      </c>
      <c r="YP16">
        <v>92580</v>
      </c>
      <c r="YQ16">
        <v>64</v>
      </c>
      <c r="YR16" s="16">
        <v>44346</v>
      </c>
      <c r="YS16">
        <v>92659</v>
      </c>
      <c r="YT16">
        <v>79</v>
      </c>
      <c r="YU16" s="16">
        <v>44348</v>
      </c>
      <c r="YV16">
        <v>92933</v>
      </c>
      <c r="YW16">
        <v>121</v>
      </c>
      <c r="YX16" s="16">
        <v>44349</v>
      </c>
      <c r="YY16">
        <v>93051</v>
      </c>
      <c r="YZ16">
        <v>118</v>
      </c>
      <c r="ZA16" s="16">
        <v>44350</v>
      </c>
      <c r="ZB16">
        <v>93164</v>
      </c>
      <c r="ZC16">
        <v>111</v>
      </c>
      <c r="ZD16" s="16">
        <v>44361</v>
      </c>
      <c r="ZE16">
        <v>94040</v>
      </c>
      <c r="ZF16">
        <v>89</v>
      </c>
      <c r="ZG16" s="16">
        <v>44362</v>
      </c>
      <c r="ZH16">
        <v>94127</v>
      </c>
      <c r="ZI16">
        <v>76</v>
      </c>
      <c r="ZJ16" s="16">
        <v>44363</v>
      </c>
      <c r="ZK16">
        <v>94191</v>
      </c>
      <c r="ZL16">
        <v>64</v>
      </c>
      <c r="ZM16" s="16">
        <v>44364</v>
      </c>
      <c r="ZN16">
        <v>94284</v>
      </c>
      <c r="ZO16">
        <v>91</v>
      </c>
      <c r="ZP16" s="16">
        <v>44365</v>
      </c>
      <c r="ZQ16">
        <v>94354</v>
      </c>
      <c r="ZR16">
        <v>78</v>
      </c>
      <c r="ZS16" s="16">
        <v>44369</v>
      </c>
      <c r="ZT16">
        <v>94706</v>
      </c>
      <c r="ZU16">
        <v>109</v>
      </c>
      <c r="ZV16" s="16">
        <v>44370</v>
      </c>
      <c r="ZW16">
        <v>94858</v>
      </c>
      <c r="ZX16">
        <v>140</v>
      </c>
      <c r="ZY16" s="16">
        <v>44371</v>
      </c>
      <c r="ZZ16">
        <v>95016</v>
      </c>
      <c r="AAA16">
        <v>158</v>
      </c>
      <c r="AAB16" s="16">
        <v>44372</v>
      </c>
      <c r="AAC16">
        <v>95216</v>
      </c>
      <c r="AAD16">
        <v>197</v>
      </c>
      <c r="AAE16" s="16">
        <v>44373</v>
      </c>
      <c r="AAF16">
        <v>95348</v>
      </c>
      <c r="AAG16">
        <v>129</v>
      </c>
      <c r="AAH16" s="16">
        <v>44376</v>
      </c>
      <c r="AAI16">
        <v>95960</v>
      </c>
      <c r="AAJ16">
        <v>262</v>
      </c>
      <c r="AAK16" s="16">
        <v>44377</v>
      </c>
      <c r="AAL16">
        <v>96160</v>
      </c>
      <c r="AAM16">
        <v>195</v>
      </c>
      <c r="AAN16" s="16">
        <v>44379</v>
      </c>
      <c r="AAO16">
        <v>96535</v>
      </c>
      <c r="AAP16">
        <v>167</v>
      </c>
      <c r="AAQ16" s="16">
        <v>44379</v>
      </c>
      <c r="AAR16">
        <v>96545</v>
      </c>
      <c r="AAS16">
        <v>167</v>
      </c>
      <c r="AAT16" s="16">
        <v>44380</v>
      </c>
      <c r="AAU16">
        <v>96674</v>
      </c>
      <c r="AAV16">
        <v>129</v>
      </c>
      <c r="AAW16" s="16">
        <v>44382</v>
      </c>
      <c r="AAX16">
        <v>97026</v>
      </c>
      <c r="AAY16">
        <v>242</v>
      </c>
      <c r="AAZ16" s="16">
        <v>44382</v>
      </c>
      <c r="ABA16">
        <v>97028</v>
      </c>
      <c r="ABB16">
        <v>242</v>
      </c>
      <c r="ABC16" s="16">
        <v>44383</v>
      </c>
      <c r="ABD16">
        <v>97286</v>
      </c>
      <c r="ABE16">
        <v>260</v>
      </c>
      <c r="ABF16" s="16">
        <v>44385</v>
      </c>
      <c r="ABG16">
        <v>97856</v>
      </c>
      <c r="ABH16">
        <v>280</v>
      </c>
      <c r="ABI16" s="16">
        <v>44385</v>
      </c>
      <c r="ABJ16">
        <v>97857</v>
      </c>
      <c r="ABK16">
        <v>280</v>
      </c>
      <c r="ABL16" s="16">
        <v>44386</v>
      </c>
      <c r="ABM16">
        <v>98166</v>
      </c>
      <c r="ABN16">
        <v>310</v>
      </c>
      <c r="ABO16" s="16">
        <v>44387</v>
      </c>
      <c r="ABP16">
        <v>98317</v>
      </c>
      <c r="ABQ16">
        <v>151</v>
      </c>
      <c r="ABR16" s="16">
        <v>44388</v>
      </c>
      <c r="ABS16">
        <v>98475</v>
      </c>
      <c r="ABT16">
        <v>157</v>
      </c>
      <c r="ABU16" s="16">
        <v>44389</v>
      </c>
      <c r="ABV16">
        <v>98810</v>
      </c>
      <c r="ABW16">
        <v>330</v>
      </c>
      <c r="ABX16" s="16">
        <v>44390</v>
      </c>
      <c r="ABY16">
        <v>99153</v>
      </c>
      <c r="ABZ16">
        <v>340</v>
      </c>
      <c r="ACA16" s="16">
        <v>44391</v>
      </c>
      <c r="ACB16">
        <v>99542</v>
      </c>
      <c r="ACC16">
        <v>385</v>
      </c>
      <c r="ACD16" s="16">
        <v>44392</v>
      </c>
      <c r="ACE16">
        <v>99923</v>
      </c>
      <c r="ACF16">
        <v>381</v>
      </c>
      <c r="ACG16" s="16">
        <v>44393</v>
      </c>
      <c r="ACH16">
        <v>100279</v>
      </c>
      <c r="ACI16">
        <v>355</v>
      </c>
      <c r="ACJ16" s="16">
        <v>44394</v>
      </c>
      <c r="ACK16">
        <v>100476</v>
      </c>
      <c r="ACL16">
        <v>203</v>
      </c>
      <c r="ACM16" s="16">
        <v>44397</v>
      </c>
      <c r="ACN16">
        <v>101566</v>
      </c>
      <c r="ACO16">
        <v>422</v>
      </c>
      <c r="ACP16" s="16">
        <v>44398</v>
      </c>
      <c r="ACQ16">
        <v>102034</v>
      </c>
      <c r="ACR16">
        <v>467</v>
      </c>
      <c r="ACS16" s="16">
        <v>44399</v>
      </c>
      <c r="ACT16">
        <v>102521</v>
      </c>
      <c r="ACU16">
        <v>487</v>
      </c>
      <c r="ACV16" s="16">
        <v>44400</v>
      </c>
      <c r="ACW16">
        <v>102999</v>
      </c>
      <c r="ACX16">
        <v>479</v>
      </c>
      <c r="ACY16" s="16">
        <v>44401</v>
      </c>
      <c r="ACZ16">
        <v>103301</v>
      </c>
      <c r="ADA16">
        <v>299</v>
      </c>
      <c r="ADB16" s="16">
        <v>44402</v>
      </c>
      <c r="ADC16">
        <v>103655</v>
      </c>
      <c r="ADD16">
        <v>351</v>
      </c>
      <c r="ADE16" s="16">
        <v>44403</v>
      </c>
      <c r="ADF16">
        <v>104421</v>
      </c>
      <c r="ADG16">
        <v>766</v>
      </c>
      <c r="ADH16" s="16">
        <v>44404</v>
      </c>
      <c r="ADI16">
        <v>105101</v>
      </c>
      <c r="ADJ16">
        <v>678</v>
      </c>
      <c r="ADK16" s="16">
        <v>44405</v>
      </c>
      <c r="ADL16">
        <v>105944</v>
      </c>
      <c r="ADM16">
        <v>843</v>
      </c>
      <c r="ADN16" s="16">
        <v>44406</v>
      </c>
      <c r="ADO16">
        <v>106711</v>
      </c>
      <c r="ADP16">
        <v>767</v>
      </c>
      <c r="ADQ16" s="16">
        <v>44407</v>
      </c>
      <c r="ADR16">
        <v>107406</v>
      </c>
      <c r="ADS16">
        <v>693</v>
      </c>
      <c r="ADT16" s="16">
        <v>44408</v>
      </c>
      <c r="ADU16">
        <v>107817</v>
      </c>
      <c r="ADV16">
        <v>406</v>
      </c>
      <c r="ADW16" s="16">
        <v>44411</v>
      </c>
      <c r="ADX16">
        <v>110028</v>
      </c>
      <c r="ADY16">
        <v>840</v>
      </c>
      <c r="ADZ16" s="16">
        <v>44412</v>
      </c>
      <c r="AEA16">
        <v>110814</v>
      </c>
      <c r="AEB16">
        <v>784</v>
      </c>
      <c r="AEC16" s="16">
        <v>44413</v>
      </c>
      <c r="AED16">
        <v>111680</v>
      </c>
      <c r="AEE16">
        <v>866</v>
      </c>
      <c r="AEF16" s="16">
        <v>44414</v>
      </c>
      <c r="AEG16">
        <v>112361</v>
      </c>
      <c r="AEH16">
        <v>683</v>
      </c>
      <c r="AEI16" s="16">
        <v>44415</v>
      </c>
      <c r="AEJ16">
        <v>112843</v>
      </c>
      <c r="AEK16">
        <v>479</v>
      </c>
      <c r="AEL16" s="16">
        <v>44418</v>
      </c>
      <c r="AEM16">
        <v>115241</v>
      </c>
      <c r="AEN16">
        <v>829</v>
      </c>
      <c r="AEO16" s="16">
        <v>44419</v>
      </c>
      <c r="AEP16">
        <v>116180</v>
      </c>
      <c r="AEQ16">
        <v>925</v>
      </c>
      <c r="AER16" s="16">
        <v>44420</v>
      </c>
      <c r="AES16">
        <v>116969</v>
      </c>
      <c r="AET16">
        <v>789</v>
      </c>
      <c r="AEU16" s="16">
        <v>44421</v>
      </c>
      <c r="AEV16">
        <v>117705</v>
      </c>
      <c r="AEW16">
        <v>737</v>
      </c>
      <c r="AEX16" s="16">
        <v>44423</v>
      </c>
      <c r="AEY16">
        <v>118572</v>
      </c>
      <c r="AEZ16">
        <v>442</v>
      </c>
      <c r="AFA16" s="16">
        <v>44424</v>
      </c>
      <c r="AFB16">
        <v>119346</v>
      </c>
      <c r="AFC16">
        <v>768</v>
      </c>
      <c r="AFD16">
        <v>44429</v>
      </c>
      <c r="AFE16">
        <v>122504</v>
      </c>
      <c r="AFF16">
        <v>393</v>
      </c>
      <c r="AFG16">
        <v>44430</v>
      </c>
      <c r="AFH16">
        <v>122968</v>
      </c>
      <c r="AFI16">
        <v>455</v>
      </c>
      <c r="AFJ16">
        <v>44432</v>
      </c>
      <c r="AFK16">
        <v>124258</v>
      </c>
      <c r="AFL16">
        <v>604</v>
      </c>
      <c r="AFM16">
        <v>44435</v>
      </c>
      <c r="AFN16">
        <v>126267</v>
      </c>
      <c r="AFO16">
        <v>704</v>
      </c>
      <c r="AFP16">
        <v>44436</v>
      </c>
      <c r="AFQ16">
        <v>126701</v>
      </c>
      <c r="AFR16">
        <v>433</v>
      </c>
      <c r="AFS16">
        <v>44438</v>
      </c>
      <c r="AFT16">
        <v>127898</v>
      </c>
      <c r="AFU16">
        <v>737</v>
      </c>
      <c r="AFV16">
        <v>44439</v>
      </c>
      <c r="AFW16">
        <v>128552</v>
      </c>
      <c r="AFX16">
        <v>649</v>
      </c>
      <c r="AFY16">
        <v>44441</v>
      </c>
      <c r="AFZ16">
        <v>129849</v>
      </c>
      <c r="AGA16">
        <v>649</v>
      </c>
      <c r="AGB16">
        <v>44442</v>
      </c>
      <c r="AGC16">
        <v>130368</v>
      </c>
      <c r="AGD16">
        <v>518</v>
      </c>
      <c r="AGE16">
        <v>44445</v>
      </c>
      <c r="AGF16">
        <v>131635</v>
      </c>
      <c r="AGG16">
        <v>580</v>
      </c>
      <c r="AGH16">
        <v>44446</v>
      </c>
      <c r="AGI16">
        <v>132153</v>
      </c>
      <c r="AGJ16">
        <v>515</v>
      </c>
      <c r="AGK16">
        <v>44448</v>
      </c>
      <c r="AGL16">
        <v>133096</v>
      </c>
      <c r="AGM16">
        <v>460</v>
      </c>
      <c r="AGN16">
        <v>44448</v>
      </c>
      <c r="AGO16">
        <v>133097</v>
      </c>
      <c r="AGP16">
        <v>460</v>
      </c>
      <c r="AGQ16">
        <v>44449</v>
      </c>
      <c r="AGR16">
        <v>133594</v>
      </c>
      <c r="AGS16">
        <v>496</v>
      </c>
      <c r="AGT16">
        <v>44450</v>
      </c>
      <c r="AGU16">
        <v>133919</v>
      </c>
      <c r="AGV16">
        <v>326</v>
      </c>
      <c r="AGW16">
        <v>44452</v>
      </c>
      <c r="AGX16">
        <v>134728</v>
      </c>
      <c r="AGY16">
        <v>532</v>
      </c>
      <c r="AGZ16">
        <v>44454</v>
      </c>
      <c r="AHA16">
        <v>135665</v>
      </c>
      <c r="AHB16">
        <v>456</v>
      </c>
      <c r="AHC16">
        <v>44455</v>
      </c>
      <c r="AHD16">
        <v>136097</v>
      </c>
      <c r="AHE16">
        <v>430</v>
      </c>
      <c r="AHF16">
        <v>44456</v>
      </c>
      <c r="AHG16">
        <v>136483</v>
      </c>
      <c r="AHH16">
        <v>386</v>
      </c>
      <c r="AHI16">
        <v>44457</v>
      </c>
      <c r="AHJ16">
        <v>136721</v>
      </c>
      <c r="AHK16">
        <v>238</v>
      </c>
      <c r="AHL16">
        <v>44461</v>
      </c>
      <c r="AHM16">
        <v>138462</v>
      </c>
      <c r="AHN16">
        <v>484</v>
      </c>
      <c r="AHO16">
        <v>44462</v>
      </c>
      <c r="AHP16">
        <v>138939</v>
      </c>
      <c r="AHQ16">
        <v>476</v>
      </c>
      <c r="AHR16">
        <v>44463</v>
      </c>
      <c r="AHS16">
        <v>139366</v>
      </c>
      <c r="AHT16">
        <v>426</v>
      </c>
      <c r="AHU16">
        <v>44464</v>
      </c>
      <c r="AHV16">
        <v>139660</v>
      </c>
      <c r="AHW16">
        <v>295</v>
      </c>
      <c r="AHX16">
        <v>44465</v>
      </c>
      <c r="AHY16">
        <v>140016</v>
      </c>
      <c r="AHZ16">
        <v>354</v>
      </c>
      <c r="AIA16">
        <v>44469</v>
      </c>
      <c r="AIB16">
        <v>142629</v>
      </c>
      <c r="AIC16">
        <v>616</v>
      </c>
      <c r="AID16">
        <v>44473</v>
      </c>
      <c r="AIE16">
        <v>144653</v>
      </c>
      <c r="AIF16">
        <v>743</v>
      </c>
      <c r="AIG16">
        <v>44477</v>
      </c>
      <c r="AIH16">
        <v>147023</v>
      </c>
      <c r="AII16">
        <v>591</v>
      </c>
      <c r="AIJ16">
        <v>44478</v>
      </c>
      <c r="AIK16">
        <v>147470</v>
      </c>
      <c r="AIL16">
        <v>424</v>
      </c>
      <c r="AIM16">
        <v>44479</v>
      </c>
      <c r="AIN16">
        <v>147865</v>
      </c>
      <c r="AIO16">
        <v>395</v>
      </c>
      <c r="AIP16">
        <v>44482</v>
      </c>
      <c r="AIQ16">
        <v>149807</v>
      </c>
      <c r="AIR16">
        <v>638</v>
      </c>
      <c r="AIS16">
        <v>44483</v>
      </c>
      <c r="AIT16">
        <v>150367</v>
      </c>
      <c r="AIU16">
        <v>557</v>
      </c>
      <c r="AIV16">
        <v>44484</v>
      </c>
      <c r="AIW16">
        <v>150935</v>
      </c>
      <c r="AIX16">
        <v>563</v>
      </c>
      <c r="AIY16">
        <v>44485</v>
      </c>
      <c r="AIZ16">
        <v>151549</v>
      </c>
      <c r="AJA16">
        <v>343</v>
      </c>
      <c r="AJB16">
        <v>44486</v>
      </c>
      <c r="AJC16">
        <v>151870</v>
      </c>
      <c r="AJD16">
        <v>319</v>
      </c>
      <c r="AJE16">
        <v>44489</v>
      </c>
      <c r="AJF16">
        <v>153593</v>
      </c>
      <c r="AJG16">
        <v>514</v>
      </c>
      <c r="AJH16">
        <v>44490</v>
      </c>
      <c r="AJI16">
        <v>154256</v>
      </c>
      <c r="AJJ16">
        <v>623</v>
      </c>
      <c r="AJK16">
        <v>44491</v>
      </c>
      <c r="AJL16">
        <v>154835</v>
      </c>
      <c r="AJM16">
        <v>578</v>
      </c>
      <c r="AJN16">
        <v>44492</v>
      </c>
      <c r="AJO16">
        <v>155213</v>
      </c>
      <c r="AJP16">
        <v>375</v>
      </c>
      <c r="AJQ16">
        <v>44496</v>
      </c>
      <c r="AJR16">
        <v>157711</v>
      </c>
      <c r="AJS16">
        <v>641</v>
      </c>
      <c r="AJT16">
        <v>44497</v>
      </c>
      <c r="AJU16">
        <v>158290</v>
      </c>
      <c r="AJV16">
        <v>575</v>
      </c>
      <c r="AJW16">
        <v>44498</v>
      </c>
      <c r="AJX16">
        <v>158940</v>
      </c>
      <c r="AJY16">
        <v>651</v>
      </c>
      <c r="AJZ16">
        <v>44499</v>
      </c>
      <c r="AKA16">
        <v>159343</v>
      </c>
      <c r="AKB16">
        <v>400</v>
      </c>
      <c r="AKC16">
        <v>44500</v>
      </c>
      <c r="AKD16">
        <v>159784</v>
      </c>
      <c r="AKE16">
        <v>439</v>
      </c>
      <c r="AKF16">
        <v>44503</v>
      </c>
      <c r="AKG16">
        <v>162289</v>
      </c>
      <c r="AKH16">
        <v>770</v>
      </c>
      <c r="AKI16">
        <v>44506</v>
      </c>
      <c r="AKJ16">
        <v>164449</v>
      </c>
      <c r="AKK16">
        <v>513</v>
      </c>
      <c r="AKL16">
        <v>44508</v>
      </c>
      <c r="AKM16">
        <v>166077</v>
      </c>
      <c r="AKN16">
        <v>1117</v>
      </c>
      <c r="AKO16">
        <v>44510</v>
      </c>
      <c r="AKP16">
        <v>167884</v>
      </c>
      <c r="AKQ16">
        <v>969</v>
      </c>
      <c r="AKR16">
        <v>44511</v>
      </c>
      <c r="AKS16">
        <v>168829</v>
      </c>
      <c r="AKT16">
        <v>933</v>
      </c>
      <c r="AKU16">
        <v>44513</v>
      </c>
      <c r="AKV16">
        <v>170390</v>
      </c>
      <c r="AKW16">
        <v>615</v>
      </c>
      <c r="AKX16">
        <v>44514</v>
      </c>
      <c r="AKY16">
        <v>170963</v>
      </c>
      <c r="AKZ16">
        <v>571</v>
      </c>
      <c r="ALA16">
        <v>44517</v>
      </c>
      <c r="ALB16">
        <v>174573</v>
      </c>
      <c r="ALC16">
        <v>1168</v>
      </c>
      <c r="ALD16">
        <v>44518</v>
      </c>
      <c r="ALE16">
        <v>175786</v>
      </c>
      <c r="ALF16">
        <v>1210</v>
      </c>
      <c r="ALG16">
        <v>44519</v>
      </c>
      <c r="ALH16">
        <v>177058</v>
      </c>
      <c r="ALI16">
        <v>1269</v>
      </c>
      <c r="ALJ16">
        <v>44520</v>
      </c>
      <c r="ALK16">
        <v>177760</v>
      </c>
      <c r="ALL16">
        <v>706</v>
      </c>
      <c r="ALM16">
        <v>44528</v>
      </c>
      <c r="ALN16">
        <v>186688</v>
      </c>
      <c r="ALO16">
        <v>786</v>
      </c>
    </row>
    <row r="17" spans="2:1003">
      <c r="B17" t="str">
        <f t="shared" ca="1" si="2"/>
        <v>30.11</v>
      </c>
      <c r="C17" s="4">
        <f t="shared" ca="1" si="0"/>
        <v>44530</v>
      </c>
      <c r="D17" s="11">
        <f t="shared" ca="1" si="1"/>
        <v>189801</v>
      </c>
      <c r="E17">
        <f t="shared" ca="1" si="3"/>
        <v>1423</v>
      </c>
      <c r="F17" s="11">
        <f t="shared" ca="1" si="4"/>
        <v>2</v>
      </c>
      <c r="G17" s="11">
        <f t="shared" ca="1" si="5"/>
        <v>1421</v>
      </c>
      <c r="N17" s="16">
        <v>44529</v>
      </c>
      <c r="O17">
        <v>188372</v>
      </c>
      <c r="P17">
        <v>1684</v>
      </c>
      <c r="Q17" s="16">
        <v>44529</v>
      </c>
      <c r="R17">
        <v>188372</v>
      </c>
      <c r="S17">
        <v>1684</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s="16">
        <v>44278</v>
      </c>
      <c r="RU17">
        <v>74000</v>
      </c>
      <c r="RV17">
        <v>697</v>
      </c>
      <c r="RW17" s="16">
        <v>44279</v>
      </c>
      <c r="RX17">
        <v>74698</v>
      </c>
      <c r="RY17">
        <v>693</v>
      </c>
      <c r="RZ17" s="16">
        <v>44280</v>
      </c>
      <c r="SA17">
        <v>75305</v>
      </c>
      <c r="SB17">
        <v>606</v>
      </c>
      <c r="SC17" s="16">
        <v>44281</v>
      </c>
      <c r="SD17">
        <v>75990</v>
      </c>
      <c r="SE17">
        <v>685</v>
      </c>
      <c r="SF17" s="16">
        <v>44282</v>
      </c>
      <c r="SG17">
        <v>76343</v>
      </c>
      <c r="SH17">
        <v>350</v>
      </c>
      <c r="SI17" s="16">
        <v>44283</v>
      </c>
      <c r="SJ17">
        <v>76713</v>
      </c>
      <c r="SK17">
        <v>369</v>
      </c>
      <c r="SL17" s="16">
        <v>44285</v>
      </c>
      <c r="SM17">
        <v>77934</v>
      </c>
      <c r="SN17">
        <v>566</v>
      </c>
      <c r="SO17" s="16">
        <v>44286</v>
      </c>
      <c r="SP17">
        <v>78501</v>
      </c>
      <c r="SQ17">
        <v>549</v>
      </c>
      <c r="SR17" s="16">
        <v>44287</v>
      </c>
      <c r="SS17">
        <v>78992</v>
      </c>
      <c r="ST17">
        <v>488</v>
      </c>
      <c r="SU17" s="16">
        <v>44288</v>
      </c>
      <c r="SV17">
        <v>79353</v>
      </c>
      <c r="SW17">
        <v>361</v>
      </c>
      <c r="SX17" s="16">
        <v>44290</v>
      </c>
      <c r="SY17">
        <v>79991</v>
      </c>
      <c r="SZ17">
        <v>319</v>
      </c>
      <c r="TA17" s="16">
        <v>44291</v>
      </c>
      <c r="TB17">
        <v>80356</v>
      </c>
      <c r="TC17">
        <v>359</v>
      </c>
      <c r="TD17" s="16">
        <v>44293</v>
      </c>
      <c r="TE17">
        <v>81323</v>
      </c>
      <c r="TF17">
        <v>425</v>
      </c>
      <c r="TG17" s="16">
        <v>44294</v>
      </c>
      <c r="TH17">
        <v>81730</v>
      </c>
      <c r="TI17">
        <v>403</v>
      </c>
      <c r="TJ17" s="16">
        <v>44295</v>
      </c>
      <c r="TK17">
        <v>82080</v>
      </c>
      <c r="TL17">
        <v>348</v>
      </c>
      <c r="TM17" s="16">
        <v>44296</v>
      </c>
      <c r="TN17">
        <v>82304</v>
      </c>
      <c r="TO17">
        <v>224</v>
      </c>
      <c r="TP17" s="16">
        <v>44298</v>
      </c>
      <c r="TQ17">
        <v>82944</v>
      </c>
      <c r="TR17">
        <v>397</v>
      </c>
      <c r="TS17" s="16">
        <v>44299</v>
      </c>
      <c r="TT17">
        <v>83272</v>
      </c>
      <c r="TU17">
        <v>325</v>
      </c>
      <c r="TV17" s="16">
        <v>44299</v>
      </c>
      <c r="TW17">
        <v>83278</v>
      </c>
      <c r="TX17">
        <v>325</v>
      </c>
      <c r="TY17" s="16">
        <v>44300</v>
      </c>
      <c r="TZ17">
        <v>83623</v>
      </c>
      <c r="UA17">
        <v>345</v>
      </c>
      <c r="UB17" s="16">
        <v>44302</v>
      </c>
      <c r="UC17">
        <v>84162</v>
      </c>
      <c r="UD17">
        <v>264</v>
      </c>
      <c r="UE17" s="16">
        <v>44302</v>
      </c>
      <c r="UF17">
        <v>84163</v>
      </c>
      <c r="UG17">
        <v>264</v>
      </c>
      <c r="UH17" s="16">
        <v>44303</v>
      </c>
      <c r="UI17">
        <v>84335</v>
      </c>
      <c r="UJ17">
        <v>170</v>
      </c>
      <c r="UK17" s="16">
        <v>44304</v>
      </c>
      <c r="UL17">
        <v>84491</v>
      </c>
      <c r="UM17">
        <v>155</v>
      </c>
      <c r="UN17" s="16">
        <v>44308</v>
      </c>
      <c r="UO17">
        <v>85568</v>
      </c>
      <c r="UP17">
        <v>260</v>
      </c>
      <c r="UQ17" s="16">
        <v>44309</v>
      </c>
      <c r="UR17">
        <v>85828</v>
      </c>
      <c r="US17">
        <v>257</v>
      </c>
      <c r="UT17" s="16">
        <v>44310</v>
      </c>
      <c r="UU17">
        <v>85978</v>
      </c>
      <c r="UV17">
        <v>154</v>
      </c>
      <c r="UW17" s="16">
        <v>44311</v>
      </c>
      <c r="UX17">
        <v>86118</v>
      </c>
      <c r="UY17">
        <v>141</v>
      </c>
      <c r="UZ17" s="16">
        <v>44313</v>
      </c>
      <c r="VA17">
        <v>86591</v>
      </c>
      <c r="VB17">
        <v>228</v>
      </c>
      <c r="VC17" s="16">
        <v>44313</v>
      </c>
      <c r="VD17">
        <v>86586</v>
      </c>
      <c r="VE17">
        <v>228</v>
      </c>
      <c r="VF17" s="16">
        <v>44314</v>
      </c>
      <c r="VG17">
        <v>86861</v>
      </c>
      <c r="VH17">
        <v>273</v>
      </c>
      <c r="VI17" s="16">
        <v>44316</v>
      </c>
      <c r="VJ17">
        <v>87256</v>
      </c>
      <c r="VK17">
        <v>195</v>
      </c>
      <c r="VL17" s="16">
        <v>44316</v>
      </c>
      <c r="VM17">
        <v>87256</v>
      </c>
      <c r="VN17">
        <v>195</v>
      </c>
      <c r="VO17" s="16">
        <v>44317</v>
      </c>
      <c r="VP17">
        <v>87361</v>
      </c>
      <c r="VQ17">
        <v>105</v>
      </c>
      <c r="VR17" s="16">
        <v>44318</v>
      </c>
      <c r="VS17">
        <v>87496</v>
      </c>
      <c r="VT17">
        <v>135</v>
      </c>
      <c r="VU17" s="16">
        <v>44320</v>
      </c>
      <c r="VV17">
        <v>88022</v>
      </c>
      <c r="VW17">
        <v>205</v>
      </c>
      <c r="VX17" s="16">
        <v>44320</v>
      </c>
      <c r="VY17">
        <v>88026</v>
      </c>
      <c r="VZ17">
        <v>205</v>
      </c>
      <c r="WA17" s="16">
        <v>44321</v>
      </c>
      <c r="WB17">
        <v>88295</v>
      </c>
      <c r="WC17">
        <v>266</v>
      </c>
      <c r="WD17" s="16">
        <v>44322</v>
      </c>
      <c r="WE17">
        <v>88529</v>
      </c>
      <c r="WF17">
        <v>234</v>
      </c>
      <c r="WG17" s="16">
        <v>44323</v>
      </c>
      <c r="WH17">
        <v>88743</v>
      </c>
      <c r="WI17">
        <v>214</v>
      </c>
      <c r="WJ17" s="16">
        <v>44325</v>
      </c>
      <c r="WK17">
        <v>89002</v>
      </c>
      <c r="WL17">
        <v>129</v>
      </c>
      <c r="WM17" s="16">
        <v>44325</v>
      </c>
      <c r="WN17">
        <v>89004</v>
      </c>
      <c r="WO17">
        <v>129</v>
      </c>
      <c r="WP17" s="16">
        <v>44328</v>
      </c>
      <c r="WQ17">
        <v>89733</v>
      </c>
      <c r="WR17">
        <v>255</v>
      </c>
      <c r="WS17" s="16">
        <v>44329</v>
      </c>
      <c r="WT17">
        <v>89890</v>
      </c>
      <c r="WU17">
        <v>155</v>
      </c>
      <c r="WV17" s="16">
        <v>44330</v>
      </c>
      <c r="WW17">
        <v>90135</v>
      </c>
      <c r="WX17">
        <v>243</v>
      </c>
      <c r="WY17" s="16">
        <v>44331</v>
      </c>
      <c r="WZ17">
        <v>90298</v>
      </c>
      <c r="XA17">
        <v>160</v>
      </c>
      <c r="XB17" s="16">
        <v>44332</v>
      </c>
      <c r="XC17">
        <v>90432</v>
      </c>
      <c r="XD17">
        <v>133</v>
      </c>
      <c r="XE17" s="16">
        <v>44334</v>
      </c>
      <c r="XF17">
        <v>90933</v>
      </c>
      <c r="XG17">
        <v>216</v>
      </c>
      <c r="XH17" s="16">
        <v>44334</v>
      </c>
      <c r="XI17">
        <v>90940</v>
      </c>
      <c r="XJ17">
        <v>216</v>
      </c>
      <c r="XK17" s="16">
        <v>44335</v>
      </c>
      <c r="XL17">
        <v>91169</v>
      </c>
      <c r="XM17">
        <v>229</v>
      </c>
      <c r="XN17" s="16">
        <v>44336</v>
      </c>
      <c r="XO17">
        <v>91384</v>
      </c>
      <c r="XP17">
        <v>215</v>
      </c>
      <c r="XQ17" s="16">
        <v>44337</v>
      </c>
      <c r="XR17">
        <v>91554</v>
      </c>
      <c r="XS17">
        <v>170</v>
      </c>
      <c r="XT17" s="16">
        <v>44338</v>
      </c>
      <c r="XU17">
        <v>91665</v>
      </c>
      <c r="XV17">
        <v>107</v>
      </c>
      <c r="XW17" s="16">
        <v>44339</v>
      </c>
      <c r="XX17">
        <v>91760</v>
      </c>
      <c r="XY17">
        <v>92</v>
      </c>
      <c r="XZ17" s="16">
        <v>44340</v>
      </c>
      <c r="YA17">
        <v>91949</v>
      </c>
      <c r="YB17">
        <v>188</v>
      </c>
      <c r="YC17" s="16">
        <v>44342</v>
      </c>
      <c r="YD17">
        <v>92245</v>
      </c>
      <c r="YE17">
        <v>142</v>
      </c>
      <c r="YF17" s="16">
        <v>44343</v>
      </c>
      <c r="YG17">
        <v>92374</v>
      </c>
      <c r="YH17">
        <v>127</v>
      </c>
      <c r="YI17" s="16">
        <v>44344</v>
      </c>
      <c r="YJ17">
        <v>92512</v>
      </c>
      <c r="YK17">
        <v>136</v>
      </c>
      <c r="YL17" s="16">
        <v>44345</v>
      </c>
      <c r="YM17">
        <v>92576</v>
      </c>
      <c r="YN17">
        <v>64</v>
      </c>
      <c r="YO17" s="16">
        <v>44346</v>
      </c>
      <c r="YP17">
        <v>92659</v>
      </c>
      <c r="YQ17">
        <v>79</v>
      </c>
      <c r="YR17" s="16">
        <v>44347</v>
      </c>
      <c r="YS17">
        <v>92804</v>
      </c>
      <c r="YT17">
        <v>145</v>
      </c>
      <c r="YU17" s="16">
        <v>44349</v>
      </c>
      <c r="YV17">
        <v>93051</v>
      </c>
      <c r="YW17">
        <v>118</v>
      </c>
      <c r="YX17" s="16">
        <v>44350</v>
      </c>
      <c r="YY17">
        <v>93162</v>
      </c>
      <c r="YZ17">
        <v>111</v>
      </c>
      <c r="ZA17" s="16">
        <v>44351</v>
      </c>
      <c r="ZB17">
        <v>93265</v>
      </c>
      <c r="ZC17">
        <v>101</v>
      </c>
      <c r="ZD17" s="16">
        <v>44362</v>
      </c>
      <c r="ZE17">
        <v>94117</v>
      </c>
      <c r="ZF17">
        <v>77</v>
      </c>
      <c r="ZG17" s="16">
        <v>44363</v>
      </c>
      <c r="ZH17">
        <v>94191</v>
      </c>
      <c r="ZI17">
        <v>64</v>
      </c>
      <c r="ZJ17" s="16">
        <v>44364</v>
      </c>
      <c r="ZK17">
        <v>94282</v>
      </c>
      <c r="ZL17">
        <v>91</v>
      </c>
      <c r="ZM17" s="16">
        <v>44365</v>
      </c>
      <c r="ZN17">
        <v>94362</v>
      </c>
      <c r="ZO17">
        <v>78</v>
      </c>
      <c r="ZP17" s="16">
        <v>44366</v>
      </c>
      <c r="ZQ17">
        <v>94411</v>
      </c>
      <c r="ZR17">
        <v>57</v>
      </c>
      <c r="ZS17" s="16">
        <v>44370</v>
      </c>
      <c r="ZT17">
        <v>94844</v>
      </c>
      <c r="ZU17">
        <v>138</v>
      </c>
      <c r="ZV17" s="16">
        <v>44371</v>
      </c>
      <c r="ZW17">
        <v>95016</v>
      </c>
      <c r="ZX17">
        <v>158</v>
      </c>
      <c r="ZY17" s="16">
        <v>44372</v>
      </c>
      <c r="ZZ17">
        <v>95213</v>
      </c>
      <c r="AAA17">
        <v>197</v>
      </c>
      <c r="AAB17" s="16">
        <v>44373</v>
      </c>
      <c r="AAC17">
        <v>95345</v>
      </c>
      <c r="AAD17">
        <v>129</v>
      </c>
      <c r="AAE17" s="16">
        <v>44374</v>
      </c>
      <c r="AAF17">
        <v>95466</v>
      </c>
      <c r="AAG17">
        <v>118</v>
      </c>
      <c r="AAH17" s="16">
        <v>44377</v>
      </c>
      <c r="AAI17">
        <v>96154</v>
      </c>
      <c r="AAJ17">
        <v>194</v>
      </c>
      <c r="AAK17" s="16">
        <v>44378</v>
      </c>
      <c r="AAL17">
        <v>96369</v>
      </c>
      <c r="AAM17">
        <v>209</v>
      </c>
      <c r="AAN17" s="16">
        <v>44380</v>
      </c>
      <c r="AAO17">
        <v>96664</v>
      </c>
      <c r="AAP17">
        <v>129</v>
      </c>
      <c r="AAQ17" s="16">
        <v>44380</v>
      </c>
      <c r="AAR17">
        <v>96674</v>
      </c>
      <c r="AAS17">
        <v>129</v>
      </c>
      <c r="AAT17" s="16">
        <v>44381</v>
      </c>
      <c r="AAU17">
        <v>96782</v>
      </c>
      <c r="AAV17">
        <v>108</v>
      </c>
      <c r="AAW17" s="16">
        <v>44383</v>
      </c>
      <c r="AAX17">
        <v>97281</v>
      </c>
      <c r="AAY17">
        <v>255</v>
      </c>
      <c r="AAZ17" s="16">
        <v>44383</v>
      </c>
      <c r="ABA17">
        <v>97283</v>
      </c>
      <c r="ABB17">
        <v>255</v>
      </c>
      <c r="ABC17" s="16">
        <v>44384</v>
      </c>
      <c r="ABD17">
        <v>97577</v>
      </c>
      <c r="ABE17">
        <v>291</v>
      </c>
      <c r="ABF17" s="16">
        <v>44386</v>
      </c>
      <c r="ABG17">
        <v>98166</v>
      </c>
      <c r="ABH17">
        <v>310</v>
      </c>
      <c r="ABI17" s="16">
        <v>44386</v>
      </c>
      <c r="ABJ17">
        <v>98167</v>
      </c>
      <c r="ABK17">
        <v>310</v>
      </c>
      <c r="ABL17" s="16">
        <v>44387</v>
      </c>
      <c r="ABM17">
        <v>98317</v>
      </c>
      <c r="ABN17">
        <v>151</v>
      </c>
      <c r="ABO17" s="16">
        <v>44388</v>
      </c>
      <c r="ABP17">
        <v>98474</v>
      </c>
      <c r="ABQ17">
        <v>157</v>
      </c>
      <c r="ABR17" s="16">
        <v>44389</v>
      </c>
      <c r="ABS17">
        <v>98804</v>
      </c>
      <c r="ABT17">
        <v>329</v>
      </c>
      <c r="ABU17" s="16">
        <v>44390</v>
      </c>
      <c r="ABV17">
        <v>99151</v>
      </c>
      <c r="ABW17">
        <v>341</v>
      </c>
      <c r="ABX17" s="16">
        <v>44391</v>
      </c>
      <c r="ABY17">
        <v>99538</v>
      </c>
      <c r="ABZ17">
        <v>385</v>
      </c>
      <c r="ACA17" s="16">
        <v>44392</v>
      </c>
      <c r="ACB17">
        <v>99923</v>
      </c>
      <c r="ACC17">
        <v>381</v>
      </c>
      <c r="ACD17" s="16">
        <v>44393</v>
      </c>
      <c r="ACE17">
        <v>100278</v>
      </c>
      <c r="ACF17">
        <v>355</v>
      </c>
      <c r="ACG17" s="16">
        <v>44394</v>
      </c>
      <c r="ACH17">
        <v>100482</v>
      </c>
      <c r="ACI17">
        <v>203</v>
      </c>
      <c r="ACJ17" s="16">
        <v>44395</v>
      </c>
      <c r="ACK17">
        <v>100723</v>
      </c>
      <c r="ACL17">
        <v>247</v>
      </c>
      <c r="ACM17" s="16">
        <v>44398</v>
      </c>
      <c r="ACN17">
        <v>102033</v>
      </c>
      <c r="ACO17">
        <v>467</v>
      </c>
      <c r="ACP17" s="16">
        <v>44399</v>
      </c>
      <c r="ACQ17">
        <v>102521</v>
      </c>
      <c r="ACR17">
        <v>487</v>
      </c>
      <c r="ACS17" s="16">
        <v>44400</v>
      </c>
      <c r="ACT17">
        <v>103000</v>
      </c>
      <c r="ACU17">
        <v>479</v>
      </c>
      <c r="ACV17" s="16">
        <v>44401</v>
      </c>
      <c r="ACW17">
        <v>103297</v>
      </c>
      <c r="ACX17">
        <v>298</v>
      </c>
      <c r="ACY17" s="16">
        <v>44402</v>
      </c>
      <c r="ACZ17">
        <v>103652</v>
      </c>
      <c r="ADA17">
        <v>351</v>
      </c>
      <c r="ADB17" s="16">
        <v>44403</v>
      </c>
      <c r="ADC17">
        <v>104421</v>
      </c>
      <c r="ADD17">
        <v>766</v>
      </c>
      <c r="ADE17" s="16">
        <v>44404</v>
      </c>
      <c r="ADF17">
        <v>105097</v>
      </c>
      <c r="ADG17">
        <v>676</v>
      </c>
      <c r="ADH17" s="16">
        <v>44405</v>
      </c>
      <c r="ADI17">
        <v>105944</v>
      </c>
      <c r="ADJ17">
        <v>843</v>
      </c>
      <c r="ADK17" s="16">
        <v>44406</v>
      </c>
      <c r="ADL17">
        <v>106711</v>
      </c>
      <c r="ADM17">
        <v>767</v>
      </c>
      <c r="ADN17" s="16">
        <v>44407</v>
      </c>
      <c r="ADO17">
        <v>107402</v>
      </c>
      <c r="ADP17">
        <v>691</v>
      </c>
      <c r="ADQ17" s="16">
        <v>44408</v>
      </c>
      <c r="ADR17">
        <v>107809</v>
      </c>
      <c r="ADS17">
        <v>403</v>
      </c>
      <c r="ADT17" s="16">
        <v>44409</v>
      </c>
      <c r="ADU17">
        <v>108292</v>
      </c>
      <c r="ADV17">
        <v>475</v>
      </c>
      <c r="ADW17" s="16">
        <v>44412</v>
      </c>
      <c r="ADX17">
        <v>110811</v>
      </c>
      <c r="ADY17">
        <v>783</v>
      </c>
      <c r="ADZ17" s="16">
        <v>44413</v>
      </c>
      <c r="AEA17">
        <v>111680</v>
      </c>
      <c r="AEB17">
        <v>866</v>
      </c>
      <c r="AEC17" s="16">
        <v>44414</v>
      </c>
      <c r="AED17">
        <v>112363</v>
      </c>
      <c r="AEE17">
        <v>683</v>
      </c>
      <c r="AEF17" s="16">
        <v>44415</v>
      </c>
      <c r="AEG17">
        <v>112840</v>
      </c>
      <c r="AEH17">
        <v>479</v>
      </c>
      <c r="AEI17" s="16">
        <v>44416</v>
      </c>
      <c r="AEJ17">
        <v>113376</v>
      </c>
      <c r="AEK17">
        <v>533</v>
      </c>
      <c r="AEL17" s="16">
        <v>44419</v>
      </c>
      <c r="AEM17">
        <v>116166</v>
      </c>
      <c r="AEN17">
        <v>925</v>
      </c>
      <c r="AEO17" s="16">
        <v>44420</v>
      </c>
      <c r="AEP17">
        <v>116969</v>
      </c>
      <c r="AEQ17">
        <v>789</v>
      </c>
      <c r="AER17" s="16">
        <v>44421</v>
      </c>
      <c r="AES17">
        <v>117706</v>
      </c>
      <c r="AET17">
        <v>737</v>
      </c>
      <c r="AEU17" s="16">
        <v>44422</v>
      </c>
      <c r="AEV17">
        <v>118131</v>
      </c>
      <c r="AEW17">
        <v>426</v>
      </c>
      <c r="AEX17" s="16">
        <v>44424</v>
      </c>
      <c r="AEY17">
        <v>119340</v>
      </c>
      <c r="AEZ17">
        <v>768</v>
      </c>
      <c r="AFA17" s="16">
        <v>44425</v>
      </c>
      <c r="AFB17">
        <v>120086</v>
      </c>
      <c r="AFC17">
        <v>740</v>
      </c>
      <c r="AFD17">
        <v>44430</v>
      </c>
      <c r="AFE17">
        <v>122956</v>
      </c>
      <c r="AFF17">
        <v>452</v>
      </c>
      <c r="AFG17">
        <v>44431</v>
      </c>
      <c r="AFH17">
        <v>123648</v>
      </c>
      <c r="AFI17">
        <v>680</v>
      </c>
      <c r="AFJ17">
        <v>44433</v>
      </c>
      <c r="AFK17">
        <v>124954</v>
      </c>
      <c r="AFL17">
        <v>696</v>
      </c>
      <c r="AFM17">
        <v>44436</v>
      </c>
      <c r="AFN17">
        <v>126701</v>
      </c>
      <c r="AFO17">
        <v>434</v>
      </c>
      <c r="AFP17">
        <v>44437</v>
      </c>
      <c r="AFQ17">
        <v>127160</v>
      </c>
      <c r="AFR17">
        <v>459</v>
      </c>
      <c r="AFS17">
        <v>44439</v>
      </c>
      <c r="AFT17">
        <v>128547</v>
      </c>
      <c r="AFU17">
        <v>649</v>
      </c>
      <c r="AFV17">
        <v>44440</v>
      </c>
      <c r="AFW17">
        <v>129200</v>
      </c>
      <c r="AFX17">
        <v>648</v>
      </c>
      <c r="AFY17">
        <v>44442</v>
      </c>
      <c r="AFZ17">
        <v>130366</v>
      </c>
      <c r="AGA17">
        <v>517</v>
      </c>
      <c r="AGB17">
        <v>44443</v>
      </c>
      <c r="AGC17">
        <v>130703</v>
      </c>
      <c r="AGD17">
        <v>335</v>
      </c>
      <c r="AGE17">
        <v>44446</v>
      </c>
      <c r="AGF17">
        <v>132147</v>
      </c>
      <c r="AGG17">
        <v>512</v>
      </c>
      <c r="AGH17">
        <v>44447</v>
      </c>
      <c r="AGI17">
        <v>132635</v>
      </c>
      <c r="AGJ17">
        <v>482</v>
      </c>
      <c r="AGK17">
        <v>44449</v>
      </c>
      <c r="AGL17">
        <v>133592</v>
      </c>
      <c r="AGM17">
        <v>496</v>
      </c>
      <c r="AGN17">
        <v>44449</v>
      </c>
      <c r="AGO17">
        <v>133593</v>
      </c>
      <c r="AGP17">
        <v>496</v>
      </c>
      <c r="AGQ17">
        <v>44450</v>
      </c>
      <c r="AGR17">
        <v>133921</v>
      </c>
      <c r="AGS17">
        <v>327</v>
      </c>
      <c r="AGT17">
        <v>44451</v>
      </c>
      <c r="AGU17">
        <v>134199</v>
      </c>
      <c r="AGV17">
        <v>280</v>
      </c>
      <c r="AGW17">
        <v>44453</v>
      </c>
      <c r="AGX17">
        <v>135202</v>
      </c>
      <c r="AGY17">
        <v>474</v>
      </c>
      <c r="AGZ17">
        <v>44455</v>
      </c>
      <c r="AHA17">
        <v>136095</v>
      </c>
      <c r="AHB17">
        <v>430</v>
      </c>
      <c r="AHC17">
        <v>44456</v>
      </c>
      <c r="AHD17">
        <v>136483</v>
      </c>
      <c r="AHE17">
        <v>386</v>
      </c>
      <c r="AHF17">
        <v>44457</v>
      </c>
      <c r="AHG17">
        <v>136720</v>
      </c>
      <c r="AHH17">
        <v>237</v>
      </c>
      <c r="AHI17">
        <v>44458</v>
      </c>
      <c r="AHJ17">
        <v>137003</v>
      </c>
      <c r="AHK17">
        <v>282</v>
      </c>
      <c r="AHL17">
        <v>44462</v>
      </c>
      <c r="AHM17">
        <v>138937</v>
      </c>
      <c r="AHN17">
        <v>475</v>
      </c>
      <c r="AHO17">
        <v>44463</v>
      </c>
      <c r="AHP17">
        <v>139365</v>
      </c>
      <c r="AHQ17">
        <v>426</v>
      </c>
      <c r="AHR17">
        <v>44464</v>
      </c>
      <c r="AHS17">
        <v>139661</v>
      </c>
      <c r="AHT17">
        <v>295</v>
      </c>
      <c r="AHU17">
        <v>44465</v>
      </c>
      <c r="AHV17">
        <v>140014</v>
      </c>
      <c r="AHW17">
        <v>354</v>
      </c>
      <c r="AHX17">
        <v>44466</v>
      </c>
      <c r="AHY17">
        <v>140698</v>
      </c>
      <c r="AHZ17">
        <v>682</v>
      </c>
      <c r="AIA17">
        <v>44470</v>
      </c>
      <c r="AIB17">
        <v>143160</v>
      </c>
      <c r="AIC17">
        <v>531</v>
      </c>
      <c r="AID17">
        <v>44474</v>
      </c>
      <c r="AIE17">
        <v>145331</v>
      </c>
      <c r="AIF17">
        <v>678</v>
      </c>
      <c r="AIG17">
        <v>44478</v>
      </c>
      <c r="AIH17">
        <v>147447</v>
      </c>
      <c r="AII17">
        <v>424</v>
      </c>
      <c r="AIJ17">
        <v>44479</v>
      </c>
      <c r="AIK17">
        <v>147867</v>
      </c>
      <c r="AIL17">
        <v>397</v>
      </c>
      <c r="AIM17">
        <v>44480</v>
      </c>
      <c r="AIN17">
        <v>148558</v>
      </c>
      <c r="AIO17">
        <v>693</v>
      </c>
      <c r="AIP17">
        <v>44483</v>
      </c>
      <c r="AIQ17">
        <v>150364</v>
      </c>
      <c r="AIR17">
        <v>557</v>
      </c>
      <c r="AIS17">
        <v>44484</v>
      </c>
      <c r="AIT17">
        <v>150930</v>
      </c>
      <c r="AIU17">
        <v>563</v>
      </c>
      <c r="AIV17">
        <v>44485</v>
      </c>
      <c r="AIW17">
        <v>151278</v>
      </c>
      <c r="AIX17">
        <v>343</v>
      </c>
      <c r="AIY17">
        <v>44486</v>
      </c>
      <c r="AIZ17">
        <v>151868</v>
      </c>
      <c r="AJA17">
        <v>319</v>
      </c>
      <c r="AJB17">
        <v>44487</v>
      </c>
      <c r="AJC17">
        <v>152529</v>
      </c>
      <c r="AJD17">
        <v>659</v>
      </c>
      <c r="AJE17">
        <v>44490</v>
      </c>
      <c r="AJF17">
        <v>154216</v>
      </c>
      <c r="AJG17">
        <v>623</v>
      </c>
      <c r="AJH17">
        <v>44491</v>
      </c>
      <c r="AJI17">
        <v>154832</v>
      </c>
      <c r="AJJ17">
        <v>576</v>
      </c>
      <c r="AJK17">
        <v>44492</v>
      </c>
      <c r="AJL17">
        <v>155210</v>
      </c>
      <c r="AJM17">
        <v>375</v>
      </c>
      <c r="AJN17">
        <v>44493</v>
      </c>
      <c r="AJO17">
        <v>155601</v>
      </c>
      <c r="AJP17">
        <v>388</v>
      </c>
      <c r="AJQ17">
        <v>44497</v>
      </c>
      <c r="AJR17">
        <v>158285</v>
      </c>
      <c r="AJS17">
        <v>574</v>
      </c>
      <c r="AJT17">
        <v>44498</v>
      </c>
      <c r="AJU17">
        <v>158941</v>
      </c>
      <c r="AJV17">
        <v>651</v>
      </c>
      <c r="AJW17">
        <v>44499</v>
      </c>
      <c r="AJX17">
        <v>159340</v>
      </c>
      <c r="AJY17">
        <v>400</v>
      </c>
      <c r="AJZ17">
        <v>44500</v>
      </c>
      <c r="AKA17">
        <v>159782</v>
      </c>
      <c r="AKB17">
        <v>439</v>
      </c>
      <c r="AKC17">
        <v>44501</v>
      </c>
      <c r="AKD17">
        <v>160757</v>
      </c>
      <c r="AKE17">
        <v>973</v>
      </c>
      <c r="AKF17">
        <v>44504</v>
      </c>
      <c r="AKG17">
        <v>163092</v>
      </c>
      <c r="AKH17">
        <v>803</v>
      </c>
      <c r="AKI17">
        <v>44507</v>
      </c>
      <c r="AKJ17">
        <v>164957</v>
      </c>
      <c r="AKK17">
        <v>508</v>
      </c>
      <c r="AKL17">
        <v>44509</v>
      </c>
      <c r="AKM17">
        <v>166908</v>
      </c>
      <c r="AKN17">
        <v>831</v>
      </c>
      <c r="AKO17">
        <v>44511</v>
      </c>
      <c r="AKP17">
        <v>168817</v>
      </c>
      <c r="AKQ17">
        <v>933</v>
      </c>
      <c r="AKR17">
        <v>44512</v>
      </c>
      <c r="AKS17">
        <v>169774</v>
      </c>
      <c r="AKT17">
        <v>945</v>
      </c>
      <c r="AKU17">
        <v>44514</v>
      </c>
      <c r="AKV17">
        <v>170961</v>
      </c>
      <c r="AKW17">
        <v>571</v>
      </c>
      <c r="AKX17">
        <v>44515</v>
      </c>
      <c r="AKY17">
        <v>172217</v>
      </c>
      <c r="AKZ17">
        <v>1254</v>
      </c>
      <c r="ALA17">
        <v>44518</v>
      </c>
      <c r="ALB17">
        <v>175783</v>
      </c>
      <c r="ALC17">
        <v>1210</v>
      </c>
      <c r="ALD17">
        <v>44519</v>
      </c>
      <c r="ALE17">
        <v>177055</v>
      </c>
      <c r="ALF17">
        <v>1269</v>
      </c>
      <c r="ALG17">
        <v>44520</v>
      </c>
      <c r="ALH17">
        <v>177764</v>
      </c>
      <c r="ALI17">
        <v>706</v>
      </c>
      <c r="ALJ17">
        <v>44521</v>
      </c>
      <c r="ALK17">
        <v>178434</v>
      </c>
      <c r="ALL17">
        <v>674</v>
      </c>
      <c r="ALM17">
        <v>44529</v>
      </c>
      <c r="ALN17">
        <v>188372</v>
      </c>
      <c r="ALO17">
        <v>1684</v>
      </c>
    </row>
    <row r="18" spans="2:1003">
      <c r="B18" t="str">
        <f t="shared" ca="1" si="2"/>
        <v>1.12</v>
      </c>
      <c r="C18" s="4">
        <f t="shared" ca="1" si="0"/>
        <v>44531</v>
      </c>
      <c r="D18" s="11">
        <f t="shared" ca="1" si="1"/>
        <v>191243</v>
      </c>
      <c r="E18">
        <f t="shared" ca="1" si="3"/>
        <v>1442</v>
      </c>
      <c r="F18" s="11">
        <f t="shared" ca="1" si="4"/>
        <v>4</v>
      </c>
      <c r="G18" s="11">
        <f t="shared" ca="1" si="5"/>
        <v>1438</v>
      </c>
      <c r="K18" s="10">
        <f ca="1">SUM(E18:E24)</f>
        <v>9399</v>
      </c>
      <c r="L18" s="10" t="str">
        <f ca="1">TEXT(K18/K11-1,"0 %")</f>
        <v>11 %</v>
      </c>
      <c r="N18" s="16">
        <v>44530</v>
      </c>
      <c r="O18">
        <v>189793</v>
      </c>
      <c r="P18">
        <v>1421</v>
      </c>
      <c r="Q18" s="16">
        <v>44530</v>
      </c>
      <c r="R18">
        <v>189793</v>
      </c>
      <c r="S18">
        <v>1421</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s="16">
        <v>44279</v>
      </c>
      <c r="RU18">
        <v>74698</v>
      </c>
      <c r="RV18">
        <v>698</v>
      </c>
      <c r="RW18" s="16">
        <v>44280</v>
      </c>
      <c r="RX18">
        <v>75304</v>
      </c>
      <c r="RY18">
        <v>606</v>
      </c>
      <c r="RZ18" s="16">
        <v>44281</v>
      </c>
      <c r="SA18">
        <v>75990</v>
      </c>
      <c r="SB18">
        <v>685</v>
      </c>
      <c r="SC18" s="16">
        <v>44282</v>
      </c>
      <c r="SD18">
        <v>76340</v>
      </c>
      <c r="SE18">
        <v>350</v>
      </c>
      <c r="SF18" s="16">
        <v>44283</v>
      </c>
      <c r="SG18">
        <v>76712</v>
      </c>
      <c r="SH18">
        <v>369</v>
      </c>
      <c r="SI18" s="16">
        <v>44284</v>
      </c>
      <c r="SJ18">
        <v>77368</v>
      </c>
      <c r="SK18">
        <v>655</v>
      </c>
      <c r="SL18" s="16">
        <v>44286</v>
      </c>
      <c r="SM18">
        <v>78482</v>
      </c>
      <c r="SN18">
        <v>548</v>
      </c>
      <c r="SO18" s="16">
        <v>44287</v>
      </c>
      <c r="SP18">
        <v>78988</v>
      </c>
      <c r="SQ18">
        <v>487</v>
      </c>
      <c r="SR18" s="16">
        <v>44288</v>
      </c>
      <c r="SS18">
        <v>79353</v>
      </c>
      <c r="ST18">
        <v>361</v>
      </c>
      <c r="SU18" s="16">
        <v>44289</v>
      </c>
      <c r="SV18">
        <v>79670</v>
      </c>
      <c r="SW18">
        <v>317</v>
      </c>
      <c r="SX18" s="16">
        <v>44291</v>
      </c>
      <c r="SY18">
        <v>80349</v>
      </c>
      <c r="SZ18">
        <v>358</v>
      </c>
      <c r="TA18" s="16">
        <v>44292</v>
      </c>
      <c r="TB18">
        <v>80897</v>
      </c>
      <c r="TC18">
        <v>541</v>
      </c>
      <c r="TD18" s="16">
        <v>44294</v>
      </c>
      <c r="TE18">
        <v>81726</v>
      </c>
      <c r="TF18">
        <v>403</v>
      </c>
      <c r="TG18" s="16">
        <v>44295</v>
      </c>
      <c r="TH18">
        <v>82078</v>
      </c>
      <c r="TI18">
        <v>348</v>
      </c>
      <c r="TJ18" s="16">
        <v>44296</v>
      </c>
      <c r="TK18">
        <v>82304</v>
      </c>
      <c r="TL18">
        <v>224</v>
      </c>
      <c r="TM18" s="16">
        <v>44297</v>
      </c>
      <c r="TN18">
        <v>82543</v>
      </c>
      <c r="TO18">
        <v>239</v>
      </c>
      <c r="TP18" s="16">
        <v>44299</v>
      </c>
      <c r="TQ18">
        <v>83268</v>
      </c>
      <c r="TR18">
        <v>324</v>
      </c>
      <c r="TS18" s="16">
        <v>44300</v>
      </c>
      <c r="TT18">
        <v>83617</v>
      </c>
      <c r="TU18">
        <v>345</v>
      </c>
      <c r="TV18" s="16">
        <v>44300</v>
      </c>
      <c r="TW18">
        <v>83623</v>
      </c>
      <c r="TX18">
        <v>345</v>
      </c>
      <c r="TY18" s="16">
        <v>44301</v>
      </c>
      <c r="TZ18">
        <v>83898</v>
      </c>
      <c r="UA18">
        <v>275</v>
      </c>
      <c r="UB18" s="16">
        <v>44303</v>
      </c>
      <c r="UC18">
        <v>84331</v>
      </c>
      <c r="UD18">
        <v>169</v>
      </c>
      <c r="UE18" s="16">
        <v>44303</v>
      </c>
      <c r="UF18">
        <v>84332</v>
      </c>
      <c r="UG18">
        <v>169</v>
      </c>
      <c r="UH18" s="16">
        <v>44304</v>
      </c>
      <c r="UI18">
        <v>84490</v>
      </c>
      <c r="UJ18">
        <v>155</v>
      </c>
      <c r="UK18" s="16">
        <v>44305</v>
      </c>
      <c r="UL18">
        <v>84775</v>
      </c>
      <c r="UM18">
        <v>284</v>
      </c>
      <c r="UN18" s="16">
        <v>44309</v>
      </c>
      <c r="UO18">
        <v>85825</v>
      </c>
      <c r="UP18">
        <v>257</v>
      </c>
      <c r="UQ18" s="16">
        <v>44310</v>
      </c>
      <c r="UR18">
        <v>85982</v>
      </c>
      <c r="US18">
        <v>154</v>
      </c>
      <c r="UT18" s="16">
        <v>44311</v>
      </c>
      <c r="UU18">
        <v>86119</v>
      </c>
      <c r="UV18">
        <v>141</v>
      </c>
      <c r="UW18" s="16">
        <v>44312</v>
      </c>
      <c r="UX18">
        <v>86361</v>
      </c>
      <c r="UY18">
        <v>243</v>
      </c>
      <c r="UZ18" s="16">
        <v>44314</v>
      </c>
      <c r="VA18">
        <v>86864</v>
      </c>
      <c r="VB18">
        <v>273</v>
      </c>
      <c r="VC18" s="16">
        <v>44314</v>
      </c>
      <c r="VD18">
        <v>86859</v>
      </c>
      <c r="VE18">
        <v>273</v>
      </c>
      <c r="VF18" s="16">
        <v>44315</v>
      </c>
      <c r="VG18">
        <v>87061</v>
      </c>
      <c r="VH18">
        <v>200</v>
      </c>
      <c r="VI18" s="16">
        <v>44317</v>
      </c>
      <c r="VJ18">
        <v>87361</v>
      </c>
      <c r="VK18">
        <v>105</v>
      </c>
      <c r="VL18" s="16">
        <v>44317</v>
      </c>
      <c r="VM18">
        <v>87361</v>
      </c>
      <c r="VN18">
        <v>105</v>
      </c>
      <c r="VO18" s="16">
        <v>44318</v>
      </c>
      <c r="VP18">
        <v>87495</v>
      </c>
      <c r="VQ18">
        <v>134</v>
      </c>
      <c r="VR18" s="16">
        <v>44319</v>
      </c>
      <c r="VS18">
        <v>87814</v>
      </c>
      <c r="VT18">
        <v>318</v>
      </c>
      <c r="VU18" s="16">
        <v>44321</v>
      </c>
      <c r="VV18">
        <v>88288</v>
      </c>
      <c r="VW18">
        <v>266</v>
      </c>
      <c r="VX18" s="16">
        <v>44321</v>
      </c>
      <c r="VY18">
        <v>88292</v>
      </c>
      <c r="VZ18">
        <v>266</v>
      </c>
      <c r="WA18" s="16">
        <v>44322</v>
      </c>
      <c r="WB18">
        <v>88529</v>
      </c>
      <c r="WC18">
        <v>234</v>
      </c>
      <c r="WD18" s="16">
        <v>44323</v>
      </c>
      <c r="WE18">
        <v>88743</v>
      </c>
      <c r="WF18">
        <v>214</v>
      </c>
      <c r="WG18" s="16">
        <v>44324</v>
      </c>
      <c r="WH18">
        <v>88872</v>
      </c>
      <c r="WI18">
        <v>129</v>
      </c>
      <c r="WJ18" s="16">
        <v>44326</v>
      </c>
      <c r="WK18">
        <v>89260</v>
      </c>
      <c r="WL18">
        <v>258</v>
      </c>
      <c r="WM18" s="16">
        <v>44326</v>
      </c>
      <c r="WN18">
        <v>89262</v>
      </c>
      <c r="WO18">
        <v>258</v>
      </c>
      <c r="WP18" s="16">
        <v>44329</v>
      </c>
      <c r="WQ18">
        <v>89888</v>
      </c>
      <c r="WR18">
        <v>155</v>
      </c>
      <c r="WS18" s="16">
        <v>44330</v>
      </c>
      <c r="WT18">
        <v>90133</v>
      </c>
      <c r="WU18">
        <v>243</v>
      </c>
      <c r="WV18" s="16">
        <v>44331</v>
      </c>
      <c r="WW18">
        <v>90295</v>
      </c>
      <c r="WX18">
        <v>160</v>
      </c>
      <c r="WY18" s="16">
        <v>44332</v>
      </c>
      <c r="WZ18">
        <v>90431</v>
      </c>
      <c r="XA18">
        <v>133</v>
      </c>
      <c r="XB18" s="16">
        <v>44333</v>
      </c>
      <c r="XC18">
        <v>90716</v>
      </c>
      <c r="XD18">
        <v>284</v>
      </c>
      <c r="XE18" s="16">
        <v>44335</v>
      </c>
      <c r="XF18">
        <v>91162</v>
      </c>
      <c r="XG18">
        <v>229</v>
      </c>
      <c r="XH18" s="16">
        <v>44335</v>
      </c>
      <c r="XI18">
        <v>91169</v>
      </c>
      <c r="XJ18">
        <v>229</v>
      </c>
      <c r="XK18" s="16">
        <v>44336</v>
      </c>
      <c r="XL18">
        <v>91384</v>
      </c>
      <c r="XM18">
        <v>215</v>
      </c>
      <c r="XN18" s="16">
        <v>44337</v>
      </c>
      <c r="XO18">
        <v>91553</v>
      </c>
      <c r="XP18">
        <v>169</v>
      </c>
      <c r="XQ18" s="16">
        <v>44338</v>
      </c>
      <c r="XR18">
        <v>91661</v>
      </c>
      <c r="XS18">
        <v>107</v>
      </c>
      <c r="XT18" s="16">
        <v>44339</v>
      </c>
      <c r="XU18">
        <v>91757</v>
      </c>
      <c r="XV18">
        <v>92</v>
      </c>
      <c r="XW18" s="16">
        <v>44340</v>
      </c>
      <c r="XX18">
        <v>91948</v>
      </c>
      <c r="XY18">
        <v>188</v>
      </c>
      <c r="XZ18" s="16">
        <v>44341</v>
      </c>
      <c r="YA18">
        <v>92101</v>
      </c>
      <c r="YB18">
        <v>152</v>
      </c>
      <c r="YC18" s="16">
        <v>44343</v>
      </c>
      <c r="YD18">
        <v>92372</v>
      </c>
      <c r="YE18">
        <v>127</v>
      </c>
      <c r="YF18" s="16">
        <v>44344</v>
      </c>
      <c r="YG18">
        <v>92510</v>
      </c>
      <c r="YH18">
        <v>136</v>
      </c>
      <c r="YI18" s="16">
        <v>44345</v>
      </c>
      <c r="YJ18">
        <v>92576</v>
      </c>
      <c r="YK18">
        <v>64</v>
      </c>
      <c r="YL18" s="16">
        <v>44346</v>
      </c>
      <c r="YM18">
        <v>92655</v>
      </c>
      <c r="YN18">
        <v>79</v>
      </c>
      <c r="YO18" s="16">
        <v>44347</v>
      </c>
      <c r="YP18">
        <v>92803</v>
      </c>
      <c r="YQ18">
        <v>144</v>
      </c>
      <c r="YR18" s="16">
        <v>44348</v>
      </c>
      <c r="YS18">
        <v>92925</v>
      </c>
      <c r="YT18">
        <v>121</v>
      </c>
      <c r="YU18" s="16">
        <v>44350</v>
      </c>
      <c r="YV18">
        <v>93162</v>
      </c>
      <c r="YW18">
        <v>111</v>
      </c>
      <c r="YX18" s="16">
        <v>44351</v>
      </c>
      <c r="YY18">
        <v>93263</v>
      </c>
      <c r="YZ18">
        <v>101</v>
      </c>
      <c r="ZA18" s="16">
        <v>44352</v>
      </c>
      <c r="ZB18">
        <v>93330</v>
      </c>
      <c r="ZC18">
        <v>65</v>
      </c>
      <c r="ZD18" s="16">
        <v>44363</v>
      </c>
      <c r="ZE18">
        <v>94184</v>
      </c>
      <c r="ZF18">
        <v>67</v>
      </c>
      <c r="ZG18" s="16">
        <v>44364</v>
      </c>
      <c r="ZH18">
        <v>94282</v>
      </c>
      <c r="ZI18">
        <v>91</v>
      </c>
      <c r="ZJ18" s="16">
        <v>44365</v>
      </c>
      <c r="ZK18">
        <v>94360</v>
      </c>
      <c r="ZL18">
        <v>78</v>
      </c>
      <c r="ZM18" s="16">
        <v>44366</v>
      </c>
      <c r="ZN18">
        <v>94419</v>
      </c>
      <c r="ZO18">
        <v>57</v>
      </c>
      <c r="ZP18" s="16">
        <v>44367</v>
      </c>
      <c r="ZQ18">
        <v>94489</v>
      </c>
      <c r="ZR18">
        <v>78</v>
      </c>
      <c r="ZS18" s="16">
        <v>44371</v>
      </c>
      <c r="ZT18">
        <v>95002</v>
      </c>
      <c r="ZU18">
        <v>158</v>
      </c>
      <c r="ZV18" s="16">
        <v>44372</v>
      </c>
      <c r="ZW18">
        <v>95213</v>
      </c>
      <c r="ZX18">
        <v>197</v>
      </c>
      <c r="ZY18" s="16">
        <v>44373</v>
      </c>
      <c r="ZZ18">
        <v>95342</v>
      </c>
      <c r="AAA18">
        <v>129</v>
      </c>
      <c r="AAB18" s="16">
        <v>44374</v>
      </c>
      <c r="AAC18">
        <v>95463</v>
      </c>
      <c r="AAD18">
        <v>118</v>
      </c>
      <c r="AAE18" s="16">
        <v>44375</v>
      </c>
      <c r="AAF18">
        <v>95697</v>
      </c>
      <c r="AAG18">
        <v>231</v>
      </c>
      <c r="AAH18" s="16">
        <v>44378</v>
      </c>
      <c r="AAI18">
        <v>96363</v>
      </c>
      <c r="AAJ18">
        <v>209</v>
      </c>
      <c r="AAK18" s="16">
        <v>44379</v>
      </c>
      <c r="AAL18">
        <v>96536</v>
      </c>
      <c r="AAM18">
        <v>167</v>
      </c>
      <c r="AAN18" s="16">
        <v>44381</v>
      </c>
      <c r="AAO18">
        <v>96773</v>
      </c>
      <c r="AAP18">
        <v>109</v>
      </c>
      <c r="AAQ18" s="16">
        <v>44381</v>
      </c>
      <c r="AAR18">
        <v>96783</v>
      </c>
      <c r="AAS18">
        <v>109</v>
      </c>
      <c r="AAT18" s="16">
        <v>44382</v>
      </c>
      <c r="AAU18">
        <v>97025</v>
      </c>
      <c r="AAV18">
        <v>243</v>
      </c>
      <c r="AAW18" s="16">
        <v>44384</v>
      </c>
      <c r="AAX18">
        <v>97572</v>
      </c>
      <c r="AAY18">
        <v>291</v>
      </c>
      <c r="AAZ18" s="16">
        <v>44384</v>
      </c>
      <c r="ABA18">
        <v>97574</v>
      </c>
      <c r="ABB18">
        <v>291</v>
      </c>
      <c r="ABC18" s="16">
        <v>44385</v>
      </c>
      <c r="ABD18">
        <v>97857</v>
      </c>
      <c r="ABE18">
        <v>280</v>
      </c>
      <c r="ABF18" s="16">
        <v>44387</v>
      </c>
      <c r="ABG18">
        <v>98316</v>
      </c>
      <c r="ABH18">
        <v>150</v>
      </c>
      <c r="ABI18" s="16">
        <v>44387</v>
      </c>
      <c r="ABJ18">
        <v>98318</v>
      </c>
      <c r="ABK18">
        <v>151</v>
      </c>
      <c r="ABL18" s="16">
        <v>44388</v>
      </c>
      <c r="ABM18">
        <v>98474</v>
      </c>
      <c r="ABN18">
        <v>157</v>
      </c>
      <c r="ABO18" s="16">
        <v>44389</v>
      </c>
      <c r="ABP18">
        <v>98803</v>
      </c>
      <c r="ABQ18">
        <v>329</v>
      </c>
      <c r="ABR18" s="16">
        <v>44390</v>
      </c>
      <c r="ABS18">
        <v>99146</v>
      </c>
      <c r="ABT18">
        <v>342</v>
      </c>
      <c r="ABU18" s="16">
        <v>44391</v>
      </c>
      <c r="ABV18">
        <v>99535</v>
      </c>
      <c r="ABW18">
        <v>384</v>
      </c>
      <c r="ABX18" s="16">
        <v>44392</v>
      </c>
      <c r="ABY18">
        <v>99919</v>
      </c>
      <c r="ABZ18">
        <v>381</v>
      </c>
      <c r="ACA18" s="16">
        <v>44393</v>
      </c>
      <c r="ACB18">
        <v>100278</v>
      </c>
      <c r="ACC18">
        <v>355</v>
      </c>
      <c r="ACD18" s="16">
        <v>44394</v>
      </c>
      <c r="ACE18">
        <v>100481</v>
      </c>
      <c r="ACF18">
        <v>203</v>
      </c>
      <c r="ACG18" s="16">
        <v>44395</v>
      </c>
      <c r="ACH18">
        <v>100730</v>
      </c>
      <c r="ACI18">
        <v>248</v>
      </c>
      <c r="ACJ18" s="16">
        <v>44396</v>
      </c>
      <c r="ACK18">
        <v>101144</v>
      </c>
      <c r="ACL18">
        <v>421</v>
      </c>
      <c r="ACM18" s="16">
        <v>44399</v>
      </c>
      <c r="ACN18">
        <v>102520</v>
      </c>
      <c r="ACO18">
        <v>487</v>
      </c>
      <c r="ACP18" s="16">
        <v>44400</v>
      </c>
      <c r="ACQ18">
        <v>103000</v>
      </c>
      <c r="ACR18">
        <v>479</v>
      </c>
      <c r="ACS18" s="16">
        <v>44401</v>
      </c>
      <c r="ACT18">
        <v>103298</v>
      </c>
      <c r="ACU18">
        <v>298</v>
      </c>
      <c r="ACV18" s="16">
        <v>44402</v>
      </c>
      <c r="ACW18">
        <v>103648</v>
      </c>
      <c r="ACX18">
        <v>351</v>
      </c>
      <c r="ACY18" s="16">
        <v>44403</v>
      </c>
      <c r="ACZ18">
        <v>104418</v>
      </c>
      <c r="ADA18">
        <v>766</v>
      </c>
      <c r="ADB18" s="16">
        <v>44404</v>
      </c>
      <c r="ADC18">
        <v>105097</v>
      </c>
      <c r="ADD18">
        <v>676</v>
      </c>
      <c r="ADE18" s="16">
        <v>44405</v>
      </c>
      <c r="ADF18">
        <v>105941</v>
      </c>
      <c r="ADG18">
        <v>844</v>
      </c>
      <c r="ADH18" s="16">
        <v>44406</v>
      </c>
      <c r="ADI18">
        <v>106711</v>
      </c>
      <c r="ADJ18">
        <v>767</v>
      </c>
      <c r="ADK18" s="16">
        <v>44407</v>
      </c>
      <c r="ADL18">
        <v>107402</v>
      </c>
      <c r="ADM18">
        <v>691</v>
      </c>
      <c r="ADN18" s="16">
        <v>44408</v>
      </c>
      <c r="ADO18">
        <v>107805</v>
      </c>
      <c r="ADP18">
        <v>403</v>
      </c>
      <c r="ADQ18" s="16">
        <v>44409</v>
      </c>
      <c r="ADR18">
        <v>108285</v>
      </c>
      <c r="ADS18">
        <v>476</v>
      </c>
      <c r="ADT18" s="16">
        <v>44410</v>
      </c>
      <c r="ADU18">
        <v>109184</v>
      </c>
      <c r="ADV18">
        <v>892</v>
      </c>
      <c r="ADW18" s="16">
        <v>44413</v>
      </c>
      <c r="ADX18">
        <v>111676</v>
      </c>
      <c r="ADY18">
        <v>865</v>
      </c>
      <c r="ADZ18" s="16">
        <v>44414</v>
      </c>
      <c r="AEA18">
        <v>112363</v>
      </c>
      <c r="AEB18">
        <v>683</v>
      </c>
      <c r="AEC18" s="16">
        <v>44415</v>
      </c>
      <c r="AED18">
        <v>112842</v>
      </c>
      <c r="AEE18">
        <v>479</v>
      </c>
      <c r="AEF18" s="16">
        <v>44416</v>
      </c>
      <c r="AEG18">
        <v>113373</v>
      </c>
      <c r="AEH18">
        <v>533</v>
      </c>
      <c r="AEI18" s="16">
        <v>44417</v>
      </c>
      <c r="AEJ18">
        <v>114408</v>
      </c>
      <c r="AEK18">
        <v>1032</v>
      </c>
      <c r="AEL18" s="16">
        <v>44420</v>
      </c>
      <c r="AEM18">
        <v>116953</v>
      </c>
      <c r="AEN18">
        <v>787</v>
      </c>
      <c r="AEO18" s="16">
        <v>44421</v>
      </c>
      <c r="AEP18">
        <v>117706</v>
      </c>
      <c r="AEQ18">
        <v>737</v>
      </c>
      <c r="AER18" s="16">
        <v>44422</v>
      </c>
      <c r="AES18">
        <v>118132</v>
      </c>
      <c r="AET18">
        <v>426</v>
      </c>
      <c r="AEU18" s="16">
        <v>44423</v>
      </c>
      <c r="AEV18">
        <v>118573</v>
      </c>
      <c r="AEW18">
        <v>442</v>
      </c>
      <c r="AEX18" s="16">
        <v>44425</v>
      </c>
      <c r="AEY18">
        <v>120080</v>
      </c>
      <c r="AEZ18">
        <v>740</v>
      </c>
      <c r="AFA18" s="16">
        <v>44426</v>
      </c>
      <c r="AFB18">
        <v>120790</v>
      </c>
      <c r="AFC18">
        <v>704</v>
      </c>
      <c r="AFD18">
        <v>44431</v>
      </c>
      <c r="AFE18">
        <v>123616</v>
      </c>
      <c r="AFF18">
        <v>660</v>
      </c>
      <c r="AFG18">
        <v>44432</v>
      </c>
      <c r="AFH18">
        <v>124252</v>
      </c>
      <c r="AFI18">
        <v>604</v>
      </c>
      <c r="AFJ18">
        <v>44434</v>
      </c>
      <c r="AFK18">
        <v>125559</v>
      </c>
      <c r="AFL18">
        <v>605</v>
      </c>
      <c r="AFM18">
        <v>44437</v>
      </c>
      <c r="AFN18">
        <v>127158</v>
      </c>
      <c r="AFO18">
        <v>457</v>
      </c>
      <c r="AFP18">
        <v>44438</v>
      </c>
      <c r="AFQ18">
        <v>127897</v>
      </c>
      <c r="AFR18">
        <v>737</v>
      </c>
      <c r="AFS18">
        <v>44440</v>
      </c>
      <c r="AFT18">
        <v>129195</v>
      </c>
      <c r="AFU18">
        <v>648</v>
      </c>
      <c r="AFV18">
        <v>44441</v>
      </c>
      <c r="AFW18">
        <v>129849</v>
      </c>
      <c r="AFX18">
        <v>649</v>
      </c>
      <c r="AFY18">
        <v>44443</v>
      </c>
      <c r="AFZ18">
        <v>130700</v>
      </c>
      <c r="AGA18">
        <v>334</v>
      </c>
      <c r="AGB18">
        <v>44444</v>
      </c>
      <c r="AGC18">
        <v>131048</v>
      </c>
      <c r="AGD18">
        <v>345</v>
      </c>
      <c r="AGE18">
        <v>44447</v>
      </c>
      <c r="AGF18">
        <v>132628</v>
      </c>
      <c r="AGG18">
        <v>481</v>
      </c>
      <c r="AGH18">
        <v>44448</v>
      </c>
      <c r="AGI18">
        <v>133095</v>
      </c>
      <c r="AGJ18">
        <v>460</v>
      </c>
      <c r="AGK18">
        <v>44450</v>
      </c>
      <c r="AGL18">
        <v>133919</v>
      </c>
      <c r="AGM18">
        <v>327</v>
      </c>
      <c r="AGN18">
        <v>44450</v>
      </c>
      <c r="AGO18">
        <v>133920</v>
      </c>
      <c r="AGP18">
        <v>327</v>
      </c>
      <c r="AGQ18">
        <v>44451</v>
      </c>
      <c r="AGR18">
        <v>134201</v>
      </c>
      <c r="AGS18">
        <v>280</v>
      </c>
      <c r="AGT18">
        <v>44452</v>
      </c>
      <c r="AGU18">
        <v>134731</v>
      </c>
      <c r="AGV18">
        <v>532</v>
      </c>
      <c r="AGW18">
        <v>44454</v>
      </c>
      <c r="AGX18">
        <v>135658</v>
      </c>
      <c r="AGY18">
        <v>456</v>
      </c>
      <c r="AGZ18">
        <v>44456</v>
      </c>
      <c r="AHA18">
        <v>136481</v>
      </c>
      <c r="AHB18">
        <v>386</v>
      </c>
      <c r="AHC18">
        <v>44457</v>
      </c>
      <c r="AHD18">
        <v>136720</v>
      </c>
      <c r="AHE18">
        <v>237</v>
      </c>
      <c r="AHF18">
        <v>44458</v>
      </c>
      <c r="AHG18">
        <v>137002</v>
      </c>
      <c r="AHH18">
        <v>282</v>
      </c>
      <c r="AHI18">
        <v>44459</v>
      </c>
      <c r="AHJ18">
        <v>137489</v>
      </c>
      <c r="AHK18">
        <v>486</v>
      </c>
      <c r="AHL18">
        <v>44463</v>
      </c>
      <c r="AHM18">
        <v>139363</v>
      </c>
      <c r="AHN18">
        <v>426</v>
      </c>
      <c r="AHO18">
        <v>44464</v>
      </c>
      <c r="AHP18">
        <v>139660</v>
      </c>
      <c r="AHQ18">
        <v>295</v>
      </c>
      <c r="AHR18">
        <v>44465</v>
      </c>
      <c r="AHS18">
        <v>140015</v>
      </c>
      <c r="AHT18">
        <v>354</v>
      </c>
      <c r="AHU18">
        <v>44466</v>
      </c>
      <c r="AHV18">
        <v>140696</v>
      </c>
      <c r="AHW18">
        <v>682</v>
      </c>
      <c r="AHX18">
        <v>44467</v>
      </c>
      <c r="AHY18">
        <v>141340</v>
      </c>
      <c r="AHZ18">
        <v>642</v>
      </c>
      <c r="AIA18">
        <v>44471</v>
      </c>
      <c r="AIB18">
        <v>143513</v>
      </c>
      <c r="AIC18">
        <v>353</v>
      </c>
      <c r="AID18">
        <v>44475</v>
      </c>
      <c r="AIE18">
        <v>145863</v>
      </c>
      <c r="AIF18">
        <v>532</v>
      </c>
      <c r="AIG18">
        <v>44479</v>
      </c>
      <c r="AIH18">
        <v>147844</v>
      </c>
      <c r="AII18">
        <v>397</v>
      </c>
      <c r="AIJ18">
        <v>44480</v>
      </c>
      <c r="AIK18">
        <v>148560</v>
      </c>
      <c r="AIL18">
        <v>693</v>
      </c>
      <c r="AIM18">
        <v>44481</v>
      </c>
      <c r="AIN18">
        <v>149167</v>
      </c>
      <c r="AIO18">
        <v>609</v>
      </c>
      <c r="AIP18">
        <v>44484</v>
      </c>
      <c r="AIQ18">
        <v>150927</v>
      </c>
      <c r="AIR18">
        <v>563</v>
      </c>
      <c r="AIS18">
        <v>44485</v>
      </c>
      <c r="AIT18">
        <v>151273</v>
      </c>
      <c r="AIU18">
        <v>343</v>
      </c>
      <c r="AIV18">
        <v>44486</v>
      </c>
      <c r="AIW18">
        <v>151597</v>
      </c>
      <c r="AIX18">
        <v>319</v>
      </c>
      <c r="AIY18">
        <v>44487</v>
      </c>
      <c r="AIZ18">
        <v>152527</v>
      </c>
      <c r="AJA18">
        <v>659</v>
      </c>
      <c r="AJB18">
        <v>44488</v>
      </c>
      <c r="AJC18">
        <v>153078</v>
      </c>
      <c r="AJD18">
        <v>549</v>
      </c>
      <c r="AJE18">
        <v>44491</v>
      </c>
      <c r="AJF18">
        <v>154791</v>
      </c>
      <c r="AJG18">
        <v>575</v>
      </c>
      <c r="AJH18">
        <v>44492</v>
      </c>
      <c r="AJI18">
        <v>155208</v>
      </c>
      <c r="AJJ18">
        <v>376</v>
      </c>
      <c r="AJK18">
        <v>44493</v>
      </c>
      <c r="AJL18">
        <v>155598</v>
      </c>
      <c r="AJM18">
        <v>388</v>
      </c>
      <c r="AJN18">
        <v>44494</v>
      </c>
      <c r="AJO18">
        <v>156390</v>
      </c>
      <c r="AJP18">
        <v>789</v>
      </c>
      <c r="AJQ18">
        <v>44498</v>
      </c>
      <c r="AJR18">
        <v>158935</v>
      </c>
      <c r="AJS18">
        <v>650</v>
      </c>
      <c r="AJT18">
        <v>44499</v>
      </c>
      <c r="AJU18">
        <v>159341</v>
      </c>
      <c r="AJV18">
        <v>400</v>
      </c>
      <c r="AJW18">
        <v>44500</v>
      </c>
      <c r="AJX18">
        <v>159779</v>
      </c>
      <c r="AJY18">
        <v>439</v>
      </c>
      <c r="AJZ18">
        <v>44501</v>
      </c>
      <c r="AKA18">
        <v>160755</v>
      </c>
      <c r="AKB18">
        <v>973</v>
      </c>
      <c r="AKC18">
        <v>44502</v>
      </c>
      <c r="AKD18">
        <v>161512</v>
      </c>
      <c r="AKE18">
        <v>755</v>
      </c>
      <c r="AKF18">
        <v>44505</v>
      </c>
      <c r="AKG18">
        <v>163933</v>
      </c>
      <c r="AKH18">
        <v>841</v>
      </c>
      <c r="AKI18">
        <v>44508</v>
      </c>
      <c r="AKJ18">
        <v>166075</v>
      </c>
      <c r="AKK18">
        <v>1118</v>
      </c>
      <c r="AKL18">
        <v>44510</v>
      </c>
      <c r="AKM18">
        <v>167877</v>
      </c>
      <c r="AKN18">
        <v>969</v>
      </c>
      <c r="AKO18">
        <v>44512</v>
      </c>
      <c r="AKP18">
        <v>169763</v>
      </c>
      <c r="AKQ18">
        <v>946</v>
      </c>
      <c r="AKR18">
        <v>44513</v>
      </c>
      <c r="AKS18">
        <v>170389</v>
      </c>
      <c r="AKT18">
        <v>615</v>
      </c>
      <c r="AKU18">
        <v>44515</v>
      </c>
      <c r="AKV18">
        <v>172212</v>
      </c>
      <c r="AKW18">
        <v>1251</v>
      </c>
      <c r="AKX18">
        <v>44516</v>
      </c>
      <c r="AKY18">
        <v>173410</v>
      </c>
      <c r="AKZ18">
        <v>1193</v>
      </c>
      <c r="ALA18">
        <v>44519</v>
      </c>
      <c r="ALB18">
        <v>177053</v>
      </c>
      <c r="ALC18">
        <v>1270</v>
      </c>
      <c r="ALD18">
        <v>44520</v>
      </c>
      <c r="ALE18">
        <v>177761</v>
      </c>
      <c r="ALF18">
        <v>706</v>
      </c>
      <c r="ALG18">
        <v>44521</v>
      </c>
      <c r="ALH18">
        <v>178438</v>
      </c>
      <c r="ALI18">
        <v>674</v>
      </c>
      <c r="ALJ18">
        <v>44522</v>
      </c>
      <c r="ALK18">
        <v>179850</v>
      </c>
      <c r="ALL18">
        <v>1416</v>
      </c>
      <c r="ALM18">
        <v>44530</v>
      </c>
      <c r="ALN18">
        <v>189793</v>
      </c>
      <c r="ALO18">
        <v>1421</v>
      </c>
    </row>
    <row r="19" spans="2:1003">
      <c r="B19" t="str">
        <f t="shared" ca="1" si="2"/>
        <v>2.12</v>
      </c>
      <c r="C19" s="4">
        <f t="shared" ca="1" si="0"/>
        <v>44532</v>
      </c>
      <c r="D19" s="11">
        <f t="shared" ca="1" si="1"/>
        <v>192707</v>
      </c>
      <c r="E19">
        <f t="shared" ca="1" si="3"/>
        <v>1464</v>
      </c>
      <c r="F19" s="11">
        <f t="shared" ca="1" si="4"/>
        <v>5</v>
      </c>
      <c r="G19" s="11">
        <f t="shared" ca="1" si="5"/>
        <v>1459</v>
      </c>
      <c r="L19" s="3"/>
      <c r="N19" s="16">
        <v>44531</v>
      </c>
      <c r="O19">
        <v>191231</v>
      </c>
      <c r="P19">
        <v>1438</v>
      </c>
      <c r="Q19" s="16">
        <v>44531</v>
      </c>
      <c r="R19">
        <v>191231</v>
      </c>
      <c r="S19">
        <v>1438</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s="16">
        <v>44280</v>
      </c>
      <c r="RU19">
        <v>75304</v>
      </c>
      <c r="RV19">
        <v>606</v>
      </c>
      <c r="RW19" s="16">
        <v>44281</v>
      </c>
      <c r="RX19">
        <v>75989</v>
      </c>
      <c r="RY19">
        <v>685</v>
      </c>
      <c r="RZ19" s="16">
        <v>44282</v>
      </c>
      <c r="SA19">
        <v>76340</v>
      </c>
      <c r="SB19">
        <v>350</v>
      </c>
      <c r="SC19" s="16">
        <v>44283</v>
      </c>
      <c r="SD19">
        <v>76711</v>
      </c>
      <c r="SE19">
        <v>371</v>
      </c>
      <c r="SF19" s="16">
        <v>44284</v>
      </c>
      <c r="SG19">
        <v>77367</v>
      </c>
      <c r="SH19">
        <v>655</v>
      </c>
      <c r="SI19" s="16">
        <v>44285</v>
      </c>
      <c r="SJ19">
        <v>77934</v>
      </c>
      <c r="SK19">
        <v>566</v>
      </c>
      <c r="SL19" s="16">
        <v>44287</v>
      </c>
      <c r="SM19">
        <v>78969</v>
      </c>
      <c r="SN19">
        <v>487</v>
      </c>
      <c r="SO19" s="16">
        <v>44288</v>
      </c>
      <c r="SP19">
        <v>79349</v>
      </c>
      <c r="SQ19">
        <v>361</v>
      </c>
      <c r="SR19" s="16">
        <v>44289</v>
      </c>
      <c r="SS19">
        <v>79670</v>
      </c>
      <c r="ST19">
        <v>317</v>
      </c>
      <c r="SU19" s="16">
        <v>44290</v>
      </c>
      <c r="SV19">
        <v>79989</v>
      </c>
      <c r="SW19">
        <v>319</v>
      </c>
      <c r="SX19" s="16">
        <v>44292</v>
      </c>
      <c r="SY19">
        <v>80887</v>
      </c>
      <c r="SZ19">
        <v>538</v>
      </c>
      <c r="TA19" s="16">
        <v>44293</v>
      </c>
      <c r="TB19">
        <v>81321</v>
      </c>
      <c r="TC19">
        <v>424</v>
      </c>
      <c r="TD19" s="16">
        <v>44295</v>
      </c>
      <c r="TE19">
        <v>82074</v>
      </c>
      <c r="TF19">
        <v>348</v>
      </c>
      <c r="TG19" s="16">
        <v>44296</v>
      </c>
      <c r="TH19">
        <v>82302</v>
      </c>
      <c r="TI19">
        <v>224</v>
      </c>
      <c r="TJ19" s="16">
        <v>44297</v>
      </c>
      <c r="TK19">
        <v>82543</v>
      </c>
      <c r="TL19">
        <v>239</v>
      </c>
      <c r="TM19" s="16">
        <v>44298</v>
      </c>
      <c r="TN19">
        <v>82941</v>
      </c>
      <c r="TO19">
        <v>398</v>
      </c>
      <c r="TP19" s="16">
        <v>44300</v>
      </c>
      <c r="TQ19">
        <v>83613</v>
      </c>
      <c r="TR19">
        <v>345</v>
      </c>
      <c r="TS19" s="16">
        <v>44301</v>
      </c>
      <c r="TT19">
        <v>83892</v>
      </c>
      <c r="TU19">
        <v>275</v>
      </c>
      <c r="TV19" s="16">
        <v>44301</v>
      </c>
      <c r="TW19">
        <v>83898</v>
      </c>
      <c r="TX19">
        <v>275</v>
      </c>
      <c r="TY19" s="16">
        <v>44302</v>
      </c>
      <c r="TZ19">
        <v>84162</v>
      </c>
      <c r="UA19">
        <v>264</v>
      </c>
      <c r="UB19" s="16">
        <v>44304</v>
      </c>
      <c r="UC19">
        <v>84486</v>
      </c>
      <c r="UD19">
        <v>155</v>
      </c>
      <c r="UE19" s="16">
        <v>44304</v>
      </c>
      <c r="UF19">
        <v>84487</v>
      </c>
      <c r="UG19">
        <v>155</v>
      </c>
      <c r="UH19" s="16">
        <v>44305</v>
      </c>
      <c r="UI19">
        <v>84774</v>
      </c>
      <c r="UJ19">
        <v>284</v>
      </c>
      <c r="UK19" s="16">
        <v>44306</v>
      </c>
      <c r="UL19">
        <v>85060</v>
      </c>
      <c r="UM19">
        <v>285</v>
      </c>
      <c r="UN19" s="16">
        <v>44310</v>
      </c>
      <c r="UO19">
        <v>85979</v>
      </c>
      <c r="UP19">
        <v>154</v>
      </c>
      <c r="UQ19" s="16">
        <v>44311</v>
      </c>
      <c r="UR19">
        <v>86123</v>
      </c>
      <c r="US19">
        <v>141</v>
      </c>
      <c r="UT19" s="16">
        <v>44312</v>
      </c>
      <c r="UU19">
        <v>86362</v>
      </c>
      <c r="UV19">
        <v>243</v>
      </c>
      <c r="UW19" s="16">
        <v>44313</v>
      </c>
      <c r="UX19">
        <v>86589</v>
      </c>
      <c r="UY19">
        <v>228</v>
      </c>
      <c r="UZ19" s="16">
        <v>44315</v>
      </c>
      <c r="VA19">
        <v>87064</v>
      </c>
      <c r="VB19">
        <v>200</v>
      </c>
      <c r="VC19" s="16">
        <v>44315</v>
      </c>
      <c r="VD19">
        <v>87059</v>
      </c>
      <c r="VE19">
        <v>200</v>
      </c>
      <c r="VF19" s="16">
        <v>44316</v>
      </c>
      <c r="VG19">
        <v>87256</v>
      </c>
      <c r="VH19">
        <v>195</v>
      </c>
      <c r="VI19" s="16">
        <v>44318</v>
      </c>
      <c r="VJ19">
        <v>87496</v>
      </c>
      <c r="VK19">
        <v>135</v>
      </c>
      <c r="VL19" s="16">
        <v>44318</v>
      </c>
      <c r="VM19">
        <v>87496</v>
      </c>
      <c r="VN19">
        <v>135</v>
      </c>
      <c r="VO19" s="16">
        <v>44319</v>
      </c>
      <c r="VP19">
        <v>87813</v>
      </c>
      <c r="VQ19">
        <v>318</v>
      </c>
      <c r="VR19" s="16">
        <v>44320</v>
      </c>
      <c r="VS19">
        <v>88018</v>
      </c>
      <c r="VT19">
        <v>204</v>
      </c>
      <c r="VU19" s="16">
        <v>44322</v>
      </c>
      <c r="VV19">
        <v>88523</v>
      </c>
      <c r="VW19">
        <v>235</v>
      </c>
      <c r="VX19" s="16">
        <v>44322</v>
      </c>
      <c r="VY19">
        <v>88526</v>
      </c>
      <c r="VZ19">
        <v>234</v>
      </c>
      <c r="WA19" s="16">
        <v>44323</v>
      </c>
      <c r="WB19">
        <v>88743</v>
      </c>
      <c r="WC19">
        <v>214</v>
      </c>
      <c r="WD19" s="16">
        <v>44324</v>
      </c>
      <c r="WE19">
        <v>88872</v>
      </c>
      <c r="WF19">
        <v>129</v>
      </c>
      <c r="WG19" s="16">
        <v>44325</v>
      </c>
      <c r="WH19">
        <v>89001</v>
      </c>
      <c r="WI19">
        <v>129</v>
      </c>
      <c r="WJ19" s="16">
        <v>44327</v>
      </c>
      <c r="WK19">
        <v>89474</v>
      </c>
      <c r="WL19">
        <v>214</v>
      </c>
      <c r="WM19" s="16">
        <v>44327</v>
      </c>
      <c r="WN19">
        <v>89476</v>
      </c>
      <c r="WO19">
        <v>214</v>
      </c>
      <c r="WP19" s="16">
        <v>44330</v>
      </c>
      <c r="WQ19">
        <v>90131</v>
      </c>
      <c r="WR19">
        <v>243</v>
      </c>
      <c r="WS19" s="16">
        <v>44331</v>
      </c>
      <c r="WT19">
        <v>90292</v>
      </c>
      <c r="WU19">
        <v>159</v>
      </c>
      <c r="WV19" s="16">
        <v>44332</v>
      </c>
      <c r="WW19">
        <v>90428</v>
      </c>
      <c r="WX19">
        <v>133</v>
      </c>
      <c r="WY19" s="16">
        <v>44333</v>
      </c>
      <c r="WZ19">
        <v>90715</v>
      </c>
      <c r="XA19">
        <v>284</v>
      </c>
      <c r="XB19" s="16">
        <v>44334</v>
      </c>
      <c r="XC19">
        <v>90932</v>
      </c>
      <c r="XD19">
        <v>216</v>
      </c>
      <c r="XE19" s="16">
        <v>44336</v>
      </c>
      <c r="XF19">
        <v>91377</v>
      </c>
      <c r="XG19">
        <v>215</v>
      </c>
      <c r="XH19" s="16">
        <v>44336</v>
      </c>
      <c r="XI19">
        <v>91383</v>
      </c>
      <c r="XJ19">
        <v>214</v>
      </c>
      <c r="XK19" s="16">
        <v>44337</v>
      </c>
      <c r="XL19">
        <v>91553</v>
      </c>
      <c r="XM19">
        <v>169</v>
      </c>
      <c r="XN19" s="16">
        <v>44338</v>
      </c>
      <c r="XO19">
        <v>91660</v>
      </c>
      <c r="XP19">
        <v>107</v>
      </c>
      <c r="XQ19" s="16">
        <v>44339</v>
      </c>
      <c r="XR19">
        <v>91753</v>
      </c>
      <c r="XS19">
        <v>92</v>
      </c>
      <c r="XT19" s="16">
        <v>44340</v>
      </c>
      <c r="XU19">
        <v>91945</v>
      </c>
      <c r="XV19">
        <v>188</v>
      </c>
      <c r="XW19" s="16">
        <v>44341</v>
      </c>
      <c r="XX19">
        <v>92100</v>
      </c>
      <c r="XY19">
        <v>152</v>
      </c>
      <c r="XZ19" s="16">
        <v>44342</v>
      </c>
      <c r="YA19">
        <v>92243</v>
      </c>
      <c r="YB19">
        <v>142</v>
      </c>
      <c r="YC19" s="16">
        <v>44344</v>
      </c>
      <c r="YD19">
        <v>92508</v>
      </c>
      <c r="YE19">
        <v>136</v>
      </c>
      <c r="YF19" s="16">
        <v>44345</v>
      </c>
      <c r="YG19">
        <v>92574</v>
      </c>
      <c r="YH19">
        <v>64</v>
      </c>
      <c r="YI19" s="16">
        <v>44346</v>
      </c>
      <c r="YJ19">
        <v>92655</v>
      </c>
      <c r="YK19">
        <v>79</v>
      </c>
      <c r="YL19" s="16">
        <v>44347</v>
      </c>
      <c r="YM19">
        <v>92799</v>
      </c>
      <c r="YN19">
        <v>144</v>
      </c>
      <c r="YO19" s="16">
        <v>44348</v>
      </c>
      <c r="YP19">
        <v>92924</v>
      </c>
      <c r="YQ19">
        <v>121</v>
      </c>
      <c r="YR19" s="16">
        <v>44349</v>
      </c>
      <c r="YS19">
        <v>93043</v>
      </c>
      <c r="YT19">
        <v>118</v>
      </c>
      <c r="YU19" s="16">
        <v>44351</v>
      </c>
      <c r="YV19">
        <v>93263</v>
      </c>
      <c r="YW19">
        <v>101</v>
      </c>
      <c r="YX19" s="16">
        <v>44352</v>
      </c>
      <c r="YY19">
        <v>93328</v>
      </c>
      <c r="YZ19">
        <v>65</v>
      </c>
      <c r="ZA19" s="16">
        <v>44353</v>
      </c>
      <c r="ZB19">
        <v>93389</v>
      </c>
      <c r="ZC19">
        <v>59</v>
      </c>
      <c r="ZD19" s="16">
        <v>44364</v>
      </c>
      <c r="ZE19">
        <v>94265</v>
      </c>
      <c r="ZF19">
        <v>81</v>
      </c>
      <c r="ZG19" s="16">
        <v>44365</v>
      </c>
      <c r="ZH19">
        <v>94360</v>
      </c>
      <c r="ZI19">
        <v>78</v>
      </c>
      <c r="ZJ19" s="16">
        <v>44366</v>
      </c>
      <c r="ZK19">
        <v>94416</v>
      </c>
      <c r="ZL19">
        <v>56</v>
      </c>
      <c r="ZM19" s="16">
        <v>44367</v>
      </c>
      <c r="ZN19">
        <v>94497</v>
      </c>
      <c r="ZO19">
        <v>78</v>
      </c>
      <c r="ZP19" s="16">
        <v>44368</v>
      </c>
      <c r="ZQ19">
        <v>94598</v>
      </c>
      <c r="ZR19">
        <v>109</v>
      </c>
      <c r="ZS19" s="16">
        <v>44372</v>
      </c>
      <c r="ZT19">
        <v>95199</v>
      </c>
      <c r="ZU19">
        <v>197</v>
      </c>
      <c r="ZV19" s="16">
        <v>44373</v>
      </c>
      <c r="ZW19">
        <v>95342</v>
      </c>
      <c r="ZX19">
        <v>129</v>
      </c>
      <c r="ZY19" s="16">
        <v>44374</v>
      </c>
      <c r="ZZ19">
        <v>95460</v>
      </c>
      <c r="AAA19">
        <v>118</v>
      </c>
      <c r="AAB19" s="16">
        <v>44375</v>
      </c>
      <c r="AAC19">
        <v>95695</v>
      </c>
      <c r="AAD19">
        <v>232</v>
      </c>
      <c r="AAE19" s="16">
        <v>44376</v>
      </c>
      <c r="AAF19">
        <v>95959</v>
      </c>
      <c r="AAG19">
        <v>262</v>
      </c>
      <c r="AAH19" s="16">
        <v>44379</v>
      </c>
      <c r="AAI19">
        <v>96530</v>
      </c>
      <c r="AAJ19">
        <v>167</v>
      </c>
      <c r="AAK19" s="16">
        <v>44380</v>
      </c>
      <c r="AAL19">
        <v>96665</v>
      </c>
      <c r="AAM19">
        <v>129</v>
      </c>
      <c r="AAN19" s="16">
        <v>44382</v>
      </c>
      <c r="AAO19">
        <v>97013</v>
      </c>
      <c r="AAP19">
        <v>240</v>
      </c>
      <c r="AAQ19" s="16">
        <v>44382</v>
      </c>
      <c r="AAR19">
        <v>97026</v>
      </c>
      <c r="AAS19">
        <v>243</v>
      </c>
      <c r="AAT19" s="16">
        <v>44383</v>
      </c>
      <c r="AAU19">
        <v>97282</v>
      </c>
      <c r="AAV19">
        <v>257</v>
      </c>
      <c r="AAW19" s="16">
        <v>44385</v>
      </c>
      <c r="AAX19">
        <v>97855</v>
      </c>
      <c r="AAY19">
        <v>283</v>
      </c>
      <c r="AAZ19" s="16">
        <v>44385</v>
      </c>
      <c r="ABA19">
        <v>97856</v>
      </c>
      <c r="ABB19">
        <v>282</v>
      </c>
      <c r="ABC19" s="16">
        <v>44386</v>
      </c>
      <c r="ABD19">
        <v>98167</v>
      </c>
      <c r="ABE19">
        <v>310</v>
      </c>
      <c r="ABF19" s="16">
        <v>44388</v>
      </c>
      <c r="ABG19">
        <v>98473</v>
      </c>
      <c r="ABH19">
        <v>157</v>
      </c>
      <c r="ABI19" s="16">
        <v>44388</v>
      </c>
      <c r="ABJ19">
        <v>98475</v>
      </c>
      <c r="ABK19">
        <v>157</v>
      </c>
      <c r="ABL19" s="16">
        <v>44389</v>
      </c>
      <c r="ABM19">
        <v>98803</v>
      </c>
      <c r="ABN19">
        <v>329</v>
      </c>
      <c r="ABO19" s="16">
        <v>44390</v>
      </c>
      <c r="ABP19">
        <v>99145</v>
      </c>
      <c r="ABQ19">
        <v>342</v>
      </c>
      <c r="ABR19" s="16">
        <v>44391</v>
      </c>
      <c r="ABS19">
        <v>99529</v>
      </c>
      <c r="ABT19">
        <v>383</v>
      </c>
      <c r="ABU19" s="16">
        <v>44392</v>
      </c>
      <c r="ABV19">
        <v>99915</v>
      </c>
      <c r="ABW19">
        <v>380</v>
      </c>
      <c r="ABX19" s="16">
        <v>44393</v>
      </c>
      <c r="ABY19">
        <v>100274</v>
      </c>
      <c r="ABZ19">
        <v>355</v>
      </c>
      <c r="ACA19" s="16">
        <v>44394</v>
      </c>
      <c r="ACB19">
        <v>100481</v>
      </c>
      <c r="ACC19">
        <v>203</v>
      </c>
      <c r="ACD19" s="16">
        <v>44395</v>
      </c>
      <c r="ACE19">
        <v>100729</v>
      </c>
      <c r="ACF19">
        <v>248</v>
      </c>
      <c r="ACG19" s="16">
        <v>44396</v>
      </c>
      <c r="ACH19">
        <v>101151</v>
      </c>
      <c r="ACI19">
        <v>421</v>
      </c>
      <c r="ACJ19" s="16">
        <v>44397</v>
      </c>
      <c r="ACK19">
        <v>101566</v>
      </c>
      <c r="ACL19">
        <v>422</v>
      </c>
      <c r="ACM19" s="16">
        <v>44400</v>
      </c>
      <c r="ACN19">
        <v>103000</v>
      </c>
      <c r="ACO19">
        <v>480</v>
      </c>
      <c r="ACP19" s="16">
        <v>44401</v>
      </c>
      <c r="ACQ19">
        <v>103298</v>
      </c>
      <c r="ACR19">
        <v>298</v>
      </c>
      <c r="ACS19" s="16">
        <v>44402</v>
      </c>
      <c r="ACT19">
        <v>103649</v>
      </c>
      <c r="ACU19">
        <v>351</v>
      </c>
      <c r="ACV19" s="16">
        <v>44403</v>
      </c>
      <c r="ACW19">
        <v>104414</v>
      </c>
      <c r="ACX19">
        <v>766</v>
      </c>
      <c r="ACY19" s="16">
        <v>44404</v>
      </c>
      <c r="ACZ19">
        <v>105094</v>
      </c>
      <c r="ADA19">
        <v>676</v>
      </c>
      <c r="ADB19" s="16">
        <v>44405</v>
      </c>
      <c r="ADC19">
        <v>105941</v>
      </c>
      <c r="ADD19">
        <v>844</v>
      </c>
      <c r="ADE19" s="16">
        <v>44406</v>
      </c>
      <c r="ADF19">
        <v>106708</v>
      </c>
      <c r="ADG19">
        <v>767</v>
      </c>
      <c r="ADH19" s="16">
        <v>44407</v>
      </c>
      <c r="ADI19">
        <v>107402</v>
      </c>
      <c r="ADJ19">
        <v>691</v>
      </c>
      <c r="ADK19" s="16">
        <v>44408</v>
      </c>
      <c r="ADL19">
        <v>107805</v>
      </c>
      <c r="ADM19">
        <v>403</v>
      </c>
      <c r="ADN19" s="16">
        <v>44409</v>
      </c>
      <c r="ADO19">
        <v>108281</v>
      </c>
      <c r="ADP19">
        <v>476</v>
      </c>
      <c r="ADQ19" s="16">
        <v>44410</v>
      </c>
      <c r="ADR19">
        <v>109178</v>
      </c>
      <c r="ADS19">
        <v>893</v>
      </c>
      <c r="ADT19" s="16">
        <v>44411</v>
      </c>
      <c r="ADU19">
        <v>110023</v>
      </c>
      <c r="ADV19">
        <v>839</v>
      </c>
      <c r="ADW19" s="16">
        <v>44414</v>
      </c>
      <c r="ADX19">
        <v>112359</v>
      </c>
      <c r="ADY19">
        <v>683</v>
      </c>
      <c r="ADZ19" s="16">
        <v>44415</v>
      </c>
      <c r="AEA19">
        <v>112840</v>
      </c>
      <c r="AEB19">
        <v>477</v>
      </c>
      <c r="AEC19" s="16">
        <v>44416</v>
      </c>
      <c r="AED19">
        <v>113375</v>
      </c>
      <c r="AEE19">
        <v>533</v>
      </c>
      <c r="AEF19" s="16">
        <v>44417</v>
      </c>
      <c r="AEG19">
        <v>114405</v>
      </c>
      <c r="AEH19">
        <v>1032</v>
      </c>
      <c r="AEI19" s="16">
        <v>44418</v>
      </c>
      <c r="AEJ19">
        <v>115237</v>
      </c>
      <c r="AEK19">
        <v>829</v>
      </c>
      <c r="AEL19" s="16">
        <v>44421</v>
      </c>
      <c r="AEM19">
        <v>117689</v>
      </c>
      <c r="AEN19">
        <v>736</v>
      </c>
      <c r="AEO19" s="16">
        <v>44422</v>
      </c>
      <c r="AEP19">
        <v>118132</v>
      </c>
      <c r="AEQ19">
        <v>426</v>
      </c>
      <c r="AER19" s="16">
        <v>44423</v>
      </c>
      <c r="AES19">
        <v>118574</v>
      </c>
      <c r="AET19">
        <v>442</v>
      </c>
      <c r="AEU19" s="16">
        <v>44424</v>
      </c>
      <c r="AEV19">
        <v>119341</v>
      </c>
      <c r="AEW19">
        <v>768</v>
      </c>
      <c r="AEX19" s="16">
        <v>44426</v>
      </c>
      <c r="AEY19">
        <v>120784</v>
      </c>
      <c r="AEZ19">
        <v>704</v>
      </c>
      <c r="AFA19" s="16">
        <v>44427</v>
      </c>
      <c r="AFB19">
        <v>121455</v>
      </c>
      <c r="AFC19">
        <v>665</v>
      </c>
      <c r="AFD19">
        <v>44432</v>
      </c>
      <c r="AFE19">
        <v>124211</v>
      </c>
      <c r="AFF19">
        <v>595</v>
      </c>
      <c r="AFG19">
        <v>44433</v>
      </c>
      <c r="AFH19">
        <v>124948</v>
      </c>
      <c r="AFI19">
        <v>696</v>
      </c>
      <c r="AFJ19">
        <v>44435</v>
      </c>
      <c r="AFK19">
        <v>126263</v>
      </c>
      <c r="AFL19">
        <v>704</v>
      </c>
      <c r="AFM19">
        <v>44438</v>
      </c>
      <c r="AFN19">
        <v>127893</v>
      </c>
      <c r="AFO19">
        <v>735</v>
      </c>
      <c r="AFP19">
        <v>44439</v>
      </c>
      <c r="AFQ19">
        <v>128546</v>
      </c>
      <c r="AFR19">
        <v>649</v>
      </c>
      <c r="AFS19">
        <v>44441</v>
      </c>
      <c r="AFT19">
        <v>129843</v>
      </c>
      <c r="AFU19">
        <v>648</v>
      </c>
      <c r="AFV19">
        <v>44442</v>
      </c>
      <c r="AFW19">
        <v>130366</v>
      </c>
      <c r="AFX19">
        <v>517</v>
      </c>
      <c r="AFY19">
        <v>44444</v>
      </c>
      <c r="AFZ19">
        <v>131045</v>
      </c>
      <c r="AGA19">
        <v>345</v>
      </c>
      <c r="AGB19">
        <v>44445</v>
      </c>
      <c r="AGC19">
        <v>131628</v>
      </c>
      <c r="AGD19">
        <v>580</v>
      </c>
      <c r="AGE19">
        <v>44448</v>
      </c>
      <c r="AGF19">
        <v>133088</v>
      </c>
      <c r="AGG19">
        <v>460</v>
      </c>
      <c r="AGH19">
        <v>44449</v>
      </c>
      <c r="AGI19">
        <v>133591</v>
      </c>
      <c r="AGJ19">
        <v>496</v>
      </c>
      <c r="AGK19">
        <v>44451</v>
      </c>
      <c r="AGL19">
        <v>134198</v>
      </c>
      <c r="AGM19">
        <v>279</v>
      </c>
      <c r="AGN19">
        <v>44451</v>
      </c>
      <c r="AGO19">
        <v>134199</v>
      </c>
      <c r="AGP19">
        <v>279</v>
      </c>
      <c r="AGQ19">
        <v>44452</v>
      </c>
      <c r="AGR19">
        <v>134733</v>
      </c>
      <c r="AGS19">
        <v>532</v>
      </c>
      <c r="AGT19">
        <v>44453</v>
      </c>
      <c r="AGU19">
        <v>135205</v>
      </c>
      <c r="AGV19">
        <v>474</v>
      </c>
      <c r="AGW19">
        <v>44455</v>
      </c>
      <c r="AGX19">
        <v>136089</v>
      </c>
      <c r="AGY19">
        <v>431</v>
      </c>
      <c r="AGZ19">
        <v>44457</v>
      </c>
      <c r="AHA19">
        <v>136718</v>
      </c>
      <c r="AHB19">
        <v>237</v>
      </c>
      <c r="AHC19">
        <v>44458</v>
      </c>
      <c r="AHD19">
        <v>137002</v>
      </c>
      <c r="AHE19">
        <v>282</v>
      </c>
      <c r="AHF19">
        <v>44459</v>
      </c>
      <c r="AHG19">
        <v>137488</v>
      </c>
      <c r="AHH19">
        <v>486</v>
      </c>
      <c r="AHI19">
        <v>44460</v>
      </c>
      <c r="AHJ19">
        <v>137978</v>
      </c>
      <c r="AHK19">
        <v>489</v>
      </c>
      <c r="AHL19">
        <v>44464</v>
      </c>
      <c r="AHM19">
        <v>139657</v>
      </c>
      <c r="AHN19">
        <v>294</v>
      </c>
      <c r="AHO19">
        <v>44465</v>
      </c>
      <c r="AHP19">
        <v>140014</v>
      </c>
      <c r="AHQ19">
        <v>354</v>
      </c>
      <c r="AHR19">
        <v>44466</v>
      </c>
      <c r="AHS19">
        <v>140697</v>
      </c>
      <c r="AHT19">
        <v>682</v>
      </c>
      <c r="AHU19">
        <v>44467</v>
      </c>
      <c r="AHV19">
        <v>141338</v>
      </c>
      <c r="AHW19">
        <v>642</v>
      </c>
      <c r="AHX19">
        <v>44468</v>
      </c>
      <c r="AHY19">
        <v>142008</v>
      </c>
      <c r="AHZ19">
        <v>668</v>
      </c>
      <c r="AIA19">
        <v>44472</v>
      </c>
      <c r="AIB19">
        <v>143901</v>
      </c>
      <c r="AIC19">
        <v>388</v>
      </c>
      <c r="AID19">
        <v>44476</v>
      </c>
      <c r="AIE19">
        <v>146419</v>
      </c>
      <c r="AIF19">
        <v>556</v>
      </c>
      <c r="AIG19">
        <v>44480</v>
      </c>
      <c r="AIH19">
        <v>148535</v>
      </c>
      <c r="AII19">
        <v>691</v>
      </c>
      <c r="AIJ19">
        <v>44481</v>
      </c>
      <c r="AIK19">
        <v>149169</v>
      </c>
      <c r="AIL19">
        <v>609</v>
      </c>
      <c r="AIM19">
        <v>44482</v>
      </c>
      <c r="AIN19">
        <v>149805</v>
      </c>
      <c r="AIO19">
        <v>638</v>
      </c>
      <c r="AIP19">
        <v>44485</v>
      </c>
      <c r="AIQ19">
        <v>151270</v>
      </c>
      <c r="AIR19">
        <v>343</v>
      </c>
      <c r="AIS19">
        <v>44486</v>
      </c>
      <c r="AIT19">
        <v>151592</v>
      </c>
      <c r="AIU19">
        <v>319</v>
      </c>
      <c r="AIV19">
        <v>44487</v>
      </c>
      <c r="AIW19">
        <v>152256</v>
      </c>
      <c r="AIX19">
        <v>659</v>
      </c>
      <c r="AIY19">
        <v>44488</v>
      </c>
      <c r="AIZ19">
        <v>153076</v>
      </c>
      <c r="AJA19">
        <v>549</v>
      </c>
      <c r="AJB19">
        <v>44489</v>
      </c>
      <c r="AJC19">
        <v>153592</v>
      </c>
      <c r="AJD19">
        <v>514</v>
      </c>
      <c r="AJE19">
        <v>44492</v>
      </c>
      <c r="AJF19">
        <v>155167</v>
      </c>
      <c r="AJG19">
        <v>376</v>
      </c>
      <c r="AJH19">
        <v>44493</v>
      </c>
      <c r="AJI19">
        <v>155596</v>
      </c>
      <c r="AJJ19">
        <v>388</v>
      </c>
      <c r="AJK19">
        <v>44494</v>
      </c>
      <c r="AJL19">
        <v>156387</v>
      </c>
      <c r="AJM19">
        <v>789</v>
      </c>
      <c r="AJN19">
        <v>44495</v>
      </c>
      <c r="AJO19">
        <v>157067</v>
      </c>
      <c r="AJP19">
        <v>677</v>
      </c>
      <c r="AJQ19">
        <v>44499</v>
      </c>
      <c r="AJR19">
        <v>159335</v>
      </c>
      <c r="AJS19">
        <v>400</v>
      </c>
      <c r="AJT19">
        <v>44500</v>
      </c>
      <c r="AJU19">
        <v>159780</v>
      </c>
      <c r="AJV19">
        <v>439</v>
      </c>
      <c r="AJW19">
        <v>44501</v>
      </c>
      <c r="AJX19">
        <v>160752</v>
      </c>
      <c r="AJY19">
        <v>973</v>
      </c>
      <c r="AJZ19">
        <v>44502</v>
      </c>
      <c r="AKA19">
        <v>161508</v>
      </c>
      <c r="AKB19">
        <v>753</v>
      </c>
      <c r="AKC19">
        <v>44503</v>
      </c>
      <c r="AKD19">
        <v>162282</v>
      </c>
      <c r="AKE19">
        <v>770</v>
      </c>
      <c r="AKF19">
        <v>44506</v>
      </c>
      <c r="AKG19">
        <v>164444</v>
      </c>
      <c r="AKH19">
        <v>511</v>
      </c>
      <c r="AKI19">
        <v>44509</v>
      </c>
      <c r="AKJ19">
        <v>166904</v>
      </c>
      <c r="AKK19">
        <v>829</v>
      </c>
      <c r="AKL19">
        <v>44511</v>
      </c>
      <c r="AKM19">
        <v>168810</v>
      </c>
      <c r="AKN19">
        <v>933</v>
      </c>
      <c r="AKO19">
        <v>44513</v>
      </c>
      <c r="AKP19">
        <v>170377</v>
      </c>
      <c r="AKQ19">
        <v>614</v>
      </c>
      <c r="AKR19">
        <v>44514</v>
      </c>
      <c r="AKS19">
        <v>170960</v>
      </c>
      <c r="AKT19">
        <v>571</v>
      </c>
      <c r="AKU19">
        <v>44516</v>
      </c>
      <c r="AKV19">
        <v>173404</v>
      </c>
      <c r="AKW19">
        <v>1192</v>
      </c>
      <c r="AKX19">
        <v>44517</v>
      </c>
      <c r="AKY19">
        <v>174578</v>
      </c>
      <c r="AKZ19">
        <v>1168</v>
      </c>
      <c r="ALA19">
        <v>44520</v>
      </c>
      <c r="ALB19">
        <v>177758</v>
      </c>
      <c r="ALC19">
        <v>705</v>
      </c>
      <c r="ALD19">
        <v>44521</v>
      </c>
      <c r="ALE19">
        <v>178435</v>
      </c>
      <c r="ALF19">
        <v>674</v>
      </c>
      <c r="ALG19">
        <v>44522</v>
      </c>
      <c r="ALH19">
        <v>179851</v>
      </c>
      <c r="ALI19">
        <v>1413</v>
      </c>
      <c r="ALJ19">
        <v>44523</v>
      </c>
      <c r="ALK19">
        <v>181183</v>
      </c>
      <c r="ALL19">
        <v>1333</v>
      </c>
      <c r="ALM19">
        <v>44531</v>
      </c>
      <c r="ALN19">
        <v>191231</v>
      </c>
      <c r="ALO19">
        <v>1438</v>
      </c>
    </row>
    <row r="20" spans="2:1003">
      <c r="B20" t="str">
        <f t="shared" ca="1" si="2"/>
        <v>3.12</v>
      </c>
      <c r="C20" s="4">
        <f t="shared" ca="1" si="0"/>
        <v>44533</v>
      </c>
      <c r="D20" s="11">
        <f t="shared" ca="1" si="1"/>
        <v>194232</v>
      </c>
      <c r="E20">
        <f t="shared" ca="1" si="3"/>
        <v>1525</v>
      </c>
      <c r="F20" s="11">
        <f t="shared" ca="1" si="4"/>
        <v>0</v>
      </c>
      <c r="G20" s="11">
        <f t="shared" ca="1" si="5"/>
        <v>1525</v>
      </c>
      <c r="L20" s="3"/>
      <c r="N20" s="16">
        <v>44532</v>
      </c>
      <c r="O20">
        <v>192690</v>
      </c>
      <c r="P20" s="10">
        <v>1459</v>
      </c>
      <c r="Q20" s="16">
        <v>44532</v>
      </c>
      <c r="R20">
        <v>192690</v>
      </c>
      <c r="S20">
        <v>1459</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s="16">
        <v>44281</v>
      </c>
      <c r="RU20">
        <v>75988</v>
      </c>
      <c r="RV20">
        <v>684</v>
      </c>
      <c r="RW20" s="16">
        <v>44282</v>
      </c>
      <c r="RX20">
        <v>76339</v>
      </c>
      <c r="RY20">
        <v>350</v>
      </c>
      <c r="RZ20" s="16">
        <v>44283</v>
      </c>
      <c r="SA20">
        <v>76711</v>
      </c>
      <c r="SB20">
        <v>371</v>
      </c>
      <c r="SC20" s="16">
        <v>44284</v>
      </c>
      <c r="SD20">
        <v>77366</v>
      </c>
      <c r="SE20">
        <v>655</v>
      </c>
      <c r="SF20" s="16">
        <v>44285</v>
      </c>
      <c r="SG20">
        <v>77933</v>
      </c>
      <c r="SH20">
        <v>566</v>
      </c>
      <c r="SI20" s="16">
        <v>44286</v>
      </c>
      <c r="SJ20">
        <v>78482</v>
      </c>
      <c r="SK20">
        <v>548</v>
      </c>
      <c r="SL20" s="16">
        <v>44288</v>
      </c>
      <c r="SM20">
        <v>79330</v>
      </c>
      <c r="SN20">
        <v>361</v>
      </c>
      <c r="SO20" s="16">
        <v>44289</v>
      </c>
      <c r="SP20">
        <v>79664</v>
      </c>
      <c r="SQ20">
        <v>315</v>
      </c>
      <c r="SR20" s="16">
        <v>44290</v>
      </c>
      <c r="SS20">
        <v>79989</v>
      </c>
      <c r="ST20">
        <v>319</v>
      </c>
      <c r="SU20" s="16">
        <v>44291</v>
      </c>
      <c r="SV20">
        <v>80348</v>
      </c>
      <c r="SW20">
        <v>359</v>
      </c>
      <c r="SX20" s="16">
        <v>44293</v>
      </c>
      <c r="SY20">
        <v>81313</v>
      </c>
      <c r="SZ20">
        <v>426</v>
      </c>
      <c r="TA20" s="16">
        <v>44294</v>
      </c>
      <c r="TB20">
        <v>81724</v>
      </c>
      <c r="TC20">
        <v>403</v>
      </c>
      <c r="TD20" s="16">
        <v>44296</v>
      </c>
      <c r="TE20">
        <v>82298</v>
      </c>
      <c r="TF20">
        <v>224</v>
      </c>
      <c r="TG20" s="16">
        <v>44297</v>
      </c>
      <c r="TH20">
        <v>82541</v>
      </c>
      <c r="TI20">
        <v>239</v>
      </c>
      <c r="TJ20" s="16">
        <v>44298</v>
      </c>
      <c r="TK20">
        <v>82940</v>
      </c>
      <c r="TL20">
        <v>397</v>
      </c>
      <c r="TM20" s="16">
        <v>44299</v>
      </c>
      <c r="TN20">
        <v>83265</v>
      </c>
      <c r="TO20">
        <v>324</v>
      </c>
      <c r="TP20" s="16">
        <v>44301</v>
      </c>
      <c r="TQ20">
        <v>83888</v>
      </c>
      <c r="TR20">
        <v>275</v>
      </c>
      <c r="TS20" s="16">
        <v>44302</v>
      </c>
      <c r="TT20">
        <v>84156</v>
      </c>
      <c r="TU20">
        <v>264</v>
      </c>
      <c r="TV20" s="16">
        <v>44302</v>
      </c>
      <c r="TW20">
        <v>84162</v>
      </c>
      <c r="TX20">
        <v>264</v>
      </c>
      <c r="TY20" s="16">
        <v>44303</v>
      </c>
      <c r="TZ20">
        <v>84331</v>
      </c>
      <c r="UA20">
        <v>169</v>
      </c>
      <c r="UB20" s="16">
        <v>44305</v>
      </c>
      <c r="UC20">
        <v>84770</v>
      </c>
      <c r="UD20">
        <v>284</v>
      </c>
      <c r="UE20" s="16">
        <v>44305</v>
      </c>
      <c r="UF20">
        <v>84771</v>
      </c>
      <c r="UG20">
        <v>284</v>
      </c>
      <c r="UH20" s="16">
        <v>44306</v>
      </c>
      <c r="UI20">
        <v>85059</v>
      </c>
      <c r="UJ20">
        <v>285</v>
      </c>
      <c r="UK20" s="16">
        <v>44307</v>
      </c>
      <c r="UL20">
        <v>85300</v>
      </c>
      <c r="UM20">
        <v>240</v>
      </c>
      <c r="UN20" s="16">
        <v>44311</v>
      </c>
      <c r="UO20">
        <v>86120</v>
      </c>
      <c r="UP20">
        <v>141</v>
      </c>
      <c r="UQ20" s="16">
        <v>44312</v>
      </c>
      <c r="UR20">
        <v>86366</v>
      </c>
      <c r="US20">
        <v>243</v>
      </c>
      <c r="UT20" s="16">
        <v>44313</v>
      </c>
      <c r="UU20">
        <v>86590</v>
      </c>
      <c r="UV20">
        <v>228</v>
      </c>
      <c r="UW20" s="16">
        <v>44314</v>
      </c>
      <c r="UX20">
        <v>86862</v>
      </c>
      <c r="UY20">
        <v>273</v>
      </c>
      <c r="UZ20" s="16">
        <v>44316</v>
      </c>
      <c r="VA20">
        <v>87259</v>
      </c>
      <c r="VB20">
        <v>195</v>
      </c>
      <c r="VC20" s="16">
        <v>44316</v>
      </c>
      <c r="VD20">
        <v>87254</v>
      </c>
      <c r="VE20">
        <v>195</v>
      </c>
      <c r="VF20" s="16">
        <v>44317</v>
      </c>
      <c r="VG20">
        <v>87361</v>
      </c>
      <c r="VH20">
        <v>105</v>
      </c>
      <c r="VI20" s="16">
        <v>44319</v>
      </c>
      <c r="VJ20">
        <v>87814</v>
      </c>
      <c r="VK20">
        <v>318</v>
      </c>
      <c r="VL20" s="16">
        <v>44319</v>
      </c>
      <c r="VM20">
        <v>87814</v>
      </c>
      <c r="VN20">
        <v>318</v>
      </c>
      <c r="VO20" s="16">
        <v>44320</v>
      </c>
      <c r="VP20">
        <v>88017</v>
      </c>
      <c r="VQ20">
        <v>204</v>
      </c>
      <c r="VR20" s="16">
        <v>44321</v>
      </c>
      <c r="VS20">
        <v>88285</v>
      </c>
      <c r="VT20">
        <v>267</v>
      </c>
      <c r="VU20" s="16">
        <v>44323</v>
      </c>
      <c r="VV20">
        <v>88738</v>
      </c>
      <c r="VW20">
        <v>215</v>
      </c>
      <c r="VX20" s="16">
        <v>44323</v>
      </c>
      <c r="VY20">
        <v>88741</v>
      </c>
      <c r="VZ20">
        <v>215</v>
      </c>
      <c r="WA20" s="16">
        <v>44324</v>
      </c>
      <c r="WB20">
        <v>88872</v>
      </c>
      <c r="WC20">
        <v>129</v>
      </c>
      <c r="WD20" s="16">
        <v>44325</v>
      </c>
      <c r="WE20">
        <v>89001</v>
      </c>
      <c r="WF20">
        <v>129</v>
      </c>
      <c r="WG20" s="16">
        <v>44326</v>
      </c>
      <c r="WH20">
        <v>89259</v>
      </c>
      <c r="WI20">
        <v>258</v>
      </c>
      <c r="WJ20" s="16">
        <v>44328</v>
      </c>
      <c r="WK20">
        <v>89729</v>
      </c>
      <c r="WL20">
        <v>255</v>
      </c>
      <c r="WM20" s="16">
        <v>44328</v>
      </c>
      <c r="WN20">
        <v>89731</v>
      </c>
      <c r="WO20">
        <v>255</v>
      </c>
      <c r="WP20" s="16">
        <v>44331</v>
      </c>
      <c r="WQ20">
        <v>90290</v>
      </c>
      <c r="WR20">
        <v>159</v>
      </c>
      <c r="WS20" s="16">
        <v>44332</v>
      </c>
      <c r="WT20">
        <v>90425</v>
      </c>
      <c r="WU20">
        <v>133</v>
      </c>
      <c r="WV20" s="16">
        <v>44333</v>
      </c>
      <c r="WW20">
        <v>90712</v>
      </c>
      <c r="WX20">
        <v>284</v>
      </c>
      <c r="WY20" s="16">
        <v>44334</v>
      </c>
      <c r="WZ20">
        <v>90932</v>
      </c>
      <c r="XA20">
        <v>217</v>
      </c>
      <c r="XB20" s="16">
        <v>44335</v>
      </c>
      <c r="XC20">
        <v>91161</v>
      </c>
      <c r="XD20">
        <v>229</v>
      </c>
      <c r="XE20" s="16">
        <v>44337</v>
      </c>
      <c r="XF20">
        <v>91546</v>
      </c>
      <c r="XG20">
        <v>169</v>
      </c>
      <c r="XH20" s="16">
        <v>44337</v>
      </c>
      <c r="XI20">
        <v>91552</v>
      </c>
      <c r="XJ20">
        <v>169</v>
      </c>
      <c r="XK20" s="16">
        <v>44338</v>
      </c>
      <c r="XL20">
        <v>91659</v>
      </c>
      <c r="XM20">
        <v>106</v>
      </c>
      <c r="XN20" s="16">
        <v>44339</v>
      </c>
      <c r="XO20">
        <v>91752</v>
      </c>
      <c r="XP20">
        <v>92</v>
      </c>
      <c r="XQ20" s="16">
        <v>44340</v>
      </c>
      <c r="XR20">
        <v>91941</v>
      </c>
      <c r="XS20">
        <v>188</v>
      </c>
      <c r="XT20" s="16">
        <v>44341</v>
      </c>
      <c r="XU20">
        <v>92097</v>
      </c>
      <c r="XV20">
        <v>152</v>
      </c>
      <c r="XW20" s="16">
        <v>44342</v>
      </c>
      <c r="XX20">
        <v>92242</v>
      </c>
      <c r="XY20">
        <v>142</v>
      </c>
      <c r="XZ20" s="16">
        <v>44343</v>
      </c>
      <c r="YA20">
        <v>92370</v>
      </c>
      <c r="YB20">
        <v>127</v>
      </c>
      <c r="YC20" s="16">
        <v>44345</v>
      </c>
      <c r="YD20">
        <v>92572</v>
      </c>
      <c r="YE20">
        <v>64</v>
      </c>
      <c r="YF20" s="16">
        <v>44346</v>
      </c>
      <c r="YG20">
        <v>92653</v>
      </c>
      <c r="YH20">
        <v>79</v>
      </c>
      <c r="YI20" s="16">
        <v>44347</v>
      </c>
      <c r="YJ20">
        <v>92799</v>
      </c>
      <c r="YK20">
        <v>144</v>
      </c>
      <c r="YL20" s="16">
        <v>44348</v>
      </c>
      <c r="YM20">
        <v>92921</v>
      </c>
      <c r="YN20">
        <v>122</v>
      </c>
      <c r="YO20" s="16">
        <v>44349</v>
      </c>
      <c r="YP20">
        <v>93042</v>
      </c>
      <c r="YQ20">
        <v>118</v>
      </c>
      <c r="YR20" s="16">
        <v>44350</v>
      </c>
      <c r="YS20">
        <v>93154</v>
      </c>
      <c r="YT20">
        <v>111</v>
      </c>
      <c r="YU20" s="16">
        <v>44352</v>
      </c>
      <c r="YV20">
        <v>93328</v>
      </c>
      <c r="YW20">
        <v>65</v>
      </c>
      <c r="YX20" s="16">
        <v>44353</v>
      </c>
      <c r="YY20">
        <v>93387</v>
      </c>
      <c r="YZ20">
        <v>59</v>
      </c>
      <c r="ZA20" s="16">
        <v>44354</v>
      </c>
      <c r="ZB20">
        <v>93525</v>
      </c>
      <c r="ZC20">
        <v>136</v>
      </c>
      <c r="ZD20" s="16">
        <v>44365</v>
      </c>
      <c r="ZE20">
        <v>94330</v>
      </c>
      <c r="ZF20">
        <v>65</v>
      </c>
      <c r="ZG20" s="16">
        <v>44366</v>
      </c>
      <c r="ZH20">
        <v>94416</v>
      </c>
      <c r="ZI20">
        <v>56</v>
      </c>
      <c r="ZJ20" s="16">
        <v>44367</v>
      </c>
      <c r="ZK20">
        <v>94494</v>
      </c>
      <c r="ZL20">
        <v>78</v>
      </c>
      <c r="ZM20" s="16">
        <v>44368</v>
      </c>
      <c r="ZN20">
        <v>94606</v>
      </c>
      <c r="ZO20">
        <v>109</v>
      </c>
      <c r="ZP20" s="16">
        <v>44369</v>
      </c>
      <c r="ZQ20">
        <v>94707</v>
      </c>
      <c r="ZR20">
        <v>109</v>
      </c>
      <c r="ZS20" s="16">
        <v>44373</v>
      </c>
      <c r="ZT20">
        <v>95328</v>
      </c>
      <c r="ZU20">
        <v>129</v>
      </c>
      <c r="ZV20" s="16">
        <v>44374</v>
      </c>
      <c r="ZW20">
        <v>95460</v>
      </c>
      <c r="ZX20">
        <v>118</v>
      </c>
      <c r="ZY20" s="16">
        <v>44375</v>
      </c>
      <c r="ZZ20">
        <v>95692</v>
      </c>
      <c r="AAA20">
        <v>232</v>
      </c>
      <c r="AAB20" s="16">
        <v>44376</v>
      </c>
      <c r="AAC20">
        <v>95954</v>
      </c>
      <c r="AAD20">
        <v>259</v>
      </c>
      <c r="AAE20" s="16">
        <v>44377</v>
      </c>
      <c r="AAF20">
        <v>96152</v>
      </c>
      <c r="AAG20">
        <v>193</v>
      </c>
      <c r="AAH20" s="16">
        <v>44380</v>
      </c>
      <c r="AAI20">
        <v>96661</v>
      </c>
      <c r="AAJ20">
        <v>131</v>
      </c>
      <c r="AAK20" s="16">
        <v>44381</v>
      </c>
      <c r="AAL20">
        <v>96774</v>
      </c>
      <c r="AAM20">
        <v>109</v>
      </c>
      <c r="AAN20" s="16">
        <v>44383</v>
      </c>
      <c r="AAO20">
        <v>97270</v>
      </c>
      <c r="AAP20">
        <v>257</v>
      </c>
      <c r="AAQ20" s="16">
        <v>44383</v>
      </c>
      <c r="AAR20">
        <v>97283</v>
      </c>
      <c r="AAS20">
        <v>257</v>
      </c>
      <c r="AAT20" s="16">
        <v>44384</v>
      </c>
      <c r="AAU20">
        <v>97573</v>
      </c>
      <c r="AAV20">
        <v>291</v>
      </c>
      <c r="AAW20" s="16">
        <v>44386</v>
      </c>
      <c r="AAX20">
        <v>98163</v>
      </c>
      <c r="AAY20">
        <v>308</v>
      </c>
      <c r="AAZ20" s="16">
        <v>44386</v>
      </c>
      <c r="ABA20">
        <v>98165</v>
      </c>
      <c r="ABB20">
        <v>309</v>
      </c>
      <c r="ABC20" s="16">
        <v>44387</v>
      </c>
      <c r="ABD20">
        <v>98317</v>
      </c>
      <c r="ABE20">
        <v>150</v>
      </c>
      <c r="ABF20" s="16">
        <v>44389</v>
      </c>
      <c r="ABG20">
        <v>98802</v>
      </c>
      <c r="ABH20">
        <v>329</v>
      </c>
      <c r="ABI20" s="16">
        <v>44389</v>
      </c>
      <c r="ABJ20">
        <v>98804</v>
      </c>
      <c r="ABK20">
        <v>329</v>
      </c>
      <c r="ABL20" s="16">
        <v>44390</v>
      </c>
      <c r="ABM20">
        <v>99144</v>
      </c>
      <c r="ABN20">
        <v>341</v>
      </c>
      <c r="ABO20" s="16">
        <v>44391</v>
      </c>
      <c r="ABP20">
        <v>99527</v>
      </c>
      <c r="ABQ20">
        <v>382</v>
      </c>
      <c r="ABR20" s="16">
        <v>44392</v>
      </c>
      <c r="ABS20">
        <v>99909</v>
      </c>
      <c r="ABT20">
        <v>380</v>
      </c>
      <c r="ABU20" s="16">
        <v>44393</v>
      </c>
      <c r="ABV20">
        <v>100270</v>
      </c>
      <c r="ABW20">
        <v>355</v>
      </c>
      <c r="ABX20" s="16">
        <v>44394</v>
      </c>
      <c r="ABY20">
        <v>100477</v>
      </c>
      <c r="ABZ20">
        <v>203</v>
      </c>
      <c r="ACA20" s="16">
        <v>44395</v>
      </c>
      <c r="ACB20">
        <v>100729</v>
      </c>
      <c r="ACC20">
        <v>248</v>
      </c>
      <c r="ACD20" s="16">
        <v>44396</v>
      </c>
      <c r="ACE20">
        <v>101149</v>
      </c>
      <c r="ACF20">
        <v>420</v>
      </c>
      <c r="ACG20" s="16">
        <v>44397</v>
      </c>
      <c r="ACH20">
        <v>101573</v>
      </c>
      <c r="ACI20">
        <v>422</v>
      </c>
      <c r="ACJ20" s="16">
        <v>44398</v>
      </c>
      <c r="ACK20">
        <v>102033</v>
      </c>
      <c r="ACL20">
        <v>467</v>
      </c>
      <c r="ACM20" s="16">
        <v>44401</v>
      </c>
      <c r="ACN20">
        <v>103298</v>
      </c>
      <c r="ACO20">
        <v>298</v>
      </c>
      <c r="ACP20" s="16">
        <v>44402</v>
      </c>
      <c r="ACQ20">
        <v>103649</v>
      </c>
      <c r="ACR20">
        <v>351</v>
      </c>
      <c r="ACS20" s="16">
        <v>44403</v>
      </c>
      <c r="ACT20">
        <v>104415</v>
      </c>
      <c r="ACU20">
        <v>766</v>
      </c>
      <c r="ACV20" s="16">
        <v>44404</v>
      </c>
      <c r="ACW20">
        <v>105089</v>
      </c>
      <c r="ACX20">
        <v>675</v>
      </c>
      <c r="ACY20" s="16">
        <v>44405</v>
      </c>
      <c r="ACZ20">
        <v>105938</v>
      </c>
      <c r="ADA20">
        <v>844</v>
      </c>
      <c r="ADB20" s="16">
        <v>44406</v>
      </c>
      <c r="ADC20">
        <v>106707</v>
      </c>
      <c r="ADD20">
        <v>766</v>
      </c>
      <c r="ADE20" s="16">
        <v>44407</v>
      </c>
      <c r="ADF20">
        <v>107399</v>
      </c>
      <c r="ADG20">
        <v>691</v>
      </c>
      <c r="ADH20" s="16">
        <v>44408</v>
      </c>
      <c r="ADI20">
        <v>107805</v>
      </c>
      <c r="ADJ20">
        <v>403</v>
      </c>
      <c r="ADK20" s="16">
        <v>44409</v>
      </c>
      <c r="ADL20">
        <v>108281</v>
      </c>
      <c r="ADM20">
        <v>476</v>
      </c>
      <c r="ADN20" s="16">
        <v>44410</v>
      </c>
      <c r="ADO20">
        <v>109174</v>
      </c>
      <c r="ADP20">
        <v>893</v>
      </c>
      <c r="ADQ20" s="16">
        <v>44411</v>
      </c>
      <c r="ADR20">
        <v>110019</v>
      </c>
      <c r="ADS20">
        <v>841</v>
      </c>
      <c r="ADT20" s="16">
        <v>44412</v>
      </c>
      <c r="ADU20">
        <v>110805</v>
      </c>
      <c r="ADV20">
        <v>782</v>
      </c>
      <c r="ADW20" s="16">
        <v>44415</v>
      </c>
      <c r="ADX20">
        <v>112836</v>
      </c>
      <c r="ADY20">
        <v>477</v>
      </c>
      <c r="ADZ20" s="16">
        <v>44416</v>
      </c>
      <c r="AEA20">
        <v>113373</v>
      </c>
      <c r="AEB20">
        <v>533</v>
      </c>
      <c r="AEC20" s="16">
        <v>44417</v>
      </c>
      <c r="AED20">
        <v>114407</v>
      </c>
      <c r="AEE20">
        <v>1032</v>
      </c>
      <c r="AEF20" s="16">
        <v>44418</v>
      </c>
      <c r="AEG20">
        <v>115234</v>
      </c>
      <c r="AEH20">
        <v>829</v>
      </c>
      <c r="AEI20" s="16">
        <v>44419</v>
      </c>
      <c r="AEJ20">
        <v>116162</v>
      </c>
      <c r="AEK20">
        <v>925</v>
      </c>
      <c r="AEL20" s="16">
        <v>44422</v>
      </c>
      <c r="AEM20">
        <v>118115</v>
      </c>
      <c r="AEN20">
        <v>426</v>
      </c>
      <c r="AEO20" s="16">
        <v>44423</v>
      </c>
      <c r="AEP20">
        <v>118574</v>
      </c>
      <c r="AEQ20">
        <v>442</v>
      </c>
      <c r="AER20" s="16">
        <v>44424</v>
      </c>
      <c r="AES20">
        <v>119342</v>
      </c>
      <c r="AET20">
        <v>768</v>
      </c>
      <c r="AEU20" s="16">
        <v>44425</v>
      </c>
      <c r="AEV20">
        <v>120083</v>
      </c>
      <c r="AEW20">
        <v>742</v>
      </c>
      <c r="AEX20" s="16">
        <v>44427</v>
      </c>
      <c r="AEY20">
        <v>121448</v>
      </c>
      <c r="AEZ20">
        <v>664</v>
      </c>
      <c r="AFA20" s="16">
        <v>44428</v>
      </c>
      <c r="AFB20">
        <v>122112</v>
      </c>
      <c r="AFC20">
        <v>657</v>
      </c>
      <c r="AFD20">
        <v>44433</v>
      </c>
      <c r="AFE20">
        <v>124906</v>
      </c>
      <c r="AFF20">
        <v>695</v>
      </c>
      <c r="AFG20">
        <v>44434</v>
      </c>
      <c r="AFH20">
        <v>125553</v>
      </c>
      <c r="AFI20">
        <v>605</v>
      </c>
      <c r="AFJ20">
        <v>44436</v>
      </c>
      <c r="AFK20">
        <v>126697</v>
      </c>
      <c r="AFL20">
        <v>434</v>
      </c>
      <c r="AFM20">
        <v>44439</v>
      </c>
      <c r="AFN20">
        <v>128541</v>
      </c>
      <c r="AFO20">
        <v>648</v>
      </c>
      <c r="AFP20">
        <v>44440</v>
      </c>
      <c r="AFQ20">
        <v>129194</v>
      </c>
      <c r="AFR20">
        <v>648</v>
      </c>
      <c r="AFS20">
        <v>44442</v>
      </c>
      <c r="AFT20">
        <v>130360</v>
      </c>
      <c r="AFU20">
        <v>517</v>
      </c>
      <c r="AFV20">
        <v>44443</v>
      </c>
      <c r="AFW20">
        <v>130700</v>
      </c>
      <c r="AFX20">
        <v>334</v>
      </c>
      <c r="AFY20">
        <v>44445</v>
      </c>
      <c r="AFZ20">
        <v>131625</v>
      </c>
      <c r="AGA20">
        <v>580</v>
      </c>
      <c r="AGB20">
        <v>44446</v>
      </c>
      <c r="AGC20">
        <v>132141</v>
      </c>
      <c r="AGD20">
        <v>513</v>
      </c>
      <c r="AGE20">
        <v>44449</v>
      </c>
      <c r="AGF20">
        <v>133581</v>
      </c>
      <c r="AGG20">
        <v>493</v>
      </c>
      <c r="AGH20">
        <v>44450</v>
      </c>
      <c r="AGI20">
        <v>133917</v>
      </c>
      <c r="AGJ20">
        <v>326</v>
      </c>
      <c r="AGK20">
        <v>44452</v>
      </c>
      <c r="AGL20">
        <v>134730</v>
      </c>
      <c r="AGM20">
        <v>532</v>
      </c>
      <c r="AGN20">
        <v>44452</v>
      </c>
      <c r="AGO20">
        <v>134731</v>
      </c>
      <c r="AGP20">
        <v>532</v>
      </c>
      <c r="AGQ20">
        <v>44453</v>
      </c>
      <c r="AGR20">
        <v>135207</v>
      </c>
      <c r="AGS20">
        <v>474</v>
      </c>
      <c r="AGT20">
        <v>44454</v>
      </c>
      <c r="AGU20">
        <v>135661</v>
      </c>
      <c r="AGV20">
        <v>456</v>
      </c>
      <c r="AGW20">
        <v>44456</v>
      </c>
      <c r="AGX20">
        <v>136475</v>
      </c>
      <c r="AGY20">
        <v>386</v>
      </c>
      <c r="AGZ20">
        <v>44458</v>
      </c>
      <c r="AHA20">
        <v>137000</v>
      </c>
      <c r="AHB20">
        <v>282</v>
      </c>
      <c r="AHC20">
        <v>44459</v>
      </c>
      <c r="AHD20">
        <v>137488</v>
      </c>
      <c r="AHE20">
        <v>486</v>
      </c>
      <c r="AHF20">
        <v>44460</v>
      </c>
      <c r="AHG20">
        <v>137978</v>
      </c>
      <c r="AHH20">
        <v>490</v>
      </c>
      <c r="AHI20">
        <v>44461</v>
      </c>
      <c r="AHJ20">
        <v>138462</v>
      </c>
      <c r="AHK20">
        <v>484</v>
      </c>
      <c r="AHL20">
        <v>44465</v>
      </c>
      <c r="AHM20">
        <v>140011</v>
      </c>
      <c r="AHN20">
        <v>354</v>
      </c>
      <c r="AHO20">
        <v>44466</v>
      </c>
      <c r="AHP20">
        <v>140696</v>
      </c>
      <c r="AHQ20">
        <v>682</v>
      </c>
      <c r="AHR20">
        <v>44467</v>
      </c>
      <c r="AHS20">
        <v>141339</v>
      </c>
      <c r="AHT20">
        <v>642</v>
      </c>
      <c r="AHU20">
        <v>44468</v>
      </c>
      <c r="AHV20">
        <v>142005</v>
      </c>
      <c r="AHW20">
        <v>667</v>
      </c>
      <c r="AHX20">
        <v>44469</v>
      </c>
      <c r="AHY20">
        <v>142620</v>
      </c>
      <c r="AHZ20">
        <v>612</v>
      </c>
      <c r="AIA20">
        <v>44473</v>
      </c>
      <c r="AIB20">
        <v>144642</v>
      </c>
      <c r="AIC20">
        <v>741</v>
      </c>
      <c r="AID20">
        <v>44477</v>
      </c>
      <c r="AIE20">
        <v>147010</v>
      </c>
      <c r="AIF20">
        <v>591</v>
      </c>
      <c r="AIG20">
        <v>44481</v>
      </c>
      <c r="AIH20">
        <v>149145</v>
      </c>
      <c r="AII20">
        <v>610</v>
      </c>
      <c r="AIJ20">
        <v>44482</v>
      </c>
      <c r="AIK20">
        <v>149807</v>
      </c>
      <c r="AIL20">
        <v>638</v>
      </c>
      <c r="AIM20">
        <v>44483</v>
      </c>
      <c r="AIN20">
        <v>150362</v>
      </c>
      <c r="AIO20">
        <v>557</v>
      </c>
      <c r="AIP20">
        <v>44486</v>
      </c>
      <c r="AIQ20">
        <v>151589</v>
      </c>
      <c r="AIR20">
        <v>319</v>
      </c>
      <c r="AIS20">
        <v>44487</v>
      </c>
      <c r="AIT20">
        <v>152251</v>
      </c>
      <c r="AIU20">
        <v>659</v>
      </c>
      <c r="AIV20">
        <v>44488</v>
      </c>
      <c r="AIW20">
        <v>152806</v>
      </c>
      <c r="AIX20">
        <v>550</v>
      </c>
      <c r="AIY20">
        <v>44489</v>
      </c>
      <c r="AIZ20">
        <v>153590</v>
      </c>
      <c r="AJA20">
        <v>514</v>
      </c>
      <c r="AJB20">
        <v>44490</v>
      </c>
      <c r="AJC20">
        <v>154215</v>
      </c>
      <c r="AJD20">
        <v>623</v>
      </c>
      <c r="AJE20">
        <v>44493</v>
      </c>
      <c r="AJF20">
        <v>155554</v>
      </c>
      <c r="AJG20">
        <v>387</v>
      </c>
      <c r="AJH20">
        <v>44494</v>
      </c>
      <c r="AJI20">
        <v>156385</v>
      </c>
      <c r="AJJ20">
        <v>789</v>
      </c>
      <c r="AJK20">
        <v>44495</v>
      </c>
      <c r="AJL20">
        <v>157064</v>
      </c>
      <c r="AJM20">
        <v>677</v>
      </c>
      <c r="AJN20">
        <v>44496</v>
      </c>
      <c r="AJO20">
        <v>157708</v>
      </c>
      <c r="AJP20">
        <v>641</v>
      </c>
      <c r="AJQ20">
        <v>44500</v>
      </c>
      <c r="AJR20">
        <v>159774</v>
      </c>
      <c r="AJS20">
        <v>439</v>
      </c>
      <c r="AJT20">
        <v>44501</v>
      </c>
      <c r="AJU20">
        <v>160753</v>
      </c>
      <c r="AJV20">
        <v>973</v>
      </c>
      <c r="AJW20">
        <v>44502</v>
      </c>
      <c r="AJX20">
        <v>161505</v>
      </c>
      <c r="AJY20">
        <v>753</v>
      </c>
      <c r="AJZ20">
        <v>44503</v>
      </c>
      <c r="AKA20">
        <v>162279</v>
      </c>
      <c r="AKB20">
        <v>771</v>
      </c>
      <c r="AKC20">
        <v>44504</v>
      </c>
      <c r="AKD20">
        <v>163085</v>
      </c>
      <c r="AKE20">
        <v>803</v>
      </c>
      <c r="AKF20">
        <v>44507</v>
      </c>
      <c r="AKG20">
        <v>164952</v>
      </c>
      <c r="AKH20">
        <v>508</v>
      </c>
      <c r="AKI20">
        <v>44510</v>
      </c>
      <c r="AKJ20">
        <v>167872</v>
      </c>
      <c r="AKK20">
        <v>968</v>
      </c>
      <c r="AKL20">
        <v>44512</v>
      </c>
      <c r="AKM20">
        <v>169755</v>
      </c>
      <c r="AKN20">
        <v>945</v>
      </c>
      <c r="AKO20">
        <v>44514</v>
      </c>
      <c r="AKP20">
        <v>170948</v>
      </c>
      <c r="AKQ20">
        <v>571</v>
      </c>
      <c r="AKR20">
        <v>44515</v>
      </c>
      <c r="AKS20">
        <v>172211</v>
      </c>
      <c r="AKT20">
        <v>1251</v>
      </c>
      <c r="AKU20">
        <v>44517</v>
      </c>
      <c r="AKV20">
        <v>174568</v>
      </c>
      <c r="AKW20">
        <v>1164</v>
      </c>
      <c r="AKX20">
        <v>44518</v>
      </c>
      <c r="AKY20">
        <v>175788</v>
      </c>
      <c r="AKZ20">
        <v>1210</v>
      </c>
      <c r="ALA20">
        <v>44521</v>
      </c>
      <c r="ALB20">
        <v>178432</v>
      </c>
      <c r="ALC20">
        <v>674</v>
      </c>
      <c r="ALD20">
        <v>44522</v>
      </c>
      <c r="ALE20">
        <v>179847</v>
      </c>
      <c r="ALF20">
        <v>1412</v>
      </c>
      <c r="ALG20">
        <v>44523</v>
      </c>
      <c r="ALH20">
        <v>181184</v>
      </c>
      <c r="ALI20">
        <v>1333</v>
      </c>
      <c r="ALJ20">
        <v>44524</v>
      </c>
      <c r="ALK20">
        <v>182435</v>
      </c>
      <c r="ALL20">
        <v>1252</v>
      </c>
      <c r="ALM20">
        <v>44532</v>
      </c>
      <c r="ALN20">
        <v>192690</v>
      </c>
      <c r="ALO20">
        <v>1459</v>
      </c>
    </row>
    <row r="21" spans="2:1003" s="10" customFormat="1">
      <c r="B21" t="str">
        <f t="shared" ca="1" si="2"/>
        <v>4.12</v>
      </c>
      <c r="C21" s="9">
        <f t="shared" ca="1" si="0"/>
        <v>44534</v>
      </c>
      <c r="D21" s="10">
        <f t="shared" ca="1" si="1"/>
        <v>195208</v>
      </c>
      <c r="E21" s="10">
        <f t="shared" ca="1" si="3"/>
        <v>976</v>
      </c>
      <c r="F21" s="10">
        <f t="shared" ca="1" si="4"/>
        <v>6</v>
      </c>
      <c r="G21" s="10">
        <f t="shared" ca="1" si="5"/>
        <v>970</v>
      </c>
      <c r="H21" s="10">
        <f ca="1">SUM(E21:E27)</f>
        <v>10185</v>
      </c>
      <c r="I21" s="10" t="str">
        <f ca="1">TEXT(H21/H14-1,"0 %")</f>
        <v>12 %</v>
      </c>
      <c r="J21" s="10">
        <f ca="1">SUM(E21:E34)</f>
        <v>19086</v>
      </c>
      <c r="L21" s="14"/>
      <c r="M21"/>
      <c r="N21" s="17">
        <v>44533</v>
      </c>
      <c r="O21" s="10">
        <v>194215</v>
      </c>
      <c r="P21">
        <v>1525</v>
      </c>
      <c r="Q21" s="17">
        <v>44533</v>
      </c>
      <c r="R21" s="10">
        <v>194215</v>
      </c>
      <c r="S21" s="10">
        <v>1525</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7">
        <v>44282</v>
      </c>
      <c r="RU21" s="10">
        <v>76338</v>
      </c>
      <c r="RV21" s="10">
        <v>350</v>
      </c>
      <c r="RW21" s="17">
        <v>44283</v>
      </c>
      <c r="RX21" s="10">
        <v>76710</v>
      </c>
      <c r="RY21" s="10">
        <v>371</v>
      </c>
      <c r="RZ21" s="17">
        <v>44284</v>
      </c>
      <c r="SA21" s="10">
        <v>77366</v>
      </c>
      <c r="SB21" s="10">
        <v>655</v>
      </c>
      <c r="SC21" s="17">
        <v>44285</v>
      </c>
      <c r="SD21" s="10">
        <v>77932</v>
      </c>
      <c r="SE21" s="10">
        <v>566</v>
      </c>
      <c r="SF21" s="17">
        <v>44286</v>
      </c>
      <c r="SG21" s="10">
        <v>78481</v>
      </c>
      <c r="SH21" s="10">
        <v>548</v>
      </c>
      <c r="SI21" s="17">
        <v>44287</v>
      </c>
      <c r="SJ21" s="10">
        <v>78970</v>
      </c>
      <c r="SK21" s="10">
        <v>488</v>
      </c>
      <c r="SL21" s="17">
        <v>44289</v>
      </c>
      <c r="SM21" s="10">
        <v>79645</v>
      </c>
      <c r="SN21" s="10">
        <v>315</v>
      </c>
      <c r="SO21" s="17">
        <v>44290</v>
      </c>
      <c r="SP21" s="10">
        <v>79983</v>
      </c>
      <c r="SQ21" s="10">
        <v>319</v>
      </c>
      <c r="SR21" s="17">
        <v>44291</v>
      </c>
      <c r="SS21" s="10">
        <v>80348</v>
      </c>
      <c r="ST21" s="10">
        <v>359</v>
      </c>
      <c r="SU21" s="17">
        <v>44292</v>
      </c>
      <c r="SV21" s="10">
        <v>80888</v>
      </c>
      <c r="SW21" s="10">
        <v>540</v>
      </c>
      <c r="SX21" s="17">
        <v>44294</v>
      </c>
      <c r="SY21" s="10">
        <v>81718</v>
      </c>
      <c r="SZ21" s="10">
        <v>405</v>
      </c>
      <c r="TA21" s="17">
        <v>44295</v>
      </c>
      <c r="TB21" s="10">
        <v>82072</v>
      </c>
      <c r="TC21" s="10">
        <v>348</v>
      </c>
      <c r="TD21" s="17">
        <v>44297</v>
      </c>
      <c r="TE21" s="10">
        <v>82537</v>
      </c>
      <c r="TF21" s="10">
        <v>239</v>
      </c>
      <c r="TG21" s="17">
        <v>44298</v>
      </c>
      <c r="TH21" s="10">
        <v>82938</v>
      </c>
      <c r="TI21" s="10">
        <v>397</v>
      </c>
      <c r="TJ21" s="17">
        <v>44299</v>
      </c>
      <c r="TK21" s="10">
        <v>83264</v>
      </c>
      <c r="TL21" s="10">
        <v>324</v>
      </c>
      <c r="TM21" s="17">
        <v>44300</v>
      </c>
      <c r="TN21" s="10">
        <v>83610</v>
      </c>
      <c r="TO21" s="10">
        <v>345</v>
      </c>
      <c r="TP21" s="17">
        <v>44302</v>
      </c>
      <c r="TQ21" s="10">
        <v>84152</v>
      </c>
      <c r="TR21" s="10">
        <v>264</v>
      </c>
      <c r="TS21" s="17">
        <v>44303</v>
      </c>
      <c r="TT21" s="10">
        <v>84325</v>
      </c>
      <c r="TU21" s="10">
        <v>169</v>
      </c>
      <c r="TV21" s="17">
        <v>44303</v>
      </c>
      <c r="TW21" s="10">
        <v>84331</v>
      </c>
      <c r="TX21" s="10">
        <v>169</v>
      </c>
      <c r="TY21" s="17">
        <v>44304</v>
      </c>
      <c r="TZ21" s="10">
        <v>84486</v>
      </c>
      <c r="UA21" s="10">
        <v>155</v>
      </c>
      <c r="UB21" s="17">
        <v>44306</v>
      </c>
      <c r="UC21" s="10">
        <v>85055</v>
      </c>
      <c r="UD21" s="10">
        <v>285</v>
      </c>
      <c r="UE21" s="17">
        <v>44306</v>
      </c>
      <c r="UF21" s="10">
        <v>85056</v>
      </c>
      <c r="UG21" s="10">
        <v>285</v>
      </c>
      <c r="UH21" s="17">
        <v>44307</v>
      </c>
      <c r="UI21" s="10">
        <v>85299</v>
      </c>
      <c r="UJ21" s="10">
        <v>240</v>
      </c>
      <c r="UK21" s="17">
        <v>44308</v>
      </c>
      <c r="UL21" s="10">
        <v>85561</v>
      </c>
      <c r="UM21" s="10">
        <v>261</v>
      </c>
      <c r="UN21" s="17">
        <v>44312</v>
      </c>
      <c r="UO21" s="10">
        <v>86361</v>
      </c>
      <c r="UP21" s="10">
        <v>241</v>
      </c>
      <c r="UQ21" s="17">
        <v>44313</v>
      </c>
      <c r="UR21" s="10">
        <v>86594</v>
      </c>
      <c r="US21" s="10">
        <v>228</v>
      </c>
      <c r="UT21" s="17">
        <v>44314</v>
      </c>
      <c r="UU21" s="10">
        <v>86863</v>
      </c>
      <c r="UV21" s="10">
        <v>273</v>
      </c>
      <c r="UW21" s="17">
        <v>44315</v>
      </c>
      <c r="UX21" s="10">
        <v>87063</v>
      </c>
      <c r="UY21" s="10">
        <v>201</v>
      </c>
      <c r="UZ21" s="17">
        <v>44317</v>
      </c>
      <c r="VA21" s="10">
        <v>87364</v>
      </c>
      <c r="VB21" s="10">
        <v>105</v>
      </c>
      <c r="VC21" s="17">
        <v>44317</v>
      </c>
      <c r="VD21" s="10">
        <v>87359</v>
      </c>
      <c r="VE21" s="10">
        <v>105</v>
      </c>
      <c r="VF21" s="17">
        <v>44318</v>
      </c>
      <c r="VG21" s="10">
        <v>87496</v>
      </c>
      <c r="VH21" s="10">
        <v>135</v>
      </c>
      <c r="VI21" s="17">
        <v>44320</v>
      </c>
      <c r="VJ21" s="10">
        <v>88020</v>
      </c>
      <c r="VK21" s="10">
        <v>206</v>
      </c>
      <c r="VL21" s="17">
        <v>44320</v>
      </c>
      <c r="VM21" s="10">
        <v>88018</v>
      </c>
      <c r="VN21" s="10">
        <v>204</v>
      </c>
      <c r="VO21" s="17">
        <v>44321</v>
      </c>
      <c r="VP21" s="10">
        <v>88284</v>
      </c>
      <c r="VQ21" s="10">
        <v>267</v>
      </c>
      <c r="VR21" s="17">
        <v>44322</v>
      </c>
      <c r="VS21" s="10">
        <v>88520</v>
      </c>
      <c r="VT21" s="10">
        <v>235</v>
      </c>
      <c r="VU21" s="17">
        <v>44324</v>
      </c>
      <c r="VV21" s="10">
        <v>88867</v>
      </c>
      <c r="VW21" s="10">
        <v>129</v>
      </c>
      <c r="VX21" s="17">
        <v>44324</v>
      </c>
      <c r="VY21" s="10">
        <v>88870</v>
      </c>
      <c r="VZ21" s="10">
        <v>129</v>
      </c>
      <c r="WA21" s="17">
        <v>44325</v>
      </c>
      <c r="WB21" s="10">
        <v>89001</v>
      </c>
      <c r="WC21" s="10">
        <v>129</v>
      </c>
      <c r="WD21" s="17">
        <v>44326</v>
      </c>
      <c r="WE21" s="10">
        <v>89259</v>
      </c>
      <c r="WF21" s="10">
        <v>258</v>
      </c>
      <c r="WG21" s="17">
        <v>44327</v>
      </c>
      <c r="WH21" s="10">
        <v>89473</v>
      </c>
      <c r="WI21" s="10">
        <v>214</v>
      </c>
      <c r="WJ21" s="17">
        <v>44329</v>
      </c>
      <c r="WK21" s="10">
        <v>89884</v>
      </c>
      <c r="WL21" s="10">
        <v>155</v>
      </c>
      <c r="WM21" s="17">
        <v>44329</v>
      </c>
      <c r="WN21" s="10">
        <v>89886</v>
      </c>
      <c r="WO21" s="10">
        <v>155</v>
      </c>
      <c r="WP21" s="17">
        <v>44332</v>
      </c>
      <c r="WQ21" s="10">
        <v>90423</v>
      </c>
      <c r="WR21" s="10">
        <v>133</v>
      </c>
      <c r="WS21" s="17">
        <v>44333</v>
      </c>
      <c r="WT21" s="10">
        <v>90709</v>
      </c>
      <c r="WU21" s="10">
        <v>284</v>
      </c>
      <c r="WV21" s="17">
        <v>44334</v>
      </c>
      <c r="WW21" s="10">
        <v>90929</v>
      </c>
      <c r="WX21" s="10">
        <v>217</v>
      </c>
      <c r="WY21" s="17">
        <v>44335</v>
      </c>
      <c r="WZ21" s="10">
        <v>91161</v>
      </c>
      <c r="XA21" s="10">
        <v>229</v>
      </c>
      <c r="XB21" s="17">
        <v>44336</v>
      </c>
      <c r="XC21" s="10">
        <v>91376</v>
      </c>
      <c r="XD21" s="10">
        <v>215</v>
      </c>
      <c r="XE21" s="17">
        <v>44338</v>
      </c>
      <c r="XF21" s="10">
        <v>91652</v>
      </c>
      <c r="XG21" s="10">
        <v>106</v>
      </c>
      <c r="XH21" s="17">
        <v>44338</v>
      </c>
      <c r="XI21" s="10">
        <v>91658</v>
      </c>
      <c r="XJ21" s="10">
        <v>106</v>
      </c>
      <c r="XK21" s="17">
        <v>44339</v>
      </c>
      <c r="XL21" s="10">
        <v>91751</v>
      </c>
      <c r="XM21" s="10">
        <v>92</v>
      </c>
      <c r="XN21" s="17">
        <v>44340</v>
      </c>
      <c r="XO21" s="10">
        <v>91940</v>
      </c>
      <c r="XP21" s="10">
        <v>188</v>
      </c>
      <c r="XQ21" s="17">
        <v>44341</v>
      </c>
      <c r="XR21" s="10">
        <v>92093</v>
      </c>
      <c r="XS21" s="10">
        <v>152</v>
      </c>
      <c r="XT21" s="17">
        <v>44342</v>
      </c>
      <c r="XU21" s="10">
        <v>92239</v>
      </c>
      <c r="XV21" s="10">
        <v>142</v>
      </c>
      <c r="XW21" s="17">
        <v>44343</v>
      </c>
      <c r="XX21" s="10">
        <v>92369</v>
      </c>
      <c r="XY21" s="10">
        <v>127</v>
      </c>
      <c r="XZ21" s="17">
        <v>44344</v>
      </c>
      <c r="YA21" s="10">
        <v>92506</v>
      </c>
      <c r="YB21" s="10">
        <v>136</v>
      </c>
      <c r="YC21" s="17">
        <v>44346</v>
      </c>
      <c r="YD21" s="10">
        <v>92651</v>
      </c>
      <c r="YE21" s="10">
        <v>79</v>
      </c>
      <c r="YF21" s="17">
        <v>44347</v>
      </c>
      <c r="YG21" s="10">
        <v>92797</v>
      </c>
      <c r="YH21" s="10">
        <v>144</v>
      </c>
      <c r="YI21" s="17">
        <v>44348</v>
      </c>
      <c r="YJ21" s="10">
        <v>92921</v>
      </c>
      <c r="YK21" s="10">
        <v>122</v>
      </c>
      <c r="YL21" s="17">
        <v>44349</v>
      </c>
      <c r="YM21" s="10">
        <v>93039</v>
      </c>
      <c r="YN21" s="10">
        <v>118</v>
      </c>
      <c r="YO21" s="17">
        <v>44350</v>
      </c>
      <c r="YP21" s="10">
        <v>93152</v>
      </c>
      <c r="YQ21" s="10">
        <v>110</v>
      </c>
      <c r="YR21" s="17">
        <v>44351</v>
      </c>
      <c r="YS21" s="10">
        <v>93255</v>
      </c>
      <c r="YT21" s="10">
        <v>101</v>
      </c>
      <c r="YU21" s="17">
        <v>44353</v>
      </c>
      <c r="YV21" s="10">
        <v>93388</v>
      </c>
      <c r="YW21" s="10">
        <v>60</v>
      </c>
      <c r="YX21" s="17">
        <v>44354</v>
      </c>
      <c r="YY21" s="10">
        <v>93523</v>
      </c>
      <c r="YZ21" s="10">
        <v>136</v>
      </c>
      <c r="ZA21" s="17">
        <v>44355</v>
      </c>
      <c r="ZB21" s="10">
        <v>93626</v>
      </c>
      <c r="ZC21" s="10">
        <v>101</v>
      </c>
      <c r="ZD21" s="17">
        <v>44366</v>
      </c>
      <c r="ZE21" s="10">
        <v>94381</v>
      </c>
      <c r="ZF21" s="10">
        <v>51</v>
      </c>
      <c r="ZG21" s="17">
        <v>44367</v>
      </c>
      <c r="ZH21" s="10">
        <v>94494</v>
      </c>
      <c r="ZI21" s="10">
        <v>78</v>
      </c>
      <c r="ZJ21" s="17">
        <v>44368</v>
      </c>
      <c r="ZK21" s="10">
        <v>94603</v>
      </c>
      <c r="ZL21" s="10">
        <v>109</v>
      </c>
      <c r="ZM21" s="17">
        <v>44369</v>
      </c>
      <c r="ZN21" s="10">
        <v>94715</v>
      </c>
      <c r="ZO21" s="10">
        <v>109</v>
      </c>
      <c r="ZP21" s="17">
        <v>44370</v>
      </c>
      <c r="ZQ21" s="10">
        <v>94845</v>
      </c>
      <c r="ZR21" s="10">
        <v>138</v>
      </c>
      <c r="ZS21" s="17">
        <v>44374</v>
      </c>
      <c r="ZT21" s="10">
        <v>95446</v>
      </c>
      <c r="ZU21" s="10">
        <v>118</v>
      </c>
      <c r="ZV21" s="17">
        <v>44375</v>
      </c>
      <c r="ZW21" s="10">
        <v>95692</v>
      </c>
      <c r="ZX21" s="10">
        <v>232</v>
      </c>
      <c r="ZY21" s="17">
        <v>44376</v>
      </c>
      <c r="ZZ21" s="10">
        <v>95951</v>
      </c>
      <c r="AAA21" s="10">
        <v>259</v>
      </c>
      <c r="AAB21" s="17">
        <v>44377</v>
      </c>
      <c r="AAC21" s="10">
        <v>96147</v>
      </c>
      <c r="AAD21" s="10">
        <v>193</v>
      </c>
      <c r="AAE21" s="17">
        <v>44378</v>
      </c>
      <c r="AAF21" s="10">
        <v>96361</v>
      </c>
      <c r="AAG21" s="10">
        <v>209</v>
      </c>
      <c r="AAH21" s="17">
        <v>44381</v>
      </c>
      <c r="AAI21" s="10">
        <v>96772</v>
      </c>
      <c r="AAJ21" s="10">
        <v>111</v>
      </c>
      <c r="AAK21" s="17">
        <v>44382</v>
      </c>
      <c r="AAL21" s="10">
        <v>97014</v>
      </c>
      <c r="AAM21" s="10">
        <v>240</v>
      </c>
      <c r="AAN21" s="17">
        <v>44384</v>
      </c>
      <c r="AAO21" s="10">
        <v>97561</v>
      </c>
      <c r="AAP21" s="10">
        <v>291</v>
      </c>
      <c r="AAQ21" s="17">
        <v>44384</v>
      </c>
      <c r="AAR21" s="10">
        <v>97576</v>
      </c>
      <c r="AAS21" s="10">
        <v>293</v>
      </c>
      <c r="AAT21" s="17">
        <v>44385</v>
      </c>
      <c r="AAU21" s="10">
        <v>97856</v>
      </c>
      <c r="AAV21" s="10">
        <v>283</v>
      </c>
      <c r="AAW21" s="17">
        <v>44387</v>
      </c>
      <c r="AAX21" s="10">
        <v>98313</v>
      </c>
      <c r="AAY21" s="10">
        <v>150</v>
      </c>
      <c r="AAZ21" s="17">
        <v>44387</v>
      </c>
      <c r="ABA21" s="10">
        <v>98315</v>
      </c>
      <c r="ABB21" s="10">
        <v>150</v>
      </c>
      <c r="ABC21" s="17">
        <v>44388</v>
      </c>
      <c r="ABD21" s="10">
        <v>98475</v>
      </c>
      <c r="ABE21" s="10">
        <v>158</v>
      </c>
      <c r="ABF21" s="17">
        <v>44390</v>
      </c>
      <c r="ABG21" s="10">
        <v>99142</v>
      </c>
      <c r="ABH21" s="10">
        <v>340</v>
      </c>
      <c r="ABI21" s="17">
        <v>44390</v>
      </c>
      <c r="ABJ21" s="10">
        <v>99144</v>
      </c>
      <c r="ABK21" s="10">
        <v>340</v>
      </c>
      <c r="ABL21" s="17">
        <v>44391</v>
      </c>
      <c r="ABM21" s="10">
        <v>99527</v>
      </c>
      <c r="ABN21" s="10">
        <v>383</v>
      </c>
      <c r="ABO21" s="17">
        <v>44392</v>
      </c>
      <c r="ABP21" s="10">
        <v>99907</v>
      </c>
      <c r="ABQ21" s="10">
        <v>380</v>
      </c>
      <c r="ABR21" s="17">
        <v>44393</v>
      </c>
      <c r="ABS21" s="10">
        <v>100265</v>
      </c>
      <c r="ABT21" s="10">
        <v>356</v>
      </c>
      <c r="ABU21" s="17">
        <v>44394</v>
      </c>
      <c r="ABV21" s="10">
        <v>100473</v>
      </c>
      <c r="ABW21" s="10">
        <v>203</v>
      </c>
      <c r="ABX21" s="17">
        <v>44395</v>
      </c>
      <c r="ABY21" s="10">
        <v>100725</v>
      </c>
      <c r="ABZ21" s="10">
        <v>248</v>
      </c>
      <c r="ACA21" s="17">
        <v>44396</v>
      </c>
      <c r="ACB21" s="10">
        <v>101148</v>
      </c>
      <c r="ACC21" s="10">
        <v>419</v>
      </c>
      <c r="ACD21" s="17">
        <v>44397</v>
      </c>
      <c r="ACE21" s="10">
        <v>101573</v>
      </c>
      <c r="ACF21" s="10">
        <v>424</v>
      </c>
      <c r="ACG21" s="17">
        <v>44398</v>
      </c>
      <c r="ACH21" s="10">
        <v>102040</v>
      </c>
      <c r="ACI21" s="10">
        <v>467</v>
      </c>
      <c r="ACJ21" s="17">
        <v>44399</v>
      </c>
      <c r="ACK21" s="10">
        <v>102520</v>
      </c>
      <c r="ACL21" s="10">
        <v>487</v>
      </c>
      <c r="ACM21" s="17">
        <v>44402</v>
      </c>
      <c r="ACN21" s="10">
        <v>103648</v>
      </c>
      <c r="ACO21" s="10">
        <v>350</v>
      </c>
      <c r="ACP21" s="17">
        <v>44403</v>
      </c>
      <c r="ACQ21" s="10">
        <v>104415</v>
      </c>
      <c r="ACR21" s="10">
        <v>766</v>
      </c>
      <c r="ACS21" s="17">
        <v>44404</v>
      </c>
      <c r="ACT21" s="10">
        <v>105090</v>
      </c>
      <c r="ACU21" s="10">
        <v>675</v>
      </c>
      <c r="ACV21" s="17">
        <v>44405</v>
      </c>
      <c r="ACW21" s="10">
        <v>105933</v>
      </c>
      <c r="ACX21" s="10">
        <v>844</v>
      </c>
      <c r="ACY21" s="17">
        <v>44406</v>
      </c>
      <c r="ACZ21" s="10">
        <v>106703</v>
      </c>
      <c r="ADA21" s="10">
        <v>765</v>
      </c>
      <c r="ADB21" s="17">
        <v>44407</v>
      </c>
      <c r="ADC21" s="10">
        <v>107398</v>
      </c>
      <c r="ADD21" s="10">
        <v>691</v>
      </c>
      <c r="ADE21" s="17">
        <v>44408</v>
      </c>
      <c r="ADF21" s="10">
        <v>107802</v>
      </c>
      <c r="ADG21" s="10">
        <v>403</v>
      </c>
      <c r="ADH21" s="17">
        <v>44409</v>
      </c>
      <c r="ADI21" s="10">
        <v>108281</v>
      </c>
      <c r="ADJ21" s="10">
        <v>476</v>
      </c>
      <c r="ADK21" s="17">
        <v>44410</v>
      </c>
      <c r="ADL21" s="10">
        <v>109174</v>
      </c>
      <c r="ADM21" s="10">
        <v>893</v>
      </c>
      <c r="ADN21" s="17">
        <v>44411</v>
      </c>
      <c r="ADO21" s="10">
        <v>110015</v>
      </c>
      <c r="ADP21" s="10">
        <v>841</v>
      </c>
      <c r="ADQ21" s="17">
        <v>44412</v>
      </c>
      <c r="ADR21" s="10">
        <v>110802</v>
      </c>
      <c r="ADS21" s="10">
        <v>783</v>
      </c>
      <c r="ADT21" s="17">
        <v>44413</v>
      </c>
      <c r="ADU21" s="10">
        <v>111670</v>
      </c>
      <c r="ADV21" s="10">
        <v>865</v>
      </c>
      <c r="ADW21" s="17">
        <v>44416</v>
      </c>
      <c r="ADX21" s="10">
        <v>113370</v>
      </c>
      <c r="ADY21" s="10">
        <v>534</v>
      </c>
      <c r="ADZ21" s="17">
        <v>44417</v>
      </c>
      <c r="AEA21" s="10">
        <v>114405</v>
      </c>
      <c r="AEB21" s="10">
        <v>1032</v>
      </c>
      <c r="AEC21" s="17">
        <v>44418</v>
      </c>
      <c r="AED21" s="10">
        <v>115235</v>
      </c>
      <c r="AEE21" s="10">
        <v>828</v>
      </c>
      <c r="AEF21" s="17">
        <v>44419</v>
      </c>
      <c r="AEG21" s="10">
        <v>116159</v>
      </c>
      <c r="AEH21" s="10">
        <v>925</v>
      </c>
      <c r="AEI21" s="17">
        <v>44420</v>
      </c>
      <c r="AEJ21" s="10">
        <v>116950</v>
      </c>
      <c r="AEK21" s="10">
        <v>788</v>
      </c>
      <c r="AEL21" s="17">
        <v>44423</v>
      </c>
      <c r="AEM21" s="10">
        <v>118555</v>
      </c>
      <c r="AEN21" s="10">
        <v>440</v>
      </c>
      <c r="AEO21" s="17">
        <v>44424</v>
      </c>
      <c r="AEP21" s="10">
        <v>119343</v>
      </c>
      <c r="AEQ21" s="10">
        <v>769</v>
      </c>
      <c r="AER21" s="17">
        <v>44425</v>
      </c>
      <c r="AES21" s="10">
        <v>120084</v>
      </c>
      <c r="AET21" s="10">
        <v>742</v>
      </c>
      <c r="AEU21" s="17">
        <v>44426</v>
      </c>
      <c r="AEV21" s="10">
        <v>120787</v>
      </c>
      <c r="AEW21" s="10">
        <v>704</v>
      </c>
      <c r="AEX21" s="17">
        <v>44428</v>
      </c>
      <c r="AEY21" s="10">
        <v>122108</v>
      </c>
      <c r="AEZ21" s="10">
        <v>660</v>
      </c>
      <c r="AFA21" s="17">
        <v>44429</v>
      </c>
      <c r="AFB21" s="10">
        <v>122505</v>
      </c>
      <c r="AFC21" s="10">
        <v>393</v>
      </c>
      <c r="AFD21" s="10">
        <v>44434</v>
      </c>
      <c r="AFE21" s="10">
        <v>125507</v>
      </c>
      <c r="AFF21" s="10">
        <v>601</v>
      </c>
      <c r="AFG21" s="10">
        <v>44435</v>
      </c>
      <c r="AFH21" s="10">
        <v>126257</v>
      </c>
      <c r="AFI21" s="10">
        <v>704</v>
      </c>
      <c r="AFJ21" s="10">
        <v>44437</v>
      </c>
      <c r="AFK21" s="10">
        <v>127153</v>
      </c>
      <c r="AFL21" s="10">
        <v>456</v>
      </c>
      <c r="AFM21" s="10">
        <v>44440</v>
      </c>
      <c r="AFN21" s="10">
        <v>129189</v>
      </c>
      <c r="AFO21" s="10">
        <v>648</v>
      </c>
      <c r="AFP21" s="10">
        <v>44441</v>
      </c>
      <c r="AFQ21" s="10">
        <v>129842</v>
      </c>
      <c r="AFR21" s="10">
        <v>648</v>
      </c>
      <c r="AFS21" s="10">
        <v>44443</v>
      </c>
      <c r="AFT21" s="10">
        <v>130694</v>
      </c>
      <c r="AFU21" s="10">
        <v>334</v>
      </c>
      <c r="AFV21" s="10">
        <v>44444</v>
      </c>
      <c r="AFW21" s="10">
        <v>131045</v>
      </c>
      <c r="AFX21" s="10">
        <v>345</v>
      </c>
      <c r="AFY21" s="10">
        <v>44446</v>
      </c>
      <c r="AFZ21" s="10">
        <v>132137</v>
      </c>
      <c r="AGA21" s="10">
        <v>512</v>
      </c>
      <c r="AGB21" s="10">
        <v>44447</v>
      </c>
      <c r="AGC21" s="10">
        <v>132622</v>
      </c>
      <c r="AGD21" s="10">
        <v>481</v>
      </c>
      <c r="AGE21" s="10">
        <v>44450</v>
      </c>
      <c r="AGF21" s="10">
        <v>133907</v>
      </c>
      <c r="AGG21" s="10">
        <v>326</v>
      </c>
      <c r="AGH21" s="10">
        <v>44451</v>
      </c>
      <c r="AGI21" s="10">
        <v>134194</v>
      </c>
      <c r="AGJ21" s="10">
        <v>277</v>
      </c>
      <c r="AGK21" s="10">
        <v>44453</v>
      </c>
      <c r="AGL21" s="10">
        <v>135204</v>
      </c>
      <c r="AGM21" s="10">
        <v>474</v>
      </c>
      <c r="AGN21" s="10">
        <v>44453</v>
      </c>
      <c r="AGO21" s="10">
        <v>135205</v>
      </c>
      <c r="AGP21" s="10">
        <v>474</v>
      </c>
      <c r="AGQ21" s="10">
        <v>44454</v>
      </c>
      <c r="AGR21" s="10">
        <v>135663</v>
      </c>
      <c r="AGS21" s="10">
        <v>456</v>
      </c>
      <c r="AGT21" s="10">
        <v>44455</v>
      </c>
      <c r="AGU21" s="10">
        <v>136092</v>
      </c>
      <c r="AGV21" s="10">
        <v>431</v>
      </c>
      <c r="AGW21" s="10">
        <v>44457</v>
      </c>
      <c r="AGX21" s="10">
        <v>136713</v>
      </c>
      <c r="AGY21" s="10">
        <v>238</v>
      </c>
      <c r="AGZ21" s="10">
        <v>44459</v>
      </c>
      <c r="AHA21" s="10">
        <v>137486</v>
      </c>
      <c r="AHB21" s="10">
        <v>486</v>
      </c>
      <c r="AHC21" s="10">
        <v>44460</v>
      </c>
      <c r="AHD21" s="10">
        <v>137978</v>
      </c>
      <c r="AHE21" s="10">
        <v>490</v>
      </c>
      <c r="AHF21" s="10">
        <v>44461</v>
      </c>
      <c r="AHG21" s="10">
        <v>138462</v>
      </c>
      <c r="AHH21" s="10">
        <v>484</v>
      </c>
      <c r="AHI21" s="10">
        <v>44462</v>
      </c>
      <c r="AHJ21" s="10">
        <v>138937</v>
      </c>
      <c r="AHK21" s="10">
        <v>475</v>
      </c>
      <c r="AHL21" s="10">
        <v>44466</v>
      </c>
      <c r="AHM21" s="10">
        <v>140692</v>
      </c>
      <c r="AHN21" s="10">
        <v>681</v>
      </c>
      <c r="AHO21" s="10">
        <v>44467</v>
      </c>
      <c r="AHP21" s="10">
        <v>141338</v>
      </c>
      <c r="AHQ21" s="10">
        <v>642</v>
      </c>
      <c r="AHR21" s="10">
        <v>44468</v>
      </c>
      <c r="AHS21" s="10">
        <v>142005</v>
      </c>
      <c r="AHT21" s="10">
        <v>666</v>
      </c>
      <c r="AHU21" s="10">
        <v>44469</v>
      </c>
      <c r="AHV21" s="10">
        <v>142617</v>
      </c>
      <c r="AHW21" s="10">
        <v>612</v>
      </c>
      <c r="AHX21" s="10">
        <v>44470</v>
      </c>
      <c r="AHY21" s="10">
        <v>143150</v>
      </c>
      <c r="AHZ21" s="10">
        <v>530</v>
      </c>
      <c r="AIA21" s="10">
        <v>44474</v>
      </c>
      <c r="AIB21" s="10">
        <v>145316</v>
      </c>
      <c r="AIC21" s="10">
        <v>674</v>
      </c>
      <c r="AID21" s="10">
        <v>44478</v>
      </c>
      <c r="AIE21" s="10">
        <v>147435</v>
      </c>
      <c r="AIF21" s="10">
        <v>425</v>
      </c>
      <c r="AIG21" s="10">
        <v>44482</v>
      </c>
      <c r="AIH21" s="10">
        <v>149782</v>
      </c>
      <c r="AII21" s="10">
        <v>637</v>
      </c>
      <c r="AIJ21" s="10">
        <v>44483</v>
      </c>
      <c r="AIK21" s="10">
        <v>150361</v>
      </c>
      <c r="AIL21" s="10">
        <v>554</v>
      </c>
      <c r="AIM21" s="10">
        <v>44484</v>
      </c>
      <c r="AIN21" s="10">
        <v>150925</v>
      </c>
      <c r="AIO21" s="10">
        <v>563</v>
      </c>
      <c r="AIP21" s="10">
        <v>44487</v>
      </c>
      <c r="AIQ21" s="10">
        <v>152248</v>
      </c>
      <c r="AIR21" s="10">
        <v>659</v>
      </c>
      <c r="AIS21" s="10">
        <v>44488</v>
      </c>
      <c r="AIT21" s="10">
        <v>152801</v>
      </c>
      <c r="AIU21" s="10">
        <v>550</v>
      </c>
      <c r="AIV21" s="10">
        <v>44489</v>
      </c>
      <c r="AIW21" s="10">
        <v>153320</v>
      </c>
      <c r="AIX21" s="10">
        <v>514</v>
      </c>
      <c r="AIY21" s="10">
        <v>44490</v>
      </c>
      <c r="AIZ21" s="10">
        <v>154213</v>
      </c>
      <c r="AJA21" s="10">
        <v>623</v>
      </c>
      <c r="AJB21" s="10">
        <v>44491</v>
      </c>
      <c r="AJC21" s="10">
        <v>154789</v>
      </c>
      <c r="AJD21" s="10">
        <v>574</v>
      </c>
      <c r="AJE21" s="10">
        <v>44494</v>
      </c>
      <c r="AJF21" s="10">
        <v>156339</v>
      </c>
      <c r="AJG21" s="10">
        <v>785</v>
      </c>
      <c r="AJH21" s="10">
        <v>44495</v>
      </c>
      <c r="AJI21" s="10">
        <v>157062</v>
      </c>
      <c r="AJJ21" s="10">
        <v>677</v>
      </c>
      <c r="AJK21" s="10">
        <v>44496</v>
      </c>
      <c r="AJL21" s="10">
        <v>157705</v>
      </c>
      <c r="AJM21" s="10">
        <v>641</v>
      </c>
      <c r="AJN21" s="10">
        <v>44497</v>
      </c>
      <c r="AJO21" s="10">
        <v>158279</v>
      </c>
      <c r="AJP21" s="10">
        <v>571</v>
      </c>
      <c r="AJQ21" s="10">
        <v>44501</v>
      </c>
      <c r="AJR21" s="10">
        <v>160747</v>
      </c>
      <c r="AJS21" s="10">
        <v>973</v>
      </c>
      <c r="AJT21" s="10">
        <v>44502</v>
      </c>
      <c r="AJU21" s="10">
        <v>161506</v>
      </c>
      <c r="AJV21" s="10">
        <v>753</v>
      </c>
      <c r="AJW21" s="10">
        <v>44503</v>
      </c>
      <c r="AJX21" s="10">
        <v>162276</v>
      </c>
      <c r="AJY21" s="10">
        <v>771</v>
      </c>
      <c r="AJZ21" s="10">
        <v>44504</v>
      </c>
      <c r="AKA21" s="10">
        <v>163079</v>
      </c>
      <c r="AKB21" s="10">
        <v>800</v>
      </c>
      <c r="AKC21" s="10">
        <v>44505</v>
      </c>
      <c r="AKD21" s="10">
        <v>163926</v>
      </c>
      <c r="AKE21" s="10">
        <v>841</v>
      </c>
      <c r="AKF21" s="10">
        <v>44508</v>
      </c>
      <c r="AKG21" s="10">
        <v>166068</v>
      </c>
      <c r="AKH21" s="10">
        <v>1116</v>
      </c>
      <c r="AKI21" s="10">
        <v>44511</v>
      </c>
      <c r="AKJ21" s="10">
        <v>168805</v>
      </c>
      <c r="AKK21" s="10">
        <v>933</v>
      </c>
      <c r="AKL21" s="10">
        <v>44513</v>
      </c>
      <c r="AKM21" s="10">
        <v>170370</v>
      </c>
      <c r="AKN21" s="10">
        <v>615</v>
      </c>
      <c r="AKO21" s="10">
        <v>44515</v>
      </c>
      <c r="AKP21" s="10">
        <v>172198</v>
      </c>
      <c r="AKQ21" s="10">
        <v>1250</v>
      </c>
      <c r="AKR21" s="10">
        <v>44516</v>
      </c>
      <c r="AKS21" s="10">
        <v>173403</v>
      </c>
      <c r="AKT21" s="10">
        <v>1192</v>
      </c>
      <c r="AKU21" s="10">
        <v>44518</v>
      </c>
      <c r="AKV21" s="10">
        <v>175779</v>
      </c>
      <c r="AKW21" s="10">
        <v>1211</v>
      </c>
      <c r="AKX21" s="10">
        <v>44519</v>
      </c>
      <c r="AKY21" s="10">
        <v>177058</v>
      </c>
      <c r="AKZ21" s="10">
        <v>1270</v>
      </c>
      <c r="ALA21" s="10">
        <v>44522</v>
      </c>
      <c r="ALB21" s="10">
        <v>179844</v>
      </c>
      <c r="ALC21" s="10">
        <v>1412</v>
      </c>
      <c r="ALD21" s="10">
        <v>44523</v>
      </c>
      <c r="ALE21" s="10">
        <v>181180</v>
      </c>
      <c r="ALF21" s="10">
        <v>1333</v>
      </c>
      <c r="ALG21" s="10">
        <v>44524</v>
      </c>
      <c r="ALH21" s="10">
        <v>182436</v>
      </c>
      <c r="ALI21" s="10">
        <v>1252</v>
      </c>
      <c r="ALJ21" s="10">
        <v>44525</v>
      </c>
      <c r="ALK21" s="10">
        <v>183701</v>
      </c>
      <c r="ALL21" s="10">
        <v>1266</v>
      </c>
      <c r="ALM21" s="10">
        <v>44533</v>
      </c>
      <c r="ALN21" s="10">
        <v>194215</v>
      </c>
      <c r="ALO21" s="10">
        <v>1525</v>
      </c>
    </row>
    <row r="22" spans="2:1003">
      <c r="B22" t="str">
        <f t="shared" ca="1" si="2"/>
        <v>5.12</v>
      </c>
      <c r="C22" s="4">
        <f t="shared" ca="1" si="0"/>
        <v>44535</v>
      </c>
      <c r="D22" s="11">
        <f t="shared" ca="1" si="1"/>
        <v>196211</v>
      </c>
      <c r="E22">
        <f t="shared" ca="1" si="3"/>
        <v>1003</v>
      </c>
      <c r="F22" s="11">
        <f t="shared" ca="1" si="4"/>
        <v>4</v>
      </c>
      <c r="G22" s="11">
        <f t="shared" ca="1" si="5"/>
        <v>999</v>
      </c>
      <c r="H22" s="10"/>
      <c r="L22" s="3"/>
      <c r="N22" s="16">
        <v>44534</v>
      </c>
      <c r="O22">
        <v>195185</v>
      </c>
      <c r="P22">
        <v>970</v>
      </c>
      <c r="Q22" s="16">
        <v>44534</v>
      </c>
      <c r="R22">
        <v>195185</v>
      </c>
      <c r="S22">
        <v>970</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s="16">
        <v>44283</v>
      </c>
      <c r="RU22">
        <v>76707</v>
      </c>
      <c r="RV22">
        <v>369</v>
      </c>
      <c r="RW22" s="16">
        <v>44284</v>
      </c>
      <c r="RX22">
        <v>77365</v>
      </c>
      <c r="RY22">
        <v>655</v>
      </c>
      <c r="RZ22" s="16">
        <v>44285</v>
      </c>
      <c r="SA22">
        <v>77932</v>
      </c>
      <c r="SB22">
        <v>566</v>
      </c>
      <c r="SC22" s="16">
        <v>44286</v>
      </c>
      <c r="SD22">
        <v>78480</v>
      </c>
      <c r="SE22">
        <v>548</v>
      </c>
      <c r="SF22" s="16">
        <v>44287</v>
      </c>
      <c r="SG22">
        <v>78969</v>
      </c>
      <c r="SH22">
        <v>488</v>
      </c>
      <c r="SI22" s="16">
        <v>44288</v>
      </c>
      <c r="SJ22">
        <v>79331</v>
      </c>
      <c r="SK22">
        <v>361</v>
      </c>
      <c r="SL22" s="16">
        <v>44290</v>
      </c>
      <c r="SM22">
        <v>79964</v>
      </c>
      <c r="SN22">
        <v>319</v>
      </c>
      <c r="SO22" s="16">
        <v>44291</v>
      </c>
      <c r="SP22">
        <v>80343</v>
      </c>
      <c r="SQ22">
        <v>360</v>
      </c>
      <c r="SR22" s="16">
        <v>44292</v>
      </c>
      <c r="SS22">
        <v>80888</v>
      </c>
      <c r="ST22">
        <v>540</v>
      </c>
      <c r="SU22" s="16">
        <v>44293</v>
      </c>
      <c r="SV22">
        <v>81314</v>
      </c>
      <c r="SW22">
        <v>426</v>
      </c>
      <c r="SX22" s="16">
        <v>44295</v>
      </c>
      <c r="SY22">
        <v>82066</v>
      </c>
      <c r="SZ22">
        <v>348</v>
      </c>
      <c r="TA22" s="16">
        <v>44296</v>
      </c>
      <c r="TB22">
        <v>82296</v>
      </c>
      <c r="TC22">
        <v>224</v>
      </c>
      <c r="TD22" s="16">
        <v>44298</v>
      </c>
      <c r="TE22">
        <v>82934</v>
      </c>
      <c r="TF22">
        <v>397</v>
      </c>
      <c r="TG22" s="16">
        <v>44299</v>
      </c>
      <c r="TH22">
        <v>83262</v>
      </c>
      <c r="TI22">
        <v>324</v>
      </c>
      <c r="TJ22" s="16">
        <v>44300</v>
      </c>
      <c r="TK22">
        <v>83609</v>
      </c>
      <c r="TL22">
        <v>345</v>
      </c>
      <c r="TM22" s="16">
        <v>44301</v>
      </c>
      <c r="TN22">
        <v>83884</v>
      </c>
      <c r="TO22">
        <v>274</v>
      </c>
      <c r="TP22" s="16">
        <v>44303</v>
      </c>
      <c r="TQ22">
        <v>84321</v>
      </c>
      <c r="TR22">
        <v>169</v>
      </c>
      <c r="TS22" s="16">
        <v>44304</v>
      </c>
      <c r="TT22">
        <v>84480</v>
      </c>
      <c r="TU22">
        <v>155</v>
      </c>
      <c r="TV22" s="16">
        <v>44304</v>
      </c>
      <c r="TW22">
        <v>84486</v>
      </c>
      <c r="TX22">
        <v>155</v>
      </c>
      <c r="TY22" s="16">
        <v>44305</v>
      </c>
      <c r="TZ22">
        <v>84770</v>
      </c>
      <c r="UA22">
        <v>284</v>
      </c>
      <c r="UB22" s="16">
        <v>44307</v>
      </c>
      <c r="UC22">
        <v>85297</v>
      </c>
      <c r="UD22">
        <v>242</v>
      </c>
      <c r="UE22" s="16">
        <v>44307</v>
      </c>
      <c r="UF22">
        <v>85296</v>
      </c>
      <c r="UG22">
        <v>240</v>
      </c>
      <c r="UH22" s="16">
        <v>44308</v>
      </c>
      <c r="UI22">
        <v>85559</v>
      </c>
      <c r="UJ22">
        <v>260</v>
      </c>
      <c r="UK22" s="16">
        <v>44309</v>
      </c>
      <c r="UL22">
        <v>85818</v>
      </c>
      <c r="UM22">
        <v>257</v>
      </c>
      <c r="UN22" s="16">
        <v>44313</v>
      </c>
      <c r="UO22">
        <v>86589</v>
      </c>
      <c r="UP22">
        <v>228</v>
      </c>
      <c r="UQ22" s="16">
        <v>44314</v>
      </c>
      <c r="UR22">
        <v>86867</v>
      </c>
      <c r="US22">
        <v>273</v>
      </c>
      <c r="UT22" s="16">
        <v>44315</v>
      </c>
      <c r="UU22">
        <v>87064</v>
      </c>
      <c r="UV22">
        <v>201</v>
      </c>
      <c r="UW22" s="16">
        <v>44316</v>
      </c>
      <c r="UX22">
        <v>87258</v>
      </c>
      <c r="UY22">
        <v>195</v>
      </c>
      <c r="UZ22" s="16">
        <v>44318</v>
      </c>
      <c r="VA22">
        <v>87500</v>
      </c>
      <c r="VB22">
        <v>136</v>
      </c>
      <c r="VC22" s="16">
        <v>44318</v>
      </c>
      <c r="VD22">
        <v>87495</v>
      </c>
      <c r="VE22">
        <v>136</v>
      </c>
      <c r="VF22" s="16">
        <v>44319</v>
      </c>
      <c r="VG22">
        <v>87815</v>
      </c>
      <c r="VH22">
        <v>319</v>
      </c>
      <c r="VI22" s="16">
        <v>44321</v>
      </c>
      <c r="VJ22">
        <v>88288</v>
      </c>
      <c r="VK22">
        <v>268</v>
      </c>
      <c r="VL22" s="16">
        <v>44321</v>
      </c>
      <c r="VM22">
        <v>88285</v>
      </c>
      <c r="VN22">
        <v>267</v>
      </c>
      <c r="VO22" s="16">
        <v>44322</v>
      </c>
      <c r="VP22">
        <v>88519</v>
      </c>
      <c r="VQ22">
        <v>235</v>
      </c>
      <c r="VR22" s="16">
        <v>44323</v>
      </c>
      <c r="VS22">
        <v>88734</v>
      </c>
      <c r="VT22">
        <v>214</v>
      </c>
      <c r="VU22" s="16">
        <v>44325</v>
      </c>
      <c r="VV22">
        <v>88996</v>
      </c>
      <c r="VW22">
        <v>129</v>
      </c>
      <c r="VX22" s="16">
        <v>44325</v>
      </c>
      <c r="VY22">
        <v>88999</v>
      </c>
      <c r="VZ22">
        <v>129</v>
      </c>
      <c r="WA22" s="16">
        <v>44326</v>
      </c>
      <c r="WB22">
        <v>89259</v>
      </c>
      <c r="WC22">
        <v>258</v>
      </c>
      <c r="WD22" s="16">
        <v>44327</v>
      </c>
      <c r="WE22">
        <v>89473</v>
      </c>
      <c r="WF22">
        <v>214</v>
      </c>
      <c r="WG22" s="16">
        <v>44328</v>
      </c>
      <c r="WH22">
        <v>89728</v>
      </c>
      <c r="WI22">
        <v>255</v>
      </c>
      <c r="WJ22" s="16">
        <v>44330</v>
      </c>
      <c r="WK22">
        <v>90128</v>
      </c>
      <c r="WL22">
        <v>244</v>
      </c>
      <c r="WM22" s="16">
        <v>44330</v>
      </c>
      <c r="WN22">
        <v>90129</v>
      </c>
      <c r="WO22">
        <v>243</v>
      </c>
      <c r="WP22" s="16">
        <v>44333</v>
      </c>
      <c r="WQ22">
        <v>90705</v>
      </c>
      <c r="WR22">
        <v>282</v>
      </c>
      <c r="WS22" s="16">
        <v>44334</v>
      </c>
      <c r="WT22">
        <v>90926</v>
      </c>
      <c r="WU22">
        <v>217</v>
      </c>
      <c r="WV22" s="16">
        <v>44335</v>
      </c>
      <c r="WW22">
        <v>91159</v>
      </c>
      <c r="WX22">
        <v>230</v>
      </c>
      <c r="WY22" s="16">
        <v>44336</v>
      </c>
      <c r="WZ22">
        <v>91377</v>
      </c>
      <c r="XA22">
        <v>216</v>
      </c>
      <c r="XB22" s="16">
        <v>44337</v>
      </c>
      <c r="XC22">
        <v>91546</v>
      </c>
      <c r="XD22">
        <v>170</v>
      </c>
      <c r="XE22" s="16">
        <v>44339</v>
      </c>
      <c r="XF22">
        <v>91744</v>
      </c>
      <c r="XG22">
        <v>92</v>
      </c>
      <c r="XH22" s="16">
        <v>44339</v>
      </c>
      <c r="XI22">
        <v>91750</v>
      </c>
      <c r="XJ22">
        <v>92</v>
      </c>
      <c r="XK22" s="16">
        <v>44340</v>
      </c>
      <c r="XL22">
        <v>91939</v>
      </c>
      <c r="XM22">
        <v>188</v>
      </c>
      <c r="XN22" s="16">
        <v>44341</v>
      </c>
      <c r="XO22">
        <v>92092</v>
      </c>
      <c r="XP22">
        <v>152</v>
      </c>
      <c r="XQ22" s="16">
        <v>44342</v>
      </c>
      <c r="XR22">
        <v>92236</v>
      </c>
      <c r="XS22">
        <v>143</v>
      </c>
      <c r="XT22" s="16">
        <v>44343</v>
      </c>
      <c r="XU22">
        <v>92366</v>
      </c>
      <c r="XV22">
        <v>127</v>
      </c>
      <c r="XW22" s="16">
        <v>44344</v>
      </c>
      <c r="XX22">
        <v>92505</v>
      </c>
      <c r="XY22">
        <v>136</v>
      </c>
      <c r="XZ22" s="16">
        <v>44345</v>
      </c>
      <c r="YA22">
        <v>92570</v>
      </c>
      <c r="YB22">
        <v>64</v>
      </c>
      <c r="YC22" s="16">
        <v>44347</v>
      </c>
      <c r="YD22">
        <v>92795</v>
      </c>
      <c r="YE22">
        <v>144</v>
      </c>
      <c r="YF22" s="16">
        <v>44348</v>
      </c>
      <c r="YG22">
        <v>92919</v>
      </c>
      <c r="YH22">
        <v>122</v>
      </c>
      <c r="YI22" s="16">
        <v>44349</v>
      </c>
      <c r="YJ22">
        <v>93039</v>
      </c>
      <c r="YK22">
        <v>118</v>
      </c>
      <c r="YL22" s="16">
        <v>44350</v>
      </c>
      <c r="YM22">
        <v>93149</v>
      </c>
      <c r="YN22">
        <v>110</v>
      </c>
      <c r="YO22" s="16">
        <v>44351</v>
      </c>
      <c r="YP22">
        <v>93251</v>
      </c>
      <c r="YQ22">
        <v>99</v>
      </c>
      <c r="YR22" s="16">
        <v>44352</v>
      </c>
      <c r="YS22">
        <v>93320</v>
      </c>
      <c r="YT22">
        <v>65</v>
      </c>
      <c r="YU22" s="16">
        <v>44354</v>
      </c>
      <c r="YV22">
        <v>93524</v>
      </c>
      <c r="YW22">
        <v>136</v>
      </c>
      <c r="YX22" s="16">
        <v>44355</v>
      </c>
      <c r="YY22">
        <v>93624</v>
      </c>
      <c r="YZ22">
        <v>101</v>
      </c>
      <c r="ZA22" s="16">
        <v>44356</v>
      </c>
      <c r="ZB22">
        <v>93708</v>
      </c>
      <c r="ZC22">
        <v>82</v>
      </c>
      <c r="ZD22" s="16">
        <v>44367</v>
      </c>
      <c r="ZE22">
        <v>94438</v>
      </c>
      <c r="ZF22">
        <v>57</v>
      </c>
      <c r="ZG22" s="16">
        <v>44368</v>
      </c>
      <c r="ZH22">
        <v>94603</v>
      </c>
      <c r="ZI22">
        <v>109</v>
      </c>
      <c r="ZJ22" s="16">
        <v>44369</v>
      </c>
      <c r="ZK22">
        <v>94712</v>
      </c>
      <c r="ZL22">
        <v>109</v>
      </c>
      <c r="ZM22" s="16">
        <v>44370</v>
      </c>
      <c r="ZN22">
        <v>94853</v>
      </c>
      <c r="ZO22">
        <v>138</v>
      </c>
      <c r="ZP22" s="16">
        <v>44371</v>
      </c>
      <c r="ZQ22">
        <v>95003</v>
      </c>
      <c r="ZR22">
        <v>158</v>
      </c>
      <c r="ZS22" s="16">
        <v>44375</v>
      </c>
      <c r="ZT22">
        <v>95677</v>
      </c>
      <c r="ZU22">
        <v>231</v>
      </c>
      <c r="ZV22" s="16">
        <v>44376</v>
      </c>
      <c r="ZW22">
        <v>95951</v>
      </c>
      <c r="ZX22">
        <v>259</v>
      </c>
      <c r="ZY22" s="16">
        <v>44377</v>
      </c>
      <c r="ZZ22">
        <v>96144</v>
      </c>
      <c r="AAA22">
        <v>193</v>
      </c>
      <c r="AAB22" s="16">
        <v>44378</v>
      </c>
      <c r="AAC22">
        <v>96355</v>
      </c>
      <c r="AAD22">
        <v>208</v>
      </c>
      <c r="AAE22" s="16">
        <v>44379</v>
      </c>
      <c r="AAF22">
        <v>96527</v>
      </c>
      <c r="AAG22">
        <v>166</v>
      </c>
      <c r="AAH22" s="16">
        <v>44382</v>
      </c>
      <c r="AAI22">
        <v>97013</v>
      </c>
      <c r="AAJ22">
        <v>241</v>
      </c>
      <c r="AAK22" s="16">
        <v>44383</v>
      </c>
      <c r="AAL22">
        <v>97271</v>
      </c>
      <c r="AAM22">
        <v>257</v>
      </c>
      <c r="AAN22" s="16">
        <v>44385</v>
      </c>
      <c r="AAO22">
        <v>97844</v>
      </c>
      <c r="AAP22">
        <v>283</v>
      </c>
      <c r="AAQ22" s="16">
        <v>44385</v>
      </c>
      <c r="AAR22">
        <v>97859</v>
      </c>
      <c r="AAS22">
        <v>283</v>
      </c>
      <c r="AAT22" s="16">
        <v>44386</v>
      </c>
      <c r="AAU22">
        <v>98162</v>
      </c>
      <c r="AAV22">
        <v>306</v>
      </c>
      <c r="AAW22" s="16">
        <v>44388</v>
      </c>
      <c r="AAX22">
        <v>98471</v>
      </c>
      <c r="AAY22">
        <v>158</v>
      </c>
      <c r="AAZ22" s="16">
        <v>44388</v>
      </c>
      <c r="ABA22">
        <v>98473</v>
      </c>
      <c r="ABB22">
        <v>158</v>
      </c>
      <c r="ABC22" s="16">
        <v>44389</v>
      </c>
      <c r="ABD22">
        <v>98804</v>
      </c>
      <c r="ABE22">
        <v>329</v>
      </c>
      <c r="ABF22" s="16">
        <v>44391</v>
      </c>
      <c r="ABG22">
        <v>99526</v>
      </c>
      <c r="ABH22">
        <v>384</v>
      </c>
      <c r="ABI22" s="16">
        <v>44391</v>
      </c>
      <c r="ABJ22">
        <v>99528</v>
      </c>
      <c r="ABK22">
        <v>384</v>
      </c>
      <c r="ABL22" s="16">
        <v>44392</v>
      </c>
      <c r="ABM22">
        <v>99907</v>
      </c>
      <c r="ABN22">
        <v>380</v>
      </c>
      <c r="ABO22" s="16">
        <v>44393</v>
      </c>
      <c r="ABP22">
        <v>100262</v>
      </c>
      <c r="ABQ22">
        <v>355</v>
      </c>
      <c r="ABR22" s="16">
        <v>44394</v>
      </c>
      <c r="ABS22">
        <v>100468</v>
      </c>
      <c r="ABT22">
        <v>203</v>
      </c>
      <c r="ABU22" s="16">
        <v>44395</v>
      </c>
      <c r="ABV22">
        <v>100719</v>
      </c>
      <c r="ABW22">
        <v>246</v>
      </c>
      <c r="ABX22" s="16">
        <v>44396</v>
      </c>
      <c r="ABY22">
        <v>101144</v>
      </c>
      <c r="ABZ22">
        <v>419</v>
      </c>
      <c r="ACA22" s="16">
        <v>44397</v>
      </c>
      <c r="ACB22">
        <v>101571</v>
      </c>
      <c r="ACC22">
        <v>423</v>
      </c>
      <c r="ACD22" s="16">
        <v>44398</v>
      </c>
      <c r="ACE22">
        <v>102041</v>
      </c>
      <c r="ACF22">
        <v>468</v>
      </c>
      <c r="ACG22" s="16">
        <v>44399</v>
      </c>
      <c r="ACH22">
        <v>102527</v>
      </c>
      <c r="ACI22">
        <v>487</v>
      </c>
      <c r="ACJ22" s="16">
        <v>44400</v>
      </c>
      <c r="ACK22">
        <v>103000</v>
      </c>
      <c r="ACL22">
        <v>480</v>
      </c>
      <c r="ACM22" s="16">
        <v>44403</v>
      </c>
      <c r="ACN22">
        <v>104413</v>
      </c>
      <c r="ACO22">
        <v>765</v>
      </c>
      <c r="ACP22" s="16">
        <v>44404</v>
      </c>
      <c r="ACQ22">
        <v>105090</v>
      </c>
      <c r="ACR22">
        <v>675</v>
      </c>
      <c r="ACS22" s="16">
        <v>44405</v>
      </c>
      <c r="ACT22">
        <v>105934</v>
      </c>
      <c r="ACU22">
        <v>844</v>
      </c>
      <c r="ACV22" s="16">
        <v>44406</v>
      </c>
      <c r="ACW22">
        <v>106698</v>
      </c>
      <c r="ACX22">
        <v>765</v>
      </c>
      <c r="ACY22" s="16">
        <v>44407</v>
      </c>
      <c r="ACZ22">
        <v>107394</v>
      </c>
      <c r="ADA22">
        <v>691</v>
      </c>
      <c r="ADB22" s="16">
        <v>44408</v>
      </c>
      <c r="ADC22">
        <v>107801</v>
      </c>
      <c r="ADD22">
        <v>403</v>
      </c>
      <c r="ADE22" s="16">
        <v>44409</v>
      </c>
      <c r="ADF22">
        <v>108277</v>
      </c>
      <c r="ADG22">
        <v>475</v>
      </c>
      <c r="ADH22" s="16">
        <v>44410</v>
      </c>
      <c r="ADI22">
        <v>109174</v>
      </c>
      <c r="ADJ22">
        <v>893</v>
      </c>
      <c r="ADK22" s="16">
        <v>44411</v>
      </c>
      <c r="ADL22">
        <v>110015</v>
      </c>
      <c r="ADM22">
        <v>841</v>
      </c>
      <c r="ADN22" s="16">
        <v>44412</v>
      </c>
      <c r="ADO22">
        <v>110797</v>
      </c>
      <c r="ADP22">
        <v>782</v>
      </c>
      <c r="ADQ22" s="16">
        <v>44413</v>
      </c>
      <c r="ADR22">
        <v>111667</v>
      </c>
      <c r="ADS22">
        <v>865</v>
      </c>
      <c r="ADT22" s="16">
        <v>44414</v>
      </c>
      <c r="ADU22">
        <v>112353</v>
      </c>
      <c r="ADV22">
        <v>683</v>
      </c>
      <c r="ADW22" s="16">
        <v>44417</v>
      </c>
      <c r="ADX22">
        <v>114402</v>
      </c>
      <c r="ADY22">
        <v>1032</v>
      </c>
      <c r="ADZ22" s="16">
        <v>44418</v>
      </c>
      <c r="AEA22">
        <v>115233</v>
      </c>
      <c r="AEB22">
        <v>828</v>
      </c>
      <c r="AEC22" s="16">
        <v>44419</v>
      </c>
      <c r="AED22">
        <v>116159</v>
      </c>
      <c r="AEE22">
        <v>924</v>
      </c>
      <c r="AEF22" s="16">
        <v>44420</v>
      </c>
      <c r="AEG22">
        <v>116947</v>
      </c>
      <c r="AEH22">
        <v>788</v>
      </c>
      <c r="AEI22" s="16">
        <v>44421</v>
      </c>
      <c r="AEJ22">
        <v>117686</v>
      </c>
      <c r="AEK22">
        <v>736</v>
      </c>
      <c r="AEL22" s="16">
        <v>44424</v>
      </c>
      <c r="AEM22">
        <v>119321</v>
      </c>
      <c r="AEN22">
        <v>766</v>
      </c>
      <c r="AEO22" s="16">
        <v>44425</v>
      </c>
      <c r="AEP22">
        <v>120084</v>
      </c>
      <c r="AEQ22">
        <v>741</v>
      </c>
      <c r="AER22" s="16">
        <v>44426</v>
      </c>
      <c r="AES22">
        <v>120787</v>
      </c>
      <c r="AET22">
        <v>703</v>
      </c>
      <c r="AEU22" s="16">
        <v>44427</v>
      </c>
      <c r="AEV22">
        <v>121445</v>
      </c>
      <c r="AEW22">
        <v>658</v>
      </c>
      <c r="AEX22" s="16">
        <v>44429</v>
      </c>
      <c r="AEY22">
        <v>122503</v>
      </c>
      <c r="AEZ22">
        <v>395</v>
      </c>
      <c r="AFA22" s="16">
        <v>44430</v>
      </c>
      <c r="AFB22">
        <v>122957</v>
      </c>
      <c r="AFC22">
        <v>452</v>
      </c>
      <c r="AFD22">
        <v>44435</v>
      </c>
      <c r="AFE22">
        <v>126212</v>
      </c>
      <c r="AFF22">
        <v>705</v>
      </c>
      <c r="AFG22">
        <v>44436</v>
      </c>
      <c r="AFH22">
        <v>126691</v>
      </c>
      <c r="AFI22">
        <v>434</v>
      </c>
      <c r="AFJ22">
        <v>44438</v>
      </c>
      <c r="AFK22">
        <v>127886</v>
      </c>
      <c r="AFL22">
        <v>733</v>
      </c>
      <c r="AFM22">
        <v>44441</v>
      </c>
      <c r="AFN22">
        <v>129837</v>
      </c>
      <c r="AFO22">
        <v>648</v>
      </c>
      <c r="AFP22">
        <v>44442</v>
      </c>
      <c r="AFQ22">
        <v>130359</v>
      </c>
      <c r="AFR22">
        <v>517</v>
      </c>
      <c r="AFS22">
        <v>44444</v>
      </c>
      <c r="AFT22">
        <v>131038</v>
      </c>
      <c r="AFU22">
        <v>344</v>
      </c>
      <c r="AFV22">
        <v>44445</v>
      </c>
      <c r="AFW22">
        <v>131625</v>
      </c>
      <c r="AFX22">
        <v>580</v>
      </c>
      <c r="AFY22">
        <v>44447</v>
      </c>
      <c r="AFZ22">
        <v>132618</v>
      </c>
      <c r="AGA22">
        <v>481</v>
      </c>
      <c r="AGB22">
        <v>44448</v>
      </c>
      <c r="AGC22">
        <v>133081</v>
      </c>
      <c r="AGD22">
        <v>459</v>
      </c>
      <c r="AGE22">
        <v>44451</v>
      </c>
      <c r="AGF22">
        <v>134185</v>
      </c>
      <c r="AGG22">
        <v>278</v>
      </c>
      <c r="AGH22">
        <v>44452</v>
      </c>
      <c r="AGI22">
        <v>134726</v>
      </c>
      <c r="AGJ22">
        <v>532</v>
      </c>
      <c r="AGK22">
        <v>44454</v>
      </c>
      <c r="AGL22">
        <v>135660</v>
      </c>
      <c r="AGM22">
        <v>456</v>
      </c>
      <c r="AGN22">
        <v>44454</v>
      </c>
      <c r="AGO22">
        <v>135661</v>
      </c>
      <c r="AGP22">
        <v>456</v>
      </c>
      <c r="AGQ22">
        <v>44455</v>
      </c>
      <c r="AGR22">
        <v>136094</v>
      </c>
      <c r="AGS22">
        <v>431</v>
      </c>
      <c r="AGT22">
        <v>44456</v>
      </c>
      <c r="AGU22">
        <v>136478</v>
      </c>
      <c r="AGV22">
        <v>386</v>
      </c>
      <c r="AGW22">
        <v>44458</v>
      </c>
      <c r="AGX22">
        <v>136995</v>
      </c>
      <c r="AGY22">
        <v>282</v>
      </c>
      <c r="AGZ22">
        <v>44460</v>
      </c>
      <c r="AHA22">
        <v>137976</v>
      </c>
      <c r="AHB22">
        <v>490</v>
      </c>
      <c r="AHC22">
        <v>44461</v>
      </c>
      <c r="AHD22">
        <v>138462</v>
      </c>
      <c r="AHE22">
        <v>484</v>
      </c>
      <c r="AHF22">
        <v>44462</v>
      </c>
      <c r="AHG22">
        <v>138937</v>
      </c>
      <c r="AHH22">
        <v>475</v>
      </c>
      <c r="AHI22">
        <v>44463</v>
      </c>
      <c r="AHJ22">
        <v>139363</v>
      </c>
      <c r="AHK22">
        <v>426</v>
      </c>
      <c r="AHL22">
        <v>44467</v>
      </c>
      <c r="AHM22">
        <v>141332</v>
      </c>
      <c r="AHN22">
        <v>640</v>
      </c>
      <c r="AHO22">
        <v>44468</v>
      </c>
      <c r="AHP22">
        <v>142004</v>
      </c>
      <c r="AHQ22">
        <v>666</v>
      </c>
      <c r="AHR22">
        <v>44469</v>
      </c>
      <c r="AHS22">
        <v>142617</v>
      </c>
      <c r="AHT22">
        <v>612</v>
      </c>
      <c r="AHU22">
        <v>44470</v>
      </c>
      <c r="AHV22">
        <v>143145</v>
      </c>
      <c r="AHW22">
        <v>528</v>
      </c>
      <c r="AHX22">
        <v>44471</v>
      </c>
      <c r="AHY22">
        <v>143502</v>
      </c>
      <c r="AHZ22">
        <v>352</v>
      </c>
      <c r="AIA22">
        <v>44475</v>
      </c>
      <c r="AIB22">
        <v>145848</v>
      </c>
      <c r="AIC22">
        <v>532</v>
      </c>
      <c r="AID22">
        <v>44479</v>
      </c>
      <c r="AIE22">
        <v>147832</v>
      </c>
      <c r="AIF22">
        <v>397</v>
      </c>
      <c r="AIG22">
        <v>44483</v>
      </c>
      <c r="AIH22">
        <v>150336</v>
      </c>
      <c r="AII22">
        <v>554</v>
      </c>
      <c r="AIJ22">
        <v>44484</v>
      </c>
      <c r="AIK22">
        <v>150923</v>
      </c>
      <c r="AIL22">
        <v>562</v>
      </c>
      <c r="AIM22">
        <v>44485</v>
      </c>
      <c r="AIN22">
        <v>151268</v>
      </c>
      <c r="AIO22">
        <v>343</v>
      </c>
      <c r="AIP22">
        <v>44488</v>
      </c>
      <c r="AIQ22">
        <v>152796</v>
      </c>
      <c r="AIR22">
        <v>548</v>
      </c>
      <c r="AIS22">
        <v>44489</v>
      </c>
      <c r="AIT22">
        <v>153315</v>
      </c>
      <c r="AIU22">
        <v>514</v>
      </c>
      <c r="AIV22">
        <v>44490</v>
      </c>
      <c r="AIW22">
        <v>153943</v>
      </c>
      <c r="AIX22">
        <v>623</v>
      </c>
      <c r="AIY22">
        <v>44491</v>
      </c>
      <c r="AIZ22">
        <v>154787</v>
      </c>
      <c r="AJA22">
        <v>574</v>
      </c>
      <c r="AJB22">
        <v>44492</v>
      </c>
      <c r="AJC22">
        <v>155165</v>
      </c>
      <c r="AJD22">
        <v>376</v>
      </c>
      <c r="AJE22">
        <v>44495</v>
      </c>
      <c r="AJF22">
        <v>157015</v>
      </c>
      <c r="AJG22">
        <v>676</v>
      </c>
      <c r="AJH22">
        <v>44496</v>
      </c>
      <c r="AJI22">
        <v>157703</v>
      </c>
      <c r="AJJ22">
        <v>641</v>
      </c>
      <c r="AJK22">
        <v>44497</v>
      </c>
      <c r="AJL22">
        <v>158275</v>
      </c>
      <c r="AJM22">
        <v>570</v>
      </c>
      <c r="AJN22">
        <v>44498</v>
      </c>
      <c r="AJO22">
        <v>158929</v>
      </c>
      <c r="AJP22">
        <v>650</v>
      </c>
      <c r="AJQ22">
        <v>44502</v>
      </c>
      <c r="AJR22">
        <v>161501</v>
      </c>
      <c r="AJS22">
        <v>754</v>
      </c>
      <c r="AJT22">
        <v>44503</v>
      </c>
      <c r="AJU22">
        <v>162277</v>
      </c>
      <c r="AJV22">
        <v>771</v>
      </c>
      <c r="AJW22">
        <v>44504</v>
      </c>
      <c r="AJX22">
        <v>163076</v>
      </c>
      <c r="AJY22">
        <v>800</v>
      </c>
      <c r="AJZ22">
        <v>44505</v>
      </c>
      <c r="AKA22">
        <v>163920</v>
      </c>
      <c r="AKB22">
        <v>841</v>
      </c>
      <c r="AKC22">
        <v>44506</v>
      </c>
      <c r="AKD22">
        <v>164437</v>
      </c>
      <c r="AKE22">
        <v>511</v>
      </c>
      <c r="AKF22">
        <v>44509</v>
      </c>
      <c r="AKG22">
        <v>166893</v>
      </c>
      <c r="AKH22">
        <v>825</v>
      </c>
      <c r="AKI22">
        <v>44512</v>
      </c>
      <c r="AKJ22">
        <v>169748</v>
      </c>
      <c r="AKK22">
        <v>943</v>
      </c>
      <c r="AKL22">
        <v>44514</v>
      </c>
      <c r="AKM22">
        <v>170942</v>
      </c>
      <c r="AKN22">
        <v>572</v>
      </c>
      <c r="AKO22">
        <v>44516</v>
      </c>
      <c r="AKP22">
        <v>173389</v>
      </c>
      <c r="AKQ22">
        <v>1191</v>
      </c>
      <c r="AKR22">
        <v>44517</v>
      </c>
      <c r="AKS22">
        <v>174568</v>
      </c>
      <c r="AKT22">
        <v>1165</v>
      </c>
      <c r="AKU22">
        <v>44519</v>
      </c>
      <c r="AKV22">
        <v>177050</v>
      </c>
      <c r="AKW22">
        <v>1271</v>
      </c>
      <c r="AKX22">
        <v>44520</v>
      </c>
      <c r="AKY22">
        <v>177763</v>
      </c>
      <c r="AKZ22">
        <v>705</v>
      </c>
      <c r="ALA22">
        <v>44523</v>
      </c>
      <c r="ALB22">
        <v>181177</v>
      </c>
      <c r="ALC22">
        <v>1333</v>
      </c>
      <c r="ALD22">
        <v>44524</v>
      </c>
      <c r="ALE22">
        <v>182430</v>
      </c>
      <c r="ALF22">
        <v>1250</v>
      </c>
      <c r="ALG22">
        <v>44525</v>
      </c>
      <c r="ALH22">
        <v>183701</v>
      </c>
      <c r="ALI22">
        <v>1265</v>
      </c>
      <c r="ALJ22">
        <v>44526</v>
      </c>
      <c r="ALK22">
        <v>184990</v>
      </c>
      <c r="ALL22">
        <v>1289</v>
      </c>
      <c r="ALM22">
        <v>44534</v>
      </c>
      <c r="ALN22">
        <v>195185</v>
      </c>
      <c r="ALO22">
        <v>970</v>
      </c>
    </row>
    <row r="23" spans="2:1003">
      <c r="B23" t="str">
        <f t="shared" ca="1" si="2"/>
        <v>Ma 6</v>
      </c>
      <c r="C23" s="4">
        <f t="shared" ca="1" si="0"/>
        <v>44536</v>
      </c>
      <c r="D23" s="11">
        <f t="shared" ca="1" si="1"/>
        <v>197286</v>
      </c>
      <c r="E23">
        <f t="shared" ca="1" si="3"/>
        <v>1075</v>
      </c>
      <c r="F23" s="11">
        <f t="shared" ca="1" si="4"/>
        <v>11</v>
      </c>
      <c r="G23" s="11">
        <f t="shared" ca="1" si="5"/>
        <v>1064</v>
      </c>
      <c r="K23" s="13"/>
      <c r="L23" s="3"/>
      <c r="N23" s="16">
        <v>44535</v>
      </c>
      <c r="O23">
        <v>196184</v>
      </c>
      <c r="P23">
        <v>999</v>
      </c>
      <c r="Q23" s="16">
        <v>44535</v>
      </c>
      <c r="R23">
        <v>196184</v>
      </c>
      <c r="S23">
        <v>999</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s="16">
        <v>44284</v>
      </c>
      <c r="RU23">
        <v>77362</v>
      </c>
      <c r="RV23">
        <v>655</v>
      </c>
      <c r="RW23" s="16">
        <v>44285</v>
      </c>
      <c r="RX23">
        <v>77931</v>
      </c>
      <c r="RY23">
        <v>566</v>
      </c>
      <c r="RZ23" s="16">
        <v>44286</v>
      </c>
      <c r="SA23">
        <v>78480</v>
      </c>
      <c r="SB23">
        <v>548</v>
      </c>
      <c r="SC23" s="16">
        <v>44287</v>
      </c>
      <c r="SD23">
        <v>78968</v>
      </c>
      <c r="SE23">
        <v>488</v>
      </c>
      <c r="SF23" s="16">
        <v>44288</v>
      </c>
      <c r="SG23">
        <v>79330</v>
      </c>
      <c r="SH23">
        <v>361</v>
      </c>
      <c r="SI23" s="16">
        <v>44289</v>
      </c>
      <c r="SJ23">
        <v>79646</v>
      </c>
      <c r="SK23">
        <v>315</v>
      </c>
      <c r="SL23" s="16">
        <v>44291</v>
      </c>
      <c r="SM23">
        <v>80324</v>
      </c>
      <c r="SN23">
        <v>360</v>
      </c>
      <c r="SO23" s="16">
        <v>44292</v>
      </c>
      <c r="SP23">
        <v>80880</v>
      </c>
      <c r="SQ23">
        <v>537</v>
      </c>
      <c r="SR23" s="16">
        <v>44293</v>
      </c>
      <c r="SS23">
        <v>81314</v>
      </c>
      <c r="ST23">
        <v>426</v>
      </c>
      <c r="SU23" s="16">
        <v>44294</v>
      </c>
      <c r="SV23">
        <v>81714</v>
      </c>
      <c r="SW23">
        <v>400</v>
      </c>
      <c r="SX23" s="16">
        <v>44296</v>
      </c>
      <c r="SY23">
        <v>82292</v>
      </c>
      <c r="SZ23">
        <v>226</v>
      </c>
      <c r="TA23" s="16">
        <v>44297</v>
      </c>
      <c r="TB23">
        <v>82535</v>
      </c>
      <c r="TC23">
        <v>239</v>
      </c>
      <c r="TD23" s="16">
        <v>44299</v>
      </c>
      <c r="TE23">
        <v>83259</v>
      </c>
      <c r="TF23">
        <v>325</v>
      </c>
      <c r="TG23" s="16">
        <v>44300</v>
      </c>
      <c r="TH23">
        <v>83607</v>
      </c>
      <c r="TI23">
        <v>345</v>
      </c>
      <c r="TJ23" s="16">
        <v>44301</v>
      </c>
      <c r="TK23">
        <v>83883</v>
      </c>
      <c r="TL23">
        <v>274</v>
      </c>
      <c r="TM23" s="16">
        <v>44302</v>
      </c>
      <c r="TN23">
        <v>84148</v>
      </c>
      <c r="TO23">
        <v>264</v>
      </c>
      <c r="TP23" s="16">
        <v>44304</v>
      </c>
      <c r="TQ23">
        <v>84476</v>
      </c>
      <c r="TR23">
        <v>155</v>
      </c>
      <c r="TS23" s="16">
        <v>44305</v>
      </c>
      <c r="TT23">
        <v>84764</v>
      </c>
      <c r="TU23">
        <v>284</v>
      </c>
      <c r="TV23" s="16">
        <v>44305</v>
      </c>
      <c r="TW23">
        <v>84770</v>
      </c>
      <c r="TX23">
        <v>284</v>
      </c>
      <c r="TY23" s="16">
        <v>44306</v>
      </c>
      <c r="TZ23">
        <v>85055</v>
      </c>
      <c r="UA23">
        <v>285</v>
      </c>
      <c r="UB23" s="16">
        <v>44308</v>
      </c>
      <c r="UC23">
        <v>85557</v>
      </c>
      <c r="UD23">
        <v>260</v>
      </c>
      <c r="UE23" s="16">
        <v>44308</v>
      </c>
      <c r="UF23">
        <v>85556</v>
      </c>
      <c r="UG23">
        <v>260</v>
      </c>
      <c r="UH23" s="16">
        <v>44309</v>
      </c>
      <c r="UI23">
        <v>85816</v>
      </c>
      <c r="UJ23">
        <v>257</v>
      </c>
      <c r="UK23" s="16">
        <v>44310</v>
      </c>
      <c r="UL23">
        <v>85972</v>
      </c>
      <c r="UM23">
        <v>154</v>
      </c>
      <c r="UN23" s="16">
        <v>44314</v>
      </c>
      <c r="UO23">
        <v>86863</v>
      </c>
      <c r="UP23">
        <v>274</v>
      </c>
      <c r="UQ23" s="16">
        <v>44315</v>
      </c>
      <c r="UR23">
        <v>87068</v>
      </c>
      <c r="US23">
        <v>201</v>
      </c>
      <c r="UT23" s="16">
        <v>44316</v>
      </c>
      <c r="UU23">
        <v>87259</v>
      </c>
      <c r="UV23">
        <v>195</v>
      </c>
      <c r="UW23" s="16">
        <v>44317</v>
      </c>
      <c r="UX23">
        <v>87363</v>
      </c>
      <c r="UY23">
        <v>105</v>
      </c>
      <c r="UZ23" s="16">
        <v>44319</v>
      </c>
      <c r="VA23">
        <v>87819</v>
      </c>
      <c r="VB23">
        <v>319</v>
      </c>
      <c r="VC23" s="16">
        <v>44319</v>
      </c>
      <c r="VD23">
        <v>87814</v>
      </c>
      <c r="VE23">
        <v>319</v>
      </c>
      <c r="VF23" s="16">
        <v>44320</v>
      </c>
      <c r="VG23">
        <v>88021</v>
      </c>
      <c r="VH23">
        <v>206</v>
      </c>
      <c r="VI23" s="16">
        <v>44322</v>
      </c>
      <c r="VJ23">
        <v>88526</v>
      </c>
      <c r="VK23">
        <v>238</v>
      </c>
      <c r="VL23" s="16">
        <v>44322</v>
      </c>
      <c r="VM23">
        <v>88522</v>
      </c>
      <c r="VN23">
        <v>237</v>
      </c>
      <c r="VO23" s="16">
        <v>44323</v>
      </c>
      <c r="VP23">
        <v>88733</v>
      </c>
      <c r="VQ23">
        <v>214</v>
      </c>
      <c r="VR23" s="16">
        <v>44324</v>
      </c>
      <c r="VS23">
        <v>88863</v>
      </c>
      <c r="VT23">
        <v>129</v>
      </c>
      <c r="VU23" s="16">
        <v>44326</v>
      </c>
      <c r="VV23">
        <v>89254</v>
      </c>
      <c r="VW23">
        <v>258</v>
      </c>
      <c r="VX23" s="16">
        <v>44326</v>
      </c>
      <c r="VY23">
        <v>89256</v>
      </c>
      <c r="VZ23">
        <v>257</v>
      </c>
      <c r="WA23" s="16">
        <v>44327</v>
      </c>
      <c r="WB23">
        <v>89473</v>
      </c>
      <c r="WC23">
        <v>214</v>
      </c>
      <c r="WD23" s="16">
        <v>44328</v>
      </c>
      <c r="WE23">
        <v>89728</v>
      </c>
      <c r="WF23">
        <v>255</v>
      </c>
      <c r="WG23" s="16">
        <v>44329</v>
      </c>
      <c r="WH23">
        <v>89883</v>
      </c>
      <c r="WI23">
        <v>155</v>
      </c>
      <c r="WJ23" s="16">
        <v>44331</v>
      </c>
      <c r="WK23">
        <v>90286</v>
      </c>
      <c r="WL23">
        <v>158</v>
      </c>
      <c r="WM23" s="16">
        <v>44331</v>
      </c>
      <c r="WN23">
        <v>90288</v>
      </c>
      <c r="WO23">
        <v>159</v>
      </c>
      <c r="WP23" s="16">
        <v>44334</v>
      </c>
      <c r="WQ23">
        <v>90922</v>
      </c>
      <c r="WR23">
        <v>217</v>
      </c>
      <c r="WS23" s="16">
        <v>44335</v>
      </c>
      <c r="WT23">
        <v>91156</v>
      </c>
      <c r="WU23">
        <v>230</v>
      </c>
      <c r="WV23" s="16">
        <v>44336</v>
      </c>
      <c r="WW23">
        <v>91374</v>
      </c>
      <c r="WX23">
        <v>215</v>
      </c>
      <c r="WY23" s="16">
        <v>44337</v>
      </c>
      <c r="WZ23">
        <v>91547</v>
      </c>
      <c r="XA23">
        <v>170</v>
      </c>
      <c r="XB23" s="16">
        <v>44338</v>
      </c>
      <c r="XC23">
        <v>91652</v>
      </c>
      <c r="XD23">
        <v>106</v>
      </c>
      <c r="XE23" s="16">
        <v>44340</v>
      </c>
      <c r="XF23">
        <v>91933</v>
      </c>
      <c r="XG23">
        <v>189</v>
      </c>
      <c r="XH23" s="16">
        <v>44340</v>
      </c>
      <c r="XI23">
        <v>91939</v>
      </c>
      <c r="XJ23">
        <v>189</v>
      </c>
      <c r="XK23" s="16">
        <v>44341</v>
      </c>
      <c r="XL23">
        <v>92091</v>
      </c>
      <c r="XM23">
        <v>152</v>
      </c>
      <c r="XN23" s="16">
        <v>44342</v>
      </c>
      <c r="XO23">
        <v>92235</v>
      </c>
      <c r="XP23">
        <v>143</v>
      </c>
      <c r="XQ23" s="16">
        <v>44343</v>
      </c>
      <c r="XR23">
        <v>92363</v>
      </c>
      <c r="XS23">
        <v>127</v>
      </c>
      <c r="XT23" s="16">
        <v>44344</v>
      </c>
      <c r="XU23">
        <v>92502</v>
      </c>
      <c r="XV23">
        <v>136</v>
      </c>
      <c r="XW23" s="16">
        <v>44345</v>
      </c>
      <c r="XX23">
        <v>92569</v>
      </c>
      <c r="XY23">
        <v>64</v>
      </c>
      <c r="XZ23" s="16">
        <v>44346</v>
      </c>
      <c r="YA23">
        <v>92649</v>
      </c>
      <c r="YB23">
        <v>79</v>
      </c>
      <c r="YC23" s="16">
        <v>44348</v>
      </c>
      <c r="YD23">
        <v>92917</v>
      </c>
      <c r="YE23">
        <v>122</v>
      </c>
      <c r="YF23" s="16">
        <v>44349</v>
      </c>
      <c r="YG23">
        <v>93037</v>
      </c>
      <c r="YH23">
        <v>118</v>
      </c>
      <c r="YI23" s="16">
        <v>44350</v>
      </c>
      <c r="YJ23">
        <v>93150</v>
      </c>
      <c r="YK23">
        <v>111</v>
      </c>
      <c r="YL23" s="16">
        <v>44351</v>
      </c>
      <c r="YM23">
        <v>93248</v>
      </c>
      <c r="YN23">
        <v>99</v>
      </c>
      <c r="YO23" s="16">
        <v>44352</v>
      </c>
      <c r="YP23">
        <v>93316</v>
      </c>
      <c r="YQ23">
        <v>65</v>
      </c>
      <c r="YR23" s="16">
        <v>44353</v>
      </c>
      <c r="YS23">
        <v>93380</v>
      </c>
      <c r="YT23">
        <v>60</v>
      </c>
      <c r="YU23" s="16">
        <v>44355</v>
      </c>
      <c r="YV23">
        <v>93626</v>
      </c>
      <c r="YW23">
        <v>102</v>
      </c>
      <c r="YX23" s="16">
        <v>44356</v>
      </c>
      <c r="YY23">
        <v>93706</v>
      </c>
      <c r="YZ23">
        <v>82</v>
      </c>
      <c r="ZA23" s="16">
        <v>44357</v>
      </c>
      <c r="ZB23">
        <v>93784</v>
      </c>
      <c r="ZC23">
        <v>76</v>
      </c>
      <c r="ZD23" s="16">
        <v>44368</v>
      </c>
      <c r="ZE23">
        <v>94489</v>
      </c>
      <c r="ZF23">
        <v>51</v>
      </c>
      <c r="ZG23" s="16">
        <v>44369</v>
      </c>
      <c r="ZH23">
        <v>94712</v>
      </c>
      <c r="ZI23">
        <v>109</v>
      </c>
      <c r="ZJ23" s="16">
        <v>44370</v>
      </c>
      <c r="ZK23">
        <v>94850</v>
      </c>
      <c r="ZL23">
        <v>138</v>
      </c>
      <c r="ZM23" s="16">
        <v>44371</v>
      </c>
      <c r="ZN23">
        <v>95012</v>
      </c>
      <c r="ZO23">
        <v>159</v>
      </c>
      <c r="ZP23" s="16">
        <v>44372</v>
      </c>
      <c r="ZQ23">
        <v>95200</v>
      </c>
      <c r="ZR23">
        <v>197</v>
      </c>
      <c r="ZS23" s="16">
        <v>44376</v>
      </c>
      <c r="ZT23">
        <v>95936</v>
      </c>
      <c r="ZU23">
        <v>259</v>
      </c>
      <c r="ZV23" s="16">
        <v>44377</v>
      </c>
      <c r="ZW23">
        <v>96144</v>
      </c>
      <c r="ZX23">
        <v>193</v>
      </c>
      <c r="ZY23" s="16">
        <v>44378</v>
      </c>
      <c r="ZZ23">
        <v>96352</v>
      </c>
      <c r="AAA23">
        <v>208</v>
      </c>
      <c r="AAB23" s="16">
        <v>44379</v>
      </c>
      <c r="AAC23">
        <v>96521</v>
      </c>
      <c r="AAD23">
        <v>166</v>
      </c>
      <c r="AAE23" s="16">
        <v>44380</v>
      </c>
      <c r="AAF23">
        <v>96658</v>
      </c>
      <c r="AAG23">
        <v>131</v>
      </c>
      <c r="AAH23" s="16">
        <v>44383</v>
      </c>
      <c r="AAI23">
        <v>97272</v>
      </c>
      <c r="AAJ23">
        <v>259</v>
      </c>
      <c r="AAK23" s="16">
        <v>44384</v>
      </c>
      <c r="AAL23">
        <v>97562</v>
      </c>
      <c r="AAM23">
        <v>291</v>
      </c>
      <c r="AAN23" s="16">
        <v>44386</v>
      </c>
      <c r="AAO23">
        <v>98153</v>
      </c>
      <c r="AAP23">
        <v>309</v>
      </c>
      <c r="AAQ23" s="16">
        <v>44386</v>
      </c>
      <c r="AAR23">
        <v>98169</v>
      </c>
      <c r="AAS23">
        <v>310</v>
      </c>
      <c r="AAT23" s="16">
        <v>44387</v>
      </c>
      <c r="AAU23">
        <v>98312</v>
      </c>
      <c r="AAV23">
        <v>150</v>
      </c>
      <c r="AAW23" s="16">
        <v>44389</v>
      </c>
      <c r="AAX23">
        <v>98800</v>
      </c>
      <c r="AAY23">
        <v>329</v>
      </c>
      <c r="AAZ23" s="16">
        <v>44389</v>
      </c>
      <c r="ABA23">
        <v>98802</v>
      </c>
      <c r="ABB23">
        <v>329</v>
      </c>
      <c r="ABC23" s="16">
        <v>44390</v>
      </c>
      <c r="ABD23">
        <v>99144</v>
      </c>
      <c r="ABE23">
        <v>340</v>
      </c>
      <c r="ABF23" s="16">
        <v>44392</v>
      </c>
      <c r="ABG23">
        <v>99907</v>
      </c>
      <c r="ABH23">
        <v>381</v>
      </c>
      <c r="ABI23" s="16">
        <v>44392</v>
      </c>
      <c r="ABJ23">
        <v>99908</v>
      </c>
      <c r="ABK23">
        <v>380</v>
      </c>
      <c r="ABL23" s="16">
        <v>44393</v>
      </c>
      <c r="ABM23">
        <v>100262</v>
      </c>
      <c r="ABN23">
        <v>355</v>
      </c>
      <c r="ABO23" s="16">
        <v>44394</v>
      </c>
      <c r="ABP23">
        <v>100464</v>
      </c>
      <c r="ABQ23">
        <v>202</v>
      </c>
      <c r="ABR23" s="16">
        <v>44395</v>
      </c>
      <c r="ABS23">
        <v>100714</v>
      </c>
      <c r="ABT23">
        <v>246</v>
      </c>
      <c r="ABU23" s="16">
        <v>44396</v>
      </c>
      <c r="ABV23">
        <v>101139</v>
      </c>
      <c r="ABW23">
        <v>420</v>
      </c>
      <c r="ABX23" s="16">
        <v>44397</v>
      </c>
      <c r="ABY23">
        <v>101567</v>
      </c>
      <c r="ABZ23">
        <v>423</v>
      </c>
      <c r="ACA23" s="16">
        <v>44398</v>
      </c>
      <c r="ACB23">
        <v>102039</v>
      </c>
      <c r="ACC23">
        <v>468</v>
      </c>
      <c r="ACD23" s="16">
        <v>44399</v>
      </c>
      <c r="ACE23">
        <v>102528</v>
      </c>
      <c r="ACF23">
        <v>487</v>
      </c>
      <c r="ACG23" s="16">
        <v>44400</v>
      </c>
      <c r="ACH23">
        <v>103006</v>
      </c>
      <c r="ACI23">
        <v>479</v>
      </c>
      <c r="ACJ23" s="16">
        <v>44401</v>
      </c>
      <c r="ACK23">
        <v>103298</v>
      </c>
      <c r="ACL23">
        <v>298</v>
      </c>
      <c r="ACM23" s="16">
        <v>44404</v>
      </c>
      <c r="ACN23">
        <v>105088</v>
      </c>
      <c r="ACO23">
        <v>675</v>
      </c>
      <c r="ACP23" s="16">
        <v>44405</v>
      </c>
      <c r="ACQ23">
        <v>105934</v>
      </c>
      <c r="ACR23">
        <v>844</v>
      </c>
      <c r="ACS23" s="16">
        <v>44406</v>
      </c>
      <c r="ACT23">
        <v>106700</v>
      </c>
      <c r="ACU23">
        <v>766</v>
      </c>
      <c r="ACV23" s="16">
        <v>44407</v>
      </c>
      <c r="ACW23">
        <v>107390</v>
      </c>
      <c r="ACX23">
        <v>692</v>
      </c>
      <c r="ACY23" s="16">
        <v>44408</v>
      </c>
      <c r="ACZ23">
        <v>107797</v>
      </c>
      <c r="ADA23">
        <v>403</v>
      </c>
      <c r="ADB23" s="16">
        <v>44409</v>
      </c>
      <c r="ADC23">
        <v>108275</v>
      </c>
      <c r="ADD23">
        <v>474</v>
      </c>
      <c r="ADE23" s="16">
        <v>44410</v>
      </c>
      <c r="ADF23">
        <v>109170</v>
      </c>
      <c r="ADG23">
        <v>893</v>
      </c>
      <c r="ADH23" s="16">
        <v>44411</v>
      </c>
      <c r="ADI23">
        <v>110014</v>
      </c>
      <c r="ADJ23">
        <v>840</v>
      </c>
      <c r="ADK23" s="16">
        <v>44412</v>
      </c>
      <c r="ADL23">
        <v>110797</v>
      </c>
      <c r="ADM23">
        <v>782</v>
      </c>
      <c r="ADN23" s="16">
        <v>44413</v>
      </c>
      <c r="ADO23">
        <v>111661</v>
      </c>
      <c r="ADP23">
        <v>864</v>
      </c>
      <c r="ADQ23" s="16">
        <v>44414</v>
      </c>
      <c r="ADR23">
        <v>112350</v>
      </c>
      <c r="ADS23">
        <v>683</v>
      </c>
      <c r="ADT23" s="16">
        <v>44415</v>
      </c>
      <c r="ADU23">
        <v>112830</v>
      </c>
      <c r="ADV23">
        <v>477</v>
      </c>
      <c r="ADW23" s="16">
        <v>44418</v>
      </c>
      <c r="ADX23">
        <v>115230</v>
      </c>
      <c r="ADY23">
        <v>828</v>
      </c>
      <c r="ADZ23" s="16">
        <v>44419</v>
      </c>
      <c r="AEA23">
        <v>116157</v>
      </c>
      <c r="AEB23">
        <v>924</v>
      </c>
      <c r="AEC23" s="16">
        <v>44420</v>
      </c>
      <c r="AED23">
        <v>116948</v>
      </c>
      <c r="AEE23">
        <v>789</v>
      </c>
      <c r="AEF23" s="16">
        <v>44421</v>
      </c>
      <c r="AEG23">
        <v>117683</v>
      </c>
      <c r="AEH23">
        <v>736</v>
      </c>
      <c r="AEI23" s="16">
        <v>44422</v>
      </c>
      <c r="AEJ23">
        <v>118112</v>
      </c>
      <c r="AEK23">
        <v>426</v>
      </c>
      <c r="AEL23" s="16">
        <v>44425</v>
      </c>
      <c r="AEM23">
        <v>120059</v>
      </c>
      <c r="AEN23">
        <v>738</v>
      </c>
      <c r="AEO23" s="16">
        <v>44426</v>
      </c>
      <c r="AEP23">
        <v>120787</v>
      </c>
      <c r="AEQ23">
        <v>703</v>
      </c>
      <c r="AER23" s="16">
        <v>44427</v>
      </c>
      <c r="AES23">
        <v>121445</v>
      </c>
      <c r="AET23">
        <v>658</v>
      </c>
      <c r="AEU23" s="16">
        <v>44428</v>
      </c>
      <c r="AEV23">
        <v>122101</v>
      </c>
      <c r="AEW23">
        <v>656</v>
      </c>
      <c r="AEX23" s="16">
        <v>44430</v>
      </c>
      <c r="AEY23">
        <v>122958</v>
      </c>
      <c r="AEZ23">
        <v>455</v>
      </c>
      <c r="AFA23" s="16">
        <v>44431</v>
      </c>
      <c r="AFB23">
        <v>123617</v>
      </c>
      <c r="AFC23">
        <v>660</v>
      </c>
      <c r="AFD23">
        <v>44436</v>
      </c>
      <c r="AFE23">
        <v>126647</v>
      </c>
      <c r="AFF23">
        <v>435</v>
      </c>
      <c r="AFG23">
        <v>44437</v>
      </c>
      <c r="AFH23">
        <v>127146</v>
      </c>
      <c r="AFI23">
        <v>455</v>
      </c>
      <c r="AFJ23">
        <v>44439</v>
      </c>
      <c r="AFK23">
        <v>128536</v>
      </c>
      <c r="AFL23">
        <v>650</v>
      </c>
      <c r="AFM23">
        <v>44442</v>
      </c>
      <c r="AFN23">
        <v>130356</v>
      </c>
      <c r="AFO23">
        <v>519</v>
      </c>
      <c r="AFP23">
        <v>44443</v>
      </c>
      <c r="AFQ23">
        <v>130693</v>
      </c>
      <c r="AFR23">
        <v>334</v>
      </c>
      <c r="AFS23">
        <v>44445</v>
      </c>
      <c r="AFT23">
        <v>131618</v>
      </c>
      <c r="AFU23">
        <v>580</v>
      </c>
      <c r="AFV23">
        <v>44446</v>
      </c>
      <c r="AFW23">
        <v>132137</v>
      </c>
      <c r="AFX23">
        <v>512</v>
      </c>
      <c r="AFY23">
        <v>44448</v>
      </c>
      <c r="AFZ23">
        <v>133076</v>
      </c>
      <c r="AGA23">
        <v>458</v>
      </c>
      <c r="AGB23">
        <v>44449</v>
      </c>
      <c r="AGC23">
        <v>133573</v>
      </c>
      <c r="AGD23">
        <v>492</v>
      </c>
      <c r="AGE23">
        <v>44452</v>
      </c>
      <c r="AGF23">
        <v>134717</v>
      </c>
      <c r="AGG23">
        <v>532</v>
      </c>
      <c r="AGH23">
        <v>44453</v>
      </c>
      <c r="AGI23">
        <v>135200</v>
      </c>
      <c r="AGJ23">
        <v>474</v>
      </c>
      <c r="AGK23">
        <v>44455</v>
      </c>
      <c r="AGL23">
        <v>136090</v>
      </c>
      <c r="AGM23">
        <v>430</v>
      </c>
      <c r="AGN23">
        <v>44455</v>
      </c>
      <c r="AGO23">
        <v>136091</v>
      </c>
      <c r="AGP23">
        <v>430</v>
      </c>
      <c r="AGQ23">
        <v>44456</v>
      </c>
      <c r="AGR23">
        <v>136476</v>
      </c>
      <c r="AGS23">
        <v>382</v>
      </c>
      <c r="AGT23">
        <v>44457</v>
      </c>
      <c r="AGU23">
        <v>136716</v>
      </c>
      <c r="AGV23">
        <v>238</v>
      </c>
      <c r="AGW23">
        <v>44459</v>
      </c>
      <c r="AGX23">
        <v>137481</v>
      </c>
      <c r="AGY23">
        <v>486</v>
      </c>
      <c r="AGZ23">
        <v>44461</v>
      </c>
      <c r="AHA23">
        <v>138460</v>
      </c>
      <c r="AHB23">
        <v>484</v>
      </c>
      <c r="AHC23">
        <v>44462</v>
      </c>
      <c r="AHD23">
        <v>138937</v>
      </c>
      <c r="AHE23">
        <v>475</v>
      </c>
      <c r="AHF23">
        <v>44463</v>
      </c>
      <c r="AHG23">
        <v>139363</v>
      </c>
      <c r="AHH23">
        <v>426</v>
      </c>
      <c r="AHI23">
        <v>44464</v>
      </c>
      <c r="AHJ23">
        <v>139657</v>
      </c>
      <c r="AHK23">
        <v>294</v>
      </c>
      <c r="AHL23">
        <v>44468</v>
      </c>
      <c r="AHM23">
        <v>141997</v>
      </c>
      <c r="AHN23">
        <v>665</v>
      </c>
      <c r="AHO23">
        <v>44469</v>
      </c>
      <c r="AHP23">
        <v>142614</v>
      </c>
      <c r="AHQ23">
        <v>610</v>
      </c>
      <c r="AHR23">
        <v>44470</v>
      </c>
      <c r="AHS23">
        <v>143145</v>
      </c>
      <c r="AHT23">
        <v>528</v>
      </c>
      <c r="AHU23">
        <v>44471</v>
      </c>
      <c r="AHV23">
        <v>143497</v>
      </c>
      <c r="AHW23">
        <v>352</v>
      </c>
      <c r="AHX23">
        <v>44472</v>
      </c>
      <c r="AHY23">
        <v>143890</v>
      </c>
      <c r="AHZ23">
        <v>388</v>
      </c>
      <c r="AIA23">
        <v>44476</v>
      </c>
      <c r="AIB23">
        <v>146404</v>
      </c>
      <c r="AIC23">
        <v>556</v>
      </c>
      <c r="AID23">
        <v>44480</v>
      </c>
      <c r="AIE23">
        <v>148523</v>
      </c>
      <c r="AIF23">
        <v>691</v>
      </c>
      <c r="AIG23">
        <v>44484</v>
      </c>
      <c r="AIH23">
        <v>150893</v>
      </c>
      <c r="AII23">
        <v>557</v>
      </c>
      <c r="AIJ23">
        <v>44485</v>
      </c>
      <c r="AIK23">
        <v>151265</v>
      </c>
      <c r="AIL23">
        <v>342</v>
      </c>
      <c r="AIM23">
        <v>44486</v>
      </c>
      <c r="AIN23">
        <v>151587</v>
      </c>
      <c r="AIO23">
        <v>319</v>
      </c>
      <c r="AIP23">
        <v>44489</v>
      </c>
      <c r="AIQ23">
        <v>153308</v>
      </c>
      <c r="AIR23">
        <v>512</v>
      </c>
      <c r="AIS23">
        <v>44490</v>
      </c>
      <c r="AIT23">
        <v>153938</v>
      </c>
      <c r="AIU23">
        <v>623</v>
      </c>
      <c r="AIV23">
        <v>44491</v>
      </c>
      <c r="AIW23">
        <v>154518</v>
      </c>
      <c r="AIX23">
        <v>575</v>
      </c>
      <c r="AIY23">
        <v>44492</v>
      </c>
      <c r="AIZ23">
        <v>155163</v>
      </c>
      <c r="AJA23">
        <v>376</v>
      </c>
      <c r="AJB23">
        <v>44493</v>
      </c>
      <c r="AJC23">
        <v>155552</v>
      </c>
      <c r="AJD23">
        <v>387</v>
      </c>
      <c r="AJE23">
        <v>44496</v>
      </c>
      <c r="AJF23">
        <v>157657</v>
      </c>
      <c r="AJG23">
        <v>642</v>
      </c>
      <c r="AJH23">
        <v>44497</v>
      </c>
      <c r="AJI23">
        <v>158273</v>
      </c>
      <c r="AJJ23">
        <v>570</v>
      </c>
      <c r="AJK23">
        <v>44498</v>
      </c>
      <c r="AJL23">
        <v>158924</v>
      </c>
      <c r="AJM23">
        <v>649</v>
      </c>
      <c r="AJN23">
        <v>44499</v>
      </c>
      <c r="AJO23">
        <v>159329</v>
      </c>
      <c r="AJP23">
        <v>400</v>
      </c>
      <c r="AJQ23">
        <v>44503</v>
      </c>
      <c r="AJR23">
        <v>162271</v>
      </c>
      <c r="AJS23">
        <v>770</v>
      </c>
      <c r="AJT23">
        <v>44504</v>
      </c>
      <c r="AJU23">
        <v>163077</v>
      </c>
      <c r="AJV23">
        <v>800</v>
      </c>
      <c r="AJW23">
        <v>44505</v>
      </c>
      <c r="AJX23">
        <v>163916</v>
      </c>
      <c r="AJY23">
        <v>840</v>
      </c>
      <c r="AJZ23">
        <v>44506</v>
      </c>
      <c r="AKA23">
        <v>164431</v>
      </c>
      <c r="AKB23">
        <v>511</v>
      </c>
      <c r="AKC23">
        <v>44507</v>
      </c>
      <c r="AKD23">
        <v>164945</v>
      </c>
      <c r="AKE23">
        <v>508</v>
      </c>
      <c r="AKF23">
        <v>44510</v>
      </c>
      <c r="AKG23">
        <v>167857</v>
      </c>
      <c r="AKH23">
        <v>964</v>
      </c>
      <c r="AKI23">
        <v>44513</v>
      </c>
      <c r="AKJ23">
        <v>170363</v>
      </c>
      <c r="AKK23">
        <v>615</v>
      </c>
      <c r="AKL23">
        <v>44515</v>
      </c>
      <c r="AKM23">
        <v>172192</v>
      </c>
      <c r="AKN23">
        <v>1250</v>
      </c>
      <c r="AKO23">
        <v>44517</v>
      </c>
      <c r="AKP23">
        <v>174553</v>
      </c>
      <c r="AKQ23">
        <v>1164</v>
      </c>
      <c r="AKR23">
        <v>44518</v>
      </c>
      <c r="AKS23">
        <v>175779</v>
      </c>
      <c r="AKT23">
        <v>1211</v>
      </c>
      <c r="AKU23">
        <v>44520</v>
      </c>
      <c r="AKV23">
        <v>177755</v>
      </c>
      <c r="AKW23">
        <v>705</v>
      </c>
      <c r="AKX23">
        <v>44521</v>
      </c>
      <c r="AKY23">
        <v>178436</v>
      </c>
      <c r="AKZ23">
        <v>673</v>
      </c>
      <c r="ALA23">
        <v>44524</v>
      </c>
      <c r="ALB23">
        <v>182427</v>
      </c>
      <c r="ALC23">
        <v>1250</v>
      </c>
      <c r="ALD23">
        <v>44525</v>
      </c>
      <c r="ALE23">
        <v>183695</v>
      </c>
      <c r="ALF23">
        <v>1265</v>
      </c>
      <c r="ALG23">
        <v>44526</v>
      </c>
      <c r="ALH23">
        <v>184991</v>
      </c>
      <c r="ALI23">
        <v>1290</v>
      </c>
      <c r="ALJ23">
        <v>44527</v>
      </c>
      <c r="ALK23">
        <v>185774</v>
      </c>
      <c r="ALL23">
        <v>784</v>
      </c>
      <c r="ALM23">
        <v>44535</v>
      </c>
      <c r="ALN23">
        <v>196184</v>
      </c>
      <c r="ALO23">
        <v>999</v>
      </c>
    </row>
    <row r="24" spans="2:1003">
      <c r="B24" t="str">
        <f t="shared" ca="1" si="2"/>
        <v>7.12</v>
      </c>
      <c r="C24" s="4">
        <f t="shared" ca="1" si="0"/>
        <v>44537</v>
      </c>
      <c r="D24" s="11">
        <f t="shared" ca="1" si="1"/>
        <v>199200</v>
      </c>
      <c r="E24">
        <f t="shared" ca="1" si="3"/>
        <v>1914</v>
      </c>
      <c r="F24" s="11">
        <f t="shared" ca="1" si="4"/>
        <v>2</v>
      </c>
      <c r="G24" s="11">
        <f t="shared" ca="1" si="5"/>
        <v>1912</v>
      </c>
      <c r="N24" s="16">
        <v>44536</v>
      </c>
      <c r="O24">
        <v>197248</v>
      </c>
      <c r="P24">
        <v>1064</v>
      </c>
      <c r="Q24" s="16">
        <v>44536</v>
      </c>
      <c r="R24">
        <v>197248</v>
      </c>
      <c r="S24">
        <v>1064</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s="16">
        <v>44285</v>
      </c>
      <c r="RU24">
        <v>77929</v>
      </c>
      <c r="RV24">
        <v>567</v>
      </c>
      <c r="RW24" s="16">
        <v>44286</v>
      </c>
      <c r="RX24">
        <v>78479</v>
      </c>
      <c r="RY24">
        <v>548</v>
      </c>
      <c r="RZ24" s="16">
        <v>44287</v>
      </c>
      <c r="SA24">
        <v>78967</v>
      </c>
      <c r="SB24">
        <v>487</v>
      </c>
      <c r="SC24" s="16">
        <v>44288</v>
      </c>
      <c r="SD24">
        <v>79329</v>
      </c>
      <c r="SE24">
        <v>361</v>
      </c>
      <c r="SF24" s="16">
        <v>44289</v>
      </c>
      <c r="SG24">
        <v>79645</v>
      </c>
      <c r="SH24">
        <v>315</v>
      </c>
      <c r="SI24" s="16">
        <v>44290</v>
      </c>
      <c r="SJ24">
        <v>79965</v>
      </c>
      <c r="SK24">
        <v>319</v>
      </c>
      <c r="SL24" s="16">
        <v>44292</v>
      </c>
      <c r="SM24">
        <v>80861</v>
      </c>
      <c r="SN24">
        <v>537</v>
      </c>
      <c r="SO24" s="16">
        <v>44293</v>
      </c>
      <c r="SP24">
        <v>81307</v>
      </c>
      <c r="SQ24">
        <v>427</v>
      </c>
      <c r="SR24" s="16">
        <v>44294</v>
      </c>
      <c r="SS24">
        <v>81714</v>
      </c>
      <c r="ST24">
        <v>400</v>
      </c>
      <c r="SU24" s="16">
        <v>44295</v>
      </c>
      <c r="SV24">
        <v>82061</v>
      </c>
      <c r="SW24">
        <v>347</v>
      </c>
      <c r="SX24" s="16">
        <v>44297</v>
      </c>
      <c r="SY24">
        <v>82530</v>
      </c>
      <c r="SZ24">
        <v>238</v>
      </c>
      <c r="TA24" s="16">
        <v>44298</v>
      </c>
      <c r="TB24">
        <v>82932</v>
      </c>
      <c r="TC24">
        <v>397</v>
      </c>
      <c r="TD24" s="16">
        <v>44300</v>
      </c>
      <c r="TE24">
        <v>83604</v>
      </c>
      <c r="TF24">
        <v>345</v>
      </c>
      <c r="TG24" s="16">
        <v>44301</v>
      </c>
      <c r="TH24">
        <v>83881</v>
      </c>
      <c r="TI24">
        <v>274</v>
      </c>
      <c r="TJ24" s="16">
        <v>44302</v>
      </c>
      <c r="TK24">
        <v>84147</v>
      </c>
      <c r="TL24">
        <v>264</v>
      </c>
      <c r="TM24" s="16">
        <v>44303</v>
      </c>
      <c r="TN24">
        <v>84317</v>
      </c>
      <c r="TO24">
        <v>169</v>
      </c>
      <c r="TP24" s="16">
        <v>44305</v>
      </c>
      <c r="TQ24">
        <v>84760</v>
      </c>
      <c r="TR24">
        <v>284</v>
      </c>
      <c r="TS24" s="16">
        <v>44306</v>
      </c>
      <c r="TT24">
        <v>85050</v>
      </c>
      <c r="TU24">
        <v>286</v>
      </c>
      <c r="TV24" s="16">
        <v>44306</v>
      </c>
      <c r="TW24">
        <v>85056</v>
      </c>
      <c r="TX24">
        <v>286</v>
      </c>
      <c r="TY24" s="16">
        <v>44307</v>
      </c>
      <c r="TZ24">
        <v>85298</v>
      </c>
      <c r="UA24">
        <v>243</v>
      </c>
      <c r="UB24" s="16">
        <v>44309</v>
      </c>
      <c r="UC24">
        <v>85814</v>
      </c>
      <c r="UD24">
        <v>257</v>
      </c>
      <c r="UE24" s="16">
        <v>44309</v>
      </c>
      <c r="UF24">
        <v>85813</v>
      </c>
      <c r="UG24">
        <v>257</v>
      </c>
      <c r="UH24" s="16">
        <v>44310</v>
      </c>
      <c r="UI24">
        <v>85969</v>
      </c>
      <c r="UJ24">
        <v>153</v>
      </c>
      <c r="UK24" s="16">
        <v>44311</v>
      </c>
      <c r="UL24">
        <v>86114</v>
      </c>
      <c r="UM24">
        <v>142</v>
      </c>
      <c r="UN24" s="16">
        <v>44315</v>
      </c>
      <c r="UO24">
        <v>87062</v>
      </c>
      <c r="UP24">
        <v>199</v>
      </c>
      <c r="UQ24" s="16">
        <v>44316</v>
      </c>
      <c r="UR24">
        <v>87263</v>
      </c>
      <c r="US24">
        <v>195</v>
      </c>
      <c r="UT24" s="16">
        <v>44317</v>
      </c>
      <c r="UU24">
        <v>87364</v>
      </c>
      <c r="UV24">
        <v>105</v>
      </c>
      <c r="UW24" s="16">
        <v>44318</v>
      </c>
      <c r="UX24">
        <v>87499</v>
      </c>
      <c r="UY24">
        <v>136</v>
      </c>
      <c r="UZ24" s="16">
        <v>44320</v>
      </c>
      <c r="VA24">
        <v>88023</v>
      </c>
      <c r="VB24">
        <v>204</v>
      </c>
      <c r="VC24" s="16">
        <v>44320</v>
      </c>
      <c r="VD24">
        <v>88018</v>
      </c>
      <c r="VE24">
        <v>204</v>
      </c>
      <c r="VF24" s="16">
        <v>44321</v>
      </c>
      <c r="VG24">
        <v>88291</v>
      </c>
      <c r="VH24">
        <v>270</v>
      </c>
      <c r="VI24" s="16">
        <v>44323</v>
      </c>
      <c r="VJ24">
        <v>88742</v>
      </c>
      <c r="VK24">
        <v>216</v>
      </c>
      <c r="VL24" s="16">
        <v>44323</v>
      </c>
      <c r="VM24">
        <v>88738</v>
      </c>
      <c r="VN24">
        <v>216</v>
      </c>
      <c r="VO24" s="16">
        <v>44324</v>
      </c>
      <c r="VP24">
        <v>88862</v>
      </c>
      <c r="VQ24">
        <v>129</v>
      </c>
      <c r="VR24" s="16">
        <v>44325</v>
      </c>
      <c r="VS24">
        <v>88991</v>
      </c>
      <c r="VT24">
        <v>128</v>
      </c>
      <c r="VU24" s="16">
        <v>44327</v>
      </c>
      <c r="VV24">
        <v>89468</v>
      </c>
      <c r="VW24">
        <v>214</v>
      </c>
      <c r="VX24" s="16">
        <v>44327</v>
      </c>
      <c r="VY24">
        <v>89470</v>
      </c>
      <c r="VZ24">
        <v>214</v>
      </c>
      <c r="WA24" s="16">
        <v>44328</v>
      </c>
      <c r="WB24">
        <v>89729</v>
      </c>
      <c r="WC24">
        <v>256</v>
      </c>
      <c r="WD24" s="16">
        <v>44329</v>
      </c>
      <c r="WE24">
        <v>89883</v>
      </c>
      <c r="WF24">
        <v>155</v>
      </c>
      <c r="WG24" s="16">
        <v>44330</v>
      </c>
      <c r="WH24">
        <v>90128</v>
      </c>
      <c r="WI24">
        <v>245</v>
      </c>
      <c r="WJ24" s="16">
        <v>44332</v>
      </c>
      <c r="WK24">
        <v>90418</v>
      </c>
      <c r="WL24">
        <v>132</v>
      </c>
      <c r="WM24" s="16">
        <v>44332</v>
      </c>
      <c r="WN24">
        <v>90421</v>
      </c>
      <c r="WO24">
        <v>133</v>
      </c>
      <c r="WP24" s="16">
        <v>44335</v>
      </c>
      <c r="WQ24">
        <v>91153</v>
      </c>
      <c r="WR24">
        <v>231</v>
      </c>
      <c r="WS24" s="16">
        <v>44336</v>
      </c>
      <c r="WT24">
        <v>91371</v>
      </c>
      <c r="WU24">
        <v>215</v>
      </c>
      <c r="WV24" s="16">
        <v>44337</v>
      </c>
      <c r="WW24">
        <v>91543</v>
      </c>
      <c r="WX24">
        <v>169</v>
      </c>
      <c r="WY24" s="16">
        <v>44338</v>
      </c>
      <c r="WZ24">
        <v>91653</v>
      </c>
      <c r="XA24">
        <v>106</v>
      </c>
      <c r="XB24" s="16">
        <v>44339</v>
      </c>
      <c r="XC24">
        <v>91744</v>
      </c>
      <c r="XD24">
        <v>92</v>
      </c>
      <c r="XE24" s="16">
        <v>44341</v>
      </c>
      <c r="XF24">
        <v>92085</v>
      </c>
      <c r="XG24">
        <v>152</v>
      </c>
      <c r="XH24" s="16">
        <v>44341</v>
      </c>
      <c r="XI24">
        <v>92091</v>
      </c>
      <c r="XJ24">
        <v>152</v>
      </c>
      <c r="XK24" s="16">
        <v>44342</v>
      </c>
      <c r="XL24">
        <v>92234</v>
      </c>
      <c r="XM24">
        <v>143</v>
      </c>
      <c r="XN24" s="16">
        <v>44343</v>
      </c>
      <c r="XO24">
        <v>92362</v>
      </c>
      <c r="XP24">
        <v>127</v>
      </c>
      <c r="XQ24" s="16">
        <v>44344</v>
      </c>
      <c r="XR24">
        <v>92499</v>
      </c>
      <c r="XS24">
        <v>136</v>
      </c>
      <c r="XT24" s="16">
        <v>44345</v>
      </c>
      <c r="XU24">
        <v>92566</v>
      </c>
      <c r="XV24">
        <v>64</v>
      </c>
      <c r="XW24" s="16">
        <v>44346</v>
      </c>
      <c r="XX24">
        <v>92648</v>
      </c>
      <c r="XY24">
        <v>79</v>
      </c>
      <c r="XZ24" s="16">
        <v>44347</v>
      </c>
      <c r="YA24">
        <v>92793</v>
      </c>
      <c r="YB24">
        <v>144</v>
      </c>
      <c r="YC24" s="16">
        <v>44349</v>
      </c>
      <c r="YD24">
        <v>93036</v>
      </c>
      <c r="YE24">
        <v>119</v>
      </c>
      <c r="YF24" s="16">
        <v>44350</v>
      </c>
      <c r="YG24">
        <v>93147</v>
      </c>
      <c r="YH24">
        <v>110</v>
      </c>
      <c r="YI24" s="16">
        <v>44351</v>
      </c>
      <c r="YJ24">
        <v>93249</v>
      </c>
      <c r="YK24">
        <v>99</v>
      </c>
      <c r="YL24" s="16">
        <v>44352</v>
      </c>
      <c r="YM24">
        <v>93313</v>
      </c>
      <c r="YN24">
        <v>65</v>
      </c>
      <c r="YO24" s="16">
        <v>44353</v>
      </c>
      <c r="YP24">
        <v>93376</v>
      </c>
      <c r="YQ24">
        <v>60</v>
      </c>
      <c r="YR24" s="16">
        <v>44354</v>
      </c>
      <c r="YS24">
        <v>93516</v>
      </c>
      <c r="YT24">
        <v>136</v>
      </c>
      <c r="YU24" s="16">
        <v>44356</v>
      </c>
      <c r="YV24">
        <v>93708</v>
      </c>
      <c r="YW24">
        <v>82</v>
      </c>
      <c r="YX24" s="16">
        <v>44357</v>
      </c>
      <c r="YY24">
        <v>93782</v>
      </c>
      <c r="YZ24">
        <v>76</v>
      </c>
      <c r="ZA24" s="16">
        <v>44358</v>
      </c>
      <c r="ZB24">
        <v>93854</v>
      </c>
      <c r="ZC24">
        <v>70</v>
      </c>
      <c r="ZD24" s="16">
        <v>44369</v>
      </c>
      <c r="ZE24">
        <v>94489</v>
      </c>
      <c r="ZF24">
        <v>0</v>
      </c>
      <c r="ZG24" s="16">
        <v>44370</v>
      </c>
      <c r="ZH24">
        <v>94850</v>
      </c>
      <c r="ZI24">
        <v>138</v>
      </c>
      <c r="ZJ24" s="16">
        <v>44371</v>
      </c>
      <c r="ZK24">
        <v>95009</v>
      </c>
      <c r="ZL24">
        <v>159</v>
      </c>
      <c r="ZM24" s="16">
        <v>44372</v>
      </c>
      <c r="ZN24">
        <v>95209</v>
      </c>
      <c r="ZO24">
        <v>197</v>
      </c>
      <c r="ZP24" s="16">
        <v>44373</v>
      </c>
      <c r="ZQ24">
        <v>95329</v>
      </c>
      <c r="ZR24">
        <v>129</v>
      </c>
      <c r="ZS24" s="16">
        <v>44377</v>
      </c>
      <c r="ZT24">
        <v>96133</v>
      </c>
      <c r="ZU24">
        <v>197</v>
      </c>
      <c r="ZV24" s="16">
        <v>44378</v>
      </c>
      <c r="ZW24">
        <v>96352</v>
      </c>
      <c r="ZX24">
        <v>208</v>
      </c>
      <c r="ZY24" s="16">
        <v>44379</v>
      </c>
      <c r="ZZ24">
        <v>96518</v>
      </c>
      <c r="AAA24">
        <v>166</v>
      </c>
      <c r="AAB24" s="16">
        <v>44380</v>
      </c>
      <c r="AAC24">
        <v>96652</v>
      </c>
      <c r="AAD24">
        <v>131</v>
      </c>
      <c r="AAE24" s="16">
        <v>44381</v>
      </c>
      <c r="AAF24">
        <v>96770</v>
      </c>
      <c r="AAG24">
        <v>112</v>
      </c>
      <c r="AAH24" s="16">
        <v>44384</v>
      </c>
      <c r="AAI24">
        <v>97545</v>
      </c>
      <c r="AAJ24">
        <v>273</v>
      </c>
      <c r="AAK24" s="16">
        <v>44385</v>
      </c>
      <c r="AAL24">
        <v>97845</v>
      </c>
      <c r="AAM24">
        <v>283</v>
      </c>
      <c r="AAN24" s="16">
        <v>44387</v>
      </c>
      <c r="AAO24">
        <v>98306</v>
      </c>
      <c r="AAP24">
        <v>153</v>
      </c>
      <c r="AAQ24" s="16">
        <v>44387</v>
      </c>
      <c r="AAR24">
        <v>98323</v>
      </c>
      <c r="AAS24">
        <v>154</v>
      </c>
      <c r="AAT24" s="16">
        <v>44388</v>
      </c>
      <c r="AAU24">
        <v>98472</v>
      </c>
      <c r="AAV24">
        <v>160</v>
      </c>
      <c r="AAW24" s="16">
        <v>44390</v>
      </c>
      <c r="AAX24">
        <v>99140</v>
      </c>
      <c r="AAY24">
        <v>340</v>
      </c>
      <c r="AAZ24" s="16">
        <v>44390</v>
      </c>
      <c r="ABA24">
        <v>99143</v>
      </c>
      <c r="ABB24">
        <v>341</v>
      </c>
      <c r="ABC24" s="16">
        <v>44391</v>
      </c>
      <c r="ABD24">
        <v>99527</v>
      </c>
      <c r="ABE24">
        <v>383</v>
      </c>
      <c r="ABF24" s="16">
        <v>44393</v>
      </c>
      <c r="ABG24">
        <v>100262</v>
      </c>
      <c r="ABH24">
        <v>355</v>
      </c>
      <c r="ABI24" s="16">
        <v>44393</v>
      </c>
      <c r="ABJ24">
        <v>100263</v>
      </c>
      <c r="ABK24">
        <v>355</v>
      </c>
      <c r="ABL24" s="16">
        <v>44394</v>
      </c>
      <c r="ABM24">
        <v>100464</v>
      </c>
      <c r="ABN24">
        <v>202</v>
      </c>
      <c r="ABO24" s="16">
        <v>44395</v>
      </c>
      <c r="ABP24">
        <v>100710</v>
      </c>
      <c r="ABQ24">
        <v>246</v>
      </c>
      <c r="ABR24" s="16">
        <v>44396</v>
      </c>
      <c r="ABS24">
        <v>101134</v>
      </c>
      <c r="ABT24">
        <v>420</v>
      </c>
      <c r="ABU24" s="16">
        <v>44397</v>
      </c>
      <c r="ABV24">
        <v>101562</v>
      </c>
      <c r="ABW24">
        <v>423</v>
      </c>
      <c r="ABX24" s="16">
        <v>44398</v>
      </c>
      <c r="ABY24">
        <v>102036</v>
      </c>
      <c r="ABZ24">
        <v>469</v>
      </c>
      <c r="ACA24" s="16">
        <v>44399</v>
      </c>
      <c r="ACB24">
        <v>102526</v>
      </c>
      <c r="ACC24">
        <v>487</v>
      </c>
      <c r="ACD24" s="16">
        <v>44400</v>
      </c>
      <c r="ACE24">
        <v>103004</v>
      </c>
      <c r="ACF24">
        <v>476</v>
      </c>
      <c r="ACG24" s="16">
        <v>44401</v>
      </c>
      <c r="ACH24">
        <v>103304</v>
      </c>
      <c r="ACI24">
        <v>298</v>
      </c>
      <c r="ACJ24" s="16">
        <v>44402</v>
      </c>
      <c r="ACK24">
        <v>103648</v>
      </c>
      <c r="ACL24">
        <v>350</v>
      </c>
      <c r="ACM24" s="16">
        <v>44405</v>
      </c>
      <c r="ACN24">
        <v>105932</v>
      </c>
      <c r="ACO24">
        <v>844</v>
      </c>
      <c r="ACP24" s="16">
        <v>44406</v>
      </c>
      <c r="ACQ24">
        <v>106699</v>
      </c>
      <c r="ACR24">
        <v>765</v>
      </c>
      <c r="ACS24" s="16">
        <v>44407</v>
      </c>
      <c r="ACT24">
        <v>107393</v>
      </c>
      <c r="ACU24">
        <v>693</v>
      </c>
      <c r="ACV24" s="16">
        <v>44408</v>
      </c>
      <c r="ACW24">
        <v>107793</v>
      </c>
      <c r="ACX24">
        <v>403</v>
      </c>
      <c r="ACY24" s="16">
        <v>44409</v>
      </c>
      <c r="ACZ24">
        <v>108270</v>
      </c>
      <c r="ADA24">
        <v>473</v>
      </c>
      <c r="ADB24" s="16">
        <v>44410</v>
      </c>
      <c r="ADC24">
        <v>109168</v>
      </c>
      <c r="ADD24">
        <v>893</v>
      </c>
      <c r="ADE24" s="16">
        <v>44411</v>
      </c>
      <c r="ADF24">
        <v>110009</v>
      </c>
      <c r="ADG24">
        <v>839</v>
      </c>
      <c r="ADH24" s="16">
        <v>44412</v>
      </c>
      <c r="ADI24">
        <v>110796</v>
      </c>
      <c r="ADJ24">
        <v>782</v>
      </c>
      <c r="ADK24" s="16">
        <v>44413</v>
      </c>
      <c r="ADL24">
        <v>111660</v>
      </c>
      <c r="ADM24">
        <v>863</v>
      </c>
      <c r="ADN24" s="16">
        <v>44414</v>
      </c>
      <c r="ADO24">
        <v>112343</v>
      </c>
      <c r="ADP24">
        <v>682</v>
      </c>
      <c r="ADQ24" s="16">
        <v>44415</v>
      </c>
      <c r="ADR24">
        <v>112827</v>
      </c>
      <c r="ADS24">
        <v>477</v>
      </c>
      <c r="ADT24" s="16">
        <v>44416</v>
      </c>
      <c r="ADU24">
        <v>113364</v>
      </c>
      <c r="ADV24">
        <v>534</v>
      </c>
      <c r="ADW24" s="16">
        <v>44419</v>
      </c>
      <c r="ADX24">
        <v>116151</v>
      </c>
      <c r="ADY24">
        <v>921</v>
      </c>
      <c r="ADZ24" s="16">
        <v>44420</v>
      </c>
      <c r="AEA24">
        <v>116946</v>
      </c>
      <c r="AEB24">
        <v>789</v>
      </c>
      <c r="AEC24" s="16">
        <v>44421</v>
      </c>
      <c r="AED24">
        <v>117684</v>
      </c>
      <c r="AEE24">
        <v>736</v>
      </c>
      <c r="AEF24" s="16">
        <v>44422</v>
      </c>
      <c r="AEG24">
        <v>118109</v>
      </c>
      <c r="AEH24">
        <v>426</v>
      </c>
      <c r="AEI24" s="16">
        <v>44423</v>
      </c>
      <c r="AEJ24">
        <v>118552</v>
      </c>
      <c r="AEK24">
        <v>440</v>
      </c>
      <c r="AEL24" s="16">
        <v>44426</v>
      </c>
      <c r="AEM24">
        <v>120760</v>
      </c>
      <c r="AEN24">
        <v>701</v>
      </c>
      <c r="AEO24" s="16">
        <v>44427</v>
      </c>
      <c r="AEP24">
        <v>121445</v>
      </c>
      <c r="AEQ24">
        <v>658</v>
      </c>
      <c r="AER24" s="16">
        <v>44428</v>
      </c>
      <c r="AES24">
        <v>122102</v>
      </c>
      <c r="AET24">
        <v>657</v>
      </c>
      <c r="AEU24" s="16">
        <v>44429</v>
      </c>
      <c r="AEV24">
        <v>122494</v>
      </c>
      <c r="AEW24">
        <v>393</v>
      </c>
      <c r="AEX24" s="16">
        <v>44431</v>
      </c>
      <c r="AEY24">
        <v>123619</v>
      </c>
      <c r="AEZ24">
        <v>661</v>
      </c>
      <c r="AFA24" s="16">
        <v>44432</v>
      </c>
      <c r="AFB24">
        <v>124213</v>
      </c>
      <c r="AFC24">
        <v>596</v>
      </c>
      <c r="AFD24">
        <v>44437</v>
      </c>
      <c r="AFE24">
        <v>127105</v>
      </c>
      <c r="AFF24">
        <v>458</v>
      </c>
      <c r="AFG24">
        <v>44438</v>
      </c>
      <c r="AFH24">
        <v>127879</v>
      </c>
      <c r="AFI24">
        <v>733</v>
      </c>
      <c r="AFJ24">
        <v>44440</v>
      </c>
      <c r="AFK24">
        <v>129183</v>
      </c>
      <c r="AFL24">
        <v>647</v>
      </c>
      <c r="AFM24">
        <v>44443</v>
      </c>
      <c r="AFN24">
        <v>130690</v>
      </c>
      <c r="AFO24">
        <v>334</v>
      </c>
      <c r="AFP24">
        <v>44444</v>
      </c>
      <c r="AFQ24">
        <v>131037</v>
      </c>
      <c r="AFR24">
        <v>344</v>
      </c>
      <c r="AFS24">
        <v>44446</v>
      </c>
      <c r="AFT24">
        <v>132127</v>
      </c>
      <c r="AFU24">
        <v>509</v>
      </c>
      <c r="AFV24">
        <v>44447</v>
      </c>
      <c r="AFW24">
        <v>132619</v>
      </c>
      <c r="AFX24">
        <v>482</v>
      </c>
      <c r="AFY24">
        <v>44449</v>
      </c>
      <c r="AFZ24">
        <v>133568</v>
      </c>
      <c r="AGA24">
        <v>492</v>
      </c>
      <c r="AGB24">
        <v>44450</v>
      </c>
      <c r="AGC24">
        <v>133899</v>
      </c>
      <c r="AGD24">
        <v>326</v>
      </c>
      <c r="AGE24">
        <v>44453</v>
      </c>
      <c r="AGF24">
        <v>135192</v>
      </c>
      <c r="AGG24">
        <v>475</v>
      </c>
      <c r="AGH24">
        <v>44454</v>
      </c>
      <c r="AGI24">
        <v>135656</v>
      </c>
      <c r="AGJ24">
        <v>456</v>
      </c>
      <c r="AGK24">
        <v>44456</v>
      </c>
      <c r="AGL24">
        <v>136475</v>
      </c>
      <c r="AGM24">
        <v>385</v>
      </c>
      <c r="AGN24">
        <v>44456</v>
      </c>
      <c r="AGO24">
        <v>136476</v>
      </c>
      <c r="AGP24">
        <v>385</v>
      </c>
      <c r="AGQ24">
        <v>44457</v>
      </c>
      <c r="AGR24">
        <v>136712</v>
      </c>
      <c r="AGS24">
        <v>236</v>
      </c>
      <c r="AGT24">
        <v>44458</v>
      </c>
      <c r="AGU24">
        <v>136999</v>
      </c>
      <c r="AGV24">
        <v>283</v>
      </c>
      <c r="AGW24">
        <v>44460</v>
      </c>
      <c r="AGX24">
        <v>137971</v>
      </c>
      <c r="AGY24">
        <v>490</v>
      </c>
      <c r="AGZ24">
        <v>44462</v>
      </c>
      <c r="AHA24">
        <v>138935</v>
      </c>
      <c r="AHB24">
        <v>475</v>
      </c>
      <c r="AHC24">
        <v>44463</v>
      </c>
      <c r="AHD24">
        <v>139363</v>
      </c>
      <c r="AHE24">
        <v>426</v>
      </c>
      <c r="AHF24">
        <v>44464</v>
      </c>
      <c r="AHG24">
        <v>139657</v>
      </c>
      <c r="AHH24">
        <v>294</v>
      </c>
      <c r="AHI24">
        <v>44465</v>
      </c>
      <c r="AHJ24">
        <v>140011</v>
      </c>
      <c r="AHK24">
        <v>354</v>
      </c>
      <c r="AHL24">
        <v>44469</v>
      </c>
      <c r="AHM24">
        <v>142601</v>
      </c>
      <c r="AHN24">
        <v>604</v>
      </c>
      <c r="AHO24">
        <v>44470</v>
      </c>
      <c r="AHP24">
        <v>143142</v>
      </c>
      <c r="AHQ24">
        <v>528</v>
      </c>
      <c r="AHR24">
        <v>44471</v>
      </c>
      <c r="AHS24">
        <v>143497</v>
      </c>
      <c r="AHT24">
        <v>352</v>
      </c>
      <c r="AHU24">
        <v>44472</v>
      </c>
      <c r="AHV24">
        <v>143885</v>
      </c>
      <c r="AHW24">
        <v>388</v>
      </c>
      <c r="AHX24">
        <v>44473</v>
      </c>
      <c r="AHY24">
        <v>144629</v>
      </c>
      <c r="AHZ24">
        <v>739</v>
      </c>
      <c r="AIA24">
        <v>44477</v>
      </c>
      <c r="AIB24">
        <v>146993</v>
      </c>
      <c r="AIC24">
        <v>589</v>
      </c>
      <c r="AID24">
        <v>44481</v>
      </c>
      <c r="AIE24">
        <v>149131</v>
      </c>
      <c r="AIF24">
        <v>608</v>
      </c>
      <c r="AIG24">
        <v>44485</v>
      </c>
      <c r="AIH24">
        <v>151227</v>
      </c>
      <c r="AII24">
        <v>334</v>
      </c>
      <c r="AIJ24">
        <v>44486</v>
      </c>
      <c r="AIK24">
        <v>151584</v>
      </c>
      <c r="AIL24">
        <v>319</v>
      </c>
      <c r="AIM24">
        <v>44487</v>
      </c>
      <c r="AIN24">
        <v>152246</v>
      </c>
      <c r="AIO24">
        <v>659</v>
      </c>
      <c r="AIP24">
        <v>44490</v>
      </c>
      <c r="AIQ24">
        <v>153928</v>
      </c>
      <c r="AIR24">
        <v>620</v>
      </c>
      <c r="AIS24">
        <v>44491</v>
      </c>
      <c r="AIT24">
        <v>154509</v>
      </c>
      <c r="AIU24">
        <v>571</v>
      </c>
      <c r="AIV24">
        <v>44492</v>
      </c>
      <c r="AIW24">
        <v>154895</v>
      </c>
      <c r="AIX24">
        <v>377</v>
      </c>
      <c r="AIY24">
        <v>44493</v>
      </c>
      <c r="AIZ24">
        <v>155550</v>
      </c>
      <c r="AJA24">
        <v>387</v>
      </c>
      <c r="AJB24">
        <v>44494</v>
      </c>
      <c r="AJC24">
        <v>156336</v>
      </c>
      <c r="AJD24">
        <v>784</v>
      </c>
      <c r="AJE24">
        <v>44497</v>
      </c>
      <c r="AJF24">
        <v>158226</v>
      </c>
      <c r="AJG24">
        <v>569</v>
      </c>
      <c r="AJH24">
        <v>44498</v>
      </c>
      <c r="AJI24">
        <v>158920</v>
      </c>
      <c r="AJJ24">
        <v>647</v>
      </c>
      <c r="AJK24">
        <v>44499</v>
      </c>
      <c r="AJL24">
        <v>159324</v>
      </c>
      <c r="AJM24">
        <v>400</v>
      </c>
      <c r="AJN24">
        <v>44500</v>
      </c>
      <c r="AJO24">
        <v>159768</v>
      </c>
      <c r="AJP24">
        <v>439</v>
      </c>
      <c r="AJQ24">
        <v>44504</v>
      </c>
      <c r="AJR24">
        <v>163071</v>
      </c>
      <c r="AJS24">
        <v>800</v>
      </c>
      <c r="AJT24">
        <v>44505</v>
      </c>
      <c r="AJU24">
        <v>163917</v>
      </c>
      <c r="AJV24">
        <v>840</v>
      </c>
      <c r="AJW24">
        <v>44506</v>
      </c>
      <c r="AJX24">
        <v>164424</v>
      </c>
      <c r="AJY24">
        <v>508</v>
      </c>
      <c r="AJZ24">
        <v>44507</v>
      </c>
      <c r="AKA24">
        <v>164937</v>
      </c>
      <c r="AKB24">
        <v>506</v>
      </c>
      <c r="AKC24">
        <v>44508</v>
      </c>
      <c r="AKD24">
        <v>166061</v>
      </c>
      <c r="AKE24">
        <v>1116</v>
      </c>
      <c r="AKF24">
        <v>44511</v>
      </c>
      <c r="AKG24">
        <v>168789</v>
      </c>
      <c r="AKH24">
        <v>932</v>
      </c>
      <c r="AKI24">
        <v>44514</v>
      </c>
      <c r="AKJ24">
        <v>170932</v>
      </c>
      <c r="AKK24">
        <v>569</v>
      </c>
      <c r="AKL24">
        <v>44516</v>
      </c>
      <c r="AKM24">
        <v>173384</v>
      </c>
      <c r="AKN24">
        <v>1192</v>
      </c>
      <c r="AKO24">
        <v>44518</v>
      </c>
      <c r="AKP24">
        <v>175765</v>
      </c>
      <c r="AKQ24">
        <v>1212</v>
      </c>
      <c r="AKR24">
        <v>44519</v>
      </c>
      <c r="AKS24">
        <v>177051</v>
      </c>
      <c r="AKT24">
        <v>1272</v>
      </c>
      <c r="AKU24">
        <v>44521</v>
      </c>
      <c r="AKV24">
        <v>178428</v>
      </c>
      <c r="AKW24">
        <v>673</v>
      </c>
      <c r="AKX24">
        <v>44522</v>
      </c>
      <c r="AKY24">
        <v>179848</v>
      </c>
      <c r="AKZ24">
        <v>1412</v>
      </c>
      <c r="ALA24">
        <v>44525</v>
      </c>
      <c r="ALB24">
        <v>183691</v>
      </c>
      <c r="ALC24">
        <v>1264</v>
      </c>
      <c r="ALD24">
        <v>44526</v>
      </c>
      <c r="ALE24">
        <v>184983</v>
      </c>
      <c r="ALF24">
        <v>1288</v>
      </c>
      <c r="ALG24">
        <v>44527</v>
      </c>
      <c r="ALH24">
        <v>185774</v>
      </c>
      <c r="ALI24">
        <v>783</v>
      </c>
      <c r="ALJ24">
        <v>44528</v>
      </c>
      <c r="ALK24">
        <v>186557</v>
      </c>
      <c r="ALL24">
        <v>783</v>
      </c>
      <c r="ALM24">
        <v>44536</v>
      </c>
      <c r="ALN24">
        <v>197248</v>
      </c>
      <c r="ALO24">
        <v>1064</v>
      </c>
    </row>
    <row r="25" spans="2:1003">
      <c r="B25" t="str">
        <f t="shared" ca="1" si="2"/>
        <v>8.12</v>
      </c>
      <c r="C25" s="4">
        <f t="shared" ca="1" si="0"/>
        <v>44538</v>
      </c>
      <c r="D25" s="11">
        <f t="shared" ca="1" si="1"/>
        <v>200921</v>
      </c>
      <c r="E25">
        <f t="shared" ca="1" si="3"/>
        <v>1721</v>
      </c>
      <c r="F25" s="11">
        <f t="shared" ca="1" si="4"/>
        <v>3</v>
      </c>
      <c r="G25" s="11">
        <f t="shared" ca="1" si="5"/>
        <v>1718</v>
      </c>
      <c r="J25" s="10"/>
      <c r="K25" s="10">
        <f ca="1">SUM(E25:E31)</f>
        <v>11669</v>
      </c>
      <c r="L25" s="10" t="str">
        <f ca="1">TEXT(K25/K18-1,"0 %")</f>
        <v>24 %</v>
      </c>
      <c r="N25" s="16">
        <v>44537</v>
      </c>
      <c r="O25">
        <v>199160</v>
      </c>
      <c r="P25">
        <v>1912</v>
      </c>
      <c r="Q25" s="16">
        <v>44537</v>
      </c>
      <c r="R25">
        <v>199160</v>
      </c>
      <c r="S25">
        <v>1912</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s="16">
        <v>44286</v>
      </c>
      <c r="RU25">
        <v>78477</v>
      </c>
      <c r="RV25">
        <v>548</v>
      </c>
      <c r="RW25" s="16">
        <v>44287</v>
      </c>
      <c r="RX25">
        <v>78966</v>
      </c>
      <c r="RY25">
        <v>487</v>
      </c>
      <c r="RZ25" s="16">
        <v>44288</v>
      </c>
      <c r="SA25">
        <v>79328</v>
      </c>
      <c r="SB25">
        <v>361</v>
      </c>
      <c r="SC25" s="16">
        <v>44289</v>
      </c>
      <c r="SD25">
        <v>79644</v>
      </c>
      <c r="SE25">
        <v>315</v>
      </c>
      <c r="SF25" s="16">
        <v>44290</v>
      </c>
      <c r="SG25">
        <v>79966</v>
      </c>
      <c r="SH25">
        <v>321</v>
      </c>
      <c r="SI25" s="16">
        <v>44291</v>
      </c>
      <c r="SJ25">
        <v>80325</v>
      </c>
      <c r="SK25">
        <v>360</v>
      </c>
      <c r="SL25" s="16">
        <v>44293</v>
      </c>
      <c r="SM25">
        <v>81288</v>
      </c>
      <c r="SN25">
        <v>427</v>
      </c>
      <c r="SO25" s="16">
        <v>44294</v>
      </c>
      <c r="SP25">
        <v>81707</v>
      </c>
      <c r="SQ25">
        <v>400</v>
      </c>
      <c r="SR25" s="16">
        <v>44295</v>
      </c>
      <c r="SS25">
        <v>82060</v>
      </c>
      <c r="ST25">
        <v>346</v>
      </c>
      <c r="SU25" s="16">
        <v>44296</v>
      </c>
      <c r="SV25">
        <v>82288</v>
      </c>
      <c r="SW25">
        <v>227</v>
      </c>
      <c r="SX25" s="16">
        <v>44298</v>
      </c>
      <c r="SY25">
        <v>82929</v>
      </c>
      <c r="SZ25">
        <v>399</v>
      </c>
      <c r="TA25" s="16">
        <v>44299</v>
      </c>
      <c r="TB25">
        <v>83257</v>
      </c>
      <c r="TC25">
        <v>325</v>
      </c>
      <c r="TD25" s="16">
        <v>44301</v>
      </c>
      <c r="TE25">
        <v>83877</v>
      </c>
      <c r="TF25">
        <v>273</v>
      </c>
      <c r="TG25" s="16">
        <v>44302</v>
      </c>
      <c r="TH25">
        <v>84145</v>
      </c>
      <c r="TI25">
        <v>264</v>
      </c>
      <c r="TJ25" s="16">
        <v>44303</v>
      </c>
      <c r="TK25">
        <v>84316</v>
      </c>
      <c r="TL25">
        <v>169</v>
      </c>
      <c r="TM25" s="16">
        <v>44304</v>
      </c>
      <c r="TN25">
        <v>84473</v>
      </c>
      <c r="TO25">
        <v>156</v>
      </c>
      <c r="TP25" s="16">
        <v>44306</v>
      </c>
      <c r="TQ25">
        <v>85046</v>
      </c>
      <c r="TR25">
        <v>286</v>
      </c>
      <c r="TS25" s="16">
        <v>44307</v>
      </c>
      <c r="TT25">
        <v>85293</v>
      </c>
      <c r="TU25">
        <v>243</v>
      </c>
      <c r="TV25" s="16">
        <v>44307</v>
      </c>
      <c r="TW25">
        <v>85299</v>
      </c>
      <c r="TX25">
        <v>243</v>
      </c>
      <c r="TY25" s="16">
        <v>44308</v>
      </c>
      <c r="TZ25">
        <v>85558</v>
      </c>
      <c r="UA25">
        <v>260</v>
      </c>
      <c r="UB25" s="16">
        <v>44310</v>
      </c>
      <c r="UC25">
        <v>85966</v>
      </c>
      <c r="UD25">
        <v>152</v>
      </c>
      <c r="UE25" s="16">
        <v>44310</v>
      </c>
      <c r="UF25">
        <v>85965</v>
      </c>
      <c r="UG25">
        <v>152</v>
      </c>
      <c r="UH25" s="16">
        <v>44311</v>
      </c>
      <c r="UI25">
        <v>86111</v>
      </c>
      <c r="UJ25">
        <v>142</v>
      </c>
      <c r="UK25" s="16">
        <v>44312</v>
      </c>
      <c r="UL25">
        <v>86356</v>
      </c>
      <c r="UM25">
        <v>242</v>
      </c>
      <c r="UN25" s="16">
        <v>44316</v>
      </c>
      <c r="UO25">
        <v>87260</v>
      </c>
      <c r="UP25">
        <v>198</v>
      </c>
      <c r="UQ25" s="16">
        <v>44317</v>
      </c>
      <c r="UR25">
        <v>87368</v>
      </c>
      <c r="US25">
        <v>105</v>
      </c>
      <c r="UT25" s="16">
        <v>44318</v>
      </c>
      <c r="UU25">
        <v>87500</v>
      </c>
      <c r="UV25">
        <v>136</v>
      </c>
      <c r="UW25" s="16">
        <v>44319</v>
      </c>
      <c r="UX25">
        <v>87818</v>
      </c>
      <c r="UY25">
        <v>319</v>
      </c>
      <c r="UZ25" s="16">
        <v>44321</v>
      </c>
      <c r="VA25">
        <v>88293</v>
      </c>
      <c r="VB25">
        <v>270</v>
      </c>
      <c r="VC25" s="16">
        <v>44321</v>
      </c>
      <c r="VD25">
        <v>88288</v>
      </c>
      <c r="VE25">
        <v>270</v>
      </c>
      <c r="VF25" s="16">
        <v>44322</v>
      </c>
      <c r="VG25">
        <v>88529</v>
      </c>
      <c r="VH25">
        <v>238</v>
      </c>
      <c r="VI25" s="16">
        <v>44324</v>
      </c>
      <c r="VJ25">
        <v>88872</v>
      </c>
      <c r="VK25">
        <v>130</v>
      </c>
      <c r="VL25" s="16">
        <v>44324</v>
      </c>
      <c r="VM25">
        <v>88868</v>
      </c>
      <c r="VN25">
        <v>130</v>
      </c>
      <c r="VO25" s="16">
        <v>44325</v>
      </c>
      <c r="VP25">
        <v>88991</v>
      </c>
      <c r="VQ25">
        <v>129</v>
      </c>
      <c r="VR25" s="16">
        <v>44326</v>
      </c>
      <c r="VS25">
        <v>89246</v>
      </c>
      <c r="VT25">
        <v>255</v>
      </c>
      <c r="VU25" s="16">
        <v>44328</v>
      </c>
      <c r="VV25">
        <v>89723</v>
      </c>
      <c r="VW25">
        <v>255</v>
      </c>
      <c r="VX25" s="16">
        <v>44328</v>
      </c>
      <c r="VY25">
        <v>89725</v>
      </c>
      <c r="VZ25">
        <v>255</v>
      </c>
      <c r="WA25" s="16">
        <v>44329</v>
      </c>
      <c r="WB25">
        <v>89884</v>
      </c>
      <c r="WC25">
        <v>155</v>
      </c>
      <c r="WD25" s="16">
        <v>44330</v>
      </c>
      <c r="WE25">
        <v>90127</v>
      </c>
      <c r="WF25">
        <v>244</v>
      </c>
      <c r="WG25" s="16">
        <v>44331</v>
      </c>
      <c r="WH25">
        <v>90286</v>
      </c>
      <c r="WI25">
        <v>158</v>
      </c>
      <c r="WJ25" s="16">
        <v>44333</v>
      </c>
      <c r="WK25">
        <v>90700</v>
      </c>
      <c r="WL25">
        <v>282</v>
      </c>
      <c r="WM25" s="16">
        <v>44333</v>
      </c>
      <c r="WN25">
        <v>90704</v>
      </c>
      <c r="WO25">
        <v>283</v>
      </c>
      <c r="WP25" s="16">
        <v>44336</v>
      </c>
      <c r="WQ25">
        <v>91367</v>
      </c>
      <c r="WR25">
        <v>214</v>
      </c>
      <c r="WS25" s="16">
        <v>44337</v>
      </c>
      <c r="WT25">
        <v>91539</v>
      </c>
      <c r="WU25">
        <v>168</v>
      </c>
      <c r="WV25" s="16">
        <v>44338</v>
      </c>
      <c r="WW25">
        <v>91649</v>
      </c>
      <c r="WX25">
        <v>106</v>
      </c>
      <c r="WY25" s="16">
        <v>44339</v>
      </c>
      <c r="WZ25">
        <v>91745</v>
      </c>
      <c r="XA25">
        <v>92</v>
      </c>
      <c r="XB25" s="16">
        <v>44340</v>
      </c>
      <c r="XC25">
        <v>91933</v>
      </c>
      <c r="XD25">
        <v>189</v>
      </c>
      <c r="XE25" s="16">
        <v>44342</v>
      </c>
      <c r="XF25">
        <v>92227</v>
      </c>
      <c r="XG25">
        <v>142</v>
      </c>
      <c r="XH25" s="16">
        <v>44342</v>
      </c>
      <c r="XI25">
        <v>92233</v>
      </c>
      <c r="XJ25">
        <v>142</v>
      </c>
      <c r="XK25" s="16">
        <v>44343</v>
      </c>
      <c r="XL25">
        <v>92360</v>
      </c>
      <c r="XM25">
        <v>126</v>
      </c>
      <c r="XN25" s="16">
        <v>44344</v>
      </c>
      <c r="XO25">
        <v>92498</v>
      </c>
      <c r="XP25">
        <v>136</v>
      </c>
      <c r="XQ25" s="16">
        <v>44345</v>
      </c>
      <c r="XR25">
        <v>92564</v>
      </c>
      <c r="XS25">
        <v>65</v>
      </c>
      <c r="XT25" s="16">
        <v>44346</v>
      </c>
      <c r="XU25">
        <v>92644</v>
      </c>
      <c r="XV25">
        <v>78</v>
      </c>
      <c r="XW25" s="16">
        <v>44347</v>
      </c>
      <c r="XX25">
        <v>92792</v>
      </c>
      <c r="XY25">
        <v>144</v>
      </c>
      <c r="XZ25" s="16">
        <v>44348</v>
      </c>
      <c r="YA25">
        <v>92915</v>
      </c>
      <c r="YB25">
        <v>122</v>
      </c>
      <c r="YC25" s="16">
        <v>44350</v>
      </c>
      <c r="YD25">
        <v>93146</v>
      </c>
      <c r="YE25">
        <v>110</v>
      </c>
      <c r="YF25" s="16">
        <v>44351</v>
      </c>
      <c r="YG25">
        <v>93246</v>
      </c>
      <c r="YH25">
        <v>99</v>
      </c>
      <c r="YI25" s="16">
        <v>44352</v>
      </c>
      <c r="YJ25">
        <v>93314</v>
      </c>
      <c r="YK25">
        <v>65</v>
      </c>
      <c r="YL25" s="16">
        <v>44353</v>
      </c>
      <c r="YM25">
        <v>93374</v>
      </c>
      <c r="YN25">
        <v>61</v>
      </c>
      <c r="YO25" s="16">
        <v>44354</v>
      </c>
      <c r="YP25">
        <v>93513</v>
      </c>
      <c r="YQ25">
        <v>137</v>
      </c>
      <c r="YR25" s="16">
        <v>44355</v>
      </c>
      <c r="YS25">
        <v>93618</v>
      </c>
      <c r="YT25">
        <v>102</v>
      </c>
      <c r="YU25" s="16">
        <v>44357</v>
      </c>
      <c r="YV25">
        <v>93786</v>
      </c>
      <c r="YW25">
        <v>78</v>
      </c>
      <c r="YX25" s="16">
        <v>44358</v>
      </c>
      <c r="YY25">
        <v>93852</v>
      </c>
      <c r="YZ25">
        <v>70</v>
      </c>
      <c r="ZA25" s="16">
        <v>44359</v>
      </c>
      <c r="ZB25">
        <v>93899</v>
      </c>
      <c r="ZC25">
        <v>45</v>
      </c>
      <c r="ZD25" s="16">
        <v>44370</v>
      </c>
      <c r="ZE25">
        <v>94489</v>
      </c>
      <c r="ZF25">
        <v>0</v>
      </c>
      <c r="ZG25" s="16">
        <v>44371</v>
      </c>
      <c r="ZH25">
        <v>95009</v>
      </c>
      <c r="ZI25">
        <v>159</v>
      </c>
      <c r="ZJ25" s="16">
        <v>44372</v>
      </c>
      <c r="ZK25">
        <v>95206</v>
      </c>
      <c r="ZL25">
        <v>197</v>
      </c>
      <c r="ZM25" s="16">
        <v>44373</v>
      </c>
      <c r="ZN25">
        <v>95338</v>
      </c>
      <c r="ZO25">
        <v>129</v>
      </c>
      <c r="ZP25" s="16">
        <v>44374</v>
      </c>
      <c r="ZQ25">
        <v>95447</v>
      </c>
      <c r="ZR25">
        <v>118</v>
      </c>
      <c r="ZS25" s="16">
        <v>44378</v>
      </c>
      <c r="ZT25">
        <v>96340</v>
      </c>
      <c r="ZU25">
        <v>207</v>
      </c>
      <c r="ZV25" s="16">
        <v>44379</v>
      </c>
      <c r="ZW25">
        <v>96518</v>
      </c>
      <c r="ZX25">
        <v>166</v>
      </c>
      <c r="ZY25" s="16">
        <v>44380</v>
      </c>
      <c r="ZZ25">
        <v>96649</v>
      </c>
      <c r="AAA25">
        <v>131</v>
      </c>
      <c r="AAB25" s="16">
        <v>44381</v>
      </c>
      <c r="AAC25">
        <v>96767</v>
      </c>
      <c r="AAD25">
        <v>115</v>
      </c>
      <c r="AAE25" s="16">
        <v>44382</v>
      </c>
      <c r="AAF25">
        <v>97011</v>
      </c>
      <c r="AAG25">
        <v>241</v>
      </c>
      <c r="AAH25" s="16">
        <v>44385</v>
      </c>
      <c r="AAI25">
        <v>97824</v>
      </c>
      <c r="AAJ25">
        <v>279</v>
      </c>
      <c r="AAK25" s="16">
        <v>44386</v>
      </c>
      <c r="AAL25">
        <v>98150</v>
      </c>
      <c r="AAM25">
        <v>305</v>
      </c>
      <c r="AAN25" s="16">
        <v>44388</v>
      </c>
      <c r="AAO25">
        <v>98468</v>
      </c>
      <c r="AAP25">
        <v>162</v>
      </c>
      <c r="AAQ25" s="16">
        <v>44388</v>
      </c>
      <c r="AAR25">
        <v>98483</v>
      </c>
      <c r="AAS25">
        <v>160</v>
      </c>
      <c r="AAT25" s="16">
        <v>44389</v>
      </c>
      <c r="AAU25">
        <v>98801</v>
      </c>
      <c r="AAV25">
        <v>329</v>
      </c>
      <c r="AAW25" s="16">
        <v>44391</v>
      </c>
      <c r="AAX25">
        <v>99521</v>
      </c>
      <c r="AAY25">
        <v>381</v>
      </c>
      <c r="AAZ25" s="16">
        <v>44391</v>
      </c>
      <c r="ABA25">
        <v>99527</v>
      </c>
      <c r="ABB25">
        <v>384</v>
      </c>
      <c r="ABC25" s="16">
        <v>44392</v>
      </c>
      <c r="ABD25">
        <v>99909</v>
      </c>
      <c r="ABE25">
        <v>382</v>
      </c>
      <c r="ABF25" s="16">
        <v>44394</v>
      </c>
      <c r="ABG25">
        <v>100467</v>
      </c>
      <c r="ABH25">
        <v>205</v>
      </c>
      <c r="ABI25" s="16">
        <v>44394</v>
      </c>
      <c r="ABJ25">
        <v>100468</v>
      </c>
      <c r="ABK25">
        <v>205</v>
      </c>
      <c r="ABL25" s="16">
        <v>44395</v>
      </c>
      <c r="ABM25">
        <v>100711</v>
      </c>
      <c r="ABN25">
        <v>247</v>
      </c>
      <c r="ABO25" s="16">
        <v>44396</v>
      </c>
      <c r="ABP25">
        <v>101130</v>
      </c>
      <c r="ABQ25">
        <v>420</v>
      </c>
      <c r="ABR25" s="16">
        <v>44397</v>
      </c>
      <c r="ABS25">
        <v>101557</v>
      </c>
      <c r="ABT25">
        <v>423</v>
      </c>
      <c r="ABU25" s="16">
        <v>44398</v>
      </c>
      <c r="ABV25">
        <v>102030</v>
      </c>
      <c r="ABW25">
        <v>468</v>
      </c>
      <c r="ABX25" s="16">
        <v>44399</v>
      </c>
      <c r="ABY25">
        <v>102523</v>
      </c>
      <c r="ABZ25">
        <v>487</v>
      </c>
      <c r="ACA25" s="16">
        <v>44400</v>
      </c>
      <c r="ACB25">
        <v>103002</v>
      </c>
      <c r="ACC25">
        <v>476</v>
      </c>
      <c r="ACD25" s="16">
        <v>44401</v>
      </c>
      <c r="ACE25">
        <v>103305</v>
      </c>
      <c r="ACF25">
        <v>301</v>
      </c>
      <c r="ACG25" s="16">
        <v>44402</v>
      </c>
      <c r="ACH25">
        <v>103655</v>
      </c>
      <c r="ACI25">
        <v>351</v>
      </c>
      <c r="ACJ25" s="16">
        <v>44403</v>
      </c>
      <c r="ACK25">
        <v>104413</v>
      </c>
      <c r="ACL25">
        <v>765</v>
      </c>
      <c r="ACM25" s="16">
        <v>44406</v>
      </c>
      <c r="ACN25">
        <v>106698</v>
      </c>
      <c r="ACO25">
        <v>766</v>
      </c>
      <c r="ACP25" s="16">
        <v>44407</v>
      </c>
      <c r="ACQ25">
        <v>107392</v>
      </c>
      <c r="ACR25">
        <v>693</v>
      </c>
      <c r="ACS25" s="16">
        <v>44408</v>
      </c>
      <c r="ACT25">
        <v>107798</v>
      </c>
      <c r="ACU25">
        <v>405</v>
      </c>
      <c r="ACV25" s="16">
        <v>44409</v>
      </c>
      <c r="ACW25">
        <v>108267</v>
      </c>
      <c r="ACX25">
        <v>474</v>
      </c>
      <c r="ACY25" s="16">
        <v>44410</v>
      </c>
      <c r="ACZ25">
        <v>109163</v>
      </c>
      <c r="ADA25">
        <v>893</v>
      </c>
      <c r="ADB25" s="16">
        <v>44411</v>
      </c>
      <c r="ADC25">
        <v>110007</v>
      </c>
      <c r="ADD25">
        <v>839</v>
      </c>
      <c r="ADE25" s="16">
        <v>44412</v>
      </c>
      <c r="ADF25">
        <v>110790</v>
      </c>
      <c r="ADG25">
        <v>781</v>
      </c>
      <c r="ADH25" s="16">
        <v>44413</v>
      </c>
      <c r="ADI25">
        <v>111658</v>
      </c>
      <c r="ADJ25">
        <v>862</v>
      </c>
      <c r="ADK25" s="16">
        <v>44414</v>
      </c>
      <c r="ADL25">
        <v>112342</v>
      </c>
      <c r="ADM25">
        <v>682</v>
      </c>
      <c r="ADN25" s="16">
        <v>44415</v>
      </c>
      <c r="ADO25">
        <v>112819</v>
      </c>
      <c r="ADP25">
        <v>476</v>
      </c>
      <c r="ADQ25" s="16">
        <v>44416</v>
      </c>
      <c r="ADR25">
        <v>113358</v>
      </c>
      <c r="ADS25">
        <v>531</v>
      </c>
      <c r="ADT25" s="16">
        <v>44417</v>
      </c>
      <c r="ADU25">
        <v>114396</v>
      </c>
      <c r="ADV25">
        <v>1032</v>
      </c>
      <c r="ADW25" s="16">
        <v>44420</v>
      </c>
      <c r="ADX25">
        <v>116940</v>
      </c>
      <c r="ADY25">
        <v>789</v>
      </c>
      <c r="ADZ25" s="16">
        <v>44421</v>
      </c>
      <c r="AEA25">
        <v>117682</v>
      </c>
      <c r="AEB25">
        <v>736</v>
      </c>
      <c r="AEC25" s="16">
        <v>44422</v>
      </c>
      <c r="AED25">
        <v>118112</v>
      </c>
      <c r="AEE25">
        <v>428</v>
      </c>
      <c r="AEF25" s="16">
        <v>44423</v>
      </c>
      <c r="AEG25">
        <v>118548</v>
      </c>
      <c r="AEH25">
        <v>439</v>
      </c>
      <c r="AEI25" s="16">
        <v>44424</v>
      </c>
      <c r="AEJ25">
        <v>119318</v>
      </c>
      <c r="AEK25">
        <v>766</v>
      </c>
      <c r="AEL25" s="16">
        <v>44427</v>
      </c>
      <c r="AEM25">
        <v>121421</v>
      </c>
      <c r="AEN25">
        <v>661</v>
      </c>
      <c r="AEO25" s="16">
        <v>44428</v>
      </c>
      <c r="AEP25">
        <v>122101</v>
      </c>
      <c r="AEQ25">
        <v>656</v>
      </c>
      <c r="AER25" s="16">
        <v>44429</v>
      </c>
      <c r="AES25">
        <v>122495</v>
      </c>
      <c r="AET25">
        <v>393</v>
      </c>
      <c r="AEU25" s="16">
        <v>44430</v>
      </c>
      <c r="AEV25">
        <v>122947</v>
      </c>
      <c r="AEW25">
        <v>453</v>
      </c>
      <c r="AEX25" s="16">
        <v>44432</v>
      </c>
      <c r="AEY25">
        <v>124217</v>
      </c>
      <c r="AEZ25">
        <v>598</v>
      </c>
      <c r="AFA25" s="16">
        <v>44433</v>
      </c>
      <c r="AFB25">
        <v>124909</v>
      </c>
      <c r="AFC25">
        <v>696</v>
      </c>
      <c r="AFD25">
        <v>44438</v>
      </c>
      <c r="AFE25">
        <v>127818</v>
      </c>
      <c r="AFF25">
        <v>713</v>
      </c>
      <c r="AFG25">
        <v>44439</v>
      </c>
      <c r="AFH25">
        <v>128527</v>
      </c>
      <c r="AFI25">
        <v>648</v>
      </c>
      <c r="AFJ25">
        <v>44441</v>
      </c>
      <c r="AFK25">
        <v>129830</v>
      </c>
      <c r="AFL25">
        <v>647</v>
      </c>
      <c r="AFM25">
        <v>44444</v>
      </c>
      <c r="AFN25">
        <v>131036</v>
      </c>
      <c r="AFO25">
        <v>346</v>
      </c>
      <c r="AFP25">
        <v>44445</v>
      </c>
      <c r="AFQ25">
        <v>131617</v>
      </c>
      <c r="AFR25">
        <v>580</v>
      </c>
      <c r="AFS25">
        <v>44447</v>
      </c>
      <c r="AFT25">
        <v>132610</v>
      </c>
      <c r="AFU25">
        <v>483</v>
      </c>
      <c r="AFV25">
        <v>44448</v>
      </c>
      <c r="AFW25">
        <v>133077</v>
      </c>
      <c r="AFX25">
        <v>458</v>
      </c>
      <c r="AFY25">
        <v>44450</v>
      </c>
      <c r="AFZ25">
        <v>133892</v>
      </c>
      <c r="AGA25">
        <v>324</v>
      </c>
      <c r="AGB25">
        <v>44451</v>
      </c>
      <c r="AGC25">
        <v>134177</v>
      </c>
      <c r="AGD25">
        <v>278</v>
      </c>
      <c r="AGE25">
        <v>44454</v>
      </c>
      <c r="AGF25">
        <v>135647</v>
      </c>
      <c r="AGG25">
        <v>455</v>
      </c>
      <c r="AGH25">
        <v>44455</v>
      </c>
      <c r="AGI25">
        <v>136086</v>
      </c>
      <c r="AGJ25">
        <v>430</v>
      </c>
      <c r="AGK25">
        <v>44457</v>
      </c>
      <c r="AGL25">
        <v>136710</v>
      </c>
      <c r="AGM25">
        <v>235</v>
      </c>
      <c r="AGN25">
        <v>44457</v>
      </c>
      <c r="AGO25">
        <v>136711</v>
      </c>
      <c r="AGP25">
        <v>235</v>
      </c>
      <c r="AGQ25">
        <v>44458</v>
      </c>
      <c r="AGR25">
        <v>136991</v>
      </c>
      <c r="AGS25">
        <v>279</v>
      </c>
      <c r="AGT25">
        <v>44459</v>
      </c>
      <c r="AGU25">
        <v>137485</v>
      </c>
      <c r="AGV25">
        <v>486</v>
      </c>
      <c r="AGW25">
        <v>44461</v>
      </c>
      <c r="AGX25">
        <v>138455</v>
      </c>
      <c r="AGY25">
        <v>484</v>
      </c>
      <c r="AGZ25">
        <v>44463</v>
      </c>
      <c r="AHA25">
        <v>139361</v>
      </c>
      <c r="AHB25">
        <v>426</v>
      </c>
      <c r="AHC25">
        <v>44464</v>
      </c>
      <c r="AHD25">
        <v>139657</v>
      </c>
      <c r="AHE25">
        <v>294</v>
      </c>
      <c r="AHF25">
        <v>44465</v>
      </c>
      <c r="AHG25">
        <v>140011</v>
      </c>
      <c r="AHH25">
        <v>354</v>
      </c>
      <c r="AHI25">
        <v>44466</v>
      </c>
      <c r="AHJ25">
        <v>140692</v>
      </c>
      <c r="AHK25">
        <v>681</v>
      </c>
      <c r="AHL25">
        <v>44470</v>
      </c>
      <c r="AHM25">
        <v>143128</v>
      </c>
      <c r="AHN25">
        <v>527</v>
      </c>
      <c r="AHO25">
        <v>44471</v>
      </c>
      <c r="AHP25">
        <v>143494</v>
      </c>
      <c r="AHQ25">
        <v>352</v>
      </c>
      <c r="AHR25">
        <v>44472</v>
      </c>
      <c r="AHS25">
        <v>143882</v>
      </c>
      <c r="AHT25">
        <v>385</v>
      </c>
      <c r="AHU25">
        <v>44473</v>
      </c>
      <c r="AHV25">
        <v>144624</v>
      </c>
      <c r="AHW25">
        <v>739</v>
      </c>
      <c r="AHX25">
        <v>44474</v>
      </c>
      <c r="AHY25">
        <v>145301</v>
      </c>
      <c r="AHZ25">
        <v>672</v>
      </c>
      <c r="AIA25">
        <v>44478</v>
      </c>
      <c r="AIB25">
        <v>147417</v>
      </c>
      <c r="AIC25">
        <v>424</v>
      </c>
      <c r="AID25">
        <v>44482</v>
      </c>
      <c r="AIE25">
        <v>149769</v>
      </c>
      <c r="AIF25">
        <v>638</v>
      </c>
      <c r="AIG25">
        <v>44486</v>
      </c>
      <c r="AIH25">
        <v>151545</v>
      </c>
      <c r="AII25">
        <v>318</v>
      </c>
      <c r="AIJ25">
        <v>44487</v>
      </c>
      <c r="AIK25">
        <v>152240</v>
      </c>
      <c r="AIL25">
        <v>656</v>
      </c>
      <c r="AIM25">
        <v>44488</v>
      </c>
      <c r="AIN25">
        <v>152793</v>
      </c>
      <c r="AIO25">
        <v>547</v>
      </c>
      <c r="AIP25">
        <v>44491</v>
      </c>
      <c r="AIQ25">
        <v>154499</v>
      </c>
      <c r="AIR25">
        <v>571</v>
      </c>
      <c r="AIS25">
        <v>44492</v>
      </c>
      <c r="AIT25">
        <v>154885</v>
      </c>
      <c r="AIU25">
        <v>376</v>
      </c>
      <c r="AIV25">
        <v>44493</v>
      </c>
      <c r="AIW25">
        <v>155281</v>
      </c>
      <c r="AIX25">
        <v>386</v>
      </c>
      <c r="AIY25">
        <v>44494</v>
      </c>
      <c r="AIZ25">
        <v>156333</v>
      </c>
      <c r="AJA25">
        <v>783</v>
      </c>
      <c r="AJB25">
        <v>44495</v>
      </c>
      <c r="AJC25">
        <v>157012</v>
      </c>
      <c r="AJD25">
        <v>676</v>
      </c>
      <c r="AJE25">
        <v>44498</v>
      </c>
      <c r="AJF25">
        <v>158872</v>
      </c>
      <c r="AJG25">
        <v>646</v>
      </c>
      <c r="AJH25">
        <v>44499</v>
      </c>
      <c r="AJI25">
        <v>159319</v>
      </c>
      <c r="AJJ25">
        <v>399</v>
      </c>
      <c r="AJK25">
        <v>44500</v>
      </c>
      <c r="AJL25">
        <v>159763</v>
      </c>
      <c r="AJM25">
        <v>439</v>
      </c>
      <c r="AJN25">
        <v>44501</v>
      </c>
      <c r="AJO25">
        <v>160741</v>
      </c>
      <c r="AJP25">
        <v>973</v>
      </c>
      <c r="AJQ25">
        <v>44505</v>
      </c>
      <c r="AJR25">
        <v>163909</v>
      </c>
      <c r="AJS25">
        <v>838</v>
      </c>
      <c r="AJT25">
        <v>44506</v>
      </c>
      <c r="AJU25">
        <v>164424</v>
      </c>
      <c r="AJV25">
        <v>507</v>
      </c>
      <c r="AJW25">
        <v>44507</v>
      </c>
      <c r="AJX25">
        <v>164929</v>
      </c>
      <c r="AJY25">
        <v>505</v>
      </c>
      <c r="AJZ25">
        <v>44508</v>
      </c>
      <c r="AKA25">
        <v>166015</v>
      </c>
      <c r="AKB25">
        <v>1078</v>
      </c>
      <c r="AKC25">
        <v>44509</v>
      </c>
      <c r="AKD25">
        <v>166887</v>
      </c>
      <c r="AKE25">
        <v>826</v>
      </c>
      <c r="AKF25">
        <v>44512</v>
      </c>
      <c r="AKG25">
        <v>169729</v>
      </c>
      <c r="AKH25">
        <v>940</v>
      </c>
      <c r="AKI25">
        <v>44515</v>
      </c>
      <c r="AKJ25">
        <v>172177</v>
      </c>
      <c r="AKK25">
        <v>1245</v>
      </c>
      <c r="AKL25">
        <v>44517</v>
      </c>
      <c r="AKM25">
        <v>174548</v>
      </c>
      <c r="AKN25">
        <v>1164</v>
      </c>
      <c r="AKO25">
        <v>44519</v>
      </c>
      <c r="AKP25">
        <v>177031</v>
      </c>
      <c r="AKQ25">
        <v>1266</v>
      </c>
      <c r="AKR25">
        <v>44520</v>
      </c>
      <c r="AKS25">
        <v>177754</v>
      </c>
      <c r="AKT25">
        <v>703</v>
      </c>
      <c r="AKU25">
        <v>44522</v>
      </c>
      <c r="AKV25">
        <v>179839</v>
      </c>
      <c r="AKW25">
        <v>1411</v>
      </c>
      <c r="AKX25">
        <v>44523</v>
      </c>
      <c r="AKY25">
        <v>181181</v>
      </c>
      <c r="AKZ25">
        <v>1333</v>
      </c>
      <c r="ALA25">
        <v>44526</v>
      </c>
      <c r="ALB25">
        <v>184979</v>
      </c>
      <c r="ALC25">
        <v>1288</v>
      </c>
      <c r="ALD25">
        <v>44527</v>
      </c>
      <c r="ALE25">
        <v>185766</v>
      </c>
      <c r="ALF25">
        <v>783</v>
      </c>
      <c r="ALG25">
        <v>44528</v>
      </c>
      <c r="ALH25">
        <v>186554</v>
      </c>
      <c r="ALI25">
        <v>780</v>
      </c>
      <c r="ALJ25">
        <v>44529</v>
      </c>
      <c r="ALK25">
        <v>188235</v>
      </c>
      <c r="ALL25">
        <v>1678</v>
      </c>
      <c r="ALM25">
        <v>44537</v>
      </c>
      <c r="ALN25">
        <v>199160</v>
      </c>
      <c r="ALO25">
        <v>1912</v>
      </c>
    </row>
    <row r="26" spans="2:1003">
      <c r="B26" t="str">
        <f t="shared" ca="1" si="2"/>
        <v>9.12</v>
      </c>
      <c r="C26" s="4">
        <f t="shared" ca="1" si="0"/>
        <v>44539</v>
      </c>
      <c r="D26" s="11">
        <f t="shared" ca="1" si="1"/>
        <v>202617</v>
      </c>
      <c r="E26">
        <f t="shared" ca="1" si="3"/>
        <v>1696</v>
      </c>
      <c r="F26" s="11">
        <f t="shared" ca="1" si="4"/>
        <v>0</v>
      </c>
      <c r="G26" s="11">
        <f t="shared" ca="1" si="5"/>
        <v>1696</v>
      </c>
      <c r="L26" s="3"/>
      <c r="N26" s="16">
        <v>44538</v>
      </c>
      <c r="O26">
        <v>200878</v>
      </c>
      <c r="P26">
        <v>1718</v>
      </c>
      <c r="Q26" s="16">
        <v>44538</v>
      </c>
      <c r="R26">
        <v>200878</v>
      </c>
      <c r="S26">
        <v>1718</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s="16">
        <v>44287</v>
      </c>
      <c r="RU26">
        <v>78966</v>
      </c>
      <c r="RV26">
        <v>489</v>
      </c>
      <c r="RW26" s="16">
        <v>44288</v>
      </c>
      <c r="RX26">
        <v>79327</v>
      </c>
      <c r="RY26">
        <v>361</v>
      </c>
      <c r="RZ26" s="16">
        <v>44289</v>
      </c>
      <c r="SA26">
        <v>79643</v>
      </c>
      <c r="SB26">
        <v>315</v>
      </c>
      <c r="SC26" s="16">
        <v>44290</v>
      </c>
      <c r="SD26">
        <v>79964</v>
      </c>
      <c r="SE26">
        <v>320</v>
      </c>
      <c r="SF26" s="16">
        <v>44291</v>
      </c>
      <c r="SG26">
        <v>80326</v>
      </c>
      <c r="SH26">
        <v>360</v>
      </c>
      <c r="SI26" s="16">
        <v>44292</v>
      </c>
      <c r="SJ26">
        <v>80861</v>
      </c>
      <c r="SK26">
        <v>536</v>
      </c>
      <c r="SL26" s="16">
        <v>44294</v>
      </c>
      <c r="SM26">
        <v>81689</v>
      </c>
      <c r="SN26">
        <v>401</v>
      </c>
      <c r="SO26" s="16">
        <v>44295</v>
      </c>
      <c r="SP26">
        <v>82054</v>
      </c>
      <c r="SQ26">
        <v>347</v>
      </c>
      <c r="SR26" s="16">
        <v>44296</v>
      </c>
      <c r="SS26">
        <v>82286</v>
      </c>
      <c r="ST26">
        <v>226</v>
      </c>
      <c r="SU26" s="16">
        <v>44297</v>
      </c>
      <c r="SV26">
        <v>82526</v>
      </c>
      <c r="SW26">
        <v>238</v>
      </c>
      <c r="SX26" s="16">
        <v>44299</v>
      </c>
      <c r="SY26">
        <v>83257</v>
      </c>
      <c r="SZ26">
        <v>328</v>
      </c>
      <c r="TA26" s="16">
        <v>44300</v>
      </c>
      <c r="TB26">
        <v>83602</v>
      </c>
      <c r="TC26">
        <v>345</v>
      </c>
      <c r="TD26" s="16">
        <v>44302</v>
      </c>
      <c r="TE26">
        <v>84141</v>
      </c>
      <c r="TF26">
        <v>264</v>
      </c>
      <c r="TG26" s="16">
        <v>44303</v>
      </c>
      <c r="TH26">
        <v>84314</v>
      </c>
      <c r="TI26">
        <v>169</v>
      </c>
      <c r="TJ26" s="16">
        <v>44304</v>
      </c>
      <c r="TK26">
        <v>84472</v>
      </c>
      <c r="TL26">
        <v>156</v>
      </c>
      <c r="TM26" s="16">
        <v>44305</v>
      </c>
      <c r="TN26">
        <v>84756</v>
      </c>
      <c r="TO26">
        <v>283</v>
      </c>
      <c r="TP26" s="16">
        <v>44307</v>
      </c>
      <c r="TQ26">
        <v>85289</v>
      </c>
      <c r="TR26">
        <v>243</v>
      </c>
      <c r="TS26" s="16">
        <v>44308</v>
      </c>
      <c r="TT26">
        <v>85554</v>
      </c>
      <c r="TU26">
        <v>261</v>
      </c>
      <c r="TV26" s="16">
        <v>44308</v>
      </c>
      <c r="TW26">
        <v>85559</v>
      </c>
      <c r="TX26">
        <v>260</v>
      </c>
      <c r="TY26" s="16">
        <v>44309</v>
      </c>
      <c r="TZ26">
        <v>85815</v>
      </c>
      <c r="UA26">
        <v>257</v>
      </c>
      <c r="UB26" s="16">
        <v>44311</v>
      </c>
      <c r="UC26">
        <v>86106</v>
      </c>
      <c r="UD26">
        <v>140</v>
      </c>
      <c r="UE26" s="16">
        <v>44311</v>
      </c>
      <c r="UF26">
        <v>86106</v>
      </c>
      <c r="UG26">
        <v>141</v>
      </c>
      <c r="UH26" s="16">
        <v>44312</v>
      </c>
      <c r="UI26">
        <v>86352</v>
      </c>
      <c r="UJ26">
        <v>241</v>
      </c>
      <c r="UK26" s="16">
        <v>44313</v>
      </c>
      <c r="UL26">
        <v>86586</v>
      </c>
      <c r="UM26">
        <v>230</v>
      </c>
      <c r="UN26" s="16">
        <v>44317</v>
      </c>
      <c r="UO26">
        <v>87365</v>
      </c>
      <c r="UP26">
        <v>105</v>
      </c>
      <c r="UQ26" s="16">
        <v>44318</v>
      </c>
      <c r="UR26">
        <v>87506</v>
      </c>
      <c r="US26">
        <v>138</v>
      </c>
      <c r="UT26" s="16">
        <v>44319</v>
      </c>
      <c r="UU26">
        <v>87819</v>
      </c>
      <c r="UV26">
        <v>319</v>
      </c>
      <c r="UW26" s="16">
        <v>44320</v>
      </c>
      <c r="UX26">
        <v>88022</v>
      </c>
      <c r="UY26">
        <v>204</v>
      </c>
      <c r="UZ26" s="16">
        <v>44322</v>
      </c>
      <c r="VA26">
        <v>88531</v>
      </c>
      <c r="VB26">
        <v>238</v>
      </c>
      <c r="VC26" s="16">
        <v>44322</v>
      </c>
      <c r="VD26">
        <v>88526</v>
      </c>
      <c r="VE26">
        <v>238</v>
      </c>
      <c r="VF26" s="16">
        <v>44323</v>
      </c>
      <c r="VG26">
        <v>88745</v>
      </c>
      <c r="VH26">
        <v>216</v>
      </c>
      <c r="VI26" s="16">
        <v>44325</v>
      </c>
      <c r="VJ26">
        <v>89002</v>
      </c>
      <c r="VK26">
        <v>130</v>
      </c>
      <c r="VL26" s="16">
        <v>44325</v>
      </c>
      <c r="VM26">
        <v>88999</v>
      </c>
      <c r="VN26">
        <v>131</v>
      </c>
      <c r="VO26" s="16">
        <v>44326</v>
      </c>
      <c r="VP26">
        <v>89245</v>
      </c>
      <c r="VQ26">
        <v>254</v>
      </c>
      <c r="VR26" s="16">
        <v>44327</v>
      </c>
      <c r="VS26">
        <v>89460</v>
      </c>
      <c r="VT26">
        <v>214</v>
      </c>
      <c r="VU26" s="16">
        <v>44329</v>
      </c>
      <c r="VV26">
        <v>89878</v>
      </c>
      <c r="VW26">
        <v>155</v>
      </c>
      <c r="VX26" s="16">
        <v>44329</v>
      </c>
      <c r="VY26">
        <v>89880</v>
      </c>
      <c r="VZ26">
        <v>155</v>
      </c>
      <c r="WA26" s="16">
        <v>44330</v>
      </c>
      <c r="WB26">
        <v>90128</v>
      </c>
      <c r="WC26">
        <v>244</v>
      </c>
      <c r="WD26" s="16">
        <v>44331</v>
      </c>
      <c r="WE26">
        <v>90285</v>
      </c>
      <c r="WF26">
        <v>158</v>
      </c>
      <c r="WG26" s="16">
        <v>44332</v>
      </c>
      <c r="WH26">
        <v>90418</v>
      </c>
      <c r="WI26">
        <v>132</v>
      </c>
      <c r="WJ26" s="16">
        <v>44334</v>
      </c>
      <c r="WK26">
        <v>90917</v>
      </c>
      <c r="WL26">
        <v>217</v>
      </c>
      <c r="WM26" s="16">
        <v>44334</v>
      </c>
      <c r="WN26">
        <v>90921</v>
      </c>
      <c r="WO26">
        <v>217</v>
      </c>
      <c r="WP26" s="16">
        <v>44337</v>
      </c>
      <c r="WQ26">
        <v>91535</v>
      </c>
      <c r="WR26">
        <v>168</v>
      </c>
      <c r="WS26" s="16">
        <v>44338</v>
      </c>
      <c r="WT26">
        <v>91645</v>
      </c>
      <c r="WU26">
        <v>106</v>
      </c>
      <c r="WV26" s="16">
        <v>44339</v>
      </c>
      <c r="WW26">
        <v>91741</v>
      </c>
      <c r="WX26">
        <v>92</v>
      </c>
      <c r="WY26" s="16">
        <v>44340</v>
      </c>
      <c r="WZ26">
        <v>91934</v>
      </c>
      <c r="XA26">
        <v>189</v>
      </c>
      <c r="XB26" s="16">
        <v>44341</v>
      </c>
      <c r="XC26">
        <v>92085</v>
      </c>
      <c r="XD26">
        <v>152</v>
      </c>
      <c r="XE26" s="16">
        <v>44343</v>
      </c>
      <c r="XF26">
        <v>92353</v>
      </c>
      <c r="XG26">
        <v>126</v>
      </c>
      <c r="XH26" s="16">
        <v>44343</v>
      </c>
      <c r="XI26">
        <v>92359</v>
      </c>
      <c r="XJ26">
        <v>126</v>
      </c>
      <c r="XK26" s="16">
        <v>44344</v>
      </c>
      <c r="XL26">
        <v>92496</v>
      </c>
      <c r="XM26">
        <v>136</v>
      </c>
      <c r="XN26" s="16">
        <v>44345</v>
      </c>
      <c r="XO26">
        <v>92563</v>
      </c>
      <c r="XP26">
        <v>65</v>
      </c>
      <c r="XQ26" s="16">
        <v>44346</v>
      </c>
      <c r="XR26">
        <v>92643</v>
      </c>
      <c r="XS26">
        <v>79</v>
      </c>
      <c r="XT26" s="16">
        <v>44347</v>
      </c>
      <c r="XU26">
        <v>92789</v>
      </c>
      <c r="XV26">
        <v>145</v>
      </c>
      <c r="XW26" s="16">
        <v>44348</v>
      </c>
      <c r="XX26">
        <v>92914</v>
      </c>
      <c r="XY26">
        <v>122</v>
      </c>
      <c r="XZ26" s="16">
        <v>44349</v>
      </c>
      <c r="YA26">
        <v>93034</v>
      </c>
      <c r="YB26">
        <v>119</v>
      </c>
      <c r="YC26" s="16">
        <v>44351</v>
      </c>
      <c r="YD26">
        <v>93245</v>
      </c>
      <c r="YE26">
        <v>99</v>
      </c>
      <c r="YF26" s="16">
        <v>44352</v>
      </c>
      <c r="YG26">
        <v>93311</v>
      </c>
      <c r="YH26">
        <v>65</v>
      </c>
      <c r="YI26" s="16">
        <v>44353</v>
      </c>
      <c r="YJ26">
        <v>93374</v>
      </c>
      <c r="YK26">
        <v>60</v>
      </c>
      <c r="YL26" s="16">
        <v>44354</v>
      </c>
      <c r="YM26">
        <v>93514</v>
      </c>
      <c r="YN26">
        <v>140</v>
      </c>
      <c r="YO26" s="16">
        <v>44355</v>
      </c>
      <c r="YP26">
        <v>93614</v>
      </c>
      <c r="YQ26">
        <v>101</v>
      </c>
      <c r="YR26" s="16">
        <v>44356</v>
      </c>
      <c r="YS26">
        <v>93700</v>
      </c>
      <c r="YT26">
        <v>82</v>
      </c>
      <c r="YU26" s="16">
        <v>44358</v>
      </c>
      <c r="YV26">
        <v>93856</v>
      </c>
      <c r="YW26">
        <v>70</v>
      </c>
      <c r="YX26" s="16">
        <v>44359</v>
      </c>
      <c r="YY26">
        <v>93897</v>
      </c>
      <c r="YZ26">
        <v>45</v>
      </c>
      <c r="ZA26" s="16">
        <v>44360</v>
      </c>
      <c r="ZB26">
        <v>93947</v>
      </c>
      <c r="ZC26">
        <v>48</v>
      </c>
      <c r="ZD26" s="16">
        <v>44371</v>
      </c>
      <c r="ZE26">
        <v>94489</v>
      </c>
      <c r="ZF26">
        <v>0</v>
      </c>
      <c r="ZG26" s="16">
        <v>44372</v>
      </c>
      <c r="ZH26">
        <v>95206</v>
      </c>
      <c r="ZI26">
        <v>197</v>
      </c>
      <c r="ZJ26" s="16">
        <v>44373</v>
      </c>
      <c r="ZK26">
        <v>95335</v>
      </c>
      <c r="ZL26">
        <v>129</v>
      </c>
      <c r="ZM26" s="16">
        <v>44374</v>
      </c>
      <c r="ZN26">
        <v>95457</v>
      </c>
      <c r="ZO26">
        <v>119</v>
      </c>
      <c r="ZP26" s="16">
        <v>44375</v>
      </c>
      <c r="ZQ26">
        <v>95678</v>
      </c>
      <c r="ZR26">
        <v>231</v>
      </c>
      <c r="ZS26" s="16">
        <v>44379</v>
      </c>
      <c r="ZT26">
        <v>96506</v>
      </c>
      <c r="ZU26">
        <v>166</v>
      </c>
      <c r="ZV26" s="16">
        <v>44380</v>
      </c>
      <c r="ZW26">
        <v>96648</v>
      </c>
      <c r="ZX26">
        <v>130</v>
      </c>
      <c r="ZY26" s="16">
        <v>44381</v>
      </c>
      <c r="ZZ26">
        <v>96758</v>
      </c>
      <c r="AAA26">
        <v>109</v>
      </c>
      <c r="AAB26" s="16">
        <v>44382</v>
      </c>
      <c r="AAC26">
        <v>97009</v>
      </c>
      <c r="AAD26">
        <v>242</v>
      </c>
      <c r="AAE26" s="16">
        <v>44383</v>
      </c>
      <c r="AAF26">
        <v>97271</v>
      </c>
      <c r="AAG26">
        <v>260</v>
      </c>
      <c r="AAH26" s="16">
        <v>44386</v>
      </c>
      <c r="AAI26">
        <v>98130</v>
      </c>
      <c r="AAJ26">
        <v>306</v>
      </c>
      <c r="AAK26" s="16">
        <v>44387</v>
      </c>
      <c r="AAL26">
        <v>98302</v>
      </c>
      <c r="AAM26">
        <v>152</v>
      </c>
      <c r="AAN26" s="16">
        <v>44389</v>
      </c>
      <c r="AAO26">
        <v>98805</v>
      </c>
      <c r="AAP26">
        <v>337</v>
      </c>
      <c r="AAQ26" s="16">
        <v>44389</v>
      </c>
      <c r="AAR26">
        <v>98814</v>
      </c>
      <c r="AAS26">
        <v>331</v>
      </c>
      <c r="AAT26" s="16">
        <v>44390</v>
      </c>
      <c r="AAU26">
        <v>99141</v>
      </c>
      <c r="AAV26">
        <v>340</v>
      </c>
      <c r="AAW26" s="16">
        <v>44392</v>
      </c>
      <c r="AAX26">
        <v>99906</v>
      </c>
      <c r="AAY26">
        <v>385</v>
      </c>
      <c r="AAZ26" s="16">
        <v>44392</v>
      </c>
      <c r="ABA26">
        <v>99909</v>
      </c>
      <c r="ABB26">
        <v>382</v>
      </c>
      <c r="ABC26" s="16">
        <v>44393</v>
      </c>
      <c r="ABD26">
        <v>100267</v>
      </c>
      <c r="ABE26">
        <v>358</v>
      </c>
      <c r="ABF26" s="16">
        <v>44395</v>
      </c>
      <c r="ABG26">
        <v>100716</v>
      </c>
      <c r="ABH26">
        <v>249</v>
      </c>
      <c r="ABI26" s="16">
        <v>44395</v>
      </c>
      <c r="ABJ26">
        <v>100719</v>
      </c>
      <c r="ABK26">
        <v>251</v>
      </c>
      <c r="ABL26" s="16">
        <v>44396</v>
      </c>
      <c r="ABM26">
        <v>101133</v>
      </c>
      <c r="ABN26">
        <v>422</v>
      </c>
      <c r="ABO26" s="16">
        <v>44397</v>
      </c>
      <c r="ABP26">
        <v>101555</v>
      </c>
      <c r="ABQ26">
        <v>425</v>
      </c>
      <c r="ABR26" s="16">
        <v>44398</v>
      </c>
      <c r="ABS26">
        <v>102025</v>
      </c>
      <c r="ABT26">
        <v>468</v>
      </c>
      <c r="ABU26" s="16">
        <v>44399</v>
      </c>
      <c r="ABV26">
        <v>102518</v>
      </c>
      <c r="ABW26">
        <v>488</v>
      </c>
      <c r="ABX26" s="16">
        <v>44400</v>
      </c>
      <c r="ABY26">
        <v>102999</v>
      </c>
      <c r="ABZ26">
        <v>476</v>
      </c>
      <c r="ACA26" s="16">
        <v>44401</v>
      </c>
      <c r="ACB26">
        <v>103301</v>
      </c>
      <c r="ACC26">
        <v>299</v>
      </c>
      <c r="ACD26" s="16">
        <v>44402</v>
      </c>
      <c r="ACE26">
        <v>103660</v>
      </c>
      <c r="ACF26">
        <v>355</v>
      </c>
      <c r="ACG26" s="16">
        <v>44403</v>
      </c>
      <c r="ACH26">
        <v>104419</v>
      </c>
      <c r="ACI26">
        <v>764</v>
      </c>
      <c r="ACJ26" s="16">
        <v>44404</v>
      </c>
      <c r="ACK26">
        <v>105088</v>
      </c>
      <c r="ACL26">
        <v>675</v>
      </c>
      <c r="ACM26" s="16">
        <v>44407</v>
      </c>
      <c r="ACN26">
        <v>107389</v>
      </c>
      <c r="ACO26">
        <v>691</v>
      </c>
      <c r="ACP26" s="16">
        <v>44408</v>
      </c>
      <c r="ACQ26">
        <v>107798</v>
      </c>
      <c r="ACR26">
        <v>406</v>
      </c>
      <c r="ACS26" s="16">
        <v>44409</v>
      </c>
      <c r="ACT26">
        <v>108274</v>
      </c>
      <c r="ACU26">
        <v>476</v>
      </c>
      <c r="ACV26" s="16">
        <v>44410</v>
      </c>
      <c r="ACW26">
        <v>109161</v>
      </c>
      <c r="ACX26">
        <v>894</v>
      </c>
      <c r="ACY26" s="16">
        <v>44411</v>
      </c>
      <c r="ACZ26">
        <v>110002</v>
      </c>
      <c r="ADA26">
        <v>839</v>
      </c>
      <c r="ADB26" s="16">
        <v>44412</v>
      </c>
      <c r="ADC26">
        <v>110789</v>
      </c>
      <c r="ADD26">
        <v>782</v>
      </c>
      <c r="ADE26" s="16">
        <v>44413</v>
      </c>
      <c r="ADF26">
        <v>111652</v>
      </c>
      <c r="ADG26">
        <v>862</v>
      </c>
      <c r="ADH26" s="16">
        <v>44414</v>
      </c>
      <c r="ADI26">
        <v>112340</v>
      </c>
      <c r="ADJ26">
        <v>682</v>
      </c>
      <c r="ADK26" s="16">
        <v>44415</v>
      </c>
      <c r="ADL26">
        <v>112818</v>
      </c>
      <c r="ADM26">
        <v>476</v>
      </c>
      <c r="ADN26" s="16">
        <v>44416</v>
      </c>
      <c r="ADO26">
        <v>113349</v>
      </c>
      <c r="ADP26">
        <v>530</v>
      </c>
      <c r="ADQ26" s="16">
        <v>44417</v>
      </c>
      <c r="ADR26">
        <v>114367</v>
      </c>
      <c r="ADS26">
        <v>1009</v>
      </c>
      <c r="ADT26" s="16">
        <v>44418</v>
      </c>
      <c r="ADU26">
        <v>115226</v>
      </c>
      <c r="ADV26">
        <v>830</v>
      </c>
      <c r="ADW26" s="16">
        <v>44421</v>
      </c>
      <c r="ADX26">
        <v>117677</v>
      </c>
      <c r="ADY26">
        <v>737</v>
      </c>
      <c r="ADZ26" s="16">
        <v>44422</v>
      </c>
      <c r="AEA26">
        <v>118111</v>
      </c>
      <c r="AEB26">
        <v>429</v>
      </c>
      <c r="AEC26" s="16">
        <v>44423</v>
      </c>
      <c r="AED26">
        <v>118550</v>
      </c>
      <c r="AEE26">
        <v>438</v>
      </c>
      <c r="AEF26" s="16">
        <v>44424</v>
      </c>
      <c r="AEG26">
        <v>119315</v>
      </c>
      <c r="AEH26">
        <v>767</v>
      </c>
      <c r="AEI26" s="16">
        <v>44425</v>
      </c>
      <c r="AEJ26">
        <v>120055</v>
      </c>
      <c r="AEK26">
        <v>737</v>
      </c>
      <c r="AEL26" s="16">
        <v>44428</v>
      </c>
      <c r="AEM26">
        <v>122075</v>
      </c>
      <c r="AEN26">
        <v>654</v>
      </c>
      <c r="AEO26" s="16">
        <v>44429</v>
      </c>
      <c r="AEP26">
        <v>122495</v>
      </c>
      <c r="AEQ26">
        <v>394</v>
      </c>
      <c r="AER26" s="16">
        <v>44430</v>
      </c>
      <c r="AES26">
        <v>122950</v>
      </c>
      <c r="AET26">
        <v>455</v>
      </c>
      <c r="AEU26" s="16">
        <v>44431</v>
      </c>
      <c r="AEV26">
        <v>123606</v>
      </c>
      <c r="AEW26">
        <v>659</v>
      </c>
      <c r="AEX26" s="16">
        <v>44433</v>
      </c>
      <c r="AEY26">
        <v>124913</v>
      </c>
      <c r="AEZ26">
        <v>696</v>
      </c>
      <c r="AFA26" s="16">
        <v>44434</v>
      </c>
      <c r="AFB26">
        <v>125510</v>
      </c>
      <c r="AFC26">
        <v>601</v>
      </c>
      <c r="AFD26">
        <v>44439</v>
      </c>
      <c r="AFE26">
        <v>128422</v>
      </c>
      <c r="AFF26">
        <v>604</v>
      </c>
      <c r="AFG26">
        <v>44440</v>
      </c>
      <c r="AFH26">
        <v>129176</v>
      </c>
      <c r="AFI26">
        <v>649</v>
      </c>
      <c r="AFJ26">
        <v>44442</v>
      </c>
      <c r="AFK26">
        <v>130344</v>
      </c>
      <c r="AFL26">
        <v>514</v>
      </c>
      <c r="AFM26">
        <v>44445</v>
      </c>
      <c r="AFN26">
        <v>131614</v>
      </c>
      <c r="AFO26">
        <v>578</v>
      </c>
      <c r="AFP26">
        <v>44446</v>
      </c>
      <c r="AFQ26">
        <v>132128</v>
      </c>
      <c r="AFR26">
        <v>511</v>
      </c>
      <c r="AFS26">
        <v>44448</v>
      </c>
      <c r="AFT26">
        <v>133069</v>
      </c>
      <c r="AFU26">
        <v>459</v>
      </c>
      <c r="AFV26">
        <v>44449</v>
      </c>
      <c r="AFW26">
        <v>133570</v>
      </c>
      <c r="AFX26">
        <v>493</v>
      </c>
      <c r="AFY26">
        <v>44451</v>
      </c>
      <c r="AFZ26">
        <v>134169</v>
      </c>
      <c r="AGA26">
        <v>277</v>
      </c>
      <c r="AGB26">
        <v>44452</v>
      </c>
      <c r="AGC26">
        <v>134710</v>
      </c>
      <c r="AGD26">
        <v>533</v>
      </c>
      <c r="AGE26">
        <v>44455</v>
      </c>
      <c r="AGF26">
        <v>136077</v>
      </c>
      <c r="AGG26">
        <v>430</v>
      </c>
      <c r="AGH26">
        <v>44456</v>
      </c>
      <c r="AGI26">
        <v>136472</v>
      </c>
      <c r="AGJ26">
        <v>386</v>
      </c>
      <c r="AGK26">
        <v>44458</v>
      </c>
      <c r="AGL26">
        <v>136988</v>
      </c>
      <c r="AGM26">
        <v>278</v>
      </c>
      <c r="AGN26">
        <v>44458</v>
      </c>
      <c r="AGO26">
        <v>136991</v>
      </c>
      <c r="AGP26">
        <v>280</v>
      </c>
      <c r="AGQ26">
        <v>44459</v>
      </c>
      <c r="AGR26">
        <v>137469</v>
      </c>
      <c r="AGS26">
        <v>478</v>
      </c>
      <c r="AGT26">
        <v>44460</v>
      </c>
      <c r="AGU26">
        <v>137975</v>
      </c>
      <c r="AGV26">
        <v>490</v>
      </c>
      <c r="AGW26">
        <v>44462</v>
      </c>
      <c r="AGX26">
        <v>138930</v>
      </c>
      <c r="AGY26">
        <v>475</v>
      </c>
      <c r="AGZ26">
        <v>44464</v>
      </c>
      <c r="AHA26">
        <v>139655</v>
      </c>
      <c r="AHB26">
        <v>294</v>
      </c>
      <c r="AHC26">
        <v>44465</v>
      </c>
      <c r="AHD26">
        <v>140011</v>
      </c>
      <c r="AHE26">
        <v>354</v>
      </c>
      <c r="AHF26">
        <v>44466</v>
      </c>
      <c r="AHG26">
        <v>140692</v>
      </c>
      <c r="AHH26">
        <v>681</v>
      </c>
      <c r="AHI26">
        <v>44467</v>
      </c>
      <c r="AHJ26">
        <v>141332</v>
      </c>
      <c r="AHK26">
        <v>640</v>
      </c>
      <c r="AHL26">
        <v>44471</v>
      </c>
      <c r="AHM26">
        <v>143477</v>
      </c>
      <c r="AHN26">
        <v>349</v>
      </c>
      <c r="AHO26">
        <v>44472</v>
      </c>
      <c r="AHP26">
        <v>143880</v>
      </c>
      <c r="AHQ26">
        <v>386</v>
      </c>
      <c r="AHR26">
        <v>44473</v>
      </c>
      <c r="AHS26">
        <v>144621</v>
      </c>
      <c r="AHT26">
        <v>739</v>
      </c>
      <c r="AHU26">
        <v>44474</v>
      </c>
      <c r="AHV26">
        <v>145294</v>
      </c>
      <c r="AHW26">
        <v>670</v>
      </c>
      <c r="AHX26">
        <v>44475</v>
      </c>
      <c r="AHY26">
        <v>145825</v>
      </c>
      <c r="AHZ26">
        <v>524</v>
      </c>
      <c r="AIA26">
        <v>44479</v>
      </c>
      <c r="AIB26">
        <v>147813</v>
      </c>
      <c r="AIC26">
        <v>396</v>
      </c>
      <c r="AID26">
        <v>44483</v>
      </c>
      <c r="AIE26">
        <v>150324</v>
      </c>
      <c r="AIF26">
        <v>555</v>
      </c>
      <c r="AIG26">
        <v>44487</v>
      </c>
      <c r="AIH26">
        <v>152200</v>
      </c>
      <c r="AII26">
        <v>655</v>
      </c>
      <c r="AIJ26">
        <v>44488</v>
      </c>
      <c r="AIK26">
        <v>152787</v>
      </c>
      <c r="AIL26">
        <v>547</v>
      </c>
      <c r="AIM26">
        <v>44489</v>
      </c>
      <c r="AIN26">
        <v>153305</v>
      </c>
      <c r="AIO26">
        <v>512</v>
      </c>
      <c r="AIP26">
        <v>44492</v>
      </c>
      <c r="AIQ26">
        <v>154872</v>
      </c>
      <c r="AIR26">
        <v>373</v>
      </c>
      <c r="AIS26">
        <v>44493</v>
      </c>
      <c r="AIT26">
        <v>155271</v>
      </c>
      <c r="AIU26">
        <v>386</v>
      </c>
      <c r="AIV26">
        <v>44494</v>
      </c>
      <c r="AIW26">
        <v>156071</v>
      </c>
      <c r="AIX26">
        <v>790</v>
      </c>
      <c r="AIY26">
        <v>44495</v>
      </c>
      <c r="AIZ26">
        <v>157008</v>
      </c>
      <c r="AJA26">
        <v>675</v>
      </c>
      <c r="AJB26">
        <v>44496</v>
      </c>
      <c r="AJC26">
        <v>157654</v>
      </c>
      <c r="AJD26">
        <v>642</v>
      </c>
      <c r="AJE26">
        <v>44499</v>
      </c>
      <c r="AJF26">
        <v>159270</v>
      </c>
      <c r="AJG26">
        <v>398</v>
      </c>
      <c r="AJH26">
        <v>44500</v>
      </c>
      <c r="AJI26">
        <v>159758</v>
      </c>
      <c r="AJJ26">
        <v>439</v>
      </c>
      <c r="AJK26">
        <v>44501</v>
      </c>
      <c r="AJL26">
        <v>160734</v>
      </c>
      <c r="AJM26">
        <v>971</v>
      </c>
      <c r="AJN26">
        <v>44502</v>
      </c>
      <c r="AJO26">
        <v>161495</v>
      </c>
      <c r="AJP26">
        <v>754</v>
      </c>
      <c r="AJQ26">
        <v>44506</v>
      </c>
      <c r="AJR26">
        <v>164414</v>
      </c>
      <c r="AJS26">
        <v>505</v>
      </c>
      <c r="AJT26">
        <v>44507</v>
      </c>
      <c r="AJU26">
        <v>164928</v>
      </c>
      <c r="AJV26">
        <v>504</v>
      </c>
      <c r="AJW26">
        <v>44508</v>
      </c>
      <c r="AJX26">
        <v>166000</v>
      </c>
      <c r="AJY26">
        <v>1071</v>
      </c>
      <c r="AJZ26">
        <v>44509</v>
      </c>
      <c r="AKA26">
        <v>166839</v>
      </c>
      <c r="AKB26">
        <v>824</v>
      </c>
      <c r="AKC26">
        <v>44510</v>
      </c>
      <c r="AKD26">
        <v>167851</v>
      </c>
      <c r="AKE26">
        <v>964</v>
      </c>
      <c r="AKF26">
        <v>44513</v>
      </c>
      <c r="AKG26">
        <v>170341</v>
      </c>
      <c r="AKH26">
        <v>612</v>
      </c>
      <c r="AKI26">
        <v>44516</v>
      </c>
      <c r="AKJ26">
        <v>173366</v>
      </c>
      <c r="AKK26">
        <v>1189</v>
      </c>
      <c r="AKL26">
        <v>44518</v>
      </c>
      <c r="AKM26">
        <v>175760</v>
      </c>
      <c r="AKN26">
        <v>1212</v>
      </c>
      <c r="AKO26">
        <v>44520</v>
      </c>
      <c r="AKP26">
        <v>177733</v>
      </c>
      <c r="AKQ26">
        <v>702</v>
      </c>
      <c r="AKR26">
        <v>44521</v>
      </c>
      <c r="AKS26">
        <v>178425</v>
      </c>
      <c r="AKT26">
        <v>671</v>
      </c>
      <c r="AKU26">
        <v>44523</v>
      </c>
      <c r="AKV26">
        <v>181170</v>
      </c>
      <c r="AKW26">
        <v>1331</v>
      </c>
      <c r="AKX26">
        <v>44524</v>
      </c>
      <c r="AKY26">
        <v>182429</v>
      </c>
      <c r="AKZ26">
        <v>1248</v>
      </c>
      <c r="ALA26">
        <v>44527</v>
      </c>
      <c r="ALB26">
        <v>185763</v>
      </c>
      <c r="ALC26">
        <v>784</v>
      </c>
      <c r="ALD26">
        <v>44528</v>
      </c>
      <c r="ALE26">
        <v>186546</v>
      </c>
      <c r="ALF26">
        <v>780</v>
      </c>
      <c r="ALG26">
        <v>44529</v>
      </c>
      <c r="ALH26">
        <v>188232</v>
      </c>
      <c r="ALI26">
        <v>1678</v>
      </c>
      <c r="ALJ26">
        <v>44530</v>
      </c>
      <c r="ALK26">
        <v>189652</v>
      </c>
      <c r="ALL26">
        <v>1417</v>
      </c>
      <c r="ALM26">
        <v>44538</v>
      </c>
      <c r="ALN26">
        <v>200878</v>
      </c>
      <c r="ALO26">
        <v>1718</v>
      </c>
    </row>
    <row r="27" spans="2:1003">
      <c r="B27" t="str">
        <f t="shared" ca="1" si="2"/>
        <v>10.12</v>
      </c>
      <c r="C27" s="4">
        <f t="shared" ca="1" si="0"/>
        <v>44540</v>
      </c>
      <c r="D27" s="11">
        <f t="shared" ca="1" si="1"/>
        <v>204417</v>
      </c>
      <c r="E27">
        <f t="shared" ca="1" si="3"/>
        <v>1800</v>
      </c>
      <c r="F27" s="11">
        <f t="shared" ca="1" si="4"/>
        <v>6</v>
      </c>
      <c r="G27" s="11">
        <f t="shared" ca="1" si="5"/>
        <v>1794</v>
      </c>
      <c r="K27" s="13"/>
      <c r="L27" s="3"/>
      <c r="N27" s="16">
        <v>44539</v>
      </c>
      <c r="O27">
        <v>202574</v>
      </c>
      <c r="P27" s="10">
        <v>1696</v>
      </c>
      <c r="Q27" s="16">
        <v>44539</v>
      </c>
      <c r="R27">
        <v>202574</v>
      </c>
      <c r="S27">
        <v>1696</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s="16">
        <v>44288</v>
      </c>
      <c r="RU27">
        <v>79327</v>
      </c>
      <c r="RV27">
        <v>361</v>
      </c>
      <c r="RW27" s="16">
        <v>44289</v>
      </c>
      <c r="RX27">
        <v>79642</v>
      </c>
      <c r="RY27">
        <v>315</v>
      </c>
      <c r="RZ27" s="16">
        <v>44290</v>
      </c>
      <c r="SA27">
        <v>79963</v>
      </c>
      <c r="SB27">
        <v>320</v>
      </c>
      <c r="SC27" s="16">
        <v>44291</v>
      </c>
      <c r="SD27">
        <v>80326</v>
      </c>
      <c r="SE27">
        <v>362</v>
      </c>
      <c r="SF27" s="16">
        <v>44292</v>
      </c>
      <c r="SG27">
        <v>80862</v>
      </c>
      <c r="SH27">
        <v>536</v>
      </c>
      <c r="SI27" s="16">
        <v>44293</v>
      </c>
      <c r="SJ27">
        <v>81285</v>
      </c>
      <c r="SK27">
        <v>424</v>
      </c>
      <c r="SL27" s="16">
        <v>44295</v>
      </c>
      <c r="SM27">
        <v>82035</v>
      </c>
      <c r="SN27">
        <v>346</v>
      </c>
      <c r="SO27" s="16">
        <v>44296</v>
      </c>
      <c r="SP27">
        <v>82278</v>
      </c>
      <c r="SQ27">
        <v>224</v>
      </c>
      <c r="SR27" s="16">
        <v>44297</v>
      </c>
      <c r="SS27">
        <v>82524</v>
      </c>
      <c r="ST27">
        <v>238</v>
      </c>
      <c r="SU27" s="16">
        <v>44298</v>
      </c>
      <c r="SV27">
        <v>82925</v>
      </c>
      <c r="SW27">
        <v>399</v>
      </c>
      <c r="SX27" s="16">
        <v>44300</v>
      </c>
      <c r="SY27">
        <v>83601</v>
      </c>
      <c r="SZ27">
        <v>344</v>
      </c>
      <c r="TA27" s="16">
        <v>44301</v>
      </c>
      <c r="TB27">
        <v>83875</v>
      </c>
      <c r="TC27">
        <v>273</v>
      </c>
      <c r="TD27" s="16">
        <v>44303</v>
      </c>
      <c r="TE27">
        <v>84312</v>
      </c>
      <c r="TF27">
        <v>171</v>
      </c>
      <c r="TG27" s="16">
        <v>44304</v>
      </c>
      <c r="TH27">
        <v>84470</v>
      </c>
      <c r="TI27">
        <v>156</v>
      </c>
      <c r="TJ27" s="16">
        <v>44305</v>
      </c>
      <c r="TK27">
        <v>84754</v>
      </c>
      <c r="TL27">
        <v>282</v>
      </c>
      <c r="TM27" s="16">
        <v>44306</v>
      </c>
      <c r="TN27">
        <v>85043</v>
      </c>
      <c r="TO27">
        <v>287</v>
      </c>
      <c r="TP27" s="16">
        <v>44308</v>
      </c>
      <c r="TQ27">
        <v>85550</v>
      </c>
      <c r="TR27">
        <v>261</v>
      </c>
      <c r="TS27" s="16">
        <v>44309</v>
      </c>
      <c r="TT27">
        <v>85812</v>
      </c>
      <c r="TU27">
        <v>258</v>
      </c>
      <c r="TV27" s="16">
        <v>44309</v>
      </c>
      <c r="TW27">
        <v>85817</v>
      </c>
      <c r="TX27">
        <v>258</v>
      </c>
      <c r="TY27" s="16">
        <v>44310</v>
      </c>
      <c r="TZ27">
        <v>85967</v>
      </c>
      <c r="UA27">
        <v>152</v>
      </c>
      <c r="UB27" s="16">
        <v>44312</v>
      </c>
      <c r="UC27">
        <v>86347</v>
      </c>
      <c r="UD27">
        <v>241</v>
      </c>
      <c r="UE27" s="16">
        <v>44312</v>
      </c>
      <c r="UF27">
        <v>86347</v>
      </c>
      <c r="UG27">
        <v>241</v>
      </c>
      <c r="UH27" s="16">
        <v>44313</v>
      </c>
      <c r="UI27">
        <v>86581</v>
      </c>
      <c r="UJ27">
        <v>229</v>
      </c>
      <c r="UK27" s="16">
        <v>44314</v>
      </c>
      <c r="UL27">
        <v>86861</v>
      </c>
      <c r="UM27">
        <v>275</v>
      </c>
      <c r="UN27" s="16">
        <v>44318</v>
      </c>
      <c r="UO27">
        <v>87502</v>
      </c>
      <c r="UP27">
        <v>137</v>
      </c>
      <c r="UQ27" s="16">
        <v>44319</v>
      </c>
      <c r="UR27">
        <v>87827</v>
      </c>
      <c r="US27">
        <v>321</v>
      </c>
      <c r="UT27" s="16">
        <v>44320</v>
      </c>
      <c r="UU27">
        <v>88023</v>
      </c>
      <c r="UV27">
        <v>204</v>
      </c>
      <c r="UW27" s="16">
        <v>44321</v>
      </c>
      <c r="UX27">
        <v>88292</v>
      </c>
      <c r="UY27">
        <v>270</v>
      </c>
      <c r="UZ27" s="16">
        <v>44323</v>
      </c>
      <c r="VA27">
        <v>88746</v>
      </c>
      <c r="VB27">
        <v>215</v>
      </c>
      <c r="VC27" s="16">
        <v>44323</v>
      </c>
      <c r="VD27">
        <v>88741</v>
      </c>
      <c r="VE27">
        <v>215</v>
      </c>
      <c r="VF27" s="16">
        <v>44324</v>
      </c>
      <c r="VG27">
        <v>88875</v>
      </c>
      <c r="VH27">
        <v>130</v>
      </c>
      <c r="VI27" s="16">
        <v>44326</v>
      </c>
      <c r="VJ27">
        <v>89257</v>
      </c>
      <c r="VK27">
        <v>255</v>
      </c>
      <c r="VL27" s="16">
        <v>44326</v>
      </c>
      <c r="VM27">
        <v>89253</v>
      </c>
      <c r="VN27">
        <v>254</v>
      </c>
      <c r="VO27" s="16">
        <v>44327</v>
      </c>
      <c r="VP27">
        <v>89460</v>
      </c>
      <c r="VQ27">
        <v>215</v>
      </c>
      <c r="VR27" s="16">
        <v>44328</v>
      </c>
      <c r="VS27">
        <v>89715</v>
      </c>
      <c r="VT27">
        <v>255</v>
      </c>
      <c r="VU27" s="16">
        <v>44330</v>
      </c>
      <c r="VV27">
        <v>90121</v>
      </c>
      <c r="VW27">
        <v>243</v>
      </c>
      <c r="VX27" s="16">
        <v>44330</v>
      </c>
      <c r="VY27">
        <v>90124</v>
      </c>
      <c r="VZ27">
        <v>244</v>
      </c>
      <c r="WA27" s="16">
        <v>44331</v>
      </c>
      <c r="WB27">
        <v>90285</v>
      </c>
      <c r="WC27">
        <v>157</v>
      </c>
      <c r="WD27" s="16">
        <v>44332</v>
      </c>
      <c r="WE27">
        <v>90417</v>
      </c>
      <c r="WF27">
        <v>132</v>
      </c>
      <c r="WG27" s="16">
        <v>44333</v>
      </c>
      <c r="WH27">
        <v>90703</v>
      </c>
      <c r="WI27">
        <v>285</v>
      </c>
      <c r="WJ27" s="16">
        <v>44335</v>
      </c>
      <c r="WK27">
        <v>91146</v>
      </c>
      <c r="WL27">
        <v>229</v>
      </c>
      <c r="WM27" s="16">
        <v>44335</v>
      </c>
      <c r="WN27">
        <v>91151</v>
      </c>
      <c r="WO27">
        <v>230</v>
      </c>
      <c r="WP27" s="16">
        <v>44338</v>
      </c>
      <c r="WQ27">
        <v>91641</v>
      </c>
      <c r="WR27">
        <v>106</v>
      </c>
      <c r="WS27" s="16">
        <v>44339</v>
      </c>
      <c r="WT27">
        <v>91737</v>
      </c>
      <c r="WU27">
        <v>92</v>
      </c>
      <c r="WV27" s="16">
        <v>44340</v>
      </c>
      <c r="WW27">
        <v>91930</v>
      </c>
      <c r="WX27">
        <v>189</v>
      </c>
      <c r="WY27" s="16">
        <v>44341</v>
      </c>
      <c r="WZ27">
        <v>92086</v>
      </c>
      <c r="XA27">
        <v>152</v>
      </c>
      <c r="XB27" s="16">
        <v>44342</v>
      </c>
      <c r="XC27">
        <v>92227</v>
      </c>
      <c r="XD27">
        <v>142</v>
      </c>
      <c r="XE27" s="16">
        <v>44344</v>
      </c>
      <c r="XF27">
        <v>92489</v>
      </c>
      <c r="XG27">
        <v>136</v>
      </c>
      <c r="XH27" s="16">
        <v>44344</v>
      </c>
      <c r="XI27">
        <v>92495</v>
      </c>
      <c r="XJ27">
        <v>136</v>
      </c>
      <c r="XK27" s="16">
        <v>44345</v>
      </c>
      <c r="XL27">
        <v>92561</v>
      </c>
      <c r="XM27">
        <v>65</v>
      </c>
      <c r="XN27" s="16">
        <v>44346</v>
      </c>
      <c r="XO27">
        <v>92642</v>
      </c>
      <c r="XP27">
        <v>79</v>
      </c>
      <c r="XQ27" s="16">
        <v>44347</v>
      </c>
      <c r="XR27">
        <v>92787</v>
      </c>
      <c r="XS27">
        <v>144</v>
      </c>
      <c r="XT27" s="16">
        <v>44348</v>
      </c>
      <c r="XU27">
        <v>92912</v>
      </c>
      <c r="XV27">
        <v>123</v>
      </c>
      <c r="XW27" s="16">
        <v>44349</v>
      </c>
      <c r="XX27">
        <v>93033</v>
      </c>
      <c r="XY27">
        <v>119</v>
      </c>
      <c r="XZ27" s="16">
        <v>44350</v>
      </c>
      <c r="YA27">
        <v>93144</v>
      </c>
      <c r="YB27">
        <v>110</v>
      </c>
      <c r="YC27" s="16">
        <v>44352</v>
      </c>
      <c r="YD27">
        <v>93310</v>
      </c>
      <c r="YE27">
        <v>65</v>
      </c>
      <c r="YF27" s="16">
        <v>44353</v>
      </c>
      <c r="YG27">
        <v>93371</v>
      </c>
      <c r="YH27">
        <v>60</v>
      </c>
      <c r="YI27" s="16">
        <v>44354</v>
      </c>
      <c r="YJ27">
        <v>93515</v>
      </c>
      <c r="YK27">
        <v>141</v>
      </c>
      <c r="YL27" s="16">
        <v>44355</v>
      </c>
      <c r="YM27">
        <v>93616</v>
      </c>
      <c r="YN27">
        <v>102</v>
      </c>
      <c r="YO27" s="16">
        <v>44356</v>
      </c>
      <c r="YP27">
        <v>93696</v>
      </c>
      <c r="YQ27">
        <v>82</v>
      </c>
      <c r="YR27" s="16">
        <v>44357</v>
      </c>
      <c r="YS27">
        <v>93777</v>
      </c>
      <c r="YT27">
        <v>77</v>
      </c>
      <c r="YU27" s="16">
        <v>44359</v>
      </c>
      <c r="YV27">
        <v>93899</v>
      </c>
      <c r="YW27">
        <v>43</v>
      </c>
      <c r="YX27" s="16">
        <v>44360</v>
      </c>
      <c r="YY27">
        <v>93944</v>
      </c>
      <c r="YZ27">
        <v>47</v>
      </c>
      <c r="ZA27" s="16">
        <v>44361</v>
      </c>
      <c r="ZB27">
        <v>94036</v>
      </c>
      <c r="ZC27">
        <v>89</v>
      </c>
      <c r="ZD27" s="16">
        <v>44372</v>
      </c>
      <c r="ZE27">
        <v>94489</v>
      </c>
      <c r="ZF27">
        <v>0</v>
      </c>
      <c r="ZG27" s="16">
        <v>44373</v>
      </c>
      <c r="ZH27">
        <v>95335</v>
      </c>
      <c r="ZI27">
        <v>129</v>
      </c>
      <c r="ZJ27" s="16">
        <v>44374</v>
      </c>
      <c r="ZK27">
        <v>95453</v>
      </c>
      <c r="ZL27">
        <v>118</v>
      </c>
      <c r="ZM27" s="16">
        <v>44375</v>
      </c>
      <c r="ZN27">
        <v>95687</v>
      </c>
      <c r="ZO27">
        <v>230</v>
      </c>
      <c r="ZP27" s="16">
        <v>44376</v>
      </c>
      <c r="ZQ27">
        <v>95936</v>
      </c>
      <c r="ZR27">
        <v>258</v>
      </c>
      <c r="ZS27" s="16">
        <v>44380</v>
      </c>
      <c r="ZT27">
        <v>96634</v>
      </c>
      <c r="ZU27">
        <v>128</v>
      </c>
      <c r="ZV27" s="16">
        <v>44381</v>
      </c>
      <c r="ZW27">
        <v>96757</v>
      </c>
      <c r="ZX27">
        <v>109</v>
      </c>
      <c r="ZY27" s="16">
        <v>44382</v>
      </c>
      <c r="ZZ27">
        <v>96999</v>
      </c>
      <c r="AAA27">
        <v>241</v>
      </c>
      <c r="AAB27" s="16">
        <v>44383</v>
      </c>
      <c r="AAC27">
        <v>97267</v>
      </c>
      <c r="AAD27">
        <v>258</v>
      </c>
      <c r="AAE27" s="16">
        <v>44384</v>
      </c>
      <c r="AAF27">
        <v>97543</v>
      </c>
      <c r="AAG27">
        <v>272</v>
      </c>
      <c r="AAH27" s="16">
        <v>44387</v>
      </c>
      <c r="AAI27">
        <v>98278</v>
      </c>
      <c r="AAJ27">
        <v>148</v>
      </c>
      <c r="AAK27" s="16">
        <v>44388</v>
      </c>
      <c r="AAL27">
        <v>98462</v>
      </c>
      <c r="AAM27">
        <v>160</v>
      </c>
      <c r="AAN27" s="16">
        <v>44390</v>
      </c>
      <c r="AAO27">
        <v>99148</v>
      </c>
      <c r="AAP27">
        <v>343</v>
      </c>
      <c r="AAQ27" s="16">
        <v>44390</v>
      </c>
      <c r="AAR27">
        <v>99156</v>
      </c>
      <c r="AAS27">
        <v>342</v>
      </c>
      <c r="AAT27" s="16">
        <v>44391</v>
      </c>
      <c r="AAU27">
        <v>99523</v>
      </c>
      <c r="AAV27">
        <v>382</v>
      </c>
      <c r="AAW27" s="16">
        <v>44393</v>
      </c>
      <c r="AAX27">
        <v>100260</v>
      </c>
      <c r="AAY27">
        <v>354</v>
      </c>
      <c r="AAZ27" s="16">
        <v>44393</v>
      </c>
      <c r="ABA27">
        <v>100269</v>
      </c>
      <c r="ABB27">
        <v>360</v>
      </c>
      <c r="ABC27" s="16">
        <v>44394</v>
      </c>
      <c r="ABD27">
        <v>100472</v>
      </c>
      <c r="ABE27">
        <v>205</v>
      </c>
      <c r="ABF27" s="16">
        <v>44396</v>
      </c>
      <c r="ABG27">
        <v>101139</v>
      </c>
      <c r="ABH27">
        <v>423</v>
      </c>
      <c r="ABI27" s="16">
        <v>44396</v>
      </c>
      <c r="ABJ27">
        <v>101142</v>
      </c>
      <c r="ABK27">
        <v>423</v>
      </c>
      <c r="ABL27" s="16">
        <v>44397</v>
      </c>
      <c r="ABM27">
        <v>101559</v>
      </c>
      <c r="ABN27">
        <v>426</v>
      </c>
      <c r="ABO27" s="16">
        <v>44398</v>
      </c>
      <c r="ABP27">
        <v>102021</v>
      </c>
      <c r="ABQ27">
        <v>466</v>
      </c>
      <c r="ABR27" s="16">
        <v>44399</v>
      </c>
      <c r="ABS27">
        <v>102512</v>
      </c>
      <c r="ABT27">
        <v>487</v>
      </c>
      <c r="ABU27" s="16">
        <v>44400</v>
      </c>
      <c r="ABV27">
        <v>102993</v>
      </c>
      <c r="ABW27">
        <v>475</v>
      </c>
      <c r="ABX27" s="16">
        <v>44401</v>
      </c>
      <c r="ABY27">
        <v>103297</v>
      </c>
      <c r="ABZ27">
        <v>298</v>
      </c>
      <c r="ACA27" s="16">
        <v>44402</v>
      </c>
      <c r="ACB27">
        <v>103655</v>
      </c>
      <c r="ACC27">
        <v>354</v>
      </c>
      <c r="ACD27" s="16">
        <v>44403</v>
      </c>
      <c r="ACE27">
        <v>104432</v>
      </c>
      <c r="ACF27">
        <v>772</v>
      </c>
      <c r="ACG27" s="16">
        <v>44404</v>
      </c>
      <c r="ACH27">
        <v>105095</v>
      </c>
      <c r="ACI27">
        <v>676</v>
      </c>
      <c r="ACJ27" s="16">
        <v>44405</v>
      </c>
      <c r="ACK27">
        <v>105934</v>
      </c>
      <c r="ACL27">
        <v>846</v>
      </c>
      <c r="ACM27" s="16">
        <v>44408</v>
      </c>
      <c r="ACN27">
        <v>107788</v>
      </c>
      <c r="ACO27">
        <v>399</v>
      </c>
      <c r="ACP27" s="16">
        <v>44409</v>
      </c>
      <c r="ACQ27">
        <v>108274</v>
      </c>
      <c r="ACR27">
        <v>476</v>
      </c>
      <c r="ACS27" s="16">
        <v>44410</v>
      </c>
      <c r="ACT27">
        <v>109174</v>
      </c>
      <c r="ACU27">
        <v>900</v>
      </c>
      <c r="ACV27" s="16">
        <v>44411</v>
      </c>
      <c r="ACW27">
        <v>110000</v>
      </c>
      <c r="ACX27">
        <v>839</v>
      </c>
      <c r="ACY27" s="16">
        <v>44412</v>
      </c>
      <c r="ACZ27">
        <v>110784</v>
      </c>
      <c r="ADA27">
        <v>782</v>
      </c>
      <c r="ADB27" s="16">
        <v>44413</v>
      </c>
      <c r="ADC27">
        <v>111650</v>
      </c>
      <c r="ADD27">
        <v>861</v>
      </c>
      <c r="ADE27" s="16">
        <v>44414</v>
      </c>
      <c r="ADF27">
        <v>112335</v>
      </c>
      <c r="ADG27">
        <v>683</v>
      </c>
      <c r="ADH27" s="16">
        <v>44415</v>
      </c>
      <c r="ADI27">
        <v>112816</v>
      </c>
      <c r="ADJ27">
        <v>476</v>
      </c>
      <c r="ADK27" s="16">
        <v>44416</v>
      </c>
      <c r="ADL27">
        <v>113349</v>
      </c>
      <c r="ADM27">
        <v>531</v>
      </c>
      <c r="ADN27" s="16">
        <v>44417</v>
      </c>
      <c r="ADO27">
        <v>114355</v>
      </c>
      <c r="ADP27">
        <v>1006</v>
      </c>
      <c r="ADQ27" s="16">
        <v>44418</v>
      </c>
      <c r="ADR27">
        <v>115198</v>
      </c>
      <c r="ADS27">
        <v>831</v>
      </c>
      <c r="ADT27" s="16">
        <v>44419</v>
      </c>
      <c r="ADU27">
        <v>116145</v>
      </c>
      <c r="ADV27">
        <v>919</v>
      </c>
      <c r="ADW27" s="16">
        <v>44422</v>
      </c>
      <c r="ADX27">
        <v>118103</v>
      </c>
      <c r="ADY27">
        <v>426</v>
      </c>
      <c r="ADZ27" s="16">
        <v>44423</v>
      </c>
      <c r="AEA27">
        <v>118548</v>
      </c>
      <c r="AEB27">
        <v>437</v>
      </c>
      <c r="AEC27" s="16">
        <v>44424</v>
      </c>
      <c r="AED27">
        <v>119321</v>
      </c>
      <c r="AEE27">
        <v>771</v>
      </c>
      <c r="AEF27" s="16">
        <v>44425</v>
      </c>
      <c r="AEG27">
        <v>120088</v>
      </c>
      <c r="AEH27">
        <v>773</v>
      </c>
      <c r="AEI27" s="16">
        <v>44426</v>
      </c>
      <c r="AEJ27">
        <v>120755</v>
      </c>
      <c r="AEK27">
        <v>700</v>
      </c>
      <c r="AEL27" s="16">
        <v>44429</v>
      </c>
      <c r="AEM27">
        <v>122467</v>
      </c>
      <c r="AEN27">
        <v>392</v>
      </c>
      <c r="AEO27" s="16">
        <v>44430</v>
      </c>
      <c r="AEP27">
        <v>122951</v>
      </c>
      <c r="AEQ27">
        <v>456</v>
      </c>
      <c r="AER27" s="16">
        <v>44431</v>
      </c>
      <c r="AES27">
        <v>123608</v>
      </c>
      <c r="AET27">
        <v>658</v>
      </c>
      <c r="AEU27" s="16">
        <v>44432</v>
      </c>
      <c r="AEV27">
        <v>124201</v>
      </c>
      <c r="AEW27">
        <v>595</v>
      </c>
      <c r="AEX27" s="16">
        <v>44434</v>
      </c>
      <c r="AEY27">
        <v>125488</v>
      </c>
      <c r="AEZ27">
        <v>575</v>
      </c>
      <c r="AFA27" s="16">
        <v>44435</v>
      </c>
      <c r="AFB27">
        <v>126215</v>
      </c>
      <c r="AFC27">
        <v>705</v>
      </c>
      <c r="AFD27">
        <v>44440</v>
      </c>
      <c r="AFE27">
        <v>128911</v>
      </c>
      <c r="AFF27">
        <v>489</v>
      </c>
      <c r="AFG27">
        <v>44441</v>
      </c>
      <c r="AFH27">
        <v>129819</v>
      </c>
      <c r="AFI27">
        <v>643</v>
      </c>
      <c r="AFJ27">
        <v>44443</v>
      </c>
      <c r="AFK27">
        <v>130681</v>
      </c>
      <c r="AFL27">
        <v>337</v>
      </c>
      <c r="AFM27">
        <v>44446</v>
      </c>
      <c r="AFN27">
        <v>132124</v>
      </c>
      <c r="AFO27">
        <v>510</v>
      </c>
      <c r="AFP27">
        <v>44447</v>
      </c>
      <c r="AFQ27">
        <v>132609</v>
      </c>
      <c r="AFR27">
        <v>481</v>
      </c>
      <c r="AFS27">
        <v>44449</v>
      </c>
      <c r="AFT27">
        <v>133560</v>
      </c>
      <c r="AFU27">
        <v>491</v>
      </c>
      <c r="AFV27">
        <v>44450</v>
      </c>
      <c r="AFW27">
        <v>133894</v>
      </c>
      <c r="AFX27">
        <v>324</v>
      </c>
      <c r="AFY27">
        <v>44452</v>
      </c>
      <c r="AFZ27">
        <v>134699</v>
      </c>
      <c r="AGA27">
        <v>530</v>
      </c>
      <c r="AGB27">
        <v>44453</v>
      </c>
      <c r="AGC27">
        <v>135183</v>
      </c>
      <c r="AGD27">
        <v>473</v>
      </c>
      <c r="AGE27">
        <v>44456</v>
      </c>
      <c r="AGF27">
        <v>136461</v>
      </c>
      <c r="AGG27">
        <v>384</v>
      </c>
      <c r="AGH27">
        <v>44457</v>
      </c>
      <c r="AGI27">
        <v>136709</v>
      </c>
      <c r="AGJ27">
        <v>237</v>
      </c>
      <c r="AGK27">
        <v>44459</v>
      </c>
      <c r="AGL27">
        <v>137458</v>
      </c>
      <c r="AGM27">
        <v>470</v>
      </c>
      <c r="AGN27">
        <v>44459</v>
      </c>
      <c r="AGO27">
        <v>137462</v>
      </c>
      <c r="AGP27">
        <v>471</v>
      </c>
      <c r="AGQ27">
        <v>44460</v>
      </c>
      <c r="AGR27">
        <v>137957</v>
      </c>
      <c r="AGS27">
        <v>488</v>
      </c>
      <c r="AGT27">
        <v>44461</v>
      </c>
      <c r="AGU27">
        <v>138459</v>
      </c>
      <c r="AGV27">
        <v>484</v>
      </c>
      <c r="AGW27">
        <v>44463</v>
      </c>
      <c r="AGX27">
        <v>139357</v>
      </c>
      <c r="AGY27">
        <v>427</v>
      </c>
      <c r="AGZ27">
        <v>44465</v>
      </c>
      <c r="AHA27">
        <v>140008</v>
      </c>
      <c r="AHB27">
        <v>353</v>
      </c>
      <c r="AHC27">
        <v>44466</v>
      </c>
      <c r="AHD27">
        <v>140692</v>
      </c>
      <c r="AHE27">
        <v>681</v>
      </c>
      <c r="AHF27">
        <v>44467</v>
      </c>
      <c r="AHG27">
        <v>141332</v>
      </c>
      <c r="AHH27">
        <v>640</v>
      </c>
      <c r="AHI27">
        <v>44468</v>
      </c>
      <c r="AHJ27">
        <v>141997</v>
      </c>
      <c r="AHK27">
        <v>665</v>
      </c>
      <c r="AHL27">
        <v>44472</v>
      </c>
      <c r="AHM27">
        <v>143854</v>
      </c>
      <c r="AHN27">
        <v>377</v>
      </c>
      <c r="AHO27">
        <v>44473</v>
      </c>
      <c r="AHP27">
        <v>144617</v>
      </c>
      <c r="AHQ27">
        <v>737</v>
      </c>
      <c r="AHR27">
        <v>44474</v>
      </c>
      <c r="AHS27">
        <v>145291</v>
      </c>
      <c r="AHT27">
        <v>670</v>
      </c>
      <c r="AHU27">
        <v>44475</v>
      </c>
      <c r="AHV27">
        <v>145819</v>
      </c>
      <c r="AHW27">
        <v>525</v>
      </c>
      <c r="AHX27">
        <v>44476</v>
      </c>
      <c r="AHY27">
        <v>146378</v>
      </c>
      <c r="AHZ27">
        <v>553</v>
      </c>
      <c r="AIA27">
        <v>44480</v>
      </c>
      <c r="AIB27">
        <v>148507</v>
      </c>
      <c r="AIC27">
        <v>694</v>
      </c>
      <c r="AID27">
        <v>44484</v>
      </c>
      <c r="AIE27">
        <v>150871</v>
      </c>
      <c r="AIF27">
        <v>547</v>
      </c>
      <c r="AIG27">
        <v>44488</v>
      </c>
      <c r="AIH27">
        <v>152718</v>
      </c>
      <c r="AII27">
        <v>518</v>
      </c>
      <c r="AIJ27">
        <v>44489</v>
      </c>
      <c r="AIK27">
        <v>153298</v>
      </c>
      <c r="AIL27">
        <v>511</v>
      </c>
      <c r="AIM27">
        <v>44490</v>
      </c>
      <c r="AIN27">
        <v>153928</v>
      </c>
      <c r="AIO27">
        <v>623</v>
      </c>
      <c r="AIP27">
        <v>44493</v>
      </c>
      <c r="AIQ27">
        <v>155257</v>
      </c>
      <c r="AIR27">
        <v>385</v>
      </c>
      <c r="AIS27">
        <v>44494</v>
      </c>
      <c r="AIT27">
        <v>156059</v>
      </c>
      <c r="AIU27">
        <v>788</v>
      </c>
      <c r="AIV27">
        <v>44495</v>
      </c>
      <c r="AIW27">
        <v>156744</v>
      </c>
      <c r="AIX27">
        <v>673</v>
      </c>
      <c r="AIY27">
        <v>44496</v>
      </c>
      <c r="AIZ27">
        <v>157649</v>
      </c>
      <c r="AJA27">
        <v>641</v>
      </c>
      <c r="AJB27">
        <v>44497</v>
      </c>
      <c r="AJC27">
        <v>158222</v>
      </c>
      <c r="AJD27">
        <v>568</v>
      </c>
      <c r="AJE27">
        <v>44500</v>
      </c>
      <c r="AJF27">
        <v>159706</v>
      </c>
      <c r="AJG27">
        <v>436</v>
      </c>
      <c r="AJH27">
        <v>44501</v>
      </c>
      <c r="AJI27">
        <v>160726</v>
      </c>
      <c r="AJJ27">
        <v>968</v>
      </c>
      <c r="AJK27">
        <v>44502</v>
      </c>
      <c r="AJL27">
        <v>161486</v>
      </c>
      <c r="AJM27">
        <v>752</v>
      </c>
      <c r="AJN27">
        <v>44503</v>
      </c>
      <c r="AJO27">
        <v>162265</v>
      </c>
      <c r="AJP27">
        <v>770</v>
      </c>
      <c r="AJQ27">
        <v>44507</v>
      </c>
      <c r="AJR27">
        <v>164912</v>
      </c>
      <c r="AJS27">
        <v>498</v>
      </c>
      <c r="AJT27">
        <v>44508</v>
      </c>
      <c r="AJU27">
        <v>166000</v>
      </c>
      <c r="AJV27">
        <v>1072</v>
      </c>
      <c r="AJW27">
        <v>44509</v>
      </c>
      <c r="AJX27">
        <v>166822</v>
      </c>
      <c r="AJY27">
        <v>822</v>
      </c>
      <c r="AJZ27">
        <v>44510</v>
      </c>
      <c r="AKA27">
        <v>167804</v>
      </c>
      <c r="AKB27">
        <v>965</v>
      </c>
      <c r="AKC27">
        <v>44511</v>
      </c>
      <c r="AKD27">
        <v>168780</v>
      </c>
      <c r="AKE27">
        <v>929</v>
      </c>
      <c r="AKF27">
        <v>44514</v>
      </c>
      <c r="AKG27">
        <v>170906</v>
      </c>
      <c r="AKH27">
        <v>565</v>
      </c>
      <c r="AKI27">
        <v>44517</v>
      </c>
      <c r="AKJ27">
        <v>174513</v>
      </c>
      <c r="AKK27">
        <v>1147</v>
      </c>
      <c r="AKL27">
        <v>44519</v>
      </c>
      <c r="AKM27">
        <v>177027</v>
      </c>
      <c r="AKN27">
        <v>1267</v>
      </c>
      <c r="AKO27">
        <v>44521</v>
      </c>
      <c r="AKP27">
        <v>178405</v>
      </c>
      <c r="AKQ27">
        <v>672</v>
      </c>
      <c r="AKR27">
        <v>44522</v>
      </c>
      <c r="AKS27">
        <v>179836</v>
      </c>
      <c r="AKT27">
        <v>1411</v>
      </c>
      <c r="AKU27">
        <v>44524</v>
      </c>
      <c r="AKV27">
        <v>182415</v>
      </c>
      <c r="AKW27">
        <v>1245</v>
      </c>
      <c r="AKX27">
        <v>44525</v>
      </c>
      <c r="AKY27">
        <v>183690</v>
      </c>
      <c r="AKZ27">
        <v>1261</v>
      </c>
      <c r="ALA27">
        <v>44528</v>
      </c>
      <c r="ALB27">
        <v>186548</v>
      </c>
      <c r="ALC27">
        <v>785</v>
      </c>
      <c r="ALD27">
        <v>44529</v>
      </c>
      <c r="ALE27">
        <v>188224</v>
      </c>
      <c r="ALF27">
        <v>1678</v>
      </c>
      <c r="ALG27">
        <v>44530</v>
      </c>
      <c r="ALH27">
        <v>189651</v>
      </c>
      <c r="ALI27">
        <v>1419</v>
      </c>
      <c r="ALJ27">
        <v>44531</v>
      </c>
      <c r="ALK27">
        <v>191085</v>
      </c>
      <c r="ALL27">
        <v>1433</v>
      </c>
      <c r="ALM27">
        <v>44539</v>
      </c>
      <c r="ALN27">
        <v>202574</v>
      </c>
      <c r="ALO27">
        <v>1696</v>
      </c>
    </row>
    <row r="28" spans="2:1003" s="10" customFormat="1">
      <c r="B28" t="str">
        <f t="shared" ca="1" si="2"/>
        <v>11.12</v>
      </c>
      <c r="C28" s="9">
        <f t="shared" ca="1" si="0"/>
        <v>44541</v>
      </c>
      <c r="D28" s="10">
        <f t="shared" ca="1" si="1"/>
        <v>205532</v>
      </c>
      <c r="E28" s="10">
        <f t="shared" ca="1" si="3"/>
        <v>1115</v>
      </c>
      <c r="F28" s="10">
        <f t="shared" ca="1" si="4"/>
        <v>7</v>
      </c>
      <c r="G28" s="10">
        <f t="shared" ca="1" si="5"/>
        <v>1108</v>
      </c>
      <c r="H28" s="10">
        <f ca="1">SUM(E28:E34)</f>
        <v>8901</v>
      </c>
      <c r="I28" s="10" t="str">
        <f ca="1">TEXT(H28/H21-1,"0 %")</f>
        <v>-13 %</v>
      </c>
      <c r="L28" s="14"/>
      <c r="M28"/>
      <c r="N28" s="17">
        <v>44540</v>
      </c>
      <c r="O28" s="10">
        <v>204368</v>
      </c>
      <c r="P28">
        <v>1794</v>
      </c>
      <c r="Q28" s="17">
        <v>44540</v>
      </c>
      <c r="R28" s="10">
        <v>204368</v>
      </c>
      <c r="S28" s="10">
        <v>1794</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7">
        <v>44289</v>
      </c>
      <c r="RU28" s="10">
        <v>79643</v>
      </c>
      <c r="RV28" s="10">
        <v>316</v>
      </c>
      <c r="RW28" s="17">
        <v>44290</v>
      </c>
      <c r="RX28" s="10">
        <v>79962</v>
      </c>
      <c r="RY28" s="10">
        <v>320</v>
      </c>
      <c r="RZ28" s="17">
        <v>44291</v>
      </c>
      <c r="SA28" s="10">
        <v>80325</v>
      </c>
      <c r="SB28" s="10">
        <v>362</v>
      </c>
      <c r="SC28" s="17">
        <v>44292</v>
      </c>
      <c r="SD28" s="10">
        <v>80862</v>
      </c>
      <c r="SE28" s="10">
        <v>536</v>
      </c>
      <c r="SF28" s="17">
        <v>44293</v>
      </c>
      <c r="SG28" s="10">
        <v>81283</v>
      </c>
      <c r="SH28" s="10">
        <v>421</v>
      </c>
      <c r="SI28" s="17">
        <v>44294</v>
      </c>
      <c r="SJ28" s="10">
        <v>81685</v>
      </c>
      <c r="SK28" s="10">
        <v>400</v>
      </c>
      <c r="SL28" s="17">
        <v>44296</v>
      </c>
      <c r="SM28" s="10">
        <v>82259</v>
      </c>
      <c r="SN28" s="10">
        <v>224</v>
      </c>
      <c r="SO28" s="17">
        <v>44297</v>
      </c>
      <c r="SP28" s="10">
        <v>82515</v>
      </c>
      <c r="SQ28" s="10">
        <v>237</v>
      </c>
      <c r="SR28" s="17">
        <v>44298</v>
      </c>
      <c r="SS28" s="10">
        <v>82923</v>
      </c>
      <c r="ST28" s="10">
        <v>399</v>
      </c>
      <c r="SU28" s="17">
        <v>44299</v>
      </c>
      <c r="SV28" s="10">
        <v>83253</v>
      </c>
      <c r="SW28" s="10">
        <v>328</v>
      </c>
      <c r="SX28" s="17">
        <v>44301</v>
      </c>
      <c r="SY28" s="10">
        <v>83871</v>
      </c>
      <c r="SZ28" s="10">
        <v>270</v>
      </c>
      <c r="TA28" s="17">
        <v>44302</v>
      </c>
      <c r="TB28" s="10">
        <v>84139</v>
      </c>
      <c r="TC28" s="10">
        <v>264</v>
      </c>
      <c r="TD28" s="17">
        <v>44304</v>
      </c>
      <c r="TE28" s="10">
        <v>84472</v>
      </c>
      <c r="TF28" s="10">
        <v>160</v>
      </c>
      <c r="TG28" s="17">
        <v>44305</v>
      </c>
      <c r="TH28" s="10">
        <v>84752</v>
      </c>
      <c r="TI28" s="10">
        <v>282</v>
      </c>
      <c r="TJ28" s="17">
        <v>44306</v>
      </c>
      <c r="TK28" s="10">
        <v>85044</v>
      </c>
      <c r="TL28" s="10">
        <v>290</v>
      </c>
      <c r="TM28" s="17">
        <v>44307</v>
      </c>
      <c r="TN28" s="10">
        <v>85288</v>
      </c>
      <c r="TO28" s="10">
        <v>245</v>
      </c>
      <c r="TP28" s="17">
        <v>44309</v>
      </c>
      <c r="TQ28" s="10">
        <v>85807</v>
      </c>
      <c r="TR28" s="10">
        <v>257</v>
      </c>
      <c r="TS28" s="17">
        <v>44310</v>
      </c>
      <c r="TT28" s="10">
        <v>85965</v>
      </c>
      <c r="TU28" s="10">
        <v>153</v>
      </c>
      <c r="TV28" s="17">
        <v>44310</v>
      </c>
      <c r="TW28" s="10">
        <v>85969</v>
      </c>
      <c r="TX28" s="10">
        <v>152</v>
      </c>
      <c r="TY28" s="17">
        <v>44311</v>
      </c>
      <c r="TZ28" s="10">
        <v>86106</v>
      </c>
      <c r="UA28" s="10">
        <v>139</v>
      </c>
      <c r="UB28" s="17">
        <v>44313</v>
      </c>
      <c r="UC28" s="10">
        <v>86577</v>
      </c>
      <c r="UD28" s="10">
        <v>230</v>
      </c>
      <c r="UE28" s="17">
        <v>44313</v>
      </c>
      <c r="UF28" s="10">
        <v>86578</v>
      </c>
      <c r="UG28" s="10">
        <v>231</v>
      </c>
      <c r="UH28" s="17">
        <v>44314</v>
      </c>
      <c r="UI28" s="10">
        <v>86856</v>
      </c>
      <c r="UJ28" s="10">
        <v>275</v>
      </c>
      <c r="UK28" s="17">
        <v>44315</v>
      </c>
      <c r="UL28" s="10">
        <v>87059</v>
      </c>
      <c r="UM28" s="10">
        <v>198</v>
      </c>
      <c r="UN28" s="17">
        <v>44319</v>
      </c>
      <c r="UO28" s="10">
        <v>87803</v>
      </c>
      <c r="UP28" s="10">
        <v>301</v>
      </c>
      <c r="UQ28" s="17">
        <v>44320</v>
      </c>
      <c r="UR28" s="10">
        <v>88033</v>
      </c>
      <c r="US28" s="10">
        <v>206</v>
      </c>
      <c r="UT28" s="17">
        <v>44321</v>
      </c>
      <c r="UU28" s="10">
        <v>88294</v>
      </c>
      <c r="UV28" s="10">
        <v>271</v>
      </c>
      <c r="UW28" s="17">
        <v>44322</v>
      </c>
      <c r="UX28" s="10">
        <v>88528</v>
      </c>
      <c r="UY28" s="10">
        <v>236</v>
      </c>
      <c r="UZ28" s="17">
        <v>44324</v>
      </c>
      <c r="VA28" s="10">
        <v>88875</v>
      </c>
      <c r="VB28" s="10">
        <v>129</v>
      </c>
      <c r="VC28" s="17">
        <v>44324</v>
      </c>
      <c r="VD28" s="10">
        <v>88871</v>
      </c>
      <c r="VE28" s="10">
        <v>130</v>
      </c>
      <c r="VF28" s="17">
        <v>44325</v>
      </c>
      <c r="VG28" s="10">
        <v>89005</v>
      </c>
      <c r="VH28" s="10">
        <v>130</v>
      </c>
      <c r="VI28" s="17">
        <v>44327</v>
      </c>
      <c r="VJ28" s="10">
        <v>89467</v>
      </c>
      <c r="VK28" s="10">
        <v>210</v>
      </c>
      <c r="VL28" s="17">
        <v>44327</v>
      </c>
      <c r="VM28" s="10">
        <v>89463</v>
      </c>
      <c r="VN28" s="10">
        <v>210</v>
      </c>
      <c r="VO28" s="17">
        <v>44328</v>
      </c>
      <c r="VP28" s="10">
        <v>89717</v>
      </c>
      <c r="VQ28" s="10">
        <v>257</v>
      </c>
      <c r="VR28" s="17">
        <v>44329</v>
      </c>
      <c r="VS28" s="10">
        <v>89870</v>
      </c>
      <c r="VT28" s="10">
        <v>155</v>
      </c>
      <c r="VU28" s="17">
        <v>44331</v>
      </c>
      <c r="VV28" s="10">
        <v>90278</v>
      </c>
      <c r="VW28" s="10">
        <v>157</v>
      </c>
      <c r="VX28" s="17">
        <v>44331</v>
      </c>
      <c r="VY28" s="10">
        <v>90281</v>
      </c>
      <c r="VZ28" s="10">
        <v>157</v>
      </c>
      <c r="WA28" s="17">
        <v>44332</v>
      </c>
      <c r="WB28" s="10">
        <v>90416</v>
      </c>
      <c r="WC28" s="10">
        <v>131</v>
      </c>
      <c r="WD28" s="17">
        <v>44333</v>
      </c>
      <c r="WE28" s="10">
        <v>90702</v>
      </c>
      <c r="WF28" s="10">
        <v>285</v>
      </c>
      <c r="WG28" s="17">
        <v>44334</v>
      </c>
      <c r="WH28" s="10">
        <v>90920</v>
      </c>
      <c r="WI28" s="10">
        <v>217</v>
      </c>
      <c r="WJ28" s="17">
        <v>44336</v>
      </c>
      <c r="WK28" s="10">
        <v>91345</v>
      </c>
      <c r="WL28" s="10">
        <v>199</v>
      </c>
      <c r="WM28" s="17">
        <v>44336</v>
      </c>
      <c r="WN28" s="10">
        <v>91365</v>
      </c>
      <c r="WO28" s="10">
        <v>214</v>
      </c>
      <c r="WP28" s="17">
        <v>44339</v>
      </c>
      <c r="WQ28" s="10">
        <v>91733</v>
      </c>
      <c r="WR28" s="10">
        <v>92</v>
      </c>
      <c r="WS28" s="17">
        <v>44340</v>
      </c>
      <c r="WT28" s="10">
        <v>91926</v>
      </c>
      <c r="WU28" s="10">
        <v>189</v>
      </c>
      <c r="WV28" s="17">
        <v>44341</v>
      </c>
      <c r="WW28" s="10">
        <v>92080</v>
      </c>
      <c r="WX28" s="10">
        <v>150</v>
      </c>
      <c r="WY28" s="17">
        <v>44342</v>
      </c>
      <c r="WZ28" s="10">
        <v>92228</v>
      </c>
      <c r="XA28" s="10">
        <v>142</v>
      </c>
      <c r="XB28" s="17">
        <v>44343</v>
      </c>
      <c r="XC28" s="10">
        <v>92353</v>
      </c>
      <c r="XD28" s="10">
        <v>126</v>
      </c>
      <c r="XE28" s="17">
        <v>44345</v>
      </c>
      <c r="XF28" s="10">
        <v>92554</v>
      </c>
      <c r="XG28" s="10">
        <v>65</v>
      </c>
      <c r="XH28" s="17">
        <v>44345</v>
      </c>
      <c r="XI28" s="10">
        <v>92560</v>
      </c>
      <c r="XJ28" s="10">
        <v>65</v>
      </c>
      <c r="XK28" s="17">
        <v>44346</v>
      </c>
      <c r="XL28" s="10">
        <v>92640</v>
      </c>
      <c r="XM28" s="10">
        <v>79</v>
      </c>
      <c r="XN28" s="17">
        <v>44347</v>
      </c>
      <c r="XO28" s="10">
        <v>92785</v>
      </c>
      <c r="XP28" s="10">
        <v>143</v>
      </c>
      <c r="XQ28" s="17">
        <v>44348</v>
      </c>
      <c r="XR28" s="10">
        <v>92910</v>
      </c>
      <c r="XS28" s="10">
        <v>123</v>
      </c>
      <c r="XT28" s="17">
        <v>44349</v>
      </c>
      <c r="XU28" s="10">
        <v>93031</v>
      </c>
      <c r="XV28" s="10">
        <v>119</v>
      </c>
      <c r="XW28" s="17">
        <v>44350</v>
      </c>
      <c r="XX28" s="10">
        <v>93143</v>
      </c>
      <c r="XY28" s="10">
        <v>110</v>
      </c>
      <c r="XZ28" s="17">
        <v>44351</v>
      </c>
      <c r="YA28" s="10">
        <v>93242</v>
      </c>
      <c r="YB28" s="10">
        <v>98</v>
      </c>
      <c r="YC28" s="17">
        <v>44353</v>
      </c>
      <c r="YD28" s="10">
        <v>93370</v>
      </c>
      <c r="YE28" s="10">
        <v>60</v>
      </c>
      <c r="YF28" s="17">
        <v>44354</v>
      </c>
      <c r="YG28" s="10">
        <v>93512</v>
      </c>
      <c r="YH28" s="10">
        <v>141</v>
      </c>
      <c r="YI28" s="17">
        <v>44355</v>
      </c>
      <c r="YJ28" s="10">
        <v>93617</v>
      </c>
      <c r="YK28" s="10">
        <v>102</v>
      </c>
      <c r="YL28" s="17">
        <v>44356</v>
      </c>
      <c r="YM28" s="10">
        <v>93699</v>
      </c>
      <c r="YN28" s="10">
        <v>83</v>
      </c>
      <c r="YO28" s="17">
        <v>44357</v>
      </c>
      <c r="YP28" s="10">
        <v>93772</v>
      </c>
      <c r="YQ28" s="10">
        <v>76</v>
      </c>
      <c r="YR28" s="17">
        <v>44358</v>
      </c>
      <c r="YS28" s="10">
        <v>93849</v>
      </c>
      <c r="YT28" s="10">
        <v>72</v>
      </c>
      <c r="YU28" s="17">
        <v>44360</v>
      </c>
      <c r="YV28" s="10">
        <v>93945</v>
      </c>
      <c r="YW28" s="10">
        <v>46</v>
      </c>
      <c r="YX28" s="17">
        <v>44361</v>
      </c>
      <c r="YY28" s="10">
        <v>94032</v>
      </c>
      <c r="YZ28" s="10">
        <v>88</v>
      </c>
      <c r="ZA28" s="17">
        <v>44362</v>
      </c>
      <c r="ZB28" s="10">
        <v>94114</v>
      </c>
      <c r="ZC28" s="10">
        <v>78</v>
      </c>
      <c r="ZD28" s="17">
        <v>44373</v>
      </c>
      <c r="ZE28" s="10">
        <v>94489</v>
      </c>
      <c r="ZF28" s="10">
        <v>0</v>
      </c>
      <c r="ZG28" s="17">
        <v>44374</v>
      </c>
      <c r="ZH28" s="10">
        <v>95453</v>
      </c>
      <c r="ZI28" s="10">
        <v>118</v>
      </c>
      <c r="ZJ28" s="17">
        <v>44375</v>
      </c>
      <c r="ZK28" s="10">
        <v>95683</v>
      </c>
      <c r="ZL28" s="10">
        <v>230</v>
      </c>
      <c r="ZM28" s="17">
        <v>44376</v>
      </c>
      <c r="ZN28" s="10">
        <v>95946</v>
      </c>
      <c r="ZO28" s="10">
        <v>259</v>
      </c>
      <c r="ZP28" s="17">
        <v>44377</v>
      </c>
      <c r="ZQ28" s="10">
        <v>96130</v>
      </c>
      <c r="ZR28" s="10">
        <v>194</v>
      </c>
      <c r="ZS28" s="17">
        <v>44381</v>
      </c>
      <c r="ZT28" s="10">
        <v>96728</v>
      </c>
      <c r="ZU28" s="10">
        <v>94</v>
      </c>
      <c r="ZV28" s="17">
        <v>44382</v>
      </c>
      <c r="ZW28" s="10">
        <v>96998</v>
      </c>
      <c r="ZX28" s="10">
        <v>241</v>
      </c>
      <c r="ZY28" s="17">
        <v>44383</v>
      </c>
      <c r="ZZ28" s="10">
        <v>97257</v>
      </c>
      <c r="AAA28" s="10">
        <v>258</v>
      </c>
      <c r="AAB28" s="17">
        <v>44384</v>
      </c>
      <c r="AAC28" s="10">
        <v>97540</v>
      </c>
      <c r="AAD28" s="10">
        <v>273</v>
      </c>
      <c r="AAE28" s="17">
        <v>44385</v>
      </c>
      <c r="AAF28" s="10">
        <v>97823</v>
      </c>
      <c r="AAG28" s="10">
        <v>280</v>
      </c>
      <c r="AAH28" s="17">
        <v>44388</v>
      </c>
      <c r="AAI28" s="10">
        <v>98434</v>
      </c>
      <c r="AAJ28" s="10">
        <v>156</v>
      </c>
      <c r="AAK28" s="17">
        <v>44389</v>
      </c>
      <c r="AAL28" s="10">
        <v>98795</v>
      </c>
      <c r="AAM28" s="10">
        <v>333</v>
      </c>
      <c r="AAN28" s="17">
        <v>44391</v>
      </c>
      <c r="AAO28" s="10">
        <v>99501</v>
      </c>
      <c r="AAP28" s="10">
        <v>353</v>
      </c>
      <c r="AAQ28" s="17">
        <v>44391</v>
      </c>
      <c r="AAR28" s="10">
        <v>99538</v>
      </c>
      <c r="AAS28" s="10">
        <v>382</v>
      </c>
      <c r="AAT28" s="17">
        <v>44392</v>
      </c>
      <c r="AAU28" s="10">
        <v>99907</v>
      </c>
      <c r="AAV28" s="10">
        <v>384</v>
      </c>
      <c r="AAW28" s="17">
        <v>44394</v>
      </c>
      <c r="AAX28" s="10">
        <v>100465</v>
      </c>
      <c r="AAY28" s="10">
        <v>205</v>
      </c>
      <c r="AAZ28" s="17">
        <v>44394</v>
      </c>
      <c r="ABA28" s="10">
        <v>100477</v>
      </c>
      <c r="ABB28" s="10">
        <v>208</v>
      </c>
      <c r="ABC28" s="17">
        <v>44395</v>
      </c>
      <c r="ABD28" s="10">
        <v>100720</v>
      </c>
      <c r="ABE28" s="10">
        <v>248</v>
      </c>
      <c r="ABF28" s="17">
        <v>44397</v>
      </c>
      <c r="ABG28" s="10">
        <v>101563</v>
      </c>
      <c r="ABH28" s="10">
        <v>424</v>
      </c>
      <c r="ABI28" s="17">
        <v>44397</v>
      </c>
      <c r="ABJ28" s="10">
        <v>101567</v>
      </c>
      <c r="ABK28" s="10">
        <v>425</v>
      </c>
      <c r="ABL28" s="17">
        <v>44398</v>
      </c>
      <c r="ABM28" s="10">
        <v>102025</v>
      </c>
      <c r="ABN28" s="10">
        <v>466</v>
      </c>
      <c r="ABO28" s="17">
        <v>44399</v>
      </c>
      <c r="ABP28" s="10">
        <v>102509</v>
      </c>
      <c r="ABQ28" s="10">
        <v>488</v>
      </c>
      <c r="ABR28" s="17">
        <v>44400</v>
      </c>
      <c r="ABS28" s="10">
        <v>102987</v>
      </c>
      <c r="ABT28" s="10">
        <v>475</v>
      </c>
      <c r="ABU28" s="17">
        <v>44401</v>
      </c>
      <c r="ABV28" s="10">
        <v>103291</v>
      </c>
      <c r="ABW28" s="10">
        <v>298</v>
      </c>
      <c r="ABX28" s="17">
        <v>44402</v>
      </c>
      <c r="ABY28" s="10">
        <v>103654</v>
      </c>
      <c r="ABZ28" s="10">
        <v>357</v>
      </c>
      <c r="ACA28" s="17">
        <v>44403</v>
      </c>
      <c r="ACB28" s="10">
        <v>104426</v>
      </c>
      <c r="ACC28" s="10">
        <v>771</v>
      </c>
      <c r="ACD28" s="17">
        <v>44404</v>
      </c>
      <c r="ACE28" s="10">
        <v>105111</v>
      </c>
      <c r="ACF28" s="10">
        <v>679</v>
      </c>
      <c r="ACG28" s="17">
        <v>44405</v>
      </c>
      <c r="ACH28" s="10">
        <v>105938</v>
      </c>
      <c r="ACI28" s="10">
        <v>843</v>
      </c>
      <c r="ACJ28" s="17">
        <v>44406</v>
      </c>
      <c r="ACK28" s="10">
        <v>106700</v>
      </c>
      <c r="ACL28" s="10">
        <v>766</v>
      </c>
      <c r="ACM28" s="17">
        <v>44409</v>
      </c>
      <c r="ACN28" s="10">
        <v>108259</v>
      </c>
      <c r="ACO28" s="10">
        <v>471</v>
      </c>
      <c r="ACP28" s="17">
        <v>44410</v>
      </c>
      <c r="ACQ28" s="10">
        <v>109171</v>
      </c>
      <c r="ACR28" s="10">
        <v>897</v>
      </c>
      <c r="ACS28" s="17">
        <v>44411</v>
      </c>
      <c r="ACT28" s="10">
        <v>110015</v>
      </c>
      <c r="ACU28" s="10">
        <v>841</v>
      </c>
      <c r="ACV28" s="17">
        <v>44412</v>
      </c>
      <c r="ACW28" s="10">
        <v>110780</v>
      </c>
      <c r="ACX28" s="10">
        <v>780</v>
      </c>
      <c r="ACY28" s="17">
        <v>44413</v>
      </c>
      <c r="ACZ28" s="10">
        <v>111644</v>
      </c>
      <c r="ADA28" s="10">
        <v>860</v>
      </c>
      <c r="ADB28" s="17">
        <v>44414</v>
      </c>
      <c r="ADC28" s="10">
        <v>112333</v>
      </c>
      <c r="ADD28" s="10">
        <v>683</v>
      </c>
      <c r="ADE28" s="17">
        <v>44415</v>
      </c>
      <c r="ADF28" s="10">
        <v>112808</v>
      </c>
      <c r="ADG28" s="10">
        <v>473</v>
      </c>
      <c r="ADH28" s="17">
        <v>44416</v>
      </c>
      <c r="ADI28" s="10">
        <v>113347</v>
      </c>
      <c r="ADJ28" s="10">
        <v>531</v>
      </c>
      <c r="ADK28" s="17">
        <v>44417</v>
      </c>
      <c r="ADL28" s="10">
        <v>114355</v>
      </c>
      <c r="ADM28" s="10">
        <v>1006</v>
      </c>
      <c r="ADN28" s="17">
        <v>44418</v>
      </c>
      <c r="ADO28" s="10">
        <v>115186</v>
      </c>
      <c r="ADP28" s="10">
        <v>831</v>
      </c>
      <c r="ADQ28" s="17">
        <v>44419</v>
      </c>
      <c r="ADR28" s="10">
        <v>116121</v>
      </c>
      <c r="ADS28" s="10">
        <v>923</v>
      </c>
      <c r="ADT28" s="17">
        <v>44420</v>
      </c>
      <c r="ADU28" s="10">
        <v>116935</v>
      </c>
      <c r="ADV28" s="10">
        <v>790</v>
      </c>
      <c r="ADW28" s="17">
        <v>44423</v>
      </c>
      <c r="ADX28" s="10">
        <v>118537</v>
      </c>
      <c r="ADY28" s="10">
        <v>434</v>
      </c>
      <c r="ADZ28" s="17">
        <v>44424</v>
      </c>
      <c r="AEA28" s="10">
        <v>119318</v>
      </c>
      <c r="AEB28" s="10">
        <v>770</v>
      </c>
      <c r="AEC28" s="17">
        <v>44425</v>
      </c>
      <c r="AED28" s="10">
        <v>120092</v>
      </c>
      <c r="AEE28" s="10">
        <v>771</v>
      </c>
      <c r="AEF28" s="17">
        <v>44426</v>
      </c>
      <c r="AEG28" s="10">
        <v>120789</v>
      </c>
      <c r="AEH28" s="10">
        <v>701</v>
      </c>
      <c r="AEI28" s="17">
        <v>44427</v>
      </c>
      <c r="AEJ28" s="10">
        <v>121411</v>
      </c>
      <c r="AEK28" s="10">
        <v>656</v>
      </c>
      <c r="AEL28" s="17">
        <v>44430</v>
      </c>
      <c r="AEM28" s="10">
        <v>122927</v>
      </c>
      <c r="AEN28" s="10">
        <v>460</v>
      </c>
      <c r="AEO28" s="17">
        <v>44431</v>
      </c>
      <c r="AEP28" s="10">
        <v>123613</v>
      </c>
      <c r="AEQ28" s="10">
        <v>662</v>
      </c>
      <c r="AER28" s="17">
        <v>44432</v>
      </c>
      <c r="AES28" s="10">
        <v>124202</v>
      </c>
      <c r="AET28" s="10">
        <v>594</v>
      </c>
      <c r="AEU28" s="17">
        <v>44433</v>
      </c>
      <c r="AEV28" s="10">
        <v>124893</v>
      </c>
      <c r="AEW28" s="10">
        <v>692</v>
      </c>
      <c r="AEX28" s="17">
        <v>44435</v>
      </c>
      <c r="AEY28" s="10">
        <v>126177</v>
      </c>
      <c r="AEZ28" s="10">
        <v>689</v>
      </c>
      <c r="AFA28" s="17">
        <v>44436</v>
      </c>
      <c r="AFB28" s="10">
        <v>126651</v>
      </c>
      <c r="AFC28" s="10">
        <v>436</v>
      </c>
      <c r="AFD28" s="10">
        <v>44441</v>
      </c>
      <c r="AFE28" s="10">
        <v>129191</v>
      </c>
      <c r="AFF28" s="10">
        <v>280</v>
      </c>
      <c r="AFG28" s="10">
        <v>44442</v>
      </c>
      <c r="AFH28" s="10">
        <v>130330</v>
      </c>
      <c r="AFI28" s="10">
        <v>511</v>
      </c>
      <c r="AFJ28" s="10">
        <v>44444</v>
      </c>
      <c r="AFK28" s="10">
        <v>131026</v>
      </c>
      <c r="AFL28" s="10">
        <v>345</v>
      </c>
      <c r="AFM28" s="10">
        <v>44447</v>
      </c>
      <c r="AFN28" s="10">
        <v>132568</v>
      </c>
      <c r="AFO28" s="10">
        <v>444</v>
      </c>
      <c r="AFP28" s="10">
        <v>44448</v>
      </c>
      <c r="AFQ28" s="10">
        <v>133068</v>
      </c>
      <c r="AFR28" s="10">
        <v>459</v>
      </c>
      <c r="AFS28" s="10">
        <v>44450</v>
      </c>
      <c r="AFT28" s="10">
        <v>133889</v>
      </c>
      <c r="AFU28" s="10">
        <v>329</v>
      </c>
      <c r="AFV28" s="10">
        <v>44451</v>
      </c>
      <c r="AFW28" s="10">
        <v>134171</v>
      </c>
      <c r="AFX28" s="10">
        <v>277</v>
      </c>
      <c r="AFY28" s="10">
        <v>44453</v>
      </c>
      <c r="AFZ28" s="10">
        <v>135171</v>
      </c>
      <c r="AGA28" s="10">
        <v>472</v>
      </c>
      <c r="AGB28" s="10">
        <v>44454</v>
      </c>
      <c r="AGC28" s="10">
        <v>135639</v>
      </c>
      <c r="AGD28" s="10">
        <v>456</v>
      </c>
      <c r="AGE28" s="10">
        <v>44457</v>
      </c>
      <c r="AGF28" s="10">
        <v>136701</v>
      </c>
      <c r="AGG28" s="10">
        <v>240</v>
      </c>
      <c r="AGH28" s="10">
        <v>44458</v>
      </c>
      <c r="AGI28" s="10">
        <v>136986</v>
      </c>
      <c r="AGJ28" s="10">
        <v>277</v>
      </c>
      <c r="AGK28" s="10">
        <v>44460</v>
      </c>
      <c r="AGL28" s="10">
        <v>137941</v>
      </c>
      <c r="AGM28" s="10">
        <v>483</v>
      </c>
      <c r="AGN28" s="10">
        <v>44460</v>
      </c>
      <c r="AGO28" s="10">
        <v>137946</v>
      </c>
      <c r="AGP28" s="10">
        <v>484</v>
      </c>
      <c r="AGQ28" s="10">
        <v>44461</v>
      </c>
      <c r="AGR28" s="10">
        <v>138442</v>
      </c>
      <c r="AGS28" s="10">
        <v>485</v>
      </c>
      <c r="AGT28" s="10">
        <v>44462</v>
      </c>
      <c r="AGU28" s="10">
        <v>138934</v>
      </c>
      <c r="AGV28" s="10">
        <v>475</v>
      </c>
      <c r="AGW28" s="10">
        <v>44464</v>
      </c>
      <c r="AGX28" s="10">
        <v>139652</v>
      </c>
      <c r="AGY28" s="10">
        <v>295</v>
      </c>
      <c r="AGZ28" s="10">
        <v>44466</v>
      </c>
      <c r="AHA28" s="10">
        <v>140689</v>
      </c>
      <c r="AHB28" s="10">
        <v>681</v>
      </c>
      <c r="AHC28" s="10">
        <v>44467</v>
      </c>
      <c r="AHD28" s="10">
        <v>141332</v>
      </c>
      <c r="AHE28" s="10">
        <v>640</v>
      </c>
      <c r="AHF28" s="10">
        <v>44468</v>
      </c>
      <c r="AHG28" s="10">
        <v>141994</v>
      </c>
      <c r="AHH28" s="10">
        <v>662</v>
      </c>
      <c r="AHI28" s="10">
        <v>44469</v>
      </c>
      <c r="AHJ28" s="10">
        <v>142601</v>
      </c>
      <c r="AHK28" s="10">
        <v>604</v>
      </c>
      <c r="AHL28" s="10">
        <v>44473</v>
      </c>
      <c r="AHM28" s="10">
        <v>144560</v>
      </c>
      <c r="AHN28" s="10">
        <v>706</v>
      </c>
      <c r="AHO28" s="10">
        <v>44474</v>
      </c>
      <c r="AHP28" s="10">
        <v>145285</v>
      </c>
      <c r="AHQ28" s="10">
        <v>668</v>
      </c>
      <c r="AHR28" s="10">
        <v>44475</v>
      </c>
      <c r="AHS28" s="10">
        <v>145816</v>
      </c>
      <c r="AHT28" s="10">
        <v>525</v>
      </c>
      <c r="AHU28" s="10">
        <v>44476</v>
      </c>
      <c r="AHV28" s="10">
        <v>146372</v>
      </c>
      <c r="AHW28" s="10">
        <v>553</v>
      </c>
      <c r="AHX28" s="10">
        <v>44477</v>
      </c>
      <c r="AHY28" s="10">
        <v>146968</v>
      </c>
      <c r="AHZ28" s="10">
        <v>590</v>
      </c>
      <c r="AIA28" s="10">
        <v>44481</v>
      </c>
      <c r="AIB28" s="10">
        <v>149108</v>
      </c>
      <c r="AIC28" s="10">
        <v>601</v>
      </c>
      <c r="AID28" s="10">
        <v>44485</v>
      </c>
      <c r="AIE28" s="10">
        <v>151199</v>
      </c>
      <c r="AIF28" s="10">
        <v>328</v>
      </c>
      <c r="AIG28" s="10">
        <v>44489</v>
      </c>
      <c r="AIH28" s="10">
        <v>153085</v>
      </c>
      <c r="AII28" s="10">
        <v>367</v>
      </c>
      <c r="AIJ28" s="10">
        <v>44490</v>
      </c>
      <c r="AIK28" s="10">
        <v>153920</v>
      </c>
      <c r="AIL28" s="10">
        <v>622</v>
      </c>
      <c r="AIM28" s="10">
        <v>44491</v>
      </c>
      <c r="AIN28" s="10">
        <v>154499</v>
      </c>
      <c r="AIO28" s="10">
        <v>571</v>
      </c>
      <c r="AIP28" s="10">
        <v>44494</v>
      </c>
      <c r="AIQ28" s="10">
        <v>156027</v>
      </c>
      <c r="AIR28" s="10">
        <v>770</v>
      </c>
      <c r="AIS28" s="10">
        <v>44495</v>
      </c>
      <c r="AIT28" s="10">
        <v>156729</v>
      </c>
      <c r="AIU28" s="10">
        <v>670</v>
      </c>
      <c r="AIV28" s="10">
        <v>44496</v>
      </c>
      <c r="AIW28" s="10">
        <v>157385</v>
      </c>
      <c r="AIX28" s="10">
        <v>641</v>
      </c>
      <c r="AIY28" s="10">
        <v>44497</v>
      </c>
      <c r="AIZ28" s="10">
        <v>158215</v>
      </c>
      <c r="AJA28" s="10">
        <v>566</v>
      </c>
      <c r="AJB28" s="10">
        <v>44498</v>
      </c>
      <c r="AJC28" s="10">
        <v>158865</v>
      </c>
      <c r="AJD28" s="10">
        <v>643</v>
      </c>
      <c r="AJE28" s="10">
        <v>44501</v>
      </c>
      <c r="AJF28" s="10">
        <v>160671</v>
      </c>
      <c r="AJG28" s="10">
        <v>965</v>
      </c>
      <c r="AJH28" s="10">
        <v>44502</v>
      </c>
      <c r="AJI28" s="10">
        <v>161479</v>
      </c>
      <c r="AJJ28" s="10">
        <v>753</v>
      </c>
      <c r="AJK28" s="10">
        <v>44503</v>
      </c>
      <c r="AJL28" s="10">
        <v>162257</v>
      </c>
      <c r="AJM28" s="10">
        <v>771</v>
      </c>
      <c r="AJN28" s="10">
        <v>44504</v>
      </c>
      <c r="AJO28" s="10">
        <v>163065</v>
      </c>
      <c r="AJP28" s="10">
        <v>800</v>
      </c>
      <c r="AJQ28" s="10">
        <v>44508</v>
      </c>
      <c r="AJR28" s="10">
        <v>165967</v>
      </c>
      <c r="AJS28" s="10">
        <v>1055</v>
      </c>
      <c r="AJT28" s="10">
        <v>44509</v>
      </c>
      <c r="AJU28" s="10">
        <v>166821</v>
      </c>
      <c r="AJV28" s="10">
        <v>821</v>
      </c>
      <c r="AJW28" s="10">
        <v>44510</v>
      </c>
      <c r="AJX28" s="10">
        <v>167784</v>
      </c>
      <c r="AJY28" s="10">
        <v>962</v>
      </c>
      <c r="AJZ28" s="10">
        <v>44511</v>
      </c>
      <c r="AKA28" s="10">
        <v>168732</v>
      </c>
      <c r="AKB28" s="10">
        <v>928</v>
      </c>
      <c r="AKC28" s="10">
        <v>44512</v>
      </c>
      <c r="AKD28" s="10">
        <v>169719</v>
      </c>
      <c r="AKE28" s="10">
        <v>939</v>
      </c>
      <c r="AKF28" s="10">
        <v>44515</v>
      </c>
      <c r="AKG28" s="10">
        <v>172145</v>
      </c>
      <c r="AKH28" s="10">
        <v>1239</v>
      </c>
      <c r="AKI28" s="10">
        <v>44518</v>
      </c>
      <c r="AKJ28" s="10">
        <v>175648</v>
      </c>
      <c r="AKK28" s="10">
        <v>1135</v>
      </c>
      <c r="AKL28" s="10">
        <v>44520</v>
      </c>
      <c r="AKM28" s="10">
        <v>177588</v>
      </c>
      <c r="AKN28" s="10">
        <v>561</v>
      </c>
      <c r="AKO28" s="10">
        <v>44522</v>
      </c>
      <c r="AKP28" s="10">
        <v>179807</v>
      </c>
      <c r="AKQ28" s="10">
        <v>1402</v>
      </c>
      <c r="AKR28" s="10">
        <v>44523</v>
      </c>
      <c r="AKS28" s="10">
        <v>181170</v>
      </c>
      <c r="AKT28" s="10">
        <v>1334</v>
      </c>
      <c r="AKU28" s="10">
        <v>44525</v>
      </c>
      <c r="AKV28" s="10">
        <v>183644</v>
      </c>
      <c r="AKW28" s="10">
        <v>1229</v>
      </c>
      <c r="AKX28" s="10">
        <v>44526</v>
      </c>
      <c r="AKY28" s="10">
        <v>184977</v>
      </c>
      <c r="AKZ28" s="10">
        <v>1287</v>
      </c>
      <c r="ALA28" s="10">
        <v>44529</v>
      </c>
      <c r="ALB28" s="10">
        <v>188226</v>
      </c>
      <c r="ALC28" s="10">
        <v>1678</v>
      </c>
      <c r="ALD28" s="10">
        <v>44530</v>
      </c>
      <c r="ALE28" s="10">
        <v>189635</v>
      </c>
      <c r="ALF28" s="10">
        <v>1411</v>
      </c>
      <c r="ALG28" s="10">
        <v>44531</v>
      </c>
      <c r="ALH28" s="10">
        <v>191085</v>
      </c>
      <c r="ALI28" s="10">
        <v>1434</v>
      </c>
      <c r="ALJ28" s="10">
        <v>44532</v>
      </c>
      <c r="ALK28" s="10">
        <v>192513</v>
      </c>
      <c r="ALL28" s="10">
        <v>1428</v>
      </c>
      <c r="ALM28" s="10">
        <v>44540</v>
      </c>
      <c r="ALN28" s="10">
        <v>204368</v>
      </c>
      <c r="ALO28" s="10">
        <v>1794</v>
      </c>
    </row>
    <row r="29" spans="2:1003">
      <c r="B29" t="str">
        <f t="shared" ca="1" si="2"/>
        <v>12.12</v>
      </c>
      <c r="C29" s="4">
        <f t="shared" ca="1" si="0"/>
        <v>44542</v>
      </c>
      <c r="D29" s="11">
        <f t="shared" ca="1" si="1"/>
        <v>206798</v>
      </c>
      <c r="E29">
        <f t="shared" ca="1" si="3"/>
        <v>1266</v>
      </c>
      <c r="F29" s="11">
        <f t="shared" ca="1" si="4"/>
        <v>2</v>
      </c>
      <c r="G29" s="11">
        <f t="shared" ca="1" si="5"/>
        <v>1264</v>
      </c>
      <c r="I29" s="10"/>
      <c r="K29" s="13"/>
      <c r="L29" s="3"/>
      <c r="N29" s="16">
        <v>44541</v>
      </c>
      <c r="O29">
        <v>205476</v>
      </c>
      <c r="P29">
        <v>1108</v>
      </c>
      <c r="Q29" s="16">
        <v>44541</v>
      </c>
      <c r="R29">
        <v>205476</v>
      </c>
      <c r="S29">
        <v>1108</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s="16">
        <v>44290</v>
      </c>
      <c r="RU29">
        <v>79963</v>
      </c>
      <c r="RV29">
        <v>320</v>
      </c>
      <c r="RW29" s="16">
        <v>44291</v>
      </c>
      <c r="RX29">
        <v>80323</v>
      </c>
      <c r="RY29">
        <v>361</v>
      </c>
      <c r="RZ29" s="16">
        <v>44292</v>
      </c>
      <c r="SA29">
        <v>80860</v>
      </c>
      <c r="SB29">
        <v>535</v>
      </c>
      <c r="SC29" s="16">
        <v>44293</v>
      </c>
      <c r="SD29">
        <v>81263</v>
      </c>
      <c r="SE29">
        <v>401</v>
      </c>
      <c r="SF29" s="16">
        <v>44294</v>
      </c>
      <c r="SG29">
        <v>81662</v>
      </c>
      <c r="SH29">
        <v>379</v>
      </c>
      <c r="SI29" s="16">
        <v>44295</v>
      </c>
      <c r="SJ29">
        <v>82029</v>
      </c>
      <c r="SK29">
        <v>344</v>
      </c>
      <c r="SL29" s="16">
        <v>44297</v>
      </c>
      <c r="SM29">
        <v>82488</v>
      </c>
      <c r="SN29">
        <v>229</v>
      </c>
      <c r="SO29" s="16">
        <v>44298</v>
      </c>
      <c r="SP29">
        <v>82913</v>
      </c>
      <c r="SQ29">
        <v>398</v>
      </c>
      <c r="SR29" s="16">
        <v>44299</v>
      </c>
      <c r="SS29">
        <v>83249</v>
      </c>
      <c r="ST29">
        <v>326</v>
      </c>
      <c r="SU29" s="16">
        <v>44300</v>
      </c>
      <c r="SV29">
        <v>83572</v>
      </c>
      <c r="SW29">
        <v>319</v>
      </c>
      <c r="SX29" s="16">
        <v>44302</v>
      </c>
      <c r="SY29">
        <v>84113</v>
      </c>
      <c r="SZ29">
        <v>242</v>
      </c>
      <c r="TA29" s="16">
        <v>44303</v>
      </c>
      <c r="TB29">
        <v>84309</v>
      </c>
      <c r="TC29">
        <v>170</v>
      </c>
      <c r="TD29" s="16">
        <v>44305</v>
      </c>
      <c r="TE29">
        <v>84755</v>
      </c>
      <c r="TF29">
        <v>283</v>
      </c>
      <c r="TG29" s="16">
        <v>44306</v>
      </c>
      <c r="TH29">
        <v>85042</v>
      </c>
      <c r="TI29">
        <v>290</v>
      </c>
      <c r="TJ29" s="16">
        <v>44307</v>
      </c>
      <c r="TK29">
        <v>85259</v>
      </c>
      <c r="TL29">
        <v>215</v>
      </c>
      <c r="TM29" s="16">
        <v>44308</v>
      </c>
      <c r="TN29">
        <v>85538</v>
      </c>
      <c r="TO29">
        <v>250</v>
      </c>
      <c r="TP29" s="16">
        <v>44310</v>
      </c>
      <c r="TQ29">
        <v>85960</v>
      </c>
      <c r="TR29">
        <v>153</v>
      </c>
      <c r="TS29" s="16">
        <v>44311</v>
      </c>
      <c r="TT29">
        <v>86103</v>
      </c>
      <c r="TU29">
        <v>138</v>
      </c>
      <c r="TV29" s="16">
        <v>44311</v>
      </c>
      <c r="TW29">
        <v>86108</v>
      </c>
      <c r="TX29">
        <v>139</v>
      </c>
      <c r="TY29" s="16">
        <v>44312</v>
      </c>
      <c r="TZ29">
        <v>86347</v>
      </c>
      <c r="UA29">
        <v>241</v>
      </c>
      <c r="UB29" s="16">
        <v>44314</v>
      </c>
      <c r="UC29">
        <v>86825</v>
      </c>
      <c r="UD29">
        <v>248</v>
      </c>
      <c r="UE29" s="16">
        <v>44314</v>
      </c>
      <c r="UF29">
        <v>86827</v>
      </c>
      <c r="UG29">
        <v>249</v>
      </c>
      <c r="UH29" s="16">
        <v>44315</v>
      </c>
      <c r="UI29">
        <v>87040</v>
      </c>
      <c r="UJ29">
        <v>184</v>
      </c>
      <c r="UK29" s="16">
        <v>44316</v>
      </c>
      <c r="UL29">
        <v>87258</v>
      </c>
      <c r="UM29">
        <v>199</v>
      </c>
      <c r="UN29" s="16">
        <v>44320</v>
      </c>
      <c r="UO29">
        <v>87972</v>
      </c>
      <c r="UP29">
        <v>169</v>
      </c>
      <c r="UQ29" s="16">
        <v>44321</v>
      </c>
      <c r="UR29">
        <v>88270</v>
      </c>
      <c r="US29">
        <v>237</v>
      </c>
      <c r="UT29" s="16">
        <v>44322</v>
      </c>
      <c r="UU29">
        <v>88514</v>
      </c>
      <c r="UV29">
        <v>220</v>
      </c>
      <c r="UW29" s="16">
        <v>44323</v>
      </c>
      <c r="UX29">
        <v>88743</v>
      </c>
      <c r="UY29">
        <v>215</v>
      </c>
      <c r="UZ29" s="16">
        <v>44325</v>
      </c>
      <c r="VA29">
        <v>89004</v>
      </c>
      <c r="VB29">
        <v>129</v>
      </c>
      <c r="VC29" s="16">
        <v>44325</v>
      </c>
      <c r="VD29">
        <v>89000</v>
      </c>
      <c r="VE29">
        <v>129</v>
      </c>
      <c r="VF29" s="16">
        <v>44326</v>
      </c>
      <c r="VG29">
        <v>89260</v>
      </c>
      <c r="VH29">
        <v>255</v>
      </c>
      <c r="VI29" s="16">
        <v>44328</v>
      </c>
      <c r="VJ29">
        <v>89687</v>
      </c>
      <c r="VK29">
        <v>220</v>
      </c>
      <c r="VL29" s="16">
        <v>44328</v>
      </c>
      <c r="VM29">
        <v>89683</v>
      </c>
      <c r="VN29">
        <v>220</v>
      </c>
      <c r="VO29" s="16">
        <v>44329</v>
      </c>
      <c r="VP29">
        <v>89866</v>
      </c>
      <c r="VQ29">
        <v>149</v>
      </c>
      <c r="VR29" s="16">
        <v>44330</v>
      </c>
      <c r="VS29">
        <v>90111</v>
      </c>
      <c r="VT29">
        <v>241</v>
      </c>
      <c r="VU29" s="16">
        <v>44332</v>
      </c>
      <c r="VV29">
        <v>90407</v>
      </c>
      <c r="VW29">
        <v>129</v>
      </c>
      <c r="VX29" s="16">
        <v>44332</v>
      </c>
      <c r="VY29">
        <v>90411</v>
      </c>
      <c r="VZ29">
        <v>130</v>
      </c>
      <c r="WA29" s="16">
        <v>44333</v>
      </c>
      <c r="WB29">
        <v>90702</v>
      </c>
      <c r="WC29">
        <v>286</v>
      </c>
      <c r="WD29" s="16">
        <v>44334</v>
      </c>
      <c r="WE29">
        <v>90919</v>
      </c>
      <c r="WF29">
        <v>217</v>
      </c>
      <c r="WG29" s="16">
        <v>44335</v>
      </c>
      <c r="WH29">
        <v>91129</v>
      </c>
      <c r="WI29">
        <v>209</v>
      </c>
      <c r="WJ29" s="16">
        <v>44337</v>
      </c>
      <c r="WK29">
        <v>91486</v>
      </c>
      <c r="WL29">
        <v>141</v>
      </c>
      <c r="WM29" s="16">
        <v>44337</v>
      </c>
      <c r="WN29">
        <v>91533</v>
      </c>
      <c r="WO29">
        <v>168</v>
      </c>
      <c r="WP29" s="16">
        <v>44340</v>
      </c>
      <c r="WQ29">
        <v>91889</v>
      </c>
      <c r="WR29">
        <v>156</v>
      </c>
      <c r="WS29" s="16">
        <v>44341</v>
      </c>
      <c r="WT29">
        <v>92077</v>
      </c>
      <c r="WU29">
        <v>151</v>
      </c>
      <c r="WV29" s="16">
        <v>44342</v>
      </c>
      <c r="WW29">
        <v>92204</v>
      </c>
      <c r="WX29">
        <v>124</v>
      </c>
      <c r="WY29" s="16">
        <v>44343</v>
      </c>
      <c r="WZ29">
        <v>92351</v>
      </c>
      <c r="XA29">
        <v>123</v>
      </c>
      <c r="XB29" s="16">
        <v>44344</v>
      </c>
      <c r="XC29">
        <v>92488</v>
      </c>
      <c r="XD29">
        <v>135</v>
      </c>
      <c r="XE29" s="16">
        <v>44346</v>
      </c>
      <c r="XF29">
        <v>92634</v>
      </c>
      <c r="XG29">
        <v>80</v>
      </c>
      <c r="XH29" s="16">
        <v>44346</v>
      </c>
      <c r="XI29">
        <v>92641</v>
      </c>
      <c r="XJ29">
        <v>81</v>
      </c>
      <c r="XK29" s="16">
        <v>44347</v>
      </c>
      <c r="XL29">
        <v>92783</v>
      </c>
      <c r="XM29">
        <v>143</v>
      </c>
      <c r="XN29" s="16">
        <v>44348</v>
      </c>
      <c r="XO29">
        <v>92908</v>
      </c>
      <c r="XP29">
        <v>123</v>
      </c>
      <c r="XQ29" s="16">
        <v>44349</v>
      </c>
      <c r="XR29">
        <v>93016</v>
      </c>
      <c r="XS29">
        <v>106</v>
      </c>
      <c r="XT29" s="16">
        <v>44350</v>
      </c>
      <c r="XU29">
        <v>93136</v>
      </c>
      <c r="XV29">
        <v>105</v>
      </c>
      <c r="XW29" s="16">
        <v>44351</v>
      </c>
      <c r="XX29">
        <v>93241</v>
      </c>
      <c r="XY29">
        <v>98</v>
      </c>
      <c r="XZ29" s="16">
        <v>44352</v>
      </c>
      <c r="YA29">
        <v>93307</v>
      </c>
      <c r="YB29">
        <v>65</v>
      </c>
      <c r="YC29" s="16">
        <v>44354</v>
      </c>
      <c r="YD29">
        <v>93504</v>
      </c>
      <c r="YE29">
        <v>134</v>
      </c>
      <c r="YF29" s="16">
        <v>44355</v>
      </c>
      <c r="YG29">
        <v>93616</v>
      </c>
      <c r="YH29">
        <v>104</v>
      </c>
      <c r="YI29" s="16">
        <v>44356</v>
      </c>
      <c r="YJ29">
        <v>93688</v>
      </c>
      <c r="YK29">
        <v>71</v>
      </c>
      <c r="YL29" s="16">
        <v>44357</v>
      </c>
      <c r="YM29">
        <v>93766</v>
      </c>
      <c r="YN29">
        <v>67</v>
      </c>
      <c r="YO29" s="16">
        <v>44358</v>
      </c>
      <c r="YP29">
        <v>93843</v>
      </c>
      <c r="YQ29">
        <v>71</v>
      </c>
      <c r="YR29" s="16">
        <v>44359</v>
      </c>
      <c r="YS29">
        <v>93891</v>
      </c>
      <c r="YT29">
        <v>42</v>
      </c>
      <c r="YU29" s="16">
        <v>44361</v>
      </c>
      <c r="YV29">
        <v>94023</v>
      </c>
      <c r="YW29">
        <v>78</v>
      </c>
      <c r="YX29" s="16">
        <v>44362</v>
      </c>
      <c r="YY29">
        <v>94110</v>
      </c>
      <c r="YZ29">
        <v>78</v>
      </c>
      <c r="ZA29" s="16">
        <v>44363</v>
      </c>
      <c r="ZB29">
        <v>94176</v>
      </c>
      <c r="ZC29">
        <v>62</v>
      </c>
      <c r="ZD29" s="16">
        <v>44374</v>
      </c>
      <c r="ZE29">
        <v>94489</v>
      </c>
      <c r="ZF29">
        <v>0</v>
      </c>
      <c r="ZG29" s="16">
        <v>44375</v>
      </c>
      <c r="ZH29">
        <v>95683</v>
      </c>
      <c r="ZI29">
        <v>230</v>
      </c>
      <c r="ZJ29" s="16">
        <v>44376</v>
      </c>
      <c r="ZK29">
        <v>95942</v>
      </c>
      <c r="ZL29">
        <v>259</v>
      </c>
      <c r="ZM29" s="16">
        <v>44377</v>
      </c>
      <c r="ZN29">
        <v>96125</v>
      </c>
      <c r="ZO29">
        <v>179</v>
      </c>
      <c r="ZP29" s="16">
        <v>44378</v>
      </c>
      <c r="ZQ29">
        <v>96322</v>
      </c>
      <c r="ZR29">
        <v>192</v>
      </c>
      <c r="ZS29" s="16">
        <v>44382</v>
      </c>
      <c r="ZT29">
        <v>96926</v>
      </c>
      <c r="ZU29">
        <v>198</v>
      </c>
      <c r="ZV29" s="16">
        <v>44383</v>
      </c>
      <c r="ZW29">
        <v>97256</v>
      </c>
      <c r="ZX29">
        <v>258</v>
      </c>
      <c r="ZY29" s="16">
        <v>44384</v>
      </c>
      <c r="ZZ29">
        <v>97530</v>
      </c>
      <c r="AAA29">
        <v>273</v>
      </c>
      <c r="AAB29" s="16">
        <v>44385</v>
      </c>
      <c r="AAC29">
        <v>97815</v>
      </c>
      <c r="AAD29">
        <v>275</v>
      </c>
      <c r="AAE29" s="16">
        <v>44386</v>
      </c>
      <c r="AAF29">
        <v>98128</v>
      </c>
      <c r="AAG29">
        <v>305</v>
      </c>
      <c r="AAH29" s="16">
        <v>44389</v>
      </c>
      <c r="AAI29">
        <v>98739</v>
      </c>
      <c r="AAJ29">
        <v>305</v>
      </c>
      <c r="AAK29" s="16">
        <v>44390</v>
      </c>
      <c r="AAL29">
        <v>99138</v>
      </c>
      <c r="AAM29">
        <v>343</v>
      </c>
      <c r="AAN29" s="16">
        <v>44392</v>
      </c>
      <c r="AAO29">
        <v>99824</v>
      </c>
      <c r="AAP29">
        <v>323</v>
      </c>
      <c r="AAQ29" s="16">
        <v>44392</v>
      </c>
      <c r="AAR29">
        <v>99899</v>
      </c>
      <c r="AAS29">
        <v>361</v>
      </c>
      <c r="AAT29" s="16">
        <v>44393</v>
      </c>
      <c r="AAU29">
        <v>100262</v>
      </c>
      <c r="AAV29">
        <v>355</v>
      </c>
      <c r="AAW29" s="16">
        <v>44395</v>
      </c>
      <c r="AAX29">
        <v>100709</v>
      </c>
      <c r="AAY29">
        <v>244</v>
      </c>
      <c r="AAZ29" s="16">
        <v>44395</v>
      </c>
      <c r="ABA29">
        <v>100725</v>
      </c>
      <c r="ABB29">
        <v>248</v>
      </c>
      <c r="ABC29" s="16">
        <v>44396</v>
      </c>
      <c r="ABD29">
        <v>101140</v>
      </c>
      <c r="ABE29">
        <v>420</v>
      </c>
      <c r="ABF29" s="16">
        <v>44398</v>
      </c>
      <c r="ABG29">
        <v>101986</v>
      </c>
      <c r="ABH29">
        <v>423</v>
      </c>
      <c r="ABI29" s="16">
        <v>44398</v>
      </c>
      <c r="ABJ29">
        <v>101992</v>
      </c>
      <c r="ABK29">
        <v>425</v>
      </c>
      <c r="ABL29" s="16">
        <v>44399</v>
      </c>
      <c r="ABM29">
        <v>102496</v>
      </c>
      <c r="ABN29">
        <v>471</v>
      </c>
      <c r="ABO29" s="16">
        <v>44400</v>
      </c>
      <c r="ABP29">
        <v>102985</v>
      </c>
      <c r="ABQ29">
        <v>476</v>
      </c>
      <c r="ABR29" s="16">
        <v>44401</v>
      </c>
      <c r="ABS29">
        <v>103281</v>
      </c>
      <c r="ABT29">
        <v>294</v>
      </c>
      <c r="ABU29" s="16">
        <v>44402</v>
      </c>
      <c r="ABV29">
        <v>103642</v>
      </c>
      <c r="ABW29">
        <v>351</v>
      </c>
      <c r="ABX29" s="16">
        <v>44403</v>
      </c>
      <c r="ABY29">
        <v>104426</v>
      </c>
      <c r="ABZ29">
        <v>772</v>
      </c>
      <c r="ACA29" s="16">
        <v>44404</v>
      </c>
      <c r="ACB29">
        <v>105102</v>
      </c>
      <c r="ACC29">
        <v>676</v>
      </c>
      <c r="ACD29" s="16">
        <v>44405</v>
      </c>
      <c r="ACE29">
        <v>105874</v>
      </c>
      <c r="ACF29">
        <v>763</v>
      </c>
      <c r="ACG29" s="16">
        <v>44406</v>
      </c>
      <c r="ACH29">
        <v>106683</v>
      </c>
      <c r="ACI29">
        <v>745</v>
      </c>
      <c r="ACJ29" s="16">
        <v>44407</v>
      </c>
      <c r="ACK29">
        <v>107392</v>
      </c>
      <c r="ACL29">
        <v>692</v>
      </c>
      <c r="ACM29" s="16">
        <v>44410</v>
      </c>
      <c r="ACN29">
        <v>109113</v>
      </c>
      <c r="ACO29">
        <v>854</v>
      </c>
      <c r="ACP29" s="16">
        <v>44411</v>
      </c>
      <c r="ACQ29">
        <v>110012</v>
      </c>
      <c r="ACR29">
        <v>841</v>
      </c>
      <c r="ACS29" s="16">
        <v>44412</v>
      </c>
      <c r="ACT29">
        <v>110720</v>
      </c>
      <c r="ACU29">
        <v>705</v>
      </c>
      <c r="ACV29" s="16">
        <v>44413</v>
      </c>
      <c r="ACW29">
        <v>111606</v>
      </c>
      <c r="ACX29">
        <v>826</v>
      </c>
      <c r="ACY29" s="16">
        <v>44414</v>
      </c>
      <c r="ACZ29">
        <v>112326</v>
      </c>
      <c r="ADA29">
        <v>682</v>
      </c>
      <c r="ADB29" s="16">
        <v>44415</v>
      </c>
      <c r="ADC29">
        <v>112806</v>
      </c>
      <c r="ADD29">
        <v>473</v>
      </c>
      <c r="ADE29" s="16">
        <v>44416</v>
      </c>
      <c r="ADF29">
        <v>113338</v>
      </c>
      <c r="ADG29">
        <v>530</v>
      </c>
      <c r="ADH29" s="16">
        <v>44417</v>
      </c>
      <c r="ADI29">
        <v>114351</v>
      </c>
      <c r="ADJ29">
        <v>1004</v>
      </c>
      <c r="ADK29" s="16">
        <v>44418</v>
      </c>
      <c r="ADL29">
        <v>115186</v>
      </c>
      <c r="ADM29">
        <v>831</v>
      </c>
      <c r="ADN29" s="16">
        <v>44419</v>
      </c>
      <c r="ADO29">
        <v>116025</v>
      </c>
      <c r="ADP29">
        <v>839</v>
      </c>
      <c r="ADQ29" s="16">
        <v>44420</v>
      </c>
      <c r="ADR29">
        <v>116881</v>
      </c>
      <c r="ADS29">
        <v>760</v>
      </c>
      <c r="ADT29" s="16">
        <v>44421</v>
      </c>
      <c r="ADU29">
        <v>117671</v>
      </c>
      <c r="ADV29">
        <v>736</v>
      </c>
      <c r="ADW29" s="16">
        <v>44424</v>
      </c>
      <c r="ADX29">
        <v>119280</v>
      </c>
      <c r="ADY29">
        <v>743</v>
      </c>
      <c r="ADZ29" s="16">
        <v>44425</v>
      </c>
      <c r="AEA29">
        <v>120088</v>
      </c>
      <c r="AEB29">
        <v>770</v>
      </c>
      <c r="AEC29" s="16">
        <v>44426</v>
      </c>
      <c r="AED29">
        <v>120741</v>
      </c>
      <c r="AEE29">
        <v>649</v>
      </c>
      <c r="AEF29" s="16">
        <v>44427</v>
      </c>
      <c r="AEG29">
        <v>121425</v>
      </c>
      <c r="AEH29">
        <v>636</v>
      </c>
      <c r="AEI29" s="16">
        <v>44428</v>
      </c>
      <c r="AEJ29">
        <v>122064</v>
      </c>
      <c r="AEK29">
        <v>653</v>
      </c>
      <c r="AEL29" s="16">
        <v>44431</v>
      </c>
      <c r="AEM29">
        <v>123564</v>
      </c>
      <c r="AEN29">
        <v>637</v>
      </c>
      <c r="AEO29" s="16">
        <v>44432</v>
      </c>
      <c r="AEP29">
        <v>124210</v>
      </c>
      <c r="AEQ29">
        <v>597</v>
      </c>
      <c r="AER29" s="16">
        <v>44433</v>
      </c>
      <c r="AES29">
        <v>124858</v>
      </c>
      <c r="AET29">
        <v>656</v>
      </c>
      <c r="AEU29" s="16">
        <v>44434</v>
      </c>
      <c r="AEV29">
        <v>125466</v>
      </c>
      <c r="AEW29">
        <v>573</v>
      </c>
      <c r="AEX29" s="16">
        <v>44436</v>
      </c>
      <c r="AEY29">
        <v>126591</v>
      </c>
      <c r="AEZ29">
        <v>414</v>
      </c>
      <c r="AFA29" s="16">
        <v>44437</v>
      </c>
      <c r="AFB29">
        <v>127110</v>
      </c>
      <c r="AFC29">
        <v>459</v>
      </c>
      <c r="AFD29">
        <v>44442</v>
      </c>
      <c r="AFE29">
        <v>129192</v>
      </c>
      <c r="AFF29">
        <v>1</v>
      </c>
      <c r="AFG29">
        <v>44443</v>
      </c>
      <c r="AFH29">
        <v>130666</v>
      </c>
      <c r="AFI29">
        <v>336</v>
      </c>
      <c r="AFJ29">
        <v>44445</v>
      </c>
      <c r="AFK29">
        <v>131603</v>
      </c>
      <c r="AFL29">
        <v>577</v>
      </c>
      <c r="AFM29">
        <v>44448</v>
      </c>
      <c r="AFN29">
        <v>133008</v>
      </c>
      <c r="AFO29">
        <v>440</v>
      </c>
      <c r="AFP29">
        <v>44449</v>
      </c>
      <c r="AFQ29">
        <v>133557</v>
      </c>
      <c r="AFR29">
        <v>489</v>
      </c>
      <c r="AFS29">
        <v>44451</v>
      </c>
      <c r="AFT29">
        <v>134169</v>
      </c>
      <c r="AFU29">
        <v>280</v>
      </c>
      <c r="AFV29">
        <v>44452</v>
      </c>
      <c r="AFW29">
        <v>134701</v>
      </c>
      <c r="AFX29">
        <v>530</v>
      </c>
      <c r="AFY29">
        <v>44454</v>
      </c>
      <c r="AFZ29">
        <v>135626</v>
      </c>
      <c r="AGA29">
        <v>455</v>
      </c>
      <c r="AGB29">
        <v>44455</v>
      </c>
      <c r="AGC29">
        <v>136069</v>
      </c>
      <c r="AGD29">
        <v>430</v>
      </c>
      <c r="AGE29">
        <v>44458</v>
      </c>
      <c r="AGF29">
        <v>136973</v>
      </c>
      <c r="AGG29">
        <v>272</v>
      </c>
      <c r="AGH29">
        <v>44459</v>
      </c>
      <c r="AGI29">
        <v>137453</v>
      </c>
      <c r="AGJ29">
        <v>467</v>
      </c>
      <c r="AGK29">
        <v>44461</v>
      </c>
      <c r="AGL29">
        <v>138413</v>
      </c>
      <c r="AGM29">
        <v>472</v>
      </c>
      <c r="AGN29">
        <v>44461</v>
      </c>
      <c r="AGO29">
        <v>138424</v>
      </c>
      <c r="AGP29">
        <v>478</v>
      </c>
      <c r="AGQ29">
        <v>44462</v>
      </c>
      <c r="AGR29">
        <v>138908</v>
      </c>
      <c r="AGS29">
        <v>466</v>
      </c>
      <c r="AGT29">
        <v>44463</v>
      </c>
      <c r="AGU29">
        <v>139359</v>
      </c>
      <c r="AGV29">
        <v>425</v>
      </c>
      <c r="AGW29">
        <v>44465</v>
      </c>
      <c r="AGX29">
        <v>140006</v>
      </c>
      <c r="AGY29">
        <v>354</v>
      </c>
      <c r="AGZ29">
        <v>44467</v>
      </c>
      <c r="AHA29">
        <v>141325</v>
      </c>
      <c r="AHB29">
        <v>636</v>
      </c>
      <c r="AHC29">
        <v>44468</v>
      </c>
      <c r="AHD29">
        <v>141981</v>
      </c>
      <c r="AHE29">
        <v>649</v>
      </c>
      <c r="AHF29">
        <v>44469</v>
      </c>
      <c r="AHG29">
        <v>142587</v>
      </c>
      <c r="AHH29">
        <v>593</v>
      </c>
      <c r="AHI29">
        <v>44470</v>
      </c>
      <c r="AHJ29">
        <v>143128</v>
      </c>
      <c r="AHK29">
        <v>527</v>
      </c>
      <c r="AHL29">
        <v>44474</v>
      </c>
      <c r="AHM29">
        <v>145099</v>
      </c>
      <c r="AHN29">
        <v>539</v>
      </c>
      <c r="AHO29">
        <v>44475</v>
      </c>
      <c r="AHP29">
        <v>145796</v>
      </c>
      <c r="AHQ29">
        <v>511</v>
      </c>
      <c r="AHR29">
        <v>44476</v>
      </c>
      <c r="AHS29">
        <v>146352</v>
      </c>
      <c r="AHT29">
        <v>536</v>
      </c>
      <c r="AHU29">
        <v>44477</v>
      </c>
      <c r="AHV29">
        <v>146958</v>
      </c>
      <c r="AHW29">
        <v>586</v>
      </c>
      <c r="AHX29">
        <v>44478</v>
      </c>
      <c r="AHY29">
        <v>147394</v>
      </c>
      <c r="AHZ29">
        <v>426</v>
      </c>
      <c r="AIA29">
        <v>44482</v>
      </c>
      <c r="AIB29">
        <v>149636</v>
      </c>
      <c r="AIC29">
        <v>528</v>
      </c>
      <c r="AID29">
        <v>44486</v>
      </c>
      <c r="AIE29">
        <v>151484</v>
      </c>
      <c r="AIF29">
        <v>285</v>
      </c>
      <c r="AIG29">
        <v>44490</v>
      </c>
      <c r="AIH29">
        <v>153156</v>
      </c>
      <c r="AII29">
        <v>71</v>
      </c>
      <c r="AIJ29">
        <v>44491</v>
      </c>
      <c r="AIK29">
        <v>154489</v>
      </c>
      <c r="AIL29">
        <v>569</v>
      </c>
      <c r="AIM29">
        <v>44492</v>
      </c>
      <c r="AIN29">
        <v>154872</v>
      </c>
      <c r="AIO29">
        <v>373</v>
      </c>
      <c r="AIP29">
        <v>44495</v>
      </c>
      <c r="AIQ29">
        <v>156675</v>
      </c>
      <c r="AIR29">
        <v>648</v>
      </c>
      <c r="AIS29">
        <v>44496</v>
      </c>
      <c r="AIT29">
        <v>157358</v>
      </c>
      <c r="AIU29">
        <v>629</v>
      </c>
      <c r="AIV29">
        <v>44497</v>
      </c>
      <c r="AIW29">
        <v>157944</v>
      </c>
      <c r="AIX29">
        <v>559</v>
      </c>
      <c r="AIY29">
        <v>44498</v>
      </c>
      <c r="AIZ29">
        <v>158854</v>
      </c>
      <c r="AJA29">
        <v>639</v>
      </c>
      <c r="AJB29">
        <v>44499</v>
      </c>
      <c r="AJC29">
        <v>159262</v>
      </c>
      <c r="AJD29">
        <v>397</v>
      </c>
      <c r="AJE29">
        <v>44502</v>
      </c>
      <c r="AJF29">
        <v>161419</v>
      </c>
      <c r="AJG29">
        <v>748</v>
      </c>
      <c r="AJH29">
        <v>44503</v>
      </c>
      <c r="AJI29">
        <v>162238</v>
      </c>
      <c r="AJJ29">
        <v>759</v>
      </c>
      <c r="AJK29">
        <v>44504</v>
      </c>
      <c r="AJL29">
        <v>163054</v>
      </c>
      <c r="AJM29">
        <v>797</v>
      </c>
      <c r="AJN29">
        <v>44505</v>
      </c>
      <c r="AJO29">
        <v>163903</v>
      </c>
      <c r="AJP29">
        <v>838</v>
      </c>
      <c r="AJQ29">
        <v>44509</v>
      </c>
      <c r="AJR29">
        <v>166715</v>
      </c>
      <c r="AJS29">
        <v>748</v>
      </c>
      <c r="AJT29">
        <v>44510</v>
      </c>
      <c r="AJU29">
        <v>167781</v>
      </c>
      <c r="AJV29">
        <v>960</v>
      </c>
      <c r="AJW29">
        <v>44511</v>
      </c>
      <c r="AJX29">
        <v>168706</v>
      </c>
      <c r="AJY29">
        <v>922</v>
      </c>
      <c r="AJZ29">
        <v>44512</v>
      </c>
      <c r="AKA29">
        <v>169665</v>
      </c>
      <c r="AKB29">
        <v>933</v>
      </c>
      <c r="AKC29">
        <v>44513</v>
      </c>
      <c r="AKD29">
        <v>170329</v>
      </c>
      <c r="AKE29">
        <v>610</v>
      </c>
      <c r="AKF29">
        <v>44516</v>
      </c>
      <c r="AKG29">
        <v>173322</v>
      </c>
      <c r="AKH29">
        <v>1177</v>
      </c>
      <c r="AKI29">
        <v>44519</v>
      </c>
      <c r="AKJ29">
        <v>176622</v>
      </c>
      <c r="AKK29">
        <v>974</v>
      </c>
      <c r="AKL29">
        <v>44521</v>
      </c>
      <c r="AKM29">
        <v>178141</v>
      </c>
      <c r="AKN29">
        <v>553</v>
      </c>
      <c r="AKO29">
        <v>44523</v>
      </c>
      <c r="AKP29">
        <v>180965</v>
      </c>
      <c r="AKQ29">
        <v>1158</v>
      </c>
      <c r="AKR29">
        <v>44524</v>
      </c>
      <c r="AKS29">
        <v>182400</v>
      </c>
      <c r="AKT29">
        <v>1230</v>
      </c>
      <c r="AKU29">
        <v>44526</v>
      </c>
      <c r="AKV29">
        <v>184865</v>
      </c>
      <c r="AKW29">
        <v>1221</v>
      </c>
      <c r="AKX29">
        <v>44527</v>
      </c>
      <c r="AKY29">
        <v>185760</v>
      </c>
      <c r="AKZ29">
        <v>783</v>
      </c>
      <c r="ALA29">
        <v>44530</v>
      </c>
      <c r="ALB29">
        <v>189558</v>
      </c>
      <c r="ALC29">
        <v>1332</v>
      </c>
      <c r="ALD29">
        <v>44531</v>
      </c>
      <c r="ALE29">
        <v>191043</v>
      </c>
      <c r="ALF29">
        <v>1408</v>
      </c>
      <c r="ALG29">
        <v>44532</v>
      </c>
      <c r="ALH29">
        <v>192498</v>
      </c>
      <c r="ALI29">
        <v>1413</v>
      </c>
      <c r="ALJ29">
        <v>44533</v>
      </c>
      <c r="ALK29">
        <v>194014</v>
      </c>
      <c r="ALL29">
        <v>1501</v>
      </c>
      <c r="ALM29">
        <v>44541</v>
      </c>
      <c r="ALN29">
        <v>205476</v>
      </c>
      <c r="ALO29">
        <v>1108</v>
      </c>
    </row>
    <row r="30" spans="2:1003">
      <c r="B30" t="str">
        <f t="shared" ca="1" si="2"/>
        <v>Ma 13</v>
      </c>
      <c r="C30" s="4">
        <f t="shared" ca="1" si="0"/>
        <v>44543</v>
      </c>
      <c r="D30" s="11">
        <f t="shared" ca="1" si="1"/>
        <v>209117</v>
      </c>
      <c r="E30">
        <f t="shared" ca="1" si="3"/>
        <v>2319</v>
      </c>
      <c r="F30" s="11">
        <f t="shared" ca="1" si="4"/>
        <v>78</v>
      </c>
      <c r="G30" s="11">
        <f t="shared" ca="1" si="5"/>
        <v>2241</v>
      </c>
      <c r="K30" s="4"/>
      <c r="L30" s="3"/>
      <c r="N30" s="16">
        <v>44542</v>
      </c>
      <c r="O30">
        <v>206740</v>
      </c>
      <c r="P30">
        <v>1264</v>
      </c>
      <c r="Q30" s="16">
        <v>44542</v>
      </c>
      <c r="R30">
        <v>206740</v>
      </c>
      <c r="S30">
        <v>1264</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s="16">
        <v>44291</v>
      </c>
      <c r="RU30">
        <v>80322</v>
      </c>
      <c r="RV30">
        <v>359</v>
      </c>
      <c r="RW30" s="16">
        <v>44292</v>
      </c>
      <c r="RX30">
        <v>80857</v>
      </c>
      <c r="RY30">
        <v>534</v>
      </c>
      <c r="RZ30" s="16">
        <v>44293</v>
      </c>
      <c r="SA30">
        <v>81260</v>
      </c>
      <c r="SB30">
        <v>400</v>
      </c>
      <c r="SC30" s="16">
        <v>44294</v>
      </c>
      <c r="SD30">
        <v>81641</v>
      </c>
      <c r="SE30">
        <v>378</v>
      </c>
      <c r="SF30" s="16">
        <v>44295</v>
      </c>
      <c r="SG30">
        <v>81990</v>
      </c>
      <c r="SH30">
        <v>328</v>
      </c>
      <c r="SI30" s="16">
        <v>44296</v>
      </c>
      <c r="SJ30">
        <v>82254</v>
      </c>
      <c r="SK30">
        <v>225</v>
      </c>
      <c r="SL30" s="16">
        <v>44298</v>
      </c>
      <c r="SM30">
        <v>82829</v>
      </c>
      <c r="SN30">
        <v>341</v>
      </c>
      <c r="SO30" s="16">
        <v>44299</v>
      </c>
      <c r="SP30">
        <v>83222</v>
      </c>
      <c r="SQ30">
        <v>309</v>
      </c>
      <c r="SR30" s="16">
        <v>44300</v>
      </c>
      <c r="SS30">
        <v>83568</v>
      </c>
      <c r="ST30">
        <v>319</v>
      </c>
      <c r="SU30" s="16">
        <v>44301</v>
      </c>
      <c r="SV30">
        <v>83842</v>
      </c>
      <c r="SW30">
        <v>270</v>
      </c>
      <c r="SX30" s="16">
        <v>44303</v>
      </c>
      <c r="SY30">
        <v>84272</v>
      </c>
      <c r="SZ30">
        <v>159</v>
      </c>
      <c r="TA30" s="16">
        <v>44304</v>
      </c>
      <c r="TB30">
        <v>84468</v>
      </c>
      <c r="TC30">
        <v>159</v>
      </c>
      <c r="TD30" s="16">
        <v>44306</v>
      </c>
      <c r="TE30">
        <v>85020</v>
      </c>
      <c r="TF30">
        <v>265</v>
      </c>
      <c r="TG30" s="16">
        <v>44307</v>
      </c>
      <c r="TH30">
        <v>85257</v>
      </c>
      <c r="TI30">
        <v>215</v>
      </c>
      <c r="TJ30" s="16">
        <v>44308</v>
      </c>
      <c r="TK30">
        <v>85501</v>
      </c>
      <c r="TL30">
        <v>242</v>
      </c>
      <c r="TM30" s="16">
        <v>44309</v>
      </c>
      <c r="TN30">
        <v>85769</v>
      </c>
      <c r="TO30">
        <v>231</v>
      </c>
      <c r="TP30" s="16">
        <v>44311</v>
      </c>
      <c r="TQ30">
        <v>86091</v>
      </c>
      <c r="TR30">
        <v>131</v>
      </c>
      <c r="TS30" s="16">
        <v>44312</v>
      </c>
      <c r="TT30">
        <v>86311</v>
      </c>
      <c r="TU30">
        <v>208</v>
      </c>
      <c r="TV30" s="16">
        <v>44312</v>
      </c>
      <c r="TW30">
        <v>86331</v>
      </c>
      <c r="TX30">
        <v>223</v>
      </c>
      <c r="TY30" s="16">
        <v>44313</v>
      </c>
      <c r="TZ30">
        <v>86577</v>
      </c>
      <c r="UA30">
        <v>230</v>
      </c>
      <c r="UB30" s="16">
        <v>44315</v>
      </c>
      <c r="UC30">
        <v>87011</v>
      </c>
      <c r="UD30">
        <v>186</v>
      </c>
      <c r="UE30" s="16">
        <v>44315</v>
      </c>
      <c r="UF30">
        <v>87013</v>
      </c>
      <c r="UG30">
        <v>186</v>
      </c>
      <c r="UH30" s="16">
        <v>44316</v>
      </c>
      <c r="UI30">
        <v>87223</v>
      </c>
      <c r="UJ30">
        <v>183</v>
      </c>
      <c r="UK30" s="16">
        <v>44317</v>
      </c>
      <c r="UL30">
        <v>87362</v>
      </c>
      <c r="UM30">
        <v>104</v>
      </c>
      <c r="UN30" s="16">
        <v>44321</v>
      </c>
      <c r="UO30">
        <v>88078</v>
      </c>
      <c r="UP30">
        <v>106</v>
      </c>
      <c r="UQ30" s="16">
        <v>44322</v>
      </c>
      <c r="UR30">
        <v>88494</v>
      </c>
      <c r="US30">
        <v>224</v>
      </c>
      <c r="UT30" s="16">
        <v>44323</v>
      </c>
      <c r="UU30">
        <v>88706</v>
      </c>
      <c r="UV30">
        <v>192</v>
      </c>
      <c r="UW30" s="16">
        <v>44324</v>
      </c>
      <c r="UX30">
        <v>88869</v>
      </c>
      <c r="UY30">
        <v>126</v>
      </c>
      <c r="UZ30" s="16">
        <v>44326</v>
      </c>
      <c r="VA30">
        <v>89248</v>
      </c>
      <c r="VB30">
        <v>244</v>
      </c>
      <c r="VC30" s="16">
        <v>44326</v>
      </c>
      <c r="VD30">
        <v>89256</v>
      </c>
      <c r="VE30">
        <v>256</v>
      </c>
      <c r="VF30" s="16">
        <v>44327</v>
      </c>
      <c r="VG30">
        <v>89470</v>
      </c>
      <c r="VH30">
        <v>210</v>
      </c>
      <c r="VI30" s="16">
        <v>44329</v>
      </c>
      <c r="VJ30">
        <v>89830</v>
      </c>
      <c r="VK30">
        <v>143</v>
      </c>
      <c r="VL30" s="16">
        <v>44329</v>
      </c>
      <c r="VM30">
        <v>89827</v>
      </c>
      <c r="VN30">
        <v>144</v>
      </c>
      <c r="VO30" s="16">
        <v>44330</v>
      </c>
      <c r="VP30">
        <v>90086</v>
      </c>
      <c r="VQ30">
        <v>220</v>
      </c>
      <c r="VR30" s="16">
        <v>44331</v>
      </c>
      <c r="VS30">
        <v>90268</v>
      </c>
      <c r="VT30">
        <v>157</v>
      </c>
      <c r="VU30" s="16">
        <v>44333</v>
      </c>
      <c r="VV30">
        <v>90683</v>
      </c>
      <c r="VW30">
        <v>276</v>
      </c>
      <c r="VX30" s="16">
        <v>44333</v>
      </c>
      <c r="VY30">
        <v>90696</v>
      </c>
      <c r="VZ30">
        <v>285</v>
      </c>
      <c r="WA30" s="16">
        <v>44334</v>
      </c>
      <c r="WB30">
        <v>90919</v>
      </c>
      <c r="WC30">
        <v>217</v>
      </c>
      <c r="WD30" s="16">
        <v>44335</v>
      </c>
      <c r="WE30">
        <v>91128</v>
      </c>
      <c r="WF30">
        <v>209</v>
      </c>
      <c r="WG30" s="16">
        <v>44336</v>
      </c>
      <c r="WH30">
        <v>91329</v>
      </c>
      <c r="WI30">
        <v>200</v>
      </c>
      <c r="WJ30" s="16">
        <v>44338</v>
      </c>
      <c r="WK30">
        <v>91588</v>
      </c>
      <c r="WL30">
        <v>102</v>
      </c>
      <c r="WM30" s="16">
        <v>44338</v>
      </c>
      <c r="WN30">
        <v>91638</v>
      </c>
      <c r="WO30">
        <v>105</v>
      </c>
      <c r="WP30" s="16">
        <v>44341</v>
      </c>
      <c r="WQ30">
        <v>91996</v>
      </c>
      <c r="WR30">
        <v>107</v>
      </c>
      <c r="WS30" s="16">
        <v>44342</v>
      </c>
      <c r="WT30">
        <v>92201</v>
      </c>
      <c r="WU30">
        <v>124</v>
      </c>
      <c r="WV30" s="16">
        <v>44343</v>
      </c>
      <c r="WW30">
        <v>92311</v>
      </c>
      <c r="WX30">
        <v>107</v>
      </c>
      <c r="WY30" s="16">
        <v>44344</v>
      </c>
      <c r="WZ30">
        <v>92474</v>
      </c>
      <c r="XA30">
        <v>123</v>
      </c>
      <c r="XB30" s="16">
        <v>44345</v>
      </c>
      <c r="XC30">
        <v>92552</v>
      </c>
      <c r="XD30">
        <v>64</v>
      </c>
      <c r="XE30" s="16">
        <v>44347</v>
      </c>
      <c r="XF30">
        <v>92745</v>
      </c>
      <c r="XG30">
        <v>111</v>
      </c>
      <c r="XH30" s="16">
        <v>44347</v>
      </c>
      <c r="XI30">
        <v>92783</v>
      </c>
      <c r="XJ30">
        <v>142</v>
      </c>
      <c r="XK30" s="16">
        <v>44348</v>
      </c>
      <c r="XL30">
        <v>92905</v>
      </c>
      <c r="XM30">
        <v>122</v>
      </c>
      <c r="XN30" s="16">
        <v>44349</v>
      </c>
      <c r="XO30">
        <v>93012</v>
      </c>
      <c r="XP30">
        <v>104</v>
      </c>
      <c r="XQ30" s="16">
        <v>44350</v>
      </c>
      <c r="XR30">
        <v>93122</v>
      </c>
      <c r="XS30">
        <v>106</v>
      </c>
      <c r="XT30" s="16">
        <v>44351</v>
      </c>
      <c r="XU30">
        <v>93216</v>
      </c>
      <c r="XV30">
        <v>80</v>
      </c>
      <c r="XW30" s="16">
        <v>44352</v>
      </c>
      <c r="XX30">
        <v>93307</v>
      </c>
      <c r="XY30">
        <v>66</v>
      </c>
      <c r="XZ30" s="16">
        <v>44353</v>
      </c>
      <c r="YA30">
        <v>93369</v>
      </c>
      <c r="YB30">
        <v>62</v>
      </c>
      <c r="YC30" s="16">
        <v>44355</v>
      </c>
      <c r="YD30">
        <v>93595</v>
      </c>
      <c r="YE30">
        <v>91</v>
      </c>
      <c r="YF30" s="16">
        <v>44356</v>
      </c>
      <c r="YG30">
        <v>93687</v>
      </c>
      <c r="YH30">
        <v>71</v>
      </c>
      <c r="YI30" s="16">
        <v>44357</v>
      </c>
      <c r="YJ30">
        <v>93755</v>
      </c>
      <c r="YK30">
        <v>67</v>
      </c>
      <c r="YL30" s="16">
        <v>44358</v>
      </c>
      <c r="YM30">
        <v>93822</v>
      </c>
      <c r="YN30">
        <v>56</v>
      </c>
      <c r="YO30" s="16">
        <v>44359</v>
      </c>
      <c r="YP30">
        <v>93887</v>
      </c>
      <c r="YQ30">
        <v>44</v>
      </c>
      <c r="YR30" s="16">
        <v>44360</v>
      </c>
      <c r="YS30">
        <v>93927</v>
      </c>
      <c r="YT30">
        <v>36</v>
      </c>
      <c r="YU30" s="16">
        <v>44362</v>
      </c>
      <c r="YV30">
        <v>94079</v>
      </c>
      <c r="YW30">
        <v>56</v>
      </c>
      <c r="YX30" s="16">
        <v>44363</v>
      </c>
      <c r="YY30">
        <v>94171</v>
      </c>
      <c r="YZ30">
        <v>61</v>
      </c>
      <c r="ZA30" s="16">
        <v>44364</v>
      </c>
      <c r="ZB30">
        <v>94248</v>
      </c>
      <c r="ZC30">
        <v>72</v>
      </c>
      <c r="ZD30" s="16">
        <v>44375</v>
      </c>
      <c r="ZE30">
        <v>94489</v>
      </c>
      <c r="ZF30">
        <v>0</v>
      </c>
      <c r="ZG30" s="16">
        <v>44376</v>
      </c>
      <c r="ZH30">
        <v>95942</v>
      </c>
      <c r="ZI30">
        <v>259</v>
      </c>
      <c r="ZJ30" s="16">
        <v>44377</v>
      </c>
      <c r="ZK30">
        <v>96120</v>
      </c>
      <c r="ZL30">
        <v>178</v>
      </c>
      <c r="ZM30" s="16">
        <v>44378</v>
      </c>
      <c r="ZN30">
        <v>96311</v>
      </c>
      <c r="ZO30">
        <v>186</v>
      </c>
      <c r="ZP30" s="16">
        <v>44379</v>
      </c>
      <c r="ZQ30">
        <v>96477</v>
      </c>
      <c r="ZR30">
        <v>155</v>
      </c>
      <c r="ZS30" s="16">
        <v>44383</v>
      </c>
      <c r="ZT30">
        <v>97049</v>
      </c>
      <c r="ZU30">
        <v>123</v>
      </c>
      <c r="ZV30" s="16">
        <v>44384</v>
      </c>
      <c r="ZW30">
        <v>97527</v>
      </c>
      <c r="ZX30">
        <v>271</v>
      </c>
      <c r="ZY30" s="16">
        <v>44385</v>
      </c>
      <c r="ZZ30">
        <v>97798</v>
      </c>
      <c r="AAA30">
        <v>268</v>
      </c>
      <c r="AAB30" s="16">
        <v>44386</v>
      </c>
      <c r="AAC30">
        <v>98098</v>
      </c>
      <c r="AAD30">
        <v>283</v>
      </c>
      <c r="AAE30" s="16">
        <v>44387</v>
      </c>
      <c r="AAF30">
        <v>98278</v>
      </c>
      <c r="AAG30">
        <v>150</v>
      </c>
      <c r="AAH30" s="16">
        <v>44390</v>
      </c>
      <c r="AAI30">
        <v>99029</v>
      </c>
      <c r="AAJ30">
        <v>290</v>
      </c>
      <c r="AAK30" s="16">
        <v>44391</v>
      </c>
      <c r="AAL30">
        <v>99487</v>
      </c>
      <c r="AAM30">
        <v>349</v>
      </c>
      <c r="AAN30" s="16">
        <v>44393</v>
      </c>
      <c r="AAO30">
        <v>100071</v>
      </c>
      <c r="AAP30">
        <v>247</v>
      </c>
      <c r="AAQ30" s="16">
        <v>44393</v>
      </c>
      <c r="AAR30">
        <v>100228</v>
      </c>
      <c r="AAS30">
        <v>329</v>
      </c>
      <c r="AAT30" s="16">
        <v>44394</v>
      </c>
      <c r="AAU30">
        <v>100465</v>
      </c>
      <c r="AAV30">
        <v>203</v>
      </c>
      <c r="AAW30" s="16">
        <v>44396</v>
      </c>
      <c r="AAX30">
        <v>101110</v>
      </c>
      <c r="AAY30">
        <v>401</v>
      </c>
      <c r="AAZ30" s="16">
        <v>44396</v>
      </c>
      <c r="ABA30">
        <v>101146</v>
      </c>
      <c r="ABB30">
        <v>421</v>
      </c>
      <c r="ABC30" s="16">
        <v>44397</v>
      </c>
      <c r="ABD30">
        <v>101538</v>
      </c>
      <c r="ABE30">
        <v>398</v>
      </c>
      <c r="ABF30" s="16">
        <v>44399</v>
      </c>
      <c r="ABG30">
        <v>102441</v>
      </c>
      <c r="ABH30">
        <v>455</v>
      </c>
      <c r="ABI30" s="16">
        <v>44399</v>
      </c>
      <c r="ABJ30">
        <v>102451</v>
      </c>
      <c r="ABK30">
        <v>459</v>
      </c>
      <c r="ABL30" s="16">
        <v>44400</v>
      </c>
      <c r="ABM30">
        <v>102950</v>
      </c>
      <c r="ABN30">
        <v>454</v>
      </c>
      <c r="ABO30" s="16">
        <v>44401</v>
      </c>
      <c r="ABP30">
        <v>103276</v>
      </c>
      <c r="ABQ30">
        <v>291</v>
      </c>
      <c r="ABR30" s="16">
        <v>44402</v>
      </c>
      <c r="ABS30">
        <v>103630</v>
      </c>
      <c r="ABT30">
        <v>349</v>
      </c>
      <c r="ABU30" s="16">
        <v>44403</v>
      </c>
      <c r="ABV30">
        <v>104409</v>
      </c>
      <c r="ABW30">
        <v>767</v>
      </c>
      <c r="ABX30" s="16">
        <v>44404</v>
      </c>
      <c r="ABY30">
        <v>105105</v>
      </c>
      <c r="ABZ30">
        <v>679</v>
      </c>
      <c r="ACA30" s="16">
        <v>44405</v>
      </c>
      <c r="ACB30">
        <v>105862</v>
      </c>
      <c r="ACC30">
        <v>760</v>
      </c>
      <c r="ACD30" s="16">
        <v>44406</v>
      </c>
      <c r="ACE30">
        <v>106605</v>
      </c>
      <c r="ACF30">
        <v>731</v>
      </c>
      <c r="ACG30" s="16">
        <v>44407</v>
      </c>
      <c r="ACH30">
        <v>107347</v>
      </c>
      <c r="ACI30">
        <v>664</v>
      </c>
      <c r="ACJ30" s="16">
        <v>44408</v>
      </c>
      <c r="ACK30">
        <v>107788</v>
      </c>
      <c r="ACL30">
        <v>396</v>
      </c>
      <c r="ACM30" s="16">
        <v>44411</v>
      </c>
      <c r="ACN30">
        <v>109753</v>
      </c>
      <c r="ACO30">
        <v>640</v>
      </c>
      <c r="ACP30" s="16">
        <v>44412</v>
      </c>
      <c r="ACQ30">
        <v>110712</v>
      </c>
      <c r="ACR30">
        <v>700</v>
      </c>
      <c r="ACS30" s="16">
        <v>44413</v>
      </c>
      <c r="ACT30">
        <v>111515</v>
      </c>
      <c r="ACU30">
        <v>795</v>
      </c>
      <c r="ACV30" s="16">
        <v>44414</v>
      </c>
      <c r="ACW30">
        <v>112261</v>
      </c>
      <c r="ACX30">
        <v>655</v>
      </c>
      <c r="ACY30" s="16">
        <v>44415</v>
      </c>
      <c r="ACZ30">
        <v>112796</v>
      </c>
      <c r="ADA30">
        <v>470</v>
      </c>
      <c r="ADB30" s="16">
        <v>44416</v>
      </c>
      <c r="ADC30">
        <v>113335</v>
      </c>
      <c r="ADD30">
        <v>529</v>
      </c>
      <c r="ADE30" s="16">
        <v>44417</v>
      </c>
      <c r="ADF30">
        <v>114343</v>
      </c>
      <c r="ADG30">
        <v>1005</v>
      </c>
      <c r="ADH30" s="16">
        <v>44418</v>
      </c>
      <c r="ADI30">
        <v>115179</v>
      </c>
      <c r="ADJ30">
        <v>828</v>
      </c>
      <c r="ADK30" s="16">
        <v>44419</v>
      </c>
      <c r="ADL30">
        <v>116023</v>
      </c>
      <c r="ADM30">
        <v>837</v>
      </c>
      <c r="ADN30" s="16">
        <v>44420</v>
      </c>
      <c r="ADO30">
        <v>116767</v>
      </c>
      <c r="ADP30">
        <v>742</v>
      </c>
      <c r="ADQ30" s="16">
        <v>44421</v>
      </c>
      <c r="ADR30">
        <v>117578</v>
      </c>
      <c r="ADS30">
        <v>697</v>
      </c>
      <c r="ADT30" s="16">
        <v>44422</v>
      </c>
      <c r="ADU30">
        <v>118099</v>
      </c>
      <c r="ADV30">
        <v>428</v>
      </c>
      <c r="ADW30" s="16">
        <v>44425</v>
      </c>
      <c r="ADX30">
        <v>119899</v>
      </c>
      <c r="ADY30">
        <v>619</v>
      </c>
      <c r="ADZ30" s="16">
        <v>44426</v>
      </c>
      <c r="AEA30">
        <v>120737</v>
      </c>
      <c r="AEB30">
        <v>649</v>
      </c>
      <c r="AEC30" s="16">
        <v>44427</v>
      </c>
      <c r="AED30">
        <v>121368</v>
      </c>
      <c r="AEE30">
        <v>627</v>
      </c>
      <c r="AEF30" s="16">
        <v>44428</v>
      </c>
      <c r="AEG30">
        <v>122036</v>
      </c>
      <c r="AEH30">
        <v>611</v>
      </c>
      <c r="AEI30" s="16">
        <v>44429</v>
      </c>
      <c r="AEJ30">
        <v>122453</v>
      </c>
      <c r="AEK30">
        <v>389</v>
      </c>
      <c r="AEL30" s="16">
        <v>44432</v>
      </c>
      <c r="AEM30">
        <v>124019</v>
      </c>
      <c r="AEN30">
        <v>455</v>
      </c>
      <c r="AEO30" s="16">
        <v>44433</v>
      </c>
      <c r="AEP30">
        <v>124841</v>
      </c>
      <c r="AEQ30">
        <v>631</v>
      </c>
      <c r="AER30" s="16">
        <v>44434</v>
      </c>
      <c r="AES30">
        <v>125419</v>
      </c>
      <c r="AET30">
        <v>561</v>
      </c>
      <c r="AEU30" s="16">
        <v>44435</v>
      </c>
      <c r="AEV30">
        <v>126152</v>
      </c>
      <c r="AEW30">
        <v>686</v>
      </c>
      <c r="AEX30" s="16">
        <v>44437</v>
      </c>
      <c r="AEY30">
        <v>127022</v>
      </c>
      <c r="AEZ30">
        <v>431</v>
      </c>
      <c r="AFA30" s="16">
        <v>44438</v>
      </c>
      <c r="AFB30">
        <v>127825</v>
      </c>
      <c r="AFC30">
        <v>715</v>
      </c>
      <c r="AFD30">
        <v>44443</v>
      </c>
      <c r="AFE30">
        <v>129192</v>
      </c>
      <c r="AFF30">
        <v>0</v>
      </c>
      <c r="AFG30">
        <v>44444</v>
      </c>
      <c r="AFH30">
        <v>131010</v>
      </c>
      <c r="AFI30">
        <v>344</v>
      </c>
      <c r="AFJ30">
        <v>44446</v>
      </c>
      <c r="AFK30">
        <v>132084</v>
      </c>
      <c r="AFL30">
        <v>481</v>
      </c>
      <c r="AFM30">
        <v>44449</v>
      </c>
      <c r="AFN30">
        <v>133453</v>
      </c>
      <c r="AFO30">
        <v>445</v>
      </c>
      <c r="AFP30">
        <v>44450</v>
      </c>
      <c r="AFQ30">
        <v>133881</v>
      </c>
      <c r="AFR30">
        <v>324</v>
      </c>
      <c r="AFS30">
        <v>44452</v>
      </c>
      <c r="AFT30">
        <v>134679</v>
      </c>
      <c r="AFU30">
        <v>510</v>
      </c>
      <c r="AFV30">
        <v>44453</v>
      </c>
      <c r="AFW30">
        <v>135172</v>
      </c>
      <c r="AFX30">
        <v>471</v>
      </c>
      <c r="AFY30">
        <v>44455</v>
      </c>
      <c r="AFZ30">
        <v>136033</v>
      </c>
      <c r="AGA30">
        <v>407</v>
      </c>
      <c r="AGB30">
        <v>44456</v>
      </c>
      <c r="AGC30">
        <v>136429</v>
      </c>
      <c r="AGD30">
        <v>360</v>
      </c>
      <c r="AGE30">
        <v>44459</v>
      </c>
      <c r="AGF30">
        <v>137411</v>
      </c>
      <c r="AGG30">
        <v>438</v>
      </c>
      <c r="AGH30">
        <v>44460</v>
      </c>
      <c r="AGI30">
        <v>137930</v>
      </c>
      <c r="AGJ30">
        <v>477</v>
      </c>
      <c r="AGK30">
        <v>44462</v>
      </c>
      <c r="AGL30">
        <v>138866</v>
      </c>
      <c r="AGM30">
        <v>453</v>
      </c>
      <c r="AGN30">
        <v>44462</v>
      </c>
      <c r="AGO30">
        <v>138880</v>
      </c>
      <c r="AGP30">
        <v>456</v>
      </c>
      <c r="AGQ30">
        <v>44463</v>
      </c>
      <c r="AGR30">
        <v>139316</v>
      </c>
      <c r="AGS30">
        <v>408</v>
      </c>
      <c r="AGT30">
        <v>44464</v>
      </c>
      <c r="AGU30">
        <v>139654</v>
      </c>
      <c r="AGV30">
        <v>295</v>
      </c>
      <c r="AGW30">
        <v>44466</v>
      </c>
      <c r="AGX30">
        <v>140682</v>
      </c>
      <c r="AGY30">
        <v>676</v>
      </c>
      <c r="AGZ30">
        <v>44468</v>
      </c>
      <c r="AHA30">
        <v>141879</v>
      </c>
      <c r="AHB30">
        <v>554</v>
      </c>
      <c r="AHC30">
        <v>44469</v>
      </c>
      <c r="AHD30">
        <v>142549</v>
      </c>
      <c r="AHE30">
        <v>568</v>
      </c>
      <c r="AHF30">
        <v>44470</v>
      </c>
      <c r="AHG30">
        <v>143094</v>
      </c>
      <c r="AHH30">
        <v>507</v>
      </c>
      <c r="AHI30">
        <v>44471</v>
      </c>
      <c r="AHJ30">
        <v>143477</v>
      </c>
      <c r="AHK30">
        <v>349</v>
      </c>
      <c r="AHL30">
        <v>44475</v>
      </c>
      <c r="AHM30">
        <v>145354</v>
      </c>
      <c r="AHN30">
        <v>255</v>
      </c>
      <c r="AHO30">
        <v>44476</v>
      </c>
      <c r="AHP30">
        <v>146313</v>
      </c>
      <c r="AHQ30">
        <v>517</v>
      </c>
      <c r="AHR30">
        <v>44477</v>
      </c>
      <c r="AHS30">
        <v>146919</v>
      </c>
      <c r="AHT30">
        <v>567</v>
      </c>
      <c r="AHU30">
        <v>44478</v>
      </c>
      <c r="AHV30">
        <v>147382</v>
      </c>
      <c r="AHW30">
        <v>424</v>
      </c>
      <c r="AHX30">
        <v>44479</v>
      </c>
      <c r="AHY30">
        <v>147793</v>
      </c>
      <c r="AHZ30">
        <v>399</v>
      </c>
      <c r="AIA30">
        <v>44483</v>
      </c>
      <c r="AIB30">
        <v>149897</v>
      </c>
      <c r="AIC30">
        <v>261</v>
      </c>
      <c r="AID30">
        <v>44487</v>
      </c>
      <c r="AIE30">
        <v>151787</v>
      </c>
      <c r="AIF30">
        <v>303</v>
      </c>
      <c r="AIG30">
        <v>44491</v>
      </c>
      <c r="AIH30">
        <v>153156</v>
      </c>
      <c r="AII30">
        <v>0</v>
      </c>
      <c r="AIJ30">
        <v>44492</v>
      </c>
      <c r="AIK30">
        <v>154862</v>
      </c>
      <c r="AIL30">
        <v>373</v>
      </c>
      <c r="AIM30">
        <v>44493</v>
      </c>
      <c r="AIN30">
        <v>155261</v>
      </c>
      <c r="AIO30">
        <v>389</v>
      </c>
      <c r="AIP30">
        <v>44496</v>
      </c>
      <c r="AIQ30">
        <v>157265</v>
      </c>
      <c r="AIR30">
        <v>590</v>
      </c>
      <c r="AIS30">
        <v>44497</v>
      </c>
      <c r="AIT30">
        <v>157887</v>
      </c>
      <c r="AIU30">
        <v>529</v>
      </c>
      <c r="AIV30">
        <v>44498</v>
      </c>
      <c r="AIW30">
        <v>158567</v>
      </c>
      <c r="AIX30">
        <v>623</v>
      </c>
      <c r="AIY30">
        <v>44499</v>
      </c>
      <c r="AIZ30">
        <v>159250</v>
      </c>
      <c r="AJA30">
        <v>396</v>
      </c>
      <c r="AJB30">
        <v>44500</v>
      </c>
      <c r="AJC30">
        <v>159698</v>
      </c>
      <c r="AJD30">
        <v>436</v>
      </c>
      <c r="AJE30">
        <v>44503</v>
      </c>
      <c r="AJF30">
        <v>162129</v>
      </c>
      <c r="AJG30">
        <v>710</v>
      </c>
      <c r="AJH30">
        <v>44504</v>
      </c>
      <c r="AJI30">
        <v>163019</v>
      </c>
      <c r="AJJ30">
        <v>781</v>
      </c>
      <c r="AJK30">
        <v>44505</v>
      </c>
      <c r="AJL30">
        <v>163890</v>
      </c>
      <c r="AJM30">
        <v>836</v>
      </c>
      <c r="AJN30">
        <v>44506</v>
      </c>
      <c r="AJO30">
        <v>164409</v>
      </c>
      <c r="AJP30">
        <v>506</v>
      </c>
      <c r="AJQ30">
        <v>44510</v>
      </c>
      <c r="AJR30">
        <v>167117</v>
      </c>
      <c r="AJS30">
        <v>402</v>
      </c>
      <c r="AJT30">
        <v>44511</v>
      </c>
      <c r="AJU30">
        <v>168669</v>
      </c>
      <c r="AJV30">
        <v>888</v>
      </c>
      <c r="AJW30">
        <v>44512</v>
      </c>
      <c r="AJX30">
        <v>169628</v>
      </c>
      <c r="AJY30">
        <v>922</v>
      </c>
      <c r="AJZ30">
        <v>44513</v>
      </c>
      <c r="AKA30">
        <v>170268</v>
      </c>
      <c r="AKB30">
        <v>603</v>
      </c>
      <c r="AKC30">
        <v>44514</v>
      </c>
      <c r="AKD30">
        <v>170893</v>
      </c>
      <c r="AKE30">
        <v>564</v>
      </c>
      <c r="AKF30">
        <v>44517</v>
      </c>
      <c r="AKG30">
        <v>174383</v>
      </c>
      <c r="AKH30">
        <v>1061</v>
      </c>
      <c r="AKI30">
        <v>44520</v>
      </c>
      <c r="AKJ30">
        <v>177095</v>
      </c>
      <c r="AKK30">
        <v>473</v>
      </c>
      <c r="AKL30">
        <v>44522</v>
      </c>
      <c r="AKM30">
        <v>179460</v>
      </c>
      <c r="AKN30">
        <v>1319</v>
      </c>
      <c r="AKO30">
        <v>44524</v>
      </c>
      <c r="AKP30">
        <v>181830</v>
      </c>
      <c r="AKQ30">
        <v>865</v>
      </c>
      <c r="AKR30">
        <v>44525</v>
      </c>
      <c r="AKS30">
        <v>183597</v>
      </c>
      <c r="AKT30">
        <v>1197</v>
      </c>
      <c r="AKU30">
        <v>44527</v>
      </c>
      <c r="AKV30">
        <v>185416</v>
      </c>
      <c r="AKW30">
        <v>551</v>
      </c>
      <c r="AKX30">
        <v>44528</v>
      </c>
      <c r="AKY30">
        <v>186545</v>
      </c>
      <c r="AKZ30">
        <v>785</v>
      </c>
      <c r="ALA30">
        <v>44531</v>
      </c>
      <c r="ALB30">
        <v>190732</v>
      </c>
      <c r="ALC30">
        <v>1174</v>
      </c>
      <c r="ALD30">
        <v>44532</v>
      </c>
      <c r="ALE30">
        <v>192441</v>
      </c>
      <c r="ALF30">
        <v>1398</v>
      </c>
      <c r="ALG30">
        <v>44533</v>
      </c>
      <c r="ALH30">
        <v>193949</v>
      </c>
      <c r="ALI30">
        <v>1451</v>
      </c>
      <c r="ALJ30">
        <v>44534</v>
      </c>
      <c r="ALK30">
        <v>194963</v>
      </c>
      <c r="ALL30">
        <v>949</v>
      </c>
      <c r="ALM30">
        <v>44542</v>
      </c>
      <c r="ALN30">
        <v>206740</v>
      </c>
      <c r="ALO30">
        <v>1264</v>
      </c>
    </row>
    <row r="31" spans="2:1003">
      <c r="B31" t="str">
        <f t="shared" ca="1" si="2"/>
        <v>14.12</v>
      </c>
      <c r="C31" s="4">
        <f t="shared" ca="1" si="0"/>
        <v>44544</v>
      </c>
      <c r="D31" s="11">
        <f t="shared" ca="1" si="1"/>
        <v>210869</v>
      </c>
      <c r="E31">
        <f t="shared" ca="1" si="3"/>
        <v>1752</v>
      </c>
      <c r="F31" s="11">
        <f t="shared" ca="1" si="4"/>
        <v>216</v>
      </c>
      <c r="G31" s="11">
        <f t="shared" ca="1" si="5"/>
        <v>1536</v>
      </c>
      <c r="K31" s="4"/>
      <c r="L31" s="3"/>
      <c r="N31" s="16">
        <v>44543</v>
      </c>
      <c r="O31">
        <v>208981</v>
      </c>
      <c r="P31">
        <v>2241</v>
      </c>
      <c r="Q31" s="16">
        <v>44543</v>
      </c>
      <c r="R31">
        <v>208981</v>
      </c>
      <c r="S31">
        <v>2241</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s="16">
        <v>44292</v>
      </c>
      <c r="RU31">
        <v>80813</v>
      </c>
      <c r="RV31">
        <v>491</v>
      </c>
      <c r="RW31" s="16">
        <v>44293</v>
      </c>
      <c r="RX31">
        <v>81255</v>
      </c>
      <c r="RY31">
        <v>398</v>
      </c>
      <c r="RZ31" s="16">
        <v>44294</v>
      </c>
      <c r="SA31">
        <v>81635</v>
      </c>
      <c r="SB31">
        <v>375</v>
      </c>
      <c r="SC31" s="16">
        <v>44295</v>
      </c>
      <c r="SD31">
        <v>81963</v>
      </c>
      <c r="SE31">
        <v>322</v>
      </c>
      <c r="SF31" s="16">
        <v>44296</v>
      </c>
      <c r="SG31">
        <v>82201</v>
      </c>
      <c r="SH31">
        <v>211</v>
      </c>
      <c r="SI31" s="16">
        <v>44297</v>
      </c>
      <c r="SJ31">
        <v>82471</v>
      </c>
      <c r="SK31">
        <v>217</v>
      </c>
      <c r="SL31" s="16">
        <v>44299</v>
      </c>
      <c r="SM31">
        <v>83084</v>
      </c>
      <c r="SN31">
        <v>255</v>
      </c>
      <c r="SO31" s="16">
        <v>44300</v>
      </c>
      <c r="SP31">
        <v>83495</v>
      </c>
      <c r="SQ31">
        <v>273</v>
      </c>
      <c r="SR31" s="16">
        <v>44301</v>
      </c>
      <c r="SS31">
        <v>83836</v>
      </c>
      <c r="ST31">
        <v>268</v>
      </c>
      <c r="SU31" s="16">
        <v>44302</v>
      </c>
      <c r="SV31">
        <v>84081</v>
      </c>
      <c r="SW31">
        <v>239</v>
      </c>
      <c r="SX31" s="16">
        <v>44304</v>
      </c>
      <c r="SY31">
        <v>84395</v>
      </c>
      <c r="SZ31">
        <v>123</v>
      </c>
      <c r="TA31" s="16">
        <v>44305</v>
      </c>
      <c r="TB31">
        <v>84741</v>
      </c>
      <c r="TC31">
        <v>273</v>
      </c>
      <c r="TD31" s="16">
        <v>44307</v>
      </c>
      <c r="TE31">
        <v>85210</v>
      </c>
      <c r="TF31">
        <v>190</v>
      </c>
      <c r="TG31" s="16">
        <v>44308</v>
      </c>
      <c r="TH31">
        <v>85496</v>
      </c>
      <c r="TI31">
        <v>239</v>
      </c>
      <c r="TJ31" s="16">
        <v>44309</v>
      </c>
      <c r="TK31">
        <v>85730</v>
      </c>
      <c r="TL31">
        <v>229</v>
      </c>
      <c r="TM31" s="16">
        <v>44310</v>
      </c>
      <c r="TN31">
        <v>85917</v>
      </c>
      <c r="TO31">
        <v>148</v>
      </c>
      <c r="TP31" s="16">
        <v>44312</v>
      </c>
      <c r="TQ31">
        <v>86298</v>
      </c>
      <c r="TR31">
        <v>207</v>
      </c>
      <c r="TS31" s="16">
        <v>44313</v>
      </c>
      <c r="TT31">
        <v>86504</v>
      </c>
      <c r="TU31">
        <v>193</v>
      </c>
      <c r="TV31" s="16">
        <v>44313</v>
      </c>
      <c r="TW31">
        <v>86535</v>
      </c>
      <c r="TX31">
        <v>204</v>
      </c>
      <c r="TY31" s="16">
        <v>44314</v>
      </c>
      <c r="TZ31">
        <v>86824</v>
      </c>
      <c r="UA31">
        <v>247</v>
      </c>
      <c r="UB31" s="16">
        <v>44316</v>
      </c>
      <c r="UC31">
        <v>87179</v>
      </c>
      <c r="UD31">
        <v>168</v>
      </c>
      <c r="UE31" s="16">
        <v>44316</v>
      </c>
      <c r="UF31">
        <v>87195</v>
      </c>
      <c r="UG31">
        <v>182</v>
      </c>
      <c r="UH31" s="16">
        <v>44317</v>
      </c>
      <c r="UI31">
        <v>87319</v>
      </c>
      <c r="UJ31">
        <v>96</v>
      </c>
      <c r="UK31" s="16">
        <v>44318</v>
      </c>
      <c r="UL31">
        <v>87471</v>
      </c>
      <c r="UM31">
        <v>109</v>
      </c>
      <c r="UN31" s="16">
        <v>44322</v>
      </c>
      <c r="UO31">
        <v>88078</v>
      </c>
      <c r="UP31">
        <v>0</v>
      </c>
      <c r="UQ31" s="16">
        <v>44323</v>
      </c>
      <c r="UR31">
        <v>88681</v>
      </c>
      <c r="US31">
        <v>187</v>
      </c>
      <c r="UT31" s="16">
        <v>44324</v>
      </c>
      <c r="UU31">
        <v>88826</v>
      </c>
      <c r="UV31">
        <v>120</v>
      </c>
      <c r="UW31" s="16">
        <v>44325</v>
      </c>
      <c r="UX31">
        <v>88994</v>
      </c>
      <c r="UY31">
        <v>125</v>
      </c>
      <c r="UZ31" s="16">
        <v>44327</v>
      </c>
      <c r="VA31">
        <v>89423</v>
      </c>
      <c r="VB31">
        <v>175</v>
      </c>
      <c r="VC31" s="16">
        <v>44327</v>
      </c>
      <c r="VD31">
        <v>89438</v>
      </c>
      <c r="VE31">
        <v>182</v>
      </c>
      <c r="VF31" s="16">
        <v>44328</v>
      </c>
      <c r="VG31">
        <v>89689</v>
      </c>
      <c r="VH31">
        <v>219</v>
      </c>
      <c r="VI31" s="16">
        <v>44330</v>
      </c>
      <c r="VJ31">
        <v>90015</v>
      </c>
      <c r="VK31">
        <v>185</v>
      </c>
      <c r="VL31" s="16">
        <v>44330</v>
      </c>
      <c r="VM31">
        <v>90047</v>
      </c>
      <c r="VN31">
        <v>220</v>
      </c>
      <c r="VO31" s="16">
        <v>44331</v>
      </c>
      <c r="VP31">
        <v>90239</v>
      </c>
      <c r="VQ31">
        <v>153</v>
      </c>
      <c r="VR31" s="16">
        <v>44332</v>
      </c>
      <c r="VS31">
        <v>90392</v>
      </c>
      <c r="VT31">
        <v>124</v>
      </c>
      <c r="VU31" s="16">
        <v>44334</v>
      </c>
      <c r="VV31">
        <v>90843</v>
      </c>
      <c r="VW31">
        <v>160</v>
      </c>
      <c r="VX31" s="16">
        <v>44334</v>
      </c>
      <c r="VY31">
        <v>90902</v>
      </c>
      <c r="VZ31">
        <v>206</v>
      </c>
      <c r="WA31" s="16">
        <v>44335</v>
      </c>
      <c r="WB31">
        <v>91125</v>
      </c>
      <c r="WC31">
        <v>206</v>
      </c>
      <c r="WD31" s="16">
        <v>44336</v>
      </c>
      <c r="WE31">
        <v>91328</v>
      </c>
      <c r="WF31">
        <v>200</v>
      </c>
      <c r="WG31" s="16">
        <v>44337</v>
      </c>
      <c r="WH31">
        <v>91469</v>
      </c>
      <c r="WI31">
        <v>140</v>
      </c>
      <c r="WJ31" s="16">
        <v>44339</v>
      </c>
      <c r="WK31">
        <v>91670</v>
      </c>
      <c r="WL31">
        <v>82</v>
      </c>
      <c r="WM31" s="16">
        <v>44339</v>
      </c>
      <c r="WN31">
        <v>91723</v>
      </c>
      <c r="WO31">
        <v>85</v>
      </c>
      <c r="WP31" s="16">
        <v>44342</v>
      </c>
      <c r="WQ31">
        <v>92062</v>
      </c>
      <c r="WR31">
        <v>66</v>
      </c>
      <c r="WS31" s="16">
        <v>44343</v>
      </c>
      <c r="WT31">
        <v>92307</v>
      </c>
      <c r="WU31">
        <v>106</v>
      </c>
      <c r="WV31" s="16">
        <v>44344</v>
      </c>
      <c r="WW31">
        <v>92413</v>
      </c>
      <c r="WX31">
        <v>102</v>
      </c>
      <c r="WY31" s="16">
        <v>44345</v>
      </c>
      <c r="WZ31">
        <v>92527</v>
      </c>
      <c r="XA31">
        <v>53</v>
      </c>
      <c r="XB31" s="16">
        <v>44346</v>
      </c>
      <c r="XC31">
        <v>92621</v>
      </c>
      <c r="XD31">
        <v>69</v>
      </c>
      <c r="XE31" s="16">
        <v>44348</v>
      </c>
      <c r="XF31">
        <v>92843</v>
      </c>
      <c r="XG31">
        <v>98</v>
      </c>
      <c r="XH31" s="16">
        <v>44348</v>
      </c>
      <c r="XI31">
        <v>92890</v>
      </c>
      <c r="XJ31">
        <v>107</v>
      </c>
      <c r="XK31" s="16">
        <v>44349</v>
      </c>
      <c r="XL31">
        <v>93009</v>
      </c>
      <c r="XM31">
        <v>104</v>
      </c>
      <c r="XN31" s="16">
        <v>44350</v>
      </c>
      <c r="XO31">
        <v>93118</v>
      </c>
      <c r="XP31">
        <v>106</v>
      </c>
      <c r="XQ31" s="16">
        <v>44351</v>
      </c>
      <c r="XR31">
        <v>93198</v>
      </c>
      <c r="XS31">
        <v>76</v>
      </c>
      <c r="XT31" s="16">
        <v>44352</v>
      </c>
      <c r="XU31">
        <v>93273</v>
      </c>
      <c r="XV31">
        <v>57</v>
      </c>
      <c r="XW31" s="16">
        <v>44353</v>
      </c>
      <c r="XX31">
        <v>93364</v>
      </c>
      <c r="XY31">
        <v>57</v>
      </c>
      <c r="XZ31" s="16">
        <v>44354</v>
      </c>
      <c r="YA31">
        <v>93487</v>
      </c>
      <c r="YB31">
        <v>118</v>
      </c>
      <c r="YC31" s="16">
        <v>44356</v>
      </c>
      <c r="YD31">
        <v>93648</v>
      </c>
      <c r="YE31">
        <v>53</v>
      </c>
      <c r="YF31" s="16">
        <v>44357</v>
      </c>
      <c r="YG31">
        <v>93751</v>
      </c>
      <c r="YH31">
        <v>64</v>
      </c>
      <c r="YI31" s="16">
        <v>44358</v>
      </c>
      <c r="YJ31">
        <v>93809</v>
      </c>
      <c r="YK31">
        <v>54</v>
      </c>
      <c r="YL31" s="16">
        <v>44359</v>
      </c>
      <c r="YM31">
        <v>93856</v>
      </c>
      <c r="YN31">
        <v>34</v>
      </c>
      <c r="YO31" s="16">
        <v>44360</v>
      </c>
      <c r="YP31">
        <v>93919</v>
      </c>
      <c r="YQ31">
        <v>32</v>
      </c>
      <c r="YR31" s="16">
        <v>44361</v>
      </c>
      <c r="YS31">
        <v>93994</v>
      </c>
      <c r="YT31">
        <v>67</v>
      </c>
      <c r="YU31" s="16">
        <v>44363</v>
      </c>
      <c r="YV31">
        <v>94119</v>
      </c>
      <c r="YW31">
        <v>40</v>
      </c>
      <c r="YX31" s="16">
        <v>44364</v>
      </c>
      <c r="YY31">
        <v>94243</v>
      </c>
      <c r="YZ31">
        <v>72</v>
      </c>
      <c r="ZA31" s="16">
        <v>44365</v>
      </c>
      <c r="ZB31">
        <v>94314</v>
      </c>
      <c r="ZC31">
        <v>66</v>
      </c>
      <c r="ZD31" s="16">
        <v>44376</v>
      </c>
      <c r="ZE31">
        <v>94489</v>
      </c>
      <c r="ZF31">
        <v>0</v>
      </c>
      <c r="ZG31" s="16">
        <v>44377</v>
      </c>
      <c r="ZH31">
        <v>96120</v>
      </c>
      <c r="ZI31">
        <v>178</v>
      </c>
      <c r="ZJ31" s="16">
        <v>44378</v>
      </c>
      <c r="ZK31">
        <v>96300</v>
      </c>
      <c r="ZL31">
        <v>180</v>
      </c>
      <c r="ZM31" s="16">
        <v>44379</v>
      </c>
      <c r="ZN31">
        <v>96429</v>
      </c>
      <c r="ZO31">
        <v>118</v>
      </c>
      <c r="ZP31" s="16">
        <v>44380</v>
      </c>
      <c r="ZQ31">
        <v>96593</v>
      </c>
      <c r="ZR31">
        <v>116</v>
      </c>
      <c r="ZS31" s="16">
        <v>44384</v>
      </c>
      <c r="ZT31">
        <v>97049</v>
      </c>
      <c r="ZU31">
        <v>0</v>
      </c>
      <c r="ZV31" s="16">
        <v>44385</v>
      </c>
      <c r="ZW31">
        <v>97795</v>
      </c>
      <c r="ZX31">
        <v>268</v>
      </c>
      <c r="ZY31" s="16">
        <v>44386</v>
      </c>
      <c r="ZZ31">
        <v>98020</v>
      </c>
      <c r="AAA31">
        <v>222</v>
      </c>
      <c r="AAB31" s="16">
        <v>44387</v>
      </c>
      <c r="AAC31">
        <v>98222</v>
      </c>
      <c r="AAD31">
        <v>124</v>
      </c>
      <c r="AAE31" s="16">
        <v>44388</v>
      </c>
      <c r="AAF31">
        <v>98421</v>
      </c>
      <c r="AAG31">
        <v>143</v>
      </c>
      <c r="AAH31" s="16">
        <v>44391</v>
      </c>
      <c r="AAI31">
        <v>99212</v>
      </c>
      <c r="AAJ31">
        <v>183</v>
      </c>
      <c r="AAK31" s="16">
        <v>44392</v>
      </c>
      <c r="AAL31">
        <v>99806</v>
      </c>
      <c r="AAM31">
        <v>319</v>
      </c>
      <c r="AAN31" s="16">
        <v>44394</v>
      </c>
      <c r="AAO31">
        <v>100206</v>
      </c>
      <c r="AAP31">
        <v>135</v>
      </c>
      <c r="AAQ31" s="16">
        <v>44394</v>
      </c>
      <c r="AAR31">
        <v>100407</v>
      </c>
      <c r="AAS31">
        <v>179</v>
      </c>
      <c r="AAT31" s="16">
        <v>44395</v>
      </c>
      <c r="AAU31">
        <v>100682</v>
      </c>
      <c r="AAV31">
        <v>217</v>
      </c>
      <c r="AAW31" s="16">
        <v>44397</v>
      </c>
      <c r="AAX31">
        <v>101421</v>
      </c>
      <c r="AAY31">
        <v>311</v>
      </c>
      <c r="AAZ31" s="16">
        <v>44397</v>
      </c>
      <c r="ABA31">
        <v>101487</v>
      </c>
      <c r="ABB31">
        <v>341</v>
      </c>
      <c r="ABC31" s="16">
        <v>44398</v>
      </c>
      <c r="ABD31">
        <v>101963</v>
      </c>
      <c r="ABE31">
        <v>425</v>
      </c>
      <c r="ABF31" s="16">
        <v>44400</v>
      </c>
      <c r="ABG31">
        <v>102830</v>
      </c>
      <c r="ABH31">
        <v>389</v>
      </c>
      <c r="ABI31" s="16">
        <v>44400</v>
      </c>
      <c r="ABJ31">
        <v>102867</v>
      </c>
      <c r="ABK31">
        <v>416</v>
      </c>
      <c r="ABL31" s="16">
        <v>44401</v>
      </c>
      <c r="ABM31">
        <v>103222</v>
      </c>
      <c r="ABN31">
        <v>272</v>
      </c>
      <c r="ABO31" s="16">
        <v>44402</v>
      </c>
      <c r="ABP31">
        <v>103605</v>
      </c>
      <c r="ABQ31">
        <v>329</v>
      </c>
      <c r="ABR31" s="16">
        <v>44403</v>
      </c>
      <c r="ABS31">
        <v>104362</v>
      </c>
      <c r="ABT31">
        <v>732</v>
      </c>
      <c r="ABU31" s="16">
        <v>44404</v>
      </c>
      <c r="ABV31">
        <v>105040</v>
      </c>
      <c r="ABW31">
        <v>631</v>
      </c>
      <c r="ABX31" s="16">
        <v>44405</v>
      </c>
      <c r="ABY31">
        <v>105863</v>
      </c>
      <c r="ABZ31">
        <v>758</v>
      </c>
      <c r="ACA31" s="16">
        <v>44406</v>
      </c>
      <c r="ACB31">
        <v>106589</v>
      </c>
      <c r="ACC31">
        <v>727</v>
      </c>
      <c r="ACD31" s="16">
        <v>44407</v>
      </c>
      <c r="ACE31">
        <v>107213</v>
      </c>
      <c r="ACF31">
        <v>608</v>
      </c>
      <c r="ACG31" s="16">
        <v>44408</v>
      </c>
      <c r="ACH31">
        <v>107711</v>
      </c>
      <c r="ACI31">
        <v>364</v>
      </c>
      <c r="ACJ31" s="16">
        <v>44409</v>
      </c>
      <c r="ACK31">
        <v>108222</v>
      </c>
      <c r="ACL31">
        <v>434</v>
      </c>
      <c r="ACM31" s="16">
        <v>44412</v>
      </c>
      <c r="ACN31">
        <v>109982</v>
      </c>
      <c r="ACO31">
        <v>229</v>
      </c>
      <c r="ACP31" s="16">
        <v>44413</v>
      </c>
      <c r="ACQ31">
        <v>111501</v>
      </c>
      <c r="ACR31">
        <v>789</v>
      </c>
      <c r="ACS31" s="16">
        <v>44414</v>
      </c>
      <c r="ACT31">
        <v>112142</v>
      </c>
      <c r="ACU31">
        <v>627</v>
      </c>
      <c r="ACV31" s="16">
        <v>44415</v>
      </c>
      <c r="ACW31">
        <v>112682</v>
      </c>
      <c r="ACX31">
        <v>421</v>
      </c>
      <c r="ACY31" s="16">
        <v>44416</v>
      </c>
      <c r="ACZ31">
        <v>113287</v>
      </c>
      <c r="ADA31">
        <v>491</v>
      </c>
      <c r="ADB31" s="16">
        <v>44417</v>
      </c>
      <c r="ADC31">
        <v>114253</v>
      </c>
      <c r="ADD31">
        <v>918</v>
      </c>
      <c r="ADE31" s="16">
        <v>44418</v>
      </c>
      <c r="ADF31">
        <v>115097</v>
      </c>
      <c r="ADG31">
        <v>754</v>
      </c>
      <c r="ADH31" s="16">
        <v>44419</v>
      </c>
      <c r="ADI31">
        <v>116015</v>
      </c>
      <c r="ADJ31">
        <v>836</v>
      </c>
      <c r="ADK31" s="16">
        <v>44420</v>
      </c>
      <c r="ADL31">
        <v>116736</v>
      </c>
      <c r="ADM31">
        <v>713</v>
      </c>
      <c r="ADN31" s="16">
        <v>44421</v>
      </c>
      <c r="ADO31">
        <v>117447</v>
      </c>
      <c r="ADP31">
        <v>680</v>
      </c>
      <c r="ADQ31" s="16">
        <v>44422</v>
      </c>
      <c r="ADR31">
        <v>117960</v>
      </c>
      <c r="ADS31">
        <v>382</v>
      </c>
      <c r="ADT31" s="16">
        <v>44423</v>
      </c>
      <c r="ADU31">
        <v>118527</v>
      </c>
      <c r="ADV31">
        <v>428</v>
      </c>
      <c r="ADW31" s="16">
        <v>44426</v>
      </c>
      <c r="ADX31">
        <v>120186</v>
      </c>
      <c r="ADY31">
        <v>287</v>
      </c>
      <c r="ADZ31" s="16">
        <v>44427</v>
      </c>
      <c r="AEA31">
        <v>121358</v>
      </c>
      <c r="AEB31">
        <v>621</v>
      </c>
      <c r="AEC31" s="16">
        <v>44428</v>
      </c>
      <c r="AED31">
        <v>121926</v>
      </c>
      <c r="AEE31">
        <v>558</v>
      </c>
      <c r="AEF31" s="16">
        <v>44429</v>
      </c>
      <c r="AEG31">
        <v>122392</v>
      </c>
      <c r="AEH31">
        <v>356</v>
      </c>
      <c r="AEI31" s="16">
        <v>44430</v>
      </c>
      <c r="AEJ31">
        <v>122886</v>
      </c>
      <c r="AEK31">
        <v>433</v>
      </c>
      <c r="AEL31" s="16">
        <v>44433</v>
      </c>
      <c r="AEM31">
        <v>124285</v>
      </c>
      <c r="AEN31">
        <v>266</v>
      </c>
      <c r="AEO31" s="16">
        <v>44434</v>
      </c>
      <c r="AEP31">
        <v>125361</v>
      </c>
      <c r="AEQ31">
        <v>520</v>
      </c>
      <c r="AER31" s="16">
        <v>44435</v>
      </c>
      <c r="AES31">
        <v>126047</v>
      </c>
      <c r="AET31">
        <v>628</v>
      </c>
      <c r="AEU31" s="16">
        <v>44436</v>
      </c>
      <c r="AEV31">
        <v>126560</v>
      </c>
      <c r="AEW31">
        <v>408</v>
      </c>
      <c r="AEX31" s="16">
        <v>44438</v>
      </c>
      <c r="AEY31">
        <v>127637</v>
      </c>
      <c r="AEZ31">
        <v>615</v>
      </c>
      <c r="AFA31" s="16">
        <v>44439</v>
      </c>
      <c r="AFB31">
        <v>128411</v>
      </c>
      <c r="AFC31">
        <v>586</v>
      </c>
      <c r="AFD31">
        <v>44444</v>
      </c>
      <c r="AFE31">
        <v>129192</v>
      </c>
      <c r="AFF31">
        <v>0</v>
      </c>
      <c r="AFG31">
        <v>44445</v>
      </c>
      <c r="AFH31">
        <v>131562</v>
      </c>
      <c r="AFI31">
        <v>552</v>
      </c>
      <c r="AFJ31">
        <v>44447</v>
      </c>
      <c r="AFK31">
        <v>132490</v>
      </c>
      <c r="AFL31">
        <v>406</v>
      </c>
      <c r="AFM31">
        <v>44450</v>
      </c>
      <c r="AFN31">
        <v>133638</v>
      </c>
      <c r="AFO31">
        <v>185</v>
      </c>
      <c r="AFP31">
        <v>44451</v>
      </c>
      <c r="AFQ31">
        <v>134156</v>
      </c>
      <c r="AFR31">
        <v>275</v>
      </c>
      <c r="AFS31">
        <v>44453</v>
      </c>
      <c r="AFT31">
        <v>135082</v>
      </c>
      <c r="AFU31">
        <v>403</v>
      </c>
      <c r="AFV31">
        <v>44454</v>
      </c>
      <c r="AFW31">
        <v>135626</v>
      </c>
      <c r="AFX31">
        <v>454</v>
      </c>
      <c r="AFY31">
        <v>44456</v>
      </c>
      <c r="AFZ31">
        <v>136255</v>
      </c>
      <c r="AGA31">
        <v>222</v>
      </c>
      <c r="AGB31">
        <v>44457</v>
      </c>
      <c r="AGC31">
        <v>136653</v>
      </c>
      <c r="AGD31">
        <v>224</v>
      </c>
      <c r="AGE31">
        <v>44460</v>
      </c>
      <c r="AGF31">
        <v>137594</v>
      </c>
      <c r="AGG31">
        <v>183</v>
      </c>
      <c r="AGH31">
        <v>44461</v>
      </c>
      <c r="AGI31">
        <v>138383</v>
      </c>
      <c r="AGJ31">
        <v>453</v>
      </c>
      <c r="AGK31">
        <v>44463</v>
      </c>
      <c r="AGL31">
        <v>139240</v>
      </c>
      <c r="AGM31">
        <v>374</v>
      </c>
      <c r="AGN31">
        <v>44463</v>
      </c>
      <c r="AGO31">
        <v>139270</v>
      </c>
      <c r="AGP31">
        <v>390</v>
      </c>
      <c r="AGQ31">
        <v>44464</v>
      </c>
      <c r="AGR31">
        <v>139544</v>
      </c>
      <c r="AGS31">
        <v>228</v>
      </c>
      <c r="AGT31">
        <v>44465</v>
      </c>
      <c r="AGU31">
        <v>139997</v>
      </c>
      <c r="AGV31">
        <v>343</v>
      </c>
      <c r="AGW31">
        <v>44467</v>
      </c>
      <c r="AGX31">
        <v>141274</v>
      </c>
      <c r="AGY31">
        <v>592</v>
      </c>
      <c r="AGZ31">
        <v>44469</v>
      </c>
      <c r="AHA31">
        <v>142114</v>
      </c>
      <c r="AHB31">
        <v>235</v>
      </c>
      <c r="AHC31">
        <v>44470</v>
      </c>
      <c r="AHD31">
        <v>143027</v>
      </c>
      <c r="AHE31">
        <v>478</v>
      </c>
      <c r="AHF31">
        <v>44471</v>
      </c>
      <c r="AHG31">
        <v>143436</v>
      </c>
      <c r="AHH31">
        <v>342</v>
      </c>
      <c r="AHI31">
        <v>44472</v>
      </c>
      <c r="AHJ31">
        <v>143837</v>
      </c>
      <c r="AHK31">
        <v>360</v>
      </c>
      <c r="AHL31">
        <v>44476</v>
      </c>
      <c r="AHM31">
        <v>145354</v>
      </c>
      <c r="AHN31">
        <v>0</v>
      </c>
      <c r="AHO31">
        <v>44477</v>
      </c>
      <c r="AHP31">
        <v>146841</v>
      </c>
      <c r="AHQ31">
        <v>528</v>
      </c>
      <c r="AHR31">
        <v>44478</v>
      </c>
      <c r="AHS31">
        <v>147328</v>
      </c>
      <c r="AHT31">
        <v>409</v>
      </c>
      <c r="AHU31">
        <v>44479</v>
      </c>
      <c r="AHV31">
        <v>147774</v>
      </c>
      <c r="AHW31">
        <v>392</v>
      </c>
      <c r="AHX31">
        <v>44480</v>
      </c>
      <c r="AHY31">
        <v>148441</v>
      </c>
      <c r="AHZ31">
        <v>648</v>
      </c>
      <c r="AIA31">
        <v>44484</v>
      </c>
      <c r="AIB31">
        <v>149897</v>
      </c>
      <c r="AIC31">
        <v>0</v>
      </c>
      <c r="AID31">
        <v>44488</v>
      </c>
      <c r="AIE31">
        <v>151787</v>
      </c>
      <c r="AIF31">
        <v>0</v>
      </c>
      <c r="AIG31">
        <v>44492</v>
      </c>
      <c r="AIH31">
        <v>153156</v>
      </c>
      <c r="AII31">
        <v>0</v>
      </c>
      <c r="AIJ31">
        <v>44493</v>
      </c>
      <c r="AIK31">
        <v>155236</v>
      </c>
      <c r="AIL31">
        <v>374</v>
      </c>
      <c r="AIM31">
        <v>44494</v>
      </c>
      <c r="AIN31">
        <v>156029</v>
      </c>
      <c r="AIO31">
        <v>768</v>
      </c>
      <c r="AIP31">
        <v>44497</v>
      </c>
      <c r="AIQ31">
        <v>157531</v>
      </c>
      <c r="AIR31">
        <v>266</v>
      </c>
      <c r="AIS31">
        <v>44498</v>
      </c>
      <c r="AIT31">
        <v>158467</v>
      </c>
      <c r="AIU31">
        <v>580</v>
      </c>
      <c r="AIV31">
        <v>44499</v>
      </c>
      <c r="AIW31">
        <v>158953</v>
      </c>
      <c r="AIX31">
        <v>386</v>
      </c>
      <c r="AIY31">
        <v>44500</v>
      </c>
      <c r="AIZ31">
        <v>159674</v>
      </c>
      <c r="AJA31">
        <v>424</v>
      </c>
      <c r="AJB31">
        <v>44501</v>
      </c>
      <c r="AJC31">
        <v>160641</v>
      </c>
      <c r="AJD31">
        <v>943</v>
      </c>
      <c r="AJE31">
        <v>44504</v>
      </c>
      <c r="AJF31">
        <v>162476</v>
      </c>
      <c r="AJG31">
        <v>347</v>
      </c>
      <c r="AJH31">
        <v>44505</v>
      </c>
      <c r="AJI31">
        <v>163810</v>
      </c>
      <c r="AJJ31">
        <v>791</v>
      </c>
      <c r="AJK31">
        <v>44506</v>
      </c>
      <c r="AJL31">
        <v>164394</v>
      </c>
      <c r="AJM31">
        <v>504</v>
      </c>
      <c r="AJN31">
        <v>44507</v>
      </c>
      <c r="AJO31">
        <v>164902</v>
      </c>
      <c r="AJP31">
        <v>493</v>
      </c>
      <c r="AJQ31">
        <v>44511</v>
      </c>
      <c r="AJR31">
        <v>167119</v>
      </c>
      <c r="AJS31">
        <v>2</v>
      </c>
      <c r="AJT31">
        <v>44512</v>
      </c>
      <c r="AJU31">
        <v>169550</v>
      </c>
      <c r="AJV31">
        <v>881</v>
      </c>
      <c r="AJW31">
        <v>44513</v>
      </c>
      <c r="AJX31">
        <v>170221</v>
      </c>
      <c r="AJY31">
        <v>593</v>
      </c>
      <c r="AJZ31">
        <v>44514</v>
      </c>
      <c r="AKA31">
        <v>170821</v>
      </c>
      <c r="AKB31">
        <v>553</v>
      </c>
      <c r="AKC31">
        <v>44515</v>
      </c>
      <c r="AKD31">
        <v>172124</v>
      </c>
      <c r="AKE31">
        <v>1231</v>
      </c>
      <c r="AKF31">
        <v>44518</v>
      </c>
      <c r="AKG31">
        <v>174823</v>
      </c>
      <c r="AKH31">
        <v>440</v>
      </c>
      <c r="AKI31">
        <v>44521</v>
      </c>
      <c r="AKJ31">
        <v>177439</v>
      </c>
      <c r="AKK31">
        <v>344</v>
      </c>
      <c r="AKL31">
        <v>44523</v>
      </c>
      <c r="AKM31">
        <v>180446</v>
      </c>
      <c r="AKN31">
        <v>986</v>
      </c>
      <c r="AKO31">
        <v>44525</v>
      </c>
      <c r="AKP31">
        <v>182284</v>
      </c>
      <c r="AKQ31">
        <v>454</v>
      </c>
      <c r="AKR31">
        <v>44526</v>
      </c>
      <c r="AKS31">
        <v>184778</v>
      </c>
      <c r="AKT31">
        <v>1181</v>
      </c>
      <c r="AKU31">
        <v>44528</v>
      </c>
      <c r="AKV31">
        <v>185992</v>
      </c>
      <c r="AKW31">
        <v>576</v>
      </c>
      <c r="AKX31">
        <v>44529</v>
      </c>
      <c r="AKY31">
        <v>188165</v>
      </c>
      <c r="AKZ31">
        <v>1620</v>
      </c>
      <c r="ALA31">
        <v>44532</v>
      </c>
      <c r="ALB31">
        <v>191226</v>
      </c>
      <c r="ALC31">
        <v>494</v>
      </c>
      <c r="ALD31">
        <v>44533</v>
      </c>
      <c r="ALE31">
        <v>193616</v>
      </c>
      <c r="ALF31">
        <v>1175</v>
      </c>
      <c r="ALG31">
        <v>44534</v>
      </c>
      <c r="ALH31">
        <v>194874</v>
      </c>
      <c r="ALI31">
        <v>925</v>
      </c>
      <c r="ALJ31">
        <v>44535</v>
      </c>
      <c r="ALK31">
        <v>195939</v>
      </c>
      <c r="ALL31">
        <v>976</v>
      </c>
      <c r="ALM31">
        <v>44543</v>
      </c>
      <c r="ALN31">
        <v>208981</v>
      </c>
      <c r="ALO31">
        <v>2241</v>
      </c>
    </row>
    <row r="32" spans="2:1003">
      <c r="B32" t="str">
        <f t="shared" ca="1" si="2"/>
        <v>15.12</v>
      </c>
      <c r="C32" s="4">
        <f t="shared" ca="1" si="0"/>
        <v>44545</v>
      </c>
      <c r="D32" s="11">
        <f t="shared" ca="1" si="1"/>
        <v>212560</v>
      </c>
      <c r="E32">
        <f t="shared" ca="1" si="3"/>
        <v>1691</v>
      </c>
      <c r="F32" s="11">
        <f t="shared" ca="1" si="4"/>
        <v>970</v>
      </c>
      <c r="G32" s="11">
        <f t="shared" ca="1" si="5"/>
        <v>721</v>
      </c>
      <c r="K32" s="4"/>
      <c r="L32" s="3"/>
      <c r="N32" s="16">
        <v>44544</v>
      </c>
      <c r="O32">
        <v>210517</v>
      </c>
      <c r="P32">
        <v>1536</v>
      </c>
      <c r="Q32" s="16">
        <v>44544</v>
      </c>
      <c r="R32">
        <v>210517</v>
      </c>
      <c r="S32">
        <v>1536</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s="16">
        <v>44293</v>
      </c>
      <c r="RU32">
        <v>81146</v>
      </c>
      <c r="RV32">
        <v>333</v>
      </c>
      <c r="RW32" s="16">
        <v>44294</v>
      </c>
      <c r="RX32">
        <v>81565</v>
      </c>
      <c r="RY32">
        <v>310</v>
      </c>
      <c r="RZ32" s="16">
        <v>44295</v>
      </c>
      <c r="SA32">
        <v>81914</v>
      </c>
      <c r="SB32">
        <v>279</v>
      </c>
      <c r="SC32" s="16">
        <v>44296</v>
      </c>
      <c r="SD32">
        <v>82147</v>
      </c>
      <c r="SE32">
        <v>184</v>
      </c>
      <c r="SF32" s="16">
        <v>44297</v>
      </c>
      <c r="SG32">
        <v>82381</v>
      </c>
      <c r="SH32">
        <v>180</v>
      </c>
      <c r="SI32" s="16">
        <v>44298</v>
      </c>
      <c r="SJ32">
        <v>82795</v>
      </c>
      <c r="SK32">
        <v>324</v>
      </c>
      <c r="SL32" s="16">
        <v>44300</v>
      </c>
      <c r="SM32">
        <v>83253</v>
      </c>
      <c r="SN32">
        <v>169</v>
      </c>
      <c r="SO32" s="16">
        <v>44301</v>
      </c>
      <c r="SP32">
        <v>83633</v>
      </c>
      <c r="SQ32">
        <v>138</v>
      </c>
      <c r="SR32" s="16">
        <v>44302</v>
      </c>
      <c r="SS32">
        <v>84022</v>
      </c>
      <c r="ST32">
        <v>186</v>
      </c>
      <c r="SU32" s="16">
        <v>44303</v>
      </c>
      <c r="SV32">
        <v>84216</v>
      </c>
      <c r="SW32">
        <v>135</v>
      </c>
      <c r="SX32" s="16">
        <v>44305</v>
      </c>
      <c r="SY32">
        <v>84501</v>
      </c>
      <c r="SZ32">
        <v>106</v>
      </c>
      <c r="TA32" s="16">
        <v>44306</v>
      </c>
      <c r="TB32">
        <v>84977</v>
      </c>
      <c r="TC32">
        <v>236</v>
      </c>
      <c r="TD32" s="16">
        <v>44308</v>
      </c>
      <c r="TE32">
        <v>85344</v>
      </c>
      <c r="TF32">
        <v>134</v>
      </c>
      <c r="TG32" s="16">
        <v>44309</v>
      </c>
      <c r="TH32">
        <v>85717</v>
      </c>
      <c r="TI32">
        <v>221</v>
      </c>
      <c r="TJ32" s="16">
        <v>44310</v>
      </c>
      <c r="TK32">
        <v>85860</v>
      </c>
      <c r="TL32">
        <v>130</v>
      </c>
      <c r="TM32" s="16">
        <v>44311</v>
      </c>
      <c r="TN32">
        <v>86038</v>
      </c>
      <c r="TO32">
        <v>121</v>
      </c>
      <c r="TP32" s="16">
        <v>44313</v>
      </c>
      <c r="TQ32">
        <v>86405</v>
      </c>
      <c r="TR32">
        <v>107</v>
      </c>
      <c r="TS32" s="16">
        <v>44314</v>
      </c>
      <c r="TT32">
        <v>86613</v>
      </c>
      <c r="TU32">
        <v>109</v>
      </c>
      <c r="TV32" s="16">
        <v>44314</v>
      </c>
      <c r="TW32">
        <v>86741</v>
      </c>
      <c r="TX32">
        <v>206</v>
      </c>
      <c r="TY32" s="16">
        <v>44315</v>
      </c>
      <c r="TZ32">
        <v>87001</v>
      </c>
      <c r="UA32">
        <v>177</v>
      </c>
      <c r="UB32" s="16">
        <v>44317</v>
      </c>
      <c r="UC32">
        <v>87228</v>
      </c>
      <c r="UD32">
        <v>49</v>
      </c>
      <c r="UE32" s="16">
        <v>44317</v>
      </c>
      <c r="UF32">
        <v>87289</v>
      </c>
      <c r="UG32">
        <v>94</v>
      </c>
      <c r="UH32" s="16">
        <v>44318</v>
      </c>
      <c r="UI32">
        <v>87421</v>
      </c>
      <c r="UJ32">
        <v>102</v>
      </c>
      <c r="UK32" s="16">
        <v>44319</v>
      </c>
      <c r="UL32">
        <v>87703</v>
      </c>
      <c r="UM32">
        <v>232</v>
      </c>
      <c r="UN32" s="16">
        <v>44323</v>
      </c>
      <c r="UO32">
        <v>88078</v>
      </c>
      <c r="UP32">
        <v>0</v>
      </c>
      <c r="UQ32" s="16">
        <v>44324</v>
      </c>
      <c r="UR32">
        <v>88796</v>
      </c>
      <c r="US32">
        <v>115</v>
      </c>
      <c r="UT32" s="16">
        <v>44325</v>
      </c>
      <c r="UU32">
        <v>88927</v>
      </c>
      <c r="UV32">
        <v>101</v>
      </c>
      <c r="UW32" s="16">
        <v>44326</v>
      </c>
      <c r="UX32">
        <v>89195</v>
      </c>
      <c r="UY32">
        <v>201</v>
      </c>
      <c r="UZ32" s="16">
        <v>44328</v>
      </c>
      <c r="VA32">
        <v>89532</v>
      </c>
      <c r="VB32">
        <v>109</v>
      </c>
      <c r="VC32" s="16">
        <v>44328</v>
      </c>
      <c r="VD32">
        <v>89618</v>
      </c>
      <c r="VE32">
        <v>180</v>
      </c>
      <c r="VF32" s="16">
        <v>44329</v>
      </c>
      <c r="VG32">
        <v>89813</v>
      </c>
      <c r="VH32">
        <v>124</v>
      </c>
      <c r="VI32" s="16">
        <v>44331</v>
      </c>
      <c r="VJ32">
        <v>90105</v>
      </c>
      <c r="VK32">
        <v>90</v>
      </c>
      <c r="VL32" s="16">
        <v>44331</v>
      </c>
      <c r="VM32">
        <v>90176</v>
      </c>
      <c r="VN32">
        <v>129</v>
      </c>
      <c r="VO32" s="16">
        <v>44332</v>
      </c>
      <c r="VP32">
        <v>90353</v>
      </c>
      <c r="VQ32">
        <v>114</v>
      </c>
      <c r="VR32" s="16">
        <v>44333</v>
      </c>
      <c r="VS32">
        <v>90601</v>
      </c>
      <c r="VT32">
        <v>209</v>
      </c>
      <c r="VU32" s="16">
        <v>44335</v>
      </c>
      <c r="VV32">
        <v>90946</v>
      </c>
      <c r="VW32">
        <v>103</v>
      </c>
      <c r="VX32" s="16">
        <v>44335</v>
      </c>
      <c r="VY32">
        <v>91081</v>
      </c>
      <c r="VZ32">
        <v>179</v>
      </c>
      <c r="WA32" s="16">
        <v>44336</v>
      </c>
      <c r="WB32">
        <v>91323</v>
      </c>
      <c r="WC32">
        <v>198</v>
      </c>
      <c r="WD32" s="16">
        <v>44337</v>
      </c>
      <c r="WE32">
        <v>91463</v>
      </c>
      <c r="WF32">
        <v>135</v>
      </c>
      <c r="WG32" s="16">
        <v>44338</v>
      </c>
      <c r="WH32">
        <v>91562</v>
      </c>
      <c r="WI32">
        <v>93</v>
      </c>
      <c r="WJ32" s="16">
        <v>44340</v>
      </c>
      <c r="WK32">
        <v>91744</v>
      </c>
      <c r="WL32">
        <v>74</v>
      </c>
      <c r="WM32" s="16">
        <v>44340</v>
      </c>
      <c r="WN32">
        <v>91879</v>
      </c>
      <c r="WO32">
        <v>156</v>
      </c>
      <c r="WP32" s="16">
        <v>44343</v>
      </c>
      <c r="WQ32">
        <v>92062</v>
      </c>
      <c r="WR32">
        <v>0</v>
      </c>
      <c r="WS32" s="16">
        <v>44344</v>
      </c>
      <c r="WT32">
        <v>92405</v>
      </c>
      <c r="WU32">
        <v>98</v>
      </c>
      <c r="WV32" s="16">
        <v>44345</v>
      </c>
      <c r="WW32">
        <v>92445</v>
      </c>
      <c r="WX32">
        <v>32</v>
      </c>
      <c r="WY32" s="16">
        <v>44346</v>
      </c>
      <c r="WZ32">
        <v>92591</v>
      </c>
      <c r="XA32">
        <v>64</v>
      </c>
      <c r="XB32" s="16">
        <v>44347</v>
      </c>
      <c r="XC32">
        <v>92711</v>
      </c>
      <c r="XD32">
        <v>90</v>
      </c>
      <c r="XE32" s="16">
        <v>44349</v>
      </c>
      <c r="XF32">
        <v>92913</v>
      </c>
      <c r="XG32">
        <v>70</v>
      </c>
      <c r="XH32" s="16">
        <v>44349</v>
      </c>
      <c r="XI32">
        <v>92980</v>
      </c>
      <c r="XJ32">
        <v>90</v>
      </c>
      <c r="XK32" s="16">
        <v>44350</v>
      </c>
      <c r="XL32">
        <v>93108</v>
      </c>
      <c r="XM32">
        <v>99</v>
      </c>
      <c r="XN32" s="16">
        <v>44351</v>
      </c>
      <c r="XO32">
        <v>93191</v>
      </c>
      <c r="XP32">
        <v>73</v>
      </c>
      <c r="XQ32" s="16">
        <v>44352</v>
      </c>
      <c r="XR32">
        <v>93242</v>
      </c>
      <c r="XS32">
        <v>44</v>
      </c>
      <c r="XT32" s="16">
        <v>44353</v>
      </c>
      <c r="XU32">
        <v>93320</v>
      </c>
      <c r="XV32">
        <v>47</v>
      </c>
      <c r="XW32" s="16">
        <v>44354</v>
      </c>
      <c r="XX32">
        <v>93470</v>
      </c>
      <c r="XY32">
        <v>106</v>
      </c>
      <c r="XZ32" s="16">
        <v>44355</v>
      </c>
      <c r="YA32">
        <v>93572</v>
      </c>
      <c r="YB32">
        <v>85</v>
      </c>
      <c r="YC32" s="16">
        <v>44357</v>
      </c>
      <c r="YD32">
        <v>93660</v>
      </c>
      <c r="YE32">
        <v>12</v>
      </c>
      <c r="YF32" s="16">
        <v>44358</v>
      </c>
      <c r="YG32">
        <v>93804</v>
      </c>
      <c r="YH32">
        <v>53</v>
      </c>
      <c r="YI32" s="16">
        <v>44359</v>
      </c>
      <c r="YJ32">
        <v>93831</v>
      </c>
      <c r="YK32">
        <v>22</v>
      </c>
      <c r="YL32" s="16">
        <v>44360</v>
      </c>
      <c r="YM32">
        <v>93888</v>
      </c>
      <c r="YN32">
        <v>32</v>
      </c>
      <c r="YO32" s="16">
        <v>44361</v>
      </c>
      <c r="YP32">
        <v>93985</v>
      </c>
      <c r="YQ32">
        <v>66</v>
      </c>
      <c r="YR32" s="16">
        <v>44362</v>
      </c>
      <c r="YS32">
        <v>94050</v>
      </c>
      <c r="YT32">
        <v>56</v>
      </c>
      <c r="YU32" s="16">
        <v>44364</v>
      </c>
      <c r="YV32">
        <v>94154</v>
      </c>
      <c r="YW32">
        <v>35</v>
      </c>
      <c r="YX32" s="16">
        <v>44365</v>
      </c>
      <c r="YY32">
        <v>94307</v>
      </c>
      <c r="YZ32">
        <v>64</v>
      </c>
      <c r="ZA32" s="16">
        <v>44366</v>
      </c>
      <c r="ZB32">
        <v>94349</v>
      </c>
      <c r="ZC32">
        <v>35</v>
      </c>
      <c r="ZD32" s="16">
        <v>44377</v>
      </c>
      <c r="ZE32">
        <v>94489</v>
      </c>
      <c r="ZF32">
        <v>0</v>
      </c>
      <c r="ZG32" s="16">
        <v>44378</v>
      </c>
      <c r="ZH32">
        <v>96295</v>
      </c>
      <c r="ZI32">
        <v>175</v>
      </c>
      <c r="ZJ32" s="16">
        <v>44379</v>
      </c>
      <c r="ZK32">
        <v>96405</v>
      </c>
      <c r="ZL32">
        <v>105</v>
      </c>
      <c r="ZM32" s="16">
        <v>44380</v>
      </c>
      <c r="ZN32">
        <v>96521</v>
      </c>
      <c r="ZO32">
        <v>92</v>
      </c>
      <c r="ZP32" s="16">
        <v>44381</v>
      </c>
      <c r="ZQ32">
        <v>96679</v>
      </c>
      <c r="ZR32">
        <v>86</v>
      </c>
      <c r="ZS32" s="16">
        <v>44385</v>
      </c>
      <c r="ZT32">
        <v>97049</v>
      </c>
      <c r="ZU32">
        <v>0</v>
      </c>
      <c r="ZV32" s="16">
        <v>44386</v>
      </c>
      <c r="ZW32">
        <v>98008</v>
      </c>
      <c r="ZX32">
        <v>213</v>
      </c>
      <c r="ZY32" s="16">
        <v>44387</v>
      </c>
      <c r="ZZ32">
        <v>98113</v>
      </c>
      <c r="AAA32">
        <v>93</v>
      </c>
      <c r="AAB32" s="16">
        <v>44388</v>
      </c>
      <c r="AAC32">
        <v>98363</v>
      </c>
      <c r="AAD32">
        <v>141</v>
      </c>
      <c r="AAE32" s="16">
        <v>44389</v>
      </c>
      <c r="AAF32">
        <v>98713</v>
      </c>
      <c r="AAG32">
        <v>292</v>
      </c>
      <c r="AAH32" s="16">
        <v>44392</v>
      </c>
      <c r="AAI32">
        <v>99212</v>
      </c>
      <c r="AAJ32">
        <v>0</v>
      </c>
      <c r="AAK32" s="16">
        <v>44393</v>
      </c>
      <c r="AAL32">
        <v>100050</v>
      </c>
      <c r="AAM32">
        <v>244</v>
      </c>
      <c r="AAN32" s="16">
        <v>44395</v>
      </c>
      <c r="AAO32">
        <v>100312</v>
      </c>
      <c r="AAP32">
        <v>106</v>
      </c>
      <c r="AAQ32" s="16">
        <v>44395</v>
      </c>
      <c r="AAR32">
        <v>100603</v>
      </c>
      <c r="AAS32">
        <v>196</v>
      </c>
      <c r="AAT32" s="16">
        <v>44396</v>
      </c>
      <c r="AAU32">
        <v>101050</v>
      </c>
      <c r="AAV32">
        <v>368</v>
      </c>
      <c r="AAW32" s="16">
        <v>44398</v>
      </c>
      <c r="AAX32">
        <v>101630</v>
      </c>
      <c r="AAY32">
        <v>209</v>
      </c>
      <c r="AAZ32" s="16">
        <v>44398</v>
      </c>
      <c r="ABA32">
        <v>101872</v>
      </c>
      <c r="ABB32">
        <v>385</v>
      </c>
      <c r="ABC32" s="16">
        <v>44399</v>
      </c>
      <c r="ABD32">
        <v>102396</v>
      </c>
      <c r="ABE32">
        <v>433</v>
      </c>
      <c r="ABF32" s="16">
        <v>44401</v>
      </c>
      <c r="ABG32">
        <v>102972</v>
      </c>
      <c r="ABH32">
        <v>142</v>
      </c>
      <c r="ABI32" s="16">
        <v>44401</v>
      </c>
      <c r="ABJ32">
        <v>103075</v>
      </c>
      <c r="ABK32">
        <v>208</v>
      </c>
      <c r="ABL32" s="16">
        <v>44402</v>
      </c>
      <c r="ABM32">
        <v>103530</v>
      </c>
      <c r="ABN32">
        <v>308</v>
      </c>
      <c r="ABO32" s="16">
        <v>44403</v>
      </c>
      <c r="ABP32">
        <v>104241</v>
      </c>
      <c r="ABQ32">
        <v>636</v>
      </c>
      <c r="ABR32" s="16">
        <v>44404</v>
      </c>
      <c r="ABS32">
        <v>104939</v>
      </c>
      <c r="ABT32">
        <v>577</v>
      </c>
      <c r="ABU32" s="16">
        <v>44405</v>
      </c>
      <c r="ABV32">
        <v>105756</v>
      </c>
      <c r="ABW32">
        <v>716</v>
      </c>
      <c r="ABX32" s="16">
        <v>44406</v>
      </c>
      <c r="ABY32">
        <v>106532</v>
      </c>
      <c r="ABZ32">
        <v>669</v>
      </c>
      <c r="ACA32" s="16">
        <v>44407</v>
      </c>
      <c r="ACB32">
        <v>107171</v>
      </c>
      <c r="ACC32">
        <v>582</v>
      </c>
      <c r="ACD32" s="16">
        <v>44408</v>
      </c>
      <c r="ACE32">
        <v>107499</v>
      </c>
      <c r="ACF32">
        <v>286</v>
      </c>
      <c r="ACG32" s="16">
        <v>44409</v>
      </c>
      <c r="ACH32">
        <v>108101</v>
      </c>
      <c r="ACI32">
        <v>390</v>
      </c>
      <c r="ACJ32" s="16">
        <v>44410</v>
      </c>
      <c r="ACK32">
        <v>108971</v>
      </c>
      <c r="ACL32">
        <v>749</v>
      </c>
      <c r="ACM32" s="16">
        <v>44413</v>
      </c>
      <c r="ACN32">
        <v>109982</v>
      </c>
      <c r="ACO32">
        <v>0</v>
      </c>
      <c r="ACP32" s="16">
        <v>44414</v>
      </c>
      <c r="ACQ32">
        <v>112028</v>
      </c>
      <c r="ACR32">
        <v>527</v>
      </c>
      <c r="ACS32" s="16">
        <v>44415</v>
      </c>
      <c r="ACT32">
        <v>112440</v>
      </c>
      <c r="ACU32">
        <v>298</v>
      </c>
      <c r="ACV32" s="16">
        <v>44416</v>
      </c>
      <c r="ACW32">
        <v>113130</v>
      </c>
      <c r="ACX32">
        <v>448</v>
      </c>
      <c r="ACY32" s="16">
        <v>44417</v>
      </c>
      <c r="ACZ32">
        <v>114061</v>
      </c>
      <c r="ADA32">
        <v>774</v>
      </c>
      <c r="ADB32" s="16">
        <v>44418</v>
      </c>
      <c r="ADC32">
        <v>114939</v>
      </c>
      <c r="ADD32">
        <v>686</v>
      </c>
      <c r="ADE32" s="16">
        <v>44419</v>
      </c>
      <c r="ADF32">
        <v>115868</v>
      </c>
      <c r="ADG32">
        <v>771</v>
      </c>
      <c r="ADH32" s="16">
        <v>44420</v>
      </c>
      <c r="ADI32">
        <v>116653</v>
      </c>
      <c r="ADJ32">
        <v>638</v>
      </c>
      <c r="ADK32" s="16">
        <v>44421</v>
      </c>
      <c r="ADL32">
        <v>117344</v>
      </c>
      <c r="ADM32">
        <v>608</v>
      </c>
      <c r="ADN32" s="16">
        <v>44422</v>
      </c>
      <c r="ADO32">
        <v>117776</v>
      </c>
      <c r="ADP32">
        <v>329</v>
      </c>
      <c r="ADQ32" s="16">
        <v>44423</v>
      </c>
      <c r="ADR32">
        <v>118338</v>
      </c>
      <c r="ADS32">
        <v>378</v>
      </c>
      <c r="ADT32" s="16">
        <v>44424</v>
      </c>
      <c r="ADU32">
        <v>119167</v>
      </c>
      <c r="ADV32">
        <v>640</v>
      </c>
      <c r="ADW32" s="16">
        <v>44427</v>
      </c>
      <c r="ADX32">
        <v>120186</v>
      </c>
      <c r="ADY32">
        <v>0</v>
      </c>
      <c r="ADZ32" s="16">
        <v>44428</v>
      </c>
      <c r="AEA32">
        <v>121863</v>
      </c>
      <c r="AEB32">
        <v>505</v>
      </c>
      <c r="AEC32" s="16">
        <v>44429</v>
      </c>
      <c r="AED32">
        <v>122194</v>
      </c>
      <c r="AEE32">
        <v>268</v>
      </c>
      <c r="AEF32" s="16">
        <v>44430</v>
      </c>
      <c r="AEG32">
        <v>122778</v>
      </c>
      <c r="AEH32">
        <v>386</v>
      </c>
      <c r="AEI32" s="16">
        <v>44431</v>
      </c>
      <c r="AEJ32">
        <v>123456</v>
      </c>
      <c r="AEK32">
        <v>570</v>
      </c>
      <c r="AEL32" s="16">
        <v>44434</v>
      </c>
      <c r="AEM32">
        <v>124285</v>
      </c>
      <c r="AEN32">
        <v>0</v>
      </c>
      <c r="AEO32" s="16">
        <v>44435</v>
      </c>
      <c r="AEP32">
        <v>125900</v>
      </c>
      <c r="AEQ32">
        <v>539</v>
      </c>
      <c r="AER32" s="16">
        <v>44436</v>
      </c>
      <c r="AES32">
        <v>126360</v>
      </c>
      <c r="AET32">
        <v>313</v>
      </c>
      <c r="AEU32" s="16">
        <v>44437</v>
      </c>
      <c r="AEV32">
        <v>126927</v>
      </c>
      <c r="AEW32">
        <v>367</v>
      </c>
      <c r="AEX32" s="16">
        <v>44439</v>
      </c>
      <c r="AEY32">
        <v>127861</v>
      </c>
      <c r="AEZ32">
        <v>224</v>
      </c>
      <c r="AFA32" s="16">
        <v>44440</v>
      </c>
      <c r="AFB32">
        <v>128867</v>
      </c>
      <c r="AFC32">
        <v>456</v>
      </c>
      <c r="AFD32">
        <v>44445</v>
      </c>
      <c r="AFE32">
        <v>129192</v>
      </c>
      <c r="AFF32">
        <v>0</v>
      </c>
      <c r="AFG32">
        <v>44446</v>
      </c>
      <c r="AFH32">
        <v>131999</v>
      </c>
      <c r="AFI32">
        <v>437</v>
      </c>
      <c r="AFJ32">
        <v>44448</v>
      </c>
      <c r="AFK32">
        <v>132662</v>
      </c>
      <c r="AFL32">
        <v>172</v>
      </c>
      <c r="AFM32">
        <v>44451</v>
      </c>
      <c r="AFN32">
        <v>133638</v>
      </c>
      <c r="AFO32">
        <v>0</v>
      </c>
      <c r="AFP32">
        <v>44452</v>
      </c>
      <c r="AFQ32">
        <v>134605</v>
      </c>
      <c r="AFR32">
        <v>449</v>
      </c>
      <c r="AFS32">
        <v>44454</v>
      </c>
      <c r="AFT32">
        <v>135314</v>
      </c>
      <c r="AFU32">
        <v>232</v>
      </c>
      <c r="AFV32">
        <v>44455</v>
      </c>
      <c r="AFW32">
        <v>136032</v>
      </c>
      <c r="AFX32">
        <v>406</v>
      </c>
      <c r="AFY32">
        <v>44457</v>
      </c>
      <c r="AFZ32">
        <v>136257</v>
      </c>
      <c r="AGA32">
        <v>2</v>
      </c>
      <c r="AGB32">
        <v>44458</v>
      </c>
      <c r="AGC32">
        <v>136907</v>
      </c>
      <c r="AGD32">
        <v>254</v>
      </c>
      <c r="AGE32">
        <v>44461</v>
      </c>
      <c r="AGF32">
        <v>137594</v>
      </c>
      <c r="AGG32">
        <v>0</v>
      </c>
      <c r="AGH32">
        <v>44462</v>
      </c>
      <c r="AGI32">
        <v>138578</v>
      </c>
      <c r="AGJ32">
        <v>195</v>
      </c>
      <c r="AGK32">
        <v>44464</v>
      </c>
      <c r="AGL32">
        <v>139405</v>
      </c>
      <c r="AGM32">
        <v>165</v>
      </c>
      <c r="AGN32">
        <v>44464</v>
      </c>
      <c r="AGO32">
        <v>139491</v>
      </c>
      <c r="AGP32">
        <v>221</v>
      </c>
      <c r="AGQ32">
        <v>44465</v>
      </c>
      <c r="AGR32">
        <v>139815</v>
      </c>
      <c r="AGS32">
        <v>271</v>
      </c>
      <c r="AGT32">
        <v>44466</v>
      </c>
      <c r="AGU32">
        <v>140611</v>
      </c>
      <c r="AGV32">
        <v>614</v>
      </c>
      <c r="AGW32">
        <v>44468</v>
      </c>
      <c r="AGX32">
        <v>141552</v>
      </c>
      <c r="AGY32">
        <v>278</v>
      </c>
      <c r="AGZ32">
        <v>44470</v>
      </c>
      <c r="AHA32">
        <v>142114</v>
      </c>
      <c r="AHB32">
        <v>0</v>
      </c>
      <c r="AHC32">
        <v>44471</v>
      </c>
      <c r="AHD32">
        <v>143257</v>
      </c>
      <c r="AHE32">
        <v>230</v>
      </c>
      <c r="AHF32">
        <v>44472</v>
      </c>
      <c r="AHG32">
        <v>143738</v>
      </c>
      <c r="AHH32">
        <v>302</v>
      </c>
      <c r="AHI32">
        <v>44473</v>
      </c>
      <c r="AHJ32">
        <v>144407</v>
      </c>
      <c r="AHK32">
        <v>570</v>
      </c>
      <c r="AHL32">
        <v>44477</v>
      </c>
      <c r="AHM32">
        <v>145354</v>
      </c>
      <c r="AHN32">
        <v>0</v>
      </c>
      <c r="AHO32">
        <v>44478</v>
      </c>
      <c r="AHP32">
        <v>147135</v>
      </c>
      <c r="AHQ32">
        <v>294</v>
      </c>
      <c r="AHR32">
        <v>44479</v>
      </c>
      <c r="AHS32">
        <v>147671</v>
      </c>
      <c r="AHT32">
        <v>343</v>
      </c>
      <c r="AHU32">
        <v>44480</v>
      </c>
      <c r="AHV32">
        <v>148391</v>
      </c>
      <c r="AHW32">
        <v>617</v>
      </c>
      <c r="AHX32">
        <v>44481</v>
      </c>
      <c r="AHY32">
        <v>148895</v>
      </c>
      <c r="AHZ32">
        <v>454</v>
      </c>
      <c r="AIA32">
        <v>44485</v>
      </c>
      <c r="AIB32">
        <v>149897</v>
      </c>
      <c r="AIC32">
        <v>0</v>
      </c>
      <c r="AID32">
        <v>44489</v>
      </c>
      <c r="AIE32">
        <v>151787</v>
      </c>
      <c r="AIF32">
        <v>0</v>
      </c>
      <c r="AIG32">
        <v>44493</v>
      </c>
      <c r="AIH32">
        <v>153156</v>
      </c>
      <c r="AII32">
        <v>0</v>
      </c>
      <c r="AIJ32">
        <v>44494</v>
      </c>
      <c r="AIK32">
        <v>155955</v>
      </c>
      <c r="AIL32">
        <v>719</v>
      </c>
      <c r="AIM32">
        <v>44495</v>
      </c>
      <c r="AIN32">
        <v>156643</v>
      </c>
      <c r="AIO32">
        <v>614</v>
      </c>
      <c r="AIP32">
        <v>44498</v>
      </c>
      <c r="AIQ32">
        <v>157531</v>
      </c>
      <c r="AIR32">
        <v>0</v>
      </c>
      <c r="AIS32">
        <v>44499</v>
      </c>
      <c r="AIT32">
        <v>158755</v>
      </c>
      <c r="AIU32">
        <v>288</v>
      </c>
      <c r="AIV32">
        <v>44500</v>
      </c>
      <c r="AIW32">
        <v>159343</v>
      </c>
      <c r="AIX32">
        <v>390</v>
      </c>
      <c r="AIY32">
        <v>44501</v>
      </c>
      <c r="AIZ32">
        <v>160571</v>
      </c>
      <c r="AJA32">
        <v>897</v>
      </c>
      <c r="AJB32">
        <v>44502</v>
      </c>
      <c r="AJC32">
        <v>161338</v>
      </c>
      <c r="AJD32">
        <v>697</v>
      </c>
      <c r="AJE32">
        <v>44505</v>
      </c>
      <c r="AJF32">
        <v>162476</v>
      </c>
      <c r="AJG32">
        <v>0</v>
      </c>
      <c r="AJH32">
        <v>44506</v>
      </c>
      <c r="AJI32">
        <v>164201</v>
      </c>
      <c r="AJJ32">
        <v>391</v>
      </c>
      <c r="AJK32">
        <v>44507</v>
      </c>
      <c r="AJL32">
        <v>164865</v>
      </c>
      <c r="AJM32">
        <v>471</v>
      </c>
      <c r="AJN32">
        <v>44508</v>
      </c>
      <c r="AJO32">
        <v>165859</v>
      </c>
      <c r="AJP32">
        <v>957</v>
      </c>
      <c r="AJQ32">
        <v>44512</v>
      </c>
      <c r="AJR32">
        <v>167119</v>
      </c>
      <c r="AJS32">
        <v>0</v>
      </c>
      <c r="AJT32">
        <v>44513</v>
      </c>
      <c r="AJU32">
        <v>170002</v>
      </c>
      <c r="AJV32">
        <v>452</v>
      </c>
      <c r="AJW32">
        <v>44514</v>
      </c>
      <c r="AJX32">
        <v>170734</v>
      </c>
      <c r="AJY32">
        <v>513</v>
      </c>
      <c r="AJZ32">
        <v>44515</v>
      </c>
      <c r="AKA32">
        <v>171928</v>
      </c>
      <c r="AKB32">
        <v>1107</v>
      </c>
      <c r="AKC32">
        <v>44516</v>
      </c>
      <c r="AKD32">
        <v>173167</v>
      </c>
      <c r="AKE32">
        <v>1043</v>
      </c>
      <c r="AKF32">
        <v>44519</v>
      </c>
      <c r="AKG32">
        <v>174823</v>
      </c>
      <c r="AKH32">
        <v>0</v>
      </c>
      <c r="AKI32">
        <v>44522</v>
      </c>
      <c r="AKJ32">
        <v>177439</v>
      </c>
      <c r="AKK32">
        <v>0</v>
      </c>
      <c r="AKL32">
        <v>44524</v>
      </c>
      <c r="AKM32">
        <v>180878</v>
      </c>
      <c r="AKN32">
        <v>432</v>
      </c>
      <c r="AKO32">
        <v>44526</v>
      </c>
      <c r="AKP32">
        <v>182284</v>
      </c>
      <c r="AKQ32">
        <v>0</v>
      </c>
      <c r="AKR32">
        <v>44527</v>
      </c>
      <c r="AKS32">
        <v>185262</v>
      </c>
      <c r="AKT32">
        <v>484</v>
      </c>
      <c r="AKU32">
        <v>44529</v>
      </c>
      <c r="AKV32">
        <v>186538</v>
      </c>
      <c r="AKW32">
        <v>546</v>
      </c>
      <c r="AKX32">
        <v>44530</v>
      </c>
      <c r="AKY32">
        <v>189241</v>
      </c>
      <c r="AKZ32">
        <v>1076</v>
      </c>
      <c r="ALA32">
        <v>44533</v>
      </c>
      <c r="ALB32">
        <v>191226</v>
      </c>
      <c r="ALC32">
        <v>0</v>
      </c>
      <c r="ALD32">
        <v>44534</v>
      </c>
      <c r="ALE32">
        <v>194228</v>
      </c>
      <c r="ALF32">
        <v>612</v>
      </c>
      <c r="ALG32">
        <v>44535</v>
      </c>
      <c r="ALH32">
        <v>195715</v>
      </c>
      <c r="ALI32">
        <v>841</v>
      </c>
      <c r="ALJ32">
        <v>44536</v>
      </c>
      <c r="ALK32">
        <v>196898</v>
      </c>
      <c r="ALL32">
        <v>959</v>
      </c>
      <c r="ALM32">
        <v>44544</v>
      </c>
      <c r="ALN32">
        <v>210517</v>
      </c>
      <c r="ALO32">
        <v>1536</v>
      </c>
    </row>
    <row r="33" spans="2:1010">
      <c r="B33" t="str">
        <f t="shared" ca="1" si="2"/>
        <v>16.12</v>
      </c>
      <c r="C33" s="4">
        <f t="shared" ca="1" si="0"/>
        <v>44546</v>
      </c>
      <c r="D33" s="11">
        <f t="shared" ca="1" si="1"/>
        <v>213318</v>
      </c>
      <c r="E33">
        <f t="shared" ca="1" si="3"/>
        <v>758</v>
      </c>
      <c r="F33" s="11">
        <f t="shared" ca="1" si="4"/>
        <v>757</v>
      </c>
      <c r="G33" s="11">
        <f t="shared" ca="1" si="5"/>
        <v>1</v>
      </c>
      <c r="K33" s="4"/>
      <c r="L33" s="3"/>
      <c r="N33" s="16">
        <v>44545</v>
      </c>
      <c r="O33">
        <v>211238</v>
      </c>
      <c r="P33">
        <v>721</v>
      </c>
      <c r="Q33" s="16">
        <v>44545</v>
      </c>
      <c r="R33">
        <v>211238</v>
      </c>
      <c r="S33">
        <v>721</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s="16">
        <v>44294</v>
      </c>
      <c r="RU33">
        <v>81261</v>
      </c>
      <c r="RV33">
        <v>115</v>
      </c>
      <c r="RW33" s="16">
        <v>44295</v>
      </c>
      <c r="RX33">
        <v>81707</v>
      </c>
      <c r="RY33">
        <v>142</v>
      </c>
      <c r="RZ33" s="16">
        <v>44296</v>
      </c>
      <c r="SA33">
        <v>82053</v>
      </c>
      <c r="SB33">
        <v>139</v>
      </c>
      <c r="SC33" s="16">
        <v>44297</v>
      </c>
      <c r="SD33">
        <v>82278</v>
      </c>
      <c r="SE33">
        <v>131</v>
      </c>
      <c r="SF33" s="16">
        <v>44298</v>
      </c>
      <c r="SG33">
        <v>82564</v>
      </c>
      <c r="SH33">
        <v>183</v>
      </c>
      <c r="SI33" s="16">
        <v>44299</v>
      </c>
      <c r="SJ33">
        <v>82964</v>
      </c>
      <c r="SK33">
        <v>169</v>
      </c>
      <c r="SL33" s="16">
        <v>44301</v>
      </c>
      <c r="SM33">
        <v>83253</v>
      </c>
      <c r="SN33">
        <v>0</v>
      </c>
      <c r="SO33" s="16">
        <v>44302</v>
      </c>
      <c r="SP33">
        <v>83633</v>
      </c>
      <c r="SQ33">
        <v>0</v>
      </c>
      <c r="SR33" s="16">
        <v>44303</v>
      </c>
      <c r="SS33">
        <v>84131</v>
      </c>
      <c r="ST33">
        <v>109</v>
      </c>
      <c r="SU33" s="16">
        <v>44304</v>
      </c>
      <c r="SV33">
        <v>84287</v>
      </c>
      <c r="SW33">
        <v>71</v>
      </c>
      <c r="SX33" s="16">
        <v>44306</v>
      </c>
      <c r="SY33">
        <v>84501</v>
      </c>
      <c r="SZ33">
        <v>0</v>
      </c>
      <c r="TA33" s="16">
        <v>44307</v>
      </c>
      <c r="TB33">
        <v>85077</v>
      </c>
      <c r="TC33">
        <v>100</v>
      </c>
      <c r="TD33" s="16">
        <v>44309</v>
      </c>
      <c r="TE33">
        <v>85344</v>
      </c>
      <c r="TF33">
        <v>0</v>
      </c>
      <c r="TG33" s="16">
        <v>44310</v>
      </c>
      <c r="TH33">
        <v>85804</v>
      </c>
      <c r="TI33">
        <v>87</v>
      </c>
      <c r="TJ33" s="16">
        <v>44311</v>
      </c>
      <c r="TK33">
        <v>85937</v>
      </c>
      <c r="TL33">
        <v>77</v>
      </c>
      <c r="TM33" s="16">
        <v>44312</v>
      </c>
      <c r="TN33">
        <v>86161</v>
      </c>
      <c r="TO33">
        <v>123</v>
      </c>
      <c r="TP33" s="16">
        <v>44314</v>
      </c>
      <c r="TQ33">
        <v>86405</v>
      </c>
      <c r="TR33">
        <v>0</v>
      </c>
      <c r="TS33" s="16">
        <v>44315</v>
      </c>
      <c r="TT33">
        <v>86613</v>
      </c>
      <c r="TU33">
        <v>0</v>
      </c>
      <c r="TV33" s="16">
        <v>44315</v>
      </c>
      <c r="TW33">
        <v>86808</v>
      </c>
      <c r="TX33">
        <v>67</v>
      </c>
      <c r="TY33" s="16">
        <v>44316</v>
      </c>
      <c r="TZ33">
        <v>87096</v>
      </c>
      <c r="UA33">
        <v>95</v>
      </c>
      <c r="UB33" s="16">
        <v>44318</v>
      </c>
      <c r="UC33">
        <v>87228</v>
      </c>
      <c r="UD33">
        <v>0</v>
      </c>
      <c r="UE33" s="16">
        <v>44318</v>
      </c>
      <c r="UF33">
        <v>87345</v>
      </c>
      <c r="UG33">
        <v>56</v>
      </c>
      <c r="UH33" s="16">
        <v>44319</v>
      </c>
      <c r="UI33">
        <v>87529</v>
      </c>
      <c r="UJ33">
        <v>108</v>
      </c>
      <c r="UK33" s="16">
        <v>44320</v>
      </c>
      <c r="UL33">
        <v>87798</v>
      </c>
      <c r="UM33">
        <v>95</v>
      </c>
      <c r="UN33" s="16">
        <v>44324</v>
      </c>
      <c r="UO33">
        <v>88078</v>
      </c>
      <c r="UP33">
        <v>0</v>
      </c>
      <c r="UQ33" s="16">
        <v>44325</v>
      </c>
      <c r="UR33">
        <v>88866</v>
      </c>
      <c r="US33">
        <v>70</v>
      </c>
      <c r="UT33" s="16">
        <v>44326</v>
      </c>
      <c r="UU33">
        <v>88990</v>
      </c>
      <c r="UV33">
        <v>63</v>
      </c>
      <c r="UW33" s="16">
        <v>44327</v>
      </c>
      <c r="UX33">
        <v>89270</v>
      </c>
      <c r="UY33">
        <v>75</v>
      </c>
      <c r="UZ33" s="16">
        <v>44329</v>
      </c>
      <c r="VA33">
        <v>89532</v>
      </c>
      <c r="VB33">
        <v>0</v>
      </c>
      <c r="VC33" s="16">
        <v>44329</v>
      </c>
      <c r="VD33">
        <v>89686</v>
      </c>
      <c r="VE33">
        <v>68</v>
      </c>
      <c r="VF33" s="16">
        <v>44330</v>
      </c>
      <c r="VG33">
        <v>89878</v>
      </c>
      <c r="VH33">
        <v>65</v>
      </c>
      <c r="VI33" s="16">
        <v>44332</v>
      </c>
      <c r="VJ33">
        <v>90105</v>
      </c>
      <c r="VK33">
        <v>0</v>
      </c>
      <c r="VL33" s="16">
        <v>44332</v>
      </c>
      <c r="VM33">
        <v>90249</v>
      </c>
      <c r="VN33">
        <v>73</v>
      </c>
      <c r="VO33" s="16">
        <v>44333</v>
      </c>
      <c r="VP33">
        <v>90398</v>
      </c>
      <c r="VQ33">
        <v>45</v>
      </c>
      <c r="VR33" s="16">
        <v>44334</v>
      </c>
      <c r="VS33">
        <v>90687</v>
      </c>
      <c r="VT33">
        <v>86</v>
      </c>
      <c r="VU33" s="16">
        <v>44336</v>
      </c>
      <c r="VV33">
        <v>90946</v>
      </c>
      <c r="VW33">
        <v>0</v>
      </c>
      <c r="VX33" s="16">
        <v>44336</v>
      </c>
      <c r="VY33">
        <v>91157</v>
      </c>
      <c r="VZ33">
        <v>76</v>
      </c>
      <c r="WA33" s="16">
        <v>44337</v>
      </c>
      <c r="WB33">
        <v>91405</v>
      </c>
      <c r="WC33">
        <v>82</v>
      </c>
      <c r="WD33" s="16">
        <v>44338</v>
      </c>
      <c r="WE33">
        <v>91526</v>
      </c>
      <c r="WF33">
        <v>63</v>
      </c>
      <c r="WG33" s="16">
        <v>44339</v>
      </c>
      <c r="WH33">
        <v>91619</v>
      </c>
      <c r="WI33">
        <v>57</v>
      </c>
      <c r="WJ33" s="16">
        <v>44341</v>
      </c>
      <c r="WK33">
        <v>91744</v>
      </c>
      <c r="WL33">
        <v>0</v>
      </c>
      <c r="WM33" s="16">
        <v>44341</v>
      </c>
      <c r="WN33">
        <v>91964</v>
      </c>
      <c r="WO33">
        <v>85</v>
      </c>
      <c r="WP33" s="16">
        <v>44344</v>
      </c>
      <c r="WQ33">
        <v>92062</v>
      </c>
      <c r="WR33">
        <v>0</v>
      </c>
      <c r="WS33" s="16">
        <v>44345</v>
      </c>
      <c r="WT33">
        <v>92432</v>
      </c>
      <c r="WU33">
        <v>27</v>
      </c>
      <c r="WV33" s="16">
        <v>44346</v>
      </c>
      <c r="WW33">
        <v>92488</v>
      </c>
      <c r="WX33">
        <v>43</v>
      </c>
      <c r="WY33" s="16">
        <v>44347</v>
      </c>
      <c r="WZ33">
        <v>92642</v>
      </c>
      <c r="XA33">
        <v>51</v>
      </c>
      <c r="XB33" s="16">
        <v>44348</v>
      </c>
      <c r="XC33">
        <v>92770</v>
      </c>
      <c r="XD33">
        <v>59</v>
      </c>
      <c r="XE33" s="16">
        <v>44350</v>
      </c>
      <c r="XF33">
        <v>92913</v>
      </c>
      <c r="XG33">
        <v>0</v>
      </c>
      <c r="XH33" s="16">
        <v>44350</v>
      </c>
      <c r="XI33">
        <v>93038</v>
      </c>
      <c r="XJ33">
        <v>58</v>
      </c>
      <c r="XK33" s="16">
        <v>44351</v>
      </c>
      <c r="XL33">
        <v>93158</v>
      </c>
      <c r="XM33">
        <v>50</v>
      </c>
      <c r="XN33" s="16">
        <v>44352</v>
      </c>
      <c r="XO33">
        <v>93226</v>
      </c>
      <c r="XP33">
        <v>35</v>
      </c>
      <c r="XQ33" s="16">
        <v>44353</v>
      </c>
      <c r="XR33">
        <v>93281</v>
      </c>
      <c r="XS33">
        <v>39</v>
      </c>
      <c r="XT33" s="16">
        <v>44354</v>
      </c>
      <c r="XU33">
        <v>93394</v>
      </c>
      <c r="XV33">
        <v>74</v>
      </c>
      <c r="XW33" s="16">
        <v>44355</v>
      </c>
      <c r="XX33">
        <v>93520</v>
      </c>
      <c r="XY33">
        <v>50</v>
      </c>
      <c r="XZ33" s="16">
        <v>44356</v>
      </c>
      <c r="YA33">
        <v>93613</v>
      </c>
      <c r="YB33">
        <v>41</v>
      </c>
      <c r="YC33" s="16">
        <v>44358</v>
      </c>
      <c r="YD33">
        <v>93660</v>
      </c>
      <c r="YE33">
        <v>0</v>
      </c>
      <c r="YF33" s="16">
        <v>44359</v>
      </c>
      <c r="YG33">
        <v>93821</v>
      </c>
      <c r="YH33">
        <v>17</v>
      </c>
      <c r="YI33" s="16">
        <v>44360</v>
      </c>
      <c r="YJ33">
        <v>93850</v>
      </c>
      <c r="YK33">
        <v>19</v>
      </c>
      <c r="YL33" s="16">
        <v>44361</v>
      </c>
      <c r="YM33">
        <v>93923</v>
      </c>
      <c r="YN33">
        <v>35</v>
      </c>
      <c r="YO33" s="16">
        <v>44362</v>
      </c>
      <c r="YP33">
        <v>94026</v>
      </c>
      <c r="YQ33">
        <v>41</v>
      </c>
      <c r="YR33" s="16">
        <v>44363</v>
      </c>
      <c r="YS33">
        <v>94081</v>
      </c>
      <c r="YT33">
        <v>31</v>
      </c>
      <c r="YU33" s="16">
        <v>44365</v>
      </c>
      <c r="YV33">
        <v>94154</v>
      </c>
      <c r="YW33">
        <v>0</v>
      </c>
      <c r="YX33" s="16">
        <v>44366</v>
      </c>
      <c r="YY33">
        <v>94334</v>
      </c>
      <c r="YZ33">
        <v>27</v>
      </c>
      <c r="ZA33" s="16">
        <v>44367</v>
      </c>
      <c r="ZB33">
        <v>94379</v>
      </c>
      <c r="ZC33">
        <v>30</v>
      </c>
      <c r="ZD33" s="16">
        <v>44378</v>
      </c>
      <c r="ZE33">
        <v>94489</v>
      </c>
      <c r="ZF33">
        <v>0</v>
      </c>
      <c r="ZG33" s="16">
        <v>44379</v>
      </c>
      <c r="ZH33">
        <v>96371</v>
      </c>
      <c r="ZI33">
        <v>76</v>
      </c>
      <c r="ZJ33" s="16">
        <v>44380</v>
      </c>
      <c r="ZK33">
        <v>96463</v>
      </c>
      <c r="ZL33">
        <v>58</v>
      </c>
      <c r="ZM33" s="16">
        <v>44381</v>
      </c>
      <c r="ZN33">
        <v>96569</v>
      </c>
      <c r="ZO33">
        <v>48</v>
      </c>
      <c r="ZP33" s="16">
        <v>44382</v>
      </c>
      <c r="ZQ33">
        <v>96791</v>
      </c>
      <c r="ZR33">
        <v>112</v>
      </c>
      <c r="ZS33" s="16">
        <v>44386</v>
      </c>
      <c r="ZT33">
        <v>97049</v>
      </c>
      <c r="ZU33">
        <v>0</v>
      </c>
      <c r="ZV33" s="16">
        <v>44387</v>
      </c>
      <c r="ZW33">
        <v>98082</v>
      </c>
      <c r="ZX33">
        <v>74</v>
      </c>
      <c r="ZY33" s="16">
        <v>44388</v>
      </c>
      <c r="ZZ33">
        <v>98215</v>
      </c>
      <c r="AAA33">
        <v>102</v>
      </c>
      <c r="AAB33" s="16">
        <v>44389</v>
      </c>
      <c r="AAC33">
        <v>98505</v>
      </c>
      <c r="AAD33">
        <v>142</v>
      </c>
      <c r="AAE33" s="16">
        <v>44390</v>
      </c>
      <c r="AAF33">
        <v>98887</v>
      </c>
      <c r="AAG33">
        <v>174</v>
      </c>
      <c r="AAH33" s="16">
        <v>44393</v>
      </c>
      <c r="AAI33">
        <v>99212</v>
      </c>
      <c r="AAJ33">
        <v>0</v>
      </c>
      <c r="AAK33" s="16">
        <v>44394</v>
      </c>
      <c r="AAL33">
        <v>100156</v>
      </c>
      <c r="AAM33">
        <v>106</v>
      </c>
      <c r="AAN33" s="16">
        <v>44396</v>
      </c>
      <c r="AAO33">
        <v>100312</v>
      </c>
      <c r="AAP33">
        <v>0</v>
      </c>
      <c r="AAQ33" s="16">
        <v>44396</v>
      </c>
      <c r="AAR33">
        <v>100773</v>
      </c>
      <c r="AAS33">
        <v>170</v>
      </c>
      <c r="AAT33" s="16">
        <v>44397</v>
      </c>
      <c r="AAU33">
        <v>101226</v>
      </c>
      <c r="AAV33">
        <v>176</v>
      </c>
      <c r="AAW33" s="16">
        <v>44399</v>
      </c>
      <c r="AAX33">
        <v>101630</v>
      </c>
      <c r="AAY33">
        <v>0</v>
      </c>
      <c r="AAZ33" s="16">
        <v>44399</v>
      </c>
      <c r="ABA33">
        <v>102042</v>
      </c>
      <c r="ABB33">
        <v>170</v>
      </c>
      <c r="ABC33" s="16">
        <v>44400</v>
      </c>
      <c r="ABD33">
        <v>102612</v>
      </c>
      <c r="ABE33">
        <v>216</v>
      </c>
      <c r="ABF33" s="16">
        <v>44402</v>
      </c>
      <c r="ABG33">
        <v>102972</v>
      </c>
      <c r="ABH33">
        <v>0</v>
      </c>
      <c r="ABI33" s="16">
        <v>44402</v>
      </c>
      <c r="ABJ33">
        <v>103239</v>
      </c>
      <c r="ABK33">
        <v>164</v>
      </c>
      <c r="ABL33" s="16">
        <v>44403</v>
      </c>
      <c r="ABM33">
        <v>103851</v>
      </c>
      <c r="ABN33">
        <v>321</v>
      </c>
      <c r="ABO33" s="16">
        <v>44404</v>
      </c>
      <c r="ABP33">
        <v>104495</v>
      </c>
      <c r="ABQ33">
        <v>254</v>
      </c>
      <c r="ABR33" s="16">
        <v>44405</v>
      </c>
      <c r="ABS33">
        <v>105260</v>
      </c>
      <c r="ABT33">
        <v>321</v>
      </c>
      <c r="ABU33" s="16">
        <v>44406</v>
      </c>
      <c r="ABV33">
        <v>106008</v>
      </c>
      <c r="ABW33">
        <v>252</v>
      </c>
      <c r="ABX33" s="16">
        <v>44407</v>
      </c>
      <c r="ABY33">
        <v>106801</v>
      </c>
      <c r="ABZ33">
        <v>269</v>
      </c>
      <c r="ACA33" s="16">
        <v>44408</v>
      </c>
      <c r="ACB33">
        <v>107321</v>
      </c>
      <c r="ACC33">
        <v>150</v>
      </c>
      <c r="ACD33" s="16">
        <v>44409</v>
      </c>
      <c r="ACE33">
        <v>107666</v>
      </c>
      <c r="ACF33">
        <v>167</v>
      </c>
      <c r="ACG33" s="16">
        <v>44410</v>
      </c>
      <c r="ACH33">
        <v>108358</v>
      </c>
      <c r="ACI33">
        <v>257</v>
      </c>
      <c r="ACJ33" s="16">
        <v>44411</v>
      </c>
      <c r="ACK33">
        <v>109230</v>
      </c>
      <c r="ACL33">
        <v>259</v>
      </c>
      <c r="ACM33" s="16">
        <v>44414</v>
      </c>
      <c r="ACN33">
        <v>109982</v>
      </c>
      <c r="ACO33">
        <v>0</v>
      </c>
      <c r="ACP33" s="16">
        <v>44415</v>
      </c>
      <c r="ACQ33">
        <v>112207</v>
      </c>
      <c r="ACR33">
        <v>179</v>
      </c>
      <c r="ACS33" s="16">
        <v>44416</v>
      </c>
      <c r="ACT33">
        <v>112656</v>
      </c>
      <c r="ACU33">
        <v>216</v>
      </c>
      <c r="ACV33" s="16">
        <v>44417</v>
      </c>
      <c r="ACW33">
        <v>113437</v>
      </c>
      <c r="ACX33">
        <v>307</v>
      </c>
      <c r="ACY33" s="16">
        <v>44418</v>
      </c>
      <c r="ACZ33">
        <v>114281</v>
      </c>
      <c r="ADA33">
        <v>220</v>
      </c>
      <c r="ADB33" s="16">
        <v>44419</v>
      </c>
      <c r="ADC33">
        <v>115305</v>
      </c>
      <c r="ADD33">
        <v>366</v>
      </c>
      <c r="ADE33" s="16">
        <v>44420</v>
      </c>
      <c r="ADF33">
        <v>116231</v>
      </c>
      <c r="ADG33">
        <v>363</v>
      </c>
      <c r="ADH33" s="16">
        <v>44421</v>
      </c>
      <c r="ADI33">
        <v>116996</v>
      </c>
      <c r="ADJ33">
        <v>343</v>
      </c>
      <c r="ADK33" s="16">
        <v>44422</v>
      </c>
      <c r="ADL33">
        <v>117531</v>
      </c>
      <c r="ADM33">
        <v>187</v>
      </c>
      <c r="ADN33" s="16">
        <v>44423</v>
      </c>
      <c r="ADO33">
        <v>117982</v>
      </c>
      <c r="ADP33">
        <v>206</v>
      </c>
      <c r="ADQ33" s="16">
        <v>44424</v>
      </c>
      <c r="ADR33">
        <v>118647</v>
      </c>
      <c r="ADS33">
        <v>309</v>
      </c>
      <c r="ADT33" s="16">
        <v>44425</v>
      </c>
      <c r="ADU33">
        <v>119320</v>
      </c>
      <c r="ADV33">
        <v>153</v>
      </c>
      <c r="ADW33" s="16">
        <v>44428</v>
      </c>
      <c r="ADX33">
        <v>120186</v>
      </c>
      <c r="ADY33">
        <v>0</v>
      </c>
      <c r="ADZ33" s="16">
        <v>44429</v>
      </c>
      <c r="AEA33">
        <v>122046</v>
      </c>
      <c r="AEB33">
        <v>183</v>
      </c>
      <c r="AEC33" s="16">
        <v>44430</v>
      </c>
      <c r="AED33">
        <v>122417</v>
      </c>
      <c r="AEE33">
        <v>223</v>
      </c>
      <c r="AEF33" s="16">
        <v>44431</v>
      </c>
      <c r="AEG33">
        <v>123061</v>
      </c>
      <c r="AEH33">
        <v>283</v>
      </c>
      <c r="AEI33" s="16">
        <v>44432</v>
      </c>
      <c r="AEJ33">
        <v>123635</v>
      </c>
      <c r="AEK33">
        <v>179</v>
      </c>
      <c r="AEL33" s="16">
        <v>44435</v>
      </c>
      <c r="AEM33">
        <v>124285</v>
      </c>
      <c r="AEN33">
        <v>0</v>
      </c>
      <c r="AEO33" s="16">
        <v>44436</v>
      </c>
      <c r="AEP33">
        <v>126093</v>
      </c>
      <c r="AEQ33">
        <v>193</v>
      </c>
      <c r="AER33" s="16">
        <v>44437</v>
      </c>
      <c r="AES33">
        <v>126565</v>
      </c>
      <c r="AET33">
        <v>205</v>
      </c>
      <c r="AEU33" s="16">
        <v>44438</v>
      </c>
      <c r="AEV33">
        <v>127182</v>
      </c>
      <c r="AEW33">
        <v>255</v>
      </c>
      <c r="AEX33" s="16">
        <v>44440</v>
      </c>
      <c r="AEY33">
        <v>127861</v>
      </c>
      <c r="AEZ33">
        <v>0</v>
      </c>
      <c r="AFA33" s="16">
        <v>44441</v>
      </c>
      <c r="AFB33">
        <v>129105</v>
      </c>
      <c r="AFC33">
        <v>238</v>
      </c>
      <c r="AFD33">
        <v>44446</v>
      </c>
      <c r="AFE33">
        <v>129192</v>
      </c>
      <c r="AFF33">
        <v>0</v>
      </c>
      <c r="AFG33">
        <v>44447</v>
      </c>
      <c r="AFH33">
        <v>132172</v>
      </c>
      <c r="AFI33">
        <v>173</v>
      </c>
      <c r="AFJ33">
        <v>44449</v>
      </c>
      <c r="AFK33">
        <v>132662</v>
      </c>
      <c r="AFL33">
        <v>0</v>
      </c>
      <c r="AFM33">
        <v>44452</v>
      </c>
      <c r="AFN33">
        <v>133638</v>
      </c>
      <c r="AFO33">
        <v>0</v>
      </c>
      <c r="AFP33">
        <v>44453</v>
      </c>
      <c r="AFQ33">
        <v>134827</v>
      </c>
      <c r="AFR33">
        <v>222</v>
      </c>
      <c r="AFS33">
        <v>44455</v>
      </c>
      <c r="AFT33">
        <v>135314</v>
      </c>
      <c r="AFU33">
        <v>0</v>
      </c>
      <c r="AFV33">
        <v>44456</v>
      </c>
      <c r="AFW33">
        <v>136206</v>
      </c>
      <c r="AFX33">
        <v>174</v>
      </c>
      <c r="AFY33">
        <v>44458</v>
      </c>
      <c r="AFZ33">
        <v>136257</v>
      </c>
      <c r="AGA33">
        <v>0</v>
      </c>
      <c r="AGB33">
        <v>44459</v>
      </c>
      <c r="AGC33">
        <v>137116</v>
      </c>
      <c r="AGD33">
        <v>209</v>
      </c>
      <c r="AGE33">
        <v>44462</v>
      </c>
      <c r="AGF33">
        <v>137594</v>
      </c>
      <c r="AGG33">
        <v>0</v>
      </c>
      <c r="AGH33">
        <v>44463</v>
      </c>
      <c r="AGI33">
        <v>138578</v>
      </c>
      <c r="AGJ33">
        <v>0</v>
      </c>
      <c r="AGK33">
        <v>44465</v>
      </c>
      <c r="AGL33">
        <v>139405</v>
      </c>
      <c r="AGM33">
        <v>0</v>
      </c>
      <c r="AGN33">
        <v>44465</v>
      </c>
      <c r="AGO33">
        <v>139678</v>
      </c>
      <c r="AGP33">
        <v>187</v>
      </c>
      <c r="AGQ33">
        <v>44466</v>
      </c>
      <c r="AGR33">
        <v>140087</v>
      </c>
      <c r="AGS33">
        <v>272</v>
      </c>
      <c r="AGT33">
        <v>44467</v>
      </c>
      <c r="AGU33">
        <v>140889</v>
      </c>
      <c r="AGV33">
        <v>278</v>
      </c>
      <c r="AGW33">
        <v>44469</v>
      </c>
      <c r="AGX33">
        <v>141552</v>
      </c>
      <c r="AGY33">
        <v>0</v>
      </c>
      <c r="AGZ33">
        <v>44471</v>
      </c>
      <c r="AHA33">
        <v>142114</v>
      </c>
      <c r="AHB33">
        <v>0</v>
      </c>
      <c r="AHC33">
        <v>44472</v>
      </c>
      <c r="AHD33">
        <v>143416</v>
      </c>
      <c r="AHE33">
        <v>159</v>
      </c>
      <c r="AHF33">
        <v>44473</v>
      </c>
      <c r="AHG33">
        <v>143999</v>
      </c>
      <c r="AHH33">
        <v>261</v>
      </c>
      <c r="AHI33">
        <v>44474</v>
      </c>
      <c r="AHJ33">
        <v>144665</v>
      </c>
      <c r="AHK33">
        <v>258</v>
      </c>
      <c r="AHL33">
        <v>44478</v>
      </c>
      <c r="AHM33">
        <v>145354</v>
      </c>
      <c r="AHN33">
        <v>0</v>
      </c>
      <c r="AHO33">
        <v>44479</v>
      </c>
      <c r="AHP33">
        <v>147297</v>
      </c>
      <c r="AHQ33">
        <v>162</v>
      </c>
      <c r="AHR33">
        <v>44480</v>
      </c>
      <c r="AHS33">
        <v>147919</v>
      </c>
      <c r="AHT33">
        <v>248</v>
      </c>
      <c r="AHU33">
        <v>44481</v>
      </c>
      <c r="AHV33">
        <v>148672</v>
      </c>
      <c r="AHW33">
        <v>281</v>
      </c>
      <c r="AHX33">
        <v>44482</v>
      </c>
      <c r="AHY33">
        <v>149174</v>
      </c>
      <c r="AHZ33">
        <v>279</v>
      </c>
      <c r="AIA33">
        <v>44486</v>
      </c>
      <c r="AIB33">
        <v>149897</v>
      </c>
      <c r="AIC33">
        <v>0</v>
      </c>
      <c r="AID33">
        <v>44490</v>
      </c>
      <c r="AIE33">
        <v>151787</v>
      </c>
      <c r="AIF33">
        <v>0</v>
      </c>
      <c r="AIG33">
        <v>44494</v>
      </c>
      <c r="AIH33">
        <v>153156</v>
      </c>
      <c r="AII33">
        <v>0</v>
      </c>
      <c r="AIJ33">
        <v>44495</v>
      </c>
      <c r="AIK33">
        <v>156285</v>
      </c>
      <c r="AIL33">
        <v>330</v>
      </c>
      <c r="AIM33">
        <v>44496</v>
      </c>
      <c r="AIN33">
        <v>156959</v>
      </c>
      <c r="AIO33">
        <v>316</v>
      </c>
      <c r="AIP33">
        <v>44499</v>
      </c>
      <c r="AIQ33">
        <v>157531</v>
      </c>
      <c r="AIR33">
        <v>0</v>
      </c>
      <c r="AIS33">
        <v>44500</v>
      </c>
      <c r="AIT33">
        <v>158991</v>
      </c>
      <c r="AIU33">
        <v>236</v>
      </c>
      <c r="AIV33">
        <v>44501</v>
      </c>
      <c r="AIW33">
        <v>159798</v>
      </c>
      <c r="AIX33">
        <v>455</v>
      </c>
      <c r="AIY33">
        <v>44502</v>
      </c>
      <c r="AIZ33">
        <v>160948</v>
      </c>
      <c r="AJA33">
        <v>377</v>
      </c>
      <c r="AJB33">
        <v>44503</v>
      </c>
      <c r="AJC33">
        <v>161688</v>
      </c>
      <c r="AJD33">
        <v>350</v>
      </c>
      <c r="AJE33">
        <v>44506</v>
      </c>
      <c r="AJF33">
        <v>162476</v>
      </c>
      <c r="AJG33">
        <v>0</v>
      </c>
      <c r="AJH33">
        <v>44507</v>
      </c>
      <c r="AJI33">
        <v>164490</v>
      </c>
      <c r="AJJ33">
        <v>289</v>
      </c>
      <c r="AJK33">
        <v>44508</v>
      </c>
      <c r="AJL33">
        <v>165302</v>
      </c>
      <c r="AJM33">
        <v>437</v>
      </c>
      <c r="AJN33">
        <v>44509</v>
      </c>
      <c r="AJO33">
        <v>166256</v>
      </c>
      <c r="AJP33">
        <v>397</v>
      </c>
      <c r="AJQ33">
        <v>44513</v>
      </c>
      <c r="AJR33">
        <v>167119</v>
      </c>
      <c r="AJS33">
        <v>0</v>
      </c>
      <c r="AJT33">
        <v>44514</v>
      </c>
      <c r="AJU33">
        <v>170285</v>
      </c>
      <c r="AJV33">
        <v>283</v>
      </c>
      <c r="AJW33">
        <v>44515</v>
      </c>
      <c r="AJX33">
        <v>171221</v>
      </c>
      <c r="AJY33">
        <v>487</v>
      </c>
      <c r="AJZ33">
        <v>44516</v>
      </c>
      <c r="AKA33">
        <v>172373</v>
      </c>
      <c r="AKB33">
        <v>445</v>
      </c>
      <c r="AKC33">
        <v>44517</v>
      </c>
      <c r="AKD33">
        <v>173631</v>
      </c>
      <c r="AKE33">
        <v>464</v>
      </c>
      <c r="AKF33">
        <v>44520</v>
      </c>
      <c r="AKG33">
        <v>174823</v>
      </c>
      <c r="AKH33">
        <v>0</v>
      </c>
      <c r="AKI33">
        <v>44523</v>
      </c>
      <c r="AKJ33">
        <v>177439</v>
      </c>
      <c r="AKK33">
        <v>0</v>
      </c>
      <c r="AKL33">
        <v>44525</v>
      </c>
      <c r="AKM33">
        <v>180878</v>
      </c>
      <c r="AKN33">
        <v>0</v>
      </c>
      <c r="AKO33">
        <v>44527</v>
      </c>
      <c r="AKP33">
        <v>182284</v>
      </c>
      <c r="AKQ33">
        <v>0</v>
      </c>
      <c r="AKR33">
        <v>44528</v>
      </c>
      <c r="AKS33">
        <v>185622</v>
      </c>
      <c r="AKT33">
        <v>360</v>
      </c>
      <c r="AKU33">
        <v>44530</v>
      </c>
      <c r="AKV33">
        <v>186538</v>
      </c>
      <c r="AKW33">
        <v>0</v>
      </c>
      <c r="AKX33">
        <v>44531</v>
      </c>
      <c r="AKY33">
        <v>189730</v>
      </c>
      <c r="AKZ33">
        <v>489</v>
      </c>
      <c r="ALA33">
        <v>44534</v>
      </c>
      <c r="ALB33">
        <v>191226</v>
      </c>
      <c r="ALC33">
        <v>0</v>
      </c>
      <c r="ALD33">
        <v>44535</v>
      </c>
      <c r="ALE33">
        <v>194638</v>
      </c>
      <c r="ALF33">
        <v>410</v>
      </c>
      <c r="ALG33">
        <v>44536</v>
      </c>
      <c r="ALH33">
        <v>196180</v>
      </c>
      <c r="ALI33">
        <v>465</v>
      </c>
      <c r="ALJ33">
        <v>44537</v>
      </c>
      <c r="ALK33">
        <v>197476</v>
      </c>
      <c r="ALL33">
        <v>578</v>
      </c>
      <c r="ALM33">
        <v>44545</v>
      </c>
      <c r="ALN33">
        <v>211238</v>
      </c>
      <c r="ALO33">
        <v>721</v>
      </c>
    </row>
    <row r="34" spans="2:1010" s="10" customFormat="1">
      <c r="B34" t="str">
        <f t="shared" ca="1" si="2"/>
        <v>17.12</v>
      </c>
      <c r="C34" s="9">
        <f t="shared" ca="1" si="0"/>
        <v>44547</v>
      </c>
      <c r="D34" s="10">
        <f t="shared" ca="1" si="1"/>
        <v>213318</v>
      </c>
      <c r="E34" s="10">
        <f t="shared" ca="1" si="3"/>
        <v>0</v>
      </c>
      <c r="F34" s="10">
        <f t="shared" ca="1" si="4"/>
        <v>0</v>
      </c>
      <c r="G34" s="10">
        <f t="shared" ca="1" si="5"/>
        <v>0</v>
      </c>
      <c r="K34" s="9"/>
      <c r="L34" s="14"/>
      <c r="N34" s="17">
        <v>44546</v>
      </c>
      <c r="O34" s="10">
        <v>211239</v>
      </c>
      <c r="P34" s="10">
        <v>1</v>
      </c>
      <c r="Q34" s="17">
        <v>44546</v>
      </c>
      <c r="R34" s="10">
        <v>211239</v>
      </c>
      <c r="S34" s="10">
        <v>1</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7">
        <v>44295</v>
      </c>
      <c r="RU34" s="10">
        <v>81261</v>
      </c>
      <c r="RV34" s="10">
        <v>0</v>
      </c>
      <c r="RW34" s="17">
        <v>44296</v>
      </c>
      <c r="RX34" s="10">
        <v>81707</v>
      </c>
      <c r="RY34" s="10">
        <v>0</v>
      </c>
      <c r="RZ34" s="17">
        <v>44297</v>
      </c>
      <c r="SA34" s="10">
        <v>82053</v>
      </c>
      <c r="SB34" s="10">
        <v>0</v>
      </c>
      <c r="SC34" s="17">
        <v>44298</v>
      </c>
      <c r="SD34" s="10">
        <v>82278</v>
      </c>
      <c r="SE34" s="10">
        <v>0</v>
      </c>
      <c r="SF34" s="17">
        <v>44299</v>
      </c>
      <c r="SG34" s="10">
        <v>82564</v>
      </c>
      <c r="SH34" s="10">
        <v>0</v>
      </c>
      <c r="SI34" s="17">
        <v>44300</v>
      </c>
      <c r="SJ34" s="10">
        <v>82964</v>
      </c>
      <c r="SK34" s="10">
        <v>0</v>
      </c>
      <c r="SL34" s="17">
        <v>44302</v>
      </c>
      <c r="SM34" s="10">
        <v>83253</v>
      </c>
      <c r="SN34" s="10">
        <v>0</v>
      </c>
      <c r="SO34" s="17">
        <v>44303</v>
      </c>
      <c r="SP34" s="10">
        <v>83633</v>
      </c>
      <c r="SQ34" s="10">
        <v>0</v>
      </c>
      <c r="SR34" s="17">
        <v>44304</v>
      </c>
      <c r="SS34" s="10">
        <v>84131</v>
      </c>
      <c r="ST34" s="10">
        <v>0</v>
      </c>
      <c r="SU34" s="17">
        <v>44305</v>
      </c>
      <c r="SV34" s="10">
        <v>84287</v>
      </c>
      <c r="SW34" s="10">
        <v>0</v>
      </c>
      <c r="SX34" s="17">
        <v>44307</v>
      </c>
      <c r="SY34" s="10">
        <v>84501</v>
      </c>
      <c r="SZ34" s="10">
        <v>0</v>
      </c>
      <c r="TA34" s="17">
        <v>44308</v>
      </c>
      <c r="TB34" s="10">
        <v>85077</v>
      </c>
      <c r="TC34" s="10">
        <v>0</v>
      </c>
      <c r="TD34" s="17">
        <v>44310</v>
      </c>
      <c r="TE34" s="10">
        <v>85344</v>
      </c>
      <c r="TF34" s="10">
        <v>0</v>
      </c>
      <c r="TG34" s="17">
        <v>44311</v>
      </c>
      <c r="TH34" s="10">
        <v>85804</v>
      </c>
      <c r="TI34" s="10">
        <v>0</v>
      </c>
      <c r="TJ34" s="17">
        <v>44312</v>
      </c>
      <c r="TK34" s="10">
        <v>85937</v>
      </c>
      <c r="TL34" s="10">
        <v>0</v>
      </c>
      <c r="TM34" s="17">
        <v>44313</v>
      </c>
      <c r="TN34" s="10">
        <v>86161</v>
      </c>
      <c r="TO34" s="10">
        <v>0</v>
      </c>
      <c r="TP34" s="17">
        <v>44315</v>
      </c>
      <c r="TQ34" s="10">
        <v>86405</v>
      </c>
      <c r="TR34" s="10">
        <v>0</v>
      </c>
      <c r="TS34" s="17">
        <v>44316</v>
      </c>
      <c r="TT34" s="10">
        <v>86613</v>
      </c>
      <c r="TU34" s="10">
        <v>0</v>
      </c>
      <c r="TV34" s="17">
        <v>44316</v>
      </c>
      <c r="TW34" s="10">
        <v>86808</v>
      </c>
      <c r="TX34" s="10">
        <v>0</v>
      </c>
      <c r="TY34" s="17">
        <v>44317</v>
      </c>
      <c r="TZ34" s="10">
        <v>87096</v>
      </c>
      <c r="UA34" s="10">
        <v>0</v>
      </c>
      <c r="UB34" s="17">
        <v>44319</v>
      </c>
      <c r="UC34" s="10">
        <v>87228</v>
      </c>
      <c r="UD34" s="10">
        <v>0</v>
      </c>
      <c r="UE34" s="17">
        <v>44319</v>
      </c>
      <c r="UF34" s="10">
        <v>87345</v>
      </c>
      <c r="UG34" s="10">
        <v>0</v>
      </c>
      <c r="UH34" s="17">
        <v>44320</v>
      </c>
      <c r="UI34" s="10">
        <v>87529</v>
      </c>
      <c r="UJ34" s="10">
        <v>0</v>
      </c>
      <c r="UK34" s="17">
        <v>44321</v>
      </c>
      <c r="UL34" s="10">
        <v>87798</v>
      </c>
      <c r="UM34" s="10">
        <v>0</v>
      </c>
      <c r="UN34" s="17">
        <v>44325</v>
      </c>
      <c r="UO34" s="10">
        <v>88078</v>
      </c>
      <c r="UP34" s="10">
        <v>0</v>
      </c>
      <c r="UQ34" s="17">
        <v>44326</v>
      </c>
      <c r="UR34" s="10">
        <v>88866</v>
      </c>
      <c r="US34" s="10">
        <v>0</v>
      </c>
      <c r="UT34" s="17">
        <v>44327</v>
      </c>
      <c r="UU34" s="10">
        <v>88990</v>
      </c>
      <c r="UV34" s="10">
        <v>0</v>
      </c>
      <c r="UW34" s="17">
        <v>44328</v>
      </c>
      <c r="UX34" s="10">
        <v>89270</v>
      </c>
      <c r="UY34" s="10">
        <v>0</v>
      </c>
      <c r="UZ34" s="17">
        <v>44330</v>
      </c>
      <c r="VA34" s="10">
        <v>89532</v>
      </c>
      <c r="VB34" s="10">
        <v>0</v>
      </c>
      <c r="VC34" s="17">
        <v>44330</v>
      </c>
      <c r="VD34" s="10">
        <v>89686</v>
      </c>
      <c r="VE34" s="10">
        <v>0</v>
      </c>
      <c r="VF34" s="17">
        <v>44331</v>
      </c>
      <c r="VG34" s="10">
        <v>89878</v>
      </c>
      <c r="VH34" s="10">
        <v>0</v>
      </c>
      <c r="VI34" s="17">
        <v>44333</v>
      </c>
      <c r="VJ34" s="10">
        <v>90105</v>
      </c>
      <c r="VK34" s="10">
        <v>0</v>
      </c>
      <c r="VL34" s="17">
        <v>44333</v>
      </c>
      <c r="VM34" s="10">
        <v>90249</v>
      </c>
      <c r="VN34" s="10">
        <v>0</v>
      </c>
      <c r="VO34" s="17">
        <v>44334</v>
      </c>
      <c r="VP34" s="10">
        <v>90398</v>
      </c>
      <c r="VQ34" s="10">
        <v>0</v>
      </c>
      <c r="VR34" s="17">
        <v>44335</v>
      </c>
      <c r="VS34" s="10">
        <v>90687</v>
      </c>
      <c r="VT34" s="10">
        <v>0</v>
      </c>
      <c r="VU34" s="17">
        <v>44337</v>
      </c>
      <c r="VV34" s="10">
        <v>90946</v>
      </c>
      <c r="VW34" s="10">
        <v>0</v>
      </c>
      <c r="VX34" s="17">
        <v>44337</v>
      </c>
      <c r="VY34" s="10">
        <v>91157</v>
      </c>
      <c r="VZ34" s="10">
        <v>0</v>
      </c>
      <c r="WA34" s="17">
        <v>44338</v>
      </c>
      <c r="WB34" s="10">
        <v>91405</v>
      </c>
      <c r="WC34" s="10">
        <v>0</v>
      </c>
      <c r="WD34" s="17">
        <v>44339</v>
      </c>
      <c r="WE34" s="10">
        <v>91526</v>
      </c>
      <c r="WF34" s="10">
        <v>0</v>
      </c>
      <c r="WG34" s="17">
        <v>44340</v>
      </c>
      <c r="WH34" s="10">
        <v>91619</v>
      </c>
      <c r="WI34" s="10">
        <v>0</v>
      </c>
      <c r="WJ34" s="17">
        <v>44342</v>
      </c>
      <c r="WK34" s="10">
        <v>91744</v>
      </c>
      <c r="WL34" s="10">
        <v>0</v>
      </c>
      <c r="WM34" s="17">
        <v>44342</v>
      </c>
      <c r="WN34" s="10">
        <v>91964</v>
      </c>
      <c r="WO34" s="10">
        <v>0</v>
      </c>
      <c r="WP34" s="17">
        <v>44345</v>
      </c>
      <c r="WQ34" s="10">
        <v>92062</v>
      </c>
      <c r="WR34" s="10">
        <v>0</v>
      </c>
      <c r="WS34" s="17">
        <v>44346</v>
      </c>
      <c r="WT34" s="10">
        <v>92432</v>
      </c>
      <c r="WU34" s="10">
        <v>0</v>
      </c>
      <c r="WV34" s="17">
        <v>44347</v>
      </c>
      <c r="WW34" s="10">
        <v>92488</v>
      </c>
      <c r="WX34" s="10">
        <v>0</v>
      </c>
      <c r="WY34" s="17">
        <v>44348</v>
      </c>
      <c r="WZ34" s="10">
        <v>92642</v>
      </c>
      <c r="XA34" s="10">
        <v>0</v>
      </c>
      <c r="XB34" s="17">
        <v>44349</v>
      </c>
      <c r="XC34" s="10">
        <v>92770</v>
      </c>
      <c r="XD34" s="10">
        <v>0</v>
      </c>
      <c r="XE34" s="17">
        <v>44351</v>
      </c>
      <c r="XF34" s="10">
        <v>92913</v>
      </c>
      <c r="XG34" s="10">
        <v>0</v>
      </c>
      <c r="XH34" s="17">
        <v>44351</v>
      </c>
      <c r="XI34" s="10">
        <v>93038</v>
      </c>
      <c r="XJ34" s="10">
        <v>0</v>
      </c>
      <c r="XK34" s="17">
        <v>44352</v>
      </c>
      <c r="XL34" s="10">
        <v>93158</v>
      </c>
      <c r="XM34" s="10">
        <v>0</v>
      </c>
      <c r="XN34" s="17">
        <v>44353</v>
      </c>
      <c r="XO34" s="10">
        <v>93226</v>
      </c>
      <c r="XP34" s="10">
        <v>0</v>
      </c>
      <c r="XQ34" s="17">
        <v>44354</v>
      </c>
      <c r="XR34" s="10">
        <v>93281</v>
      </c>
      <c r="XS34" s="10">
        <v>0</v>
      </c>
      <c r="XT34" s="17">
        <v>44355</v>
      </c>
      <c r="XU34" s="10">
        <v>93394</v>
      </c>
      <c r="XV34" s="10">
        <v>0</v>
      </c>
      <c r="XW34" s="17">
        <v>44356</v>
      </c>
      <c r="XX34" s="10">
        <v>93520</v>
      </c>
      <c r="XY34" s="10">
        <v>0</v>
      </c>
      <c r="XZ34" s="17">
        <v>44357</v>
      </c>
      <c r="YA34" s="10">
        <v>93613</v>
      </c>
      <c r="YB34" s="10">
        <v>0</v>
      </c>
      <c r="YC34" s="17">
        <v>44359</v>
      </c>
      <c r="YD34" s="10">
        <v>93660</v>
      </c>
      <c r="YE34" s="10">
        <v>0</v>
      </c>
      <c r="YF34" s="17">
        <v>44360</v>
      </c>
      <c r="YG34" s="10">
        <v>93821</v>
      </c>
      <c r="YH34" s="10">
        <v>0</v>
      </c>
      <c r="YI34" s="17">
        <v>44361</v>
      </c>
      <c r="YJ34" s="10">
        <v>93850</v>
      </c>
      <c r="YK34" s="10">
        <v>0</v>
      </c>
      <c r="YL34" s="17">
        <v>44362</v>
      </c>
      <c r="YM34" s="10">
        <v>93923</v>
      </c>
      <c r="YN34" s="10">
        <v>0</v>
      </c>
      <c r="YO34" s="17">
        <v>44363</v>
      </c>
      <c r="YP34" s="10">
        <v>94026</v>
      </c>
      <c r="YQ34" s="10">
        <v>0</v>
      </c>
      <c r="YR34" s="17">
        <v>44364</v>
      </c>
      <c r="YS34" s="10">
        <v>94081</v>
      </c>
      <c r="YT34" s="10">
        <v>0</v>
      </c>
      <c r="YU34" s="17">
        <v>44366</v>
      </c>
      <c r="YV34" s="10">
        <v>94154</v>
      </c>
      <c r="YW34" s="10">
        <v>0</v>
      </c>
      <c r="YX34" s="17">
        <v>44367</v>
      </c>
      <c r="YY34" s="10">
        <v>94334</v>
      </c>
      <c r="YZ34" s="10">
        <v>0</v>
      </c>
      <c r="ZA34" s="17">
        <v>44368</v>
      </c>
      <c r="ZB34" s="10">
        <v>94379</v>
      </c>
      <c r="ZC34" s="10">
        <v>0</v>
      </c>
      <c r="ZD34" s="17">
        <v>44379</v>
      </c>
      <c r="ZE34" s="10">
        <v>94489</v>
      </c>
      <c r="ZF34" s="10">
        <v>0</v>
      </c>
      <c r="ZG34" s="17">
        <v>44380</v>
      </c>
      <c r="ZH34" s="10">
        <v>96372</v>
      </c>
      <c r="ZI34" s="10">
        <v>1</v>
      </c>
      <c r="ZJ34" s="17">
        <v>44381</v>
      </c>
      <c r="ZK34" s="10">
        <v>96463</v>
      </c>
      <c r="ZL34" s="10">
        <v>0</v>
      </c>
      <c r="ZM34" s="17">
        <v>44382</v>
      </c>
      <c r="ZN34" s="10">
        <v>96569</v>
      </c>
      <c r="ZO34" s="10">
        <v>0</v>
      </c>
      <c r="ZP34" s="17">
        <v>44383</v>
      </c>
      <c r="ZQ34" s="10">
        <v>96791</v>
      </c>
      <c r="ZR34" s="10">
        <v>0</v>
      </c>
      <c r="ZS34" s="17">
        <v>44387</v>
      </c>
      <c r="ZT34" s="10">
        <v>97049</v>
      </c>
      <c r="ZU34" s="10">
        <v>0</v>
      </c>
      <c r="ZV34" s="17">
        <v>44388</v>
      </c>
      <c r="ZW34" s="10">
        <v>98082</v>
      </c>
      <c r="ZX34" s="10">
        <v>0</v>
      </c>
      <c r="ZY34" s="17">
        <v>44389</v>
      </c>
      <c r="ZZ34" s="10">
        <v>98215</v>
      </c>
      <c r="AAA34" s="10">
        <v>0</v>
      </c>
      <c r="AAB34" s="17">
        <v>44390</v>
      </c>
      <c r="AAC34" s="10">
        <v>98505</v>
      </c>
      <c r="AAD34" s="10">
        <v>0</v>
      </c>
      <c r="AAE34" s="17">
        <v>44391</v>
      </c>
      <c r="AAF34" s="10">
        <v>98888</v>
      </c>
      <c r="AAG34" s="10">
        <v>1</v>
      </c>
      <c r="AAH34" s="17">
        <v>44394</v>
      </c>
      <c r="AAI34" s="10">
        <v>99212</v>
      </c>
      <c r="AAJ34" s="10">
        <v>0</v>
      </c>
      <c r="AAK34" s="17">
        <v>44395</v>
      </c>
      <c r="AAL34" s="10">
        <v>100156</v>
      </c>
      <c r="AAM34" s="10">
        <v>0</v>
      </c>
      <c r="AAN34" s="17">
        <v>44397</v>
      </c>
      <c r="AAO34" s="10">
        <v>100312</v>
      </c>
      <c r="AAP34" s="10">
        <v>0</v>
      </c>
      <c r="AAQ34" s="17">
        <v>44397</v>
      </c>
      <c r="AAR34" s="10">
        <v>100773</v>
      </c>
      <c r="AAS34" s="10">
        <v>0</v>
      </c>
      <c r="AAT34" s="17">
        <v>44398</v>
      </c>
      <c r="AAU34" s="10">
        <v>101226</v>
      </c>
      <c r="AAV34" s="10">
        <v>0</v>
      </c>
      <c r="AAW34" s="17">
        <v>44400</v>
      </c>
      <c r="AAX34" s="10">
        <v>101630</v>
      </c>
      <c r="AAY34" s="10">
        <v>0</v>
      </c>
      <c r="AAZ34" s="17">
        <v>44400</v>
      </c>
      <c r="ABA34" s="10">
        <v>102042</v>
      </c>
      <c r="ABB34" s="10">
        <v>0</v>
      </c>
      <c r="ABC34" s="17">
        <v>44401</v>
      </c>
      <c r="ABD34" s="10">
        <v>102612</v>
      </c>
      <c r="ABE34" s="10">
        <v>0</v>
      </c>
      <c r="ABF34" s="17">
        <v>44403</v>
      </c>
      <c r="ABG34" s="10">
        <v>102972</v>
      </c>
      <c r="ABH34" s="10">
        <v>0</v>
      </c>
      <c r="ABI34" s="17">
        <v>44403</v>
      </c>
      <c r="ABJ34" s="10">
        <v>103239</v>
      </c>
      <c r="ABK34" s="10">
        <v>0</v>
      </c>
      <c r="ABL34" s="17">
        <v>44404</v>
      </c>
      <c r="ABM34" s="10">
        <v>103851</v>
      </c>
      <c r="ABN34" s="10">
        <v>0</v>
      </c>
      <c r="ABO34" s="17">
        <v>44405</v>
      </c>
      <c r="ABP34" s="10">
        <v>104495</v>
      </c>
      <c r="ABQ34" s="10">
        <v>0</v>
      </c>
      <c r="ABR34" s="17">
        <v>44406</v>
      </c>
      <c r="ABS34" s="10">
        <v>105260</v>
      </c>
      <c r="ABT34" s="10">
        <v>0</v>
      </c>
      <c r="ABU34" s="17">
        <v>44407</v>
      </c>
      <c r="ABV34" s="10">
        <v>106008</v>
      </c>
      <c r="ABW34" s="10">
        <v>0</v>
      </c>
      <c r="ABX34" s="17">
        <v>44408</v>
      </c>
      <c r="ABY34" s="10">
        <v>106802</v>
      </c>
      <c r="ABZ34" s="10">
        <v>1</v>
      </c>
      <c r="ACA34" s="17">
        <v>44409</v>
      </c>
      <c r="ACB34" s="10">
        <v>107321</v>
      </c>
      <c r="ACC34" s="10">
        <v>0</v>
      </c>
      <c r="ACD34" s="17">
        <v>44410</v>
      </c>
      <c r="ACE34" s="10">
        <v>107666</v>
      </c>
      <c r="ACF34" s="10">
        <v>0</v>
      </c>
      <c r="ACG34" s="17">
        <v>44411</v>
      </c>
      <c r="ACH34" s="10">
        <v>108358</v>
      </c>
      <c r="ACI34" s="10">
        <v>0</v>
      </c>
      <c r="ACJ34" s="17">
        <v>44412</v>
      </c>
      <c r="ACK34" s="10">
        <v>109230</v>
      </c>
      <c r="ACL34" s="10">
        <v>0</v>
      </c>
      <c r="ACM34" s="17">
        <v>44415</v>
      </c>
      <c r="ACN34" s="10">
        <v>109982</v>
      </c>
      <c r="ACO34" s="10">
        <v>0</v>
      </c>
      <c r="ACP34" s="17">
        <v>44416</v>
      </c>
      <c r="ACQ34" s="10">
        <v>112207</v>
      </c>
      <c r="ACR34" s="10">
        <v>0</v>
      </c>
      <c r="ACS34" s="17">
        <v>44417</v>
      </c>
      <c r="ACT34" s="10">
        <v>112656</v>
      </c>
      <c r="ACU34" s="10">
        <v>0</v>
      </c>
      <c r="ACV34" s="17">
        <v>44418</v>
      </c>
      <c r="ACW34" s="10">
        <v>113437</v>
      </c>
      <c r="ACX34" s="10">
        <v>0</v>
      </c>
      <c r="ACY34" s="17">
        <v>44419</v>
      </c>
      <c r="ACZ34" s="10">
        <v>114281</v>
      </c>
      <c r="ADA34" s="10">
        <v>0</v>
      </c>
      <c r="ADB34" s="17">
        <v>44420</v>
      </c>
      <c r="ADC34" s="10">
        <v>115305</v>
      </c>
      <c r="ADD34" s="10">
        <v>0</v>
      </c>
      <c r="ADE34" s="17">
        <v>44421</v>
      </c>
      <c r="ADF34" s="10">
        <v>116231</v>
      </c>
      <c r="ADG34" s="10">
        <v>0</v>
      </c>
      <c r="ADH34" s="17">
        <v>44422</v>
      </c>
      <c r="ADI34" s="10">
        <v>116996</v>
      </c>
      <c r="ADJ34" s="10">
        <v>0</v>
      </c>
      <c r="ADK34" s="17">
        <v>44423</v>
      </c>
      <c r="ADL34" s="10">
        <v>117531</v>
      </c>
      <c r="ADM34" s="10">
        <v>0</v>
      </c>
      <c r="ADN34" s="17">
        <v>44424</v>
      </c>
      <c r="ADO34" s="10">
        <v>117982</v>
      </c>
      <c r="ADP34" s="10">
        <v>0</v>
      </c>
      <c r="ADQ34" s="17">
        <v>44425</v>
      </c>
      <c r="ADR34" s="10">
        <v>118647</v>
      </c>
      <c r="ADS34" s="10">
        <v>0</v>
      </c>
      <c r="ADT34" s="17">
        <v>44426</v>
      </c>
      <c r="ADU34" s="10">
        <v>119320</v>
      </c>
      <c r="ADV34" s="10">
        <v>0</v>
      </c>
      <c r="ADW34" s="17">
        <v>44429</v>
      </c>
      <c r="ADX34" s="10">
        <v>120186</v>
      </c>
      <c r="ADY34" s="10">
        <v>0</v>
      </c>
      <c r="ADZ34" s="17">
        <v>44430</v>
      </c>
      <c r="AEA34" s="10">
        <v>122046</v>
      </c>
      <c r="AEB34" s="10">
        <v>0</v>
      </c>
      <c r="AEC34" s="17">
        <v>44431</v>
      </c>
      <c r="AED34" s="10">
        <v>122417</v>
      </c>
      <c r="AEE34" s="10">
        <v>0</v>
      </c>
      <c r="AEF34" s="17">
        <v>44432</v>
      </c>
      <c r="AEG34" s="10">
        <v>123061</v>
      </c>
      <c r="AEH34" s="10">
        <v>0</v>
      </c>
      <c r="AEI34" s="17">
        <v>44433</v>
      </c>
      <c r="AEJ34" s="10">
        <v>123635</v>
      </c>
      <c r="AEK34" s="10">
        <v>0</v>
      </c>
      <c r="AEL34" s="17">
        <v>44436</v>
      </c>
      <c r="AEM34" s="10">
        <v>124285</v>
      </c>
      <c r="AEN34" s="10">
        <v>0</v>
      </c>
      <c r="AEO34" s="17">
        <v>44437</v>
      </c>
      <c r="AEP34" s="10">
        <v>126093</v>
      </c>
      <c r="AEQ34" s="10">
        <v>0</v>
      </c>
      <c r="AER34" s="17">
        <v>44438</v>
      </c>
      <c r="AES34" s="10">
        <v>126565</v>
      </c>
      <c r="AET34" s="10">
        <v>0</v>
      </c>
      <c r="AEU34" s="17">
        <v>44439</v>
      </c>
      <c r="AEV34" s="10">
        <v>127182</v>
      </c>
      <c r="AEW34" s="10">
        <v>0</v>
      </c>
      <c r="AEX34" s="17">
        <v>44441</v>
      </c>
      <c r="AEY34" s="10">
        <v>127861</v>
      </c>
      <c r="AEZ34" s="10">
        <v>0</v>
      </c>
      <c r="AFA34" s="17">
        <v>44442</v>
      </c>
      <c r="AFB34" s="10">
        <v>129105</v>
      </c>
      <c r="AFC34" s="10">
        <v>0</v>
      </c>
      <c r="AFD34" s="10">
        <v>44447</v>
      </c>
      <c r="AFE34" s="10">
        <v>129192</v>
      </c>
      <c r="AFF34" s="10">
        <v>0</v>
      </c>
      <c r="AFG34" s="10">
        <v>44448</v>
      </c>
      <c r="AFH34" s="10">
        <v>132172</v>
      </c>
      <c r="AFI34" s="10">
        <v>0</v>
      </c>
      <c r="AFJ34" s="10">
        <v>44450</v>
      </c>
      <c r="AFK34" s="10">
        <v>132662</v>
      </c>
      <c r="AFL34" s="10">
        <v>0</v>
      </c>
      <c r="AFM34" s="10">
        <v>44453</v>
      </c>
      <c r="AFN34" s="10">
        <v>133638</v>
      </c>
      <c r="AFO34" s="10">
        <v>0</v>
      </c>
      <c r="AFP34" s="10">
        <v>44454</v>
      </c>
      <c r="AFQ34" s="10">
        <v>134827</v>
      </c>
      <c r="AFR34" s="10">
        <v>0</v>
      </c>
      <c r="AFS34" s="10">
        <v>44456</v>
      </c>
      <c r="AFT34" s="10">
        <v>135314</v>
      </c>
      <c r="AFU34" s="10">
        <v>0</v>
      </c>
      <c r="AFV34" s="10">
        <v>44457</v>
      </c>
      <c r="AFW34" s="10">
        <v>136206</v>
      </c>
      <c r="AFX34" s="10">
        <v>0</v>
      </c>
      <c r="AFY34" s="10">
        <v>44459</v>
      </c>
      <c r="AFZ34" s="10">
        <v>136257</v>
      </c>
      <c r="AGA34" s="10">
        <v>0</v>
      </c>
      <c r="AGB34" s="10">
        <v>44460</v>
      </c>
      <c r="AGC34" s="10">
        <v>137117</v>
      </c>
      <c r="AGD34" s="10">
        <v>1</v>
      </c>
      <c r="AGE34" s="10">
        <v>44463</v>
      </c>
      <c r="AGF34" s="10">
        <v>137594</v>
      </c>
      <c r="AGG34" s="10">
        <v>0</v>
      </c>
      <c r="AGH34" s="10">
        <v>44464</v>
      </c>
      <c r="AGI34" s="10">
        <v>138578</v>
      </c>
      <c r="AGJ34" s="10">
        <v>0</v>
      </c>
      <c r="AGK34" s="10">
        <v>44466</v>
      </c>
      <c r="AGL34" s="10">
        <v>139405</v>
      </c>
      <c r="AGM34" s="10">
        <v>0</v>
      </c>
      <c r="AGN34" s="10">
        <v>44466</v>
      </c>
      <c r="AGO34" s="10">
        <v>139678</v>
      </c>
      <c r="AGP34" s="10">
        <v>0</v>
      </c>
      <c r="AGQ34" s="10">
        <v>44467</v>
      </c>
      <c r="AGR34" s="10">
        <v>140087</v>
      </c>
      <c r="AGS34" s="10">
        <v>0</v>
      </c>
      <c r="AGT34" s="10">
        <v>44468</v>
      </c>
      <c r="AGU34" s="10">
        <v>140889</v>
      </c>
      <c r="AGV34" s="10">
        <v>0</v>
      </c>
      <c r="AGW34" s="10">
        <v>44470</v>
      </c>
      <c r="AGX34" s="10">
        <v>141552</v>
      </c>
      <c r="AGY34" s="10">
        <v>0</v>
      </c>
      <c r="AGZ34" s="10">
        <v>44472</v>
      </c>
      <c r="AHA34" s="10">
        <v>142114</v>
      </c>
      <c r="AHB34" s="10">
        <v>0</v>
      </c>
      <c r="AHC34" s="10">
        <v>44473</v>
      </c>
      <c r="AHD34" s="10">
        <v>143416</v>
      </c>
      <c r="AHE34" s="10">
        <v>0</v>
      </c>
      <c r="AHF34" s="10">
        <v>44474</v>
      </c>
      <c r="AHG34" s="10">
        <v>143999</v>
      </c>
      <c r="AHH34" s="10">
        <v>0</v>
      </c>
      <c r="AHI34" s="10">
        <v>44475</v>
      </c>
      <c r="AHJ34" s="10">
        <v>144665</v>
      </c>
      <c r="AHK34" s="10">
        <v>0</v>
      </c>
      <c r="AHL34" s="10">
        <v>44479</v>
      </c>
      <c r="AHM34" s="10">
        <v>145354</v>
      </c>
      <c r="AHN34" s="10">
        <v>0</v>
      </c>
      <c r="AHO34" s="10">
        <v>44480</v>
      </c>
      <c r="AHP34" s="10">
        <v>147297</v>
      </c>
      <c r="AHQ34" s="10">
        <v>0</v>
      </c>
      <c r="AHR34" s="10">
        <v>44481</v>
      </c>
      <c r="AHS34" s="10">
        <v>147919</v>
      </c>
      <c r="AHT34" s="10">
        <v>0</v>
      </c>
      <c r="AHU34" s="10">
        <v>44482</v>
      </c>
      <c r="AHV34" s="10">
        <v>148672</v>
      </c>
      <c r="AHW34" s="10">
        <v>0</v>
      </c>
      <c r="AHX34" s="10">
        <v>44483</v>
      </c>
      <c r="AHY34" s="10">
        <v>149174</v>
      </c>
      <c r="AHZ34" s="10">
        <v>0</v>
      </c>
      <c r="AIA34" s="10">
        <v>44487</v>
      </c>
      <c r="AIB34" s="10">
        <v>149897</v>
      </c>
      <c r="AIC34" s="10">
        <v>0</v>
      </c>
      <c r="AID34" s="10">
        <v>44491</v>
      </c>
      <c r="AIE34" s="10">
        <v>151787</v>
      </c>
      <c r="AIF34" s="10">
        <v>0</v>
      </c>
      <c r="AIG34" s="10">
        <v>44495</v>
      </c>
      <c r="AIH34" s="10">
        <v>153156</v>
      </c>
      <c r="AII34" s="10">
        <v>0</v>
      </c>
      <c r="AIJ34" s="10">
        <v>44496</v>
      </c>
      <c r="AIK34" s="10">
        <v>156286</v>
      </c>
      <c r="AIL34" s="10">
        <v>1</v>
      </c>
      <c r="AIM34" s="10">
        <v>44497</v>
      </c>
      <c r="AIN34" s="10">
        <v>156959</v>
      </c>
      <c r="AIO34" s="10">
        <v>0</v>
      </c>
      <c r="AIP34" s="10">
        <v>44500</v>
      </c>
      <c r="AIQ34" s="10">
        <v>157531</v>
      </c>
      <c r="AIR34" s="10">
        <v>0</v>
      </c>
      <c r="AIS34" s="10">
        <v>44501</v>
      </c>
      <c r="AIT34" s="10">
        <v>158991</v>
      </c>
      <c r="AIU34" s="10">
        <v>0</v>
      </c>
      <c r="AIV34" s="10">
        <v>44502</v>
      </c>
      <c r="AIW34" s="10">
        <v>159798</v>
      </c>
      <c r="AIX34" s="10">
        <v>0</v>
      </c>
      <c r="AIY34" s="10">
        <v>44503</v>
      </c>
      <c r="AIZ34" s="10">
        <v>160948</v>
      </c>
      <c r="AJA34" s="10">
        <v>0</v>
      </c>
      <c r="AJB34" s="10">
        <v>44504</v>
      </c>
      <c r="AJC34" s="10">
        <v>161688</v>
      </c>
      <c r="AJD34" s="10">
        <v>0</v>
      </c>
      <c r="AJE34" s="10">
        <v>44507</v>
      </c>
      <c r="AJF34" s="10">
        <v>162476</v>
      </c>
      <c r="AJG34" s="10">
        <v>0</v>
      </c>
      <c r="AJH34" s="10">
        <v>44508</v>
      </c>
      <c r="AJI34" s="10">
        <v>164492</v>
      </c>
      <c r="AJJ34" s="10">
        <v>2</v>
      </c>
      <c r="AJK34" s="10">
        <v>44509</v>
      </c>
      <c r="AJL34" s="10">
        <v>165302</v>
      </c>
      <c r="AJM34" s="10">
        <v>0</v>
      </c>
      <c r="AJN34" s="10">
        <v>44510</v>
      </c>
      <c r="AJO34" s="10">
        <v>166256</v>
      </c>
      <c r="AJP34" s="10">
        <v>0</v>
      </c>
      <c r="AJQ34" s="10">
        <v>44514</v>
      </c>
      <c r="AJR34" s="10">
        <v>167119</v>
      </c>
      <c r="AJS34" s="10">
        <v>0</v>
      </c>
      <c r="AJT34" s="10">
        <v>44515</v>
      </c>
      <c r="AJU34" s="10">
        <v>170285</v>
      </c>
      <c r="AJV34" s="10">
        <v>0</v>
      </c>
      <c r="AJW34" s="10">
        <v>44516</v>
      </c>
      <c r="AJX34" s="10">
        <v>171222</v>
      </c>
      <c r="AJY34" s="10">
        <v>1</v>
      </c>
      <c r="AJZ34" s="10">
        <v>44517</v>
      </c>
      <c r="AKA34" s="10">
        <v>172373</v>
      </c>
      <c r="AKB34" s="10">
        <v>0</v>
      </c>
      <c r="AKC34" s="10">
        <v>44518</v>
      </c>
      <c r="AKD34" s="10">
        <v>173632</v>
      </c>
      <c r="AKE34" s="10">
        <v>1</v>
      </c>
      <c r="AKF34" s="10">
        <v>44521</v>
      </c>
      <c r="AKG34" s="10">
        <v>174823</v>
      </c>
      <c r="AKH34" s="10">
        <v>0</v>
      </c>
      <c r="AKI34" s="10">
        <v>44524</v>
      </c>
      <c r="AKJ34" s="10">
        <v>177439</v>
      </c>
      <c r="AKK34" s="10">
        <v>0</v>
      </c>
      <c r="AKL34" s="10">
        <v>44526</v>
      </c>
      <c r="AKM34" s="10">
        <v>180878</v>
      </c>
      <c r="AKN34" s="10">
        <v>0</v>
      </c>
      <c r="AKO34" s="10">
        <v>44528</v>
      </c>
      <c r="AKP34" s="10">
        <v>182284</v>
      </c>
      <c r="AKQ34" s="10">
        <v>0</v>
      </c>
      <c r="AKR34" s="10">
        <v>44529</v>
      </c>
      <c r="AKS34" s="10">
        <v>185622</v>
      </c>
      <c r="AKT34" s="10">
        <v>0</v>
      </c>
      <c r="AKU34" s="10">
        <v>44531</v>
      </c>
      <c r="AKV34" s="10">
        <v>186538</v>
      </c>
      <c r="AKW34" s="10">
        <v>0</v>
      </c>
      <c r="AKX34" s="10">
        <v>44532</v>
      </c>
      <c r="AKY34" s="10">
        <v>189730</v>
      </c>
      <c r="AKZ34" s="10">
        <v>0</v>
      </c>
      <c r="ALA34" s="10">
        <v>44535</v>
      </c>
      <c r="ALB34" s="10">
        <v>191226</v>
      </c>
      <c r="ALC34" s="10">
        <v>0</v>
      </c>
      <c r="ALD34" s="10">
        <v>44536</v>
      </c>
      <c r="ALE34" s="10">
        <v>194638</v>
      </c>
      <c r="ALF34" s="10">
        <v>0</v>
      </c>
      <c r="ALG34" s="10">
        <v>44537</v>
      </c>
      <c r="ALH34" s="10">
        <v>196180</v>
      </c>
      <c r="ALI34" s="10">
        <v>0</v>
      </c>
      <c r="ALJ34" s="10">
        <v>44538</v>
      </c>
      <c r="ALK34" s="10">
        <v>197476</v>
      </c>
      <c r="ALL34" s="10">
        <v>0</v>
      </c>
      <c r="ALM34" s="10">
        <v>44546</v>
      </c>
      <c r="ALN34" s="10">
        <v>211239</v>
      </c>
      <c r="ALO34" s="10">
        <v>1</v>
      </c>
    </row>
    <row r="35" spans="2:1010">
      <c r="B35" t="str">
        <f t="shared" ca="1" si="2"/>
        <v>18.12</v>
      </c>
      <c r="C35" s="12">
        <f ca="1">FLOOR(NOW(),1)</f>
        <v>44548</v>
      </c>
      <c r="D35" s="11">
        <f t="shared" ca="1" si="1"/>
        <v>213318</v>
      </c>
      <c r="E35" s="11">
        <f t="shared" ca="1" si="3"/>
        <v>0</v>
      </c>
      <c r="F35" s="11" t="str">
        <f t="shared" ca="1" si="4"/>
        <v/>
      </c>
      <c r="G35" s="11" t="e">
        <f t="shared" ca="1" si="5"/>
        <v>#N/A</v>
      </c>
      <c r="N35" s="16">
        <v>44547</v>
      </c>
      <c r="O35">
        <v>211239</v>
      </c>
      <c r="P35" s="11">
        <v>0</v>
      </c>
      <c r="Q35" s="16">
        <v>44547</v>
      </c>
      <c r="R35">
        <v>211239</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s="16">
        <v>44296</v>
      </c>
      <c r="RU35">
        <v>81261</v>
      </c>
      <c r="RV35">
        <v>0</v>
      </c>
      <c r="RW35" s="16">
        <v>44297</v>
      </c>
      <c r="RX35">
        <v>81707</v>
      </c>
      <c r="RY35">
        <v>0</v>
      </c>
      <c r="RZ35" s="16">
        <v>44298</v>
      </c>
      <c r="SA35">
        <v>82053</v>
      </c>
      <c r="SB35">
        <v>0</v>
      </c>
      <c r="SC35" s="16">
        <v>44299</v>
      </c>
      <c r="SD35">
        <v>82278</v>
      </c>
      <c r="SE35">
        <v>0</v>
      </c>
      <c r="SF35" s="16">
        <v>44300</v>
      </c>
      <c r="SG35">
        <v>82564</v>
      </c>
      <c r="SH35">
        <v>0</v>
      </c>
      <c r="SI35" s="16">
        <v>44301</v>
      </c>
      <c r="SJ35">
        <v>82964</v>
      </c>
      <c r="SK35">
        <v>0</v>
      </c>
      <c r="SL35" s="16">
        <v>44303</v>
      </c>
      <c r="SM35">
        <v>83253</v>
      </c>
      <c r="SN35">
        <v>0</v>
      </c>
      <c r="SO35" s="16">
        <v>44304</v>
      </c>
      <c r="SP35">
        <v>83633</v>
      </c>
      <c r="SQ35">
        <v>0</v>
      </c>
      <c r="SR35" s="16">
        <v>44305</v>
      </c>
      <c r="SS35">
        <v>84131</v>
      </c>
      <c r="ST35">
        <v>0</v>
      </c>
      <c r="SU35" s="16">
        <v>44306</v>
      </c>
      <c r="SV35">
        <v>84287</v>
      </c>
      <c r="SW35">
        <v>0</v>
      </c>
      <c r="SX35" s="16">
        <v>44308</v>
      </c>
      <c r="SY35">
        <v>84501</v>
      </c>
      <c r="SZ35">
        <v>0</v>
      </c>
      <c r="TA35" s="16">
        <v>44309</v>
      </c>
      <c r="TB35">
        <v>85077</v>
      </c>
      <c r="TC35">
        <v>0</v>
      </c>
      <c r="TD35" s="16">
        <v>44311</v>
      </c>
      <c r="TE35">
        <v>85344</v>
      </c>
      <c r="TF35">
        <v>0</v>
      </c>
      <c r="TG35" s="16">
        <v>44312</v>
      </c>
      <c r="TH35">
        <v>85804</v>
      </c>
      <c r="TI35">
        <v>0</v>
      </c>
      <c r="TJ35" s="16">
        <v>44313</v>
      </c>
      <c r="TK35">
        <v>85937</v>
      </c>
      <c r="TL35">
        <v>0</v>
      </c>
      <c r="TM35" s="16">
        <v>44314</v>
      </c>
      <c r="TN35">
        <v>86161</v>
      </c>
      <c r="TO35">
        <v>0</v>
      </c>
      <c r="TP35" s="16">
        <v>44316</v>
      </c>
      <c r="TQ35">
        <v>86405</v>
      </c>
      <c r="TR35">
        <v>0</v>
      </c>
      <c r="TS35" s="16">
        <v>44317</v>
      </c>
      <c r="TT35">
        <v>86613</v>
      </c>
      <c r="TU35">
        <v>0</v>
      </c>
      <c r="TV35" s="16">
        <v>44317</v>
      </c>
      <c r="TW35">
        <v>86808</v>
      </c>
      <c r="TX35">
        <v>0</v>
      </c>
      <c r="TY35" s="16">
        <v>44318</v>
      </c>
      <c r="TZ35">
        <v>87096</v>
      </c>
      <c r="UA35">
        <v>0</v>
      </c>
      <c r="UB35" s="16">
        <v>44320</v>
      </c>
      <c r="UC35">
        <v>87228</v>
      </c>
      <c r="UD35">
        <v>0</v>
      </c>
      <c r="UE35" s="16">
        <v>44320</v>
      </c>
      <c r="UF35">
        <v>87345</v>
      </c>
      <c r="UG35">
        <v>0</v>
      </c>
      <c r="UH35" s="16">
        <v>44321</v>
      </c>
      <c r="UI35">
        <v>87529</v>
      </c>
      <c r="UJ35">
        <v>0</v>
      </c>
      <c r="UK35" s="16">
        <v>44322</v>
      </c>
      <c r="UL35">
        <v>87798</v>
      </c>
      <c r="UM35">
        <v>0</v>
      </c>
      <c r="UN35" s="16">
        <v>44326</v>
      </c>
      <c r="UO35">
        <v>88078</v>
      </c>
      <c r="UP35">
        <v>0</v>
      </c>
      <c r="UQ35" s="16">
        <v>44327</v>
      </c>
      <c r="UR35">
        <v>88866</v>
      </c>
      <c r="US35">
        <v>0</v>
      </c>
      <c r="UT35" s="16">
        <v>44328</v>
      </c>
      <c r="UU35">
        <v>88990</v>
      </c>
      <c r="UV35">
        <v>0</v>
      </c>
      <c r="UW35" s="16">
        <v>44329</v>
      </c>
      <c r="UX35">
        <v>89270</v>
      </c>
      <c r="UY35">
        <v>0</v>
      </c>
      <c r="UZ35" s="16">
        <v>44331</v>
      </c>
      <c r="VA35">
        <v>89532</v>
      </c>
      <c r="VB35">
        <v>0</v>
      </c>
      <c r="VC35" s="16">
        <v>44331</v>
      </c>
      <c r="VD35">
        <v>89686</v>
      </c>
      <c r="VE35">
        <v>0</v>
      </c>
      <c r="VF35" s="16">
        <v>44332</v>
      </c>
      <c r="VG35">
        <v>89878</v>
      </c>
      <c r="VH35">
        <v>0</v>
      </c>
      <c r="VI35" s="16">
        <v>44334</v>
      </c>
      <c r="VJ35">
        <v>90105</v>
      </c>
      <c r="VK35">
        <v>0</v>
      </c>
      <c r="VL35" s="16">
        <v>44334</v>
      </c>
      <c r="VM35">
        <v>90249</v>
      </c>
      <c r="VN35">
        <v>0</v>
      </c>
      <c r="VO35" s="16">
        <v>44335</v>
      </c>
      <c r="VP35">
        <v>90398</v>
      </c>
      <c r="VQ35">
        <v>0</v>
      </c>
      <c r="VR35" s="16">
        <v>44336</v>
      </c>
      <c r="VS35">
        <v>90687</v>
      </c>
      <c r="VT35">
        <v>0</v>
      </c>
      <c r="VU35" s="16">
        <v>44338</v>
      </c>
      <c r="VV35">
        <v>90946</v>
      </c>
      <c r="VW35">
        <v>0</v>
      </c>
      <c r="VX35" s="16">
        <v>44338</v>
      </c>
      <c r="VY35">
        <v>91157</v>
      </c>
      <c r="VZ35">
        <v>0</v>
      </c>
      <c r="WA35" s="16">
        <v>44339</v>
      </c>
      <c r="WB35">
        <v>91405</v>
      </c>
      <c r="WC35">
        <v>0</v>
      </c>
      <c r="WD35" s="16">
        <v>44340</v>
      </c>
      <c r="WE35">
        <v>91526</v>
      </c>
      <c r="WF35">
        <v>0</v>
      </c>
      <c r="WG35" s="16">
        <v>44341</v>
      </c>
      <c r="WH35">
        <v>91619</v>
      </c>
      <c r="WI35">
        <v>0</v>
      </c>
      <c r="WJ35" s="16">
        <v>44343</v>
      </c>
      <c r="WK35">
        <v>91744</v>
      </c>
      <c r="WL35">
        <v>0</v>
      </c>
      <c r="WM35" s="16">
        <v>44343</v>
      </c>
      <c r="WN35">
        <v>91964</v>
      </c>
      <c r="WO35">
        <v>0</v>
      </c>
      <c r="WP35" s="16">
        <v>44346</v>
      </c>
      <c r="WQ35">
        <v>92062</v>
      </c>
      <c r="WR35">
        <v>0</v>
      </c>
      <c r="WS35" s="16">
        <v>44347</v>
      </c>
      <c r="WT35">
        <v>92432</v>
      </c>
      <c r="WU35">
        <v>0</v>
      </c>
      <c r="WV35" s="16">
        <v>44348</v>
      </c>
      <c r="WW35">
        <v>92488</v>
      </c>
      <c r="WX35">
        <v>0</v>
      </c>
      <c r="WY35" s="16">
        <v>44349</v>
      </c>
      <c r="WZ35">
        <v>92642</v>
      </c>
      <c r="XA35">
        <v>0</v>
      </c>
      <c r="XB35" s="16">
        <v>44350</v>
      </c>
      <c r="XC35">
        <v>92770</v>
      </c>
      <c r="XD35">
        <v>0</v>
      </c>
      <c r="XE35" s="16">
        <v>44352</v>
      </c>
      <c r="XF35">
        <v>92913</v>
      </c>
      <c r="XG35">
        <v>0</v>
      </c>
      <c r="XH35" s="16">
        <v>44352</v>
      </c>
      <c r="XI35">
        <v>93038</v>
      </c>
      <c r="XJ35">
        <v>0</v>
      </c>
      <c r="XK35" s="16">
        <v>44353</v>
      </c>
      <c r="XL35">
        <v>93158</v>
      </c>
      <c r="XM35">
        <v>0</v>
      </c>
      <c r="XN35" s="16">
        <v>44354</v>
      </c>
      <c r="XO35">
        <v>93226</v>
      </c>
      <c r="XP35">
        <v>0</v>
      </c>
      <c r="XQ35" s="16">
        <v>44355</v>
      </c>
      <c r="XR35">
        <v>93281</v>
      </c>
      <c r="XS35">
        <v>0</v>
      </c>
      <c r="XT35" s="16">
        <v>44356</v>
      </c>
      <c r="XU35">
        <v>93394</v>
      </c>
      <c r="XV35">
        <v>0</v>
      </c>
      <c r="XW35" s="16">
        <v>44357</v>
      </c>
      <c r="XX35">
        <v>93520</v>
      </c>
      <c r="XY35">
        <v>0</v>
      </c>
      <c r="XZ35" s="16">
        <v>44358</v>
      </c>
      <c r="YA35">
        <v>93613</v>
      </c>
      <c r="YB35">
        <v>0</v>
      </c>
      <c r="YC35" s="16">
        <v>44360</v>
      </c>
      <c r="YD35">
        <v>93660</v>
      </c>
      <c r="YE35">
        <v>0</v>
      </c>
      <c r="YF35" s="16">
        <v>44361</v>
      </c>
      <c r="YG35">
        <v>93821</v>
      </c>
      <c r="YH35">
        <v>0</v>
      </c>
      <c r="YI35" s="16">
        <v>44362</v>
      </c>
      <c r="YJ35">
        <v>93850</v>
      </c>
      <c r="YK35">
        <v>0</v>
      </c>
      <c r="YL35" s="16">
        <v>44363</v>
      </c>
      <c r="YM35">
        <v>93923</v>
      </c>
      <c r="YN35">
        <v>0</v>
      </c>
      <c r="YO35" s="16">
        <v>44364</v>
      </c>
      <c r="YP35">
        <v>94026</v>
      </c>
      <c r="YQ35">
        <v>0</v>
      </c>
      <c r="YR35" s="16">
        <v>44365</v>
      </c>
      <c r="YS35">
        <v>94081</v>
      </c>
      <c r="YT35">
        <v>0</v>
      </c>
      <c r="YU35" s="16">
        <v>44367</v>
      </c>
      <c r="YV35">
        <v>94154</v>
      </c>
      <c r="YW35">
        <v>0</v>
      </c>
      <c r="YX35" s="16">
        <v>44368</v>
      </c>
      <c r="YY35">
        <v>94334</v>
      </c>
      <c r="YZ35">
        <v>0</v>
      </c>
      <c r="ZA35" s="16">
        <v>44369</v>
      </c>
      <c r="ZB35">
        <v>94379</v>
      </c>
      <c r="ZC35">
        <v>0</v>
      </c>
      <c r="ZD35" s="16">
        <v>44380</v>
      </c>
      <c r="ZE35">
        <v>94489</v>
      </c>
      <c r="ZF35">
        <v>0</v>
      </c>
      <c r="ZG35" s="16">
        <v>44381</v>
      </c>
      <c r="ZH35">
        <v>96372</v>
      </c>
      <c r="ZI35">
        <v>0</v>
      </c>
      <c r="ZJ35" s="16">
        <v>44382</v>
      </c>
      <c r="ZK35">
        <v>96463</v>
      </c>
      <c r="ZL35">
        <v>0</v>
      </c>
      <c r="ZM35" s="16">
        <v>44383</v>
      </c>
      <c r="ZN35">
        <v>96569</v>
      </c>
      <c r="ZO35">
        <v>0</v>
      </c>
      <c r="ZP35" s="16">
        <v>44384</v>
      </c>
      <c r="ZQ35">
        <v>96791</v>
      </c>
      <c r="ZR35">
        <v>0</v>
      </c>
      <c r="ZS35" s="16">
        <v>44388</v>
      </c>
      <c r="ZT35">
        <v>97049</v>
      </c>
      <c r="ZU35">
        <v>0</v>
      </c>
      <c r="ZV35" s="16">
        <v>44389</v>
      </c>
      <c r="ZW35">
        <v>98082</v>
      </c>
      <c r="ZX35">
        <v>0</v>
      </c>
      <c r="ZY35" s="16">
        <v>44390</v>
      </c>
      <c r="ZZ35">
        <v>98215</v>
      </c>
      <c r="AAA35">
        <v>0</v>
      </c>
      <c r="AAB35" s="16">
        <v>44391</v>
      </c>
      <c r="AAC35">
        <v>98505</v>
      </c>
      <c r="AAD35">
        <v>0</v>
      </c>
      <c r="AAE35" s="16">
        <v>44392</v>
      </c>
      <c r="AAF35">
        <v>98888</v>
      </c>
      <c r="AAG35">
        <v>0</v>
      </c>
      <c r="AAH35" s="16">
        <v>44395</v>
      </c>
      <c r="AAI35">
        <v>99212</v>
      </c>
      <c r="AAJ35">
        <v>0</v>
      </c>
      <c r="AAK35" s="16">
        <v>44396</v>
      </c>
      <c r="AAL35">
        <v>100156</v>
      </c>
      <c r="AAM35">
        <v>0</v>
      </c>
      <c r="AAN35" s="16">
        <v>44398</v>
      </c>
      <c r="AAO35">
        <v>100312</v>
      </c>
      <c r="AAP35">
        <v>0</v>
      </c>
      <c r="AAQ35" s="16">
        <v>44398</v>
      </c>
      <c r="AAR35">
        <v>100773</v>
      </c>
      <c r="AAS35">
        <v>0</v>
      </c>
      <c r="AAT35" s="16">
        <v>44399</v>
      </c>
      <c r="AAU35">
        <v>101226</v>
      </c>
      <c r="AAV35">
        <v>0</v>
      </c>
      <c r="AAW35" s="16">
        <v>44401</v>
      </c>
      <c r="AAX35">
        <v>101630</v>
      </c>
      <c r="AAY35">
        <v>0</v>
      </c>
      <c r="AAZ35" s="16">
        <v>44401</v>
      </c>
      <c r="ABA35">
        <v>102042</v>
      </c>
      <c r="ABB35">
        <v>0</v>
      </c>
      <c r="ABC35" s="16">
        <v>44402</v>
      </c>
      <c r="ABD35">
        <v>102612</v>
      </c>
      <c r="ABE35">
        <v>0</v>
      </c>
      <c r="ABF35" s="16">
        <v>44404</v>
      </c>
      <c r="ABG35">
        <v>102972</v>
      </c>
      <c r="ABH35">
        <v>0</v>
      </c>
      <c r="ABI35" s="16">
        <v>44404</v>
      </c>
      <c r="ABJ35">
        <v>103239</v>
      </c>
      <c r="ABK35">
        <v>0</v>
      </c>
      <c r="ABL35" s="16">
        <v>44405</v>
      </c>
      <c r="ABM35">
        <v>103851</v>
      </c>
      <c r="ABN35">
        <v>0</v>
      </c>
      <c r="ABO35" s="16">
        <v>44406</v>
      </c>
      <c r="ABP35">
        <v>104495</v>
      </c>
      <c r="ABQ35">
        <v>0</v>
      </c>
      <c r="ABR35" s="16">
        <v>44407</v>
      </c>
      <c r="ABS35">
        <v>105260</v>
      </c>
      <c r="ABT35">
        <v>0</v>
      </c>
      <c r="ABU35" s="16">
        <v>44408</v>
      </c>
      <c r="ABV35">
        <v>106008</v>
      </c>
      <c r="ABW35">
        <v>0</v>
      </c>
      <c r="ABX35" s="16">
        <v>44409</v>
      </c>
      <c r="ABY35">
        <v>106802</v>
      </c>
      <c r="ABZ35">
        <v>0</v>
      </c>
      <c r="ACA35" s="16">
        <v>44410</v>
      </c>
      <c r="ACB35">
        <v>107321</v>
      </c>
      <c r="ACC35">
        <v>0</v>
      </c>
      <c r="ACD35" s="16">
        <v>44411</v>
      </c>
      <c r="ACE35">
        <v>107666</v>
      </c>
      <c r="ACF35">
        <v>0</v>
      </c>
      <c r="ACG35" s="16">
        <v>44412</v>
      </c>
      <c r="ACH35">
        <v>108358</v>
      </c>
      <c r="ACI35">
        <v>0</v>
      </c>
      <c r="ACJ35" s="16">
        <v>44413</v>
      </c>
      <c r="ACK35">
        <v>109230</v>
      </c>
      <c r="ACL35">
        <v>0</v>
      </c>
      <c r="ACM35" s="16">
        <v>44416</v>
      </c>
      <c r="ACN35">
        <v>109982</v>
      </c>
      <c r="ACO35">
        <v>0</v>
      </c>
      <c r="ACP35" s="16">
        <v>44417</v>
      </c>
      <c r="ACQ35">
        <v>112207</v>
      </c>
      <c r="ACR35">
        <v>0</v>
      </c>
      <c r="ACS35" s="16">
        <v>44418</v>
      </c>
      <c r="ACT35">
        <v>112656</v>
      </c>
      <c r="ACU35">
        <v>0</v>
      </c>
      <c r="ACV35" s="16">
        <v>44419</v>
      </c>
      <c r="ACW35">
        <v>113437</v>
      </c>
      <c r="ACX35">
        <v>0</v>
      </c>
      <c r="ACY35" s="16">
        <v>44420</v>
      </c>
      <c r="ACZ35">
        <v>114281</v>
      </c>
      <c r="ADA35">
        <v>0</v>
      </c>
      <c r="ADB35" s="16">
        <v>44421</v>
      </c>
      <c r="ADC35">
        <v>115305</v>
      </c>
      <c r="ADD35">
        <v>0</v>
      </c>
      <c r="ADE35" s="16">
        <v>44422</v>
      </c>
      <c r="ADF35">
        <v>116231</v>
      </c>
      <c r="ADG35">
        <v>0</v>
      </c>
      <c r="ADH35" s="16">
        <v>44423</v>
      </c>
      <c r="ADI35">
        <v>116996</v>
      </c>
      <c r="ADJ35">
        <v>0</v>
      </c>
      <c r="ADK35" s="16">
        <v>44424</v>
      </c>
      <c r="ADL35">
        <v>117531</v>
      </c>
      <c r="ADM35">
        <v>0</v>
      </c>
      <c r="ADN35" s="16">
        <v>44425</v>
      </c>
      <c r="ADO35">
        <v>117982</v>
      </c>
      <c r="ADP35">
        <v>0</v>
      </c>
      <c r="ADQ35" s="16">
        <v>44426</v>
      </c>
      <c r="ADR35">
        <v>118647</v>
      </c>
      <c r="ADS35">
        <v>0</v>
      </c>
      <c r="ADT35" s="16">
        <v>44427</v>
      </c>
      <c r="ADU35">
        <v>119320</v>
      </c>
      <c r="ADV35">
        <v>0</v>
      </c>
      <c r="ADW35" s="16">
        <v>44430</v>
      </c>
      <c r="ADX35">
        <v>120186</v>
      </c>
      <c r="ADY35">
        <v>0</v>
      </c>
      <c r="ADZ35" s="16">
        <v>44431</v>
      </c>
      <c r="AEA35">
        <v>122046</v>
      </c>
      <c r="AEB35">
        <v>0</v>
      </c>
      <c r="AEC35" s="16">
        <v>44432</v>
      </c>
      <c r="AED35">
        <v>122417</v>
      </c>
      <c r="AEE35">
        <v>0</v>
      </c>
      <c r="AEF35" s="16">
        <v>44433</v>
      </c>
      <c r="AEG35">
        <v>123061</v>
      </c>
      <c r="AEH35">
        <v>0</v>
      </c>
      <c r="AEI35" s="16">
        <v>44434</v>
      </c>
      <c r="AEJ35">
        <v>123635</v>
      </c>
      <c r="AEK35">
        <v>0</v>
      </c>
      <c r="AEL35" s="16">
        <v>44437</v>
      </c>
      <c r="AEM35">
        <v>124285</v>
      </c>
      <c r="AEN35">
        <v>0</v>
      </c>
      <c r="AEO35" s="16">
        <v>44438</v>
      </c>
      <c r="AEP35">
        <v>126093</v>
      </c>
      <c r="AEQ35">
        <v>0</v>
      </c>
      <c r="AER35" s="16">
        <v>44439</v>
      </c>
      <c r="AES35">
        <v>126565</v>
      </c>
      <c r="AET35">
        <v>0</v>
      </c>
      <c r="AEU35" s="16">
        <v>44440</v>
      </c>
      <c r="AEV35">
        <v>127182</v>
      </c>
      <c r="AEW35">
        <v>0</v>
      </c>
      <c r="AEX35" s="16">
        <v>44442</v>
      </c>
      <c r="AEY35">
        <v>127861</v>
      </c>
      <c r="AEZ35">
        <v>0</v>
      </c>
      <c r="AFA35" s="16">
        <v>44443</v>
      </c>
      <c r="AFB35">
        <v>129105</v>
      </c>
      <c r="AFC35">
        <v>0</v>
      </c>
      <c r="AFD35">
        <v>44448</v>
      </c>
      <c r="AFE35">
        <v>129192</v>
      </c>
      <c r="AFF35">
        <v>0</v>
      </c>
      <c r="AFG35">
        <v>44449</v>
      </c>
      <c r="AFH35">
        <v>132172</v>
      </c>
      <c r="AFI35">
        <v>0</v>
      </c>
      <c r="AFJ35">
        <v>44451</v>
      </c>
      <c r="AFK35">
        <v>132662</v>
      </c>
      <c r="AFL35">
        <v>0</v>
      </c>
      <c r="AFM35">
        <v>44454</v>
      </c>
      <c r="AFN35">
        <v>133638</v>
      </c>
      <c r="AFO35">
        <v>0</v>
      </c>
      <c r="AFP35">
        <v>44455</v>
      </c>
      <c r="AFQ35">
        <v>134827</v>
      </c>
      <c r="AFR35">
        <v>0</v>
      </c>
      <c r="AFS35">
        <v>44457</v>
      </c>
      <c r="AFT35">
        <v>135314</v>
      </c>
      <c r="AFU35">
        <v>0</v>
      </c>
      <c r="AFV35">
        <v>44458</v>
      </c>
      <c r="AFW35">
        <v>136206</v>
      </c>
      <c r="AFX35">
        <v>0</v>
      </c>
      <c r="AFY35">
        <v>44460</v>
      </c>
      <c r="AFZ35">
        <v>136257</v>
      </c>
      <c r="AGA35">
        <v>0</v>
      </c>
      <c r="AGB35">
        <v>44461</v>
      </c>
      <c r="AGC35">
        <v>137117</v>
      </c>
      <c r="AGD35">
        <v>0</v>
      </c>
      <c r="AGE35">
        <v>44464</v>
      </c>
      <c r="AGF35">
        <v>137594</v>
      </c>
      <c r="AGG35">
        <v>0</v>
      </c>
      <c r="AGH35">
        <v>44465</v>
      </c>
      <c r="AGI35">
        <v>138578</v>
      </c>
      <c r="AGJ35">
        <v>0</v>
      </c>
      <c r="AGK35">
        <v>44467</v>
      </c>
      <c r="AGL35">
        <v>139405</v>
      </c>
      <c r="AGM35">
        <v>0</v>
      </c>
      <c r="AGN35">
        <v>44467</v>
      </c>
      <c r="AGO35">
        <v>139678</v>
      </c>
      <c r="AGP35">
        <v>0</v>
      </c>
      <c r="AGQ35">
        <v>44468</v>
      </c>
      <c r="AGR35">
        <v>140087</v>
      </c>
      <c r="AGS35">
        <v>0</v>
      </c>
      <c r="AGT35">
        <v>44469</v>
      </c>
      <c r="AGU35">
        <v>140889</v>
      </c>
      <c r="AGV35">
        <v>0</v>
      </c>
      <c r="AGW35">
        <v>44471</v>
      </c>
      <c r="AGX35">
        <v>141552</v>
      </c>
      <c r="AGY35">
        <v>0</v>
      </c>
      <c r="AGZ35">
        <v>44473</v>
      </c>
      <c r="AHA35">
        <v>142114</v>
      </c>
      <c r="AHB35">
        <v>0</v>
      </c>
      <c r="AHC35">
        <v>44474</v>
      </c>
      <c r="AHD35">
        <v>143416</v>
      </c>
      <c r="AHE35">
        <v>0</v>
      </c>
      <c r="AHF35">
        <v>44475</v>
      </c>
      <c r="AHG35">
        <v>143999</v>
      </c>
      <c r="AHH35">
        <v>0</v>
      </c>
      <c r="AHI35">
        <v>44476</v>
      </c>
      <c r="AHJ35">
        <v>144665</v>
      </c>
      <c r="AHK35">
        <v>0</v>
      </c>
      <c r="AHL35">
        <v>44480</v>
      </c>
      <c r="AHM35">
        <v>145354</v>
      </c>
      <c r="AHN35">
        <v>0</v>
      </c>
      <c r="AHO35">
        <v>44481</v>
      </c>
      <c r="AHP35">
        <v>147297</v>
      </c>
      <c r="AHQ35">
        <v>0</v>
      </c>
      <c r="AHR35">
        <v>44482</v>
      </c>
      <c r="AHS35">
        <v>147919</v>
      </c>
      <c r="AHT35">
        <v>0</v>
      </c>
      <c r="AHU35">
        <v>44483</v>
      </c>
      <c r="AHV35">
        <v>148672</v>
      </c>
      <c r="AHW35">
        <v>0</v>
      </c>
      <c r="AHX35">
        <v>44484</v>
      </c>
      <c r="AHY35">
        <v>149174</v>
      </c>
      <c r="AHZ35">
        <v>0</v>
      </c>
      <c r="AIA35">
        <v>44488</v>
      </c>
      <c r="AIB35">
        <v>149897</v>
      </c>
      <c r="AIC35">
        <v>0</v>
      </c>
      <c r="AID35">
        <v>44492</v>
      </c>
      <c r="AIE35">
        <v>151787</v>
      </c>
      <c r="AIF35">
        <v>0</v>
      </c>
      <c r="AIG35">
        <v>44496</v>
      </c>
      <c r="AIH35">
        <v>153156</v>
      </c>
      <c r="AII35">
        <v>0</v>
      </c>
      <c r="AIJ35">
        <v>44497</v>
      </c>
      <c r="AIK35">
        <v>156286</v>
      </c>
      <c r="AIL35">
        <v>0</v>
      </c>
      <c r="AIM35">
        <v>44498</v>
      </c>
      <c r="AIN35">
        <v>156959</v>
      </c>
      <c r="AIO35">
        <v>0</v>
      </c>
      <c r="AIP35">
        <v>44501</v>
      </c>
      <c r="AIQ35">
        <v>157531</v>
      </c>
      <c r="AIR35">
        <v>0</v>
      </c>
      <c r="AIS35">
        <v>44502</v>
      </c>
      <c r="AIT35">
        <v>158991</v>
      </c>
      <c r="AIU35">
        <v>0</v>
      </c>
      <c r="AIV35">
        <v>44503</v>
      </c>
      <c r="AIW35">
        <v>159798</v>
      </c>
      <c r="AIX35">
        <v>0</v>
      </c>
      <c r="AIY35">
        <v>44504</v>
      </c>
      <c r="AIZ35">
        <v>160948</v>
      </c>
      <c r="AJA35">
        <v>0</v>
      </c>
      <c r="AJB35">
        <v>44505</v>
      </c>
      <c r="AJC35">
        <v>161688</v>
      </c>
      <c r="AJD35">
        <v>0</v>
      </c>
      <c r="AJE35">
        <v>44508</v>
      </c>
      <c r="AJF35">
        <v>162476</v>
      </c>
      <c r="AJG35">
        <v>0</v>
      </c>
      <c r="AJH35">
        <v>44509</v>
      </c>
      <c r="AJI35">
        <v>164492</v>
      </c>
      <c r="AJJ35">
        <v>0</v>
      </c>
      <c r="AJK35">
        <v>44510</v>
      </c>
      <c r="AJL35">
        <v>165302</v>
      </c>
      <c r="AJM35">
        <v>0</v>
      </c>
      <c r="AJN35">
        <v>44511</v>
      </c>
      <c r="AJO35">
        <v>166256</v>
      </c>
      <c r="AJP35">
        <v>0</v>
      </c>
      <c r="AJQ35">
        <v>44515</v>
      </c>
      <c r="AJR35">
        <v>167119</v>
      </c>
      <c r="AJS35">
        <v>0</v>
      </c>
      <c r="AJT35">
        <v>44516</v>
      </c>
      <c r="AJU35">
        <v>170285</v>
      </c>
      <c r="AJV35">
        <v>0</v>
      </c>
      <c r="AJW35">
        <v>44517</v>
      </c>
      <c r="AJX35">
        <v>171222</v>
      </c>
      <c r="AJY35">
        <v>0</v>
      </c>
      <c r="AJZ35">
        <v>44518</v>
      </c>
      <c r="AKA35">
        <v>172373</v>
      </c>
      <c r="AKB35">
        <v>0</v>
      </c>
      <c r="AKC35">
        <v>44519</v>
      </c>
      <c r="AKD35">
        <v>173632</v>
      </c>
      <c r="AKE35">
        <v>0</v>
      </c>
      <c r="AKF35">
        <v>44522</v>
      </c>
      <c r="AKG35">
        <v>174823</v>
      </c>
      <c r="AKH35">
        <v>0</v>
      </c>
      <c r="AKI35">
        <v>44525</v>
      </c>
      <c r="AKJ35">
        <v>177439</v>
      </c>
      <c r="AKK35">
        <v>0</v>
      </c>
      <c r="AKL35">
        <v>44527</v>
      </c>
      <c r="AKM35">
        <v>180878</v>
      </c>
      <c r="AKN35">
        <v>0</v>
      </c>
      <c r="AKO35">
        <v>44529</v>
      </c>
      <c r="AKP35">
        <v>182284</v>
      </c>
      <c r="AKQ35">
        <v>0</v>
      </c>
      <c r="AKR35">
        <v>44530</v>
      </c>
      <c r="AKS35">
        <v>185622</v>
      </c>
      <c r="AKT35">
        <v>0</v>
      </c>
      <c r="AKU35">
        <v>44532</v>
      </c>
      <c r="AKV35">
        <v>186538</v>
      </c>
      <c r="AKW35">
        <v>0</v>
      </c>
      <c r="AKX35">
        <v>44533</v>
      </c>
      <c r="AKY35">
        <v>189730</v>
      </c>
      <c r="AKZ35">
        <v>0</v>
      </c>
      <c r="ALA35">
        <v>44536</v>
      </c>
      <c r="ALB35">
        <v>191226</v>
      </c>
      <c r="ALC35">
        <v>0</v>
      </c>
      <c r="ALD35">
        <v>44537</v>
      </c>
      <c r="ALE35">
        <v>194638</v>
      </c>
      <c r="ALF35">
        <v>0</v>
      </c>
      <c r="ALG35">
        <v>44538</v>
      </c>
      <c r="ALH35">
        <v>196180</v>
      </c>
      <c r="ALI35">
        <v>0</v>
      </c>
      <c r="ALJ35">
        <v>44539</v>
      </c>
      <c r="ALK35">
        <v>197476</v>
      </c>
      <c r="ALL35">
        <v>0</v>
      </c>
      <c r="ALM35">
        <v>44547</v>
      </c>
      <c r="ALN35">
        <v>211239</v>
      </c>
      <c r="ALO35">
        <v>0</v>
      </c>
    </row>
    <row r="36" spans="2:1010" s="24" customFormat="1">
      <c r="Q36" s="24">
        <f>Q35</f>
        <v>44547</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c r="UE36" s="24">
        <f>UE35</f>
        <v>44320</v>
      </c>
      <c r="UH36" s="24">
        <f>UH35</f>
        <v>44321</v>
      </c>
      <c r="UK36" s="24">
        <f>UK35</f>
        <v>44322</v>
      </c>
      <c r="UN36" s="24">
        <f>UN35</f>
        <v>44326</v>
      </c>
      <c r="UQ36" s="24">
        <f>UQ35</f>
        <v>44327</v>
      </c>
      <c r="UT36" s="24">
        <f>UT35</f>
        <v>44328</v>
      </c>
      <c r="UW36" s="24">
        <f>UW35</f>
        <v>44329</v>
      </c>
      <c r="UZ36" s="24">
        <f>UZ35</f>
        <v>44331</v>
      </c>
      <c r="VC36" s="24">
        <f>VC35</f>
        <v>44331</v>
      </c>
      <c r="VF36" s="24">
        <f>VF35</f>
        <v>44332</v>
      </c>
      <c r="VI36" s="24">
        <f>VI35</f>
        <v>44334</v>
      </c>
      <c r="VL36" s="24">
        <f>VL35</f>
        <v>44334</v>
      </c>
      <c r="VO36" s="24">
        <f>VO35</f>
        <v>44335</v>
      </c>
      <c r="VR36" s="24">
        <f>VR35</f>
        <v>44336</v>
      </c>
      <c r="VU36" s="24">
        <f>VU35</f>
        <v>44338</v>
      </c>
      <c r="VX36" s="24">
        <f>VX35</f>
        <v>44338</v>
      </c>
      <c r="WA36" s="24">
        <f>WA35</f>
        <v>44339</v>
      </c>
      <c r="WD36" s="24">
        <f>WD35</f>
        <v>44340</v>
      </c>
      <c r="WG36" s="24">
        <f>WG35</f>
        <v>44341</v>
      </c>
      <c r="WJ36" s="24">
        <f>WJ35</f>
        <v>44343</v>
      </c>
      <c r="WM36" s="24">
        <f>WM35</f>
        <v>44343</v>
      </c>
      <c r="WP36" s="24">
        <f>WP35</f>
        <v>44346</v>
      </c>
      <c r="WS36" s="24">
        <f>WS35</f>
        <v>44347</v>
      </c>
      <c r="WV36" s="24">
        <f>WV35</f>
        <v>44348</v>
      </c>
      <c r="WY36" s="24">
        <f>WY35</f>
        <v>44349</v>
      </c>
      <c r="XB36" s="24">
        <f>XB35</f>
        <v>44350</v>
      </c>
      <c r="XE36" s="24">
        <f>XE35</f>
        <v>44352</v>
      </c>
      <c r="XH36" s="24">
        <f>XH35</f>
        <v>44352</v>
      </c>
      <c r="XK36" s="24">
        <f>XK35</f>
        <v>44353</v>
      </c>
      <c r="XN36" s="24">
        <f>XN35</f>
        <v>44354</v>
      </c>
      <c r="XQ36" s="24">
        <f>XQ35</f>
        <v>44355</v>
      </c>
      <c r="XT36" s="24">
        <f>XT35</f>
        <v>44356</v>
      </c>
      <c r="XW36" s="24">
        <f>XW35</f>
        <v>44357</v>
      </c>
      <c r="XZ36" s="24">
        <f>XZ35</f>
        <v>44358</v>
      </c>
      <c r="YC36" s="24">
        <f>YC35</f>
        <v>44360</v>
      </c>
      <c r="YF36" s="24">
        <f>YF35</f>
        <v>44361</v>
      </c>
      <c r="YI36" s="24">
        <f>YI35</f>
        <v>44362</v>
      </c>
      <c r="YL36" s="24">
        <f>YL35</f>
        <v>44363</v>
      </c>
      <c r="YO36" s="24">
        <f>YO35</f>
        <v>44364</v>
      </c>
      <c r="YR36" s="24">
        <f>YR35</f>
        <v>44365</v>
      </c>
      <c r="YU36" s="24">
        <f>YU35</f>
        <v>44367</v>
      </c>
      <c r="YX36" s="24">
        <f>YX35</f>
        <v>44368</v>
      </c>
      <c r="ZA36" s="24">
        <f>ZA35</f>
        <v>44369</v>
      </c>
      <c r="ZD36" s="24">
        <f>ZD35</f>
        <v>44380</v>
      </c>
      <c r="ZG36" s="24">
        <f>ZG35</f>
        <v>44381</v>
      </c>
      <c r="ZJ36" s="24">
        <f>ZJ35</f>
        <v>44382</v>
      </c>
      <c r="ZM36" s="24">
        <f>ZM35</f>
        <v>44383</v>
      </c>
      <c r="ZP36" s="24">
        <f>ZP35</f>
        <v>44384</v>
      </c>
      <c r="ZS36" s="24">
        <f>ZS35</f>
        <v>44388</v>
      </c>
      <c r="ZV36" s="24">
        <f>ZV35</f>
        <v>44389</v>
      </c>
      <c r="ZY36" s="24">
        <f>ZY35</f>
        <v>44390</v>
      </c>
      <c r="AAB36" s="24">
        <f>AAB35</f>
        <v>44391</v>
      </c>
      <c r="AAE36" s="24">
        <f>AAE35</f>
        <v>44392</v>
      </c>
      <c r="AAH36" s="24">
        <f>AAH35</f>
        <v>44395</v>
      </c>
      <c r="AAK36" s="24">
        <f>AAK35</f>
        <v>44396</v>
      </c>
      <c r="AAN36" s="24">
        <f>AAN35</f>
        <v>44398</v>
      </c>
      <c r="AAQ36" s="24">
        <f>AAQ35</f>
        <v>44398</v>
      </c>
      <c r="AAT36" s="24">
        <f>AAT35</f>
        <v>44399</v>
      </c>
      <c r="AAW36" s="24">
        <f>AAW35</f>
        <v>44401</v>
      </c>
      <c r="AAZ36" s="24">
        <f>AAZ35</f>
        <v>44401</v>
      </c>
      <c r="ABC36" s="24">
        <f>ABC35</f>
        <v>44402</v>
      </c>
      <c r="ABF36" s="24">
        <f>ABF35</f>
        <v>44404</v>
      </c>
      <c r="ABI36" s="24">
        <f>ABI35</f>
        <v>44404</v>
      </c>
      <c r="ABL36" s="24">
        <f>ABL35</f>
        <v>44405</v>
      </c>
      <c r="ABO36" s="24">
        <f>ABO35</f>
        <v>44406</v>
      </c>
      <c r="ABR36" s="24">
        <f>ABR35</f>
        <v>44407</v>
      </c>
      <c r="ABU36" s="24">
        <f>ABU35</f>
        <v>44408</v>
      </c>
      <c r="ABX36" s="24">
        <f>ABX35</f>
        <v>44409</v>
      </c>
      <c r="ACA36" s="24">
        <f>ACA35</f>
        <v>44410</v>
      </c>
      <c r="ACD36" s="24">
        <f>ACD35</f>
        <v>44411</v>
      </c>
      <c r="ACG36" s="24">
        <f>ACG35</f>
        <v>44412</v>
      </c>
      <c r="ACJ36" s="24">
        <f>ACJ35</f>
        <v>44413</v>
      </c>
      <c r="ACM36" s="24">
        <f>ACM35</f>
        <v>44416</v>
      </c>
      <c r="ACP36" s="24">
        <f>ACP35</f>
        <v>44417</v>
      </c>
      <c r="ACS36" s="24">
        <f>ACS35</f>
        <v>44418</v>
      </c>
      <c r="ACV36" s="24">
        <f>ACV35</f>
        <v>44419</v>
      </c>
      <c r="ACY36" s="24">
        <f>ACY35</f>
        <v>44420</v>
      </c>
      <c r="ADB36" s="24">
        <f>ADB35</f>
        <v>44421</v>
      </c>
      <c r="ADE36" s="24">
        <f>ADE35</f>
        <v>44422</v>
      </c>
      <c r="ADH36" s="24">
        <f>ADH35</f>
        <v>44423</v>
      </c>
      <c r="ADK36" s="24">
        <f>ADK35</f>
        <v>44424</v>
      </c>
      <c r="ADN36" s="24">
        <f>ADN35</f>
        <v>44425</v>
      </c>
      <c r="ADQ36" s="24">
        <f>ADQ35</f>
        <v>44426</v>
      </c>
      <c r="ADT36" s="24">
        <f>ADT35</f>
        <v>44427</v>
      </c>
      <c r="ADW36" s="24">
        <f>ADW35</f>
        <v>44430</v>
      </c>
      <c r="ADZ36" s="24">
        <f>ADZ35</f>
        <v>44431</v>
      </c>
      <c r="AEC36" s="24">
        <f>AEC35</f>
        <v>44432</v>
      </c>
      <c r="AEF36" s="24">
        <f>AEF35</f>
        <v>44433</v>
      </c>
      <c r="AEI36" s="24">
        <f>AEI35</f>
        <v>44434</v>
      </c>
      <c r="AEL36" s="24">
        <f>AEL35</f>
        <v>44437</v>
      </c>
      <c r="AEO36" s="24">
        <f>AEO35</f>
        <v>44438</v>
      </c>
      <c r="AER36" s="24">
        <f>AER35</f>
        <v>44439</v>
      </c>
      <c r="AEU36" s="24">
        <f>AEU35</f>
        <v>44440</v>
      </c>
      <c r="AEX36" s="24">
        <f>AEX35</f>
        <v>44442</v>
      </c>
      <c r="AFA36" s="24">
        <f>AFA35</f>
        <v>44443</v>
      </c>
      <c r="AFD36" s="24">
        <f>AFD35</f>
        <v>44448</v>
      </c>
      <c r="AFG36" s="24">
        <f>AFG35</f>
        <v>44449</v>
      </c>
      <c r="AFJ36" s="24">
        <f>AFJ35</f>
        <v>44451</v>
      </c>
      <c r="AFM36" s="24">
        <f>AFM35</f>
        <v>44454</v>
      </c>
      <c r="AFP36" s="24">
        <f>AFP35</f>
        <v>44455</v>
      </c>
      <c r="AFS36" s="24">
        <f>AFS35</f>
        <v>44457</v>
      </c>
      <c r="AFV36" s="24">
        <f>AFV35</f>
        <v>44458</v>
      </c>
      <c r="AFY36" s="24">
        <f>AFY35</f>
        <v>44460</v>
      </c>
      <c r="AGB36" s="24">
        <f>AGB35</f>
        <v>44461</v>
      </c>
      <c r="AGE36" s="24">
        <f>AGE35</f>
        <v>44464</v>
      </c>
      <c r="AGH36" s="24">
        <f>AGH35</f>
        <v>44465</v>
      </c>
      <c r="AGK36" s="24">
        <f>AGK35</f>
        <v>44467</v>
      </c>
      <c r="AGN36" s="24">
        <f>AGN35</f>
        <v>44467</v>
      </c>
      <c r="AGQ36" s="24">
        <f>AGQ35</f>
        <v>44468</v>
      </c>
      <c r="AGT36" s="24">
        <f>AGT35</f>
        <v>44469</v>
      </c>
      <c r="AGW36" s="24">
        <f>AGW35</f>
        <v>44471</v>
      </c>
      <c r="AGZ36" s="24">
        <f>AGZ35</f>
        <v>44473</v>
      </c>
      <c r="AHC36" s="24">
        <f>AHC35</f>
        <v>44474</v>
      </c>
      <c r="AHF36" s="24">
        <f>AHF35</f>
        <v>44475</v>
      </c>
      <c r="AHI36" s="24">
        <f>AHI35</f>
        <v>44476</v>
      </c>
      <c r="AHL36" s="24">
        <f>AHL35</f>
        <v>44480</v>
      </c>
      <c r="AHO36" s="24">
        <f>AHO35</f>
        <v>44481</v>
      </c>
      <c r="AHR36" s="24">
        <f>AHR35</f>
        <v>44482</v>
      </c>
      <c r="AHU36" s="24">
        <f>AHU35</f>
        <v>44483</v>
      </c>
      <c r="AHX36" s="24">
        <f>AHX35</f>
        <v>44484</v>
      </c>
      <c r="AIA36" s="24">
        <f>AIA35</f>
        <v>44488</v>
      </c>
      <c r="AID36" s="24">
        <f>AID35</f>
        <v>44492</v>
      </c>
      <c r="AIG36" s="24">
        <f>AIG35</f>
        <v>44496</v>
      </c>
      <c r="AIJ36" s="24">
        <f>AIJ35</f>
        <v>44497</v>
      </c>
      <c r="AIM36" s="24">
        <f>AIM35</f>
        <v>44498</v>
      </c>
      <c r="AIP36" s="24">
        <f>AIP35</f>
        <v>44501</v>
      </c>
      <c r="AIS36" s="24">
        <f>AIS35</f>
        <v>44502</v>
      </c>
      <c r="AIV36" s="24">
        <f>AIV35</f>
        <v>44503</v>
      </c>
      <c r="AIY36" s="24">
        <f>AIY35</f>
        <v>44504</v>
      </c>
      <c r="AJB36" s="24">
        <f>AJB35</f>
        <v>44505</v>
      </c>
      <c r="AJE36" s="24">
        <f>AJE35</f>
        <v>44508</v>
      </c>
      <c r="AJH36" s="24">
        <f>AJH35</f>
        <v>44509</v>
      </c>
      <c r="AJK36" s="24">
        <f>AJK35</f>
        <v>44510</v>
      </c>
      <c r="AJN36" s="24">
        <f>AJN35</f>
        <v>44511</v>
      </c>
      <c r="AJQ36" s="24">
        <f>AJQ35</f>
        <v>44515</v>
      </c>
      <c r="AJT36" s="24">
        <f>AJT35</f>
        <v>44516</v>
      </c>
      <c r="AJW36" s="24">
        <f>AJW35</f>
        <v>44517</v>
      </c>
      <c r="AJZ36" s="24">
        <f>AJZ35</f>
        <v>44518</v>
      </c>
      <c r="AKC36" s="24">
        <f>AKC35</f>
        <v>44519</v>
      </c>
      <c r="AKF36" s="24">
        <f>AKF35</f>
        <v>44522</v>
      </c>
      <c r="AKI36" s="24">
        <f>AKI35</f>
        <v>44525</v>
      </c>
      <c r="AKL36" s="24">
        <f>AKL35</f>
        <v>44527</v>
      </c>
      <c r="AKO36" s="24">
        <f>AKO35</f>
        <v>44529</v>
      </c>
      <c r="AKR36" s="24">
        <f>AKR35</f>
        <v>44530</v>
      </c>
      <c r="AKU36" s="24">
        <f>AKU35</f>
        <v>44532</v>
      </c>
      <c r="AKX36" s="24">
        <f>AKX35</f>
        <v>44533</v>
      </c>
      <c r="ALA36" s="24">
        <f>ALA35</f>
        <v>44536</v>
      </c>
      <c r="ALD36" s="24">
        <f>ALD35</f>
        <v>44537</v>
      </c>
      <c r="ALG36" s="24">
        <f>ALG35</f>
        <v>44538</v>
      </c>
      <c r="ALJ36" s="24">
        <f>ALJ35</f>
        <v>44539</v>
      </c>
      <c r="ALM36" s="24">
        <f>ALM35</f>
        <v>44547</v>
      </c>
      <c r="ALP36" s="24">
        <f>ALP35</f>
        <v>0</v>
      </c>
      <c r="ALS36" s="24">
        <f>ALS35</f>
        <v>0</v>
      </c>
      <c r="ALV36" s="24">
        <f>ALV35</f>
        <v>0</v>
      </c>
    </row>
    <row r="37" spans="2:1010" s="25" customFormat="1">
      <c r="B37" s="25">
        <v>1</v>
      </c>
      <c r="C37" s="25">
        <v>2</v>
      </c>
      <c r="D37" s="25">
        <v>3</v>
      </c>
      <c r="E37" s="25">
        <v>4</v>
      </c>
      <c r="F37" s="25">
        <v>5</v>
      </c>
      <c r="G37" s="25">
        <v>6</v>
      </c>
      <c r="H37" s="25">
        <v>7</v>
      </c>
      <c r="I37" s="25">
        <v>8</v>
      </c>
      <c r="J37" s="25">
        <v>9</v>
      </c>
      <c r="K37" s="25">
        <v>10</v>
      </c>
      <c r="L37" s="25">
        <v>11</v>
      </c>
      <c r="M37" s="25">
        <v>12</v>
      </c>
      <c r="O37" s="25" t="s">
        <v>352</v>
      </c>
      <c r="Q37" s="25">
        <f ca="1">D35-O35</f>
        <v>2079</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c r="UE37" s="25">
        <f>UI35-UF35</f>
        <v>184</v>
      </c>
      <c r="UH37" s="25">
        <f>UL35-UI35</f>
        <v>269</v>
      </c>
      <c r="UK37" s="25">
        <f>UO35-UL35</f>
        <v>280</v>
      </c>
      <c r="UN37" s="25">
        <f>UR35-UO35</f>
        <v>788</v>
      </c>
      <c r="UQ37" s="25">
        <f>UU35-UR35</f>
        <v>124</v>
      </c>
      <c r="UT37" s="25">
        <f>UX35-UU35</f>
        <v>280</v>
      </c>
      <c r="UW37" s="25">
        <f>VA35-UX35</f>
        <v>262</v>
      </c>
      <c r="UZ37" s="25">
        <f>VD35-VA35</f>
        <v>154</v>
      </c>
      <c r="VC37" s="25">
        <f>VG35-VD35</f>
        <v>192</v>
      </c>
      <c r="VF37" s="25">
        <f>VJ35-VG35</f>
        <v>227</v>
      </c>
      <c r="VI37" s="25">
        <f>VM35-VJ35</f>
        <v>144</v>
      </c>
      <c r="VL37" s="25">
        <f>VP35-VM35</f>
        <v>149</v>
      </c>
      <c r="VO37" s="25">
        <f>VS35-VP35</f>
        <v>289</v>
      </c>
      <c r="VR37" s="25">
        <f>VV35-VS35</f>
        <v>259</v>
      </c>
      <c r="VU37" s="25">
        <f>VY35-VV35</f>
        <v>211</v>
      </c>
      <c r="VX37" s="25">
        <f>WB35-VY35</f>
        <v>248</v>
      </c>
      <c r="WA37" s="25">
        <f>WE35-WB35</f>
        <v>121</v>
      </c>
      <c r="WD37" s="25">
        <f>WH35-WE35</f>
        <v>93</v>
      </c>
      <c r="WG37" s="25">
        <f>WK35-WH35</f>
        <v>125</v>
      </c>
      <c r="WJ37" s="25">
        <f>WN35-WK35</f>
        <v>220</v>
      </c>
      <c r="WM37" s="25">
        <f>WQ35-WN35</f>
        <v>98</v>
      </c>
      <c r="WP37" s="25">
        <f>WT35-WQ35</f>
        <v>370</v>
      </c>
      <c r="WS37" s="25">
        <f>WW35-WT35</f>
        <v>56</v>
      </c>
      <c r="WV37" s="25">
        <f>WZ35-WW35</f>
        <v>154</v>
      </c>
      <c r="WY37" s="25">
        <f>XC35-WZ35</f>
        <v>128</v>
      </c>
      <c r="XB37" s="25">
        <f>XF35-XC35</f>
        <v>143</v>
      </c>
      <c r="XE37" s="25">
        <f>XI35-XF35</f>
        <v>125</v>
      </c>
      <c r="XH37" s="25">
        <f>XL35-XI35</f>
        <v>120</v>
      </c>
      <c r="XK37" s="25">
        <f>XO35-XL35</f>
        <v>68</v>
      </c>
      <c r="XN37" s="25">
        <f>XR35-XO35</f>
        <v>55</v>
      </c>
      <c r="XQ37" s="25">
        <f>XU35-XR35</f>
        <v>113</v>
      </c>
      <c r="XT37" s="25">
        <f>XX35-XU35</f>
        <v>126</v>
      </c>
      <c r="XW37" s="25">
        <f>YA35-XX35</f>
        <v>93</v>
      </c>
      <c r="XZ37" s="25">
        <f>YD35-YA35</f>
        <v>47</v>
      </c>
      <c r="YC37" s="25">
        <f>YG35-YD35</f>
        <v>161</v>
      </c>
      <c r="YF37" s="25">
        <f>YJ35-YG35</f>
        <v>29</v>
      </c>
      <c r="YI37" s="25">
        <f>YM35-YJ35</f>
        <v>73</v>
      </c>
      <c r="YL37" s="25">
        <f>YP35-YM35</f>
        <v>103</v>
      </c>
      <c r="YO37" s="25">
        <f>YS35-YP35</f>
        <v>55</v>
      </c>
      <c r="YR37" s="25">
        <f>YV35-YS35</f>
        <v>73</v>
      </c>
      <c r="YU37" s="25">
        <f>YY35-YV35</f>
        <v>180</v>
      </c>
      <c r="YX37" s="25">
        <f>ZB35-YY35</f>
        <v>45</v>
      </c>
      <c r="ZA37" s="25">
        <f>ZE35-ZB35</f>
        <v>110</v>
      </c>
      <c r="ZD37" s="25">
        <f>ZH35-ZE35</f>
        <v>1883</v>
      </c>
      <c r="ZG37" s="25">
        <f>ZK35-ZH35</f>
        <v>91</v>
      </c>
      <c r="ZJ37" s="25">
        <f>ZN35-ZK35</f>
        <v>106</v>
      </c>
      <c r="ZM37" s="25">
        <f>ZQ35-ZN35</f>
        <v>222</v>
      </c>
      <c r="ZP37" s="25">
        <f>ZT35-ZQ35</f>
        <v>258</v>
      </c>
      <c r="ZS37" s="25">
        <f>ZW35-ZT35</f>
        <v>1033</v>
      </c>
      <c r="ZV37" s="25">
        <f>ZZ35-ZW35</f>
        <v>133</v>
      </c>
      <c r="ZY37" s="25">
        <f>AAC35-ZZ35</f>
        <v>290</v>
      </c>
      <c r="AAB37" s="25">
        <f>AAF35-AAC35</f>
        <v>383</v>
      </c>
      <c r="AAE37" s="25">
        <f>AAI35-AAF35</f>
        <v>324</v>
      </c>
      <c r="AAH37" s="25">
        <f>AAL35-AAI35</f>
        <v>944</v>
      </c>
      <c r="AAK37" s="25">
        <f>AAO35-AAL35</f>
        <v>156</v>
      </c>
      <c r="AAN37" s="25">
        <f>AAR35-AAO35</f>
        <v>461</v>
      </c>
      <c r="AAQ37" s="25">
        <f>AAU35-AAR35</f>
        <v>453</v>
      </c>
      <c r="AAT37" s="25">
        <f>AAX35-AAU35</f>
        <v>404</v>
      </c>
      <c r="AAW37" s="25">
        <f>ABA35-AAX35</f>
        <v>412</v>
      </c>
      <c r="AAZ37" s="25">
        <f>ABD35-ABA35</f>
        <v>570</v>
      </c>
      <c r="ABC37" s="25">
        <f>ABG35-ABD35</f>
        <v>360</v>
      </c>
      <c r="ABF37" s="25">
        <f>ABJ35-ABG35</f>
        <v>267</v>
      </c>
      <c r="ABI37" s="25">
        <f>ABM35-ABJ35</f>
        <v>612</v>
      </c>
      <c r="ABL37" s="25">
        <f>ABP35-ABM35</f>
        <v>644</v>
      </c>
      <c r="ABO37" s="25">
        <f>ABS35-ABP35</f>
        <v>765</v>
      </c>
      <c r="ABR37" s="25">
        <f>ABV35-ABS35</f>
        <v>748</v>
      </c>
      <c r="ABU37" s="25">
        <f>ABY35-ABV35</f>
        <v>794</v>
      </c>
      <c r="ABX37" s="25">
        <f>ACB35-ABY35</f>
        <v>519</v>
      </c>
      <c r="ACA37" s="25">
        <f>ACE35-ACB35</f>
        <v>345</v>
      </c>
      <c r="ACD37" s="25">
        <f>ACH35-ACE35</f>
        <v>692</v>
      </c>
      <c r="ACG37" s="25">
        <f>ACK35-ACH35</f>
        <v>872</v>
      </c>
      <c r="ACJ37" s="25">
        <f>ACN35-ACK35</f>
        <v>752</v>
      </c>
      <c r="ACM37" s="25">
        <f>ACQ35-ACN35</f>
        <v>2225</v>
      </c>
      <c r="ACP37" s="25">
        <f>ACT35-ACQ35</f>
        <v>449</v>
      </c>
      <c r="ACS37" s="25">
        <f>ACW35-ACT35</f>
        <v>781</v>
      </c>
      <c r="ACV37" s="25">
        <f>ACZ35-ACW35</f>
        <v>844</v>
      </c>
      <c r="ACY37" s="25">
        <f>ADC35-ACZ35</f>
        <v>1024</v>
      </c>
      <c r="ADB37" s="25">
        <f>ADF35-ADC35</f>
        <v>926</v>
      </c>
      <c r="ADE37" s="25">
        <f>ADI35-ADF35</f>
        <v>765</v>
      </c>
      <c r="ADH37" s="25">
        <f>ADL35-ADI35</f>
        <v>535</v>
      </c>
      <c r="ADK37" s="25">
        <f>ADO35-ADL35</f>
        <v>451</v>
      </c>
      <c r="ADN37" s="25">
        <f>ADR35-ADO35</f>
        <v>665</v>
      </c>
      <c r="ADQ37" s="25">
        <f>ADU35-ADR35</f>
        <v>673</v>
      </c>
      <c r="ADT37" s="25">
        <f>ADX35-ADU35</f>
        <v>866</v>
      </c>
      <c r="ADW37" s="25">
        <f>AEA35-ADX35</f>
        <v>1860</v>
      </c>
      <c r="ADZ37" s="25">
        <f>AED35-AEA35</f>
        <v>371</v>
      </c>
      <c r="AEC37" s="25">
        <f>AEG35-AED35</f>
        <v>644</v>
      </c>
      <c r="AEF37" s="25">
        <f>AEJ35-AEG35</f>
        <v>574</v>
      </c>
      <c r="AEI37" s="25">
        <f>AEM35-AEJ35</f>
        <v>650</v>
      </c>
      <c r="AEL37" s="25">
        <f>AEP35-AEM35</f>
        <v>1808</v>
      </c>
      <c r="AEO37" s="25">
        <f>AES35-AEP35</f>
        <v>472</v>
      </c>
      <c r="AER37" s="25">
        <f>AEV35-AES35</f>
        <v>617</v>
      </c>
      <c r="AEU37" s="25">
        <f>AEY35-AEV35</f>
        <v>679</v>
      </c>
      <c r="AEX37" s="25">
        <f>AFB35-AEY35</f>
        <v>1244</v>
      </c>
      <c r="AFA37" s="25">
        <f>AFE35-AFB35</f>
        <v>87</v>
      </c>
      <c r="AFD37" s="25">
        <f>AFH35-AFE35</f>
        <v>2980</v>
      </c>
      <c r="AFG37" s="25">
        <f>AFK35-AFH35</f>
        <v>490</v>
      </c>
      <c r="AFJ37" s="25">
        <f>AFN35-AFK35</f>
        <v>976</v>
      </c>
      <c r="AFM37" s="25">
        <f>AFQ35-AFN35</f>
        <v>1189</v>
      </c>
      <c r="AFP37" s="25">
        <f>AFT35-AFQ35</f>
        <v>487</v>
      </c>
      <c r="AFS37" s="25">
        <f>AFW35-AFT35</f>
        <v>892</v>
      </c>
      <c r="AFV37" s="25">
        <f>AFZ35-AFW35</f>
        <v>51</v>
      </c>
      <c r="AFY37" s="25">
        <f>AGC35-AFZ35</f>
        <v>860</v>
      </c>
      <c r="AGB37" s="25">
        <f>AGF35-AGC35</f>
        <v>477</v>
      </c>
      <c r="AGE37" s="25">
        <f>AGI35-AGF35</f>
        <v>984</v>
      </c>
      <c r="AGH37" s="25">
        <f>AGL35-AGI35</f>
        <v>827</v>
      </c>
      <c r="AGK37" s="25">
        <f>AGO35-AGL35</f>
        <v>273</v>
      </c>
      <c r="AGN37" s="25">
        <f>AGR35-AGO35</f>
        <v>409</v>
      </c>
      <c r="AGQ37" s="25">
        <f>AGU35-AGR35</f>
        <v>802</v>
      </c>
      <c r="AGT37" s="25">
        <f>AGX35-AGU35</f>
        <v>663</v>
      </c>
      <c r="AGW37" s="25">
        <f>AHA35-AGX35</f>
        <v>562</v>
      </c>
      <c r="AGZ37" s="25">
        <f>AHD35-AHA35</f>
        <v>1302</v>
      </c>
      <c r="AHC37" s="25">
        <f>AHG35-AHD35</f>
        <v>583</v>
      </c>
      <c r="AHF37" s="25">
        <f>AHJ35-AHG35</f>
        <v>666</v>
      </c>
      <c r="AHI37" s="25">
        <f>AHM35-AHJ35</f>
        <v>689</v>
      </c>
      <c r="AHL37" s="25">
        <f>AHP35-AHM35</f>
        <v>1943</v>
      </c>
      <c r="AHO37" s="25">
        <f>AHS35-AHP35</f>
        <v>622</v>
      </c>
      <c r="AHR37" s="25">
        <f>AHV35-AHS35</f>
        <v>753</v>
      </c>
      <c r="AHU37" s="25">
        <f>AHY35-AHV35</f>
        <v>502</v>
      </c>
      <c r="AHX37" s="25">
        <f>AIB35-AHY35</f>
        <v>723</v>
      </c>
      <c r="AIA37" s="25">
        <f>AIE35-AIB35</f>
        <v>1890</v>
      </c>
      <c r="AID37" s="25">
        <f>AIH35-AIE35</f>
        <v>1369</v>
      </c>
      <c r="AIG37" s="25">
        <f>AIK35-AIH35</f>
        <v>3130</v>
      </c>
      <c r="AIJ37" s="25">
        <f>AIN35-AIK35</f>
        <v>673</v>
      </c>
      <c r="AIM37" s="25">
        <f>AIQ35-AIN35</f>
        <v>572</v>
      </c>
      <c r="AIP37" s="25">
        <f>AIT35-AIQ35</f>
        <v>1460</v>
      </c>
      <c r="AIS37" s="25">
        <f>AIW35-AIT35</f>
        <v>807</v>
      </c>
      <c r="AIV37" s="25">
        <f>AIZ35-AIW35</f>
        <v>1150</v>
      </c>
      <c r="AIY37" s="25">
        <f>AJC35-AIZ35</f>
        <v>740</v>
      </c>
      <c r="AJB37" s="25">
        <f>AJF35-AJC35</f>
        <v>788</v>
      </c>
      <c r="AJE37" s="25">
        <f>AJI35-AJF35</f>
        <v>2016</v>
      </c>
      <c r="AJH37" s="25">
        <f>AJL35-AJI35</f>
        <v>810</v>
      </c>
      <c r="AJK37" s="25">
        <f>AJO35-AJL35</f>
        <v>954</v>
      </c>
      <c r="AJN37" s="25">
        <f>AJR35-AJO35</f>
        <v>863</v>
      </c>
      <c r="AJQ37" s="25">
        <f>AJU35-AJR35</f>
        <v>3166</v>
      </c>
      <c r="AJT37" s="25">
        <f>AJX35-AJU35</f>
        <v>937</v>
      </c>
      <c r="AJW37" s="25">
        <f>AKA35-AJX35</f>
        <v>1151</v>
      </c>
      <c r="AJZ37" s="25">
        <f>AKD35-AKA35</f>
        <v>1259</v>
      </c>
      <c r="AKC37" s="25">
        <f>AKG35-AKD35</f>
        <v>1191</v>
      </c>
      <c r="AKF37" s="25">
        <f>AKJ35-AKG35</f>
        <v>2616</v>
      </c>
      <c r="AKI37" s="25">
        <f>AKM35-AKJ35</f>
        <v>3439</v>
      </c>
      <c r="AKL37" s="25">
        <f>AKP35-AKM35</f>
        <v>1406</v>
      </c>
      <c r="AKO37" s="25">
        <f>AKS35-AKP35</f>
        <v>3338</v>
      </c>
      <c r="AKR37" s="25">
        <f>AKV35-AKS35</f>
        <v>916</v>
      </c>
      <c r="AKU37" s="25">
        <f>AKY35-AKV35</f>
        <v>3192</v>
      </c>
      <c r="AKX37" s="25">
        <f>ALB35-AKY35</f>
        <v>1496</v>
      </c>
      <c r="ALA37" s="25">
        <f>ALE35-ALB35</f>
        <v>3412</v>
      </c>
      <c r="ALD37" s="25">
        <f>ALH35-ALE35</f>
        <v>1542</v>
      </c>
      <c r="ALG37" s="25">
        <f>ALK35-ALH35</f>
        <v>1296</v>
      </c>
      <c r="ALJ37" s="25">
        <f>ALN35-ALK35</f>
        <v>13763</v>
      </c>
      <c r="ALM37" s="25">
        <f>ALQ35-ALN35</f>
        <v>-211239</v>
      </c>
      <c r="ALP37" s="25">
        <f>ALT35-ALQ35</f>
        <v>0</v>
      </c>
      <c r="ALS37" s="25">
        <f>ALW35-ALT35</f>
        <v>0</v>
      </c>
      <c r="ALV37" s="25">
        <f>ALZ35-ALW35</f>
        <v>0</v>
      </c>
    </row>
    <row r="38" spans="2:1010" s="35" customFormat="1">
      <c r="L38" s="36"/>
      <c r="N38" s="27"/>
      <c r="O38" s="35" t="s">
        <v>359</v>
      </c>
      <c r="Q38" s="35">
        <f ca="1">MAX(37:37)</f>
        <v>13763</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c r="TG38" s="27" t="str">
        <f>IF(WEEKDAY(TG36,2)=1,"Ma","")</f>
        <v>Ma</v>
      </c>
      <c r="TJ38" s="27" t="str">
        <f>IF(WEEKDAY(TJ36,2)=1,"Ma","")</f>
        <v/>
      </c>
      <c r="TM38" s="27" t="str">
        <f>IF(WEEKDAY(TM36,2)=1,"Ma","")</f>
        <v/>
      </c>
      <c r="TP38" s="27" t="str">
        <f>IF(WEEKDAY(TP36,2)=1,"Ma","")</f>
        <v/>
      </c>
      <c r="TS38" s="27" t="str">
        <f>IF(WEEKDAY(TS36,2)=1,"Ma","")</f>
        <v/>
      </c>
      <c r="TV38" s="27" t="str">
        <f>IF(WEEKDAY(TV36,2)=1,"Ma","")</f>
        <v/>
      </c>
      <c r="TY38" s="27" t="str">
        <f>IF(WEEKDAY(TY36,2)=1,"Ma","")</f>
        <v/>
      </c>
      <c r="UB38" s="27" t="str">
        <f>IF(WEEKDAY(UB36,2)=1,"Ma","")</f>
        <v/>
      </c>
      <c r="UE38" s="27" t="str">
        <f>IF(WEEKDAY(UE36,2)=1,"Ma","")</f>
        <v/>
      </c>
      <c r="UH38" s="27" t="str">
        <f>IF(WEEKDAY(UH36,2)=1,"Ma","")</f>
        <v/>
      </c>
      <c r="UK38" s="27" t="str">
        <f>IF(WEEKDAY(UK36,2)=1,"Ma","")</f>
        <v/>
      </c>
      <c r="UN38" s="27" t="str">
        <f>IF(WEEKDAY(UN36,2)=1,"Ma","")</f>
        <v>Ma</v>
      </c>
      <c r="UQ38" s="27" t="str">
        <f>IF(WEEKDAY(UQ36,2)=1,"Ma","")</f>
        <v/>
      </c>
      <c r="UT38" s="27" t="str">
        <f>IF(WEEKDAY(UT36,2)=1,"Ma","")</f>
        <v/>
      </c>
      <c r="UW38" s="27" t="str">
        <f>IF(WEEKDAY(UW36,2)=1,"Ma","")</f>
        <v/>
      </c>
      <c r="UZ38" s="27" t="str">
        <f>IF(WEEKDAY(UZ36,2)=1,"Ma","")</f>
        <v/>
      </c>
      <c r="VC38" s="27" t="str">
        <f>IF(WEEKDAY(VC36,2)=1,"Ma","")</f>
        <v/>
      </c>
      <c r="VF38" s="27" t="str">
        <f>IF(WEEKDAY(VF36,2)=1,"Ma","")</f>
        <v/>
      </c>
      <c r="VI38" s="27" t="str">
        <f>IF(WEEKDAY(VI36,2)=1,"Ma","")</f>
        <v/>
      </c>
      <c r="VL38" s="27" t="str">
        <f>IF(WEEKDAY(VL36,2)=1,"Ma","")</f>
        <v/>
      </c>
      <c r="VO38" s="27" t="str">
        <f>IF(WEEKDAY(VO36,2)=1,"Ma","")</f>
        <v/>
      </c>
      <c r="VR38" s="27" t="str">
        <f>IF(WEEKDAY(VR36,2)=1,"Ma","")</f>
        <v/>
      </c>
      <c r="VU38" s="27" t="str">
        <f>IF(WEEKDAY(VU36,2)=1,"Ma","")</f>
        <v/>
      </c>
      <c r="VX38" s="27" t="str">
        <f>IF(WEEKDAY(VX36,2)=1,"Ma","")</f>
        <v/>
      </c>
      <c r="WA38" s="27" t="str">
        <f>IF(WEEKDAY(WA36,2)=1,"Ma","")</f>
        <v/>
      </c>
      <c r="WD38" s="27" t="str">
        <f>IF(WEEKDAY(WD36,2)=1,"Ma","")</f>
        <v>Ma</v>
      </c>
      <c r="WG38" s="27" t="str">
        <f>IF(WEEKDAY(WG36,2)=1,"Ma","")</f>
        <v/>
      </c>
      <c r="WJ38" s="27" t="str">
        <f>IF(WEEKDAY(WJ36,2)=1,"Ma","")</f>
        <v/>
      </c>
      <c r="WM38" s="27" t="str">
        <f>IF(WEEKDAY(WM36,2)=1,"Ma","")</f>
        <v/>
      </c>
      <c r="WP38" s="27" t="str">
        <f>IF(WEEKDAY(WP36,2)=1,"Ma","")</f>
        <v/>
      </c>
      <c r="WS38" s="27" t="str">
        <f>IF(WEEKDAY(WS36,2)=1,"Ma","")</f>
        <v>Ma</v>
      </c>
      <c r="WV38" s="27" t="str">
        <f>IF(WEEKDAY(WV36,2)=1,"Ma","")</f>
        <v/>
      </c>
      <c r="WY38" s="27" t="str">
        <f>IF(WEEKDAY(WY36,2)=1,"Ma","")</f>
        <v/>
      </c>
      <c r="XB38" s="27" t="str">
        <f>IF(WEEKDAY(XB36,2)=1,"Ma","")</f>
        <v/>
      </c>
      <c r="XE38" s="27" t="str">
        <f>IF(WEEKDAY(XE36,2)=1,"Ma","")</f>
        <v/>
      </c>
      <c r="XH38" s="27" t="str">
        <f>IF(WEEKDAY(XH36,2)=1,"Ma","")</f>
        <v/>
      </c>
      <c r="XK38" s="27" t="str">
        <f>IF(WEEKDAY(XK36,2)=1,"Ma","")</f>
        <v/>
      </c>
      <c r="XN38" s="27" t="str">
        <f>IF(WEEKDAY(XN36,2)=1,"Ma","")</f>
        <v>Ma</v>
      </c>
      <c r="XQ38" s="27" t="str">
        <f>IF(WEEKDAY(XQ36,2)=1,"Ma","")</f>
        <v/>
      </c>
      <c r="XT38" s="27" t="str">
        <f>IF(WEEKDAY(XT36,2)=1,"Ma","")</f>
        <v/>
      </c>
      <c r="XW38" s="27" t="str">
        <f>IF(WEEKDAY(XW36,2)=1,"Ma","")</f>
        <v/>
      </c>
      <c r="XZ38" s="27" t="str">
        <f>IF(WEEKDAY(XZ36,2)=1,"Ma","")</f>
        <v/>
      </c>
      <c r="YC38" s="27" t="str">
        <f>IF(WEEKDAY(YC36,2)=1,"Ma","")</f>
        <v/>
      </c>
      <c r="YF38" s="27" t="str">
        <f>IF(WEEKDAY(YF36,2)=1,"Ma","")</f>
        <v>Ma</v>
      </c>
      <c r="YI38" s="27" t="str">
        <f>IF(WEEKDAY(YI36,2)=1,"Ma","")</f>
        <v/>
      </c>
      <c r="YL38" s="27" t="str">
        <f>IF(WEEKDAY(YL36,2)=1,"Ma","")</f>
        <v/>
      </c>
      <c r="YO38" s="27" t="str">
        <f>IF(WEEKDAY(YO36,2)=1,"Ma","")</f>
        <v/>
      </c>
      <c r="YR38" s="27" t="str">
        <f>IF(WEEKDAY(YR36,2)=1,"Ma","")</f>
        <v/>
      </c>
      <c r="YU38" s="27" t="str">
        <f>IF(WEEKDAY(YU36,2)=1,"Ma","")</f>
        <v/>
      </c>
      <c r="YX38" s="27" t="str">
        <f>IF(WEEKDAY(YX36,2)=1,"Ma","")</f>
        <v>Ma</v>
      </c>
      <c r="ZA38" s="27" t="str">
        <f>IF(WEEKDAY(ZA36,2)=1,"Ma","")</f>
        <v/>
      </c>
      <c r="ZD38" s="27" t="str">
        <f>IF(WEEKDAY(ZD36,2)=1,"Ma","")</f>
        <v/>
      </c>
      <c r="ZG38" s="27" t="str">
        <f>IF(WEEKDAY(ZG36,2)=1,"Ma","")</f>
        <v/>
      </c>
      <c r="ZJ38" s="27" t="str">
        <f>IF(WEEKDAY(ZJ36,2)=1,"Ma","")</f>
        <v>Ma</v>
      </c>
      <c r="ZM38" s="27" t="str">
        <f>IF(WEEKDAY(ZM36,2)=1,"Ma","")</f>
        <v/>
      </c>
      <c r="ZP38" s="27" t="str">
        <f>IF(WEEKDAY(ZP36,2)=1,"Ma","")</f>
        <v/>
      </c>
      <c r="ZS38" s="27" t="str">
        <f>IF(WEEKDAY(ZS36,2)=1,"Ma","")</f>
        <v/>
      </c>
      <c r="ZV38" s="27" t="str">
        <f>IF(WEEKDAY(ZV36,2)=1,"Ma","")</f>
        <v>Ma</v>
      </c>
      <c r="ZY38" s="27" t="str">
        <f>IF(WEEKDAY(ZY36,2)=1,"Ma","")</f>
        <v/>
      </c>
      <c r="AAB38" s="27" t="str">
        <f>IF(WEEKDAY(AAB36,2)=1,"Ma","")</f>
        <v/>
      </c>
      <c r="AAE38" s="27" t="str">
        <f>IF(WEEKDAY(AAE36,2)=1,"Ma","")</f>
        <v/>
      </c>
      <c r="AAH38" s="27" t="str">
        <f>IF(WEEKDAY(AAH36,2)=1,"Ma","")</f>
        <v/>
      </c>
      <c r="AAK38" s="27" t="str">
        <f>IF(WEEKDAY(AAK36,2)=1,"Ma","")</f>
        <v>Ma</v>
      </c>
      <c r="AAN38" s="27" t="str">
        <f>IF(WEEKDAY(AAN36,2)=1,"Ma","")</f>
        <v/>
      </c>
      <c r="AAQ38" s="27" t="str">
        <f>IF(WEEKDAY(AAQ36,2)=1,"Ma","")</f>
        <v/>
      </c>
      <c r="AAT38" s="27" t="str">
        <f>IF(WEEKDAY(AAT36,2)=1,"Ma","")</f>
        <v/>
      </c>
      <c r="AAW38" s="27" t="str">
        <f>IF(WEEKDAY(AAW36,2)=1,"Ma","")</f>
        <v/>
      </c>
      <c r="AAZ38" s="27" t="str">
        <f>IF(WEEKDAY(AAZ36,2)=1,"Ma","")</f>
        <v/>
      </c>
      <c r="ABC38" s="27" t="str">
        <f>IF(WEEKDAY(ABC36,2)=1,"Ma","")</f>
        <v/>
      </c>
      <c r="ABF38" s="27" t="str">
        <f>IF(WEEKDAY(ABF36,2)=1,"Ma","")</f>
        <v/>
      </c>
      <c r="ABI38" s="27" t="str">
        <f>IF(WEEKDAY(ABI36,2)=1,"Ma","")</f>
        <v/>
      </c>
      <c r="ABL38" s="27" t="str">
        <f>IF(WEEKDAY(ABL36,2)=1,"Ma","")</f>
        <v/>
      </c>
      <c r="ABO38" s="27" t="str">
        <f>IF(WEEKDAY(ABO36,2)=1,"Ma","")</f>
        <v/>
      </c>
      <c r="ABR38" s="27" t="str">
        <f>IF(WEEKDAY(ABR36,2)=1,"Ma","")</f>
        <v/>
      </c>
      <c r="ABU38" s="27" t="str">
        <f>IF(WEEKDAY(ABU36,2)=1,"Ma","")</f>
        <v/>
      </c>
      <c r="ABX38" s="27" t="str">
        <f>IF(WEEKDAY(ABX36,2)=1,"Ma","")</f>
        <v/>
      </c>
      <c r="ACA38" s="27" t="str">
        <f>IF(WEEKDAY(ACA36,2)=1,"Ma","")</f>
        <v>Ma</v>
      </c>
      <c r="ACD38" s="27" t="str">
        <f>IF(WEEKDAY(ACD36,2)=1,"Ma","")</f>
        <v/>
      </c>
      <c r="ACG38" s="27" t="str">
        <f>IF(WEEKDAY(ACG36,2)=1,"Ma","")</f>
        <v/>
      </c>
      <c r="ACJ38" s="27" t="str">
        <f>IF(WEEKDAY(ACJ36,2)=1,"Ma","")</f>
        <v/>
      </c>
      <c r="ACM38" s="27" t="str">
        <f>IF(WEEKDAY(ACM36,2)=1,"Ma","")</f>
        <v/>
      </c>
      <c r="ACP38" s="27" t="str">
        <f>IF(WEEKDAY(ACP36,2)=1,"Ma","")</f>
        <v>Ma</v>
      </c>
      <c r="ACS38" s="27" t="str">
        <f>IF(WEEKDAY(ACS36,2)=1,"Ma","")</f>
        <v/>
      </c>
      <c r="ACV38" s="27" t="str">
        <f>IF(WEEKDAY(ACV36,2)=1,"Ma","")</f>
        <v/>
      </c>
      <c r="ACY38" s="27" t="str">
        <f>IF(WEEKDAY(ACY36,2)=1,"Ma","")</f>
        <v/>
      </c>
      <c r="ADB38" s="27" t="str">
        <f>IF(WEEKDAY(ADB36,2)=1,"Ma","")</f>
        <v/>
      </c>
      <c r="ADE38" s="27" t="str">
        <f>IF(WEEKDAY(ADE36,2)=1,"Ma","")</f>
        <v/>
      </c>
      <c r="ADH38" s="27" t="str">
        <f>IF(WEEKDAY(ADH36,2)=1,"Ma","")</f>
        <v/>
      </c>
      <c r="ADK38" s="27" t="str">
        <f>IF(WEEKDAY(ADK36,2)=1,"Ma","")</f>
        <v>Ma</v>
      </c>
      <c r="ADN38" s="27" t="str">
        <f>IF(WEEKDAY(ADN36,2)=1,"Ma","")</f>
        <v/>
      </c>
      <c r="ADQ38" s="27" t="str">
        <f>IF(WEEKDAY(ADQ36,2)=1,"Ma","")</f>
        <v/>
      </c>
      <c r="ADT38" s="27" t="str">
        <f>IF(WEEKDAY(ADT36,2)=1,"Ma","")</f>
        <v/>
      </c>
      <c r="ADW38" s="27" t="str">
        <f>IF(WEEKDAY(ADW36,2)=1,"Ma","")</f>
        <v/>
      </c>
      <c r="ADZ38" s="27" t="str">
        <f>IF(WEEKDAY(ADZ36,2)=1,"Ma","")</f>
        <v>Ma</v>
      </c>
      <c r="AEC38" s="27" t="str">
        <f>IF(WEEKDAY(AEC36,2)=1,"Ma","")</f>
        <v/>
      </c>
      <c r="AEF38" s="27" t="str">
        <f>IF(WEEKDAY(AEF36,2)=1,"Ma","")</f>
        <v/>
      </c>
      <c r="AEI38" s="27" t="str">
        <f>IF(WEEKDAY(AEI36,2)=1,"Ma","")</f>
        <v/>
      </c>
      <c r="AEL38" s="27" t="str">
        <f>IF(WEEKDAY(AEL36,2)=1,"Ma","")</f>
        <v/>
      </c>
      <c r="AEO38" s="27" t="str">
        <f>IF(WEEKDAY(AEO36,2)=1,"Ma","")</f>
        <v>Ma</v>
      </c>
      <c r="AER38" s="27" t="str">
        <f>IF(WEEKDAY(AER36,2)=1,"Ma","")</f>
        <v/>
      </c>
      <c r="AEU38" s="27" t="str">
        <f>IF(WEEKDAY(AEU36,2)=1,"Ma","")</f>
        <v/>
      </c>
      <c r="AEX38" s="27" t="str">
        <f>IF(WEEKDAY(AEX36,2)=1,"Ma","")</f>
        <v/>
      </c>
      <c r="AFA38" s="27" t="str">
        <f>IF(WEEKDAY(AFA36,2)=1,"Ma","")</f>
        <v/>
      </c>
      <c r="AFD38" s="27" t="str">
        <f>IF(WEEKDAY(AFD36,2)=1,"Ma","")</f>
        <v/>
      </c>
      <c r="AFG38" s="27" t="str">
        <f>IF(WEEKDAY(AFG36,2)=1,"Ma","")</f>
        <v/>
      </c>
      <c r="AFJ38" s="27" t="str">
        <f>IF(WEEKDAY(AFJ36,2)=1,"Ma","")</f>
        <v/>
      </c>
      <c r="AFM38" s="27" t="str">
        <f>IF(WEEKDAY(AFM36,2)=1,"Ma","")</f>
        <v/>
      </c>
      <c r="AFP38" s="27" t="str">
        <f>IF(WEEKDAY(AFP36,2)=1,"Ma","")</f>
        <v/>
      </c>
      <c r="AFS38" s="27" t="str">
        <f>IF(WEEKDAY(AFS36,2)=1,"Ma","")</f>
        <v/>
      </c>
      <c r="AFV38" s="27" t="str">
        <f>IF(WEEKDAY(AFV36,2)=1,"Ma","")</f>
        <v/>
      </c>
      <c r="AFY38" s="27" t="str">
        <f>IF(WEEKDAY(AFY36,2)=1,"Ma","")</f>
        <v/>
      </c>
      <c r="AGB38" s="27" t="str">
        <f>IF(WEEKDAY(AGB36,2)=1,"Ma","")</f>
        <v/>
      </c>
      <c r="AGE38" s="27" t="str">
        <f>IF(WEEKDAY(AGE36,2)=1,"Ma","")</f>
        <v/>
      </c>
      <c r="AGH38" s="27" t="str">
        <f>IF(WEEKDAY(AGH36,2)=1,"Ma","")</f>
        <v/>
      </c>
      <c r="AGK38" s="27" t="str">
        <f>IF(WEEKDAY(AGK36,2)=1,"Ma","")</f>
        <v/>
      </c>
      <c r="AGN38" s="27" t="str">
        <f>IF(WEEKDAY(AGN36,2)=1,"Ma","")</f>
        <v/>
      </c>
      <c r="AGQ38" s="27" t="str">
        <f>IF(WEEKDAY(AGQ36,2)=1,"Ma","")</f>
        <v/>
      </c>
      <c r="AGT38" s="27" t="str">
        <f>IF(WEEKDAY(AGT36,2)=1,"Ma","")</f>
        <v/>
      </c>
      <c r="AGW38" s="27" t="str">
        <f>IF(WEEKDAY(AGW36,2)=1,"Ma","")</f>
        <v/>
      </c>
      <c r="AGZ38" s="27" t="str">
        <f>IF(WEEKDAY(AGZ36,2)=1,"Ma","")</f>
        <v>Ma</v>
      </c>
      <c r="AHC38" s="27" t="str">
        <f>IF(WEEKDAY(AHC36,2)=1,"Ma","")</f>
        <v/>
      </c>
      <c r="AHF38" s="27" t="str">
        <f>IF(WEEKDAY(AHF36,2)=1,"Ma","")</f>
        <v/>
      </c>
      <c r="AHI38" s="27" t="str">
        <f>IF(WEEKDAY(AHI36,2)=1,"Ma","")</f>
        <v/>
      </c>
      <c r="AHL38" s="27" t="str">
        <f>IF(WEEKDAY(AHL36,2)=1,"Ma","")</f>
        <v>Ma</v>
      </c>
      <c r="AHO38" s="27" t="str">
        <f>IF(WEEKDAY(AHO36,2)=1,"Ma","")</f>
        <v/>
      </c>
      <c r="AHR38" s="27" t="str">
        <f>IF(WEEKDAY(AHR36,2)=1,"Ma","")</f>
        <v/>
      </c>
      <c r="AHU38" s="27" t="str">
        <f>IF(WEEKDAY(AHU36,2)=1,"Ma","")</f>
        <v/>
      </c>
      <c r="AHX38" s="27" t="str">
        <f>IF(WEEKDAY(AHX36,2)=1,"Ma","")</f>
        <v/>
      </c>
      <c r="AIA38" s="27" t="str">
        <f>IF(WEEKDAY(AIA36,2)=1,"Ma","")</f>
        <v/>
      </c>
      <c r="AID38" s="27" t="str">
        <f>IF(WEEKDAY(AID36,2)=1,"Ma","")</f>
        <v/>
      </c>
      <c r="AIG38" s="27" t="str">
        <f>IF(WEEKDAY(AIG36,2)=1,"Ma","")</f>
        <v/>
      </c>
      <c r="AIJ38" s="27" t="str">
        <f>IF(WEEKDAY(AIJ36,2)=1,"Ma","")</f>
        <v/>
      </c>
      <c r="AIM38" s="27" t="str">
        <f>IF(WEEKDAY(AIM36,2)=1,"Ma","")</f>
        <v/>
      </c>
      <c r="AIP38" s="27" t="str">
        <f>IF(WEEKDAY(AIP36,2)=1,"Ma","")</f>
        <v>Ma</v>
      </c>
      <c r="AIS38" s="27" t="str">
        <f>IF(WEEKDAY(AIS36,2)=1,"Ma","")</f>
        <v/>
      </c>
      <c r="AIV38" s="27" t="str">
        <f>IF(WEEKDAY(AIV36,2)=1,"Ma","")</f>
        <v/>
      </c>
      <c r="AIY38" s="27" t="str">
        <f>IF(WEEKDAY(AIY36,2)=1,"Ma","")</f>
        <v/>
      </c>
      <c r="AJB38" s="27" t="str">
        <f>IF(WEEKDAY(AJB36,2)=1,"Ma","")</f>
        <v/>
      </c>
      <c r="AJE38" s="27" t="str">
        <f>IF(WEEKDAY(AJE36,2)=1,"Ma","")</f>
        <v>Ma</v>
      </c>
      <c r="AJH38" s="27" t="str">
        <f>IF(WEEKDAY(AJH36,2)=1,"Ma","")</f>
        <v/>
      </c>
      <c r="AJK38" s="27" t="str">
        <f>IF(WEEKDAY(AJK36,2)=1,"Ma","")</f>
        <v/>
      </c>
      <c r="AJN38" s="27" t="str">
        <f>IF(WEEKDAY(AJN36,2)=1,"Ma","")</f>
        <v/>
      </c>
      <c r="AJQ38" s="27" t="str">
        <f>IF(WEEKDAY(AJQ36,2)=1,"Ma","")</f>
        <v>Ma</v>
      </c>
      <c r="AJT38" s="27" t="str">
        <f>IF(WEEKDAY(AJT36,2)=1,"Ma","")</f>
        <v/>
      </c>
      <c r="AJW38" s="27" t="str">
        <f>IF(WEEKDAY(AJW36,2)=1,"Ma","")</f>
        <v/>
      </c>
      <c r="AJZ38" s="27" t="str">
        <f>IF(WEEKDAY(AJZ36,2)=1,"Ma","")</f>
        <v/>
      </c>
      <c r="AKC38" s="27" t="str">
        <f>IF(WEEKDAY(AKC36,2)=1,"Ma","")</f>
        <v/>
      </c>
      <c r="AKF38" s="27" t="str">
        <f>IF(WEEKDAY(AKF36,2)=1,"Ma","")</f>
        <v>Ma</v>
      </c>
      <c r="AKI38" s="27" t="str">
        <f>IF(WEEKDAY(AKI36,2)=1,"Ma","")</f>
        <v/>
      </c>
      <c r="AKL38" s="27" t="str">
        <f>IF(WEEKDAY(AKL36,2)=1,"Ma","")</f>
        <v/>
      </c>
      <c r="AKO38" s="27" t="str">
        <f>IF(WEEKDAY(AKO36,2)=1,"Ma","")</f>
        <v>Ma</v>
      </c>
      <c r="AKR38" s="27" t="str">
        <f>IF(WEEKDAY(AKR36,2)=1,"Ma","")</f>
        <v/>
      </c>
      <c r="AKU38" s="27" t="str">
        <f>IF(WEEKDAY(AKU36,2)=1,"Ma","")</f>
        <v/>
      </c>
      <c r="AKX38" s="27" t="str">
        <f>IF(WEEKDAY(AKX36,2)=1,"Ma","")</f>
        <v/>
      </c>
      <c r="ALA38" s="27" t="str">
        <f>IF(WEEKDAY(ALA36,2)=1,"Ma","")</f>
        <v>Ma</v>
      </c>
      <c r="ALD38" s="27" t="str">
        <f>IF(WEEKDAY(ALD36,2)=1,"Ma","")</f>
        <v/>
      </c>
      <c r="ALG38" s="27" t="str">
        <f>IF(WEEKDAY(ALG36,2)=1,"Ma","")</f>
        <v/>
      </c>
      <c r="ALJ38" s="27" t="str">
        <f>IF(WEEKDAY(ALJ36,2)=1,"Ma","")</f>
        <v/>
      </c>
    </row>
    <row r="39" spans="2:1010">
      <c r="Q39" s="20"/>
      <c r="T39" s="20"/>
    </row>
    <row r="40" spans="2:1010">
      <c r="B40" s="21">
        <f>Q36</f>
        <v>44547</v>
      </c>
      <c r="C40">
        <f t="shared" ref="C40:C47" ca="1" si="6">HLOOKUP(B40,$36:$37,2,FALSE)</f>
        <v>2079</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1010">
      <c r="B41" s="21">
        <f>B40-7</f>
        <v>44540</v>
      </c>
      <c r="C41" t="e">
        <f t="shared" si="6"/>
        <v>#N/A</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1010">
      <c r="B42" s="21">
        <f t="shared" ref="B42:B47" si="7">B41-7</f>
        <v>44533</v>
      </c>
      <c r="C42">
        <f t="shared" si="6"/>
        <v>1496</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1010">
      <c r="B43" s="21">
        <f t="shared" si="7"/>
        <v>44526</v>
      </c>
      <c r="C43" t="e">
        <f t="shared" si="6"/>
        <v>#N/A</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1010">
      <c r="B44" s="21">
        <f t="shared" si="7"/>
        <v>44519</v>
      </c>
      <c r="C44">
        <f t="shared" si="6"/>
        <v>1191</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1010">
      <c r="B45" s="21">
        <f t="shared" si="7"/>
        <v>44512</v>
      </c>
      <c r="C45" t="e">
        <f t="shared" si="6"/>
        <v>#N/A</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1010">
      <c r="B46" s="21">
        <f t="shared" si="7"/>
        <v>44505</v>
      </c>
      <c r="C46">
        <f t="shared" si="6"/>
        <v>788</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1010">
      <c r="B47" s="21">
        <f t="shared" si="7"/>
        <v>44498</v>
      </c>
      <c r="C47">
        <f t="shared" si="6"/>
        <v>572</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1010">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44543.625</v>
      </c>
      <c r="C50">
        <f>DMAX(_xlnm.Database,"n",B49:B50)</f>
        <v>2319</v>
      </c>
      <c r="D50" s="21">
        <f>B50</f>
        <v>44543.625</v>
      </c>
      <c r="E50">
        <f>C50</f>
        <v>2319</v>
      </c>
      <c r="F50" s="13">
        <f>B50-1</f>
        <v>44542.625</v>
      </c>
      <c r="G50">
        <f>DMAX(_xlnm.Database,"n",F49:F50)</f>
        <v>1266</v>
      </c>
      <c r="H50" s="21">
        <f>F50</f>
        <v>44542.625</v>
      </c>
      <c r="I50">
        <f>G50</f>
        <v>1266</v>
      </c>
      <c r="J50" s="13">
        <f>F50-1</f>
        <v>44541.625</v>
      </c>
      <c r="K50">
        <f>DMAX(_xlnm.Database,"n",J49:J50)</f>
        <v>1115</v>
      </c>
      <c r="L50" s="21">
        <f>J50</f>
        <v>44541.625</v>
      </c>
      <c r="M50">
        <f>K50</f>
        <v>1115</v>
      </c>
      <c r="N50" s="22">
        <f>J50-1</f>
        <v>44540.625</v>
      </c>
      <c r="O50">
        <f>DMAX(_xlnm.Database,"n",N49:N50)</f>
        <v>1800</v>
      </c>
      <c r="P50" s="21">
        <f>N50</f>
        <v>44540.625</v>
      </c>
      <c r="Q50">
        <f>O50</f>
        <v>1800</v>
      </c>
      <c r="R50" s="22">
        <f>N50-1</f>
        <v>44539.625</v>
      </c>
      <c r="S50">
        <f>DMAX(_xlnm.Database,"n",R49:R50)</f>
        <v>1696</v>
      </c>
      <c r="T50" s="21">
        <f>R50</f>
        <v>44539.625</v>
      </c>
      <c r="U50">
        <f>S50</f>
        <v>1696</v>
      </c>
      <c r="V50" s="22">
        <f>R50-1</f>
        <v>44538.625</v>
      </c>
      <c r="W50">
        <f>DMAX(_xlnm.Database,"n",V49:V50)</f>
        <v>1721</v>
      </c>
      <c r="X50" s="21">
        <f>V50</f>
        <v>44538.625</v>
      </c>
      <c r="Y50">
        <f>W50</f>
        <v>1721</v>
      </c>
      <c r="Z50" s="22">
        <f>V50-1</f>
        <v>44537.625</v>
      </c>
      <c r="AA50">
        <f>DMAX(_xlnm.Database,"n",Z49:Z50)</f>
        <v>1914</v>
      </c>
      <c r="AB50" s="21">
        <f>Z50</f>
        <v>44537.625</v>
      </c>
      <c r="AC50">
        <f>AA50</f>
        <v>1914</v>
      </c>
      <c r="AD50" s="22">
        <f>Z50-1</f>
        <v>44536.625</v>
      </c>
      <c r="AE50">
        <f>DMAX(_xlnm.Database,"n",AD49:AD50)</f>
        <v>1075</v>
      </c>
      <c r="AF50" s="21">
        <f>AD50</f>
        <v>44536.625</v>
      </c>
      <c r="AG50">
        <f>AE50</f>
        <v>1075</v>
      </c>
      <c r="AH50" s="16"/>
      <c r="AI50"/>
      <c r="AK50" s="16"/>
      <c r="AL50"/>
      <c r="AN50" s="16"/>
      <c r="AO50"/>
      <c r="AQ50" s="16"/>
      <c r="AR50"/>
      <c r="AT50" s="16"/>
    </row>
    <row r="51" spans="2:46">
      <c r="B51" s="13" t="s">
        <v>7</v>
      </c>
      <c r="D51" s="16">
        <f>D50-7</f>
        <v>44536.625</v>
      </c>
      <c r="E51">
        <f>C52</f>
        <v>1075</v>
      </c>
      <c r="F51" s="13" t="s">
        <v>7</v>
      </c>
      <c r="H51" s="16">
        <f>H50-7</f>
        <v>44535.625</v>
      </c>
      <c r="I51">
        <f>G52</f>
        <v>1003</v>
      </c>
      <c r="J51" s="13" t="s">
        <v>7</v>
      </c>
      <c r="L51" s="16">
        <f>L50-7</f>
        <v>44534.625</v>
      </c>
      <c r="M51">
        <f>K52</f>
        <v>976</v>
      </c>
      <c r="N51" t="s">
        <v>7</v>
      </c>
      <c r="P51" s="16">
        <f>P50-7</f>
        <v>44533.625</v>
      </c>
      <c r="Q51">
        <f>O52</f>
        <v>1525</v>
      </c>
      <c r="R51" t="s">
        <v>7</v>
      </c>
      <c r="T51" s="16">
        <f>T50-7</f>
        <v>44532.625</v>
      </c>
      <c r="U51">
        <f>S52</f>
        <v>1464</v>
      </c>
      <c r="V51" t="s">
        <v>7</v>
      </c>
      <c r="W51"/>
      <c r="X51" s="16">
        <f>X50-7</f>
        <v>44531.625</v>
      </c>
      <c r="Y51">
        <f>W52</f>
        <v>1442</v>
      </c>
      <c r="Z51" t="s">
        <v>7</v>
      </c>
      <c r="AB51" s="16">
        <f>AB50-7</f>
        <v>44530.625</v>
      </c>
      <c r="AC51">
        <f>AA52</f>
        <v>1423</v>
      </c>
      <c r="AD51" t="s">
        <v>7</v>
      </c>
      <c r="AF51" s="16">
        <f>AF50-7</f>
        <v>44529.625</v>
      </c>
      <c r="AG51">
        <f>AE52</f>
        <v>1685</v>
      </c>
      <c r="AH51" s="16"/>
      <c r="AI51"/>
      <c r="AK51" s="16"/>
      <c r="AL51"/>
      <c r="AN51" s="16"/>
      <c r="AO51"/>
      <c r="AQ51" s="16"/>
      <c r="AR51"/>
      <c r="AT51" s="16"/>
    </row>
    <row r="52" spans="2:46">
      <c r="B52" s="13">
        <f>B50-7</f>
        <v>44536.625</v>
      </c>
      <c r="C52">
        <f>DMAX(_xlnm.Database,"n",B51:B52)</f>
        <v>1075</v>
      </c>
      <c r="D52" s="16">
        <f t="shared" ref="D52:D59" si="8">D51-7</f>
        <v>44529.625</v>
      </c>
      <c r="E52">
        <f>C54</f>
        <v>1685</v>
      </c>
      <c r="F52" s="13">
        <f>F50-7</f>
        <v>44535.625</v>
      </c>
      <c r="G52">
        <f>DMAX(_xlnm.Database,"n",F51:F52)</f>
        <v>1003</v>
      </c>
      <c r="H52" s="16">
        <f t="shared" ref="H52:H59" si="9">H51-7</f>
        <v>44528.625</v>
      </c>
      <c r="I52">
        <f>G54</f>
        <v>787</v>
      </c>
      <c r="J52" s="13">
        <f>J50-7</f>
        <v>44534.625</v>
      </c>
      <c r="K52">
        <f>DMAX(_xlnm.Database,"n",J51:J52)</f>
        <v>976</v>
      </c>
      <c r="L52" s="16">
        <f t="shared" ref="L52:L59" si="10">L51-7</f>
        <v>44527.625</v>
      </c>
      <c r="M52">
        <f>K54</f>
        <v>789</v>
      </c>
      <c r="N52" s="22">
        <f>N50-7</f>
        <v>44533.625</v>
      </c>
      <c r="O52">
        <f>DMAX(_xlnm.Database,"n",N51:N52)</f>
        <v>1525</v>
      </c>
      <c r="P52" s="16">
        <f t="shared" ref="P52:P59" si="11">P51-7</f>
        <v>44526.625</v>
      </c>
      <c r="Q52">
        <f>O54</f>
        <v>1299</v>
      </c>
      <c r="R52" s="22">
        <f>R50-7</f>
        <v>44532.625</v>
      </c>
      <c r="S52">
        <f>DMAX(_xlnm.Database,"n",R51:R52)</f>
        <v>1464</v>
      </c>
      <c r="T52" s="16">
        <f t="shared" ref="T52:T59" si="12">T51-7</f>
        <v>44525.625</v>
      </c>
      <c r="U52">
        <f>S54</f>
        <v>1269</v>
      </c>
      <c r="V52" s="22">
        <f>V50-7</f>
        <v>44531.625</v>
      </c>
      <c r="W52">
        <f>DMAX(_xlnm.Database,"n",V51:V52)</f>
        <v>1442</v>
      </c>
      <c r="X52" s="16">
        <f t="shared" ref="X52:X59" si="13">X51-7</f>
        <v>44524.625</v>
      </c>
      <c r="Y52">
        <f>W54</f>
        <v>1251</v>
      </c>
      <c r="Z52" s="22">
        <f>Z50-7</f>
        <v>44530.625</v>
      </c>
      <c r="AA52">
        <f>DMAX(_xlnm.Database,"n",Z51:Z52)</f>
        <v>1423</v>
      </c>
      <c r="AB52" s="16">
        <f t="shared" ref="AB52:AB59" si="14">AB51-7</f>
        <v>44523.625</v>
      </c>
      <c r="AC52">
        <f>AA54</f>
        <v>1334</v>
      </c>
      <c r="AD52" s="22">
        <f>AD50-7</f>
        <v>44529.625</v>
      </c>
      <c r="AE52">
        <f>DMAX(_xlnm.Database,"n",AD51:AD52)</f>
        <v>1685</v>
      </c>
      <c r="AF52" s="16">
        <f t="shared" ref="AF52:AF59" si="15">AF51-7</f>
        <v>44522.625</v>
      </c>
      <c r="AG52">
        <f>AE54</f>
        <v>1416</v>
      </c>
      <c r="AH52" s="16"/>
      <c r="AI52"/>
      <c r="AK52" s="16"/>
      <c r="AL52"/>
      <c r="AN52" s="16"/>
      <c r="AO52"/>
      <c r="AQ52" s="16"/>
      <c r="AR52"/>
      <c r="AT52" s="16"/>
    </row>
    <row r="53" spans="2:46">
      <c r="B53" s="13" t="s">
        <v>7</v>
      </c>
      <c r="D53" s="16">
        <f t="shared" si="8"/>
        <v>44522.625</v>
      </c>
      <c r="E53">
        <f>C56</f>
        <v>1416</v>
      </c>
      <c r="F53" s="13" t="s">
        <v>7</v>
      </c>
      <c r="H53" s="16">
        <f t="shared" si="9"/>
        <v>44521.625</v>
      </c>
      <c r="I53">
        <f>G56</f>
        <v>675</v>
      </c>
      <c r="J53" s="13" t="s">
        <v>7</v>
      </c>
      <c r="L53" s="16">
        <f t="shared" si="10"/>
        <v>44520.625</v>
      </c>
      <c r="M53">
        <f>K56</f>
        <v>709</v>
      </c>
      <c r="N53" t="s">
        <v>7</v>
      </c>
      <c r="P53" s="16">
        <f t="shared" si="11"/>
        <v>44519.625</v>
      </c>
      <c r="Q53">
        <f>O56</f>
        <v>1273</v>
      </c>
      <c r="R53" t="s">
        <v>7</v>
      </c>
      <c r="T53" s="16">
        <f t="shared" si="12"/>
        <v>44518.625</v>
      </c>
      <c r="U53">
        <f>S56</f>
        <v>1213</v>
      </c>
      <c r="V53" t="s">
        <v>7</v>
      </c>
      <c r="W53"/>
      <c r="X53" s="16">
        <f t="shared" si="13"/>
        <v>44517.625</v>
      </c>
      <c r="Y53">
        <f>W56</f>
        <v>1168</v>
      </c>
      <c r="Z53" t="s">
        <v>7</v>
      </c>
      <c r="AB53" s="16">
        <f t="shared" si="14"/>
        <v>44516.625</v>
      </c>
      <c r="AC53">
        <f>AA56</f>
        <v>1199</v>
      </c>
      <c r="AD53" t="s">
        <v>7</v>
      </c>
      <c r="AF53" s="16">
        <f t="shared" si="15"/>
        <v>44515.625</v>
      </c>
      <c r="AG53">
        <f>AE56</f>
        <v>1252</v>
      </c>
      <c r="AH53" s="16"/>
      <c r="AI53"/>
      <c r="AK53" s="16"/>
      <c r="AL53"/>
      <c r="AN53" s="16"/>
      <c r="AO53"/>
      <c r="AQ53" s="16"/>
      <c r="AR53"/>
      <c r="AT53" s="16"/>
    </row>
    <row r="54" spans="2:46">
      <c r="B54" s="13">
        <f>B52-7</f>
        <v>44529.625</v>
      </c>
      <c r="C54">
        <f>DMAX(_xlnm.Database,"n",B53:B54)</f>
        <v>1685</v>
      </c>
      <c r="D54" s="16">
        <f t="shared" si="8"/>
        <v>44515.625</v>
      </c>
      <c r="E54">
        <f>C58</f>
        <v>1252</v>
      </c>
      <c r="F54" s="13">
        <f>F52-7</f>
        <v>44528.625</v>
      </c>
      <c r="G54">
        <f>DMAX(_xlnm.Database,"n",F53:F54)</f>
        <v>787</v>
      </c>
      <c r="H54" s="16">
        <f t="shared" si="9"/>
        <v>44514.625</v>
      </c>
      <c r="I54">
        <f>G58</f>
        <v>572</v>
      </c>
      <c r="J54" s="13">
        <f>J52-7</f>
        <v>44527.625</v>
      </c>
      <c r="K54">
        <f>DMAX(_xlnm.Database,"n",J53:J54)</f>
        <v>789</v>
      </c>
      <c r="L54" s="16">
        <f t="shared" si="10"/>
        <v>44513.625</v>
      </c>
      <c r="M54">
        <f>K58</f>
        <v>620</v>
      </c>
      <c r="N54" s="22">
        <f>N52-7</f>
        <v>44526.625</v>
      </c>
      <c r="O54">
        <f>DMAX(_xlnm.Database,"n",N53:N54)</f>
        <v>1299</v>
      </c>
      <c r="P54" s="16">
        <f t="shared" si="11"/>
        <v>44512.625</v>
      </c>
      <c r="Q54">
        <f>O58</f>
        <v>946</v>
      </c>
      <c r="R54" s="22">
        <f>R52-7</f>
        <v>44525.625</v>
      </c>
      <c r="S54">
        <f>DMAX(_xlnm.Database,"n",R53:R54)</f>
        <v>1269</v>
      </c>
      <c r="T54" s="16">
        <f t="shared" si="12"/>
        <v>44511.625</v>
      </c>
      <c r="U54">
        <f>S58</f>
        <v>934</v>
      </c>
      <c r="V54" s="22">
        <f>V52-7</f>
        <v>44524.625</v>
      </c>
      <c r="W54">
        <f>DMAX(_xlnm.Database,"n",V53:V54)</f>
        <v>1251</v>
      </c>
      <c r="X54" s="16">
        <f t="shared" si="13"/>
        <v>44510.625</v>
      </c>
      <c r="Y54">
        <f>W58</f>
        <v>968</v>
      </c>
      <c r="Z54" s="22">
        <f>Z52-7</f>
        <v>44523.625</v>
      </c>
      <c r="AA54">
        <f>DMAX(_xlnm.Database,"n",Z53:Z54)</f>
        <v>1334</v>
      </c>
      <c r="AB54" s="16">
        <f t="shared" si="14"/>
        <v>44509.625</v>
      </c>
      <c r="AC54">
        <f>AA58</f>
        <v>833</v>
      </c>
      <c r="AD54" s="22">
        <f>AD52-7</f>
        <v>44522.625</v>
      </c>
      <c r="AE54">
        <f>DMAX(_xlnm.Database,"n",AD53:AD54)</f>
        <v>1416</v>
      </c>
      <c r="AF54" s="16">
        <f t="shared" si="15"/>
        <v>44508.625</v>
      </c>
      <c r="AG54">
        <f>AE58</f>
        <v>1121</v>
      </c>
      <c r="AH54" s="16"/>
      <c r="AI54"/>
      <c r="AK54" s="16"/>
      <c r="AL54"/>
      <c r="AN54" s="16"/>
      <c r="AO54"/>
      <c r="AQ54" s="16"/>
      <c r="AR54"/>
      <c r="AT54" s="16"/>
    </row>
    <row r="55" spans="2:46">
      <c r="B55" s="13" t="s">
        <v>7</v>
      </c>
      <c r="D55" s="16">
        <f t="shared" si="8"/>
        <v>44508.625</v>
      </c>
      <c r="E55">
        <f>C60</f>
        <v>1121</v>
      </c>
      <c r="F55" s="13" t="s">
        <v>7</v>
      </c>
      <c r="H55" s="16">
        <f t="shared" si="9"/>
        <v>44507.625</v>
      </c>
      <c r="I55">
        <f>G60</f>
        <v>508</v>
      </c>
      <c r="J55" s="13" t="s">
        <v>7</v>
      </c>
      <c r="L55" s="16">
        <f t="shared" si="10"/>
        <v>44506.625</v>
      </c>
      <c r="M55">
        <f>K60</f>
        <v>514</v>
      </c>
      <c r="N55" t="s">
        <v>7</v>
      </c>
      <c r="P55" s="16">
        <f t="shared" si="11"/>
        <v>44505.625</v>
      </c>
      <c r="Q55">
        <f>O60</f>
        <v>843</v>
      </c>
      <c r="R55" t="s">
        <v>7</v>
      </c>
      <c r="T55" s="16">
        <f t="shared" si="12"/>
        <v>44504.625</v>
      </c>
      <c r="U55">
        <f>S60</f>
        <v>804</v>
      </c>
      <c r="V55" t="s">
        <v>7</v>
      </c>
      <c r="W55"/>
      <c r="X55" s="16">
        <f t="shared" si="13"/>
        <v>44503.625</v>
      </c>
      <c r="Y55">
        <f>W60</f>
        <v>770</v>
      </c>
      <c r="Z55" t="s">
        <v>7</v>
      </c>
      <c r="AB55" s="16">
        <f t="shared" si="14"/>
        <v>44502.625</v>
      </c>
      <c r="AC55">
        <f>AA60</f>
        <v>756</v>
      </c>
      <c r="AD55" t="s">
        <v>7</v>
      </c>
      <c r="AF55" s="16">
        <f t="shared" si="15"/>
        <v>44501.625</v>
      </c>
      <c r="AG55">
        <f>AE60</f>
        <v>973</v>
      </c>
      <c r="AH55" s="16"/>
      <c r="AI55"/>
      <c r="AK55" s="16"/>
      <c r="AL55"/>
      <c r="AN55" s="16"/>
      <c r="AO55"/>
      <c r="AQ55" s="16"/>
      <c r="AR55"/>
      <c r="AT55" s="16"/>
    </row>
    <row r="56" spans="2:46">
      <c r="B56" s="13">
        <f>B54-7</f>
        <v>44522.625</v>
      </c>
      <c r="C56">
        <f>DMAX(_xlnm.Database,"n",B55:B56)</f>
        <v>1416</v>
      </c>
      <c r="D56" s="16">
        <f t="shared" si="8"/>
        <v>44501.625</v>
      </c>
      <c r="E56">
        <f>C62</f>
        <v>973</v>
      </c>
      <c r="F56" s="13">
        <f>F54-7</f>
        <v>44521.625</v>
      </c>
      <c r="G56">
        <f>DMAX(_xlnm.Database,"n",F55:F56)</f>
        <v>675</v>
      </c>
      <c r="H56" s="16">
        <f t="shared" si="9"/>
        <v>44500.625</v>
      </c>
      <c r="I56">
        <f>G62</f>
        <v>439</v>
      </c>
      <c r="J56" s="13">
        <f>J54-7</f>
        <v>44520.625</v>
      </c>
      <c r="K56">
        <f>DMAX(_xlnm.Database,"n",J55:J56)</f>
        <v>709</v>
      </c>
      <c r="L56" s="16">
        <f t="shared" si="10"/>
        <v>44499.625</v>
      </c>
      <c r="M56">
        <f>K62</f>
        <v>402</v>
      </c>
      <c r="N56" s="22">
        <f>N54-7</f>
        <v>44519.625</v>
      </c>
      <c r="O56">
        <f>DMAX(_xlnm.Database,"n",N55:N56)</f>
        <v>1273</v>
      </c>
      <c r="P56" s="16">
        <f t="shared" si="11"/>
        <v>44498.625</v>
      </c>
      <c r="Q56">
        <f>O62</f>
        <v>656</v>
      </c>
      <c r="R56" s="22">
        <f>R54-7</f>
        <v>44518.625</v>
      </c>
      <c r="S56">
        <f>DMAX(_xlnm.Database,"n",R55:R56)</f>
        <v>1213</v>
      </c>
      <c r="T56" s="16">
        <f t="shared" si="12"/>
        <v>44497.625</v>
      </c>
      <c r="U56">
        <f>S62</f>
        <v>589</v>
      </c>
      <c r="V56" s="22">
        <f>V54-7</f>
        <v>44517.625</v>
      </c>
      <c r="W56">
        <f>DMAX(_xlnm.Database,"n",V55:V56)</f>
        <v>1168</v>
      </c>
      <c r="X56" s="16">
        <f t="shared" si="13"/>
        <v>44496.625</v>
      </c>
      <c r="Y56">
        <f>W62</f>
        <v>640</v>
      </c>
      <c r="Z56" s="22">
        <f>Z54-7</f>
        <v>44516.625</v>
      </c>
      <c r="AA56">
        <f>DMAX(_xlnm.Database,"n",Z55:Z56)</f>
        <v>1199</v>
      </c>
      <c r="AB56" s="16">
        <f t="shared" si="14"/>
        <v>44495.625</v>
      </c>
      <c r="AC56">
        <f>AA62</f>
        <v>679</v>
      </c>
      <c r="AD56" s="22">
        <f>AD54-7</f>
        <v>44515.625</v>
      </c>
      <c r="AE56">
        <f>DMAX(_xlnm.Database,"n",AD55:AD56)</f>
        <v>1252</v>
      </c>
      <c r="AF56" s="16">
        <f t="shared" si="15"/>
        <v>44494.625</v>
      </c>
      <c r="AG56">
        <f>AE62</f>
        <v>793</v>
      </c>
      <c r="AH56" s="16"/>
      <c r="AI56"/>
      <c r="AK56" s="16"/>
      <c r="AL56"/>
      <c r="AN56" s="16"/>
      <c r="AO56"/>
      <c r="AQ56" s="16"/>
      <c r="AR56"/>
      <c r="AT56" s="16"/>
    </row>
    <row r="57" spans="2:46">
      <c r="B57" s="13" t="s">
        <v>7</v>
      </c>
      <c r="D57" s="16">
        <f t="shared" si="8"/>
        <v>44494.625</v>
      </c>
      <c r="E57">
        <f>C64</f>
        <v>793</v>
      </c>
      <c r="F57" s="13" t="s">
        <v>7</v>
      </c>
      <c r="H57" s="16">
        <f t="shared" si="9"/>
        <v>44493.625</v>
      </c>
      <c r="I57">
        <f>G64</f>
        <v>389</v>
      </c>
      <c r="J57" s="13" t="s">
        <v>7</v>
      </c>
      <c r="L57" s="16">
        <f t="shared" si="10"/>
        <v>44492.625</v>
      </c>
      <c r="M57">
        <f>K64</f>
        <v>374</v>
      </c>
      <c r="N57" t="s">
        <v>7</v>
      </c>
      <c r="P57" s="16">
        <f t="shared" si="11"/>
        <v>44491.625</v>
      </c>
      <c r="Q57">
        <f>O64</f>
        <v>580</v>
      </c>
      <c r="R57" t="s">
        <v>7</v>
      </c>
      <c r="T57" s="16">
        <f t="shared" si="12"/>
        <v>44490.625</v>
      </c>
      <c r="U57">
        <f>S64</f>
        <v>623</v>
      </c>
      <c r="V57" t="s">
        <v>7</v>
      </c>
      <c r="W57"/>
      <c r="X57" s="16">
        <f t="shared" si="13"/>
        <v>44489.625</v>
      </c>
      <c r="Y57">
        <f>W64</f>
        <v>516</v>
      </c>
      <c r="Z57" t="s">
        <v>7</v>
      </c>
      <c r="AB57" s="16">
        <f t="shared" si="14"/>
        <v>44488.625</v>
      </c>
      <c r="AC57">
        <f>AA64</f>
        <v>550</v>
      </c>
      <c r="AD57" t="s">
        <v>7</v>
      </c>
      <c r="AF57" s="16">
        <f t="shared" si="15"/>
        <v>44487.625</v>
      </c>
      <c r="AG57">
        <f>AE64</f>
        <v>661</v>
      </c>
      <c r="AH57" s="16"/>
      <c r="AI57"/>
      <c r="AK57" s="16"/>
      <c r="AL57"/>
      <c r="AN57" s="16"/>
      <c r="AO57"/>
      <c r="AQ57" s="16"/>
      <c r="AR57"/>
      <c r="AT57" s="16"/>
    </row>
    <row r="58" spans="2:46">
      <c r="B58" s="13">
        <f>B56-7</f>
        <v>44515.625</v>
      </c>
      <c r="C58">
        <f>DMAX(_xlnm.Database,"n",B57:B58)</f>
        <v>1252</v>
      </c>
      <c r="D58" s="16">
        <f>D57-7</f>
        <v>44487.625</v>
      </c>
      <c r="E58">
        <f>C66</f>
        <v>661</v>
      </c>
      <c r="F58" s="13">
        <f>F56-7</f>
        <v>44514.625</v>
      </c>
      <c r="G58">
        <f>DMAX(_xlnm.Database,"n",F57:F58)</f>
        <v>572</v>
      </c>
      <c r="H58" s="16">
        <f>H57-7</f>
        <v>44486.625</v>
      </c>
      <c r="I58">
        <f>G66</f>
        <v>320</v>
      </c>
      <c r="J58" s="13">
        <f>J56-7</f>
        <v>44513.625</v>
      </c>
      <c r="K58">
        <f>DMAX(_xlnm.Database,"n",J57:J58)</f>
        <v>620</v>
      </c>
      <c r="L58" s="16">
        <f>L57-7</f>
        <v>44485.625</v>
      </c>
      <c r="M58">
        <f>K66</f>
        <v>344</v>
      </c>
      <c r="N58" s="22">
        <f>N56-7</f>
        <v>44512.625</v>
      </c>
      <c r="O58">
        <f>DMAX(_xlnm.Database,"n",N57:N58)</f>
        <v>946</v>
      </c>
      <c r="P58" s="16">
        <f>P57-7</f>
        <v>44484.625</v>
      </c>
      <c r="Q58">
        <f>O66</f>
        <v>562</v>
      </c>
      <c r="R58" s="22">
        <f>R56-7</f>
        <v>44511.625</v>
      </c>
      <c r="S58">
        <f>DMAX(_xlnm.Database,"n",R57:R58)</f>
        <v>934</v>
      </c>
      <c r="T58" s="16">
        <f>T57-7</f>
        <v>44483.625</v>
      </c>
      <c r="U58">
        <f>S66</f>
        <v>557</v>
      </c>
      <c r="V58" s="22">
        <f>V56-7</f>
        <v>44510.625</v>
      </c>
      <c r="W58">
        <f>DMAX(_xlnm.Database,"n",V57:V58)</f>
        <v>968</v>
      </c>
      <c r="X58" s="16">
        <f>X57-7</f>
        <v>44482.625</v>
      </c>
      <c r="Y58">
        <f>W66</f>
        <v>638</v>
      </c>
      <c r="Z58" s="22">
        <f>Z56-7</f>
        <v>44509.625</v>
      </c>
      <c r="AA58">
        <f>DMAX(_xlnm.Database,"n",Z57:Z58)</f>
        <v>833</v>
      </c>
      <c r="AB58" s="16">
        <f>AB57-7</f>
        <v>44481.625</v>
      </c>
      <c r="AC58">
        <f>AA66</f>
        <v>610</v>
      </c>
      <c r="AD58" s="22">
        <f>AD56-7</f>
        <v>44508.625</v>
      </c>
      <c r="AE58">
        <f>DMAX(_xlnm.Database,"n",AD57:AD58)</f>
        <v>1121</v>
      </c>
      <c r="AF58" s="16">
        <f>AF57-7</f>
        <v>44480.625</v>
      </c>
      <c r="AG58">
        <f>AE66</f>
        <v>691</v>
      </c>
      <c r="AH58" s="16"/>
      <c r="AI58"/>
      <c r="AK58" s="16"/>
      <c r="AL58"/>
      <c r="AN58" s="16"/>
      <c r="AO58"/>
      <c r="AQ58" s="16"/>
      <c r="AR58"/>
      <c r="AT58" s="16"/>
    </row>
    <row r="59" spans="2:46">
      <c r="B59" s="13" t="s">
        <v>7</v>
      </c>
      <c r="D59" s="16">
        <f t="shared" si="8"/>
        <v>44480.625</v>
      </c>
      <c r="E59">
        <f>C68</f>
        <v>691</v>
      </c>
      <c r="F59" s="13" t="s">
        <v>7</v>
      </c>
      <c r="H59" s="16">
        <f t="shared" si="9"/>
        <v>44479.625</v>
      </c>
      <c r="I59">
        <f>G68</f>
        <v>399</v>
      </c>
      <c r="J59" s="13" t="s">
        <v>7</v>
      </c>
      <c r="L59" s="16">
        <f t="shared" si="10"/>
        <v>44478.625</v>
      </c>
      <c r="M59">
        <f>K68</f>
        <v>426</v>
      </c>
      <c r="N59" t="s">
        <v>7</v>
      </c>
      <c r="P59" s="16">
        <f t="shared" si="11"/>
        <v>44477.625</v>
      </c>
      <c r="Q59">
        <f>O68</f>
        <v>596</v>
      </c>
      <c r="R59" t="s">
        <v>7</v>
      </c>
      <c r="T59" s="16">
        <f t="shared" si="12"/>
        <v>44476.625</v>
      </c>
      <c r="U59">
        <f>S68</f>
        <v>611</v>
      </c>
      <c r="V59" t="s">
        <v>7</v>
      </c>
      <c r="W59"/>
      <c r="X59" s="16">
        <f t="shared" si="13"/>
        <v>44475.625</v>
      </c>
      <c r="Y59">
        <f>W68</f>
        <v>746</v>
      </c>
      <c r="Z59" t="s">
        <v>7</v>
      </c>
      <c r="AB59" s="16">
        <f t="shared" si="14"/>
        <v>44474.625</v>
      </c>
      <c r="AC59">
        <f>AA68</f>
        <v>729</v>
      </c>
      <c r="AD59" t="s">
        <v>7</v>
      </c>
      <c r="AF59" s="16">
        <f t="shared" si="15"/>
        <v>44473.625</v>
      </c>
      <c r="AG59">
        <f>AE68</f>
        <v>742</v>
      </c>
      <c r="AH59" s="16"/>
      <c r="AI59"/>
      <c r="AK59" s="16"/>
      <c r="AL59"/>
      <c r="AN59" s="16"/>
      <c r="AO59"/>
      <c r="AQ59" s="16"/>
      <c r="AR59"/>
      <c r="AT59" s="16"/>
    </row>
    <row r="60" spans="2:46">
      <c r="B60" s="13">
        <f>B58-7</f>
        <v>44508.625</v>
      </c>
      <c r="C60">
        <f>DMAX(_xlnm.Database,"n",B59:B60)</f>
        <v>1121</v>
      </c>
      <c r="D60" s="16"/>
      <c r="F60" s="13">
        <f>F58-7</f>
        <v>44507.625</v>
      </c>
      <c r="G60">
        <f>DMAX(_xlnm.Database,"n",F59:F60)</f>
        <v>508</v>
      </c>
      <c r="H60" s="16"/>
      <c r="J60" s="13">
        <f>J58-7</f>
        <v>44506.625</v>
      </c>
      <c r="K60">
        <f>DMAX(_xlnm.Database,"n",J59:J60)</f>
        <v>514</v>
      </c>
      <c r="L60" s="16"/>
      <c r="N60" s="22">
        <f>N58-7</f>
        <v>44505.625</v>
      </c>
      <c r="O60">
        <f>DMAX(_xlnm.Database,"n",N59:N60)</f>
        <v>843</v>
      </c>
      <c r="P60" s="16"/>
      <c r="Q60"/>
      <c r="R60" s="22">
        <f>R58-7</f>
        <v>44504.625</v>
      </c>
      <c r="S60">
        <f>DMAX(_xlnm.Database,"n",R59:R60)</f>
        <v>804</v>
      </c>
      <c r="V60" s="22">
        <f>V58-7</f>
        <v>44503.625</v>
      </c>
      <c r="W60">
        <f>DMAX(_xlnm.Database,"n",V59:V60)</f>
        <v>770</v>
      </c>
      <c r="X60" s="16"/>
      <c r="Z60" s="22">
        <f>Z58-7</f>
        <v>44502.625</v>
      </c>
      <c r="AA60">
        <f>DMAX(_xlnm.Database,"n",Z59:Z60)</f>
        <v>756</v>
      </c>
      <c r="AB60" s="16"/>
      <c r="AC60"/>
      <c r="AD60" s="22">
        <f>AD58-7</f>
        <v>44501.625</v>
      </c>
      <c r="AE60">
        <f>DMAX(_xlnm.Database,"n",AD59:AD60)</f>
        <v>973</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44501.625</v>
      </c>
      <c r="C62">
        <f>DMAX(_xlnm.Database,"n",B61:B62)</f>
        <v>973</v>
      </c>
      <c r="D62" s="16"/>
      <c r="F62" s="13">
        <f>F60-7</f>
        <v>44500.625</v>
      </c>
      <c r="G62">
        <f>DMAX(_xlnm.Database,"n",F61:F62)</f>
        <v>439</v>
      </c>
      <c r="H62" s="16"/>
      <c r="J62" s="13">
        <f>J60-7</f>
        <v>44499.625</v>
      </c>
      <c r="K62">
        <f>DMAX(_xlnm.Database,"n",J61:J62)</f>
        <v>402</v>
      </c>
      <c r="L62" s="16"/>
      <c r="N62" s="22">
        <f>N60-7</f>
        <v>44498.625</v>
      </c>
      <c r="O62">
        <f>DMAX(_xlnm.Database,"n",N61:N62)</f>
        <v>656</v>
      </c>
      <c r="P62" s="16"/>
      <c r="Q62"/>
      <c r="R62" s="22">
        <f>R60-7</f>
        <v>44497.625</v>
      </c>
      <c r="S62">
        <f>DMAX(_xlnm.Database,"n",R61:R62)</f>
        <v>589</v>
      </c>
      <c r="V62" s="22">
        <f>V60-7</f>
        <v>44496.625</v>
      </c>
      <c r="W62">
        <f>DMAX(_xlnm.Database,"n",V61:V62)</f>
        <v>640</v>
      </c>
      <c r="X62" s="16"/>
      <c r="Z62" s="22">
        <f>Z60-7</f>
        <v>44495.625</v>
      </c>
      <c r="AA62">
        <f>DMAX(_xlnm.Database,"n",Z61:Z62)</f>
        <v>679</v>
      </c>
      <c r="AB62" s="16"/>
      <c r="AC62"/>
      <c r="AD62" s="22">
        <f>AD60-7</f>
        <v>44494.625</v>
      </c>
      <c r="AE62">
        <f>DMAX(_xlnm.Database,"n",AD61:AD62)</f>
        <v>793</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44494.625</v>
      </c>
      <c r="C64">
        <f>DMAX(_xlnm.Database,"n",B63:B64)</f>
        <v>793</v>
      </c>
      <c r="D64" s="16"/>
      <c r="F64" s="13">
        <f>F62-7</f>
        <v>44493.625</v>
      </c>
      <c r="G64">
        <f>DMAX(_xlnm.Database,"n",F63:F64)</f>
        <v>389</v>
      </c>
      <c r="H64" s="16"/>
      <c r="J64" s="13">
        <f>J62-7</f>
        <v>44492.625</v>
      </c>
      <c r="K64">
        <f>DMAX(_xlnm.Database,"n",J63:J64)</f>
        <v>374</v>
      </c>
      <c r="L64" s="16"/>
      <c r="N64" s="22">
        <f>N62-7</f>
        <v>44491.625</v>
      </c>
      <c r="O64">
        <f>DMAX(_xlnm.Database,"n",N63:N64)</f>
        <v>580</v>
      </c>
      <c r="P64" s="16"/>
      <c r="Q64"/>
      <c r="R64" s="22">
        <f>R62-7</f>
        <v>44490.625</v>
      </c>
      <c r="S64">
        <f>DMAX(_xlnm.Database,"n",R63:R64)</f>
        <v>623</v>
      </c>
      <c r="V64" s="22">
        <f>V62-7</f>
        <v>44489.625</v>
      </c>
      <c r="W64">
        <f>DMAX(_xlnm.Database,"n",V63:V64)</f>
        <v>516</v>
      </c>
      <c r="X64" s="16"/>
      <c r="Z64" s="22">
        <f>Z62-7</f>
        <v>44488.625</v>
      </c>
      <c r="AA64">
        <f>DMAX(_xlnm.Database,"n",Z63:Z64)</f>
        <v>550</v>
      </c>
      <c r="AB64" s="16"/>
      <c r="AC64"/>
      <c r="AD64" s="22">
        <f>AD62-7</f>
        <v>44487.625</v>
      </c>
      <c r="AE64">
        <f>DMAX(_xlnm.Database,"n",AD63:AD64)</f>
        <v>661</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44487.625</v>
      </c>
      <c r="C66">
        <f>DMAX(_xlnm.Database,"n",B65:B66)</f>
        <v>661</v>
      </c>
      <c r="D66" s="16"/>
      <c r="F66" s="13">
        <f>F64-7</f>
        <v>44486.625</v>
      </c>
      <c r="G66">
        <f>DMAX(_xlnm.Database,"n",F65:F66)</f>
        <v>320</v>
      </c>
      <c r="H66" s="16"/>
      <c r="J66" s="13">
        <f>J64-7</f>
        <v>44485.625</v>
      </c>
      <c r="K66">
        <f>DMAX(_xlnm.Database,"n",J65:J66)</f>
        <v>344</v>
      </c>
      <c r="L66" s="16"/>
      <c r="N66" s="22">
        <f>N64-7</f>
        <v>44484.625</v>
      </c>
      <c r="O66">
        <f>DMAX(_xlnm.Database,"n",N65:N66)</f>
        <v>562</v>
      </c>
      <c r="P66" s="16"/>
      <c r="Q66"/>
      <c r="R66" s="22">
        <f>R64-7</f>
        <v>44483.625</v>
      </c>
      <c r="S66">
        <f>DMAX(_xlnm.Database,"n",R65:R66)</f>
        <v>557</v>
      </c>
      <c r="V66" s="22">
        <f>V64-7</f>
        <v>44482.625</v>
      </c>
      <c r="W66">
        <f>DMAX(_xlnm.Database,"n",V65:V66)</f>
        <v>638</v>
      </c>
      <c r="X66" s="16"/>
      <c r="Z66" s="22">
        <f>Z64-7</f>
        <v>44481.625</v>
      </c>
      <c r="AA66">
        <f>DMAX(_xlnm.Database,"n",Z65:Z66)</f>
        <v>610</v>
      </c>
      <c r="AB66" s="16"/>
      <c r="AC66"/>
      <c r="AD66" s="22">
        <f>AD64-7</f>
        <v>44480.625</v>
      </c>
      <c r="AE66">
        <f>DMAX(_xlnm.Database,"n",AD65:AD66)</f>
        <v>691</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44480.625</v>
      </c>
      <c r="C68">
        <f>DMAX(_xlnm.Database,"n",B67:B68)</f>
        <v>691</v>
      </c>
      <c r="D68" s="16"/>
      <c r="F68" s="13">
        <f>F66-7</f>
        <v>44479.625</v>
      </c>
      <c r="G68">
        <f>DMAX(_xlnm.Database,"n",F67:F68)</f>
        <v>399</v>
      </c>
      <c r="H68" s="16"/>
      <c r="J68" s="13">
        <f>J66-7</f>
        <v>44478.625</v>
      </c>
      <c r="K68">
        <f>DMAX(_xlnm.Database,"n",J67:J68)</f>
        <v>426</v>
      </c>
      <c r="L68" s="16"/>
      <c r="N68" s="22">
        <f>N66-7</f>
        <v>44477.625</v>
      </c>
      <c r="O68">
        <f>DMAX(_xlnm.Database,"n",N67:N68)</f>
        <v>596</v>
      </c>
      <c r="P68" s="16"/>
      <c r="Q68"/>
      <c r="R68" s="22">
        <f>R66-7</f>
        <v>44476.625</v>
      </c>
      <c r="S68">
        <f>DMAX(_xlnm.Database,"n",R67:R68)</f>
        <v>611</v>
      </c>
      <c r="V68" s="22">
        <f>V66-7</f>
        <v>44475.625</v>
      </c>
      <c r="W68">
        <f>DMAX(_xlnm.Database,"n",V67:V68)</f>
        <v>746</v>
      </c>
      <c r="X68" s="16"/>
      <c r="Z68" s="22">
        <f>Z66-7</f>
        <v>44474.625</v>
      </c>
      <c r="AA68">
        <f>DMAX(_xlnm.Database,"n",Z67:Z68)</f>
        <v>729</v>
      </c>
      <c r="AB68" s="16"/>
      <c r="AC68"/>
      <c r="AD68" s="22">
        <f>AD66-7</f>
        <v>44473.625</v>
      </c>
      <c r="AE68">
        <f>DMAX(_xlnm.Database,"n",AD67:AD68)</f>
        <v>742</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44543.625</v>
      </c>
      <c r="C73">
        <f>DMAX(_xlnm.Database,"n",B72:B73)</f>
        <v>2319</v>
      </c>
      <c r="D73" s="21">
        <f>B73</f>
        <v>44543.625</v>
      </c>
      <c r="E73">
        <f>C73</f>
        <v>2319</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44542.625</v>
      </c>
      <c r="E74">
        <f>C75</f>
        <v>1266</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44542.625</v>
      </c>
      <c r="C75">
        <f>DMAX(_xlnm.Database,"n",B74:B75)</f>
        <v>1266</v>
      </c>
      <c r="D75" s="16">
        <f t="shared" ref="D75:D109" si="16">D74-1</f>
        <v>44541.625</v>
      </c>
      <c r="E75">
        <f>C77</f>
        <v>1115</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44540.625</v>
      </c>
      <c r="E76">
        <f>C79</f>
        <v>1800</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44541.625</v>
      </c>
      <c r="C77">
        <f>DMAX(_xlnm.Database,"n",B76:B77)</f>
        <v>1115</v>
      </c>
      <c r="D77" s="16">
        <f t="shared" si="16"/>
        <v>44539.625</v>
      </c>
      <c r="E77">
        <f>C81</f>
        <v>1696</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44538.625</v>
      </c>
      <c r="E78">
        <f>C83</f>
        <v>1721</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44540.625</v>
      </c>
      <c r="C79">
        <f>DMAX(_xlnm.Database,"n",B78:B79)</f>
        <v>1800</v>
      </c>
      <c r="D79" s="16">
        <f t="shared" si="16"/>
        <v>44537.625</v>
      </c>
      <c r="E79">
        <f>C85</f>
        <v>1914</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44536.625</v>
      </c>
      <c r="E80">
        <f>C87</f>
        <v>1075</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44539.625</v>
      </c>
      <c r="C81">
        <f>DMAX(_xlnm.Database,"n",B80:B81)</f>
        <v>1696</v>
      </c>
      <c r="D81" s="16">
        <f t="shared" si="16"/>
        <v>44535.625</v>
      </c>
      <c r="E81">
        <f>C89</f>
        <v>1003</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44534.625</v>
      </c>
      <c r="E82">
        <f>C91</f>
        <v>976</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44538.625</v>
      </c>
      <c r="C83">
        <f>DMAX(_xlnm.Database,"n",B82:B83)</f>
        <v>1721</v>
      </c>
      <c r="D83" s="16">
        <f t="shared" si="16"/>
        <v>44533.625</v>
      </c>
      <c r="E83">
        <f>C93</f>
        <v>1525</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44532.625</v>
      </c>
      <c r="E84">
        <f>C95</f>
        <v>1464</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44537.625</v>
      </c>
      <c r="C85">
        <f>DMAX(_xlnm.Database,"n",B84:B85)</f>
        <v>1914</v>
      </c>
      <c r="D85" s="16">
        <f t="shared" si="16"/>
        <v>44531.625</v>
      </c>
      <c r="E85">
        <f>C97</f>
        <v>1442</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44530.625</v>
      </c>
      <c r="E86">
        <f>C99</f>
        <v>1423</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44536.625</v>
      </c>
      <c r="C87">
        <f>DMAX(_xlnm.Database,"n",B86:B87)</f>
        <v>1075</v>
      </c>
      <c r="D87" s="16">
        <f t="shared" si="16"/>
        <v>44529.625</v>
      </c>
      <c r="E87">
        <f>C101</f>
        <v>1685</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44528.625</v>
      </c>
      <c r="E88">
        <f>C103</f>
        <v>787</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44535.625</v>
      </c>
      <c r="C89">
        <f>DMAX(_xlnm.Database,"n",B88:B89)</f>
        <v>1003</v>
      </c>
      <c r="D89" s="16">
        <f t="shared" si="16"/>
        <v>44527.625</v>
      </c>
      <c r="E89">
        <f>C105</f>
        <v>789</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44526.625</v>
      </c>
      <c r="E90">
        <f>C107</f>
        <v>1299</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44534.625</v>
      </c>
      <c r="C91">
        <f>DMAX(_xlnm.Database,"n",B90:B91)</f>
        <v>976</v>
      </c>
      <c r="D91" s="16">
        <f t="shared" si="16"/>
        <v>44525.625</v>
      </c>
      <c r="E91">
        <f>C109</f>
        <v>1269</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44524.625</v>
      </c>
      <c r="E92">
        <f>C111</f>
        <v>1251</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44533.625</v>
      </c>
      <c r="C93">
        <f>DMAX(_xlnm.Database,"n",B92:B93)</f>
        <v>1525</v>
      </c>
      <c r="D93" s="16">
        <f t="shared" si="16"/>
        <v>44523.625</v>
      </c>
      <c r="E93">
        <f>C113</f>
        <v>1334</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44522.625</v>
      </c>
      <c r="E94">
        <f>C115</f>
        <v>1416</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44532.625</v>
      </c>
      <c r="C95">
        <f>DMAX(_xlnm.Database,"n",B94:B95)</f>
        <v>1464</v>
      </c>
      <c r="D95" s="16">
        <f t="shared" si="16"/>
        <v>44521.625</v>
      </c>
      <c r="E95">
        <f>C117</f>
        <v>675</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44520.625</v>
      </c>
      <c r="E96">
        <f>C119</f>
        <v>709</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44531.625</v>
      </c>
      <c r="C97">
        <f>DMAX(_xlnm.Database,"n",B96:B97)</f>
        <v>1442</v>
      </c>
      <c r="D97" s="16">
        <f t="shared" si="16"/>
        <v>44519.625</v>
      </c>
      <c r="E97">
        <f>C121</f>
        <v>1273</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44518.625</v>
      </c>
      <c r="E98">
        <f>C123</f>
        <v>1213</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44530.625</v>
      </c>
      <c r="C99">
        <f>DMAX(_xlnm.Database,"n",B98:B99)</f>
        <v>1423</v>
      </c>
      <c r="D99" s="16">
        <f t="shared" si="16"/>
        <v>44517.625</v>
      </c>
      <c r="E99">
        <f>C125</f>
        <v>1168</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44516.625</v>
      </c>
      <c r="E100">
        <f>C127</f>
        <v>1199</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44529.625</v>
      </c>
      <c r="C101">
        <f>DMAX(_xlnm.Database,"n",B100:B101)</f>
        <v>1685</v>
      </c>
      <c r="D101" s="16">
        <f t="shared" si="16"/>
        <v>44515.625</v>
      </c>
      <c r="E101">
        <f>C129</f>
        <v>1252</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44514.625</v>
      </c>
      <c r="E102">
        <f>C131</f>
        <v>572</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44528.625</v>
      </c>
      <c r="C103">
        <f>DMAX(_xlnm.Database,"n",B102:B103)</f>
        <v>787</v>
      </c>
      <c r="D103" s="16">
        <f t="shared" si="16"/>
        <v>44513.625</v>
      </c>
      <c r="E103">
        <f>C133</f>
        <v>620</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44512.625</v>
      </c>
      <c r="E104">
        <f>C135</f>
        <v>946</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44527.625</v>
      </c>
      <c r="C105">
        <f>DMAX(_xlnm.Database,"n",B104:B105)</f>
        <v>789</v>
      </c>
      <c r="D105" s="16">
        <f t="shared" si="16"/>
        <v>44511.625</v>
      </c>
      <c r="E105">
        <f>C137</f>
        <v>934</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44510.625</v>
      </c>
      <c r="E106">
        <f>C139</f>
        <v>968</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44526.625</v>
      </c>
      <c r="C107">
        <f>DMAX(_xlnm.Database,"n",B106:B107)</f>
        <v>1299</v>
      </c>
      <c r="D107" s="16">
        <f t="shared" si="16"/>
        <v>44509.625</v>
      </c>
      <c r="E107">
        <f>C141</f>
        <v>833</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44508.625</v>
      </c>
      <c r="E108">
        <f>C143</f>
        <v>1121</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44525.625</v>
      </c>
      <c r="C109">
        <f>DMAX(_xlnm.Database,"n",B108:B109)</f>
        <v>1269</v>
      </c>
      <c r="D109" s="16">
        <f t="shared" si="16"/>
        <v>44507.625</v>
      </c>
      <c r="E109">
        <f>C145</f>
        <v>508</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44524.625</v>
      </c>
      <c r="C111">
        <f>DMAX(_xlnm.Database,"n",B110:B111)</f>
        <v>1251</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44523.625</v>
      </c>
      <c r="C113">
        <f>DMAX(_xlnm.Database,"n",B112:B113)</f>
        <v>1334</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44522.625</v>
      </c>
      <c r="C115">
        <f>DMAX(_xlnm.Database,"n",B114:B115)</f>
        <v>1416</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44521.625</v>
      </c>
      <c r="C117">
        <f>DMAX(_xlnm.Database,"n",B116:B117)</f>
        <v>675</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44520.625</v>
      </c>
      <c r="C119">
        <f>DMAX(_xlnm.Database,"n",B118:B119)</f>
        <v>709</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44519.625</v>
      </c>
      <c r="C121">
        <f>DMAX(_xlnm.Database,"n",B120:B121)</f>
        <v>1273</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44518.625</v>
      </c>
      <c r="C123">
        <f>DMAX(_xlnm.Database,"n",B122:B123)</f>
        <v>1213</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44517.625</v>
      </c>
      <c r="C125">
        <f>DMAX(_xlnm.Database,"n",B124:B125)</f>
        <v>1168</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44516.625</v>
      </c>
      <c r="C127">
        <f>DMAX(_xlnm.Database,"n",B126:B127)</f>
        <v>1199</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44515.625</v>
      </c>
      <c r="C129">
        <f>DMAX(_xlnm.Database,"n",B128:B129)</f>
        <v>1252</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44514.625</v>
      </c>
      <c r="C131">
        <f>DMAX(_xlnm.Database,"n",B130:B131)</f>
        <v>572</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44513.625</v>
      </c>
      <c r="C133">
        <f>DMAX(_xlnm.Database,"n",B132:B133)</f>
        <v>620</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44512.625</v>
      </c>
      <c r="C135">
        <f>DMAX(_xlnm.Database,"n",B134:B135)</f>
        <v>946</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44511.625</v>
      </c>
      <c r="C137">
        <f>DMAX(_xlnm.Database,"n",B136:B137)</f>
        <v>934</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44510.625</v>
      </c>
      <c r="C139">
        <f>DMAX(_xlnm.Database,"n",B138:B139)</f>
        <v>968</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44509.625</v>
      </c>
      <c r="C141">
        <f>DMAX(_xlnm.Database,"n",B140:B141)</f>
        <v>833</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44508.625</v>
      </c>
      <c r="C143">
        <f>DMAX(_xlnm.Database,"n",B142:B143)</f>
        <v>1121</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44507.625</v>
      </c>
      <c r="C145">
        <f>DMAX(_xlnm.Database,"n",B144:B145)</f>
        <v>508</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30480</xdr:colOff>
                    <xdr:row>0</xdr:row>
                    <xdr:rowOff>114300</xdr:rowOff>
                  </from>
                  <to>
                    <xdr:col>3</xdr:col>
                    <xdr:colOff>312420</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4" workbookViewId="0">
      <selection activeCell="A19" sqref="A19"/>
    </sheetView>
  </sheetViews>
  <sheetFormatPr defaultRowHeight="14.4"/>
  <cols>
    <col min="1" max="1" width="6.109375" customWidth="1"/>
    <col min="16" max="17" width="10.109375" bestFit="1" customWidth="1"/>
    <col min="18" max="18" width="9.88671875" customWidth="1"/>
    <col min="19" max="19" width="10.10937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380.38235294117646</v>
      </c>
      <c r="O25" s="32">
        <f>T25</f>
        <v>2319</v>
      </c>
      <c r="P25" s="16">
        <f>S25</f>
        <v>44543.625</v>
      </c>
      <c r="R25" s="13"/>
      <c r="S25" s="30">
        <f>DMAX(_xlnm.Database,"aika",T24:U25)</f>
        <v>44543.625</v>
      </c>
      <c r="T25" s="3">
        <f>DMAX(_xlnm.Database,"n",U24:U25)</f>
        <v>2319</v>
      </c>
      <c r="U25">
        <v>1</v>
      </c>
      <c r="V25" s="3"/>
    </row>
    <row r="26" spans="2:22">
      <c r="L26">
        <v>2</v>
      </c>
      <c r="M26" t="s">
        <v>431</v>
      </c>
      <c r="N26" s="29">
        <f>AVERAGEIF(Kaikki!E:E,L26,DataN)</f>
        <v>341.11764705882354</v>
      </c>
      <c r="O26" s="32">
        <f>T27</f>
        <v>1914</v>
      </c>
      <c r="P26" s="16">
        <f>S27</f>
        <v>44537.625</v>
      </c>
      <c r="R26" s="13"/>
      <c r="T26" s="3" t="s">
        <v>290</v>
      </c>
      <c r="U26" t="s">
        <v>299</v>
      </c>
    </row>
    <row r="27" spans="2:22">
      <c r="L27">
        <v>3</v>
      </c>
      <c r="M27" t="s">
        <v>432</v>
      </c>
      <c r="N27" s="29">
        <f>AVERAGEIF(Kaikki!E:E,L27,DataN)</f>
        <v>339.64077669902912</v>
      </c>
      <c r="O27" s="32">
        <f>T29</f>
        <v>1721</v>
      </c>
      <c r="P27" s="16">
        <f>S29</f>
        <v>44538.625</v>
      </c>
      <c r="R27" s="13"/>
      <c r="S27" s="30">
        <f>DMAX(_xlnm.Database,"aika",T26:U27)</f>
        <v>44537.625</v>
      </c>
      <c r="T27" s="3">
        <f>DMAX(_xlnm.Database,"n",U26:U27)</f>
        <v>1914</v>
      </c>
      <c r="U27">
        <v>2</v>
      </c>
      <c r="V27" s="3"/>
    </row>
    <row r="28" spans="2:22">
      <c r="L28">
        <v>4</v>
      </c>
      <c r="M28" t="s">
        <v>433</v>
      </c>
      <c r="N28" s="29">
        <f>AVERAGEIF(Kaikki!E:E,L28,DataN)</f>
        <v>319.79611650485435</v>
      </c>
      <c r="O28" s="32">
        <f>T31</f>
        <v>1696</v>
      </c>
      <c r="P28" s="16">
        <f>S31</f>
        <v>44539.625</v>
      </c>
      <c r="R28" s="13"/>
      <c r="T28" s="3" t="s">
        <v>290</v>
      </c>
      <c r="U28" t="s">
        <v>299</v>
      </c>
    </row>
    <row r="29" spans="2:22">
      <c r="L29">
        <v>5</v>
      </c>
      <c r="M29" t="s">
        <v>434</v>
      </c>
      <c r="N29" s="29">
        <f>AVERAGEIF(Kaikki!E:E,L29,DataN)</f>
        <v>305.33980582524271</v>
      </c>
      <c r="O29" s="32">
        <f>T33</f>
        <v>1800</v>
      </c>
      <c r="P29" s="16">
        <f>S33</f>
        <v>44540.625</v>
      </c>
      <c r="R29" s="13"/>
      <c r="S29" s="30">
        <f>DMAX(_xlnm.Database,"aika",T28:U29)</f>
        <v>44538.625</v>
      </c>
      <c r="T29" s="3">
        <f>DMAX(_xlnm.Database,"n",U28:U29)</f>
        <v>1721</v>
      </c>
      <c r="U29">
        <v>3</v>
      </c>
      <c r="V29" s="3"/>
    </row>
    <row r="30" spans="2:22">
      <c r="L30">
        <v>6</v>
      </c>
      <c r="M30" t="s">
        <v>435</v>
      </c>
      <c r="N30" s="29">
        <f>AVERAGEIF(Kaikki!E:E,L30,DataN)</f>
        <v>193.07843137254903</v>
      </c>
      <c r="O30" s="32">
        <f>T35</f>
        <v>1115</v>
      </c>
      <c r="P30" s="16">
        <f>S35</f>
        <v>44541.625</v>
      </c>
      <c r="R30" s="13"/>
      <c r="T30" s="3" t="s">
        <v>290</v>
      </c>
      <c r="U30" t="s">
        <v>299</v>
      </c>
    </row>
    <row r="31" spans="2:22">
      <c r="L31">
        <v>7</v>
      </c>
      <c r="M31" t="s">
        <v>436</v>
      </c>
      <c r="N31" s="29">
        <f>AVERAGEIF(Kaikki!E:E,L31,DataN)</f>
        <v>202.5392156862745</v>
      </c>
      <c r="O31" s="32">
        <f>T37</f>
        <v>1266</v>
      </c>
      <c r="P31" s="16">
        <f>S37</f>
        <v>44542.625</v>
      </c>
      <c r="R31" s="13"/>
      <c r="S31" s="30">
        <f>DMAX(_xlnm.Database,"aika",T30:U31)</f>
        <v>44539.625</v>
      </c>
      <c r="T31" s="3">
        <f>DMAX(_xlnm.Database,"n",U30:U31)</f>
        <v>1696</v>
      </c>
      <c r="U31">
        <v>4</v>
      </c>
      <c r="V31" s="3"/>
    </row>
    <row r="32" spans="2:22">
      <c r="R32" s="13"/>
      <c r="T32" s="3" t="s">
        <v>290</v>
      </c>
      <c r="U32" t="s">
        <v>299</v>
      </c>
    </row>
    <row r="33" spans="2:21">
      <c r="L33" t="s">
        <v>453</v>
      </c>
      <c r="R33" s="13"/>
      <c r="S33" s="30">
        <f>DMAX(_xlnm.Database,"aika",T32:U33)</f>
        <v>44540.625</v>
      </c>
      <c r="T33" s="3">
        <f>DMAX(_xlnm.Database,"n",U32:U33)</f>
        <v>1800</v>
      </c>
      <c r="U33">
        <v>5</v>
      </c>
    </row>
    <row r="34" spans="2:21">
      <c r="R34" s="13"/>
      <c r="T34" s="3" t="s">
        <v>290</v>
      </c>
      <c r="U34" t="s">
        <v>299</v>
      </c>
    </row>
    <row r="35" spans="2:21">
      <c r="M35" t="s">
        <v>467</v>
      </c>
      <c r="N35" t="s">
        <v>468</v>
      </c>
      <c r="O35" s="3"/>
      <c r="R35" s="13"/>
      <c r="S35" s="30">
        <f>DMAX(_xlnm.Database,"aika",T34:U35)</f>
        <v>44541.625</v>
      </c>
      <c r="T35" s="3">
        <f>DMAX(_xlnm.Database,"n",U34:U35)</f>
        <v>1115</v>
      </c>
      <c r="U35">
        <v>6</v>
      </c>
    </row>
    <row r="36" spans="2:21">
      <c r="M36" s="33">
        <f>MAX(Kaikki!H$2:H10000)</f>
        <v>10587</v>
      </c>
      <c r="N36" s="30">
        <f>DMAX(_xlnm.Database,"aika",M35:M36)</f>
        <v>44536.625</v>
      </c>
      <c r="O36" s="37"/>
      <c r="R36" s="13"/>
      <c r="T36" s="3" t="s">
        <v>290</v>
      </c>
      <c r="U36" t="s">
        <v>299</v>
      </c>
    </row>
    <row r="37" spans="2:21">
      <c r="R37" s="13"/>
      <c r="S37" s="30">
        <f>DMAX(_xlnm.Database,"aika",T36:U37)</f>
        <v>44542.625</v>
      </c>
      <c r="T37" s="3">
        <f>DMAX(_xlnm.Database,"n",U36:U37)</f>
        <v>1266</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2)</v>
      </c>
    </row>
    <row r="41" spans="2:21">
      <c r="B41" t="str">
        <f ca="1">"Uusia COVID-19 tapauksia "&amp;TEXT(MAX(Lisäys!N:N),"[$-40B]p.k.vvvv")&amp;"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17.12.2021 n=2079 (joista vanhoja yli 28 päivän takaisia kirjauksia 2). Yhteensä N=213318. Edelliset 7 päivää 8901 (päivittyy), 10185 (muutos 12 %), 9115 (15 %) ja 7953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N=213318. Uusimmat 17.12.2021 lisäykset 2079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17.12.2021 n=2079 (joista vanhoja yli 28 päivän takaisia kirjauksia 2). Yhteensä N=213318. Melko pysyvät 7 päivää 8.12-14.12 yhteensä 11669 (muutos 24 %), aiemmat 7 päivää 9399 (11 %) ja 8503 https://github.com/jussivirkkala/excel/tree/master/hs-koronavirus-avoindata</v>
      </c>
    </row>
    <row r="78" spans="1:2">
      <c r="A78" t="s">
        <v>291</v>
      </c>
    </row>
    <row r="80" spans="1:2" ht="18">
      <c r="B80" s="23" t="str">
        <f>" COVID-19 tapauksia 7 päivän välein "&amp;TEXT(Lisäys!B73,"p.k.vvvv")&amp;" saakka (- uusin ... vanhin)."</f>
        <v xml:space="preserve"> COVID-19 tapauksia 7 päivän välein 13.12.2021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106680</xdr:colOff>
                    <xdr:row>1</xdr:row>
                    <xdr:rowOff>76200</xdr:rowOff>
                  </from>
                  <to>
                    <xdr:col>2</xdr:col>
                    <xdr:colOff>449580</xdr:colOff>
                    <xdr:row>3</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2021-12-18T07:25:33Z</dcterms:modified>
</cp:coreProperties>
</file>