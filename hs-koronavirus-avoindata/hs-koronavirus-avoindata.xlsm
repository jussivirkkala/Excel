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dmin\OneDrive\Projects\Covid-2019\excel-github\hs-koronavirus-avoindata\"/>
    </mc:Choice>
  </mc:AlternateContent>
  <xr:revisionPtr revIDLastSave="0" documentId="13_ncr:1_{64C0CADF-0879-46E7-ADF5-D44144CBCA52}" xr6:coauthVersionLast="47" xr6:coauthVersionMax="47" xr10:uidLastSave="{00000000-0000-0000-0000-000000000000}"/>
  <bookViews>
    <workbookView xWindow="810" yWindow="-120" windowWidth="19800" windowHeight="11760" activeTab="6" xr2:uid="{00000000-000D-0000-FFFF-FFFF00000000}"/>
  </bookViews>
  <sheets>
    <sheet name="Ohje" sheetId="3" r:id="rId1"/>
    <sheet name="Tested" sheetId="9" r:id="rId2"/>
    <sheet name="Kaikki" sheetId="1" r:id="rId3"/>
    <sheet name="HUS" sheetId="7" r:id="rId4"/>
    <sheet name="Vertailu" sheetId="8" r:id="rId5"/>
    <sheet name="Lisäys" sheetId="2" r:id="rId6"/>
    <sheet name="Kuvaajat" sheetId="4" r:id="rId7"/>
  </sheets>
  <definedNames>
    <definedName name="_xlnm._FilterDatabase" localSheetId="3" hidden="1">HUS!$A$1:$K$805</definedName>
    <definedName name="_xlnm._FilterDatabase" localSheetId="2" hidden="1">Kaikki!$A$1:$K$805</definedName>
    <definedName name="aika">Kaikki!$F:$F</definedName>
    <definedName name="_xlnm.Database">Kaikki!$A:$H</definedName>
    <definedName name="DataN">Kaikki!$A:$A</definedName>
    <definedName name="N">Lisäys!$D$34</definedName>
    <definedName name="Paivitetty">Kaikki!$J$1</definedName>
    <definedName name="PlotX" localSheetId="3">HUS!$G$2:OFFSET(HUS!$G$2,HUS!$L$1,0)</definedName>
    <definedName name="PlotX" localSheetId="4">Vertailu!$H$2:OFFSET(Vertailu!$H$2,HUS!$L$1,0)</definedName>
    <definedName name="PlotX">Kaikki!$G$2:OFFSET(Kaikki!$G$2,Kaikki!$M$1,0)</definedName>
    <definedName name="PlotY" localSheetId="3">HUS!$A$2:OFFSET(HUS!$A$2,HUS!$L$1,0)</definedName>
    <definedName name="PlotY" localSheetId="4">Vertailu!$A$2:OFFSET(Vertailu!$A$2,HUS!$L$1,0)</definedName>
    <definedName name="PlotY">Kaikki!$A$2:OFFSET(Kaikki!$A$2,Kaikki!$M$1,0)</definedName>
    <definedName name="Previous">Lisäys!$N$7:$P$35</definedName>
    <definedName name="Tapauksia">Kaikki!$I$1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K37" i="2" l="1"/>
  <c r="XH37" i="2"/>
  <c r="XE37" i="2"/>
  <c r="XB37" i="2"/>
  <c r="WY37" i="2"/>
  <c r="WV37" i="2"/>
  <c r="WS37" i="2"/>
  <c r="WP37" i="2"/>
  <c r="WM37" i="2"/>
  <c r="WJ37" i="2"/>
  <c r="WG37" i="2"/>
  <c r="WD37" i="2"/>
  <c r="WA37" i="2"/>
  <c r="VX37" i="2"/>
  <c r="VU37" i="2"/>
  <c r="VR37" i="2"/>
  <c r="VO37" i="2"/>
  <c r="VL37" i="2"/>
  <c r="VI37" i="2"/>
  <c r="VF37" i="2"/>
  <c r="VC37" i="2"/>
  <c r="UZ37" i="2"/>
  <c r="XK36" i="2"/>
  <c r="XH36" i="2"/>
  <c r="XE36" i="2"/>
  <c r="XB36" i="2"/>
  <c r="WY36" i="2"/>
  <c r="WV36" i="2"/>
  <c r="WS36" i="2"/>
  <c r="WP36" i="2"/>
  <c r="WM36" i="2"/>
  <c r="WJ36" i="2"/>
  <c r="WG36" i="2"/>
  <c r="WD36" i="2"/>
  <c r="WA36" i="2"/>
  <c r="VX36" i="2"/>
  <c r="VU36" i="2"/>
  <c r="VR36" i="2"/>
  <c r="VO36" i="2"/>
  <c r="VL36" i="2"/>
  <c r="VI36" i="2"/>
  <c r="VF36" i="2"/>
  <c r="VC36" i="2"/>
  <c r="UZ36" i="2"/>
  <c r="UW37" i="2"/>
  <c r="UW36" i="2"/>
  <c r="UT37" i="2"/>
  <c r="UT36" i="2"/>
  <c r="UQ37" i="2"/>
  <c r="UQ36" i="2"/>
  <c r="UN37" i="2"/>
  <c r="UN36" i="2"/>
  <c r="UK37" i="2"/>
  <c r="UK36" i="2"/>
  <c r="UH37" i="2"/>
  <c r="UH36" i="2"/>
  <c r="UE37" i="2"/>
  <c r="UE36" i="2"/>
  <c r="UB37" i="2"/>
  <c r="UB36" i="2"/>
  <c r="TY37" i="2"/>
  <c r="TY36" i="2"/>
  <c r="TV37" i="2"/>
  <c r="TV36" i="2"/>
  <c r="TS37" i="2"/>
  <c r="TS36" i="2"/>
  <c r="TP37" i="2"/>
  <c r="TP36" i="2"/>
  <c r="TM37" i="2"/>
  <c r="TM36" i="2"/>
  <c r="TJ37" i="2"/>
  <c r="TJ36" i="2"/>
  <c r="TG37" i="2"/>
  <c r="TG36" i="2"/>
  <c r="K1" i="1"/>
  <c r="J1" i="7"/>
  <c r="G2" i="1"/>
  <c r="G3" i="1"/>
  <c r="G4" i="1"/>
  <c r="G5" i="1"/>
  <c r="G6" i="1"/>
  <c r="G7" i="1"/>
  <c r="H7" i="1"/>
  <c r="G8" i="1"/>
  <c r="G9" i="1"/>
  <c r="G10" i="1"/>
  <c r="G11" i="1"/>
  <c r="G12" i="1"/>
  <c r="G13" i="1"/>
  <c r="G14" i="1"/>
  <c r="H14" i="1"/>
  <c r="G15" i="1"/>
  <c r="G16" i="1"/>
  <c r="G17" i="1"/>
  <c r="G18" i="1"/>
  <c r="G19" i="1"/>
  <c r="G20" i="1"/>
  <c r="G21" i="1"/>
  <c r="H21" i="1"/>
  <c r="G22" i="1"/>
  <c r="G23" i="1"/>
  <c r="G24" i="1"/>
  <c r="G25" i="1"/>
  <c r="G26" i="1"/>
  <c r="G27" i="1"/>
  <c r="G28" i="1"/>
  <c r="H28" i="1"/>
  <c r="G29" i="1"/>
  <c r="G30" i="1"/>
  <c r="G31" i="1"/>
  <c r="G32" i="1"/>
  <c r="G33" i="1"/>
  <c r="G34" i="1"/>
  <c r="G35" i="1"/>
  <c r="H35" i="1"/>
  <c r="G36" i="1"/>
  <c r="G37" i="1"/>
  <c r="G38" i="1"/>
  <c r="G39" i="1"/>
  <c r="G40" i="1"/>
  <c r="G41" i="1"/>
  <c r="G42" i="1"/>
  <c r="H42" i="1"/>
  <c r="G43" i="1"/>
  <c r="G44" i="1"/>
  <c r="G45" i="1"/>
  <c r="G46" i="1"/>
  <c r="G47" i="1"/>
  <c r="G48" i="1"/>
  <c r="G49" i="1"/>
  <c r="H49" i="1"/>
  <c r="G50" i="1"/>
  <c r="G51" i="1"/>
  <c r="G52" i="1"/>
  <c r="G53" i="1"/>
  <c r="G54" i="1"/>
  <c r="G55" i="1"/>
  <c r="G56" i="1"/>
  <c r="H56" i="1"/>
  <c r="G57" i="1"/>
  <c r="G58" i="1"/>
  <c r="G59" i="1"/>
  <c r="G60" i="1"/>
  <c r="G61" i="1"/>
  <c r="G62" i="1"/>
  <c r="G63" i="1"/>
  <c r="H63" i="1"/>
  <c r="G64" i="1"/>
  <c r="G65" i="1"/>
  <c r="G66" i="1"/>
  <c r="G67" i="1"/>
  <c r="G68" i="1"/>
  <c r="G69" i="1"/>
  <c r="G70" i="1"/>
  <c r="H70" i="1"/>
  <c r="G71" i="1"/>
  <c r="G72" i="1"/>
  <c r="G73" i="1"/>
  <c r="G74" i="1"/>
  <c r="G75" i="1"/>
  <c r="G76" i="1"/>
  <c r="G77" i="1"/>
  <c r="H77" i="1"/>
  <c r="G78" i="1"/>
  <c r="G79" i="1"/>
  <c r="G80" i="1"/>
  <c r="G81" i="1"/>
  <c r="G82" i="1"/>
  <c r="G83" i="1"/>
  <c r="G84" i="1"/>
  <c r="H84" i="1"/>
  <c r="G85" i="1"/>
  <c r="G86" i="1"/>
  <c r="G87" i="1"/>
  <c r="G88" i="1"/>
  <c r="G89" i="1"/>
  <c r="G90" i="1"/>
  <c r="G91" i="1"/>
  <c r="H91" i="1"/>
  <c r="G92" i="1"/>
  <c r="G93" i="1"/>
  <c r="G94" i="1"/>
  <c r="G95" i="1"/>
  <c r="G96" i="1"/>
  <c r="G97" i="1"/>
  <c r="G98" i="1"/>
  <c r="H98" i="1"/>
  <c r="G99" i="1"/>
  <c r="G100" i="1"/>
  <c r="G101" i="1"/>
  <c r="G102" i="1"/>
  <c r="G103" i="1"/>
  <c r="G104" i="1"/>
  <c r="G105" i="1"/>
  <c r="H105" i="1"/>
  <c r="G106" i="1"/>
  <c r="G107" i="1"/>
  <c r="G108" i="1"/>
  <c r="G109" i="1"/>
  <c r="G110" i="1"/>
  <c r="G111" i="1"/>
  <c r="G112" i="1"/>
  <c r="H112" i="1"/>
  <c r="G113" i="1"/>
  <c r="G114" i="1"/>
  <c r="G115" i="1"/>
  <c r="G116" i="1"/>
  <c r="G117" i="1"/>
  <c r="G118" i="1"/>
  <c r="G119" i="1"/>
  <c r="H119" i="1"/>
  <c r="G120" i="1"/>
  <c r="G121" i="1"/>
  <c r="G122" i="1"/>
  <c r="G123" i="1"/>
  <c r="G124" i="1"/>
  <c r="G125" i="1"/>
  <c r="G126" i="1"/>
  <c r="H126" i="1"/>
  <c r="G127" i="1"/>
  <c r="G128" i="1"/>
  <c r="G129" i="1"/>
  <c r="G130" i="1"/>
  <c r="G131" i="1"/>
  <c r="G132" i="1"/>
  <c r="G133" i="1"/>
  <c r="H133" i="1"/>
  <c r="G134" i="1"/>
  <c r="G135" i="1"/>
  <c r="G136" i="1"/>
  <c r="G137" i="1"/>
  <c r="G138" i="1"/>
  <c r="G139" i="1"/>
  <c r="G140" i="1"/>
  <c r="H140" i="1"/>
  <c r="G141" i="1"/>
  <c r="G142" i="1"/>
  <c r="G143" i="1"/>
  <c r="G144" i="1"/>
  <c r="G145" i="1"/>
  <c r="G146" i="1"/>
  <c r="G147" i="1"/>
  <c r="H147" i="1"/>
  <c r="G148" i="1"/>
  <c r="G149" i="1"/>
  <c r="G150" i="1"/>
  <c r="G151" i="1"/>
  <c r="G152" i="1"/>
  <c r="G153" i="1"/>
  <c r="G154" i="1"/>
  <c r="H154" i="1"/>
  <c r="G155" i="1"/>
  <c r="G156" i="1"/>
  <c r="G157" i="1"/>
  <c r="G158" i="1"/>
  <c r="G159" i="1"/>
  <c r="G160" i="1"/>
  <c r="G161" i="1"/>
  <c r="H161" i="1"/>
  <c r="G162" i="1"/>
  <c r="G163" i="1"/>
  <c r="G164" i="1"/>
  <c r="G165" i="1"/>
  <c r="G166" i="1"/>
  <c r="G167" i="1"/>
  <c r="G168" i="1"/>
  <c r="H168" i="1"/>
  <c r="G169" i="1"/>
  <c r="G170" i="1"/>
  <c r="G171" i="1"/>
  <c r="G172" i="1"/>
  <c r="G173" i="1"/>
  <c r="G174" i="1"/>
  <c r="G175" i="1"/>
  <c r="H175" i="1"/>
  <c r="G176" i="1"/>
  <c r="G177" i="1"/>
  <c r="G178" i="1"/>
  <c r="G179" i="1"/>
  <c r="G180" i="1"/>
  <c r="G181" i="1"/>
  <c r="G182" i="1"/>
  <c r="H182" i="1"/>
  <c r="G183" i="1"/>
  <c r="G184" i="1"/>
  <c r="G185" i="1"/>
  <c r="G186" i="1"/>
  <c r="G187" i="1"/>
  <c r="G188" i="1"/>
  <c r="G189" i="1"/>
  <c r="H189" i="1"/>
  <c r="G190" i="1"/>
  <c r="G191" i="1"/>
  <c r="G192" i="1"/>
  <c r="G193" i="1"/>
  <c r="G194" i="1"/>
  <c r="G195" i="1"/>
  <c r="G196" i="1"/>
  <c r="H196" i="1"/>
  <c r="G197" i="1"/>
  <c r="G198" i="1"/>
  <c r="G199" i="1"/>
  <c r="G200" i="1"/>
  <c r="G201" i="1"/>
  <c r="G202" i="1"/>
  <c r="G203" i="1"/>
  <c r="H203" i="1"/>
  <c r="G204" i="1"/>
  <c r="G205" i="1"/>
  <c r="G206" i="1"/>
  <c r="G207" i="1"/>
  <c r="G208" i="1"/>
  <c r="G209" i="1"/>
  <c r="G210" i="1"/>
  <c r="H210" i="1"/>
  <c r="G211" i="1"/>
  <c r="G212" i="1"/>
  <c r="G213" i="1"/>
  <c r="G214" i="1"/>
  <c r="G215" i="1"/>
  <c r="G216" i="1"/>
  <c r="G217" i="1"/>
  <c r="H217" i="1"/>
  <c r="G218" i="1"/>
  <c r="G219" i="1"/>
  <c r="G220" i="1"/>
  <c r="G221" i="1"/>
  <c r="G222" i="1"/>
  <c r="G223" i="1"/>
  <c r="G224" i="1"/>
  <c r="H224" i="1"/>
  <c r="G225" i="1"/>
  <c r="G226" i="1"/>
  <c r="G227" i="1"/>
  <c r="G228" i="1"/>
  <c r="G229" i="1"/>
  <c r="G230" i="1"/>
  <c r="G231" i="1"/>
  <c r="H231" i="1"/>
  <c r="G232" i="1"/>
  <c r="G233" i="1"/>
  <c r="G234" i="1"/>
  <c r="G235" i="1"/>
  <c r="G236" i="1"/>
  <c r="G237" i="1"/>
  <c r="G238" i="1"/>
  <c r="H238" i="1"/>
  <c r="G239" i="1"/>
  <c r="G240" i="1"/>
  <c r="G241" i="1"/>
  <c r="G242" i="1"/>
  <c r="G243" i="1"/>
  <c r="G244" i="1"/>
  <c r="G245" i="1"/>
  <c r="H245" i="1"/>
  <c r="G246" i="1"/>
  <c r="G247" i="1"/>
  <c r="G248" i="1"/>
  <c r="G249" i="1"/>
  <c r="G250" i="1"/>
  <c r="G251" i="1"/>
  <c r="G252" i="1"/>
  <c r="H252" i="1"/>
  <c r="G253" i="1"/>
  <c r="G254" i="1"/>
  <c r="G255" i="1"/>
  <c r="G256" i="1"/>
  <c r="G257" i="1"/>
  <c r="G258" i="1"/>
  <c r="G259" i="1"/>
  <c r="H259" i="1"/>
  <c r="G260" i="1"/>
  <c r="G261" i="1"/>
  <c r="G262" i="1"/>
  <c r="G263" i="1"/>
  <c r="G264" i="1"/>
  <c r="G265" i="1"/>
  <c r="G266" i="1"/>
  <c r="H266" i="1"/>
  <c r="G267" i="1"/>
  <c r="G268" i="1"/>
  <c r="G269" i="1"/>
  <c r="G270" i="1"/>
  <c r="G271" i="1"/>
  <c r="G272" i="1"/>
  <c r="G273" i="1"/>
  <c r="H273" i="1"/>
  <c r="G274" i="1"/>
  <c r="G275" i="1"/>
  <c r="G276" i="1"/>
  <c r="G277" i="1"/>
  <c r="G278" i="1"/>
  <c r="G279" i="1"/>
  <c r="G280" i="1"/>
  <c r="H280" i="1"/>
  <c r="G281" i="1"/>
  <c r="G282" i="1"/>
  <c r="G283" i="1"/>
  <c r="G284" i="1"/>
  <c r="G285" i="1"/>
  <c r="G286" i="1"/>
  <c r="G287" i="1"/>
  <c r="H287" i="1"/>
  <c r="G288" i="1"/>
  <c r="G289" i="1"/>
  <c r="G290" i="1"/>
  <c r="G291" i="1"/>
  <c r="G292" i="1"/>
  <c r="G293" i="1"/>
  <c r="G294" i="1"/>
  <c r="H294" i="1"/>
  <c r="G295" i="1"/>
  <c r="G296" i="1"/>
  <c r="G297" i="1"/>
  <c r="G298" i="1"/>
  <c r="G299" i="1"/>
  <c r="G300" i="1"/>
  <c r="G301" i="1"/>
  <c r="H301" i="1"/>
  <c r="G302" i="1"/>
  <c r="G303" i="1"/>
  <c r="G304" i="1"/>
  <c r="G305" i="1"/>
  <c r="G306" i="1"/>
  <c r="G307" i="1"/>
  <c r="G308" i="1"/>
  <c r="H308" i="1"/>
  <c r="G309" i="1"/>
  <c r="G310" i="1"/>
  <c r="G311" i="1"/>
  <c r="G312" i="1"/>
  <c r="G313" i="1"/>
  <c r="G314" i="1"/>
  <c r="G315" i="1"/>
  <c r="H315" i="1"/>
  <c r="G316" i="1"/>
  <c r="G317" i="1"/>
  <c r="G318" i="1"/>
  <c r="G319" i="1"/>
  <c r="G320" i="1"/>
  <c r="G321" i="1"/>
  <c r="G322" i="1"/>
  <c r="H322" i="1"/>
  <c r="G323" i="1"/>
  <c r="G324" i="1"/>
  <c r="G325" i="1"/>
  <c r="G326" i="1"/>
  <c r="G327" i="1"/>
  <c r="G328" i="1"/>
  <c r="G329" i="1"/>
  <c r="H329" i="1"/>
  <c r="G330" i="1"/>
  <c r="G331" i="1"/>
  <c r="G332" i="1"/>
  <c r="G333" i="1"/>
  <c r="G334" i="1"/>
  <c r="G335" i="1"/>
  <c r="G336" i="1"/>
  <c r="H336" i="1"/>
  <c r="G337" i="1"/>
  <c r="G338" i="1"/>
  <c r="G339" i="1"/>
  <c r="G340" i="1"/>
  <c r="G341" i="1"/>
  <c r="G342" i="1"/>
  <c r="G343" i="1"/>
  <c r="H343" i="1"/>
  <c r="G344" i="1"/>
  <c r="G345" i="1"/>
  <c r="G346" i="1"/>
  <c r="G347" i="1"/>
  <c r="G348" i="1"/>
  <c r="G349" i="1"/>
  <c r="G350" i="1"/>
  <c r="H350" i="1"/>
  <c r="G351" i="1"/>
  <c r="G352" i="1"/>
  <c r="G353" i="1"/>
  <c r="G354" i="1"/>
  <c r="G355" i="1"/>
  <c r="G356" i="1"/>
  <c r="G357" i="1"/>
  <c r="H357" i="1"/>
  <c r="G358" i="1"/>
  <c r="G359" i="1"/>
  <c r="G360" i="1"/>
  <c r="G361" i="1"/>
  <c r="G362" i="1"/>
  <c r="G363" i="1"/>
  <c r="G364" i="1"/>
  <c r="H364" i="1"/>
  <c r="G365" i="1"/>
  <c r="G366" i="1"/>
  <c r="G367" i="1"/>
  <c r="G368" i="1"/>
  <c r="G369" i="1"/>
  <c r="G370" i="1"/>
  <c r="G371" i="1"/>
  <c r="H371" i="1"/>
  <c r="G372" i="1"/>
  <c r="G373" i="1"/>
  <c r="G374" i="1"/>
  <c r="G375" i="1"/>
  <c r="G376" i="1"/>
  <c r="G377" i="1"/>
  <c r="G378" i="1"/>
  <c r="H378" i="1"/>
  <c r="G379" i="1"/>
  <c r="G380" i="1"/>
  <c r="G381" i="1"/>
  <c r="G382" i="1"/>
  <c r="G383" i="1"/>
  <c r="G384" i="1"/>
  <c r="G385" i="1"/>
  <c r="H385" i="1"/>
  <c r="G386" i="1"/>
  <c r="G387" i="1"/>
  <c r="G388" i="1"/>
  <c r="G389" i="1"/>
  <c r="G390" i="1"/>
  <c r="G391" i="1"/>
  <c r="G392" i="1"/>
  <c r="H392" i="1"/>
  <c r="G393" i="1"/>
  <c r="G394" i="1"/>
  <c r="G395" i="1"/>
  <c r="G396" i="1"/>
  <c r="G397" i="1"/>
  <c r="G398" i="1"/>
  <c r="G399" i="1"/>
  <c r="H399" i="1"/>
  <c r="G400" i="1"/>
  <c r="G401" i="1"/>
  <c r="G402" i="1"/>
  <c r="G403" i="1"/>
  <c r="G404" i="1"/>
  <c r="G405" i="1"/>
  <c r="G406" i="1"/>
  <c r="H406" i="1"/>
  <c r="G407" i="1"/>
  <c r="G408" i="1"/>
  <c r="G409" i="1"/>
  <c r="G410" i="1"/>
  <c r="G411" i="1"/>
  <c r="G412" i="1"/>
  <c r="G413" i="1"/>
  <c r="H413" i="1"/>
  <c r="G414" i="1"/>
  <c r="G415" i="1"/>
  <c r="G416" i="1"/>
  <c r="G417" i="1"/>
  <c r="G418" i="1"/>
  <c r="G419" i="1"/>
  <c r="G420" i="1"/>
  <c r="H420" i="1"/>
  <c r="G421" i="1"/>
  <c r="G422" i="1"/>
  <c r="G423" i="1"/>
  <c r="G424" i="1"/>
  <c r="G425" i="1"/>
  <c r="G426" i="1"/>
  <c r="G427" i="1"/>
  <c r="H427" i="1"/>
  <c r="G428" i="1"/>
  <c r="G429" i="1"/>
  <c r="G430" i="1"/>
  <c r="G431" i="1"/>
  <c r="G432" i="1"/>
  <c r="G433" i="1"/>
  <c r="G434" i="1"/>
  <c r="H434" i="1"/>
  <c r="G435" i="1"/>
  <c r="G436" i="1"/>
  <c r="G437" i="1"/>
  <c r="G438" i="1"/>
  <c r="G439" i="1"/>
  <c r="G440" i="1"/>
  <c r="G441" i="1"/>
  <c r="H441" i="1"/>
  <c r="G442" i="1"/>
  <c r="G443" i="1"/>
  <c r="G444" i="1"/>
  <c r="G445" i="1"/>
  <c r="G446" i="1"/>
  <c r="G447" i="1"/>
  <c r="G448" i="1"/>
  <c r="H448" i="1"/>
  <c r="G449" i="1"/>
  <c r="G450" i="1"/>
  <c r="G451" i="1"/>
  <c r="G452" i="1"/>
  <c r="G453" i="1"/>
  <c r="G454" i="1"/>
  <c r="G455" i="1"/>
  <c r="H455" i="1"/>
  <c r="G456" i="1"/>
  <c r="G457" i="1"/>
  <c r="G458" i="1"/>
  <c r="G459" i="1"/>
  <c r="G460" i="1"/>
  <c r="G461" i="1"/>
  <c r="G462" i="1"/>
  <c r="H462" i="1"/>
  <c r="G463" i="1"/>
  <c r="G464" i="1"/>
  <c r="G465" i="1"/>
  <c r="G466" i="1"/>
  <c r="G467" i="1"/>
  <c r="G468" i="1"/>
  <c r="G469" i="1"/>
  <c r="H469" i="1"/>
  <c r="G470" i="1"/>
  <c r="G471" i="1"/>
  <c r="G472" i="1"/>
  <c r="G473" i="1"/>
  <c r="G474" i="1"/>
  <c r="G475" i="1"/>
  <c r="G476" i="1"/>
  <c r="H476" i="1"/>
  <c r="G477" i="1"/>
  <c r="G478" i="1"/>
  <c r="G479" i="1"/>
  <c r="G480" i="1"/>
  <c r="G481" i="1"/>
  <c r="G482" i="1"/>
  <c r="G483" i="1"/>
  <c r="H483" i="1"/>
  <c r="G484" i="1"/>
  <c r="G485" i="1"/>
  <c r="G486" i="1"/>
  <c r="G487" i="1"/>
  <c r="G488" i="1"/>
  <c r="G489" i="1"/>
  <c r="G490" i="1"/>
  <c r="H490" i="1"/>
  <c r="G491" i="1"/>
  <c r="G492" i="1"/>
  <c r="G493" i="1"/>
  <c r="G494" i="1"/>
  <c r="G495" i="1"/>
  <c r="G496" i="1"/>
  <c r="G497" i="1"/>
  <c r="H497" i="1"/>
  <c r="G498" i="1"/>
  <c r="G499" i="1"/>
  <c r="G500" i="1"/>
  <c r="G501" i="1"/>
  <c r="G502" i="1"/>
  <c r="G503" i="1"/>
  <c r="G504" i="1"/>
  <c r="H504" i="1"/>
  <c r="G505" i="1"/>
  <c r="G506" i="1"/>
  <c r="G507" i="1"/>
  <c r="G508" i="1"/>
  <c r="G509" i="1"/>
  <c r="G510" i="1"/>
  <c r="G511" i="1"/>
  <c r="H511" i="1"/>
  <c r="G512" i="1"/>
  <c r="G513" i="1"/>
  <c r="G514" i="1"/>
  <c r="G515" i="1"/>
  <c r="G516" i="1"/>
  <c r="G517" i="1"/>
  <c r="G518" i="1"/>
  <c r="H518" i="1"/>
  <c r="G519" i="1"/>
  <c r="G520" i="1"/>
  <c r="G521" i="1"/>
  <c r="G522" i="1"/>
  <c r="G523" i="1"/>
  <c r="G524" i="1"/>
  <c r="G525" i="1"/>
  <c r="H525" i="1"/>
  <c r="G526" i="1"/>
  <c r="G527" i="1"/>
  <c r="G528" i="1"/>
  <c r="G529" i="1"/>
  <c r="G530" i="1"/>
  <c r="G531" i="1"/>
  <c r="G532" i="1"/>
  <c r="H532" i="1"/>
  <c r="G533" i="1"/>
  <c r="G534" i="1"/>
  <c r="G535" i="1"/>
  <c r="G536" i="1"/>
  <c r="G537" i="1"/>
  <c r="G538" i="1"/>
  <c r="G539" i="1"/>
  <c r="H539" i="1"/>
  <c r="G540" i="1"/>
  <c r="G541" i="1"/>
  <c r="G542" i="1"/>
  <c r="G543" i="1"/>
  <c r="G544" i="1"/>
  <c r="G545" i="1"/>
  <c r="G546" i="1"/>
  <c r="H546" i="1"/>
  <c r="G547" i="1"/>
  <c r="G548" i="1"/>
  <c r="G549" i="1"/>
  <c r="G550" i="1"/>
  <c r="G551" i="1"/>
  <c r="G552" i="1"/>
  <c r="G553" i="1"/>
  <c r="H553" i="1"/>
  <c r="G554" i="1"/>
  <c r="G555" i="1"/>
  <c r="G556" i="1"/>
  <c r="G557" i="1"/>
  <c r="G558" i="1"/>
  <c r="G559" i="1"/>
  <c r="G560" i="1"/>
  <c r="H560" i="1"/>
  <c r="G561" i="1"/>
  <c r="G562" i="1"/>
  <c r="G563" i="1"/>
  <c r="G564" i="1"/>
  <c r="G565" i="1"/>
  <c r="G566" i="1"/>
  <c r="G567" i="1"/>
  <c r="H567" i="1"/>
  <c r="G568" i="1"/>
  <c r="G569" i="1"/>
  <c r="G570" i="1"/>
  <c r="G571" i="1"/>
  <c r="G572" i="1"/>
  <c r="G573" i="1"/>
  <c r="G574" i="1"/>
  <c r="H574" i="1"/>
  <c r="G575" i="1"/>
  <c r="G576" i="1"/>
  <c r="G577" i="1"/>
  <c r="G578" i="1"/>
  <c r="G579" i="1"/>
  <c r="G580" i="1"/>
  <c r="G581" i="1"/>
  <c r="H581" i="1"/>
  <c r="G582" i="1"/>
  <c r="G583" i="1"/>
  <c r="G584" i="1"/>
  <c r="G585" i="1"/>
  <c r="G586" i="1"/>
  <c r="G587" i="1"/>
  <c r="G588" i="1"/>
  <c r="H588" i="1"/>
  <c r="G589" i="1"/>
  <c r="G590" i="1"/>
  <c r="G591" i="1"/>
  <c r="G592" i="1"/>
  <c r="G593" i="1"/>
  <c r="G594" i="1"/>
  <c r="G595" i="1"/>
  <c r="H595" i="1"/>
  <c r="G596" i="1"/>
  <c r="G597" i="1"/>
  <c r="G598" i="1"/>
  <c r="G599" i="1"/>
  <c r="G600" i="1"/>
  <c r="G601" i="1"/>
  <c r="G602" i="1"/>
  <c r="H602" i="1"/>
  <c r="G603" i="1"/>
  <c r="G604" i="1"/>
  <c r="G605" i="1"/>
  <c r="G606" i="1"/>
  <c r="G607" i="1"/>
  <c r="G608" i="1"/>
  <c r="G609" i="1"/>
  <c r="H609" i="1"/>
  <c r="G610" i="1"/>
  <c r="G611" i="1"/>
  <c r="G612" i="1"/>
  <c r="G613" i="1"/>
  <c r="G614" i="1"/>
  <c r="G615" i="1"/>
  <c r="G616" i="1"/>
  <c r="H616" i="1"/>
  <c r="G617" i="1"/>
  <c r="G618" i="1"/>
  <c r="G619" i="1"/>
  <c r="G620" i="1"/>
  <c r="G621" i="1"/>
  <c r="G622" i="1"/>
  <c r="G623" i="1"/>
  <c r="H623" i="1"/>
  <c r="G624" i="1"/>
  <c r="G625" i="1"/>
  <c r="G626" i="1"/>
  <c r="G627" i="1"/>
  <c r="G628" i="1"/>
  <c r="G629" i="1"/>
  <c r="G630" i="1"/>
  <c r="H630" i="1"/>
  <c r="G631" i="1"/>
  <c r="G632" i="1"/>
  <c r="G633" i="1"/>
  <c r="G634" i="1"/>
  <c r="G635" i="1"/>
  <c r="G636" i="1"/>
  <c r="G637" i="1"/>
  <c r="H637" i="1"/>
  <c r="G638" i="1"/>
  <c r="G639" i="1"/>
  <c r="G640" i="1"/>
  <c r="G641" i="1"/>
  <c r="G642" i="1"/>
  <c r="G643" i="1"/>
  <c r="G644" i="1"/>
  <c r="H644" i="1"/>
  <c r="G645" i="1"/>
  <c r="G646" i="1"/>
  <c r="G647" i="1"/>
  <c r="G648" i="1"/>
  <c r="G649" i="1"/>
  <c r="G650" i="1"/>
  <c r="G651" i="1"/>
  <c r="H651" i="1"/>
  <c r="G652" i="1"/>
  <c r="G653" i="1"/>
  <c r="G654" i="1"/>
  <c r="G655" i="1"/>
  <c r="G656" i="1"/>
  <c r="G657" i="1"/>
  <c r="G658" i="1"/>
  <c r="H658" i="1"/>
  <c r="G659" i="1"/>
  <c r="G660" i="1"/>
  <c r="G661" i="1"/>
  <c r="G662" i="1"/>
  <c r="G663" i="1"/>
  <c r="G664" i="1"/>
  <c r="G665" i="1"/>
  <c r="H665" i="1"/>
  <c r="G666" i="1"/>
  <c r="G667" i="1"/>
  <c r="G668" i="1"/>
  <c r="G669" i="1"/>
  <c r="G670" i="1"/>
  <c r="G671" i="1"/>
  <c r="G672" i="1"/>
  <c r="H672" i="1"/>
  <c r="G673" i="1"/>
  <c r="G674" i="1"/>
  <c r="G675" i="1"/>
  <c r="G676" i="1"/>
  <c r="G677" i="1"/>
  <c r="G678" i="1"/>
  <c r="G679" i="1"/>
  <c r="H679" i="1"/>
  <c r="G680" i="1"/>
  <c r="G681" i="1"/>
  <c r="G682" i="1"/>
  <c r="G683" i="1"/>
  <c r="G684" i="1"/>
  <c r="G685" i="1"/>
  <c r="G686" i="1"/>
  <c r="H686" i="1"/>
  <c r="G687" i="1"/>
  <c r="G688" i="1"/>
  <c r="G689" i="1"/>
  <c r="G690" i="1"/>
  <c r="G691" i="1"/>
  <c r="G692" i="1"/>
  <c r="G693" i="1"/>
  <c r="H693" i="1"/>
  <c r="G694" i="1"/>
  <c r="G695" i="1"/>
  <c r="G696" i="1"/>
  <c r="G697" i="1"/>
  <c r="G698" i="1"/>
  <c r="G699" i="1"/>
  <c r="G700" i="1"/>
  <c r="H700" i="1"/>
  <c r="G701" i="1"/>
  <c r="G702" i="1"/>
  <c r="G703" i="1"/>
  <c r="G704" i="1"/>
  <c r="G705" i="1"/>
  <c r="G706" i="1"/>
  <c r="G707" i="1"/>
  <c r="H707" i="1"/>
  <c r="G708" i="1"/>
  <c r="G709" i="1"/>
  <c r="G710" i="1"/>
  <c r="G711" i="1"/>
  <c r="G712" i="1"/>
  <c r="G713" i="1"/>
  <c r="G714" i="1"/>
  <c r="H714" i="1"/>
  <c r="G715" i="1"/>
  <c r="G716" i="1"/>
  <c r="G717" i="1"/>
  <c r="G718" i="1"/>
  <c r="G719" i="1"/>
  <c r="G720" i="1"/>
  <c r="G721" i="1"/>
  <c r="H721" i="1"/>
  <c r="G722" i="1"/>
  <c r="G723" i="1"/>
  <c r="G724" i="1"/>
  <c r="G725" i="1"/>
  <c r="G726" i="1"/>
  <c r="G727" i="1"/>
  <c r="G728" i="1"/>
  <c r="H728" i="1"/>
  <c r="G729" i="1"/>
  <c r="G730" i="1"/>
  <c r="G731" i="1"/>
  <c r="G732" i="1"/>
  <c r="G733" i="1"/>
  <c r="G734" i="1"/>
  <c r="G735" i="1"/>
  <c r="H735" i="1"/>
  <c r="G736" i="1"/>
  <c r="G737" i="1"/>
  <c r="G738" i="1"/>
  <c r="G739" i="1"/>
  <c r="G740" i="1"/>
  <c r="G741" i="1"/>
  <c r="G742" i="1"/>
  <c r="H742" i="1"/>
  <c r="G743" i="1"/>
  <c r="G744" i="1"/>
  <c r="G745" i="1"/>
  <c r="G746" i="1"/>
  <c r="G747" i="1"/>
  <c r="G748" i="1"/>
  <c r="G749" i="1"/>
  <c r="H749" i="1"/>
  <c r="G750" i="1"/>
  <c r="G751" i="1"/>
  <c r="G752" i="1"/>
  <c r="G753" i="1"/>
  <c r="G754" i="1"/>
  <c r="G755" i="1"/>
  <c r="G756" i="1"/>
  <c r="H756" i="1"/>
  <c r="G757" i="1"/>
  <c r="G758" i="1"/>
  <c r="G759" i="1"/>
  <c r="G760" i="1"/>
  <c r="G761" i="1"/>
  <c r="G762" i="1"/>
  <c r="G763" i="1"/>
  <c r="H763" i="1"/>
  <c r="G764" i="1"/>
  <c r="G765" i="1"/>
  <c r="G766" i="1"/>
  <c r="G767" i="1"/>
  <c r="G768" i="1"/>
  <c r="G769" i="1"/>
  <c r="G770" i="1"/>
  <c r="H770" i="1"/>
  <c r="G771" i="1"/>
  <c r="G772" i="1"/>
  <c r="G773" i="1"/>
  <c r="G774" i="1"/>
  <c r="G775" i="1"/>
  <c r="G776" i="1"/>
  <c r="G777" i="1"/>
  <c r="H777" i="1"/>
  <c r="G778" i="1"/>
  <c r="G779" i="1"/>
  <c r="G780" i="1"/>
  <c r="G781" i="1"/>
  <c r="G782" i="1"/>
  <c r="G783" i="1"/>
  <c r="G784" i="1"/>
  <c r="H784" i="1"/>
  <c r="G785" i="1"/>
  <c r="G786" i="1"/>
  <c r="G787" i="1"/>
  <c r="G788" i="1"/>
  <c r="G789" i="1"/>
  <c r="G790" i="1"/>
  <c r="G791" i="1"/>
  <c r="H791" i="1"/>
  <c r="G792" i="1"/>
  <c r="G793" i="1"/>
  <c r="G794" i="1"/>
  <c r="G795" i="1"/>
  <c r="G796" i="1"/>
  <c r="G797" i="1"/>
  <c r="G798" i="1"/>
  <c r="H798" i="1"/>
  <c r="G799" i="1"/>
  <c r="G800" i="1"/>
  <c r="G801" i="1"/>
  <c r="G802" i="1"/>
  <c r="G803" i="1"/>
  <c r="G804" i="1"/>
  <c r="G805" i="1"/>
  <c r="H805" i="1"/>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2" i="7"/>
  <c r="C8" i="9"/>
  <c r="D8" i="9" s="1"/>
  <c r="C9" i="9"/>
  <c r="D9" i="9" s="1"/>
  <c r="C10" i="9"/>
  <c r="D10" i="9" s="1"/>
  <c r="C11" i="9"/>
  <c r="D11" i="9" s="1"/>
  <c r="C12" i="9"/>
  <c r="D12" i="9" s="1"/>
  <c r="C13" i="9"/>
  <c r="D13" i="9" s="1"/>
  <c r="C14" i="9"/>
  <c r="D14" i="9" s="1"/>
  <c r="C15" i="9"/>
  <c r="D15" i="9" s="1"/>
  <c r="C16" i="9"/>
  <c r="D16" i="9" s="1"/>
  <c r="C17" i="9"/>
  <c r="D17" i="9" s="1"/>
  <c r="C18" i="9"/>
  <c r="D18" i="9" s="1"/>
  <c r="C19" i="9"/>
  <c r="D19" i="9" s="1"/>
  <c r="C20" i="9"/>
  <c r="D20" i="9" s="1"/>
  <c r="C21" i="9"/>
  <c r="D21" i="9" s="1"/>
  <c r="C22" i="9"/>
  <c r="D22" i="9" s="1"/>
  <c r="C23" i="9"/>
  <c r="D23" i="9" s="1"/>
  <c r="C24" i="9"/>
  <c r="D24" i="9" s="1"/>
  <c r="C25" i="9"/>
  <c r="D25" i="9" s="1"/>
  <c r="C26" i="9"/>
  <c r="D26" i="9" s="1"/>
  <c r="C27" i="9"/>
  <c r="D27" i="9" s="1"/>
  <c r="C28" i="9"/>
  <c r="D28" i="9" s="1"/>
  <c r="C29" i="9"/>
  <c r="D29" i="9" s="1"/>
  <c r="C30" i="9"/>
  <c r="D30" i="9" s="1"/>
  <c r="C31" i="9"/>
  <c r="D31" i="9" s="1"/>
  <c r="C32" i="9"/>
  <c r="D32" i="9" s="1"/>
  <c r="C33" i="9"/>
  <c r="D33" i="9" s="1"/>
  <c r="C34" i="9"/>
  <c r="D34" i="9" s="1"/>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D47" i="9" s="1"/>
  <c r="C48" i="9"/>
  <c r="D48" i="9" s="1"/>
  <c r="C49" i="9"/>
  <c r="D49" i="9" s="1"/>
  <c r="C50" i="9"/>
  <c r="D50" i="9" s="1"/>
  <c r="C51" i="9"/>
  <c r="D51" i="9" s="1"/>
  <c r="C52" i="9"/>
  <c r="D52" i="9" s="1"/>
  <c r="C53" i="9"/>
  <c r="D53" i="9" s="1"/>
  <c r="C54" i="9"/>
  <c r="D54" i="9" s="1"/>
  <c r="C55" i="9"/>
  <c r="D55" i="9" s="1"/>
  <c r="C56" i="9"/>
  <c r="D56" i="9" s="1"/>
  <c r="C57" i="9"/>
  <c r="D57" i="9" s="1"/>
  <c r="C58" i="9"/>
  <c r="D58" i="9" s="1"/>
  <c r="C59" i="9"/>
  <c r="D59" i="9" s="1"/>
  <c r="C60" i="9"/>
  <c r="D60" i="9" s="1"/>
  <c r="C61" i="9"/>
  <c r="D61" i="9" s="1"/>
  <c r="C62" i="9"/>
  <c r="D62" i="9" s="1"/>
  <c r="C63" i="9"/>
  <c r="D63" i="9" s="1"/>
  <c r="C64" i="9"/>
  <c r="D64" i="9" s="1"/>
  <c r="C65" i="9"/>
  <c r="D65" i="9" s="1"/>
  <c r="C66" i="9"/>
  <c r="D66" i="9" s="1"/>
  <c r="C67" i="9"/>
  <c r="D67" i="9" s="1"/>
  <c r="C68" i="9"/>
  <c r="D68" i="9" s="1"/>
  <c r="C69" i="9"/>
  <c r="D69" i="9" s="1"/>
  <c r="C70" i="9"/>
  <c r="D70" i="9" s="1"/>
  <c r="C71" i="9"/>
  <c r="D71" i="9" s="1"/>
  <c r="C72" i="9"/>
  <c r="D72" i="9" s="1"/>
  <c r="C73" i="9"/>
  <c r="D73" i="9" s="1"/>
  <c r="C74" i="9"/>
  <c r="D74" i="9" s="1"/>
  <c r="C75" i="9"/>
  <c r="D75" i="9" s="1"/>
  <c r="C76" i="9"/>
  <c r="D76" i="9" s="1"/>
  <c r="C77" i="9"/>
  <c r="D77" i="9" s="1"/>
  <c r="C78" i="9"/>
  <c r="D78" i="9" s="1"/>
  <c r="C79" i="9"/>
  <c r="D79" i="9" s="1"/>
  <c r="C80" i="9"/>
  <c r="D80" i="9" s="1"/>
  <c r="C81" i="9"/>
  <c r="D81" i="9" s="1"/>
  <c r="C82" i="9"/>
  <c r="D82" i="9" s="1"/>
  <c r="C83" i="9"/>
  <c r="D83" i="9" s="1"/>
  <c r="C84" i="9"/>
  <c r="D84" i="9" s="1"/>
  <c r="C85" i="9"/>
  <c r="D85" i="9" s="1"/>
  <c r="C86" i="9"/>
  <c r="D86" i="9" s="1"/>
  <c r="C87" i="9"/>
  <c r="D87" i="9" s="1"/>
  <c r="C88" i="9"/>
  <c r="D88" i="9" s="1"/>
  <c r="C89" i="9"/>
  <c r="D89" i="9" s="1"/>
  <c r="C90" i="9"/>
  <c r="D90" i="9" s="1"/>
  <c r="C91" i="9"/>
  <c r="D91" i="9" s="1"/>
  <c r="C92" i="9"/>
  <c r="D92" i="9" s="1"/>
  <c r="C93" i="9"/>
  <c r="D93" i="9" s="1"/>
  <c r="C94" i="9"/>
  <c r="D94" i="9" s="1"/>
  <c r="C95" i="9"/>
  <c r="D95" i="9" s="1"/>
  <c r="C96" i="9"/>
  <c r="D96" i="9" s="1"/>
  <c r="C97" i="9"/>
  <c r="D97" i="9" s="1"/>
  <c r="C98" i="9"/>
  <c r="D98" i="9" s="1"/>
  <c r="C99" i="9"/>
  <c r="D99" i="9" s="1"/>
  <c r="C100" i="9"/>
  <c r="D100" i="9" s="1"/>
  <c r="C101" i="9"/>
  <c r="D101" i="9" s="1"/>
  <c r="C102" i="9"/>
  <c r="D102" i="9" s="1"/>
  <c r="C103" i="9"/>
  <c r="D103" i="9" s="1"/>
  <c r="C104" i="9"/>
  <c r="D104" i="9" s="1"/>
  <c r="C105" i="9"/>
  <c r="D105" i="9" s="1"/>
  <c r="C106" i="9"/>
  <c r="D106" i="9" s="1"/>
  <c r="C107" i="9"/>
  <c r="D107" i="9" s="1"/>
  <c r="C108" i="9"/>
  <c r="D108" i="9" s="1"/>
  <c r="C109" i="9"/>
  <c r="D109" i="9" s="1"/>
  <c r="C110" i="9"/>
  <c r="D110" i="9" s="1"/>
  <c r="C111" i="9"/>
  <c r="D111" i="9" s="1"/>
  <c r="C112" i="9"/>
  <c r="D112" i="9" s="1"/>
  <c r="C113" i="9"/>
  <c r="D113" i="9" s="1"/>
  <c r="C114" i="9"/>
  <c r="D114" i="9" s="1"/>
  <c r="C115" i="9"/>
  <c r="D115" i="9" s="1"/>
  <c r="C116" i="9"/>
  <c r="D116" i="9" s="1"/>
  <c r="C117" i="9"/>
  <c r="D117" i="9" s="1"/>
  <c r="C118" i="9"/>
  <c r="D118" i="9" s="1"/>
  <c r="C119" i="9"/>
  <c r="D119" i="9" s="1"/>
  <c r="C120" i="9"/>
  <c r="D120" i="9" s="1"/>
  <c r="C121" i="9"/>
  <c r="D121" i="9" s="1"/>
  <c r="C122" i="9"/>
  <c r="D122" i="9" s="1"/>
  <c r="C123" i="9"/>
  <c r="D123" i="9" s="1"/>
  <c r="C124" i="9"/>
  <c r="D124" i="9" s="1"/>
  <c r="C125" i="9"/>
  <c r="D125" i="9" s="1"/>
  <c r="C126" i="9"/>
  <c r="D126" i="9" s="1"/>
  <c r="C127" i="9"/>
  <c r="D127" i="9" s="1"/>
  <c r="C128" i="9"/>
  <c r="D128" i="9" s="1"/>
  <c r="C129" i="9"/>
  <c r="D129" i="9" s="1"/>
  <c r="C130" i="9"/>
  <c r="D130" i="9" s="1"/>
  <c r="C131" i="9"/>
  <c r="D131" i="9" s="1"/>
  <c r="C132" i="9"/>
  <c r="D132" i="9" s="1"/>
  <c r="C133" i="9"/>
  <c r="D133" i="9" s="1"/>
  <c r="C134" i="9"/>
  <c r="D134" i="9" s="1"/>
  <c r="C135" i="9"/>
  <c r="D135" i="9" s="1"/>
  <c r="C136" i="9"/>
  <c r="D136" i="9" s="1"/>
  <c r="C137" i="9"/>
  <c r="D137" i="9" s="1"/>
  <c r="C138" i="9"/>
  <c r="D138" i="9" s="1"/>
  <c r="C139" i="9"/>
  <c r="D139" i="9" s="1"/>
  <c r="C140" i="9"/>
  <c r="D140" i="9" s="1"/>
  <c r="C141" i="9"/>
  <c r="D141" i="9" s="1"/>
  <c r="C142" i="9"/>
  <c r="D142" i="9" s="1"/>
  <c r="C143" i="9"/>
  <c r="D143" i="9" s="1"/>
  <c r="C144" i="9"/>
  <c r="D144" i="9" s="1"/>
  <c r="C145" i="9"/>
  <c r="D145" i="9" s="1"/>
  <c r="C146" i="9"/>
  <c r="D146" i="9" s="1"/>
  <c r="C147" i="9"/>
  <c r="D147" i="9" s="1"/>
  <c r="C148" i="9"/>
  <c r="D148" i="9" s="1"/>
  <c r="C149" i="9"/>
  <c r="D149" i="9" s="1"/>
  <c r="C150" i="9"/>
  <c r="D150" i="9" s="1"/>
  <c r="C151" i="9"/>
  <c r="D151" i="9" s="1"/>
  <c r="C152" i="9"/>
  <c r="D152" i="9" s="1"/>
  <c r="C153" i="9"/>
  <c r="D153" i="9" s="1"/>
  <c r="C154" i="9"/>
  <c r="D154" i="9" s="1"/>
  <c r="C155" i="9"/>
  <c r="D155" i="9" s="1"/>
  <c r="C156" i="9"/>
  <c r="D156" i="9" s="1"/>
  <c r="C157" i="9"/>
  <c r="D157" i="9" s="1"/>
  <c r="C158" i="9"/>
  <c r="D158" i="9" s="1"/>
  <c r="C159" i="9"/>
  <c r="D159" i="9" s="1"/>
  <c r="C160" i="9"/>
  <c r="D160" i="9" s="1"/>
  <c r="C161" i="9"/>
  <c r="D161" i="9" s="1"/>
  <c r="C162" i="9"/>
  <c r="D162" i="9" s="1"/>
  <c r="C163" i="9"/>
  <c r="D163" i="9" s="1"/>
  <c r="C164" i="9"/>
  <c r="D164" i="9" s="1"/>
  <c r="C165" i="9"/>
  <c r="D165" i="9" s="1"/>
  <c r="C166" i="9"/>
  <c r="D166" i="9" s="1"/>
  <c r="C167" i="9"/>
  <c r="D167" i="9" s="1"/>
  <c r="C168" i="9"/>
  <c r="D168" i="9" s="1"/>
  <c r="C169" i="9"/>
  <c r="D169" i="9" s="1"/>
  <c r="C170" i="9"/>
  <c r="D170" i="9" s="1"/>
  <c r="C171" i="9"/>
  <c r="D171" i="9" s="1"/>
  <c r="C172" i="9"/>
  <c r="D172" i="9" s="1"/>
  <c r="C173" i="9"/>
  <c r="D173" i="9" s="1"/>
  <c r="C174" i="9"/>
  <c r="D174" i="9" s="1"/>
  <c r="C175" i="9"/>
  <c r="D175" i="9" s="1"/>
  <c r="C176" i="9"/>
  <c r="D176" i="9" s="1"/>
  <c r="C177" i="9"/>
  <c r="D177" i="9" s="1"/>
  <c r="C178" i="9"/>
  <c r="D178" i="9" s="1"/>
  <c r="C179" i="9"/>
  <c r="D179" i="9" s="1"/>
  <c r="C180" i="9"/>
  <c r="D180" i="9" s="1"/>
  <c r="C181" i="9"/>
  <c r="D181" i="9" s="1"/>
  <c r="C182" i="9"/>
  <c r="D182" i="9" s="1"/>
  <c r="C183" i="9"/>
  <c r="D183" i="9" s="1"/>
  <c r="C184" i="9"/>
  <c r="D184" i="9" s="1"/>
  <c r="C185" i="9"/>
  <c r="D185" i="9" s="1"/>
  <c r="C186" i="9"/>
  <c r="D186" i="9" s="1"/>
  <c r="C187" i="9"/>
  <c r="D187" i="9" s="1"/>
  <c r="C188" i="9"/>
  <c r="D188" i="9" s="1"/>
  <c r="C189" i="9"/>
  <c r="D189" i="9" s="1"/>
  <c r="C190" i="9"/>
  <c r="D190" i="9" s="1"/>
  <c r="C191" i="9"/>
  <c r="D191" i="9" s="1"/>
  <c r="C192" i="9"/>
  <c r="D192" i="9" s="1"/>
  <c r="C193" i="9"/>
  <c r="D193" i="9" s="1"/>
  <c r="C194" i="9"/>
  <c r="D194" i="9" s="1"/>
  <c r="C195" i="9"/>
  <c r="D195" i="9" s="1"/>
  <c r="C196" i="9"/>
  <c r="D196" i="9" s="1"/>
  <c r="C197" i="9"/>
  <c r="D197" i="9" s="1"/>
  <c r="C198" i="9"/>
  <c r="D198" i="9" s="1"/>
  <c r="C199" i="9"/>
  <c r="D199" i="9" s="1"/>
  <c r="C200" i="9"/>
  <c r="D200" i="9" s="1"/>
  <c r="C201" i="9"/>
  <c r="D201" i="9" s="1"/>
  <c r="C202" i="9"/>
  <c r="D202" i="9" s="1"/>
  <c r="C203" i="9"/>
  <c r="D203" i="9" s="1"/>
  <c r="C204" i="9"/>
  <c r="D204" i="9" s="1"/>
  <c r="C205" i="9"/>
  <c r="D205" i="9" s="1"/>
  <c r="C206" i="9"/>
  <c r="D206" i="9" s="1"/>
  <c r="C207" i="9"/>
  <c r="D207" i="9" s="1"/>
  <c r="C208" i="9"/>
  <c r="D208" i="9" s="1"/>
  <c r="C209" i="9"/>
  <c r="D209" i="9" s="1"/>
  <c r="C210" i="9"/>
  <c r="D210" i="9" s="1"/>
  <c r="C211" i="9"/>
  <c r="D211" i="9" s="1"/>
  <c r="C212" i="9"/>
  <c r="D212" i="9" s="1"/>
  <c r="C213" i="9"/>
  <c r="D213" i="9" s="1"/>
  <c r="C214" i="9"/>
  <c r="D214" i="9" s="1"/>
  <c r="C215" i="9"/>
  <c r="D215" i="9" s="1"/>
  <c r="C216" i="9"/>
  <c r="D216" i="9" s="1"/>
  <c r="C217" i="9"/>
  <c r="D217" i="9" s="1"/>
  <c r="C218" i="9"/>
  <c r="D218" i="9" s="1"/>
  <c r="C219" i="9"/>
  <c r="D219" i="9" s="1"/>
  <c r="C220" i="9"/>
  <c r="D220" i="9" s="1"/>
  <c r="C221" i="9"/>
  <c r="D221" i="9" s="1"/>
  <c r="C222" i="9"/>
  <c r="D222" i="9" s="1"/>
  <c r="C223" i="9"/>
  <c r="D223" i="9" s="1"/>
  <c r="C224" i="9"/>
  <c r="D224" i="9" s="1"/>
  <c r="C225" i="9"/>
  <c r="D225" i="9" s="1"/>
  <c r="C226" i="9"/>
  <c r="D226" i="9" s="1"/>
  <c r="C227" i="9"/>
  <c r="D227" i="9" s="1"/>
  <c r="C228" i="9"/>
  <c r="D228" i="9" s="1"/>
  <c r="C229" i="9"/>
  <c r="D229" i="9" s="1"/>
  <c r="C230" i="9"/>
  <c r="D230" i="9" s="1"/>
  <c r="C231" i="9"/>
  <c r="D231" i="9" s="1"/>
  <c r="C232" i="9"/>
  <c r="D232" i="9" s="1"/>
  <c r="C233" i="9"/>
  <c r="D233" i="9" s="1"/>
  <c r="C234" i="9"/>
  <c r="D234" i="9" s="1"/>
  <c r="C235" i="9"/>
  <c r="D235" i="9" s="1"/>
  <c r="C236" i="9"/>
  <c r="D236" i="9" s="1"/>
  <c r="C237" i="9"/>
  <c r="D237" i="9" s="1"/>
  <c r="C238" i="9"/>
  <c r="D238" i="9" s="1"/>
  <c r="C239" i="9"/>
  <c r="D239" i="9" s="1"/>
  <c r="C240" i="9"/>
  <c r="D240" i="9" s="1"/>
  <c r="C241" i="9"/>
  <c r="D241" i="9" s="1"/>
  <c r="C242" i="9"/>
  <c r="D242" i="9" s="1"/>
  <c r="C243" i="9"/>
  <c r="D243" i="9" s="1"/>
  <c r="C244" i="9"/>
  <c r="D244" i="9" s="1"/>
  <c r="C245" i="9"/>
  <c r="D245" i="9" s="1"/>
  <c r="C246" i="9"/>
  <c r="D246" i="9" s="1"/>
  <c r="C247" i="9"/>
  <c r="D247" i="9" s="1"/>
  <c r="C248" i="9"/>
  <c r="D248" i="9" s="1"/>
  <c r="C249" i="9"/>
  <c r="D249" i="9" s="1"/>
  <c r="C250" i="9"/>
  <c r="D250" i="9" s="1"/>
  <c r="C251" i="9"/>
  <c r="D251" i="9" s="1"/>
  <c r="C252" i="9"/>
  <c r="D252" i="9" s="1"/>
  <c r="C253" i="9"/>
  <c r="D253" i="9" s="1"/>
  <c r="C254" i="9"/>
  <c r="D254" i="9" s="1"/>
  <c r="C255" i="9"/>
  <c r="D255" i="9" s="1"/>
  <c r="C256" i="9"/>
  <c r="D256" i="9" s="1"/>
  <c r="C257" i="9"/>
  <c r="D257" i="9" s="1"/>
  <c r="C258" i="9"/>
  <c r="D258" i="9" s="1"/>
  <c r="C259" i="9"/>
  <c r="D259" i="9" s="1"/>
  <c r="C260" i="9"/>
  <c r="D260" i="9" s="1"/>
  <c r="C261" i="9"/>
  <c r="D261" i="9" s="1"/>
  <c r="C262" i="9"/>
  <c r="D262" i="9" s="1"/>
  <c r="C263" i="9"/>
  <c r="D263" i="9" s="1"/>
  <c r="C264" i="9"/>
  <c r="D264" i="9" s="1"/>
  <c r="C265" i="9"/>
  <c r="D265" i="9" s="1"/>
  <c r="C266" i="9"/>
  <c r="D266" i="9" s="1"/>
  <c r="C267" i="9"/>
  <c r="D267" i="9" s="1"/>
  <c r="C268" i="9"/>
  <c r="D268" i="9" s="1"/>
  <c r="C269" i="9"/>
  <c r="D269" i="9" s="1"/>
  <c r="C270" i="9"/>
  <c r="D270" i="9" s="1"/>
  <c r="C271" i="9"/>
  <c r="D271" i="9" s="1"/>
  <c r="C272" i="9"/>
  <c r="D272" i="9" s="1"/>
  <c r="C273" i="9"/>
  <c r="D273" i="9" s="1"/>
  <c r="C274" i="9"/>
  <c r="D274" i="9" s="1"/>
  <c r="C275" i="9"/>
  <c r="D275" i="9" s="1"/>
  <c r="C276" i="9"/>
  <c r="D276" i="9" s="1"/>
  <c r="C277" i="9"/>
  <c r="D277" i="9" s="1"/>
  <c r="C278" i="9"/>
  <c r="D278" i="9" s="1"/>
  <c r="C279" i="9"/>
  <c r="D279" i="9" s="1"/>
  <c r="C280" i="9"/>
  <c r="D280" i="9" s="1"/>
  <c r="C281" i="9"/>
  <c r="D281" i="9" s="1"/>
  <c r="C282" i="9"/>
  <c r="D282" i="9" s="1"/>
  <c r="C283" i="9"/>
  <c r="D283" i="9" s="1"/>
  <c r="C284" i="9"/>
  <c r="D284" i="9" s="1"/>
  <c r="C285" i="9"/>
  <c r="D285" i="9" s="1"/>
  <c r="C286" i="9"/>
  <c r="D286" i="9" s="1"/>
  <c r="C287" i="9"/>
  <c r="D287" i="9" s="1"/>
  <c r="C288" i="9"/>
  <c r="D288" i="9" s="1"/>
  <c r="C289" i="9"/>
  <c r="D289" i="9" s="1"/>
  <c r="C290" i="9"/>
  <c r="D290" i="9" s="1"/>
  <c r="C291" i="9"/>
  <c r="D291" i="9" s="1"/>
  <c r="C292" i="9"/>
  <c r="D292" i="9" s="1"/>
  <c r="C293" i="9"/>
  <c r="D293" i="9" s="1"/>
  <c r="C294" i="9"/>
  <c r="D294" i="9" s="1"/>
  <c r="C295" i="9"/>
  <c r="D295" i="9" s="1"/>
  <c r="C296" i="9"/>
  <c r="D296" i="9" s="1"/>
  <c r="C297" i="9"/>
  <c r="D297" i="9" s="1"/>
  <c r="C298" i="9"/>
  <c r="D298" i="9" s="1"/>
  <c r="C299" i="9"/>
  <c r="D299" i="9" s="1"/>
  <c r="C300" i="9"/>
  <c r="D300" i="9" s="1"/>
  <c r="C301" i="9"/>
  <c r="D301" i="9" s="1"/>
  <c r="C302" i="9"/>
  <c r="D302" i="9" s="1"/>
  <c r="C303" i="9"/>
  <c r="D303" i="9" s="1"/>
  <c r="C304" i="9"/>
  <c r="D304" i="9" s="1"/>
  <c r="C305" i="9"/>
  <c r="D305" i="9" s="1"/>
  <c r="C306" i="9"/>
  <c r="D306" i="9" s="1"/>
  <c r="C307" i="9"/>
  <c r="D307" i="9" s="1"/>
  <c r="C308" i="9"/>
  <c r="D308" i="9" s="1"/>
  <c r="C309" i="9"/>
  <c r="D309" i="9" s="1"/>
  <c r="C310" i="9"/>
  <c r="D310" i="9" s="1"/>
  <c r="C311" i="9"/>
  <c r="D311" i="9" s="1"/>
  <c r="C312" i="9"/>
  <c r="D312" i="9" s="1"/>
  <c r="C313" i="9"/>
  <c r="D313" i="9" s="1"/>
  <c r="C314" i="9"/>
  <c r="D314" i="9" s="1"/>
  <c r="C315" i="9"/>
  <c r="D315" i="9" s="1"/>
  <c r="C316" i="9"/>
  <c r="D316" i="9" s="1"/>
  <c r="C317" i="9"/>
  <c r="D317" i="9" s="1"/>
  <c r="C318" i="9"/>
  <c r="D318" i="9" s="1"/>
  <c r="C319" i="9"/>
  <c r="D319" i="9" s="1"/>
  <c r="C320" i="9"/>
  <c r="D320" i="9" s="1"/>
  <c r="C321" i="9"/>
  <c r="D321" i="9" s="1"/>
  <c r="C322" i="9"/>
  <c r="D322" i="9" s="1"/>
  <c r="C323" i="9"/>
  <c r="D323" i="9" s="1"/>
  <c r="C324" i="9"/>
  <c r="D324" i="9" s="1"/>
  <c r="C325" i="9"/>
  <c r="D325" i="9" s="1"/>
  <c r="C326" i="9"/>
  <c r="D326" i="9" s="1"/>
  <c r="C327" i="9"/>
  <c r="D327" i="9" s="1"/>
  <c r="C328" i="9"/>
  <c r="D328" i="9" s="1"/>
  <c r="C329" i="9"/>
  <c r="D329" i="9" s="1"/>
  <c r="C330" i="9"/>
  <c r="D330" i="9" s="1"/>
  <c r="C331" i="9"/>
  <c r="D331" i="9" s="1"/>
  <c r="C332" i="9"/>
  <c r="D332" i="9" s="1"/>
  <c r="C333" i="9"/>
  <c r="D333" i="9" s="1"/>
  <c r="C334" i="9"/>
  <c r="D334" i="9" s="1"/>
  <c r="C335" i="9"/>
  <c r="D335" i="9" s="1"/>
  <c r="C336" i="9"/>
  <c r="D336" i="9" s="1"/>
  <c r="C337" i="9"/>
  <c r="D337" i="9" s="1"/>
  <c r="C338" i="9"/>
  <c r="D338" i="9" s="1"/>
  <c r="C339" i="9"/>
  <c r="D339" i="9" s="1"/>
  <c r="C340" i="9"/>
  <c r="D340" i="9" s="1"/>
  <c r="C341" i="9"/>
  <c r="D341" i="9" s="1"/>
  <c r="C342" i="9"/>
  <c r="D342" i="9" s="1"/>
  <c r="C343" i="9"/>
  <c r="D343" i="9" s="1"/>
  <c r="C344" i="9"/>
  <c r="D344" i="9" s="1"/>
  <c r="C345" i="9"/>
  <c r="D345" i="9" s="1"/>
  <c r="C346" i="9"/>
  <c r="D346" i="9" s="1"/>
  <c r="C347" i="9"/>
  <c r="D347" i="9" s="1"/>
  <c r="C348" i="9"/>
  <c r="D348" i="9" s="1"/>
  <c r="C349" i="9"/>
  <c r="D349" i="9" s="1"/>
  <c r="C350" i="9"/>
  <c r="D350" i="9" s="1"/>
  <c r="C351" i="9"/>
  <c r="D351" i="9" s="1"/>
  <c r="C352" i="9"/>
  <c r="D352" i="9" s="1"/>
  <c r="C353" i="9"/>
  <c r="D353" i="9" s="1"/>
  <c r="C354" i="9"/>
  <c r="D354" i="9" s="1"/>
  <c r="C355" i="9"/>
  <c r="D355" i="9" s="1"/>
  <c r="C356" i="9"/>
  <c r="D356" i="9" s="1"/>
  <c r="C357" i="9"/>
  <c r="D357" i="9" s="1"/>
  <c r="C358" i="9"/>
  <c r="D358" i="9" s="1"/>
  <c r="C359" i="9"/>
  <c r="D359" i="9" s="1"/>
  <c r="C360" i="9"/>
  <c r="D360" i="9" s="1"/>
  <c r="C361" i="9"/>
  <c r="D361" i="9" s="1"/>
  <c r="C362" i="9"/>
  <c r="D362" i="9" s="1"/>
  <c r="C363" i="9"/>
  <c r="D363" i="9" s="1"/>
  <c r="C364" i="9"/>
  <c r="D364" i="9" s="1"/>
  <c r="C365" i="9"/>
  <c r="D365" i="9" s="1"/>
  <c r="C366" i="9"/>
  <c r="D366" i="9" s="1"/>
  <c r="C367" i="9"/>
  <c r="D367" i="9" s="1"/>
  <c r="C368" i="9"/>
  <c r="D368" i="9" s="1"/>
  <c r="C369" i="9"/>
  <c r="D369" i="9" s="1"/>
  <c r="C370" i="9"/>
  <c r="D370" i="9" s="1"/>
  <c r="C371" i="9"/>
  <c r="D371" i="9" s="1"/>
  <c r="C372" i="9"/>
  <c r="D372" i="9" s="1"/>
  <c r="C373" i="9"/>
  <c r="D373" i="9" s="1"/>
  <c r="C374" i="9"/>
  <c r="D374" i="9" s="1"/>
  <c r="C375" i="9"/>
  <c r="D375" i="9" s="1"/>
  <c r="C376" i="9"/>
  <c r="D376" i="9" s="1"/>
  <c r="C377" i="9"/>
  <c r="D377" i="9" s="1"/>
  <c r="C378" i="9"/>
  <c r="D378" i="9" s="1"/>
  <c r="C379" i="9"/>
  <c r="D379" i="9" s="1"/>
  <c r="C380" i="9"/>
  <c r="D380" i="9" s="1"/>
  <c r="C381" i="9"/>
  <c r="D381" i="9" s="1"/>
  <c r="C382" i="9"/>
  <c r="D382" i="9" s="1"/>
  <c r="C383" i="9"/>
  <c r="D383" i="9" s="1"/>
  <c r="C384" i="9"/>
  <c r="D384" i="9" s="1"/>
  <c r="C385" i="9"/>
  <c r="D385" i="9" s="1"/>
  <c r="C386" i="9"/>
  <c r="D386" i="9" s="1"/>
  <c r="C387" i="9"/>
  <c r="D387" i="9" s="1"/>
  <c r="C388" i="9"/>
  <c r="D388" i="9" s="1"/>
  <c r="C389" i="9"/>
  <c r="D389" i="9" s="1"/>
  <c r="C390" i="9"/>
  <c r="D390" i="9" s="1"/>
  <c r="C391" i="9"/>
  <c r="D391" i="9" s="1"/>
  <c r="C392" i="9"/>
  <c r="D392" i="9" s="1"/>
  <c r="C393" i="9"/>
  <c r="D393" i="9" s="1"/>
  <c r="C394" i="9"/>
  <c r="D394" i="9" s="1"/>
  <c r="C395" i="9"/>
  <c r="D395" i="9" s="1"/>
  <c r="C396" i="9"/>
  <c r="D396" i="9" s="1"/>
  <c r="C397" i="9"/>
  <c r="D397" i="9" s="1"/>
  <c r="C398" i="9"/>
  <c r="D398" i="9" s="1"/>
  <c r="C399" i="9"/>
  <c r="D399" i="9" s="1"/>
  <c r="C400" i="9"/>
  <c r="D400" i="9" s="1"/>
  <c r="C401" i="9"/>
  <c r="D401" i="9" s="1"/>
  <c r="C402" i="9"/>
  <c r="D402" i="9" s="1"/>
  <c r="C403" i="9"/>
  <c r="D403" i="9" s="1"/>
  <c r="C404" i="9"/>
  <c r="D404" i="9" s="1"/>
  <c r="C405" i="9"/>
  <c r="D405" i="9" s="1"/>
  <c r="C406" i="9"/>
  <c r="D406" i="9" s="1"/>
  <c r="C407" i="9"/>
  <c r="D407" i="9" s="1"/>
  <c r="C408" i="9"/>
  <c r="D408" i="9" s="1"/>
  <c r="C409" i="9"/>
  <c r="D409" i="9" s="1"/>
  <c r="C410" i="9"/>
  <c r="D410" i="9" s="1"/>
  <c r="C411" i="9"/>
  <c r="D411" i="9" s="1"/>
  <c r="C412" i="9"/>
  <c r="D412" i="9" s="1"/>
  <c r="C413" i="9"/>
  <c r="D413" i="9" s="1"/>
  <c r="C414" i="9"/>
  <c r="D414" i="9" s="1"/>
  <c r="C415" i="9"/>
  <c r="D415" i="9" s="1"/>
  <c r="C416" i="9"/>
  <c r="D416" i="9" s="1"/>
  <c r="C417" i="9"/>
  <c r="D417" i="9" s="1"/>
  <c r="C418" i="9"/>
  <c r="D418" i="9" s="1"/>
  <c r="C419" i="9"/>
  <c r="D419" i="9" s="1"/>
  <c r="C420" i="9"/>
  <c r="D420" i="9" s="1"/>
  <c r="C421" i="9"/>
  <c r="D421" i="9" s="1"/>
  <c r="C422" i="9"/>
  <c r="D422" i="9" s="1"/>
  <c r="C423" i="9"/>
  <c r="D423" i="9" s="1"/>
  <c r="A3" i="8"/>
  <c r="C3" i="8"/>
  <c r="D3" i="8"/>
  <c r="A4" i="8"/>
  <c r="C4" i="8"/>
  <c r="D4" i="8"/>
  <c r="A5" i="8"/>
  <c r="C5" i="8"/>
  <c r="D5" i="8"/>
  <c r="A6" i="8"/>
  <c r="C6" i="8"/>
  <c r="D6" i="8"/>
  <c r="A7" i="8"/>
  <c r="C7" i="8"/>
  <c r="D7" i="8"/>
  <c r="A8" i="8"/>
  <c r="C8" i="8"/>
  <c r="D8" i="8"/>
  <c r="A9" i="8"/>
  <c r="C9" i="8"/>
  <c r="D9" i="8"/>
  <c r="A10" i="8"/>
  <c r="C10" i="8"/>
  <c r="D10" i="8"/>
  <c r="A11" i="8"/>
  <c r="C11" i="8"/>
  <c r="D11" i="8"/>
  <c r="A12" i="8"/>
  <c r="C12" i="8"/>
  <c r="D12" i="8"/>
  <c r="A13" i="8"/>
  <c r="C13" i="8"/>
  <c r="D13" i="8"/>
  <c r="A14" i="8"/>
  <c r="C14" i="8"/>
  <c r="D14" i="8"/>
  <c r="A15" i="8"/>
  <c r="C15" i="8"/>
  <c r="D15" i="8"/>
  <c r="A16" i="8"/>
  <c r="C16" i="8"/>
  <c r="D16" i="8"/>
  <c r="A17" i="8"/>
  <c r="C17" i="8"/>
  <c r="D17" i="8"/>
  <c r="A18" i="8"/>
  <c r="C18" i="8"/>
  <c r="D18" i="8"/>
  <c r="A19" i="8"/>
  <c r="C19" i="8"/>
  <c r="D19" i="8"/>
  <c r="A20" i="8"/>
  <c r="C20" i="8"/>
  <c r="D20" i="8"/>
  <c r="A21" i="8"/>
  <c r="C21" i="8"/>
  <c r="D21" i="8"/>
  <c r="A22" i="8"/>
  <c r="C22" i="8"/>
  <c r="D22" i="8"/>
  <c r="A23" i="8"/>
  <c r="C23" i="8"/>
  <c r="D23" i="8"/>
  <c r="A24" i="8"/>
  <c r="C24" i="8"/>
  <c r="D24" i="8"/>
  <c r="A25" i="8"/>
  <c r="C25" i="8"/>
  <c r="D25" i="8"/>
  <c r="A26" i="8"/>
  <c r="C26" i="8"/>
  <c r="D26" i="8"/>
  <c r="A27" i="8"/>
  <c r="C27" i="8"/>
  <c r="D27" i="8"/>
  <c r="A28" i="8"/>
  <c r="C28" i="8"/>
  <c r="D28" i="8"/>
  <c r="A29" i="8"/>
  <c r="C29" i="8"/>
  <c r="D29" i="8"/>
  <c r="A30" i="8"/>
  <c r="C30" i="8"/>
  <c r="D30" i="8"/>
  <c r="A31" i="8"/>
  <c r="C31" i="8"/>
  <c r="D31" i="8"/>
  <c r="A32" i="8"/>
  <c r="C32" i="8"/>
  <c r="D32" i="8"/>
  <c r="A33" i="8"/>
  <c r="C33" i="8"/>
  <c r="D33" i="8"/>
  <c r="A34" i="8"/>
  <c r="C34" i="8"/>
  <c r="D34" i="8"/>
  <c r="A35" i="8"/>
  <c r="C35" i="8"/>
  <c r="D35" i="8"/>
  <c r="A36" i="8"/>
  <c r="C36" i="8"/>
  <c r="D36" i="8"/>
  <c r="A37" i="8"/>
  <c r="C37" i="8"/>
  <c r="D37" i="8"/>
  <c r="A38" i="8"/>
  <c r="C38" i="8"/>
  <c r="D38" i="8"/>
  <c r="A39" i="8"/>
  <c r="C39" i="8"/>
  <c r="D39" i="8"/>
  <c r="A40" i="8"/>
  <c r="C40" i="8"/>
  <c r="D40" i="8"/>
  <c r="A41" i="8"/>
  <c r="C41" i="8"/>
  <c r="D41" i="8"/>
  <c r="A42" i="8"/>
  <c r="C42" i="8"/>
  <c r="D42" i="8"/>
  <c r="A43" i="8"/>
  <c r="C43" i="8"/>
  <c r="D43" i="8"/>
  <c r="A44" i="8"/>
  <c r="C44" i="8"/>
  <c r="D44" i="8"/>
  <c r="A45" i="8"/>
  <c r="C45" i="8"/>
  <c r="D45" i="8"/>
  <c r="A46" i="8"/>
  <c r="C46" i="8"/>
  <c r="D46" i="8"/>
  <c r="A47" i="8"/>
  <c r="C47" i="8"/>
  <c r="D47" i="8"/>
  <c r="A48" i="8"/>
  <c r="C48" i="8"/>
  <c r="D48" i="8"/>
  <c r="A49" i="8"/>
  <c r="C49" i="8"/>
  <c r="D49" i="8"/>
  <c r="A50" i="8"/>
  <c r="C50" i="8"/>
  <c r="D50" i="8"/>
  <c r="A51" i="8"/>
  <c r="C51" i="8"/>
  <c r="D51" i="8"/>
  <c r="A52" i="8"/>
  <c r="C52" i="8"/>
  <c r="D52" i="8"/>
  <c r="A53" i="8"/>
  <c r="C53" i="8"/>
  <c r="D53" i="8"/>
  <c r="A54" i="8"/>
  <c r="C54" i="8"/>
  <c r="D54" i="8"/>
  <c r="A55" i="8"/>
  <c r="C55" i="8"/>
  <c r="D55" i="8"/>
  <c r="A56" i="8"/>
  <c r="C56" i="8"/>
  <c r="D56" i="8"/>
  <c r="A57" i="8"/>
  <c r="C57" i="8"/>
  <c r="D57" i="8"/>
  <c r="A58" i="8"/>
  <c r="C58" i="8"/>
  <c r="D58" i="8"/>
  <c r="A59" i="8"/>
  <c r="C59" i="8"/>
  <c r="D59" i="8"/>
  <c r="A60" i="8"/>
  <c r="C60" i="8"/>
  <c r="D60" i="8"/>
  <c r="A61" i="8"/>
  <c r="C61" i="8"/>
  <c r="D61" i="8"/>
  <c r="A62" i="8"/>
  <c r="C62" i="8"/>
  <c r="D62" i="8"/>
  <c r="A63" i="8"/>
  <c r="C63" i="8"/>
  <c r="D63" i="8"/>
  <c r="A64" i="8"/>
  <c r="C64" i="8"/>
  <c r="D64" i="8"/>
  <c r="A65" i="8"/>
  <c r="C65" i="8"/>
  <c r="D65" i="8"/>
  <c r="A66" i="8"/>
  <c r="C66" i="8"/>
  <c r="D66" i="8"/>
  <c r="A67" i="8"/>
  <c r="C67" i="8"/>
  <c r="D67" i="8"/>
  <c r="A68" i="8"/>
  <c r="C68" i="8"/>
  <c r="D68" i="8"/>
  <c r="A69" i="8"/>
  <c r="C69" i="8"/>
  <c r="D69" i="8"/>
  <c r="A70" i="8"/>
  <c r="C70" i="8"/>
  <c r="D70" i="8"/>
  <c r="A71" i="8"/>
  <c r="C71" i="8"/>
  <c r="D71" i="8"/>
  <c r="A72" i="8"/>
  <c r="C72" i="8"/>
  <c r="D72" i="8"/>
  <c r="A73" i="8"/>
  <c r="C73" i="8"/>
  <c r="D73" i="8"/>
  <c r="A74" i="8"/>
  <c r="C74" i="8"/>
  <c r="D74" i="8"/>
  <c r="A75" i="8"/>
  <c r="C75" i="8"/>
  <c r="D75" i="8"/>
  <c r="A76" i="8"/>
  <c r="C76" i="8"/>
  <c r="D76" i="8"/>
  <c r="A77" i="8"/>
  <c r="C77" i="8"/>
  <c r="D77" i="8"/>
  <c r="A78" i="8"/>
  <c r="C78" i="8"/>
  <c r="D78" i="8"/>
  <c r="A79" i="8"/>
  <c r="C79" i="8"/>
  <c r="D79" i="8"/>
  <c r="A80" i="8"/>
  <c r="C80" i="8"/>
  <c r="D80" i="8"/>
  <c r="A81" i="8"/>
  <c r="C81" i="8"/>
  <c r="D81" i="8"/>
  <c r="A82" i="8"/>
  <c r="C82" i="8"/>
  <c r="D82" i="8"/>
  <c r="A83" i="8"/>
  <c r="C83" i="8"/>
  <c r="D83" i="8"/>
  <c r="A84" i="8"/>
  <c r="C84" i="8"/>
  <c r="D84" i="8"/>
  <c r="A85" i="8"/>
  <c r="C85" i="8"/>
  <c r="D85" i="8"/>
  <c r="A86" i="8"/>
  <c r="C86" i="8"/>
  <c r="D86" i="8"/>
  <c r="A87" i="8"/>
  <c r="C87" i="8"/>
  <c r="D87" i="8"/>
  <c r="A88" i="8"/>
  <c r="C88" i="8"/>
  <c r="D88" i="8"/>
  <c r="A89" i="8"/>
  <c r="C89" i="8"/>
  <c r="D89" i="8"/>
  <c r="A90" i="8"/>
  <c r="C90" i="8"/>
  <c r="D90" i="8"/>
  <c r="A91" i="8"/>
  <c r="C91" i="8"/>
  <c r="D91" i="8"/>
  <c r="A92" i="8"/>
  <c r="C92" i="8"/>
  <c r="D92" i="8"/>
  <c r="A93" i="8"/>
  <c r="C93" i="8"/>
  <c r="D93" i="8"/>
  <c r="A94" i="8"/>
  <c r="C94" i="8"/>
  <c r="D94" i="8"/>
  <c r="A95" i="8"/>
  <c r="C95" i="8"/>
  <c r="D95" i="8"/>
  <c r="A96" i="8"/>
  <c r="C96" i="8"/>
  <c r="D96" i="8"/>
  <c r="A97" i="8"/>
  <c r="C97" i="8"/>
  <c r="D97" i="8"/>
  <c r="A98" i="8"/>
  <c r="C98" i="8"/>
  <c r="D98" i="8"/>
  <c r="A99" i="8"/>
  <c r="C99" i="8"/>
  <c r="D99" i="8"/>
  <c r="A100" i="8"/>
  <c r="C100" i="8"/>
  <c r="D100" i="8"/>
  <c r="A101" i="8"/>
  <c r="C101" i="8"/>
  <c r="D101" i="8"/>
  <c r="A102" i="8"/>
  <c r="C102" i="8"/>
  <c r="D102" i="8"/>
  <c r="A103" i="8"/>
  <c r="C103" i="8"/>
  <c r="D103" i="8"/>
  <c r="A104" i="8"/>
  <c r="C104" i="8"/>
  <c r="D104" i="8"/>
  <c r="A105" i="8"/>
  <c r="C105" i="8"/>
  <c r="D105" i="8"/>
  <c r="A106" i="8"/>
  <c r="C106" i="8"/>
  <c r="D106" i="8"/>
  <c r="A107" i="8"/>
  <c r="C107" i="8"/>
  <c r="D107" i="8"/>
  <c r="A108" i="8"/>
  <c r="C108" i="8"/>
  <c r="D108" i="8"/>
  <c r="A109" i="8"/>
  <c r="C109" i="8"/>
  <c r="D109" i="8"/>
  <c r="A110" i="8"/>
  <c r="C110" i="8"/>
  <c r="D110" i="8"/>
  <c r="A111" i="8"/>
  <c r="C111" i="8"/>
  <c r="D111" i="8"/>
  <c r="A112" i="8"/>
  <c r="C112" i="8"/>
  <c r="D112" i="8"/>
  <c r="A113" i="8"/>
  <c r="C113" i="8"/>
  <c r="D113" i="8"/>
  <c r="A114" i="8"/>
  <c r="C114" i="8"/>
  <c r="D114" i="8"/>
  <c r="A115" i="8"/>
  <c r="C115" i="8"/>
  <c r="D115" i="8"/>
  <c r="A116" i="8"/>
  <c r="C116" i="8"/>
  <c r="D116" i="8"/>
  <c r="A117" i="8"/>
  <c r="C117" i="8"/>
  <c r="D117" i="8"/>
  <c r="A118" i="8"/>
  <c r="C118" i="8"/>
  <c r="D118" i="8"/>
  <c r="A119" i="8"/>
  <c r="C119" i="8"/>
  <c r="D119" i="8"/>
  <c r="A120" i="8"/>
  <c r="C120" i="8"/>
  <c r="D120" i="8"/>
  <c r="A121" i="8"/>
  <c r="C121" i="8"/>
  <c r="D121" i="8"/>
  <c r="A122" i="8"/>
  <c r="C122" i="8"/>
  <c r="D122" i="8"/>
  <c r="A123" i="8"/>
  <c r="C123" i="8"/>
  <c r="D123" i="8"/>
  <c r="A124" i="8"/>
  <c r="C124" i="8"/>
  <c r="D124" i="8"/>
  <c r="A125" i="8"/>
  <c r="C125" i="8"/>
  <c r="D125" i="8"/>
  <c r="A126" i="8"/>
  <c r="C126" i="8"/>
  <c r="D126" i="8"/>
  <c r="A127" i="8"/>
  <c r="C127" i="8"/>
  <c r="D127" i="8"/>
  <c r="A128" i="8"/>
  <c r="C128" i="8"/>
  <c r="D128" i="8"/>
  <c r="A129" i="8"/>
  <c r="C129" i="8"/>
  <c r="D129" i="8"/>
  <c r="A130" i="8"/>
  <c r="C130" i="8"/>
  <c r="D130" i="8"/>
  <c r="A131" i="8"/>
  <c r="C131" i="8"/>
  <c r="D131" i="8"/>
  <c r="A132" i="8"/>
  <c r="C132" i="8"/>
  <c r="D132" i="8"/>
  <c r="A133" i="8"/>
  <c r="C133" i="8"/>
  <c r="D133" i="8"/>
  <c r="A134" i="8"/>
  <c r="C134" i="8"/>
  <c r="D134" i="8"/>
  <c r="A135" i="8"/>
  <c r="C135" i="8"/>
  <c r="D135" i="8"/>
  <c r="A136" i="8"/>
  <c r="C136" i="8"/>
  <c r="D136" i="8"/>
  <c r="A137" i="8"/>
  <c r="C137" i="8"/>
  <c r="D137" i="8"/>
  <c r="A138" i="8"/>
  <c r="C138" i="8"/>
  <c r="D138" i="8"/>
  <c r="A139" i="8"/>
  <c r="C139" i="8"/>
  <c r="D139" i="8"/>
  <c r="A140" i="8"/>
  <c r="C140" i="8"/>
  <c r="D140" i="8"/>
  <c r="A141" i="8"/>
  <c r="C141" i="8"/>
  <c r="D141" i="8"/>
  <c r="A142" i="8"/>
  <c r="C142" i="8"/>
  <c r="D142" i="8"/>
  <c r="A143" i="8"/>
  <c r="C143" i="8"/>
  <c r="D143" i="8"/>
  <c r="A144" i="8"/>
  <c r="C144" i="8"/>
  <c r="D144" i="8"/>
  <c r="A145" i="8"/>
  <c r="C145" i="8"/>
  <c r="D145" i="8"/>
  <c r="A146" i="8"/>
  <c r="C146" i="8"/>
  <c r="D146" i="8"/>
  <c r="A147" i="8"/>
  <c r="C147" i="8"/>
  <c r="D147" i="8"/>
  <c r="A148" i="8"/>
  <c r="C148" i="8"/>
  <c r="D148" i="8"/>
  <c r="A149" i="8"/>
  <c r="C149" i="8"/>
  <c r="D149" i="8"/>
  <c r="A150" i="8"/>
  <c r="C150" i="8"/>
  <c r="D150" i="8"/>
  <c r="A151" i="8"/>
  <c r="C151" i="8"/>
  <c r="D151" i="8"/>
  <c r="A152" i="8"/>
  <c r="C152" i="8"/>
  <c r="D152" i="8"/>
  <c r="A153" i="8"/>
  <c r="C153" i="8"/>
  <c r="D153" i="8"/>
  <c r="A154" i="8"/>
  <c r="C154" i="8"/>
  <c r="D154" i="8"/>
  <c r="A155" i="8"/>
  <c r="C155" i="8"/>
  <c r="D155" i="8"/>
  <c r="A156" i="8"/>
  <c r="C156" i="8"/>
  <c r="D156" i="8"/>
  <c r="A157" i="8"/>
  <c r="C157" i="8"/>
  <c r="D157" i="8"/>
  <c r="A158" i="8"/>
  <c r="C158" i="8"/>
  <c r="D158" i="8"/>
  <c r="A159" i="8"/>
  <c r="C159" i="8"/>
  <c r="D159" i="8"/>
  <c r="A160" i="8"/>
  <c r="C160" i="8"/>
  <c r="D160" i="8"/>
  <c r="A161" i="8"/>
  <c r="C161" i="8"/>
  <c r="D161" i="8"/>
  <c r="A162" i="8"/>
  <c r="C162" i="8"/>
  <c r="D162" i="8"/>
  <c r="A163" i="8"/>
  <c r="C163" i="8"/>
  <c r="D163" i="8"/>
  <c r="A164" i="8"/>
  <c r="C164" i="8"/>
  <c r="D164" i="8"/>
  <c r="A165" i="8"/>
  <c r="C165" i="8"/>
  <c r="D165" i="8"/>
  <c r="A166" i="8"/>
  <c r="C166" i="8"/>
  <c r="D166" i="8"/>
  <c r="A167" i="8"/>
  <c r="C167" i="8"/>
  <c r="D167" i="8"/>
  <c r="A168" i="8"/>
  <c r="C168" i="8"/>
  <c r="D168" i="8"/>
  <c r="A169" i="8"/>
  <c r="C169" i="8"/>
  <c r="D169" i="8"/>
  <c r="A170" i="8"/>
  <c r="C170" i="8"/>
  <c r="D170" i="8"/>
  <c r="A171" i="8"/>
  <c r="C171" i="8"/>
  <c r="D171" i="8"/>
  <c r="A172" i="8"/>
  <c r="C172" i="8"/>
  <c r="D172" i="8"/>
  <c r="A173" i="8"/>
  <c r="C173" i="8"/>
  <c r="D173" i="8"/>
  <c r="A174" i="8"/>
  <c r="C174" i="8"/>
  <c r="D174" i="8"/>
  <c r="A175" i="8"/>
  <c r="C175" i="8"/>
  <c r="D175" i="8"/>
  <c r="A176" i="8"/>
  <c r="C176" i="8"/>
  <c r="D176" i="8"/>
  <c r="A177" i="8"/>
  <c r="C177" i="8"/>
  <c r="D177" i="8"/>
  <c r="A178" i="8"/>
  <c r="C178" i="8"/>
  <c r="D178" i="8"/>
  <c r="A179" i="8"/>
  <c r="C179" i="8"/>
  <c r="D179" i="8"/>
  <c r="A180" i="8"/>
  <c r="C180" i="8"/>
  <c r="D180" i="8"/>
  <c r="A181" i="8"/>
  <c r="C181" i="8"/>
  <c r="D181" i="8"/>
  <c r="A182" i="8"/>
  <c r="C182" i="8"/>
  <c r="D182" i="8"/>
  <c r="A183" i="8"/>
  <c r="C183" i="8"/>
  <c r="D183" i="8"/>
  <c r="A184" i="8"/>
  <c r="C184" i="8"/>
  <c r="D184" i="8"/>
  <c r="A185" i="8"/>
  <c r="C185" i="8"/>
  <c r="D185" i="8"/>
  <c r="A186" i="8"/>
  <c r="C186" i="8"/>
  <c r="D186" i="8"/>
  <c r="A187" i="8"/>
  <c r="C187" i="8"/>
  <c r="D187" i="8"/>
  <c r="A188" i="8"/>
  <c r="C188" i="8"/>
  <c r="D188" i="8"/>
  <c r="A189" i="8"/>
  <c r="C189" i="8"/>
  <c r="D189" i="8"/>
  <c r="A190" i="8"/>
  <c r="C190" i="8"/>
  <c r="D190" i="8"/>
  <c r="A191" i="8"/>
  <c r="C191" i="8"/>
  <c r="D191" i="8"/>
  <c r="A192" i="8"/>
  <c r="C192" i="8"/>
  <c r="D192" i="8"/>
  <c r="A193" i="8"/>
  <c r="C193" i="8"/>
  <c r="D193" i="8"/>
  <c r="A194" i="8"/>
  <c r="C194" i="8"/>
  <c r="D194" i="8"/>
  <c r="A195" i="8"/>
  <c r="C195" i="8"/>
  <c r="D195" i="8"/>
  <c r="A196" i="8"/>
  <c r="C196" i="8"/>
  <c r="D196" i="8"/>
  <c r="A197" i="8"/>
  <c r="C197" i="8"/>
  <c r="D197" i="8"/>
  <c r="A198" i="8"/>
  <c r="C198" i="8"/>
  <c r="D198" i="8"/>
  <c r="A199" i="8"/>
  <c r="C199" i="8"/>
  <c r="D199" i="8"/>
  <c r="A200" i="8"/>
  <c r="C200" i="8"/>
  <c r="D200" i="8"/>
  <c r="A201" i="8"/>
  <c r="C201" i="8"/>
  <c r="D201" i="8"/>
  <c r="A202" i="8"/>
  <c r="C202" i="8"/>
  <c r="D202" i="8"/>
  <c r="A203" i="8"/>
  <c r="C203" i="8"/>
  <c r="D203" i="8"/>
  <c r="A204" i="8"/>
  <c r="C204" i="8"/>
  <c r="D204" i="8"/>
  <c r="A205" i="8"/>
  <c r="C205" i="8"/>
  <c r="D205" i="8"/>
  <c r="A206" i="8"/>
  <c r="C206" i="8"/>
  <c r="D206" i="8"/>
  <c r="A207" i="8"/>
  <c r="C207" i="8"/>
  <c r="D207" i="8"/>
  <c r="A208" i="8"/>
  <c r="C208" i="8"/>
  <c r="D208" i="8"/>
  <c r="A209" i="8"/>
  <c r="C209" i="8"/>
  <c r="D209" i="8"/>
  <c r="A210" i="8"/>
  <c r="C210" i="8"/>
  <c r="D210" i="8"/>
  <c r="A211" i="8"/>
  <c r="C211" i="8"/>
  <c r="D211" i="8"/>
  <c r="A212" i="8"/>
  <c r="C212" i="8"/>
  <c r="D212" i="8"/>
  <c r="A213" i="8"/>
  <c r="C213" i="8"/>
  <c r="D213" i="8"/>
  <c r="A214" i="8"/>
  <c r="C214" i="8"/>
  <c r="D214" i="8"/>
  <c r="A215" i="8"/>
  <c r="C215" i="8"/>
  <c r="D215" i="8"/>
  <c r="A216" i="8"/>
  <c r="C216" i="8"/>
  <c r="D216" i="8"/>
  <c r="A217" i="8"/>
  <c r="C217" i="8"/>
  <c r="D217" i="8"/>
  <c r="A218" i="8"/>
  <c r="C218" i="8"/>
  <c r="D218" i="8"/>
  <c r="A219" i="8"/>
  <c r="C219" i="8"/>
  <c r="D219" i="8"/>
  <c r="A220" i="8"/>
  <c r="C220" i="8"/>
  <c r="D220" i="8"/>
  <c r="A221" i="8"/>
  <c r="C221" i="8"/>
  <c r="D221" i="8"/>
  <c r="A222" i="8"/>
  <c r="C222" i="8"/>
  <c r="D222" i="8"/>
  <c r="A223" i="8"/>
  <c r="C223" i="8"/>
  <c r="D223" i="8"/>
  <c r="A224" i="8"/>
  <c r="C224" i="8"/>
  <c r="D224" i="8"/>
  <c r="A225" i="8"/>
  <c r="C225" i="8"/>
  <c r="D225" i="8"/>
  <c r="A226" i="8"/>
  <c r="C226" i="8"/>
  <c r="D226" i="8"/>
  <c r="A227" i="8"/>
  <c r="C227" i="8"/>
  <c r="D227" i="8"/>
  <c r="A228" i="8"/>
  <c r="C228" i="8"/>
  <c r="D228" i="8"/>
  <c r="A229" i="8"/>
  <c r="C229" i="8"/>
  <c r="D229" i="8"/>
  <c r="A230" i="8"/>
  <c r="C230" i="8"/>
  <c r="D230" i="8"/>
  <c r="A231" i="8"/>
  <c r="C231" i="8"/>
  <c r="D231" i="8"/>
  <c r="A232" i="8"/>
  <c r="C232" i="8"/>
  <c r="D232" i="8"/>
  <c r="A233" i="8"/>
  <c r="C233" i="8"/>
  <c r="D233" i="8"/>
  <c r="A234" i="8"/>
  <c r="C234" i="8"/>
  <c r="D234" i="8"/>
  <c r="A235" i="8"/>
  <c r="C235" i="8"/>
  <c r="D235" i="8"/>
  <c r="A236" i="8"/>
  <c r="C236" i="8"/>
  <c r="D236" i="8"/>
  <c r="A237" i="8"/>
  <c r="C237" i="8"/>
  <c r="D237" i="8"/>
  <c r="A238" i="8"/>
  <c r="C238" i="8"/>
  <c r="D238" i="8"/>
  <c r="A239" i="8"/>
  <c r="C239" i="8"/>
  <c r="D239" i="8"/>
  <c r="A240" i="8"/>
  <c r="C240" i="8"/>
  <c r="D240" i="8"/>
  <c r="A241" i="8"/>
  <c r="C241" i="8"/>
  <c r="D241" i="8"/>
  <c r="A242" i="8"/>
  <c r="C242" i="8"/>
  <c r="D242" i="8"/>
  <c r="A243" i="8"/>
  <c r="C243" i="8"/>
  <c r="D243" i="8"/>
  <c r="A244" i="8"/>
  <c r="C244" i="8"/>
  <c r="D244" i="8"/>
  <c r="A245" i="8"/>
  <c r="C245" i="8"/>
  <c r="D245" i="8"/>
  <c r="A246" i="8"/>
  <c r="C246" i="8"/>
  <c r="D246" i="8"/>
  <c r="A247" i="8"/>
  <c r="C247" i="8"/>
  <c r="D247" i="8"/>
  <c r="A248" i="8"/>
  <c r="C248" i="8"/>
  <c r="D248" i="8"/>
  <c r="A249" i="8"/>
  <c r="C249" i="8"/>
  <c r="D249" i="8"/>
  <c r="A250" i="8"/>
  <c r="C250" i="8"/>
  <c r="D250" i="8"/>
  <c r="A251" i="8"/>
  <c r="C251" i="8"/>
  <c r="D251" i="8"/>
  <c r="A252" i="8"/>
  <c r="C252" i="8"/>
  <c r="D252" i="8"/>
  <c r="A253" i="8"/>
  <c r="C253" i="8"/>
  <c r="D253" i="8"/>
  <c r="A254" i="8"/>
  <c r="C254" i="8"/>
  <c r="D254" i="8"/>
  <c r="A255" i="8"/>
  <c r="C255" i="8"/>
  <c r="D255" i="8"/>
  <c r="A256" i="8"/>
  <c r="C256" i="8"/>
  <c r="D256" i="8"/>
  <c r="A257" i="8"/>
  <c r="C257" i="8"/>
  <c r="D257" i="8"/>
  <c r="A258" i="8"/>
  <c r="C258" i="8"/>
  <c r="D258" i="8"/>
  <c r="A259" i="8"/>
  <c r="C259" i="8"/>
  <c r="D259" i="8"/>
  <c r="A260" i="8"/>
  <c r="C260" i="8"/>
  <c r="D260" i="8"/>
  <c r="A261" i="8"/>
  <c r="C261" i="8"/>
  <c r="D261" i="8"/>
  <c r="A262" i="8"/>
  <c r="C262" i="8"/>
  <c r="D262" i="8"/>
  <c r="A263" i="8"/>
  <c r="C263" i="8"/>
  <c r="D263" i="8"/>
  <c r="A264" i="8"/>
  <c r="C264" i="8"/>
  <c r="D264" i="8"/>
  <c r="A265" i="8"/>
  <c r="C265" i="8"/>
  <c r="D265" i="8"/>
  <c r="A266" i="8"/>
  <c r="C266" i="8"/>
  <c r="D266" i="8"/>
  <c r="A267" i="8"/>
  <c r="C267" i="8"/>
  <c r="D267" i="8"/>
  <c r="A268" i="8"/>
  <c r="C268" i="8"/>
  <c r="D268" i="8"/>
  <c r="A269" i="8"/>
  <c r="C269" i="8"/>
  <c r="D269" i="8"/>
  <c r="A270" i="8"/>
  <c r="C270" i="8"/>
  <c r="D270" i="8"/>
  <c r="A271" i="8"/>
  <c r="C271" i="8"/>
  <c r="D271" i="8"/>
  <c r="A272" i="8"/>
  <c r="C272" i="8"/>
  <c r="D272" i="8"/>
  <c r="A273" i="8"/>
  <c r="C273" i="8"/>
  <c r="D273" i="8"/>
  <c r="A274" i="8"/>
  <c r="C274" i="8"/>
  <c r="D274" i="8"/>
  <c r="A275" i="8"/>
  <c r="C275" i="8"/>
  <c r="D275" i="8"/>
  <c r="A276" i="8"/>
  <c r="C276" i="8"/>
  <c r="D276" i="8"/>
  <c r="A277" i="8"/>
  <c r="C277" i="8"/>
  <c r="D277" i="8"/>
  <c r="A278" i="8"/>
  <c r="C278" i="8"/>
  <c r="D278" i="8"/>
  <c r="A279" i="8"/>
  <c r="C279" i="8"/>
  <c r="D279" i="8"/>
  <c r="A280" i="8"/>
  <c r="C280" i="8"/>
  <c r="D280" i="8"/>
  <c r="A281" i="8"/>
  <c r="C281" i="8"/>
  <c r="D281" i="8"/>
  <c r="A282" i="8"/>
  <c r="C282" i="8"/>
  <c r="D282" i="8"/>
  <c r="A283" i="8"/>
  <c r="C283" i="8"/>
  <c r="D283" i="8"/>
  <c r="A284" i="8"/>
  <c r="C284" i="8"/>
  <c r="D284" i="8"/>
  <c r="A285" i="8"/>
  <c r="C285" i="8"/>
  <c r="D285" i="8"/>
  <c r="A286" i="8"/>
  <c r="C286" i="8"/>
  <c r="D286" i="8"/>
  <c r="A287" i="8"/>
  <c r="C287" i="8"/>
  <c r="D287" i="8"/>
  <c r="A288" i="8"/>
  <c r="C288" i="8"/>
  <c r="D288" i="8"/>
  <c r="A289" i="8"/>
  <c r="C289" i="8"/>
  <c r="D289" i="8"/>
  <c r="A290" i="8"/>
  <c r="C290" i="8"/>
  <c r="D290" i="8"/>
  <c r="A291" i="8"/>
  <c r="C291" i="8"/>
  <c r="D291" i="8"/>
  <c r="A292" i="8"/>
  <c r="C292" i="8"/>
  <c r="D292" i="8"/>
  <c r="A293" i="8"/>
  <c r="C293" i="8"/>
  <c r="D293" i="8"/>
  <c r="A294" i="8"/>
  <c r="C294" i="8"/>
  <c r="D294" i="8"/>
  <c r="A295" i="8"/>
  <c r="C295" i="8"/>
  <c r="D295" i="8"/>
  <c r="A296" i="8"/>
  <c r="C296" i="8"/>
  <c r="D296" i="8"/>
  <c r="A297" i="8"/>
  <c r="C297" i="8"/>
  <c r="D297" i="8"/>
  <c r="A298" i="8"/>
  <c r="C298" i="8"/>
  <c r="D298" i="8"/>
  <c r="A299" i="8"/>
  <c r="C299" i="8"/>
  <c r="D299" i="8"/>
  <c r="A300" i="8"/>
  <c r="C300" i="8"/>
  <c r="D300" i="8"/>
  <c r="A301" i="8"/>
  <c r="C301" i="8"/>
  <c r="D301" i="8"/>
  <c r="A302" i="8"/>
  <c r="C302" i="8"/>
  <c r="D302" i="8"/>
  <c r="A303" i="8"/>
  <c r="C303" i="8"/>
  <c r="D303" i="8"/>
  <c r="A304" i="8"/>
  <c r="C304" i="8"/>
  <c r="D304" i="8"/>
  <c r="A305" i="8"/>
  <c r="C305" i="8"/>
  <c r="D305" i="8"/>
  <c r="A306" i="8"/>
  <c r="C306" i="8"/>
  <c r="D306" i="8"/>
  <c r="A307" i="8"/>
  <c r="C307" i="8"/>
  <c r="D307" i="8"/>
  <c r="A308" i="8"/>
  <c r="C308" i="8"/>
  <c r="D308" i="8"/>
  <c r="A309" i="8"/>
  <c r="C309" i="8"/>
  <c r="D309" i="8"/>
  <c r="A310" i="8"/>
  <c r="C310" i="8"/>
  <c r="D310" i="8"/>
  <c r="A311" i="8"/>
  <c r="C311" i="8"/>
  <c r="D311" i="8"/>
  <c r="A312" i="8"/>
  <c r="C312" i="8"/>
  <c r="D312" i="8"/>
  <c r="A313" i="8"/>
  <c r="C313" i="8"/>
  <c r="D313" i="8"/>
  <c r="A314" i="8"/>
  <c r="C314" i="8"/>
  <c r="D314" i="8"/>
  <c r="A315" i="8"/>
  <c r="C315" i="8"/>
  <c r="D315" i="8"/>
  <c r="A316" i="8"/>
  <c r="C316" i="8"/>
  <c r="D316" i="8"/>
  <c r="A317" i="8"/>
  <c r="C317" i="8"/>
  <c r="D317" i="8"/>
  <c r="A318" i="8"/>
  <c r="C318" i="8"/>
  <c r="D318" i="8"/>
  <c r="A319" i="8"/>
  <c r="C319" i="8"/>
  <c r="D319" i="8"/>
  <c r="A320" i="8"/>
  <c r="C320" i="8"/>
  <c r="D320" i="8"/>
  <c r="A321" i="8"/>
  <c r="C321" i="8"/>
  <c r="D321" i="8"/>
  <c r="A322" i="8"/>
  <c r="C322" i="8"/>
  <c r="D322" i="8"/>
  <c r="A323" i="8"/>
  <c r="C323" i="8"/>
  <c r="D323" i="8"/>
  <c r="A324" i="8"/>
  <c r="C324" i="8"/>
  <c r="D324" i="8"/>
  <c r="A325" i="8"/>
  <c r="C325" i="8"/>
  <c r="D325" i="8"/>
  <c r="A326" i="8"/>
  <c r="C326" i="8"/>
  <c r="D326" i="8"/>
  <c r="A327" i="8"/>
  <c r="C327" i="8"/>
  <c r="D327" i="8"/>
  <c r="A328" i="8"/>
  <c r="C328" i="8"/>
  <c r="D328" i="8"/>
  <c r="A329" i="8"/>
  <c r="C329" i="8"/>
  <c r="D329" i="8"/>
  <c r="A330" i="8"/>
  <c r="C330" i="8"/>
  <c r="D330" i="8"/>
  <c r="A331" i="8"/>
  <c r="C331" i="8"/>
  <c r="D331" i="8"/>
  <c r="A332" i="8"/>
  <c r="C332" i="8"/>
  <c r="D332" i="8"/>
  <c r="A333" i="8"/>
  <c r="C333" i="8"/>
  <c r="D333" i="8"/>
  <c r="A334" i="8"/>
  <c r="C334" i="8"/>
  <c r="D334" i="8"/>
  <c r="A335" i="8"/>
  <c r="C335" i="8"/>
  <c r="D335" i="8"/>
  <c r="A336" i="8"/>
  <c r="C336" i="8"/>
  <c r="D336" i="8"/>
  <c r="A337" i="8"/>
  <c r="C337" i="8"/>
  <c r="D337" i="8"/>
  <c r="A338" i="8"/>
  <c r="C338" i="8"/>
  <c r="D338" i="8"/>
  <c r="A339" i="8"/>
  <c r="C339" i="8"/>
  <c r="D339" i="8"/>
  <c r="A340" i="8"/>
  <c r="C340" i="8"/>
  <c r="D340" i="8"/>
  <c r="A341" i="8"/>
  <c r="C341" i="8"/>
  <c r="D341" i="8"/>
  <c r="A342" i="8"/>
  <c r="C342" i="8"/>
  <c r="D342" i="8"/>
  <c r="A343" i="8"/>
  <c r="C343" i="8"/>
  <c r="D343" i="8"/>
  <c r="A344" i="8"/>
  <c r="C344" i="8"/>
  <c r="D344" i="8"/>
  <c r="A345" i="8"/>
  <c r="C345" i="8"/>
  <c r="D345" i="8"/>
  <c r="A346" i="8"/>
  <c r="C346" i="8"/>
  <c r="D346" i="8"/>
  <c r="A347" i="8"/>
  <c r="C347" i="8"/>
  <c r="D347" i="8"/>
  <c r="A348" i="8"/>
  <c r="C348" i="8"/>
  <c r="D348" i="8"/>
  <c r="A349" i="8"/>
  <c r="C349" i="8"/>
  <c r="D349" i="8"/>
  <c r="A350" i="8"/>
  <c r="C350" i="8"/>
  <c r="D350" i="8"/>
  <c r="A351" i="8"/>
  <c r="C351" i="8"/>
  <c r="D351" i="8"/>
  <c r="A352" i="8"/>
  <c r="C352" i="8"/>
  <c r="D352" i="8"/>
  <c r="A353" i="8"/>
  <c r="C353" i="8"/>
  <c r="D353" i="8"/>
  <c r="A354" i="8"/>
  <c r="C354" i="8"/>
  <c r="D354" i="8"/>
  <c r="A355" i="8"/>
  <c r="C355" i="8"/>
  <c r="D355" i="8"/>
  <c r="A356" i="8"/>
  <c r="C356" i="8"/>
  <c r="D356" i="8"/>
  <c r="A357" i="8"/>
  <c r="C357" i="8"/>
  <c r="D357" i="8"/>
  <c r="A358" i="8"/>
  <c r="C358" i="8"/>
  <c r="D358" i="8"/>
  <c r="A359" i="8"/>
  <c r="C359" i="8"/>
  <c r="D359" i="8"/>
  <c r="A360" i="8"/>
  <c r="C360" i="8"/>
  <c r="D360" i="8"/>
  <c r="A361" i="8"/>
  <c r="C361" i="8"/>
  <c r="D361" i="8"/>
  <c r="A362" i="8"/>
  <c r="C362" i="8"/>
  <c r="D362" i="8"/>
  <c r="A363" i="8"/>
  <c r="C363" i="8"/>
  <c r="D363" i="8"/>
  <c r="A364" i="8"/>
  <c r="C364" i="8"/>
  <c r="D364" i="8"/>
  <c r="A365" i="8"/>
  <c r="C365" i="8"/>
  <c r="D365" i="8"/>
  <c r="A366" i="8"/>
  <c r="C366" i="8"/>
  <c r="D366" i="8"/>
  <c r="A367" i="8"/>
  <c r="C367" i="8"/>
  <c r="D367" i="8"/>
  <c r="A368" i="8"/>
  <c r="C368" i="8"/>
  <c r="D368" i="8"/>
  <c r="A369" i="8"/>
  <c r="C369" i="8"/>
  <c r="D369" i="8"/>
  <c r="A370" i="8"/>
  <c r="C370" i="8"/>
  <c r="D370" i="8"/>
  <c r="A371" i="8"/>
  <c r="C371" i="8"/>
  <c r="D371" i="8"/>
  <c r="A372" i="8"/>
  <c r="C372" i="8"/>
  <c r="D372" i="8"/>
  <c r="A373" i="8"/>
  <c r="C373" i="8"/>
  <c r="D373" i="8"/>
  <c r="A374" i="8"/>
  <c r="C374" i="8"/>
  <c r="D374" i="8"/>
  <c r="A375" i="8"/>
  <c r="C375" i="8"/>
  <c r="D375" i="8"/>
  <c r="A376" i="8"/>
  <c r="C376" i="8"/>
  <c r="D376" i="8"/>
  <c r="A377" i="8"/>
  <c r="C377" i="8"/>
  <c r="D377" i="8"/>
  <c r="A378" i="8"/>
  <c r="C378" i="8"/>
  <c r="D378" i="8"/>
  <c r="A379" i="8"/>
  <c r="C379" i="8"/>
  <c r="D379" i="8"/>
  <c r="A380" i="8"/>
  <c r="C380" i="8"/>
  <c r="D380" i="8"/>
  <c r="A381" i="8"/>
  <c r="C381" i="8"/>
  <c r="D381" i="8"/>
  <c r="A382" i="8"/>
  <c r="C382" i="8"/>
  <c r="D382" i="8"/>
  <c r="A383" i="8"/>
  <c r="C383" i="8"/>
  <c r="D383" i="8"/>
  <c r="A384" i="8"/>
  <c r="C384" i="8"/>
  <c r="D384" i="8"/>
  <c r="A385" i="8"/>
  <c r="C385" i="8"/>
  <c r="D385" i="8"/>
  <c r="A386" i="8"/>
  <c r="C386" i="8"/>
  <c r="D386" i="8"/>
  <c r="A387" i="8"/>
  <c r="C387" i="8"/>
  <c r="D387" i="8"/>
  <c r="A388" i="8"/>
  <c r="C388" i="8"/>
  <c r="D388" i="8"/>
  <c r="A389" i="8"/>
  <c r="C389" i="8"/>
  <c r="D389" i="8"/>
  <c r="A390" i="8"/>
  <c r="C390" i="8"/>
  <c r="D390" i="8"/>
  <c r="A391" i="8"/>
  <c r="C391" i="8"/>
  <c r="D391" i="8"/>
  <c r="A392" i="8"/>
  <c r="C392" i="8"/>
  <c r="D392" i="8"/>
  <c r="A393" i="8"/>
  <c r="C393" i="8"/>
  <c r="D393" i="8"/>
  <c r="A394" i="8"/>
  <c r="C394" i="8"/>
  <c r="D394" i="8"/>
  <c r="A395" i="8"/>
  <c r="C395" i="8"/>
  <c r="D395" i="8"/>
  <c r="A396" i="8"/>
  <c r="C396" i="8"/>
  <c r="D396" i="8"/>
  <c r="A397" i="8"/>
  <c r="C397" i="8"/>
  <c r="D397" i="8"/>
  <c r="A398" i="8"/>
  <c r="C398" i="8"/>
  <c r="D398" i="8"/>
  <c r="A399" i="8"/>
  <c r="C399" i="8"/>
  <c r="D399" i="8"/>
  <c r="A400" i="8"/>
  <c r="C400" i="8"/>
  <c r="D400" i="8"/>
  <c r="A401" i="8"/>
  <c r="C401" i="8"/>
  <c r="D401" i="8"/>
  <c r="A402" i="8"/>
  <c r="C402" i="8"/>
  <c r="D402" i="8"/>
  <c r="A403" i="8"/>
  <c r="C403" i="8"/>
  <c r="D403" i="8"/>
  <c r="A404" i="8"/>
  <c r="C404" i="8"/>
  <c r="D404" i="8"/>
  <c r="A405" i="8"/>
  <c r="C405" i="8"/>
  <c r="D405" i="8"/>
  <c r="A406" i="8"/>
  <c r="C406" i="8"/>
  <c r="D406" i="8"/>
  <c r="A407" i="8"/>
  <c r="C407" i="8"/>
  <c r="D407" i="8"/>
  <c r="A408" i="8"/>
  <c r="C408" i="8"/>
  <c r="D408" i="8"/>
  <c r="A409" i="8"/>
  <c r="C409" i="8"/>
  <c r="D409" i="8"/>
  <c r="A410" i="8"/>
  <c r="C410" i="8"/>
  <c r="D410" i="8"/>
  <c r="A411" i="8"/>
  <c r="C411" i="8"/>
  <c r="D411" i="8"/>
  <c r="A412" i="8"/>
  <c r="C412" i="8"/>
  <c r="D412" i="8"/>
  <c r="A413" i="8"/>
  <c r="C413" i="8"/>
  <c r="D413" i="8"/>
  <c r="A414" i="8"/>
  <c r="C414" i="8"/>
  <c r="D414" i="8"/>
  <c r="A415" i="8"/>
  <c r="C415" i="8"/>
  <c r="D415" i="8"/>
  <c r="A416" i="8"/>
  <c r="C416" i="8"/>
  <c r="D416" i="8"/>
  <c r="A417" i="8"/>
  <c r="C417" i="8"/>
  <c r="D417" i="8"/>
  <c r="A418" i="8"/>
  <c r="C418" i="8"/>
  <c r="D418" i="8"/>
  <c r="A419" i="8"/>
  <c r="C419" i="8"/>
  <c r="D419" i="8"/>
  <c r="A420" i="8"/>
  <c r="C420" i="8"/>
  <c r="D420" i="8"/>
  <c r="A421" i="8"/>
  <c r="C421" i="8"/>
  <c r="D421" i="8"/>
  <c r="A422" i="8"/>
  <c r="C422" i="8"/>
  <c r="D422" i="8"/>
  <c r="A423" i="8"/>
  <c r="C423" i="8"/>
  <c r="D423" i="8"/>
  <c r="A424" i="8"/>
  <c r="C424" i="8"/>
  <c r="D424" i="8"/>
  <c r="A425" i="8"/>
  <c r="C425" i="8"/>
  <c r="D425" i="8"/>
  <c r="A426" i="8"/>
  <c r="C426" i="8"/>
  <c r="D426" i="8"/>
  <c r="A427" i="8"/>
  <c r="C427" i="8"/>
  <c r="D427" i="8"/>
  <c r="A428" i="8"/>
  <c r="C428" i="8"/>
  <c r="D428" i="8"/>
  <c r="A429" i="8"/>
  <c r="C429" i="8"/>
  <c r="D429" i="8"/>
  <c r="A430" i="8"/>
  <c r="C430" i="8"/>
  <c r="D430" i="8"/>
  <c r="A431" i="8"/>
  <c r="C431" i="8"/>
  <c r="D431" i="8"/>
  <c r="A432" i="8"/>
  <c r="C432" i="8"/>
  <c r="D432" i="8"/>
  <c r="A433" i="8"/>
  <c r="C433" i="8"/>
  <c r="D433" i="8"/>
  <c r="A434" i="8"/>
  <c r="C434" i="8"/>
  <c r="D434" i="8"/>
  <c r="A435" i="8"/>
  <c r="C435" i="8"/>
  <c r="D435" i="8"/>
  <c r="A436" i="8"/>
  <c r="C436" i="8"/>
  <c r="D436" i="8"/>
  <c r="A437" i="8"/>
  <c r="C437" i="8"/>
  <c r="D437" i="8"/>
  <c r="A438" i="8"/>
  <c r="C438" i="8"/>
  <c r="D438" i="8"/>
  <c r="A439" i="8"/>
  <c r="C439" i="8"/>
  <c r="D439" i="8"/>
  <c r="A440" i="8"/>
  <c r="C440" i="8"/>
  <c r="D440" i="8"/>
  <c r="A441" i="8"/>
  <c r="C441" i="8"/>
  <c r="D441" i="8"/>
  <c r="A442" i="8"/>
  <c r="C442" i="8"/>
  <c r="D442" i="8"/>
  <c r="A443" i="8"/>
  <c r="C443" i="8"/>
  <c r="D443" i="8"/>
  <c r="A444" i="8"/>
  <c r="C444" i="8"/>
  <c r="D444" i="8"/>
  <c r="A445" i="8"/>
  <c r="C445" i="8"/>
  <c r="D445" i="8"/>
  <c r="A446" i="8"/>
  <c r="C446" i="8"/>
  <c r="D446" i="8"/>
  <c r="A447" i="8"/>
  <c r="C447" i="8"/>
  <c r="D447" i="8"/>
  <c r="A448" i="8"/>
  <c r="C448" i="8"/>
  <c r="D448" i="8"/>
  <c r="A449" i="8"/>
  <c r="C449" i="8"/>
  <c r="D449" i="8"/>
  <c r="A450" i="8"/>
  <c r="C450" i="8"/>
  <c r="D450" i="8"/>
  <c r="A451" i="8"/>
  <c r="C451" i="8"/>
  <c r="D451" i="8"/>
  <c r="A452" i="8"/>
  <c r="C452" i="8"/>
  <c r="D452" i="8"/>
  <c r="A453" i="8"/>
  <c r="C453" i="8"/>
  <c r="D453" i="8"/>
  <c r="A454" i="8"/>
  <c r="C454" i="8"/>
  <c r="D454" i="8"/>
  <c r="A455" i="8"/>
  <c r="C455" i="8"/>
  <c r="D455" i="8"/>
  <c r="A456" i="8"/>
  <c r="C456" i="8"/>
  <c r="D456" i="8"/>
  <c r="A457" i="8"/>
  <c r="C457" i="8"/>
  <c r="D457" i="8"/>
  <c r="A458" i="8"/>
  <c r="C458" i="8"/>
  <c r="D458" i="8"/>
  <c r="A459" i="8"/>
  <c r="C459" i="8"/>
  <c r="D459" i="8"/>
  <c r="A460" i="8"/>
  <c r="C460" i="8"/>
  <c r="D460" i="8"/>
  <c r="A461" i="8"/>
  <c r="C461" i="8"/>
  <c r="D461" i="8"/>
  <c r="A462" i="8"/>
  <c r="C462" i="8"/>
  <c r="D462" i="8"/>
  <c r="A463" i="8"/>
  <c r="C463" i="8"/>
  <c r="D463" i="8"/>
  <c r="A464" i="8"/>
  <c r="C464" i="8"/>
  <c r="D464" i="8"/>
  <c r="A465" i="8"/>
  <c r="C465" i="8"/>
  <c r="D465" i="8"/>
  <c r="A466" i="8"/>
  <c r="C466" i="8"/>
  <c r="D466" i="8"/>
  <c r="A467" i="8"/>
  <c r="C467" i="8"/>
  <c r="D467" i="8"/>
  <c r="A468" i="8"/>
  <c r="C468" i="8"/>
  <c r="D468" i="8"/>
  <c r="A469" i="8"/>
  <c r="C469" i="8"/>
  <c r="D469" i="8"/>
  <c r="A470" i="8"/>
  <c r="C470" i="8"/>
  <c r="D470" i="8"/>
  <c r="A471" i="8"/>
  <c r="C471" i="8"/>
  <c r="D471" i="8"/>
  <c r="A472" i="8"/>
  <c r="C472" i="8"/>
  <c r="D472" i="8"/>
  <c r="A473" i="8"/>
  <c r="C473" i="8"/>
  <c r="D473" i="8"/>
  <c r="A474" i="8"/>
  <c r="C474" i="8"/>
  <c r="D474" i="8"/>
  <c r="A475" i="8"/>
  <c r="C475" i="8"/>
  <c r="D475" i="8"/>
  <c r="A476" i="8"/>
  <c r="C476" i="8"/>
  <c r="D476" i="8"/>
  <c r="A477" i="8"/>
  <c r="C477" i="8"/>
  <c r="D477" i="8"/>
  <c r="A478" i="8"/>
  <c r="C478" i="8"/>
  <c r="D478" i="8"/>
  <c r="A479" i="8"/>
  <c r="C479" i="8"/>
  <c r="D479" i="8"/>
  <c r="A480" i="8"/>
  <c r="C480" i="8"/>
  <c r="D480" i="8"/>
  <c r="A481" i="8"/>
  <c r="C481" i="8"/>
  <c r="D481" i="8"/>
  <c r="A482" i="8"/>
  <c r="C482" i="8"/>
  <c r="D482" i="8"/>
  <c r="A483" i="8"/>
  <c r="C483" i="8"/>
  <c r="D483" i="8"/>
  <c r="A484" i="8"/>
  <c r="C484" i="8"/>
  <c r="D484" i="8"/>
  <c r="A485" i="8"/>
  <c r="C485" i="8"/>
  <c r="D485" i="8"/>
  <c r="A486" i="8"/>
  <c r="C486" i="8"/>
  <c r="D486" i="8"/>
  <c r="A487" i="8"/>
  <c r="C487" i="8"/>
  <c r="D487" i="8"/>
  <c r="A488" i="8"/>
  <c r="C488" i="8"/>
  <c r="D488" i="8"/>
  <c r="A489" i="8"/>
  <c r="C489" i="8"/>
  <c r="D489" i="8"/>
  <c r="A490" i="8"/>
  <c r="C490" i="8"/>
  <c r="D490" i="8"/>
  <c r="A491" i="8"/>
  <c r="C491" i="8"/>
  <c r="D491" i="8"/>
  <c r="A492" i="8"/>
  <c r="C492" i="8"/>
  <c r="D492" i="8"/>
  <c r="A493" i="8"/>
  <c r="C493" i="8"/>
  <c r="D493" i="8"/>
  <c r="A494" i="8"/>
  <c r="C494" i="8"/>
  <c r="D494" i="8"/>
  <c r="A495" i="8"/>
  <c r="C495" i="8"/>
  <c r="D495" i="8"/>
  <c r="A496" i="8"/>
  <c r="C496" i="8"/>
  <c r="D496" i="8"/>
  <c r="A497" i="8"/>
  <c r="C497" i="8"/>
  <c r="D497" i="8"/>
  <c r="A498" i="8"/>
  <c r="C498" i="8"/>
  <c r="D498" i="8"/>
  <c r="A499" i="8"/>
  <c r="C499" i="8"/>
  <c r="D499" i="8"/>
  <c r="A500" i="8"/>
  <c r="C500" i="8"/>
  <c r="D500" i="8"/>
  <c r="A501" i="8"/>
  <c r="C501" i="8"/>
  <c r="D501" i="8"/>
  <c r="A502" i="8"/>
  <c r="C502" i="8"/>
  <c r="D502" i="8"/>
  <c r="A503" i="8"/>
  <c r="C503" i="8"/>
  <c r="D503" i="8"/>
  <c r="A504" i="8"/>
  <c r="C504" i="8"/>
  <c r="D504" i="8"/>
  <c r="A505" i="8"/>
  <c r="C505" i="8"/>
  <c r="D505" i="8"/>
  <c r="A506" i="8"/>
  <c r="C506" i="8"/>
  <c r="D506" i="8"/>
  <c r="A507" i="8"/>
  <c r="C507" i="8"/>
  <c r="D507" i="8"/>
  <c r="A508" i="8"/>
  <c r="C508" i="8"/>
  <c r="D508" i="8"/>
  <c r="A509" i="8"/>
  <c r="C509" i="8"/>
  <c r="D509" i="8"/>
  <c r="A510" i="8"/>
  <c r="C510" i="8"/>
  <c r="D510" i="8"/>
  <c r="A511" i="8"/>
  <c r="C511" i="8"/>
  <c r="D511" i="8"/>
  <c r="A512" i="8"/>
  <c r="C512" i="8"/>
  <c r="D512" i="8"/>
  <c r="A513" i="8"/>
  <c r="C513" i="8"/>
  <c r="D513" i="8"/>
  <c r="A514" i="8"/>
  <c r="C514" i="8"/>
  <c r="D514" i="8"/>
  <c r="A515" i="8"/>
  <c r="C515" i="8"/>
  <c r="D515" i="8"/>
  <c r="A516" i="8"/>
  <c r="C516" i="8"/>
  <c r="D516" i="8"/>
  <c r="A517" i="8"/>
  <c r="C517" i="8"/>
  <c r="D517" i="8"/>
  <c r="A518" i="8"/>
  <c r="C518" i="8"/>
  <c r="D518" i="8"/>
  <c r="A519" i="8"/>
  <c r="C519" i="8"/>
  <c r="D519" i="8"/>
  <c r="A520" i="8"/>
  <c r="C520" i="8"/>
  <c r="D520" i="8"/>
  <c r="A521" i="8"/>
  <c r="C521" i="8"/>
  <c r="D521" i="8"/>
  <c r="A522" i="8"/>
  <c r="C522" i="8"/>
  <c r="D522" i="8"/>
  <c r="A523" i="8"/>
  <c r="C523" i="8"/>
  <c r="D523" i="8"/>
  <c r="A524" i="8"/>
  <c r="C524" i="8"/>
  <c r="D524" i="8"/>
  <c r="A525" i="8"/>
  <c r="C525" i="8"/>
  <c r="D525" i="8"/>
  <c r="A526" i="8"/>
  <c r="C526" i="8"/>
  <c r="D526" i="8"/>
  <c r="A527" i="8"/>
  <c r="C527" i="8"/>
  <c r="D527" i="8"/>
  <c r="A528" i="8"/>
  <c r="C528" i="8"/>
  <c r="D528" i="8"/>
  <c r="A529" i="8"/>
  <c r="C529" i="8"/>
  <c r="D529" i="8"/>
  <c r="A530" i="8"/>
  <c r="C530" i="8"/>
  <c r="D530" i="8"/>
  <c r="A531" i="8"/>
  <c r="C531" i="8"/>
  <c r="D531" i="8"/>
  <c r="A532" i="8"/>
  <c r="C532" i="8"/>
  <c r="D532" i="8"/>
  <c r="A533" i="8"/>
  <c r="C533" i="8"/>
  <c r="D533" i="8"/>
  <c r="A534" i="8"/>
  <c r="C534" i="8"/>
  <c r="D534" i="8"/>
  <c r="A535" i="8"/>
  <c r="C535" i="8"/>
  <c r="D535" i="8"/>
  <c r="A536" i="8"/>
  <c r="C536" i="8"/>
  <c r="D536" i="8"/>
  <c r="A537" i="8"/>
  <c r="C537" i="8"/>
  <c r="D537" i="8"/>
  <c r="A538" i="8"/>
  <c r="C538" i="8"/>
  <c r="D538" i="8"/>
  <c r="A539" i="8"/>
  <c r="C539" i="8"/>
  <c r="D539" i="8"/>
  <c r="A540" i="8"/>
  <c r="C540" i="8"/>
  <c r="D540" i="8"/>
  <c r="A541" i="8"/>
  <c r="C541" i="8"/>
  <c r="D541" i="8"/>
  <c r="A542" i="8"/>
  <c r="C542" i="8"/>
  <c r="D542" i="8"/>
  <c r="A543" i="8"/>
  <c r="C543" i="8"/>
  <c r="D543" i="8"/>
  <c r="A544" i="8"/>
  <c r="C544" i="8"/>
  <c r="D544" i="8"/>
  <c r="A545" i="8"/>
  <c r="C545" i="8"/>
  <c r="D545" i="8"/>
  <c r="A546" i="8"/>
  <c r="C546" i="8"/>
  <c r="D546" i="8"/>
  <c r="A547" i="8"/>
  <c r="C547" i="8"/>
  <c r="D547" i="8"/>
  <c r="A548" i="8"/>
  <c r="C548" i="8"/>
  <c r="D548" i="8"/>
  <c r="A549" i="8"/>
  <c r="C549" i="8"/>
  <c r="D549" i="8"/>
  <c r="A550" i="8"/>
  <c r="C550" i="8"/>
  <c r="D550" i="8"/>
  <c r="A551" i="8"/>
  <c r="C551" i="8"/>
  <c r="D551" i="8"/>
  <c r="A552" i="8"/>
  <c r="C552" i="8"/>
  <c r="D552" i="8"/>
  <c r="A553" i="8"/>
  <c r="C553" i="8"/>
  <c r="D553" i="8"/>
  <c r="A554" i="8"/>
  <c r="C554" i="8"/>
  <c r="D554" i="8"/>
  <c r="A555" i="8"/>
  <c r="C555" i="8"/>
  <c r="D555" i="8"/>
  <c r="A556" i="8"/>
  <c r="C556" i="8"/>
  <c r="D556" i="8"/>
  <c r="D2" i="8"/>
  <c r="C2" i="8"/>
  <c r="A2" i="8"/>
  <c r="J805" i="7"/>
  <c r="H805" i="7"/>
  <c r="E805" i="7"/>
  <c r="E804" i="7"/>
  <c r="E803" i="7"/>
  <c r="E802" i="7"/>
  <c r="E801" i="7"/>
  <c r="E800" i="7"/>
  <c r="E799" i="7"/>
  <c r="J798" i="7"/>
  <c r="H798" i="7"/>
  <c r="E798" i="7"/>
  <c r="E797" i="7"/>
  <c r="E796" i="7"/>
  <c r="E795" i="7"/>
  <c r="E794" i="7"/>
  <c r="E793" i="7"/>
  <c r="E792" i="7"/>
  <c r="J791" i="7"/>
  <c r="H791" i="7"/>
  <c r="E791" i="7"/>
  <c r="E790" i="7"/>
  <c r="E789" i="7"/>
  <c r="E788" i="7"/>
  <c r="E787" i="7"/>
  <c r="E786" i="7"/>
  <c r="E785" i="7"/>
  <c r="J784" i="7"/>
  <c r="H784" i="7"/>
  <c r="E784" i="7"/>
  <c r="E783" i="7"/>
  <c r="E782" i="7"/>
  <c r="E781" i="7"/>
  <c r="E780" i="7"/>
  <c r="E779" i="7"/>
  <c r="E778" i="7"/>
  <c r="J777" i="7"/>
  <c r="H777" i="7"/>
  <c r="E777" i="7"/>
  <c r="E776" i="7"/>
  <c r="E775" i="7"/>
  <c r="E774" i="7"/>
  <c r="E773" i="7"/>
  <c r="E772" i="7"/>
  <c r="E771" i="7"/>
  <c r="J770" i="7"/>
  <c r="H770" i="7"/>
  <c r="E770" i="7"/>
  <c r="E769" i="7"/>
  <c r="E768" i="7"/>
  <c r="E767" i="7"/>
  <c r="E766" i="7"/>
  <c r="E765" i="7"/>
  <c r="E764" i="7"/>
  <c r="J763" i="7"/>
  <c r="H763" i="7"/>
  <c r="E763" i="7"/>
  <c r="E762" i="7"/>
  <c r="E761" i="7"/>
  <c r="E760" i="7"/>
  <c r="E759" i="7"/>
  <c r="E758" i="7"/>
  <c r="E757" i="7"/>
  <c r="J756" i="7"/>
  <c r="H756" i="7"/>
  <c r="E756" i="7"/>
  <c r="E755" i="7"/>
  <c r="E754" i="7"/>
  <c r="E753" i="7"/>
  <c r="E752" i="7"/>
  <c r="E751" i="7"/>
  <c r="E750" i="7"/>
  <c r="J749" i="7"/>
  <c r="H749" i="7"/>
  <c r="E749" i="7"/>
  <c r="E748" i="7"/>
  <c r="E747" i="7"/>
  <c r="E746" i="7"/>
  <c r="E745" i="7"/>
  <c r="E744" i="7"/>
  <c r="E743" i="7"/>
  <c r="J742" i="7"/>
  <c r="H742" i="7"/>
  <c r="E742" i="7"/>
  <c r="E741" i="7"/>
  <c r="E740" i="7"/>
  <c r="E739" i="7"/>
  <c r="E738" i="7"/>
  <c r="E737" i="7"/>
  <c r="E736" i="7"/>
  <c r="J735" i="7"/>
  <c r="H735" i="7"/>
  <c r="E735" i="7"/>
  <c r="E734" i="7"/>
  <c r="E733" i="7"/>
  <c r="E732" i="7"/>
  <c r="E731" i="7"/>
  <c r="E730" i="7"/>
  <c r="E729" i="7"/>
  <c r="J728" i="7"/>
  <c r="H728" i="7"/>
  <c r="E728" i="7"/>
  <c r="E727" i="7"/>
  <c r="E726" i="7"/>
  <c r="E725" i="7"/>
  <c r="E724" i="7"/>
  <c r="E723" i="7"/>
  <c r="E722" i="7"/>
  <c r="J721" i="7"/>
  <c r="H721" i="7"/>
  <c r="E721" i="7"/>
  <c r="E720" i="7"/>
  <c r="E719" i="7"/>
  <c r="E718" i="7"/>
  <c r="E717" i="7"/>
  <c r="E716" i="7"/>
  <c r="E715" i="7"/>
  <c r="J714" i="7"/>
  <c r="H714" i="7"/>
  <c r="E714" i="7"/>
  <c r="E713" i="7"/>
  <c r="E712" i="7"/>
  <c r="E711" i="7"/>
  <c r="E710" i="7"/>
  <c r="E709" i="7"/>
  <c r="E708" i="7"/>
  <c r="J707" i="7"/>
  <c r="H707" i="7"/>
  <c r="E707" i="7"/>
  <c r="E706" i="7"/>
  <c r="E705" i="7"/>
  <c r="E704" i="7"/>
  <c r="E703" i="7"/>
  <c r="E702" i="7"/>
  <c r="E701" i="7"/>
  <c r="J700" i="7"/>
  <c r="H700" i="7"/>
  <c r="E700" i="7"/>
  <c r="E699" i="7"/>
  <c r="E698" i="7"/>
  <c r="E697" i="7"/>
  <c r="E696" i="7"/>
  <c r="E695" i="7"/>
  <c r="E694" i="7"/>
  <c r="J693" i="7"/>
  <c r="H693" i="7"/>
  <c r="E693" i="7"/>
  <c r="E692" i="7"/>
  <c r="E691" i="7"/>
  <c r="E690" i="7"/>
  <c r="E689" i="7"/>
  <c r="E688" i="7"/>
  <c r="E687" i="7"/>
  <c r="J686" i="7"/>
  <c r="H686" i="7"/>
  <c r="E686" i="7"/>
  <c r="E685" i="7"/>
  <c r="E684" i="7"/>
  <c r="E683" i="7"/>
  <c r="E682" i="7"/>
  <c r="E681" i="7"/>
  <c r="E680" i="7"/>
  <c r="J679" i="7"/>
  <c r="H679" i="7"/>
  <c r="E679" i="7"/>
  <c r="E678" i="7"/>
  <c r="E677" i="7"/>
  <c r="E676" i="7"/>
  <c r="E675" i="7"/>
  <c r="E674" i="7"/>
  <c r="E673" i="7"/>
  <c r="J672" i="7"/>
  <c r="H672" i="7"/>
  <c r="E672" i="7"/>
  <c r="E671" i="7"/>
  <c r="E670" i="7"/>
  <c r="E669" i="7"/>
  <c r="E668" i="7"/>
  <c r="E667" i="7"/>
  <c r="E666" i="7"/>
  <c r="J665" i="7"/>
  <c r="H665" i="7"/>
  <c r="E665" i="7"/>
  <c r="E664" i="7"/>
  <c r="E663" i="7"/>
  <c r="E662" i="7"/>
  <c r="E661" i="7"/>
  <c r="E660" i="7"/>
  <c r="E659" i="7"/>
  <c r="J658" i="7"/>
  <c r="H658" i="7"/>
  <c r="E658" i="7"/>
  <c r="E657" i="7"/>
  <c r="E656" i="7"/>
  <c r="E655" i="7"/>
  <c r="E654" i="7"/>
  <c r="E653" i="7"/>
  <c r="E652" i="7"/>
  <c r="J651" i="7"/>
  <c r="H651" i="7"/>
  <c r="E651" i="7"/>
  <c r="E650" i="7"/>
  <c r="E649" i="7"/>
  <c r="E648" i="7"/>
  <c r="E647" i="7"/>
  <c r="E646" i="7"/>
  <c r="E645" i="7"/>
  <c r="J644" i="7"/>
  <c r="H644" i="7"/>
  <c r="E644" i="7"/>
  <c r="E643" i="7"/>
  <c r="E642" i="7"/>
  <c r="J641" i="7"/>
  <c r="E641" i="7"/>
  <c r="J640" i="7"/>
  <c r="E640" i="7"/>
  <c r="J639" i="7"/>
  <c r="E639" i="7"/>
  <c r="J638" i="7"/>
  <c r="E638" i="7"/>
  <c r="J637" i="7"/>
  <c r="H637" i="7"/>
  <c r="E637" i="7"/>
  <c r="J636" i="7"/>
  <c r="E636" i="7"/>
  <c r="J635" i="7"/>
  <c r="E635" i="7"/>
  <c r="J634" i="7"/>
  <c r="E634" i="7"/>
  <c r="J633" i="7"/>
  <c r="E633" i="7"/>
  <c r="J632" i="7"/>
  <c r="E632" i="7"/>
  <c r="J631" i="7"/>
  <c r="E631" i="7"/>
  <c r="J630" i="7"/>
  <c r="H630" i="7"/>
  <c r="E630" i="7"/>
  <c r="J629" i="7"/>
  <c r="E629" i="7"/>
  <c r="J628" i="7"/>
  <c r="E628" i="7"/>
  <c r="J627" i="7"/>
  <c r="E627" i="7"/>
  <c r="J626" i="7"/>
  <c r="E626" i="7"/>
  <c r="J625" i="7"/>
  <c r="E625" i="7"/>
  <c r="J624" i="7"/>
  <c r="E624" i="7"/>
  <c r="J623" i="7"/>
  <c r="H623" i="7"/>
  <c r="E623" i="7"/>
  <c r="J622" i="7"/>
  <c r="E622" i="7"/>
  <c r="J621" i="7"/>
  <c r="E621" i="7"/>
  <c r="J620" i="7"/>
  <c r="E620" i="7"/>
  <c r="J619" i="7"/>
  <c r="E619" i="7"/>
  <c r="J618" i="7"/>
  <c r="E618" i="7"/>
  <c r="J617" i="7"/>
  <c r="E617" i="7"/>
  <c r="J616" i="7"/>
  <c r="H616" i="7"/>
  <c r="E616" i="7"/>
  <c r="J615" i="7"/>
  <c r="E615" i="7"/>
  <c r="J614" i="7"/>
  <c r="E614" i="7"/>
  <c r="J613" i="7"/>
  <c r="E613" i="7"/>
  <c r="J612" i="7"/>
  <c r="E612" i="7"/>
  <c r="J611" i="7"/>
  <c r="E611" i="7"/>
  <c r="J610" i="7"/>
  <c r="E610" i="7"/>
  <c r="J609" i="7"/>
  <c r="H609" i="7"/>
  <c r="E609" i="7"/>
  <c r="J608" i="7"/>
  <c r="E608" i="7"/>
  <c r="J607" i="7"/>
  <c r="E607" i="7"/>
  <c r="J606" i="7"/>
  <c r="E606" i="7"/>
  <c r="J605" i="7"/>
  <c r="E605" i="7"/>
  <c r="J604" i="7"/>
  <c r="E604" i="7"/>
  <c r="J603" i="7"/>
  <c r="E603" i="7"/>
  <c r="J602" i="7"/>
  <c r="H602" i="7"/>
  <c r="E602" i="7"/>
  <c r="J601" i="7"/>
  <c r="E601" i="7"/>
  <c r="J600" i="7"/>
  <c r="E600" i="7"/>
  <c r="J599" i="7"/>
  <c r="E599" i="7"/>
  <c r="J598" i="7"/>
  <c r="E598" i="7"/>
  <c r="J597" i="7"/>
  <c r="E597" i="7"/>
  <c r="J596" i="7"/>
  <c r="E596" i="7"/>
  <c r="J595" i="7"/>
  <c r="H595" i="7"/>
  <c r="E595" i="7"/>
  <c r="J594" i="7"/>
  <c r="E594" i="7"/>
  <c r="J593" i="7"/>
  <c r="E593" i="7"/>
  <c r="J592" i="7"/>
  <c r="E592" i="7"/>
  <c r="J591" i="7"/>
  <c r="E591" i="7"/>
  <c r="J590" i="7"/>
  <c r="E590" i="7"/>
  <c r="J589" i="7"/>
  <c r="E589" i="7"/>
  <c r="J588" i="7"/>
  <c r="H588" i="7"/>
  <c r="E588" i="7"/>
  <c r="J587" i="7"/>
  <c r="E587" i="7"/>
  <c r="J586" i="7"/>
  <c r="E586" i="7"/>
  <c r="J585" i="7"/>
  <c r="E585" i="7"/>
  <c r="J584" i="7"/>
  <c r="E584" i="7"/>
  <c r="J583" i="7"/>
  <c r="E583" i="7"/>
  <c r="J582" i="7"/>
  <c r="E582" i="7"/>
  <c r="J581" i="7"/>
  <c r="H581" i="7"/>
  <c r="E581" i="7"/>
  <c r="J580" i="7"/>
  <c r="E580" i="7"/>
  <c r="J579" i="7"/>
  <c r="E579" i="7"/>
  <c r="J578" i="7"/>
  <c r="E578" i="7"/>
  <c r="J577" i="7"/>
  <c r="E577" i="7"/>
  <c r="J576" i="7"/>
  <c r="E576" i="7"/>
  <c r="J575" i="7"/>
  <c r="E575" i="7"/>
  <c r="J574" i="7"/>
  <c r="H574" i="7"/>
  <c r="E574" i="7"/>
  <c r="J573" i="7"/>
  <c r="E573" i="7"/>
  <c r="J572" i="7"/>
  <c r="E572" i="7"/>
  <c r="J571" i="7"/>
  <c r="E571" i="7"/>
  <c r="J570" i="7"/>
  <c r="E570" i="7"/>
  <c r="J569" i="7"/>
  <c r="E569" i="7"/>
  <c r="J568" i="7"/>
  <c r="E568" i="7"/>
  <c r="J567" i="7"/>
  <c r="H567" i="7"/>
  <c r="E567" i="7"/>
  <c r="J566" i="7"/>
  <c r="E566" i="7"/>
  <c r="J565" i="7"/>
  <c r="E565" i="7"/>
  <c r="J564" i="7"/>
  <c r="E564" i="7"/>
  <c r="J563" i="7"/>
  <c r="E563" i="7"/>
  <c r="J562" i="7"/>
  <c r="E562" i="7"/>
  <c r="J561" i="7"/>
  <c r="E561" i="7"/>
  <c r="J560" i="7"/>
  <c r="H560" i="7"/>
  <c r="E560" i="7"/>
  <c r="J559" i="7"/>
  <c r="E559" i="7"/>
  <c r="J558" i="7"/>
  <c r="E558" i="7"/>
  <c r="J557" i="7"/>
  <c r="E557" i="7"/>
  <c r="J556" i="7"/>
  <c r="E556" i="7"/>
  <c r="J555" i="7"/>
  <c r="E555" i="7"/>
  <c r="J554" i="7"/>
  <c r="E554" i="7"/>
  <c r="J553" i="7"/>
  <c r="H553" i="7"/>
  <c r="E553" i="7"/>
  <c r="J552" i="7"/>
  <c r="E552" i="7"/>
  <c r="J551" i="7"/>
  <c r="E551" i="7"/>
  <c r="J550" i="7"/>
  <c r="E550" i="7"/>
  <c r="J549" i="7"/>
  <c r="E549" i="7"/>
  <c r="J548" i="7"/>
  <c r="E548" i="7"/>
  <c r="J547" i="7"/>
  <c r="E547" i="7"/>
  <c r="J546" i="7"/>
  <c r="H546" i="7"/>
  <c r="E546" i="7"/>
  <c r="J545" i="7"/>
  <c r="E545" i="7"/>
  <c r="J544" i="7"/>
  <c r="E544" i="7"/>
  <c r="J543" i="7"/>
  <c r="E543" i="7"/>
  <c r="J542" i="7"/>
  <c r="E542" i="7"/>
  <c r="J541" i="7"/>
  <c r="E541" i="7"/>
  <c r="J540" i="7"/>
  <c r="E540" i="7"/>
  <c r="J539" i="7"/>
  <c r="H539" i="7"/>
  <c r="E539" i="7"/>
  <c r="J538" i="7"/>
  <c r="E538" i="7"/>
  <c r="J537" i="7"/>
  <c r="E537" i="7"/>
  <c r="J536" i="7"/>
  <c r="E536" i="7"/>
  <c r="J535" i="7"/>
  <c r="E535" i="7"/>
  <c r="J534" i="7"/>
  <c r="E534" i="7"/>
  <c r="J533" i="7"/>
  <c r="E533" i="7"/>
  <c r="J532" i="7"/>
  <c r="H532" i="7"/>
  <c r="E532" i="7"/>
  <c r="J531" i="7"/>
  <c r="E531" i="7"/>
  <c r="J530" i="7"/>
  <c r="E530" i="7"/>
  <c r="J529" i="7"/>
  <c r="E529" i="7"/>
  <c r="J528" i="7"/>
  <c r="E528" i="7"/>
  <c r="J527" i="7"/>
  <c r="E527" i="7"/>
  <c r="J526" i="7"/>
  <c r="E526" i="7"/>
  <c r="J525" i="7"/>
  <c r="H525" i="7"/>
  <c r="E525" i="7"/>
  <c r="J524" i="7"/>
  <c r="E524" i="7"/>
  <c r="J523" i="7"/>
  <c r="E523" i="7"/>
  <c r="J522" i="7"/>
  <c r="E522" i="7"/>
  <c r="J521" i="7"/>
  <c r="E521" i="7"/>
  <c r="J520" i="7"/>
  <c r="E520" i="7"/>
  <c r="J519" i="7"/>
  <c r="E519" i="7"/>
  <c r="J518" i="7"/>
  <c r="H518" i="7"/>
  <c r="E518" i="7"/>
  <c r="J517" i="7"/>
  <c r="E517" i="7"/>
  <c r="J516" i="7"/>
  <c r="E516" i="7"/>
  <c r="J515" i="7"/>
  <c r="E515" i="7"/>
  <c r="J514" i="7"/>
  <c r="E514" i="7"/>
  <c r="J513" i="7"/>
  <c r="E513" i="7"/>
  <c r="J512" i="7"/>
  <c r="E512" i="7"/>
  <c r="J511" i="7"/>
  <c r="H511" i="7"/>
  <c r="E511" i="7"/>
  <c r="J510" i="7"/>
  <c r="E510" i="7"/>
  <c r="J509" i="7"/>
  <c r="E509" i="7"/>
  <c r="J508" i="7"/>
  <c r="E508" i="7"/>
  <c r="J507" i="7"/>
  <c r="E507" i="7"/>
  <c r="J506" i="7"/>
  <c r="E506" i="7"/>
  <c r="J505" i="7"/>
  <c r="E505" i="7"/>
  <c r="J504" i="7"/>
  <c r="H504" i="7"/>
  <c r="E504" i="7"/>
  <c r="J503" i="7"/>
  <c r="E503" i="7"/>
  <c r="J502" i="7"/>
  <c r="E502" i="7"/>
  <c r="J501" i="7"/>
  <c r="E501" i="7"/>
  <c r="J500" i="7"/>
  <c r="E500" i="7"/>
  <c r="J499" i="7"/>
  <c r="E499" i="7"/>
  <c r="J498" i="7"/>
  <c r="E498" i="7"/>
  <c r="J497" i="7"/>
  <c r="H497" i="7"/>
  <c r="E497" i="7"/>
  <c r="J496" i="7"/>
  <c r="E496" i="7"/>
  <c r="J495" i="7"/>
  <c r="E495" i="7"/>
  <c r="J494" i="7"/>
  <c r="E494" i="7"/>
  <c r="J493" i="7"/>
  <c r="E493" i="7"/>
  <c r="J492" i="7"/>
  <c r="E492" i="7"/>
  <c r="J491" i="7"/>
  <c r="E491" i="7"/>
  <c r="J490" i="7"/>
  <c r="H490" i="7"/>
  <c r="E490" i="7"/>
  <c r="J489" i="7"/>
  <c r="E489" i="7"/>
  <c r="J488" i="7"/>
  <c r="E488" i="7"/>
  <c r="J487" i="7"/>
  <c r="E487" i="7"/>
  <c r="J486" i="7"/>
  <c r="E486" i="7"/>
  <c r="J485" i="7"/>
  <c r="E485" i="7"/>
  <c r="J484" i="7"/>
  <c r="E484" i="7"/>
  <c r="J483" i="7"/>
  <c r="H483" i="7"/>
  <c r="E483" i="7"/>
  <c r="J482" i="7"/>
  <c r="E482" i="7"/>
  <c r="J481" i="7"/>
  <c r="E481" i="7"/>
  <c r="J480" i="7"/>
  <c r="E480" i="7"/>
  <c r="J479" i="7"/>
  <c r="E479" i="7"/>
  <c r="J478" i="7"/>
  <c r="E478" i="7"/>
  <c r="J477" i="7"/>
  <c r="E477" i="7"/>
  <c r="J476" i="7"/>
  <c r="H476" i="7"/>
  <c r="E476" i="7"/>
  <c r="J475" i="7"/>
  <c r="E475" i="7"/>
  <c r="J474" i="7"/>
  <c r="E474" i="7"/>
  <c r="J473" i="7"/>
  <c r="E473" i="7"/>
  <c r="J472" i="7"/>
  <c r="E472" i="7"/>
  <c r="J471" i="7"/>
  <c r="E471" i="7"/>
  <c r="J470" i="7"/>
  <c r="E470" i="7"/>
  <c r="J469" i="7"/>
  <c r="H469" i="7"/>
  <c r="E469" i="7"/>
  <c r="J468" i="7"/>
  <c r="E468" i="7"/>
  <c r="J467" i="7"/>
  <c r="E467" i="7"/>
  <c r="J466" i="7"/>
  <c r="E466" i="7"/>
  <c r="J465" i="7"/>
  <c r="E465" i="7"/>
  <c r="J464" i="7"/>
  <c r="E464" i="7"/>
  <c r="J463" i="7"/>
  <c r="E463" i="7"/>
  <c r="J462" i="7"/>
  <c r="H462" i="7"/>
  <c r="E462" i="7"/>
  <c r="J461" i="7"/>
  <c r="E461" i="7"/>
  <c r="J460" i="7"/>
  <c r="E460" i="7"/>
  <c r="J459" i="7"/>
  <c r="E459" i="7"/>
  <c r="J458" i="7"/>
  <c r="E458" i="7"/>
  <c r="J457" i="7"/>
  <c r="E457" i="7"/>
  <c r="J456" i="7"/>
  <c r="E456" i="7"/>
  <c r="J455" i="7"/>
  <c r="H455" i="7"/>
  <c r="E455" i="7"/>
  <c r="J454" i="7"/>
  <c r="E454" i="7"/>
  <c r="J453" i="7"/>
  <c r="E453" i="7"/>
  <c r="J452" i="7"/>
  <c r="E452" i="7"/>
  <c r="J451" i="7"/>
  <c r="E451" i="7"/>
  <c r="J450" i="7"/>
  <c r="E450" i="7"/>
  <c r="J449" i="7"/>
  <c r="E449" i="7"/>
  <c r="J448" i="7"/>
  <c r="H448" i="7"/>
  <c r="E448" i="7"/>
  <c r="J447" i="7"/>
  <c r="E447" i="7"/>
  <c r="J446" i="7"/>
  <c r="E446" i="7"/>
  <c r="J445" i="7"/>
  <c r="E445" i="7"/>
  <c r="J444" i="7"/>
  <c r="E444" i="7"/>
  <c r="J443" i="7"/>
  <c r="E443" i="7"/>
  <c r="J442" i="7"/>
  <c r="E442" i="7"/>
  <c r="J441" i="7"/>
  <c r="H441" i="7"/>
  <c r="E441" i="7"/>
  <c r="J440" i="7"/>
  <c r="E440" i="7"/>
  <c r="J439" i="7"/>
  <c r="E439" i="7"/>
  <c r="J438" i="7"/>
  <c r="E438" i="7"/>
  <c r="J437" i="7"/>
  <c r="E437" i="7"/>
  <c r="J436" i="7"/>
  <c r="E436" i="7"/>
  <c r="J435" i="7"/>
  <c r="E435" i="7"/>
  <c r="J434" i="7"/>
  <c r="H434" i="7"/>
  <c r="E434" i="7"/>
  <c r="J433" i="7"/>
  <c r="E433" i="7"/>
  <c r="J432" i="7"/>
  <c r="E432" i="7"/>
  <c r="J431" i="7"/>
  <c r="E431" i="7"/>
  <c r="J430" i="7"/>
  <c r="E430" i="7"/>
  <c r="J429" i="7"/>
  <c r="E429" i="7"/>
  <c r="J428" i="7"/>
  <c r="E428" i="7"/>
  <c r="J427" i="7"/>
  <c r="H427" i="7"/>
  <c r="E427" i="7"/>
  <c r="J426" i="7"/>
  <c r="E426" i="7"/>
  <c r="J425" i="7"/>
  <c r="E425" i="7"/>
  <c r="J424" i="7"/>
  <c r="E424" i="7"/>
  <c r="J423" i="7"/>
  <c r="E423" i="7"/>
  <c r="J422" i="7"/>
  <c r="E422" i="7"/>
  <c r="J421" i="7"/>
  <c r="E421" i="7"/>
  <c r="J420" i="7"/>
  <c r="H420" i="7"/>
  <c r="E420" i="7"/>
  <c r="J419" i="7"/>
  <c r="E419" i="7"/>
  <c r="J418" i="7"/>
  <c r="E418" i="7"/>
  <c r="J417" i="7"/>
  <c r="E417" i="7"/>
  <c r="J416" i="7"/>
  <c r="E416" i="7"/>
  <c r="J415" i="7"/>
  <c r="E415" i="7"/>
  <c r="J414" i="7"/>
  <c r="E414" i="7"/>
  <c r="J413" i="7"/>
  <c r="H413" i="7"/>
  <c r="E413" i="7"/>
  <c r="J412" i="7"/>
  <c r="E412" i="7"/>
  <c r="J411" i="7"/>
  <c r="E411" i="7"/>
  <c r="J410" i="7"/>
  <c r="E410" i="7"/>
  <c r="J409" i="7"/>
  <c r="E409" i="7"/>
  <c r="J408" i="7"/>
  <c r="E408" i="7"/>
  <c r="J407" i="7"/>
  <c r="E407" i="7"/>
  <c r="J406" i="7"/>
  <c r="H406" i="7"/>
  <c r="E406" i="7"/>
  <c r="J405" i="7"/>
  <c r="E405" i="7"/>
  <c r="J404" i="7"/>
  <c r="E404" i="7"/>
  <c r="J403" i="7"/>
  <c r="E403" i="7"/>
  <c r="J402" i="7"/>
  <c r="E402" i="7"/>
  <c r="J401" i="7"/>
  <c r="E401" i="7"/>
  <c r="J400" i="7"/>
  <c r="E400" i="7"/>
  <c r="J399" i="7"/>
  <c r="H399" i="7"/>
  <c r="E399" i="7"/>
  <c r="J398" i="7"/>
  <c r="E398" i="7"/>
  <c r="J397" i="7"/>
  <c r="E397" i="7"/>
  <c r="J396" i="7"/>
  <c r="E396" i="7"/>
  <c r="J395" i="7"/>
  <c r="E395" i="7"/>
  <c r="J394" i="7"/>
  <c r="E394" i="7"/>
  <c r="J393" i="7"/>
  <c r="E393" i="7"/>
  <c r="J392" i="7"/>
  <c r="H392" i="7"/>
  <c r="E392" i="7"/>
  <c r="J391" i="7"/>
  <c r="E391" i="7"/>
  <c r="J390" i="7"/>
  <c r="E390" i="7"/>
  <c r="J389" i="7"/>
  <c r="E389" i="7"/>
  <c r="J388" i="7"/>
  <c r="E388" i="7"/>
  <c r="J387" i="7"/>
  <c r="E387" i="7"/>
  <c r="J386" i="7"/>
  <c r="E386" i="7"/>
  <c r="J385" i="7"/>
  <c r="H385" i="7"/>
  <c r="E385" i="7"/>
  <c r="J384" i="7"/>
  <c r="E384" i="7"/>
  <c r="J383" i="7"/>
  <c r="E383" i="7"/>
  <c r="J382" i="7"/>
  <c r="E382" i="7"/>
  <c r="J381" i="7"/>
  <c r="E381" i="7"/>
  <c r="J380" i="7"/>
  <c r="E380" i="7"/>
  <c r="J379" i="7"/>
  <c r="E379" i="7"/>
  <c r="J378" i="7"/>
  <c r="H378" i="7"/>
  <c r="E378" i="7"/>
  <c r="J377" i="7"/>
  <c r="E377" i="7"/>
  <c r="J376" i="7"/>
  <c r="E376" i="7"/>
  <c r="J375" i="7"/>
  <c r="E375" i="7"/>
  <c r="J374" i="7"/>
  <c r="E374" i="7"/>
  <c r="J373" i="7"/>
  <c r="E373" i="7"/>
  <c r="J372" i="7"/>
  <c r="E372" i="7"/>
  <c r="J371" i="7"/>
  <c r="H371" i="7"/>
  <c r="E371" i="7"/>
  <c r="J370" i="7"/>
  <c r="E370" i="7"/>
  <c r="J369" i="7"/>
  <c r="E369" i="7"/>
  <c r="J368" i="7"/>
  <c r="E368" i="7"/>
  <c r="J367" i="7"/>
  <c r="E367" i="7"/>
  <c r="J366" i="7"/>
  <c r="E366" i="7"/>
  <c r="J365" i="7"/>
  <c r="E365" i="7"/>
  <c r="J364" i="7"/>
  <c r="H364" i="7"/>
  <c r="E364" i="7"/>
  <c r="J363" i="7"/>
  <c r="E363" i="7"/>
  <c r="J362" i="7"/>
  <c r="E362" i="7"/>
  <c r="J361" i="7"/>
  <c r="E361" i="7"/>
  <c r="J360" i="7"/>
  <c r="E360" i="7"/>
  <c r="J359" i="7"/>
  <c r="E359" i="7"/>
  <c r="J358" i="7"/>
  <c r="E358" i="7"/>
  <c r="J357" i="7"/>
  <c r="H357" i="7"/>
  <c r="E357" i="7"/>
  <c r="J356" i="7"/>
  <c r="E356" i="7"/>
  <c r="J355" i="7"/>
  <c r="E355" i="7"/>
  <c r="J354" i="7"/>
  <c r="E354" i="7"/>
  <c r="J353" i="7"/>
  <c r="E353" i="7"/>
  <c r="J352" i="7"/>
  <c r="E352" i="7"/>
  <c r="J351" i="7"/>
  <c r="E351" i="7"/>
  <c r="J350" i="7"/>
  <c r="H350" i="7"/>
  <c r="E350" i="7"/>
  <c r="J349" i="7"/>
  <c r="E349" i="7"/>
  <c r="J348" i="7"/>
  <c r="E348" i="7"/>
  <c r="J347" i="7"/>
  <c r="E347" i="7"/>
  <c r="J346" i="7"/>
  <c r="E346" i="7"/>
  <c r="J345" i="7"/>
  <c r="E345" i="7"/>
  <c r="J344" i="7"/>
  <c r="E344" i="7"/>
  <c r="J343" i="7"/>
  <c r="H343" i="7"/>
  <c r="E343" i="7"/>
  <c r="J342" i="7"/>
  <c r="E342" i="7"/>
  <c r="J341" i="7"/>
  <c r="E341" i="7"/>
  <c r="J340" i="7"/>
  <c r="E340" i="7"/>
  <c r="J339" i="7"/>
  <c r="E339" i="7"/>
  <c r="J338" i="7"/>
  <c r="E338" i="7"/>
  <c r="J337" i="7"/>
  <c r="E337" i="7"/>
  <c r="J336" i="7"/>
  <c r="H336" i="7"/>
  <c r="E336" i="7"/>
  <c r="J335" i="7"/>
  <c r="E335" i="7"/>
  <c r="J334" i="7"/>
  <c r="E334" i="7"/>
  <c r="J333" i="7"/>
  <c r="E333" i="7"/>
  <c r="J332" i="7"/>
  <c r="E332" i="7"/>
  <c r="J331" i="7"/>
  <c r="E331" i="7"/>
  <c r="J330" i="7"/>
  <c r="E330" i="7"/>
  <c r="J329" i="7"/>
  <c r="H329" i="7"/>
  <c r="E329" i="7"/>
  <c r="J328" i="7"/>
  <c r="E328" i="7"/>
  <c r="J327" i="7"/>
  <c r="E327" i="7"/>
  <c r="J326" i="7"/>
  <c r="E326" i="7"/>
  <c r="J325" i="7"/>
  <c r="E325" i="7"/>
  <c r="J324" i="7"/>
  <c r="E324" i="7"/>
  <c r="J323" i="7"/>
  <c r="E323" i="7"/>
  <c r="J322" i="7"/>
  <c r="H322" i="7"/>
  <c r="E322" i="7"/>
  <c r="J321" i="7"/>
  <c r="E321" i="7"/>
  <c r="J320" i="7"/>
  <c r="E320" i="7"/>
  <c r="J319" i="7"/>
  <c r="E319" i="7"/>
  <c r="J318" i="7"/>
  <c r="E318" i="7"/>
  <c r="J317" i="7"/>
  <c r="E317" i="7"/>
  <c r="J316" i="7"/>
  <c r="E316" i="7"/>
  <c r="J315" i="7"/>
  <c r="H315" i="7"/>
  <c r="E315" i="7"/>
  <c r="J314" i="7"/>
  <c r="E314" i="7"/>
  <c r="J313" i="7"/>
  <c r="E313" i="7"/>
  <c r="J312" i="7"/>
  <c r="E312" i="7"/>
  <c r="J311" i="7"/>
  <c r="E311" i="7"/>
  <c r="J310" i="7"/>
  <c r="E310" i="7"/>
  <c r="J309" i="7"/>
  <c r="E309" i="7"/>
  <c r="J308" i="7"/>
  <c r="H308" i="7"/>
  <c r="E308" i="7"/>
  <c r="J307" i="7"/>
  <c r="E307" i="7"/>
  <c r="J306" i="7"/>
  <c r="E306" i="7"/>
  <c r="J305" i="7"/>
  <c r="E305" i="7"/>
  <c r="J304" i="7"/>
  <c r="E304" i="7"/>
  <c r="J303" i="7"/>
  <c r="E303" i="7"/>
  <c r="J302" i="7"/>
  <c r="E302" i="7"/>
  <c r="J301" i="7"/>
  <c r="H301" i="7"/>
  <c r="E301" i="7"/>
  <c r="J300" i="7"/>
  <c r="E300" i="7"/>
  <c r="J299" i="7"/>
  <c r="E299" i="7"/>
  <c r="J298" i="7"/>
  <c r="E298" i="7"/>
  <c r="J297" i="7"/>
  <c r="E297" i="7"/>
  <c r="J296" i="7"/>
  <c r="E296" i="7"/>
  <c r="J295" i="7"/>
  <c r="E295" i="7"/>
  <c r="J294" i="7"/>
  <c r="H294" i="7"/>
  <c r="E294" i="7"/>
  <c r="J293" i="7"/>
  <c r="E293" i="7"/>
  <c r="J292" i="7"/>
  <c r="E292" i="7"/>
  <c r="J291" i="7"/>
  <c r="E291" i="7"/>
  <c r="J290" i="7"/>
  <c r="E290" i="7"/>
  <c r="J289" i="7"/>
  <c r="E289" i="7"/>
  <c r="J288" i="7"/>
  <c r="E288" i="7"/>
  <c r="J287" i="7"/>
  <c r="H287" i="7"/>
  <c r="E287" i="7"/>
  <c r="J286" i="7"/>
  <c r="E286" i="7"/>
  <c r="J285" i="7"/>
  <c r="E285" i="7"/>
  <c r="J284" i="7"/>
  <c r="E284" i="7"/>
  <c r="J283" i="7"/>
  <c r="E283" i="7"/>
  <c r="J282" i="7"/>
  <c r="E282" i="7"/>
  <c r="J281" i="7"/>
  <c r="E281" i="7"/>
  <c r="J280" i="7"/>
  <c r="H280" i="7"/>
  <c r="E280" i="7"/>
  <c r="J279" i="7"/>
  <c r="E279" i="7"/>
  <c r="J278" i="7"/>
  <c r="E278" i="7"/>
  <c r="J277" i="7"/>
  <c r="E277" i="7"/>
  <c r="J276" i="7"/>
  <c r="E276" i="7"/>
  <c r="J275" i="7"/>
  <c r="E275" i="7"/>
  <c r="J274" i="7"/>
  <c r="E274" i="7"/>
  <c r="J273" i="7"/>
  <c r="H273" i="7"/>
  <c r="E273" i="7"/>
  <c r="J272" i="7"/>
  <c r="E272" i="7"/>
  <c r="J271" i="7"/>
  <c r="E271" i="7"/>
  <c r="J270" i="7"/>
  <c r="E270" i="7"/>
  <c r="J269" i="7"/>
  <c r="E269" i="7"/>
  <c r="J268" i="7"/>
  <c r="E268" i="7"/>
  <c r="J267" i="7"/>
  <c r="E267" i="7"/>
  <c r="J266" i="7"/>
  <c r="H266" i="7"/>
  <c r="E266" i="7"/>
  <c r="J265" i="7"/>
  <c r="E265" i="7"/>
  <c r="J264" i="7"/>
  <c r="E264" i="7"/>
  <c r="J263" i="7"/>
  <c r="E263" i="7"/>
  <c r="J262" i="7"/>
  <c r="E262" i="7"/>
  <c r="J261" i="7"/>
  <c r="E261" i="7"/>
  <c r="J260" i="7"/>
  <c r="E260" i="7"/>
  <c r="J259" i="7"/>
  <c r="H259" i="7"/>
  <c r="E259" i="7"/>
  <c r="J258" i="7"/>
  <c r="E258" i="7"/>
  <c r="J257" i="7"/>
  <c r="E257" i="7"/>
  <c r="J256" i="7"/>
  <c r="E256" i="7"/>
  <c r="J255" i="7"/>
  <c r="E255" i="7"/>
  <c r="J254" i="7"/>
  <c r="E254" i="7"/>
  <c r="J253" i="7"/>
  <c r="E253" i="7"/>
  <c r="J252" i="7"/>
  <c r="H252" i="7"/>
  <c r="E252" i="7"/>
  <c r="J251" i="7"/>
  <c r="E251" i="7"/>
  <c r="J250" i="7"/>
  <c r="E250" i="7"/>
  <c r="J249" i="7"/>
  <c r="E249" i="7"/>
  <c r="J248" i="7"/>
  <c r="E248" i="7"/>
  <c r="J247" i="7"/>
  <c r="E247" i="7"/>
  <c r="J246" i="7"/>
  <c r="E246" i="7"/>
  <c r="J245" i="7"/>
  <c r="H245" i="7"/>
  <c r="E245" i="7"/>
  <c r="J244" i="7"/>
  <c r="E244" i="7"/>
  <c r="J243" i="7"/>
  <c r="E243" i="7"/>
  <c r="J242" i="7"/>
  <c r="E242" i="7"/>
  <c r="J241" i="7"/>
  <c r="E241" i="7"/>
  <c r="J240" i="7"/>
  <c r="E240" i="7"/>
  <c r="J239" i="7"/>
  <c r="E239" i="7"/>
  <c r="J238" i="7"/>
  <c r="H238" i="7"/>
  <c r="E238" i="7"/>
  <c r="J237" i="7"/>
  <c r="E237" i="7"/>
  <c r="J236" i="7"/>
  <c r="E236" i="7"/>
  <c r="J235" i="7"/>
  <c r="E235" i="7"/>
  <c r="J234" i="7"/>
  <c r="E234" i="7"/>
  <c r="J233" i="7"/>
  <c r="E233" i="7"/>
  <c r="J232" i="7"/>
  <c r="E232" i="7"/>
  <c r="J231" i="7"/>
  <c r="H231" i="7"/>
  <c r="E231" i="7"/>
  <c r="J230" i="7"/>
  <c r="E230" i="7"/>
  <c r="J229" i="7"/>
  <c r="E229" i="7"/>
  <c r="J228" i="7"/>
  <c r="E228" i="7"/>
  <c r="J227" i="7"/>
  <c r="E227" i="7"/>
  <c r="J226" i="7"/>
  <c r="E226" i="7"/>
  <c r="J225" i="7"/>
  <c r="E225" i="7"/>
  <c r="J224" i="7"/>
  <c r="H224" i="7"/>
  <c r="E224" i="7"/>
  <c r="J223" i="7"/>
  <c r="E223" i="7"/>
  <c r="J222" i="7"/>
  <c r="E222" i="7"/>
  <c r="J221" i="7"/>
  <c r="E221" i="7"/>
  <c r="J220" i="7"/>
  <c r="E220" i="7"/>
  <c r="J219" i="7"/>
  <c r="E219" i="7"/>
  <c r="J218" i="7"/>
  <c r="E218" i="7"/>
  <c r="J217" i="7"/>
  <c r="H217" i="7"/>
  <c r="E217" i="7"/>
  <c r="J216" i="7"/>
  <c r="E216" i="7"/>
  <c r="J215" i="7"/>
  <c r="E215" i="7"/>
  <c r="J214" i="7"/>
  <c r="E214" i="7"/>
  <c r="J213" i="7"/>
  <c r="E213" i="7"/>
  <c r="J212" i="7"/>
  <c r="E212" i="7"/>
  <c r="J211" i="7"/>
  <c r="E211" i="7"/>
  <c r="J210" i="7"/>
  <c r="H210" i="7"/>
  <c r="E210" i="7"/>
  <c r="J209" i="7"/>
  <c r="E209" i="7"/>
  <c r="J208" i="7"/>
  <c r="E208" i="7"/>
  <c r="J207" i="7"/>
  <c r="E207" i="7"/>
  <c r="J206" i="7"/>
  <c r="E206" i="7"/>
  <c r="J205" i="7"/>
  <c r="E205" i="7"/>
  <c r="J204" i="7"/>
  <c r="E204" i="7"/>
  <c r="J203" i="7"/>
  <c r="H203" i="7"/>
  <c r="E203" i="7"/>
  <c r="J202" i="7"/>
  <c r="E202" i="7"/>
  <c r="J201" i="7"/>
  <c r="E201" i="7"/>
  <c r="J200" i="7"/>
  <c r="E200" i="7"/>
  <c r="J199" i="7"/>
  <c r="E199" i="7"/>
  <c r="J198" i="7"/>
  <c r="E198" i="7"/>
  <c r="J197" i="7"/>
  <c r="E197" i="7"/>
  <c r="J196" i="7"/>
  <c r="H196" i="7"/>
  <c r="E196" i="7"/>
  <c r="J195" i="7"/>
  <c r="E195" i="7"/>
  <c r="J194" i="7"/>
  <c r="E194" i="7"/>
  <c r="J193" i="7"/>
  <c r="E193" i="7"/>
  <c r="J192" i="7"/>
  <c r="E192" i="7"/>
  <c r="J191" i="7"/>
  <c r="E191" i="7"/>
  <c r="J190" i="7"/>
  <c r="E190" i="7"/>
  <c r="J189" i="7"/>
  <c r="H189" i="7"/>
  <c r="E189" i="7"/>
  <c r="J188" i="7"/>
  <c r="E188" i="7"/>
  <c r="J187" i="7"/>
  <c r="E187" i="7"/>
  <c r="J186" i="7"/>
  <c r="E186" i="7"/>
  <c r="J185" i="7"/>
  <c r="E185" i="7"/>
  <c r="J184" i="7"/>
  <c r="E184" i="7"/>
  <c r="J183" i="7"/>
  <c r="E183" i="7"/>
  <c r="J182" i="7"/>
  <c r="H182" i="7"/>
  <c r="E182" i="7"/>
  <c r="J181" i="7"/>
  <c r="E181" i="7"/>
  <c r="J180" i="7"/>
  <c r="E180" i="7"/>
  <c r="J179" i="7"/>
  <c r="E179" i="7"/>
  <c r="J178" i="7"/>
  <c r="E178" i="7"/>
  <c r="J177" i="7"/>
  <c r="E177" i="7"/>
  <c r="J176" i="7"/>
  <c r="E176" i="7"/>
  <c r="J175" i="7"/>
  <c r="H175" i="7"/>
  <c r="E175" i="7"/>
  <c r="J174" i="7"/>
  <c r="E174" i="7"/>
  <c r="J173" i="7"/>
  <c r="E173" i="7"/>
  <c r="J172" i="7"/>
  <c r="E172" i="7"/>
  <c r="J171" i="7"/>
  <c r="E171" i="7"/>
  <c r="J170" i="7"/>
  <c r="E170" i="7"/>
  <c r="J169" i="7"/>
  <c r="E169" i="7"/>
  <c r="J168" i="7"/>
  <c r="H168" i="7"/>
  <c r="E168" i="7"/>
  <c r="J167" i="7"/>
  <c r="E167" i="7"/>
  <c r="J166" i="7"/>
  <c r="E166" i="7"/>
  <c r="J165" i="7"/>
  <c r="E165" i="7"/>
  <c r="J164" i="7"/>
  <c r="E164" i="7"/>
  <c r="J163" i="7"/>
  <c r="E163" i="7"/>
  <c r="J162" i="7"/>
  <c r="E162" i="7"/>
  <c r="J161" i="7"/>
  <c r="H161" i="7"/>
  <c r="E161" i="7"/>
  <c r="J160" i="7"/>
  <c r="E160" i="7"/>
  <c r="J159" i="7"/>
  <c r="E159" i="7"/>
  <c r="J158" i="7"/>
  <c r="E158" i="7"/>
  <c r="J157" i="7"/>
  <c r="E157" i="7"/>
  <c r="J156" i="7"/>
  <c r="E156" i="7"/>
  <c r="J155" i="7"/>
  <c r="E155" i="7"/>
  <c r="J154" i="7"/>
  <c r="H154" i="7"/>
  <c r="E154" i="7"/>
  <c r="J153" i="7"/>
  <c r="E153" i="7"/>
  <c r="J152" i="7"/>
  <c r="E152" i="7"/>
  <c r="J151" i="7"/>
  <c r="E151" i="7"/>
  <c r="J150" i="7"/>
  <c r="E150" i="7"/>
  <c r="J149" i="7"/>
  <c r="E149" i="7"/>
  <c r="J148" i="7"/>
  <c r="E148" i="7"/>
  <c r="J147" i="7"/>
  <c r="H147" i="7"/>
  <c r="E147" i="7"/>
  <c r="J146" i="7"/>
  <c r="E146" i="7"/>
  <c r="J145" i="7"/>
  <c r="E145" i="7"/>
  <c r="J144" i="7"/>
  <c r="E144" i="7"/>
  <c r="J143" i="7"/>
  <c r="E143" i="7"/>
  <c r="J142" i="7"/>
  <c r="E142" i="7"/>
  <c r="J141" i="7"/>
  <c r="E141" i="7"/>
  <c r="J140" i="7"/>
  <c r="H140" i="7"/>
  <c r="E140" i="7"/>
  <c r="J139" i="7"/>
  <c r="E139" i="7"/>
  <c r="J138" i="7"/>
  <c r="E138" i="7"/>
  <c r="J137" i="7"/>
  <c r="E137" i="7"/>
  <c r="J136" i="7"/>
  <c r="E136" i="7"/>
  <c r="J135" i="7"/>
  <c r="E135" i="7"/>
  <c r="J134" i="7"/>
  <c r="E134" i="7"/>
  <c r="J133" i="7"/>
  <c r="H133" i="7"/>
  <c r="E133" i="7"/>
  <c r="J132" i="7"/>
  <c r="E132" i="7"/>
  <c r="J131" i="7"/>
  <c r="E131" i="7"/>
  <c r="J130" i="7"/>
  <c r="E130" i="7"/>
  <c r="J129" i="7"/>
  <c r="E129" i="7"/>
  <c r="J128" i="7"/>
  <c r="E128" i="7"/>
  <c r="J127" i="7"/>
  <c r="E127" i="7"/>
  <c r="J126" i="7"/>
  <c r="H126" i="7"/>
  <c r="E126" i="7"/>
  <c r="J125" i="7"/>
  <c r="E125" i="7"/>
  <c r="J124" i="7"/>
  <c r="E124" i="7"/>
  <c r="J123" i="7"/>
  <c r="E123" i="7"/>
  <c r="J122" i="7"/>
  <c r="E122" i="7"/>
  <c r="J121" i="7"/>
  <c r="E121" i="7"/>
  <c r="J120" i="7"/>
  <c r="E120" i="7"/>
  <c r="J119" i="7"/>
  <c r="H119" i="7"/>
  <c r="E119" i="7"/>
  <c r="J118" i="7"/>
  <c r="E118" i="7"/>
  <c r="J117" i="7"/>
  <c r="E117" i="7"/>
  <c r="J116" i="7"/>
  <c r="E116" i="7"/>
  <c r="J115" i="7"/>
  <c r="E115" i="7"/>
  <c r="J114" i="7"/>
  <c r="E114" i="7"/>
  <c r="J113" i="7"/>
  <c r="E113" i="7"/>
  <c r="J112" i="7"/>
  <c r="H112" i="7"/>
  <c r="E112" i="7"/>
  <c r="J111" i="7"/>
  <c r="E111" i="7"/>
  <c r="J110" i="7"/>
  <c r="E110" i="7"/>
  <c r="J109" i="7"/>
  <c r="E109" i="7"/>
  <c r="J108" i="7"/>
  <c r="E108" i="7"/>
  <c r="J107" i="7"/>
  <c r="E107" i="7"/>
  <c r="J106" i="7"/>
  <c r="E106" i="7"/>
  <c r="J105" i="7"/>
  <c r="H105" i="7"/>
  <c r="E105" i="7"/>
  <c r="J104" i="7"/>
  <c r="E104" i="7"/>
  <c r="J103" i="7"/>
  <c r="E103" i="7"/>
  <c r="J102" i="7"/>
  <c r="E102" i="7"/>
  <c r="J101" i="7"/>
  <c r="E101" i="7"/>
  <c r="J100" i="7"/>
  <c r="E100" i="7"/>
  <c r="J99" i="7"/>
  <c r="E99" i="7"/>
  <c r="J98" i="7"/>
  <c r="H98" i="7"/>
  <c r="E98" i="7"/>
  <c r="J97" i="7"/>
  <c r="E97" i="7"/>
  <c r="J96" i="7"/>
  <c r="E96" i="7"/>
  <c r="J95" i="7"/>
  <c r="E95" i="7"/>
  <c r="J94" i="7"/>
  <c r="E94" i="7"/>
  <c r="J93" i="7"/>
  <c r="E93" i="7"/>
  <c r="J92" i="7"/>
  <c r="E92" i="7"/>
  <c r="J91" i="7"/>
  <c r="H91" i="7"/>
  <c r="E91" i="7"/>
  <c r="J90" i="7"/>
  <c r="E90" i="7"/>
  <c r="J89" i="7"/>
  <c r="E89" i="7"/>
  <c r="J88" i="7"/>
  <c r="E88" i="7"/>
  <c r="J87" i="7"/>
  <c r="E87" i="7"/>
  <c r="J86" i="7"/>
  <c r="E86" i="7"/>
  <c r="J85" i="7"/>
  <c r="E85" i="7"/>
  <c r="J84" i="7"/>
  <c r="H84" i="7"/>
  <c r="E84" i="7"/>
  <c r="J83" i="7"/>
  <c r="E83" i="7"/>
  <c r="J82" i="7"/>
  <c r="E82" i="7"/>
  <c r="J81" i="7"/>
  <c r="E81" i="7"/>
  <c r="J80" i="7"/>
  <c r="E80" i="7"/>
  <c r="J79" i="7"/>
  <c r="E79" i="7"/>
  <c r="J78" i="7"/>
  <c r="E78" i="7"/>
  <c r="J77" i="7"/>
  <c r="H77" i="7"/>
  <c r="E77" i="7"/>
  <c r="J76" i="7"/>
  <c r="E76" i="7"/>
  <c r="J75" i="7"/>
  <c r="E75" i="7"/>
  <c r="J74" i="7"/>
  <c r="E74" i="7"/>
  <c r="J73" i="7"/>
  <c r="E73" i="7"/>
  <c r="J72" i="7"/>
  <c r="E72" i="7"/>
  <c r="J71" i="7"/>
  <c r="E71" i="7"/>
  <c r="J70" i="7"/>
  <c r="H70" i="7"/>
  <c r="E70" i="7"/>
  <c r="J69" i="7"/>
  <c r="E69" i="7"/>
  <c r="J68" i="7"/>
  <c r="E68" i="7"/>
  <c r="J67" i="7"/>
  <c r="E67" i="7"/>
  <c r="J66" i="7"/>
  <c r="E66" i="7"/>
  <c r="J65" i="7"/>
  <c r="E65" i="7"/>
  <c r="J64" i="7"/>
  <c r="E64" i="7"/>
  <c r="J63" i="7"/>
  <c r="H63" i="7"/>
  <c r="E63" i="7"/>
  <c r="J62" i="7"/>
  <c r="E62" i="7"/>
  <c r="J61" i="7"/>
  <c r="E61" i="7"/>
  <c r="J60" i="7"/>
  <c r="E60" i="7"/>
  <c r="J59" i="7"/>
  <c r="E59" i="7"/>
  <c r="J58" i="7"/>
  <c r="E58" i="7"/>
  <c r="J57" i="7"/>
  <c r="E57" i="7"/>
  <c r="J56" i="7"/>
  <c r="H56" i="7"/>
  <c r="E56" i="7"/>
  <c r="J55" i="7"/>
  <c r="E55" i="7"/>
  <c r="J54" i="7"/>
  <c r="E54" i="7"/>
  <c r="J53" i="7"/>
  <c r="E53" i="7"/>
  <c r="J52" i="7"/>
  <c r="E52" i="7"/>
  <c r="J51" i="7"/>
  <c r="E51" i="7"/>
  <c r="J50" i="7"/>
  <c r="E50" i="7"/>
  <c r="J49" i="7"/>
  <c r="H49" i="7"/>
  <c r="E49" i="7"/>
  <c r="J48" i="7"/>
  <c r="E48" i="7"/>
  <c r="J47" i="7"/>
  <c r="E47" i="7"/>
  <c r="J46" i="7"/>
  <c r="E46" i="7"/>
  <c r="J45" i="7"/>
  <c r="E45" i="7"/>
  <c r="J44" i="7"/>
  <c r="E44" i="7"/>
  <c r="J43" i="7"/>
  <c r="E43" i="7"/>
  <c r="J42" i="7"/>
  <c r="H42" i="7"/>
  <c r="E42" i="7"/>
  <c r="J41" i="7"/>
  <c r="E41" i="7"/>
  <c r="J40" i="7"/>
  <c r="E40" i="7"/>
  <c r="J39" i="7"/>
  <c r="E39" i="7"/>
  <c r="J38" i="7"/>
  <c r="E38" i="7"/>
  <c r="J37" i="7"/>
  <c r="E37" i="7"/>
  <c r="J36" i="7"/>
  <c r="E36" i="7"/>
  <c r="J35" i="7"/>
  <c r="H35" i="7"/>
  <c r="E35" i="7"/>
  <c r="J34" i="7"/>
  <c r="E34" i="7"/>
  <c r="J33" i="7"/>
  <c r="E33" i="7"/>
  <c r="J32" i="7"/>
  <c r="E32" i="7"/>
  <c r="J31" i="7"/>
  <c r="E31" i="7"/>
  <c r="J30" i="7"/>
  <c r="E30" i="7"/>
  <c r="J29" i="7"/>
  <c r="E29" i="7"/>
  <c r="J28" i="7"/>
  <c r="H28" i="7"/>
  <c r="E28" i="7"/>
  <c r="J27" i="7"/>
  <c r="E27" i="7"/>
  <c r="J26" i="7"/>
  <c r="E26" i="7"/>
  <c r="J25" i="7"/>
  <c r="E25" i="7"/>
  <c r="J24" i="7"/>
  <c r="E24" i="7"/>
  <c r="J23" i="7"/>
  <c r="E23" i="7"/>
  <c r="J22" i="7"/>
  <c r="E22" i="7"/>
  <c r="J21" i="7"/>
  <c r="H21" i="7"/>
  <c r="E21" i="7"/>
  <c r="J20" i="7"/>
  <c r="E20" i="7"/>
  <c r="J19" i="7"/>
  <c r="E19" i="7"/>
  <c r="J18" i="7"/>
  <c r="E18" i="7"/>
  <c r="J17" i="7"/>
  <c r="E17" i="7"/>
  <c r="J16" i="7"/>
  <c r="E16" i="7"/>
  <c r="J15" i="7"/>
  <c r="E15" i="7"/>
  <c r="J14" i="7"/>
  <c r="H14" i="7"/>
  <c r="E14" i="7"/>
  <c r="J13" i="7"/>
  <c r="E13" i="7"/>
  <c r="J12" i="7"/>
  <c r="E12" i="7"/>
  <c r="J11" i="7"/>
  <c r="E11" i="7"/>
  <c r="J10" i="7"/>
  <c r="E10" i="7"/>
  <c r="J9" i="7"/>
  <c r="E9" i="7"/>
  <c r="E8" i="7"/>
  <c r="H7" i="7"/>
  <c r="E7" i="7"/>
  <c r="E6" i="7"/>
  <c r="E5" i="7"/>
  <c r="E4" i="7"/>
  <c r="E3" i="7"/>
  <c r="E2" i="7"/>
  <c r="L1" i="7"/>
  <c r="K1" i="7"/>
  <c r="I1" i="7"/>
  <c r="I665" i="7" l="1"/>
  <c r="I721" i="7"/>
  <c r="I777" i="7"/>
  <c r="I679" i="7"/>
  <c r="I735" i="7"/>
  <c r="I791" i="7"/>
  <c r="E556" i="8"/>
  <c r="E548" i="8"/>
  <c r="E540" i="8"/>
  <c r="E532" i="8"/>
  <c r="E524" i="8"/>
  <c r="E516" i="8"/>
  <c r="E508" i="8"/>
  <c r="E500" i="8"/>
  <c r="E492" i="8"/>
  <c r="E484" i="8"/>
  <c r="E476" i="8"/>
  <c r="E468" i="8"/>
  <c r="E460" i="8"/>
  <c r="E452" i="8"/>
  <c r="N1" i="7"/>
  <c r="E444" i="8"/>
  <c r="E436" i="8"/>
  <c r="E428" i="8"/>
  <c r="E417" i="8"/>
  <c r="E409" i="8"/>
  <c r="E401" i="8"/>
  <c r="E393" i="8"/>
  <c r="E385" i="8"/>
  <c r="E377" i="8"/>
  <c r="E369" i="8"/>
  <c r="E361" i="8"/>
  <c r="E353" i="8"/>
  <c r="E345" i="8"/>
  <c r="E337" i="8"/>
  <c r="E329" i="8"/>
  <c r="E321" i="8"/>
  <c r="E313" i="8"/>
  <c r="E305" i="8"/>
  <c r="E297" i="8"/>
  <c r="E289" i="8"/>
  <c r="E273" i="8"/>
  <c r="E265" i="8"/>
  <c r="E257" i="8"/>
  <c r="E249" i="8"/>
  <c r="E241" i="8"/>
  <c r="E233" i="8"/>
  <c r="E225" i="8"/>
  <c r="E217" i="8"/>
  <c r="E209" i="8"/>
  <c r="E201" i="8"/>
  <c r="E193" i="8"/>
  <c r="E185" i="8"/>
  <c r="E177" i="8"/>
  <c r="E169" i="8"/>
  <c r="E161" i="8"/>
  <c r="E153" i="8"/>
  <c r="E145" i="8"/>
  <c r="E137" i="8"/>
  <c r="E554" i="8"/>
  <c r="E546" i="8"/>
  <c r="E538" i="8"/>
  <c r="E530" i="8"/>
  <c r="E522" i="8"/>
  <c r="E514" i="8"/>
  <c r="E506" i="8"/>
  <c r="E498" i="8"/>
  <c r="E490" i="8"/>
  <c r="E482" i="8"/>
  <c r="E474" i="8"/>
  <c r="E466" i="8"/>
  <c r="E458" i="8"/>
  <c r="E450" i="8"/>
  <c r="E442" i="8"/>
  <c r="E434" i="8"/>
  <c r="E426" i="8"/>
  <c r="E129" i="8"/>
  <c r="E244" i="8"/>
  <c r="E236" i="8"/>
  <c r="E220" i="8"/>
  <c r="E212" i="8"/>
  <c r="E204" i="8"/>
  <c r="E196" i="8"/>
  <c r="E188" i="8"/>
  <c r="E180" i="8"/>
  <c r="E172" i="8"/>
  <c r="E164" i="8"/>
  <c r="E156" i="8"/>
  <c r="E148" i="8"/>
  <c r="E140" i="8"/>
  <c r="E132" i="8"/>
  <c r="E124" i="8"/>
  <c r="E116" i="8"/>
  <c r="E108" i="8"/>
  <c r="E100" i="8"/>
  <c r="E92" i="8"/>
  <c r="E84" i="8"/>
  <c r="E76" i="8"/>
  <c r="E68" i="8"/>
  <c r="E60" i="8"/>
  <c r="E52" i="8"/>
  <c r="E44" i="8"/>
  <c r="E36" i="8"/>
  <c r="E28" i="8"/>
  <c r="E20" i="8"/>
  <c r="E12" i="8"/>
  <c r="E4" i="8"/>
  <c r="I749" i="7"/>
  <c r="E552" i="8"/>
  <c r="E544" i="8"/>
  <c r="E536" i="8"/>
  <c r="E528" i="8"/>
  <c r="E520" i="8"/>
  <c r="E512" i="8"/>
  <c r="E504" i="8"/>
  <c r="E496" i="8"/>
  <c r="E488" i="8"/>
  <c r="E480" i="8"/>
  <c r="E472" i="8"/>
  <c r="E464" i="8"/>
  <c r="E456" i="8"/>
  <c r="E448" i="8"/>
  <c r="E440" i="8"/>
  <c r="E432" i="8"/>
  <c r="E424" i="8"/>
  <c r="E420" i="8"/>
  <c r="E412" i="8"/>
  <c r="E404" i="8"/>
  <c r="E396" i="8"/>
  <c r="E388" i="8"/>
  <c r="E380" i="8"/>
  <c r="E372" i="8"/>
  <c r="E364" i="8"/>
  <c r="E356" i="8"/>
  <c r="E348" i="8"/>
  <c r="E340" i="8"/>
  <c r="E332" i="8"/>
  <c r="E324" i="8"/>
  <c r="E316" i="8"/>
  <c r="E308" i="8"/>
  <c r="E300" i="8"/>
  <c r="E292" i="8"/>
  <c r="E284" i="8"/>
  <c r="E276" i="8"/>
  <c r="E268" i="8"/>
  <c r="E260" i="8"/>
  <c r="E252" i="8"/>
  <c r="E228" i="8"/>
  <c r="I378" i="7"/>
  <c r="E99" i="8"/>
  <c r="E91" i="8"/>
  <c r="E83" i="8"/>
  <c r="E75" i="8"/>
  <c r="E67" i="8"/>
  <c r="E59" i="8"/>
  <c r="E51" i="8"/>
  <c r="E43" i="8"/>
  <c r="E35" i="8"/>
  <c r="E27" i="8"/>
  <c r="E19" i="8"/>
  <c r="E11" i="8"/>
  <c r="E3" i="8"/>
  <c r="E553" i="8"/>
  <c r="E545" i="8"/>
  <c r="E537" i="8"/>
  <c r="E529" i="8"/>
  <c r="E521" i="8"/>
  <c r="E513" i="8"/>
  <c r="E505" i="8"/>
  <c r="E497" i="8"/>
  <c r="E489" i="8"/>
  <c r="E481" i="8"/>
  <c r="E473" i="8"/>
  <c r="E465" i="8"/>
  <c r="E457" i="8"/>
  <c r="E449" i="8"/>
  <c r="E441" i="8"/>
  <c r="E433" i="8"/>
  <c r="E425" i="8"/>
  <c r="E121" i="8"/>
  <c r="I644" i="7"/>
  <c r="I651" i="7"/>
  <c r="I693" i="7"/>
  <c r="I707" i="7"/>
  <c r="E550" i="8"/>
  <c r="E542" i="8"/>
  <c r="E534" i="8"/>
  <c r="E526" i="8"/>
  <c r="E518" i="8"/>
  <c r="E510" i="8"/>
  <c r="E502" i="8"/>
  <c r="E494" i="8"/>
  <c r="E486" i="8"/>
  <c r="E478" i="8"/>
  <c r="E470" i="8"/>
  <c r="E462" i="8"/>
  <c r="E454" i="8"/>
  <c r="E446" i="8"/>
  <c r="E438" i="8"/>
  <c r="E430" i="8"/>
  <c r="E422" i="8"/>
  <c r="E414" i="8"/>
  <c r="E406" i="8"/>
  <c r="E398" i="8"/>
  <c r="E390" i="8"/>
  <c r="E382" i="8"/>
  <c r="E374" i="8"/>
  <c r="E366" i="8"/>
  <c r="E358" i="8"/>
  <c r="E350" i="8"/>
  <c r="E342" i="8"/>
  <c r="E334" i="8"/>
  <c r="E326" i="8"/>
  <c r="E318" i="8"/>
  <c r="E310" i="8"/>
  <c r="E302" i="8"/>
  <c r="E294" i="8"/>
  <c r="E286" i="8"/>
  <c r="E278" i="8"/>
  <c r="E270" i="8"/>
  <c r="E262" i="8"/>
  <c r="E254" i="8"/>
  <c r="E246" i="8"/>
  <c r="E238" i="8"/>
  <c r="I756" i="7"/>
  <c r="I763" i="7"/>
  <c r="I805" i="7"/>
  <c r="E416" i="8"/>
  <c r="E408" i="8"/>
  <c r="E400" i="8"/>
  <c r="E392" i="8"/>
  <c r="E384" i="8"/>
  <c r="E376" i="8"/>
  <c r="E368" i="8"/>
  <c r="E360" i="8"/>
  <c r="E352" i="8"/>
  <c r="E344" i="8"/>
  <c r="E336" i="8"/>
  <c r="E328" i="8"/>
  <c r="E320" i="8"/>
  <c r="E312" i="8"/>
  <c r="E304" i="8"/>
  <c r="E296" i="8"/>
  <c r="E288" i="8"/>
  <c r="E280" i="8"/>
  <c r="E272" i="8"/>
  <c r="E264" i="8"/>
  <c r="E256" i="8"/>
  <c r="E248" i="8"/>
  <c r="E240" i="8"/>
  <c r="E232" i="8"/>
  <c r="E224" i="8"/>
  <c r="E216" i="8"/>
  <c r="E208" i="8"/>
  <c r="E200" i="8"/>
  <c r="E192" i="8"/>
  <c r="E184" i="8"/>
  <c r="E176" i="8"/>
  <c r="E168" i="8"/>
  <c r="E160" i="8"/>
  <c r="E152" i="8"/>
  <c r="E144" i="8"/>
  <c r="E136" i="8"/>
  <c r="E128" i="8"/>
  <c r="E120" i="8"/>
  <c r="E112" i="8"/>
  <c r="E104" i="8"/>
  <c r="E418" i="8"/>
  <c r="E410" i="8"/>
  <c r="E402" i="8"/>
  <c r="E394" i="8"/>
  <c r="E386" i="8"/>
  <c r="E378" i="8"/>
  <c r="E370" i="8"/>
  <c r="E362" i="8"/>
  <c r="E354" i="8"/>
  <c r="E346" i="8"/>
  <c r="E338" i="8"/>
  <c r="E330" i="8"/>
  <c r="E322" i="8"/>
  <c r="E314" i="8"/>
  <c r="E306" i="8"/>
  <c r="E298" i="8"/>
  <c r="E290" i="8"/>
  <c r="E282" i="8"/>
  <c r="E274" i="8"/>
  <c r="E266" i="8"/>
  <c r="E258" i="8"/>
  <c r="E250" i="8"/>
  <c r="E242" i="8"/>
  <c r="E234" i="8"/>
  <c r="E226" i="8"/>
  <c r="E218" i="8"/>
  <c r="E210" i="8"/>
  <c r="E202" i="8"/>
  <c r="E194" i="8"/>
  <c r="E186" i="8"/>
  <c r="E178" i="8"/>
  <c r="E170" i="8"/>
  <c r="E162" i="8"/>
  <c r="E154" i="8"/>
  <c r="E146" i="8"/>
  <c r="E138" i="8"/>
  <c r="E130" i="8"/>
  <c r="I385" i="7"/>
  <c r="E281" i="8"/>
  <c r="E102" i="8"/>
  <c r="E117" i="8"/>
  <c r="E109" i="8"/>
  <c r="E101" i="8"/>
  <c r="E93" i="8"/>
  <c r="E85" i="8"/>
  <c r="E77" i="8"/>
  <c r="E69" i="8"/>
  <c r="E61" i="8"/>
  <c r="E53" i="8"/>
  <c r="E45" i="8"/>
  <c r="E37" i="8"/>
  <c r="E29" i="8"/>
  <c r="E21" i="8"/>
  <c r="E13" i="8"/>
  <c r="E5" i="8"/>
  <c r="I686" i="7"/>
  <c r="I35" i="7"/>
  <c r="I56" i="7"/>
  <c r="I91" i="7"/>
  <c r="I112" i="7"/>
  <c r="I147" i="7"/>
  <c r="I168" i="7"/>
  <c r="I203" i="7"/>
  <c r="I224" i="7"/>
  <c r="I259" i="7"/>
  <c r="I280" i="7"/>
  <c r="I315" i="7"/>
  <c r="I336" i="7"/>
  <c r="I364" i="7"/>
  <c r="I392" i="7"/>
  <c r="I427" i="7"/>
  <c r="I448" i="7"/>
  <c r="I476" i="7"/>
  <c r="I504" i="7"/>
  <c r="I532" i="7"/>
  <c r="I560" i="7"/>
  <c r="I595" i="7"/>
  <c r="I616" i="7"/>
  <c r="I700" i="7"/>
  <c r="E2" i="8"/>
  <c r="E551" i="8"/>
  <c r="E543" i="8"/>
  <c r="E535" i="8"/>
  <c r="E527" i="8"/>
  <c r="E519" i="8"/>
  <c r="E511" i="8"/>
  <c r="E503" i="8"/>
  <c r="E495" i="8"/>
  <c r="E487" i="8"/>
  <c r="E479" i="8"/>
  <c r="E471" i="8"/>
  <c r="E463" i="8"/>
  <c r="E455" i="8"/>
  <c r="E447" i="8"/>
  <c r="E439" i="8"/>
  <c r="E431" i="8"/>
  <c r="E423" i="8"/>
  <c r="E415" i="8"/>
  <c r="E407" i="8"/>
  <c r="E399" i="8"/>
  <c r="E391" i="8"/>
  <c r="E383" i="8"/>
  <c r="E375" i="8"/>
  <c r="E367" i="8"/>
  <c r="E359" i="8"/>
  <c r="E351" i="8"/>
  <c r="E343" i="8"/>
  <c r="E335" i="8"/>
  <c r="E327" i="8"/>
  <c r="E319" i="8"/>
  <c r="E311" i="8"/>
  <c r="E303" i="8"/>
  <c r="E295" i="8"/>
  <c r="E287" i="8"/>
  <c r="E279" i="8"/>
  <c r="E271" i="8"/>
  <c r="E263" i="8"/>
  <c r="E255" i="8"/>
  <c r="E247" i="8"/>
  <c r="E239" i="8"/>
  <c r="E231" i="8"/>
  <c r="E223" i="8"/>
  <c r="E215" i="8"/>
  <c r="E207" i="8"/>
  <c r="E199" i="8"/>
  <c r="E191" i="8"/>
  <c r="E183" i="8"/>
  <c r="E175" i="8"/>
  <c r="E167" i="8"/>
  <c r="E159" i="8"/>
  <c r="E151" i="8"/>
  <c r="E143" i="8"/>
  <c r="E135" i="8"/>
  <c r="E127" i="8"/>
  <c r="E119" i="8"/>
  <c r="E111" i="8"/>
  <c r="E103" i="8"/>
  <c r="I742" i="7"/>
  <c r="I798" i="7"/>
  <c r="E230" i="8"/>
  <c r="E222" i="8"/>
  <c r="E214" i="8"/>
  <c r="E206" i="8"/>
  <c r="E198" i="8"/>
  <c r="E190" i="8"/>
  <c r="E182" i="8"/>
  <c r="E174" i="8"/>
  <c r="E166" i="8"/>
  <c r="E158" i="8"/>
  <c r="E150" i="8"/>
  <c r="E142" i="8"/>
  <c r="E134" i="8"/>
  <c r="E126" i="8"/>
  <c r="E118" i="8"/>
  <c r="E110" i="8"/>
  <c r="I434" i="7"/>
  <c r="I462" i="7"/>
  <c r="I490" i="7"/>
  <c r="I518" i="7"/>
  <c r="I546" i="7"/>
  <c r="I574" i="7"/>
  <c r="I602" i="7"/>
  <c r="I630" i="7"/>
  <c r="E555" i="8"/>
  <c r="E547" i="8"/>
  <c r="E539" i="8"/>
  <c r="E531" i="8"/>
  <c r="E523" i="8"/>
  <c r="E515" i="8"/>
  <c r="E507" i="8"/>
  <c r="E499" i="8"/>
  <c r="E491" i="8"/>
  <c r="E483" i="8"/>
  <c r="E475" i="8"/>
  <c r="E467" i="8"/>
  <c r="E459" i="8"/>
  <c r="E451" i="8"/>
  <c r="E443" i="8"/>
  <c r="E435" i="8"/>
  <c r="E427" i="8"/>
  <c r="E419" i="8"/>
  <c r="E411" i="8"/>
  <c r="E403" i="8"/>
  <c r="E395" i="8"/>
  <c r="E387" i="8"/>
  <c r="E379" i="8"/>
  <c r="E371" i="8"/>
  <c r="E363" i="8"/>
  <c r="E355" i="8"/>
  <c r="E347" i="8"/>
  <c r="E339" i="8"/>
  <c r="E331" i="8"/>
  <c r="E323" i="8"/>
  <c r="E315" i="8"/>
  <c r="E307" i="8"/>
  <c r="E299" i="8"/>
  <c r="E291" i="8"/>
  <c r="E283" i="8"/>
  <c r="E275" i="8"/>
  <c r="E267" i="8"/>
  <c r="E259" i="8"/>
  <c r="E251" i="8"/>
  <c r="E243" i="8"/>
  <c r="E235" i="8"/>
  <c r="E227" i="8"/>
  <c r="E219" i="8"/>
  <c r="E211" i="8"/>
  <c r="E203" i="8"/>
  <c r="E195" i="8"/>
  <c r="E187" i="8"/>
  <c r="E179" i="8"/>
  <c r="E171" i="8"/>
  <c r="E163" i="8"/>
  <c r="E155" i="8"/>
  <c r="E147" i="8"/>
  <c r="E139" i="8"/>
  <c r="E131" i="8"/>
  <c r="E123" i="8"/>
  <c r="E115" i="8"/>
  <c r="E107" i="8"/>
  <c r="E549" i="8"/>
  <c r="E541" i="8"/>
  <c r="E533" i="8"/>
  <c r="E525" i="8"/>
  <c r="E517" i="8"/>
  <c r="E509" i="8"/>
  <c r="E501" i="8"/>
  <c r="E493" i="8"/>
  <c r="E485" i="8"/>
  <c r="E477" i="8"/>
  <c r="E469" i="8"/>
  <c r="E461" i="8"/>
  <c r="E453" i="8"/>
  <c r="E445" i="8"/>
  <c r="E437" i="8"/>
  <c r="E429" i="8"/>
  <c r="E421" i="8"/>
  <c r="E413" i="8"/>
  <c r="E405" i="8"/>
  <c r="E397" i="8"/>
  <c r="E389" i="8"/>
  <c r="E381" i="8"/>
  <c r="E373" i="8"/>
  <c r="E365" i="8"/>
  <c r="E357" i="8"/>
  <c r="E349" i="8"/>
  <c r="E341" i="8"/>
  <c r="E333" i="8"/>
  <c r="E325" i="8"/>
  <c r="E317" i="8"/>
  <c r="E309" i="8"/>
  <c r="E301" i="8"/>
  <c r="E293" i="8"/>
  <c r="E285" i="8"/>
  <c r="E277" i="8"/>
  <c r="E269" i="8"/>
  <c r="E261" i="8"/>
  <c r="E253" i="8"/>
  <c r="E245" i="8"/>
  <c r="E237" i="8"/>
  <c r="E229" i="8"/>
  <c r="E221" i="8"/>
  <c r="E213" i="8"/>
  <c r="E205" i="8"/>
  <c r="E197" i="8"/>
  <c r="E189" i="8"/>
  <c r="E181" i="8"/>
  <c r="E173" i="8"/>
  <c r="E165" i="8"/>
  <c r="E157" i="8"/>
  <c r="E149" i="8"/>
  <c r="E141" i="8"/>
  <c r="E133" i="8"/>
  <c r="E125" i="8"/>
  <c r="E113" i="8"/>
  <c r="E105" i="8"/>
  <c r="E97" i="8"/>
  <c r="E89" i="8"/>
  <c r="E81" i="8"/>
  <c r="E73" i="8"/>
  <c r="E65" i="8"/>
  <c r="E57" i="8"/>
  <c r="E49" i="8"/>
  <c r="E41" i="8"/>
  <c r="E33" i="8"/>
  <c r="E25" i="8"/>
  <c r="E17" i="8"/>
  <c r="E9" i="8"/>
  <c r="E94" i="8"/>
  <c r="E86" i="8"/>
  <c r="E78" i="8"/>
  <c r="E70" i="8"/>
  <c r="E62" i="8"/>
  <c r="E54" i="8"/>
  <c r="E46" i="8"/>
  <c r="E38" i="8"/>
  <c r="E30" i="8"/>
  <c r="E22" i="8"/>
  <c r="E14" i="8"/>
  <c r="E6" i="8"/>
  <c r="E96" i="8"/>
  <c r="E88" i="8"/>
  <c r="E80" i="8"/>
  <c r="E72" i="8"/>
  <c r="E64" i="8"/>
  <c r="E56" i="8"/>
  <c r="E48" i="8"/>
  <c r="E40" i="8"/>
  <c r="E32" i="8"/>
  <c r="E24" i="8"/>
  <c r="E16" i="8"/>
  <c r="E8" i="8"/>
  <c r="E122" i="8"/>
  <c r="E114" i="8"/>
  <c r="E106" i="8"/>
  <c r="E98" i="8"/>
  <c r="E90" i="8"/>
  <c r="E82" i="8"/>
  <c r="E74" i="8"/>
  <c r="E66" i="8"/>
  <c r="E58" i="8"/>
  <c r="E50" i="8"/>
  <c r="E42" i="8"/>
  <c r="E34" i="8"/>
  <c r="E26" i="8"/>
  <c r="E18" i="8"/>
  <c r="E10" i="8"/>
  <c r="E95" i="8"/>
  <c r="E87" i="8"/>
  <c r="E79" i="8"/>
  <c r="E71" i="8"/>
  <c r="E63" i="8"/>
  <c r="E55" i="8"/>
  <c r="E47" i="8"/>
  <c r="E39" i="8"/>
  <c r="E31" i="8"/>
  <c r="E23" i="8"/>
  <c r="E15" i="8"/>
  <c r="E7" i="8"/>
  <c r="I14" i="7"/>
  <c r="I42" i="7"/>
  <c r="I70" i="7"/>
  <c r="I98" i="7"/>
  <c r="I126" i="7"/>
  <c r="I154" i="7"/>
  <c r="I182" i="7"/>
  <c r="I210" i="7"/>
  <c r="I238" i="7"/>
  <c r="I266" i="7"/>
  <c r="I294" i="7"/>
  <c r="I322" i="7"/>
  <c r="I350" i="7"/>
  <c r="I406" i="7"/>
  <c r="I371" i="7"/>
  <c r="I483" i="7"/>
  <c r="I539" i="7"/>
  <c r="I28" i="7"/>
  <c r="I84" i="7"/>
  <c r="I140" i="7"/>
  <c r="I196" i="7"/>
  <c r="I252" i="7"/>
  <c r="I308" i="7"/>
  <c r="I420" i="7"/>
  <c r="I588" i="7"/>
  <c r="I658" i="7"/>
  <c r="I714" i="7"/>
  <c r="I770" i="7"/>
  <c r="I21" i="7"/>
  <c r="I77" i="7"/>
  <c r="I133" i="7"/>
  <c r="I189" i="7"/>
  <c r="I245" i="7"/>
  <c r="I301" i="7"/>
  <c r="I357" i="7"/>
  <c r="I413" i="7"/>
  <c r="I469" i="7"/>
  <c r="I525" i="7"/>
  <c r="I581" i="7"/>
  <c r="I637" i="7"/>
  <c r="I672" i="7"/>
  <c r="I728" i="7"/>
  <c r="I784" i="7"/>
  <c r="I63" i="7"/>
  <c r="I119" i="7"/>
  <c r="I175" i="7"/>
  <c r="I231" i="7"/>
  <c r="I287" i="7"/>
  <c r="I343" i="7"/>
  <c r="I399" i="7"/>
  <c r="I455" i="7"/>
  <c r="I511" i="7"/>
  <c r="I567" i="7"/>
  <c r="I623" i="7"/>
  <c r="I49" i="7"/>
  <c r="I105" i="7"/>
  <c r="I161" i="7"/>
  <c r="I217" i="7"/>
  <c r="I273" i="7"/>
  <c r="I329" i="7"/>
  <c r="I441" i="7"/>
  <c r="I497" i="7"/>
  <c r="I553" i="7"/>
  <c r="I609" i="7"/>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9" i="1"/>
  <c r="B406" i="8" l="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394" i="1"/>
  <c r="E395" i="1"/>
  <c r="E396" i="1"/>
  <c r="E397" i="1"/>
  <c r="E398" i="1"/>
  <c r="E399" i="1"/>
  <c r="E400" i="1"/>
  <c r="E401" i="1"/>
  <c r="E402" i="1"/>
  <c r="E403" i="1"/>
  <c r="E404" i="1"/>
  <c r="E405" i="1"/>
  <c r="E406" i="1"/>
  <c r="E407" i="1"/>
  <c r="E408" i="1"/>
  <c r="E409" i="1"/>
  <c r="E410" i="1"/>
  <c r="E411" i="1"/>
  <c r="E412" i="1"/>
  <c r="E413" i="1"/>
  <c r="E414" i="1"/>
  <c r="E415" i="1"/>
  <c r="JL36" i="2"/>
  <c r="JL38" i="2" s="1"/>
  <c r="JO36" i="2"/>
  <c r="JO38" i="2" s="1"/>
  <c r="JR36" i="2"/>
  <c r="JR38" i="2" s="1"/>
  <c r="JU36" i="2"/>
  <c r="JU38" i="2" s="1"/>
  <c r="JX36" i="2"/>
  <c r="JX38" i="2" s="1"/>
  <c r="KA36" i="2"/>
  <c r="KA38" i="2" s="1"/>
  <c r="KD36" i="2"/>
  <c r="KD38" i="2" s="1"/>
  <c r="KG36" i="2"/>
  <c r="KG38" i="2" s="1"/>
  <c r="KJ36" i="2"/>
  <c r="KJ38" i="2" s="1"/>
  <c r="KM36" i="2"/>
  <c r="KM38" i="2" s="1"/>
  <c r="KP36" i="2"/>
  <c r="KP38" i="2" s="1"/>
  <c r="KS36" i="2"/>
  <c r="KS38" i="2" s="1"/>
  <c r="KV36" i="2"/>
  <c r="KV38" i="2" s="1"/>
  <c r="KY36" i="2"/>
  <c r="KY38" i="2" s="1"/>
  <c r="LB36" i="2"/>
  <c r="LB38" i="2" s="1"/>
  <c r="LE36" i="2"/>
  <c r="LE38" i="2" s="1"/>
  <c r="LH36" i="2"/>
  <c r="LH38" i="2" s="1"/>
  <c r="LK36" i="2"/>
  <c r="LK38" i="2" s="1"/>
  <c r="LN36" i="2"/>
  <c r="LN38" i="2" s="1"/>
  <c r="LQ36" i="2"/>
  <c r="LQ38" i="2" s="1"/>
  <c r="LT36" i="2"/>
  <c r="LT38" i="2" s="1"/>
  <c r="LW36" i="2"/>
  <c r="LW38" i="2" s="1"/>
  <c r="LZ36" i="2"/>
  <c r="LZ38" i="2" s="1"/>
  <c r="MC36" i="2"/>
  <c r="MC38" i="2" s="1"/>
  <c r="MF36" i="2"/>
  <c r="MF38" i="2" s="1"/>
  <c r="MI36" i="2"/>
  <c r="MI38" i="2" s="1"/>
  <c r="ML36" i="2"/>
  <c r="ML38" i="2" s="1"/>
  <c r="MO36" i="2"/>
  <c r="MO38" i="2" s="1"/>
  <c r="MR36" i="2"/>
  <c r="MR38" i="2" s="1"/>
  <c r="MU36" i="2"/>
  <c r="MU38" i="2" s="1"/>
  <c r="MX36" i="2"/>
  <c r="MX38" i="2" s="1"/>
  <c r="NA36" i="2"/>
  <c r="NA38" i="2" s="1"/>
  <c r="ND36" i="2"/>
  <c r="ND38" i="2" s="1"/>
  <c r="NG36" i="2"/>
  <c r="NG38" i="2" s="1"/>
  <c r="NJ36" i="2"/>
  <c r="NJ38" i="2" s="1"/>
  <c r="NM36" i="2"/>
  <c r="NM38" i="2" s="1"/>
  <c r="NP36" i="2"/>
  <c r="NP38" i="2" s="1"/>
  <c r="NS36" i="2"/>
  <c r="NS38" i="2" s="1"/>
  <c r="NV36" i="2"/>
  <c r="NV38" i="2" s="1"/>
  <c r="NY36" i="2"/>
  <c r="NY38" i="2" s="1"/>
  <c r="OB36" i="2"/>
  <c r="OB38" i="2" s="1"/>
  <c r="OE36" i="2"/>
  <c r="OE38" i="2" s="1"/>
  <c r="OH36" i="2"/>
  <c r="OH38" i="2" s="1"/>
  <c r="OK36" i="2"/>
  <c r="OK38" i="2" s="1"/>
  <c r="ON36" i="2"/>
  <c r="ON38" i="2" s="1"/>
  <c r="OQ36" i="2"/>
  <c r="OQ38" i="2" s="1"/>
  <c r="OT36" i="2"/>
  <c r="OT38" i="2" s="1"/>
  <c r="OW36" i="2"/>
  <c r="OW38" i="2" s="1"/>
  <c r="OZ36" i="2"/>
  <c r="OZ38" i="2" s="1"/>
  <c r="PC36" i="2"/>
  <c r="PC38" i="2" s="1"/>
  <c r="PF36" i="2"/>
  <c r="PF38" i="2" s="1"/>
  <c r="PI36" i="2"/>
  <c r="PI38" i="2" s="1"/>
  <c r="PL36" i="2"/>
  <c r="PL38" i="2" s="1"/>
  <c r="PO36" i="2"/>
  <c r="PO38" i="2" s="1"/>
  <c r="PR36" i="2"/>
  <c r="PR38" i="2" s="1"/>
  <c r="PU36" i="2"/>
  <c r="PU38" i="2" s="1"/>
  <c r="PX36" i="2"/>
  <c r="PX38" i="2" s="1"/>
  <c r="QA36" i="2"/>
  <c r="QA38" i="2" s="1"/>
  <c r="QD36" i="2"/>
  <c r="QD38" i="2" s="1"/>
  <c r="QG36" i="2"/>
  <c r="QG38" i="2" s="1"/>
  <c r="QJ36" i="2"/>
  <c r="QJ38" i="2" s="1"/>
  <c r="QM36" i="2"/>
  <c r="QM38" i="2" s="1"/>
  <c r="QP36" i="2"/>
  <c r="QP38" i="2" s="1"/>
  <c r="QS36" i="2"/>
  <c r="QS38" i="2" s="1"/>
  <c r="QV36" i="2"/>
  <c r="QV38" i="2" s="1"/>
  <c r="QY36" i="2"/>
  <c r="QY38" i="2" s="1"/>
  <c r="RB36" i="2"/>
  <c r="RB38" i="2" s="1"/>
  <c r="RE36" i="2"/>
  <c r="RE38" i="2" s="1"/>
  <c r="RH36" i="2"/>
  <c r="RH38" i="2" s="1"/>
  <c r="RK36" i="2"/>
  <c r="RK38" i="2" s="1"/>
  <c r="RN36" i="2"/>
  <c r="RN38" i="2" s="1"/>
  <c r="RQ36" i="2"/>
  <c r="RQ38" i="2" s="1"/>
  <c r="RT36" i="2"/>
  <c r="RT38" i="2" s="1"/>
  <c r="RW36" i="2"/>
  <c r="RW38" i="2" s="1"/>
  <c r="RZ36" i="2"/>
  <c r="RZ38" i="2" s="1"/>
  <c r="SC36" i="2"/>
  <c r="SC38" i="2" s="1"/>
  <c r="SF36" i="2"/>
  <c r="SF38" i="2" s="1"/>
  <c r="SI36" i="2"/>
  <c r="SI38" i="2" s="1"/>
  <c r="SL36" i="2"/>
  <c r="SL38" i="2" s="1"/>
  <c r="SO36" i="2"/>
  <c r="SO38" i="2" s="1"/>
  <c r="SR36" i="2"/>
  <c r="SR38" i="2" s="1"/>
  <c r="SU36" i="2"/>
  <c r="SU38" i="2" s="1"/>
  <c r="SX36" i="2"/>
  <c r="SX38" i="2" s="1"/>
  <c r="TA36" i="2"/>
  <c r="TA38" i="2" s="1"/>
  <c r="TD36" i="2"/>
  <c r="TD38" i="2" s="1"/>
  <c r="JL37" i="2"/>
  <c r="JO37" i="2"/>
  <c r="JR37" i="2"/>
  <c r="JU37" i="2"/>
  <c r="JX37" i="2"/>
  <c r="KA37" i="2"/>
  <c r="KD37" i="2"/>
  <c r="KG37" i="2"/>
  <c r="KJ37" i="2"/>
  <c r="KM37" i="2"/>
  <c r="KP37" i="2"/>
  <c r="KS37" i="2"/>
  <c r="KV37" i="2"/>
  <c r="KY37" i="2"/>
  <c r="LB37" i="2"/>
  <c r="LE37" i="2"/>
  <c r="LH37" i="2"/>
  <c r="LK37" i="2"/>
  <c r="LN37" i="2"/>
  <c r="LQ37" i="2"/>
  <c r="LT37" i="2"/>
  <c r="LW37" i="2"/>
  <c r="LZ37" i="2"/>
  <c r="MC37" i="2"/>
  <c r="MF37" i="2"/>
  <c r="MI37" i="2"/>
  <c r="ML37" i="2"/>
  <c r="MO37" i="2"/>
  <c r="MR37" i="2"/>
  <c r="MU37" i="2"/>
  <c r="MX37" i="2"/>
  <c r="NA37" i="2"/>
  <c r="ND37" i="2"/>
  <c r="NG37" i="2"/>
  <c r="NJ37" i="2"/>
  <c r="NM37" i="2"/>
  <c r="NP37" i="2"/>
  <c r="NS37" i="2"/>
  <c r="NV37" i="2"/>
  <c r="NY37" i="2"/>
  <c r="OB37" i="2"/>
  <c r="OE37" i="2"/>
  <c r="OH37" i="2"/>
  <c r="OK37" i="2"/>
  <c r="ON37" i="2"/>
  <c r="OQ37" i="2"/>
  <c r="OT37" i="2"/>
  <c r="OW37" i="2"/>
  <c r="OZ37" i="2"/>
  <c r="PC37" i="2"/>
  <c r="PF37" i="2"/>
  <c r="PI37" i="2"/>
  <c r="PL37" i="2"/>
  <c r="PO37" i="2"/>
  <c r="PR37" i="2"/>
  <c r="PU37" i="2"/>
  <c r="PX37" i="2"/>
  <c r="QA37" i="2"/>
  <c r="QD37" i="2"/>
  <c r="QG37" i="2"/>
  <c r="QJ37" i="2"/>
  <c r="QM37" i="2"/>
  <c r="QP37" i="2"/>
  <c r="QS37" i="2"/>
  <c r="QV37" i="2"/>
  <c r="QY37" i="2"/>
  <c r="RB37" i="2"/>
  <c r="RE37" i="2"/>
  <c r="RH37" i="2"/>
  <c r="RK37" i="2"/>
  <c r="RN37" i="2"/>
  <c r="RQ37" i="2"/>
  <c r="RT37" i="2"/>
  <c r="RW37" i="2"/>
  <c r="RZ37" i="2"/>
  <c r="SC37" i="2"/>
  <c r="SF37" i="2"/>
  <c r="SI37" i="2"/>
  <c r="SL37" i="2"/>
  <c r="SO37" i="2"/>
  <c r="SR37" i="2"/>
  <c r="SU37" i="2"/>
  <c r="SX37" i="2"/>
  <c r="TA37" i="2"/>
  <c r="TD37" i="2"/>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J644" i="1"/>
  <c r="J651" i="1"/>
  <c r="J658" i="1"/>
  <c r="J665" i="1"/>
  <c r="J672" i="1"/>
  <c r="J679" i="1"/>
  <c r="J686" i="1"/>
  <c r="J693" i="1"/>
  <c r="J700" i="1"/>
  <c r="J707" i="1"/>
  <c r="J714" i="1"/>
  <c r="J721" i="1"/>
  <c r="J728" i="1"/>
  <c r="J735" i="1"/>
  <c r="J742" i="1"/>
  <c r="J749" i="1"/>
  <c r="J756" i="1"/>
  <c r="J763" i="1"/>
  <c r="J770" i="1"/>
  <c r="J777" i="1"/>
  <c r="J784" i="1"/>
  <c r="J791" i="1"/>
  <c r="J798" i="1"/>
  <c r="J805" i="1"/>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245" i="8"/>
  <c r="B252" i="8"/>
  <c r="B259" i="8"/>
  <c r="B266" i="8"/>
  <c r="B273" i="8"/>
  <c r="B280" i="8"/>
  <c r="B287" i="8"/>
  <c r="B315" i="8"/>
  <c r="B308" i="8"/>
  <c r="B301" i="8"/>
  <c r="B294" i="8"/>
  <c r="B322" i="8"/>
  <c r="B329" i="8"/>
  <c r="B336" i="8"/>
  <c r="B343" i="8"/>
  <c r="B350" i="8"/>
  <c r="B357" i="8"/>
  <c r="B364" i="8"/>
  <c r="I406" i="1"/>
  <c r="B399" i="8"/>
  <c r="B392" i="8"/>
  <c r="B385" i="8"/>
  <c r="B378" i="8"/>
  <c r="M1" i="1"/>
  <c r="B393" i="8"/>
  <c r="B394" i="8"/>
  <c r="B395" i="8"/>
  <c r="B396" i="8"/>
  <c r="B397" i="8"/>
  <c r="B398" i="8"/>
  <c r="B400" i="8"/>
  <c r="B401" i="8"/>
  <c r="B402" i="8"/>
  <c r="B403" i="8"/>
  <c r="B404" i="8"/>
  <c r="B405" i="8"/>
  <c r="E383" i="1"/>
  <c r="B383" i="8"/>
  <c r="E384" i="1"/>
  <c r="B384" i="8"/>
  <c r="E385" i="1"/>
  <c r="E386" i="1"/>
  <c r="B386" i="8"/>
  <c r="E387" i="1"/>
  <c r="B387" i="8"/>
  <c r="E388" i="1"/>
  <c r="B388" i="8"/>
  <c r="E389" i="1"/>
  <c r="B389" i="8"/>
  <c r="E390" i="1"/>
  <c r="B390" i="8"/>
  <c r="E391" i="1"/>
  <c r="B391" i="8"/>
  <c r="E392" i="1"/>
  <c r="E393" i="1"/>
  <c r="B367" i="8"/>
  <c r="B368" i="8"/>
  <c r="B369" i="8"/>
  <c r="B370" i="8"/>
  <c r="B371" i="8"/>
  <c r="B372" i="8"/>
  <c r="B373" i="8"/>
  <c r="B374" i="8"/>
  <c r="B375" i="8"/>
  <c r="B376" i="8"/>
  <c r="B377" i="8"/>
  <c r="B379" i="8"/>
  <c r="B380" i="8"/>
  <c r="B381" i="8"/>
  <c r="B382" i="8"/>
  <c r="B365" i="8"/>
  <c r="B366" i="8"/>
  <c r="JI37" i="2"/>
  <c r="JF37" i="2"/>
  <c r="JC37" i="2"/>
  <c r="IZ37" i="2"/>
  <c r="JI36" i="2"/>
  <c r="JI38" i="2" s="1"/>
  <c r="JF36" i="2"/>
  <c r="JF38" i="2" s="1"/>
  <c r="JC36" i="2"/>
  <c r="JC38" i="2" s="1"/>
  <c r="IZ36" i="2"/>
  <c r="IZ38" i="2" s="1"/>
  <c r="E367" i="1"/>
  <c r="E368" i="1"/>
  <c r="E369" i="1"/>
  <c r="E370" i="1"/>
  <c r="E371" i="1"/>
  <c r="E372" i="1"/>
  <c r="E373" i="1"/>
  <c r="E374" i="1"/>
  <c r="E375" i="1"/>
  <c r="E376" i="1"/>
  <c r="E377" i="1"/>
  <c r="E378" i="1"/>
  <c r="E379" i="1"/>
  <c r="E380" i="1"/>
  <c r="E381" i="1"/>
  <c r="E382" i="1"/>
  <c r="IW37" i="2"/>
  <c r="IT37" i="2"/>
  <c r="IQ37" i="2"/>
  <c r="IW36" i="2"/>
  <c r="IW38" i="2" s="1"/>
  <c r="IT36" i="2"/>
  <c r="IT38" i="2" s="1"/>
  <c r="IQ36" i="2"/>
  <c r="IQ38" i="2" s="1"/>
  <c r="IN37" i="2"/>
  <c r="IK37" i="2"/>
  <c r="IH37" i="2"/>
  <c r="IN36" i="2"/>
  <c r="IN38" i="2" s="1"/>
  <c r="IK36" i="2"/>
  <c r="IK38" i="2" s="1"/>
  <c r="IH36" i="2"/>
  <c r="IH38" i="2" s="1"/>
  <c r="IE37" i="2"/>
  <c r="IB37" i="2"/>
  <c r="HY37" i="2"/>
  <c r="HV37" i="2"/>
  <c r="HS37" i="2"/>
  <c r="HP37" i="2"/>
  <c r="HM37" i="2"/>
  <c r="HJ37" i="2"/>
  <c r="HG37" i="2"/>
  <c r="HD37" i="2"/>
  <c r="HA37" i="2"/>
  <c r="GX37" i="2"/>
  <c r="IE36" i="2"/>
  <c r="IE38" i="2" s="1"/>
  <c r="IB36" i="2"/>
  <c r="IB38" i="2" s="1"/>
  <c r="HY36" i="2"/>
  <c r="HY38" i="2" s="1"/>
  <c r="HV36" i="2"/>
  <c r="HV38" i="2" s="1"/>
  <c r="HS36" i="2"/>
  <c r="HS38" i="2" s="1"/>
  <c r="HP36" i="2"/>
  <c r="HP38" i="2" s="1"/>
  <c r="HM36" i="2"/>
  <c r="HM38" i="2" s="1"/>
  <c r="HJ36" i="2"/>
  <c r="HJ38" i="2" s="1"/>
  <c r="HG36" i="2"/>
  <c r="HG38" i="2" s="1"/>
  <c r="HD36" i="2"/>
  <c r="HD38" i="2" s="1"/>
  <c r="HA36" i="2"/>
  <c r="HA38" i="2" s="1"/>
  <c r="GX36" i="2"/>
  <c r="GX38" i="2" s="1"/>
  <c r="GU37" i="2"/>
  <c r="GR37" i="2"/>
  <c r="GO37" i="2"/>
  <c r="GL37" i="2"/>
  <c r="GI37" i="2"/>
  <c r="GF37" i="2"/>
  <c r="GC37" i="2"/>
  <c r="GU36" i="2"/>
  <c r="GU38" i="2" s="1"/>
  <c r="GR36" i="2"/>
  <c r="GR38" i="2" s="1"/>
  <c r="GO36" i="2"/>
  <c r="GO38" i="2" s="1"/>
  <c r="GL36" i="2"/>
  <c r="GL38" i="2" s="1"/>
  <c r="GI36" i="2"/>
  <c r="GI38" i="2" s="1"/>
  <c r="GF36" i="2"/>
  <c r="GF38" i="2" s="1"/>
  <c r="GC36" i="2"/>
  <c r="GC38" i="2" s="1"/>
  <c r="FZ37" i="2"/>
  <c r="FW37" i="2"/>
  <c r="FT37" i="2"/>
  <c r="FQ37" i="2"/>
  <c r="FN37" i="2"/>
  <c r="FK37" i="2"/>
  <c r="FH37" i="2"/>
  <c r="FE37" i="2"/>
  <c r="FB37" i="2"/>
  <c r="Q36" i="2"/>
  <c r="B40" i="2" s="1"/>
  <c r="B50" i="2" s="1"/>
  <c r="FZ36" i="2"/>
  <c r="FZ38" i="2" s="1"/>
  <c r="FW36" i="2"/>
  <c r="FW38" i="2" s="1"/>
  <c r="FT36" i="2"/>
  <c r="FT38" i="2" s="1"/>
  <c r="FQ36" i="2"/>
  <c r="FQ38" i="2" s="1"/>
  <c r="FN36" i="2"/>
  <c r="FN38" i="2" s="1"/>
  <c r="FK36" i="2"/>
  <c r="FK38" i="2" s="1"/>
  <c r="FH36" i="2"/>
  <c r="FH38" i="2" s="1"/>
  <c r="FE36" i="2"/>
  <c r="FE38" i="2" s="1"/>
  <c r="FB36" i="2"/>
  <c r="FB38" i="2" s="1"/>
  <c r="EY36" i="2"/>
  <c r="EY38" i="2" s="1"/>
  <c r="EV36" i="2"/>
  <c r="EV38" i="2" s="1"/>
  <c r="ES36" i="2"/>
  <c r="ES38" i="2" s="1"/>
  <c r="EP36" i="2"/>
  <c r="EP38" i="2" s="1"/>
  <c r="EM36" i="2"/>
  <c r="EM38" i="2" s="1"/>
  <c r="EJ36" i="2"/>
  <c r="EJ38" i="2" s="1"/>
  <c r="EG36" i="2"/>
  <c r="EG38" i="2" s="1"/>
  <c r="ED36" i="2"/>
  <c r="ED38" i="2" s="1"/>
  <c r="EA36" i="2"/>
  <c r="EA38" i="2" s="1"/>
  <c r="DX36" i="2"/>
  <c r="DX38" i="2" s="1"/>
  <c r="DU36" i="2"/>
  <c r="DR36" i="2"/>
  <c r="DO36" i="2"/>
  <c r="DL36" i="2"/>
  <c r="DI36" i="2"/>
  <c r="DF36" i="2"/>
  <c r="DC36" i="2"/>
  <c r="CZ36" i="2"/>
  <c r="CW36" i="2"/>
  <c r="CT36" i="2"/>
  <c r="CQ36" i="2"/>
  <c r="CN36" i="2"/>
  <c r="CK36" i="2"/>
  <c r="CH36" i="2"/>
  <c r="CE36" i="2"/>
  <c r="CB36" i="2"/>
  <c r="BY36" i="2"/>
  <c r="BV36" i="2"/>
  <c r="BS36" i="2"/>
  <c r="BP36" i="2"/>
  <c r="BM36" i="2"/>
  <c r="BJ36" i="2"/>
  <c r="BG36" i="2"/>
  <c r="BD36" i="2"/>
  <c r="BA36" i="2"/>
  <c r="AX36" i="2"/>
  <c r="AU36" i="2"/>
  <c r="AR36" i="2"/>
  <c r="AO36" i="2"/>
  <c r="AL36" i="2"/>
  <c r="AI36" i="2"/>
  <c r="AF36" i="2"/>
  <c r="AC36" i="2"/>
  <c r="AC38" i="2" s="1"/>
  <c r="Z36" i="2"/>
  <c r="Z38" i="2" s="1"/>
  <c r="W36" i="2"/>
  <c r="W38" i="2" s="1"/>
  <c r="T36" i="2"/>
  <c r="T38" i="2" s="1"/>
  <c r="EY37" i="2"/>
  <c r="EV37" i="2"/>
  <c r="ES37" i="2"/>
  <c r="EP37" i="2"/>
  <c r="EM37" i="2"/>
  <c r="EJ37" i="2"/>
  <c r="EG37" i="2"/>
  <c r="ED37" i="2"/>
  <c r="EA37" i="2"/>
  <c r="DX37" i="2"/>
  <c r="DU37" i="2"/>
  <c r="DR37" i="2"/>
  <c r="DO37" i="2"/>
  <c r="DL37" i="2"/>
  <c r="DI37" i="2"/>
  <c r="DF37" i="2"/>
  <c r="DC37" i="2"/>
  <c r="CZ37" i="2"/>
  <c r="CW37" i="2"/>
  <c r="CT37" i="2"/>
  <c r="CQ37" i="2"/>
  <c r="CN37" i="2"/>
  <c r="CK37" i="2"/>
  <c r="B323" i="8"/>
  <c r="B324" i="8"/>
  <c r="B325" i="8"/>
  <c r="B326" i="8"/>
  <c r="B327" i="8"/>
  <c r="B328" i="8"/>
  <c r="B330" i="8"/>
  <c r="B331" i="8"/>
  <c r="B332" i="8"/>
  <c r="B333" i="8"/>
  <c r="B334" i="8"/>
  <c r="B335" i="8"/>
  <c r="B337" i="8"/>
  <c r="B338" i="8"/>
  <c r="B339" i="8"/>
  <c r="B340" i="8"/>
  <c r="B341" i="8"/>
  <c r="B342" i="8"/>
  <c r="B344" i="8"/>
  <c r="B345" i="8"/>
  <c r="B346" i="8"/>
  <c r="B347" i="8"/>
  <c r="B348" i="8"/>
  <c r="B349" i="8"/>
  <c r="B351" i="8"/>
  <c r="B352" i="8"/>
  <c r="B353" i="8"/>
  <c r="B354" i="8"/>
  <c r="B355" i="8"/>
  <c r="B356" i="8"/>
  <c r="B358" i="8"/>
  <c r="B359" i="8"/>
  <c r="B360" i="8"/>
  <c r="B361" i="8"/>
  <c r="B362" i="8"/>
  <c r="B363" i="8"/>
  <c r="B309" i="8"/>
  <c r="B310" i="8"/>
  <c r="B311" i="8"/>
  <c r="B312" i="8"/>
  <c r="B313" i="8"/>
  <c r="B314" i="8"/>
  <c r="B316" i="8"/>
  <c r="B317" i="8"/>
  <c r="B318" i="8"/>
  <c r="B319" i="8"/>
  <c r="B320" i="8"/>
  <c r="B321" i="8"/>
  <c r="B3" i="8"/>
  <c r="B4" i="8"/>
  <c r="B5" i="8"/>
  <c r="B6" i="8"/>
  <c r="B239" i="8"/>
  <c r="B240" i="8"/>
  <c r="B241" i="8"/>
  <c r="B242" i="8"/>
  <c r="B243" i="8"/>
  <c r="B244" i="8"/>
  <c r="B246" i="8"/>
  <c r="B247" i="8"/>
  <c r="B248" i="8"/>
  <c r="B249" i="8"/>
  <c r="B250" i="8"/>
  <c r="B251" i="8"/>
  <c r="B253" i="8"/>
  <c r="B254" i="8"/>
  <c r="B255" i="8"/>
  <c r="B256" i="8"/>
  <c r="B257" i="8"/>
  <c r="B258" i="8"/>
  <c r="B260" i="8"/>
  <c r="B261" i="8"/>
  <c r="B262" i="8"/>
  <c r="B263" i="8"/>
  <c r="B264" i="8"/>
  <c r="B265" i="8"/>
  <c r="B267" i="8"/>
  <c r="B268" i="8"/>
  <c r="B269" i="8"/>
  <c r="B270" i="8"/>
  <c r="B271" i="8"/>
  <c r="B272" i="8"/>
  <c r="B274" i="8"/>
  <c r="B275" i="8"/>
  <c r="B276" i="8"/>
  <c r="B277" i="8"/>
  <c r="B278" i="8"/>
  <c r="B279" i="8"/>
  <c r="B281" i="8"/>
  <c r="B282" i="8"/>
  <c r="B283" i="8"/>
  <c r="B284" i="8"/>
  <c r="B285" i="8"/>
  <c r="B286" i="8"/>
  <c r="B288" i="8"/>
  <c r="B289" i="8"/>
  <c r="B290" i="8"/>
  <c r="B291" i="8"/>
  <c r="B292" i="8"/>
  <c r="B293" i="8"/>
  <c r="B295" i="8"/>
  <c r="B296" i="8"/>
  <c r="B297" i="8"/>
  <c r="B298" i="8"/>
  <c r="B299" i="8"/>
  <c r="B300" i="8"/>
  <c r="B302" i="8"/>
  <c r="B303" i="8"/>
  <c r="B304" i="8"/>
  <c r="B305" i="8"/>
  <c r="B306" i="8"/>
  <c r="B307" i="8"/>
  <c r="B2" i="8"/>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CH37" i="2"/>
  <c r="CE37" i="2"/>
  <c r="CB37" i="2"/>
  <c r="BY37" i="2"/>
  <c r="BV37" i="2"/>
  <c r="BS37" i="2"/>
  <c r="BP37" i="2"/>
  <c r="BM37" i="2"/>
  <c r="BJ37" i="2"/>
  <c r="AU37" i="2"/>
  <c r="BD37" i="2"/>
  <c r="BG37" i="2"/>
  <c r="BA37" i="2"/>
  <c r="AX37" i="2"/>
  <c r="AR37" i="2"/>
  <c r="AO37" i="2"/>
  <c r="AL37" i="2"/>
  <c r="AI37" i="2"/>
  <c r="Z37" i="2"/>
  <c r="AF37" i="2"/>
  <c r="AC37" i="2"/>
  <c r="W37" i="2"/>
  <c r="T37"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I1" i="1"/>
  <c r="C35" i="2"/>
  <c r="B35" i="2" s="1"/>
  <c r="D35" i="2" l="1"/>
  <c r="L1" i="1"/>
  <c r="O1" i="1" s="1"/>
  <c r="T37" i="4"/>
  <c r="T27" i="4"/>
  <c r="T35" i="4"/>
  <c r="T33" i="4"/>
  <c r="T29" i="4"/>
  <c r="T25" i="4"/>
  <c r="O25" i="4" s="1"/>
  <c r="T31" i="4"/>
  <c r="I462" i="1"/>
  <c r="I602" i="1"/>
  <c r="I546" i="1"/>
  <c r="I490" i="1"/>
  <c r="I469" i="1"/>
  <c r="M36" i="4"/>
  <c r="N36" i="4" s="1"/>
  <c r="I413" i="1"/>
  <c r="I588" i="1"/>
  <c r="I672" i="1"/>
  <c r="I644" i="1"/>
  <c r="I532" i="1"/>
  <c r="I476" i="1"/>
  <c r="I637" i="1"/>
  <c r="I14" i="1"/>
  <c r="I777" i="1"/>
  <c r="I119" i="1"/>
  <c r="I455" i="1"/>
  <c r="I623" i="1"/>
  <c r="I574" i="1"/>
  <c r="I616" i="1"/>
  <c r="I154" i="1"/>
  <c r="I805" i="1"/>
  <c r="I749" i="1"/>
  <c r="I357" i="1"/>
  <c r="I315" i="1"/>
  <c r="I189" i="1"/>
  <c r="I700" i="1"/>
  <c r="I693" i="1"/>
  <c r="I581" i="1"/>
  <c r="I721" i="1"/>
  <c r="I539" i="1"/>
  <c r="I196" i="1"/>
  <c r="I392" i="1"/>
  <c r="I273" i="1"/>
  <c r="I245" i="1"/>
  <c r="I168" i="1"/>
  <c r="I791" i="1"/>
  <c r="I742" i="1"/>
  <c r="I518" i="1"/>
  <c r="I329" i="1"/>
  <c r="I182" i="1"/>
  <c r="I784" i="1"/>
  <c r="I728" i="1"/>
  <c r="I567" i="1"/>
  <c r="I756" i="1"/>
  <c r="I658" i="1"/>
  <c r="I609" i="1"/>
  <c r="I553" i="1"/>
  <c r="I504" i="1"/>
  <c r="I707" i="1"/>
  <c r="I630" i="1"/>
  <c r="I105" i="1"/>
  <c r="I217" i="1"/>
  <c r="I371" i="1"/>
  <c r="I350" i="1"/>
  <c r="I770" i="1"/>
  <c r="I665" i="1"/>
  <c r="I511" i="1"/>
  <c r="I497" i="1"/>
  <c r="I798" i="1"/>
  <c r="I595" i="1"/>
  <c r="I427" i="1"/>
  <c r="I651" i="1"/>
  <c r="I35" i="1"/>
  <c r="I91" i="1"/>
  <c r="I441" i="1"/>
  <c r="I287" i="1"/>
  <c r="I294" i="1"/>
  <c r="I735" i="1"/>
  <c r="I686" i="1"/>
  <c r="I525" i="1"/>
  <c r="I203" i="1"/>
  <c r="N25" i="4"/>
  <c r="I385" i="1"/>
  <c r="I70" i="1"/>
  <c r="I126" i="1"/>
  <c r="I238" i="1"/>
  <c r="I84" i="1"/>
  <c r="I133" i="1"/>
  <c r="I763" i="1"/>
  <c r="I714" i="1"/>
  <c r="I560" i="1"/>
  <c r="I448" i="1"/>
  <c r="I49" i="1"/>
  <c r="N31" i="4"/>
  <c r="I679" i="1"/>
  <c r="I140" i="1"/>
  <c r="I483" i="1"/>
  <c r="I378" i="1"/>
  <c r="I434" i="1"/>
  <c r="I420" i="1"/>
  <c r="I364" i="1"/>
  <c r="I252" i="1"/>
  <c r="I21" i="1"/>
  <c r="I98" i="1"/>
  <c r="I336" i="1"/>
  <c r="I161" i="1"/>
  <c r="I77" i="1"/>
  <c r="I56" i="1"/>
  <c r="I112" i="1"/>
  <c r="I175" i="1"/>
  <c r="I224" i="1"/>
  <c r="I308" i="1"/>
  <c r="N26" i="4"/>
  <c r="I343" i="1"/>
  <c r="N30" i="4"/>
  <c r="I231" i="1"/>
  <c r="I42" i="1"/>
  <c r="N29" i="4"/>
  <c r="N28" i="4"/>
  <c r="I147" i="1"/>
  <c r="I322" i="1"/>
  <c r="I210" i="1"/>
  <c r="I399" i="1"/>
  <c r="I266" i="1"/>
  <c r="N27" i="4"/>
  <c r="I280" i="1"/>
  <c r="I28" i="1"/>
  <c r="I63" i="1"/>
  <c r="I301" i="1"/>
  <c r="B41" i="2"/>
  <c r="I259" i="1"/>
  <c r="B73" i="2"/>
  <c r="B80" i="4" s="1"/>
  <c r="B52" i="2"/>
  <c r="F50" i="2"/>
  <c r="D50" i="2"/>
  <c r="D51" i="2" s="1"/>
  <c r="D52" i="2" s="1"/>
  <c r="D53" i="2" s="1"/>
  <c r="D54" i="2" s="1"/>
  <c r="D55" i="2" s="1"/>
  <c r="D56" i="2" s="1"/>
  <c r="D57" i="2" s="1"/>
  <c r="D58" i="2" s="1"/>
  <c r="D59" i="2" s="1"/>
  <c r="C50" i="2"/>
  <c r="E50" i="2" s="1"/>
  <c r="C34" i="2"/>
  <c r="B34" i="2" s="1"/>
  <c r="G35" i="2"/>
  <c r="Q37" i="2" l="1"/>
  <c r="Q38" i="2" s="1"/>
  <c r="S31" i="4"/>
  <c r="P28" i="4" s="1"/>
  <c r="O28" i="4"/>
  <c r="S25" i="4"/>
  <c r="O27" i="4"/>
  <c r="S29" i="4"/>
  <c r="P27" i="4" s="1"/>
  <c r="S33" i="4"/>
  <c r="P29" i="4" s="1"/>
  <c r="O29" i="4"/>
  <c r="S35" i="4"/>
  <c r="P30" i="4" s="1"/>
  <c r="O30" i="4"/>
  <c r="O26" i="4"/>
  <c r="S27" i="4"/>
  <c r="P26" i="4" s="1"/>
  <c r="S37" i="4"/>
  <c r="P31" i="4" s="1"/>
  <c r="O31" i="4"/>
  <c r="C41" i="2"/>
  <c r="B42" i="2"/>
  <c r="J50" i="2"/>
  <c r="F52" i="2"/>
  <c r="H50" i="2"/>
  <c r="H51" i="2" s="1"/>
  <c r="H52" i="2" s="1"/>
  <c r="H53" i="2" s="1"/>
  <c r="H54" i="2" s="1"/>
  <c r="H55" i="2" s="1"/>
  <c r="H56" i="2" s="1"/>
  <c r="H57" i="2" s="1"/>
  <c r="H58" i="2" s="1"/>
  <c r="H59" i="2" s="1"/>
  <c r="G50" i="2"/>
  <c r="I50" i="2" s="1"/>
  <c r="B54" i="2"/>
  <c r="C52" i="2"/>
  <c r="E51" i="2" s="1"/>
  <c r="B75" i="2"/>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D34" i="2"/>
  <c r="G34" i="2"/>
  <c r="C33" i="2"/>
  <c r="B33" i="2" s="1"/>
  <c r="C40" i="2" l="1"/>
  <c r="P25" i="4"/>
  <c r="E35" i="2"/>
  <c r="F35" i="2" s="1"/>
  <c r="C42" i="2"/>
  <c r="B43" i="2"/>
  <c r="B56" i="2"/>
  <c r="C54" i="2"/>
  <c r="E52" i="2" s="1"/>
  <c r="G52" i="2"/>
  <c r="I51" i="2" s="1"/>
  <c r="F54" i="2"/>
  <c r="C75" i="2"/>
  <c r="E74" i="2" s="1"/>
  <c r="B77" i="2"/>
  <c r="L50" i="2"/>
  <c r="L51" i="2" s="1"/>
  <c r="L52" i="2" s="1"/>
  <c r="L53" i="2" s="1"/>
  <c r="L54" i="2" s="1"/>
  <c r="L55" i="2" s="1"/>
  <c r="L56" i="2" s="1"/>
  <c r="L57" i="2" s="1"/>
  <c r="L58" i="2" s="1"/>
  <c r="L59" i="2" s="1"/>
  <c r="J52" i="2"/>
  <c r="K50" i="2"/>
  <c r="M50" i="2" s="1"/>
  <c r="N50" i="2"/>
  <c r="C32" i="2"/>
  <c r="B32" i="2" s="1"/>
  <c r="G33" i="2"/>
  <c r="D33" i="2"/>
  <c r="E34" i="2" l="1"/>
  <c r="F34" i="2" s="1"/>
  <c r="C43" i="2"/>
  <c r="B44" i="2"/>
  <c r="C77" i="2"/>
  <c r="E75" i="2" s="1"/>
  <c r="B79" i="2"/>
  <c r="G54" i="2"/>
  <c r="I52" i="2" s="1"/>
  <c r="F56" i="2"/>
  <c r="O50" i="2"/>
  <c r="Q50" i="2" s="1"/>
  <c r="N52" i="2"/>
  <c r="R50" i="2"/>
  <c r="P50" i="2"/>
  <c r="P51" i="2" s="1"/>
  <c r="P52" i="2" s="1"/>
  <c r="P53" i="2" s="1"/>
  <c r="P54" i="2" s="1"/>
  <c r="P55" i="2" s="1"/>
  <c r="P56" i="2" s="1"/>
  <c r="P57" i="2" s="1"/>
  <c r="P58" i="2" s="1"/>
  <c r="P59" i="2" s="1"/>
  <c r="K52" i="2"/>
  <c r="M51" i="2" s="1"/>
  <c r="J54" i="2"/>
  <c r="B58" i="2"/>
  <c r="C56" i="2"/>
  <c r="E53" i="2" s="1"/>
  <c r="G32" i="2"/>
  <c r="D32" i="2"/>
  <c r="C31" i="2"/>
  <c r="B31" i="2" s="1"/>
  <c r="B45" i="2" l="1"/>
  <c r="C44" i="2"/>
  <c r="N54" i="2"/>
  <c r="O52" i="2"/>
  <c r="Q51" i="2" s="1"/>
  <c r="B60" i="2"/>
  <c r="C58" i="2"/>
  <c r="E54" i="2" s="1"/>
  <c r="R52" i="2"/>
  <c r="S50" i="2"/>
  <c r="U50" i="2" s="1"/>
  <c r="V50" i="2"/>
  <c r="T50" i="2"/>
  <c r="T51" i="2" s="1"/>
  <c r="T52" i="2" s="1"/>
  <c r="T53" i="2" s="1"/>
  <c r="T54" i="2" s="1"/>
  <c r="T55" i="2" s="1"/>
  <c r="T56" i="2" s="1"/>
  <c r="T57" i="2" s="1"/>
  <c r="T58" i="2" s="1"/>
  <c r="T59" i="2" s="1"/>
  <c r="K54" i="2"/>
  <c r="M52" i="2" s="1"/>
  <c r="J56" i="2"/>
  <c r="F58" i="2"/>
  <c r="G56" i="2"/>
  <c r="I53" i="2" s="1"/>
  <c r="B81" i="2"/>
  <c r="C79" i="2"/>
  <c r="E76" i="2" s="1"/>
  <c r="E33" i="2"/>
  <c r="F33" i="2" s="1"/>
  <c r="C30" i="2"/>
  <c r="B30" i="2" s="1"/>
  <c r="G31" i="2"/>
  <c r="D31" i="2"/>
  <c r="E32" i="2" l="1"/>
  <c r="F32" i="2" s="1"/>
  <c r="C45" i="2"/>
  <c r="B46" i="2"/>
  <c r="K56" i="2"/>
  <c r="M53" i="2" s="1"/>
  <c r="J58" i="2"/>
  <c r="Z50" i="2"/>
  <c r="V52" i="2"/>
  <c r="W50" i="2"/>
  <c r="Y50" i="2" s="1"/>
  <c r="X50" i="2"/>
  <c r="X51" i="2" s="1"/>
  <c r="X52" i="2" s="1"/>
  <c r="X53" i="2" s="1"/>
  <c r="X54" i="2" s="1"/>
  <c r="X55" i="2" s="1"/>
  <c r="X56" i="2" s="1"/>
  <c r="X57" i="2" s="1"/>
  <c r="X58" i="2" s="1"/>
  <c r="X59" i="2" s="1"/>
  <c r="C81" i="2"/>
  <c r="E77" i="2" s="1"/>
  <c r="B83" i="2"/>
  <c r="R54" i="2"/>
  <c r="S52" i="2"/>
  <c r="U51" i="2" s="1"/>
  <c r="F60" i="2"/>
  <c r="G58" i="2"/>
  <c r="I54" i="2" s="1"/>
  <c r="C60" i="2"/>
  <c r="E55" i="2" s="1"/>
  <c r="B62" i="2"/>
  <c r="N56" i="2"/>
  <c r="O54" i="2"/>
  <c r="Q52" i="2" s="1"/>
  <c r="D30" i="2"/>
  <c r="C29" i="2"/>
  <c r="B29" i="2" s="1"/>
  <c r="G30" i="2"/>
  <c r="E31" i="2" l="1"/>
  <c r="F31" i="2" s="1"/>
  <c r="C46" i="2"/>
  <c r="B47" i="2"/>
  <c r="C47" i="2" s="1"/>
  <c r="B85" i="2"/>
  <c r="C83" i="2"/>
  <c r="E78" i="2" s="1"/>
  <c r="R56" i="2"/>
  <c r="S54" i="2"/>
  <c r="U52" i="2" s="1"/>
  <c r="O56" i="2"/>
  <c r="Q53" i="2" s="1"/>
  <c r="N58" i="2"/>
  <c r="B64" i="2"/>
  <c r="C62" i="2"/>
  <c r="E56" i="2" s="1"/>
  <c r="W52" i="2"/>
  <c r="Y51" i="2" s="1"/>
  <c r="V54" i="2"/>
  <c r="G60" i="2"/>
  <c r="I55" i="2" s="1"/>
  <c r="F62" i="2"/>
  <c r="AD50" i="2"/>
  <c r="AA50" i="2"/>
  <c r="AC50" i="2" s="1"/>
  <c r="AB50" i="2"/>
  <c r="AB51" i="2" s="1"/>
  <c r="AB52" i="2" s="1"/>
  <c r="AB53" i="2" s="1"/>
  <c r="AB54" i="2" s="1"/>
  <c r="AB55" i="2" s="1"/>
  <c r="AB56" i="2" s="1"/>
  <c r="AB57" i="2" s="1"/>
  <c r="AB58" i="2" s="1"/>
  <c r="AB59" i="2" s="1"/>
  <c r="Z52" i="2"/>
  <c r="J60" i="2"/>
  <c r="K58" i="2"/>
  <c r="M54" i="2" s="1"/>
  <c r="D29" i="2"/>
  <c r="G29" i="2"/>
  <c r="C28" i="2"/>
  <c r="B28" i="2" s="1"/>
  <c r="E30" i="2" l="1"/>
  <c r="F30" i="2" s="1"/>
  <c r="F64" i="2"/>
  <c r="G62" i="2"/>
  <c r="I56" i="2" s="1"/>
  <c r="W54" i="2"/>
  <c r="Y52" i="2" s="1"/>
  <c r="V56" i="2"/>
  <c r="J62" i="2"/>
  <c r="K60" i="2"/>
  <c r="M55" i="2" s="1"/>
  <c r="Z54" i="2"/>
  <c r="AA52" i="2"/>
  <c r="AC51" i="2" s="1"/>
  <c r="C64" i="2"/>
  <c r="E57" i="2" s="1"/>
  <c r="B66" i="2"/>
  <c r="N60" i="2"/>
  <c r="O58" i="2"/>
  <c r="Q54" i="2" s="1"/>
  <c r="AE50" i="2"/>
  <c r="AG50" i="2" s="1"/>
  <c r="AF50" i="2"/>
  <c r="AF51" i="2" s="1"/>
  <c r="AF52" i="2" s="1"/>
  <c r="AF53" i="2" s="1"/>
  <c r="AF54" i="2" s="1"/>
  <c r="AF55" i="2" s="1"/>
  <c r="AF56" i="2" s="1"/>
  <c r="AF57" i="2" s="1"/>
  <c r="AF58" i="2" s="1"/>
  <c r="AF59" i="2" s="1"/>
  <c r="AD52" i="2"/>
  <c r="R58" i="2"/>
  <c r="S56" i="2"/>
  <c r="U53" i="2" s="1"/>
  <c r="B87" i="2"/>
  <c r="C85" i="2"/>
  <c r="E79" i="2" s="1"/>
  <c r="C27" i="2"/>
  <c r="B27" i="2" s="1"/>
  <c r="D28" i="2"/>
  <c r="G28" i="2"/>
  <c r="E29" i="2" l="1"/>
  <c r="F29" i="2" s="1"/>
  <c r="S58" i="2"/>
  <c r="U54" i="2" s="1"/>
  <c r="R60" i="2"/>
  <c r="AD54" i="2"/>
  <c r="AE52" i="2"/>
  <c r="AG51" i="2" s="1"/>
  <c r="AA54" i="2"/>
  <c r="AC52" i="2" s="1"/>
  <c r="Z56" i="2"/>
  <c r="J64" i="2"/>
  <c r="K62" i="2"/>
  <c r="M56" i="2" s="1"/>
  <c r="W56" i="2"/>
  <c r="Y53" i="2" s="1"/>
  <c r="V58" i="2"/>
  <c r="O60" i="2"/>
  <c r="Q55" i="2" s="1"/>
  <c r="N62" i="2"/>
  <c r="B89" i="2"/>
  <c r="C87" i="2"/>
  <c r="E80" i="2" s="1"/>
  <c r="B68" i="2"/>
  <c r="C68" i="2" s="1"/>
  <c r="E59" i="2" s="1"/>
  <c r="C66" i="2"/>
  <c r="E58" i="2" s="1"/>
  <c r="F66" i="2"/>
  <c r="G64" i="2"/>
  <c r="I57" i="2" s="1"/>
  <c r="D27" i="2"/>
  <c r="G27" i="2"/>
  <c r="C26" i="2"/>
  <c r="B26" i="2" s="1"/>
  <c r="E28" i="2" l="1"/>
  <c r="K64" i="2"/>
  <c r="M57" i="2" s="1"/>
  <c r="J66" i="2"/>
  <c r="AA56" i="2"/>
  <c r="AC53" i="2" s="1"/>
  <c r="Z58" i="2"/>
  <c r="B91" i="2"/>
  <c r="C89" i="2"/>
  <c r="E81" i="2" s="1"/>
  <c r="O62" i="2"/>
  <c r="Q56" i="2" s="1"/>
  <c r="N64" i="2"/>
  <c r="AE54" i="2"/>
  <c r="AG52" i="2" s="1"/>
  <c r="AD56" i="2"/>
  <c r="W58" i="2"/>
  <c r="Y54" i="2" s="1"/>
  <c r="V60" i="2"/>
  <c r="R62" i="2"/>
  <c r="S60" i="2"/>
  <c r="U55" i="2" s="1"/>
  <c r="F68" i="2"/>
  <c r="G68" i="2" s="1"/>
  <c r="I59" i="2" s="1"/>
  <c r="G66" i="2"/>
  <c r="I58" i="2" s="1"/>
  <c r="G26" i="2"/>
  <c r="D26" i="2"/>
  <c r="C25" i="2"/>
  <c r="B25" i="2" s="1"/>
  <c r="H28" i="2" l="1"/>
  <c r="F28" i="2"/>
  <c r="E27" i="2"/>
  <c r="F27" i="2" s="1"/>
  <c r="O64" i="2"/>
  <c r="Q57" i="2" s="1"/>
  <c r="N66" i="2"/>
  <c r="S62" i="2"/>
  <c r="U56" i="2" s="1"/>
  <c r="R64" i="2"/>
  <c r="B93" i="2"/>
  <c r="C91" i="2"/>
  <c r="E82" i="2" s="1"/>
  <c r="V62" i="2"/>
  <c r="W60" i="2"/>
  <c r="Y55" i="2" s="1"/>
  <c r="AA58" i="2"/>
  <c r="AC54" i="2" s="1"/>
  <c r="Z60" i="2"/>
  <c r="AD58" i="2"/>
  <c r="AE56" i="2"/>
  <c r="AG53" i="2" s="1"/>
  <c r="K66" i="2"/>
  <c r="M58" i="2" s="1"/>
  <c r="J68" i="2"/>
  <c r="K68" i="2" s="1"/>
  <c r="M59" i="2" s="1"/>
  <c r="D25" i="2"/>
  <c r="C24" i="2"/>
  <c r="B24" i="2" s="1"/>
  <c r="G25" i="2"/>
  <c r="E26" i="2" l="1"/>
  <c r="F26" i="2" s="1"/>
  <c r="W62" i="2"/>
  <c r="Y56" i="2" s="1"/>
  <c r="V64" i="2"/>
  <c r="B95" i="2"/>
  <c r="C93" i="2"/>
  <c r="E83" i="2" s="1"/>
  <c r="R66" i="2"/>
  <c r="S64" i="2"/>
  <c r="U57" i="2" s="1"/>
  <c r="AE58" i="2"/>
  <c r="AG54" i="2" s="1"/>
  <c r="AD60" i="2"/>
  <c r="Z62" i="2"/>
  <c r="AA60" i="2"/>
  <c r="AC55" i="2" s="1"/>
  <c r="N68" i="2"/>
  <c r="O68" i="2" s="1"/>
  <c r="Q59" i="2" s="1"/>
  <c r="O66" i="2"/>
  <c r="Q58" i="2" s="1"/>
  <c r="G24" i="2"/>
  <c r="C23" i="2"/>
  <c r="B23" i="2" s="1"/>
  <c r="D24" i="2"/>
  <c r="B58" i="4" l="1"/>
  <c r="E25" i="2"/>
  <c r="F25" i="2" s="1"/>
  <c r="Z64" i="2"/>
  <c r="AA62" i="2"/>
  <c r="AC56" i="2" s="1"/>
  <c r="AE60" i="2"/>
  <c r="AG55" i="2" s="1"/>
  <c r="AD62" i="2"/>
  <c r="R68" i="2"/>
  <c r="S68" i="2" s="1"/>
  <c r="U59" i="2" s="1"/>
  <c r="S66" i="2"/>
  <c r="U58" i="2" s="1"/>
  <c r="C95" i="2"/>
  <c r="E84" i="2" s="1"/>
  <c r="B97" i="2"/>
  <c r="V66" i="2"/>
  <c r="W64" i="2"/>
  <c r="Y57" i="2" s="1"/>
  <c r="D23" i="2"/>
  <c r="C22" i="2"/>
  <c r="B22" i="2" s="1"/>
  <c r="G23" i="2"/>
  <c r="K25" i="2" l="1"/>
  <c r="E24" i="2"/>
  <c r="F24" i="2" s="1"/>
  <c r="C97" i="2"/>
  <c r="E85" i="2" s="1"/>
  <c r="B99" i="2"/>
  <c r="AD64" i="2"/>
  <c r="AE62" i="2"/>
  <c r="AG56" i="2" s="1"/>
  <c r="V68" i="2"/>
  <c r="W68" i="2" s="1"/>
  <c r="Y59" i="2" s="1"/>
  <c r="W66" i="2"/>
  <c r="Y58" i="2" s="1"/>
  <c r="Z66" i="2"/>
  <c r="AA64" i="2"/>
  <c r="AC57" i="2" s="1"/>
  <c r="G22" i="2"/>
  <c r="D22" i="2"/>
  <c r="C21" i="2"/>
  <c r="B21" i="2" s="1"/>
  <c r="E23" i="2" l="1"/>
  <c r="F23" i="2" s="1"/>
  <c r="AE64" i="2"/>
  <c r="AG57" i="2" s="1"/>
  <c r="AD66" i="2"/>
  <c r="AA66" i="2"/>
  <c r="AC58" i="2" s="1"/>
  <c r="Z68" i="2"/>
  <c r="AA68" i="2" s="1"/>
  <c r="AC59" i="2" s="1"/>
  <c r="C99" i="2"/>
  <c r="E86" i="2" s="1"/>
  <c r="B101" i="2"/>
  <c r="C20" i="2"/>
  <c r="B20" i="2" s="1"/>
  <c r="G21" i="2"/>
  <c r="D21" i="2"/>
  <c r="E22" i="2" l="1"/>
  <c r="F22" i="2" s="1"/>
  <c r="B103" i="2"/>
  <c r="C101" i="2"/>
  <c r="E87" i="2" s="1"/>
  <c r="AD68" i="2"/>
  <c r="AE68" i="2" s="1"/>
  <c r="AG59" i="2" s="1"/>
  <c r="AE66" i="2"/>
  <c r="AG58" i="2" s="1"/>
  <c r="C19" i="2"/>
  <c r="B19" i="2" s="1"/>
  <c r="D20" i="2"/>
  <c r="G20" i="2"/>
  <c r="E21" i="2" l="1"/>
  <c r="B105" i="2"/>
  <c r="C103" i="2"/>
  <c r="E88" i="2" s="1"/>
  <c r="G19" i="2"/>
  <c r="D19" i="2"/>
  <c r="C18" i="2"/>
  <c r="B18" i="2" s="1"/>
  <c r="H21" i="2" l="1"/>
  <c r="I28" i="2" s="1"/>
  <c r="F21" i="2"/>
  <c r="E20" i="2"/>
  <c r="F20" i="2" s="1"/>
  <c r="J21" i="2"/>
  <c r="B107" i="2"/>
  <c r="C105" i="2"/>
  <c r="E89" i="2" s="1"/>
  <c r="D18" i="2"/>
  <c r="C17" i="2"/>
  <c r="B17" i="2" s="1"/>
  <c r="G18" i="2"/>
  <c r="C107" i="2" l="1"/>
  <c r="E90" i="2" s="1"/>
  <c r="B109" i="2"/>
  <c r="E19" i="2"/>
  <c r="F19" i="2" s="1"/>
  <c r="C16" i="2"/>
  <c r="B16" i="2" s="1"/>
  <c r="D17" i="2"/>
  <c r="G17" i="2"/>
  <c r="E18" i="2" l="1"/>
  <c r="F18" i="2" s="1"/>
  <c r="B111" i="2"/>
  <c r="C109" i="2"/>
  <c r="E91" i="2" s="1"/>
  <c r="C15" i="2"/>
  <c r="B15" i="2" s="1"/>
  <c r="G16" i="2"/>
  <c r="D16" i="2"/>
  <c r="K18" i="2" l="1"/>
  <c r="L25" i="2" s="1"/>
  <c r="C111" i="2"/>
  <c r="E92" i="2" s="1"/>
  <c r="B113" i="2"/>
  <c r="E17" i="2"/>
  <c r="F17" i="2" s="1"/>
  <c r="G15" i="2"/>
  <c r="D15" i="2"/>
  <c r="C14" i="2"/>
  <c r="B14" i="2" s="1"/>
  <c r="E16" i="2" l="1"/>
  <c r="F16" i="2" s="1"/>
  <c r="C113" i="2"/>
  <c r="E93" i="2" s="1"/>
  <c r="B115" i="2"/>
  <c r="G14" i="2"/>
  <c r="D14" i="2"/>
  <c r="C13" i="2"/>
  <c r="B13" i="2" s="1"/>
  <c r="E15" i="2" l="1"/>
  <c r="F15" i="2" s="1"/>
  <c r="B117" i="2"/>
  <c r="C115" i="2"/>
  <c r="E94" i="2" s="1"/>
  <c r="G13" i="2"/>
  <c r="D13" i="2"/>
  <c r="C12" i="2"/>
  <c r="B12" i="2" s="1"/>
  <c r="E14" i="2" l="1"/>
  <c r="F14" i="2" s="1"/>
  <c r="C117" i="2"/>
  <c r="E95" i="2" s="1"/>
  <c r="B119" i="2"/>
  <c r="G12" i="2"/>
  <c r="D12" i="2"/>
  <c r="C11" i="2"/>
  <c r="B11" i="2" s="1"/>
  <c r="H14" i="2" l="1"/>
  <c r="I21" i="2" s="1"/>
  <c r="E13" i="2"/>
  <c r="F13" i="2" s="1"/>
  <c r="C119" i="2"/>
  <c r="E96" i="2" s="1"/>
  <c r="B121" i="2"/>
  <c r="C10" i="2"/>
  <c r="B10" i="2" s="1"/>
  <c r="G11" i="2"/>
  <c r="D11" i="2"/>
  <c r="B123" i="2" l="1"/>
  <c r="C121" i="2"/>
  <c r="E97" i="2" s="1"/>
  <c r="E12" i="2"/>
  <c r="F12" i="2" s="1"/>
  <c r="G10" i="2"/>
  <c r="D10" i="2"/>
  <c r="C9" i="2"/>
  <c r="B9" i="2" s="1"/>
  <c r="E11" i="2" l="1"/>
  <c r="B125" i="2"/>
  <c r="C123" i="2"/>
  <c r="E98" i="2" s="1"/>
  <c r="D9" i="2"/>
  <c r="G9" i="2"/>
  <c r="C8" i="2"/>
  <c r="B8" i="2" s="1"/>
  <c r="K11" i="2" l="1"/>
  <c r="L18" i="2" s="1"/>
  <c r="F11" i="2"/>
  <c r="E10" i="2"/>
  <c r="F10" i="2" s="1"/>
  <c r="B127" i="2"/>
  <c r="C125" i="2"/>
  <c r="E99" i="2" s="1"/>
  <c r="G8" i="2"/>
  <c r="C7" i="2"/>
  <c r="B7" i="2" s="1"/>
  <c r="D8" i="2"/>
  <c r="G7" i="2" l="1"/>
  <c r="E9" i="2"/>
  <c r="F9" i="2" s="1"/>
  <c r="C127" i="2"/>
  <c r="E100" i="2" s="1"/>
  <c r="B129" i="2"/>
  <c r="D7" i="2"/>
  <c r="C6" i="2"/>
  <c r="B6" i="2" s="1"/>
  <c r="E8" i="2" l="1"/>
  <c r="F8" i="2" s="1"/>
  <c r="C129" i="2"/>
  <c r="E101" i="2" s="1"/>
  <c r="B131" i="2"/>
  <c r="D6" i="2"/>
  <c r="E7" i="2" s="1"/>
  <c r="F7" i="2" s="1"/>
  <c r="C131" i="2" l="1"/>
  <c r="E102" i="2" s="1"/>
  <c r="B133" i="2"/>
  <c r="F5" i="2"/>
  <c r="B40" i="4" s="1"/>
  <c r="J7" i="2"/>
  <c r="H7" i="2"/>
  <c r="I14" i="2" s="1"/>
  <c r="B41" i="4" l="1"/>
  <c r="B59" i="4"/>
  <c r="B135" i="2"/>
  <c r="C133" i="2"/>
  <c r="E103" i="2" s="1"/>
  <c r="C135" i="2" l="1"/>
  <c r="E104" i="2" s="1"/>
  <c r="B137" i="2"/>
  <c r="B139" i="2" l="1"/>
  <c r="C137" i="2"/>
  <c r="E105" i="2" s="1"/>
  <c r="C139" i="2" l="1"/>
  <c r="E106" i="2" s="1"/>
  <c r="B141" i="2"/>
  <c r="B143" i="2" l="1"/>
  <c r="C141" i="2"/>
  <c r="E107" i="2" s="1"/>
  <c r="C143" i="2" l="1"/>
  <c r="E108" i="2" s="1"/>
  <c r="B145" i="2"/>
  <c r="C145" i="2" s="1"/>
  <c r="E109" i="2" s="1"/>
</calcChain>
</file>

<file path=xl/sharedStrings.xml><?xml version="1.0" encoding="utf-8"?>
<sst xmlns="http://schemas.openxmlformats.org/spreadsheetml/2006/main" count="2753" uniqueCount="584">
  <si>
    <t>Tapauksia</t>
  </si>
  <si>
    <t>date</t>
  </si>
  <si>
    <t>https://twitter.com/jussivirkkala</t>
  </si>
  <si>
    <t>https://github.com/HS-Datadesk/koronavirus-avoindata</t>
  </si>
  <si>
    <t>https://github.com/jussivirkkala/excel/</t>
  </si>
  <si>
    <t>Päivä</t>
  </si>
  <si>
    <t>Uusia</t>
  </si>
  <si>
    <t>aika</t>
  </si>
  <si>
    <t>Kaikki sairaanhoitopiirit</t>
  </si>
  <si>
    <t>alue</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</si>
  <si>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</si>
  <si>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</si>
  <si>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</si>
  <si>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</si>
  <si>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</si>
  <si>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</si>
  <si>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</si>
  <si>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</si>
  <si>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</si>
  <si>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</si>
  <si>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</si>
  <si>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</si>
  <si>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</si>
  <si>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</si>
  <si>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</si>
  <si>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</si>
  <si>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</si>
  <si>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</si>
  <si>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</si>
  <si>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</si>
  <si>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</si>
  <si>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</si>
  <si>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</si>
  <si>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</si>
  <si>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</si>
  <si>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</si>
  <si>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</si>
  <si>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</si>
  <si>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</si>
  <si>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</si>
  <si>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</si>
  <si>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</si>
  <si>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</si>
  <si>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</si>
  <si>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</si>
  <si>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</si>
  <si>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</si>
  <si>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</si>
  <si>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</si>
  <si>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</si>
  <si>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</si>
  <si>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</si>
  <si>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</si>
  <si>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</si>
  <si>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</si>
  <si>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</si>
  <si>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</si>
  <si>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</si>
  <si>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</si>
  <si>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</si>
  <si>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</si>
  <si>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</si>
  <si>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</si>
  <si>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</si>
  <si>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</si>
  <si>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</si>
  <si>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</si>
  <si>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</si>
  <si>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</si>
  <si>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</si>
  <si>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</si>
  <si>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</si>
  <si>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</si>
  <si>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</si>
  <si>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</si>
  <si>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</si>
  <si>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</si>
  <si>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</si>
  <si>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</si>
  <si>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</si>
  <si>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</si>
  <si>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</si>
  <si>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</si>
  <si>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</si>
  <si>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</si>
  <si>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</si>
  <si>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</si>
  <si>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</si>
  <si>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</si>
  <si>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</si>
  <si>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</si>
  <si>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</si>
  <si>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</si>
  <si>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</si>
  <si>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</si>
  <si>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</si>
  <si>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</si>
  <si>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</si>
  <si>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</si>
  <si>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</si>
  <si>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</si>
  <si>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</si>
  <si>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</si>
  <si>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</si>
  <si>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</si>
  <si>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</si>
  <si>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</si>
  <si>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</si>
  <si>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</si>
  <si>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</si>
  <si>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</si>
  <si>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</si>
  <si>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</si>
  <si>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</si>
  <si>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</si>
  <si>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</si>
  <si>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</si>
  <si>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</si>
  <si>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</si>
  <si>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</si>
  <si>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</si>
  <si>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</si>
  <si>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</si>
  <si>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</si>
  <si>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</si>
  <si>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</si>
  <si>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</si>
  <si>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</si>
  <si>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</si>
  <si>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</si>
  <si>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</si>
  <si>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</si>
  <si>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</si>
  <si>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</si>
  <si>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</si>
  <si>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</si>
  <si>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</si>
  <si>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</si>
  <si>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</si>
  <si>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</si>
  <si>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</si>
  <si>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</si>
  <si>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</si>
  <si>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</si>
  <si>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</si>
  <si>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</si>
  <si>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</si>
  <si>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</si>
  <si>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</si>
  <si>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</si>
  <si>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</si>
  <si>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</si>
  <si>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</si>
  <si>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</si>
  <si>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</si>
  <si>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</si>
  <si>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</si>
  <si>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</si>
  <si>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</si>
  <si>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</si>
  <si>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</si>
  <si>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</si>
  <si>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</si>
  <si>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</si>
  <si>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</si>
  <si>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</si>
  <si>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</si>
  <si>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</si>
  <si>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</si>
  <si>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</si>
  <si>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</si>
  <si>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</si>
  <si>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</si>
  <si>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</si>
  <si>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</si>
  <si>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</si>
  <si>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</si>
  <si>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</si>
  <si>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</si>
  <si>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</si>
  <si>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</si>
  <si>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</si>
  <si>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</si>
  <si>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</si>
  <si>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</si>
  <si>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</si>
  <si>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</si>
  <si>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</si>
  <si>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</si>
  <si>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</si>
  <si>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</si>
  <si>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</si>
  <si>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</si>
  <si>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</si>
  <si>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</si>
  <si>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</si>
  <si>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</si>
  <si>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</si>
  <si>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</si>
  <si>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</si>
  <si>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</si>
  <si>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</si>
  <si>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</si>
  <si>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</si>
  <si>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</si>
  <si>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</si>
  <si>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</si>
  <si>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</si>
  <si>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</si>
  <si>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</si>
  <si>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</si>
  <si>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</si>
  <si>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</si>
  <si>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</si>
  <si>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</si>
  <si>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</si>
  <si>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</si>
  <si>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</si>
  <si>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</si>
  <si>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</si>
  <si>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</si>
  <si>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</si>
  <si>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</si>
  <si>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</si>
  <si>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</si>
  <si>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</si>
  <si>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</si>
  <si>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</si>
  <si>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</si>
  <si>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</si>
  <si>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</si>
  <si>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</si>
  <si>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</si>
  <si>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</si>
  <si>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</si>
  <si>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</si>
  <si>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</si>
  <si>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</si>
  <si>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</si>
  <si>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</si>
  <si>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</si>
  <si>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</si>
  <si>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</si>
  <si>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</si>
  <si>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</si>
  <si>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</si>
  <si>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</si>
  <si>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</si>
  <si>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</si>
  <si>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</si>
  <si>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</si>
  <si>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</si>
  <si>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</si>
  <si>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</si>
  <si>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</si>
  <si>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</si>
  <si>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</si>
  <si>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</si>
  <si>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</si>
  <si>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</si>
  <si>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</si>
  <si>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</si>
  <si>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</si>
  <si>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</si>
  <si>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</si>
  <si>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</si>
  <si>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</si>
  <si>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</si>
  <si>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</si>
  <si>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</si>
  <si>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</si>
  <si>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</si>
  <si>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</si>
  <si>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</si>
  <si>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</si>
  <si>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</si>
  <si>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</si>
  <si>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</si>
  <si>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</si>
  <si>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</si>
  <si>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</si>
  <si>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</si>
  <si>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</si>
  <si>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</si>
  <si>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</si>
  <si>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</si>
  <si>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</si>
  <si>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</si>
  <si>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</si>
  <si>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</si>
  <si>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</si>
  <si>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</si>
  <si>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</si>
  <si>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</si>
  <si>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</si>
  <si>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</si>
  <si>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</si>
  <si>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</si>
  <si>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</si>
  <si>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</si>
  <si>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</si>
  <si>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</si>
  <si>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</si>
  <si>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</si>
  <si>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</si>
  <si>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</si>
  <si>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</si>
  <si>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</si>
  <si>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</si>
  <si>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</si>
  <si>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</si>
  <si>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</si>
  <si>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</si>
  <si>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</si>
  <si>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</si>
  <si>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</si>
  <si>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</si>
  <si>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</si>
  <si>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</si>
  <si>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</si>
  <si>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</si>
  <si>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</si>
  <si>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</si>
  <si>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</si>
  <si>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</si>
  <si>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</si>
  <si>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</si>
  <si>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</si>
  <si>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</si>
  <si>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</si>
  <si>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</si>
  <si>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</si>
  <si>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</si>
  <si>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</si>
  <si>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</si>
  <si>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</si>
  <si>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</si>
  <si>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</si>
  <si>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</si>
  <si>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</si>
  <si>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</si>
  <si>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</si>
  <si>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</si>
  <si>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</si>
  <si>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</si>
  <si>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</si>
  <si>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</si>
  <si>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</si>
  <si>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</si>
  <si>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</si>
  <si>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</si>
  <si>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</si>
  <si>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</si>
  <si>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</si>
  <si>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</si>
  <si>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</si>
  <si>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</si>
  <si>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</si>
  <si>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</si>
  <si>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</si>
  <si>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</si>
  <si>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</si>
  <si>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</si>
  <si>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</si>
  <si>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</si>
  <si>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</si>
  <si>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</si>
  <si>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</si>
  <si>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</si>
  <si>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</si>
  <si>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</si>
  <si>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</si>
  <si>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</si>
  <si>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</si>
  <si>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</si>
  <si>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</si>
  <si>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</si>
  <si>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</si>
  <si>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</si>
  <si>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</si>
  <si>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</si>
  <si>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</si>
  <si>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</si>
  <si>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</si>
  <si>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</si>
  <si>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</si>
  <si>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</si>
  <si>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</si>
  <si>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</si>
  <si>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</si>
  <si>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</si>
  <si>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</si>
  <si>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</si>
  <si>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</si>
  <si>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</si>
  <si>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</si>
  <si>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</si>
  <si>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</si>
  <si>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</si>
  <si>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</si>
  <si>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</si>
  <si>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</si>
  <si>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</si>
  <si>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</si>
  <si>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</si>
  <si>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</si>
  <si>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</si>
  <si>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</si>
  <si>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</si>
  <si>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</si>
  <si>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</si>
  <si>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</si>
  <si>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</si>
  <si>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</si>
  <si>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</si>
  <si>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</si>
  <si>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</si>
  <si>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</si>
  <si>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</si>
  <si>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</si>
  <si>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</si>
  <si>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</si>
  <si>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</si>
  <si>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</si>
  <si>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</si>
  <si>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</si>
  <si>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</si>
  <si>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</si>
  <si>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</si>
  <si>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</si>
  <si>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</si>
  <si>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</si>
  <si>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</si>
  <si>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</si>
  <si>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</si>
  <si>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</si>
  <si>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</si>
  <si>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</si>
  <si>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</si>
  <si>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</si>
  <si>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</si>
  <si>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</si>
  <si>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</si>
  <si>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</si>
  <si>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</si>
  <si>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2021-02-16T15:00:00.000Z</t>
  </si>
  <si>
    <t>2021-02-17T15:00:00.000Z</t>
  </si>
  <si>
    <t>2021-02-18T15:00:00.000Z</t>
  </si>
  <si>
    <t>2021-02-19T15:00:00.000Z</t>
  </si>
  <si>
    <t>Maksimi</t>
  </si>
  <si>
    <t>2021-02-20T15:00:00.000Z</t>
  </si>
  <si>
    <t>2021-02-21T15:00:00.000Z</t>
  </si>
  <si>
    <t>2021-02-22T15:00:00.000Z</t>
  </si>
  <si>
    <t>Viikko maksimi</t>
  </si>
  <si>
    <t>Muilta välilehdeltä kuvaajat</t>
  </si>
  <si>
    <t>2021-02-23T15:00:00.000Z</t>
  </si>
  <si>
    <t>HUS</t>
  </si>
  <si>
    <t>2021-02-04 Removed use of MAXIF. Renamed Data as Kaikki. Added HUS.</t>
  </si>
  <si>
    <t>Kaikki</t>
  </si>
  <si>
    <t>HUS osuus COVID-19 tapauksista vuoden 2020 alusta lähtien.</t>
  </si>
  <si>
    <t>HUS ja kaikki COVID-19 tapaukset vuoden 2020 alusta lähtien.</t>
  </si>
  <si>
    <t>2021-02-24T15:00:00.000Z</t>
  </si>
  <si>
    <t>2021-02-25T09:36:37.308Z</t>
  </si>
  <si>
    <t>2021-02-25T15:00:00.000Z</t>
  </si>
  <si>
    <t>2021-02-26T15:00:00.000Z</t>
  </si>
  <si>
    <t>Week</t>
  </si>
  <si>
    <t>2021-02-28 Week as ISO8601.</t>
  </si>
  <si>
    <t>WeekSum</t>
  </si>
  <si>
    <t>Date</t>
  </si>
  <si>
    <t>2021-02-27T15:00:00.000Z</t>
  </si>
  <si>
    <t>2021-02-28T15:00:00.000Z</t>
  </si>
  <si>
    <t>2021-03-01T15:00:00.000Z</t>
  </si>
  <si>
    <t>2021-03-02T15:00:00.000Z</t>
  </si>
  <si>
    <t>2021-03-03T15:00:00.000Z</t>
  </si>
  <si>
    <t>2021-03-04T15:00:00.000Z</t>
  </si>
  <si>
    <t>2021-03-05T15:00:00.000Z</t>
  </si>
  <si>
    <t>2021-03-06T15:00:00.000Z</t>
  </si>
  <si>
    <t>2021-03-07T15:00:00.000Z</t>
  </si>
  <si>
    <t>2021-03-08T15:00:00.000Z</t>
  </si>
  <si>
    <t>2021-03-09T15:00:00.000Z</t>
  </si>
  <si>
    <t>2021-03-10T15:00:00.000Z</t>
  </si>
  <si>
    <t>2021-03-11T15:00:00.000Z</t>
  </si>
  <si>
    <t>2021-03-12T15:00:00.000Z</t>
  </si>
  <si>
    <t>2021-03-13T15:00:00.000Z</t>
  </si>
  <si>
    <t>2021-03-14T15:00:00.000Z</t>
  </si>
  <si>
    <t>2021-03-15T15:00:00.000Z</t>
  </si>
  <si>
    <t>2021-03-16T15:00:00.000Z</t>
  </si>
  <si>
    <t>2021-03-17T15:00:00.000Z</t>
  </si>
  <si>
    <t>2021-03-18T15:00:00.000Z</t>
  </si>
  <si>
    <t>2021-03-19T15:00:00.000Z</t>
  </si>
  <si>
    <t>2021-03-20T15:00:00.000Z</t>
  </si>
  <si>
    <t>2021-03-21T15:00:00.000Z</t>
  </si>
  <si>
    <t>2021-03-22T15:00:00.000Z</t>
  </si>
  <si>
    <t>2021-03-23T15:00:00.000Z</t>
  </si>
  <si>
    <t>2021-03-24T15:00:00.000Z</t>
  </si>
  <si>
    <t>2021-03-25T15:00:00.000Z</t>
  </si>
  <si>
    <t>2021-03-26T15:00:00.000Z</t>
  </si>
  <si>
    <t>2021-03-27T15:00:00.000Z</t>
  </si>
  <si>
    <t>2021-03-28T15:00:00.000Z</t>
  </si>
  <si>
    <t>2021-03-29T15:00:00.000Z</t>
  </si>
  <si>
    <t>2021-03-30T15:00:00.000Z</t>
  </si>
  <si>
    <t>2021-03-31T15:00:00.000Z</t>
  </si>
  <si>
    <t>2021-04-01T15:00:00.000Z</t>
  </si>
  <si>
    <t>2021-04-02T15:00:00.000Z</t>
  </si>
  <si>
    <t>2021-04-03T15:00:00.000Z</t>
  </si>
  <si>
    <t>2021-04-04T15:00:00.000Z</t>
  </si>
  <si>
    <t>2021-04-05T15:00:00.000Z</t>
  </si>
  <si>
    <t>2021-04-06T15:00:00.000Z</t>
  </si>
  <si>
    <t>2021-04-07T15:00:00.000Z</t>
  </si>
  <si>
    <t>2021-04-08T15:00:00.000Z</t>
  </si>
  <si>
    <t>2021-04-09T15:00:00.000Z</t>
  </si>
  <si>
    <t>2021-04-10T15:00:00.000Z</t>
  </si>
  <si>
    <t>2021-04-11T15:00:00.000Z</t>
  </si>
  <si>
    <t>2021-04-12T15:00:00.000Z</t>
  </si>
  <si>
    <t>2021-04-13T15:00:00.000Z</t>
  </si>
  <si>
    <t>2021-04-14T15:00:00.000Z</t>
  </si>
  <si>
    <t>2021-04-15T15:00:00.000Z</t>
  </si>
  <si>
    <t>2021-04-16T15:00:00.000Z</t>
  </si>
  <si>
    <t>2021-04-17T15:00:00.000Z</t>
  </si>
  <si>
    <t>2021-04-18T15:00:00.000Z</t>
  </si>
  <si>
    <t>2021-04-19T15:00:00.000Z</t>
  </si>
  <si>
    <t>2021-04-20T15:00:00.000Z</t>
  </si>
  <si>
    <t>2021-04-21T15:00:00.000Z</t>
  </si>
  <si>
    <t>Hakee HS datasta Korona tapaukset. Tietojen hakuun makrot ovat oltava sallittu. Makrot eivät toimi puhelimessa, iPad, Chromebook eikä Mac eikä 64 bit Excel. Data vällehdellä on haettu data. Kellonajat UTC. Muilla välilehdellä on esimerkkejä tilastoista, visualisoinneista.</t>
  </si>
  <si>
    <t>2021-04-22T15:00:00.000Z</t>
  </si>
  <si>
    <t>2021-04-23T15:00:00.000Z</t>
  </si>
  <si>
    <t>2021-04-24T15:00:00.000Z</t>
  </si>
  <si>
    <t>2021-04-25T15:00:00.000Z</t>
  </si>
  <si>
    <t>2021-04-26T15:00:00.000Z</t>
  </si>
  <si>
    <t>2021-04-27T15:00:00.000Z</t>
  </si>
  <si>
    <t>2021-04-28T15:00:00.000Z</t>
  </si>
  <si>
    <t>2021-04-29T15:00:00.000Z</t>
  </si>
  <si>
    <t>2021-04-30T15:00:00.000Z</t>
  </si>
  <si>
    <t>2021-05-01T15:00:00.000Z</t>
  </si>
  <si>
    <t>2021-05-02T15:00:00.000Z</t>
  </si>
  <si>
    <t>2021-05-03T15:00:00.000Z</t>
  </si>
  <si>
    <t>2021-05-04T15:00:00.000Z</t>
  </si>
  <si>
    <t>2021-05-05T15:00:00.000Z</t>
  </si>
  <si>
    <t>2021-04-22 Ei toimi 64 bit Excel. Class not registered.</t>
  </si>
  <si>
    <t>2021-05-06T15:00:00.000Z</t>
  </si>
  <si>
    <t>2021-05-07T15:00:00.000Z</t>
  </si>
  <si>
    <t>2021-05-08T15:00:00.000Z</t>
  </si>
  <si>
    <t>2021-05-09T15:00:00.000Z</t>
  </si>
  <si>
    <t>2021-05-10T15:00:00.000Z</t>
  </si>
  <si>
    <t>2021-05-11T15:00:00.000Z</t>
  </si>
  <si>
    <t>2021-05-12T15:00:00.000Z</t>
  </si>
  <si>
    <t>2021-05-13T15:00:00.000Z</t>
  </si>
  <si>
    <t>2021-05-14T15:00:00.000Z</t>
  </si>
  <si>
    <t>2021-05-15T15:00:00.000Z</t>
  </si>
  <si>
    <t>2021-05-16T15:00:00.000Z</t>
  </si>
  <si>
    <t>2021-05-17T15:00:00.000Z</t>
  </si>
  <si>
    <t>2021-05-18T15:00:00.000Z</t>
  </si>
  <si>
    <t>2021-05-19T15:00:00.000Z</t>
  </si>
  <si>
    <t>2021-05-20T15:00:00.000Z</t>
  </si>
  <si>
    <t>2021-05-21T15:00:00.000Z</t>
  </si>
  <si>
    <t>2021-05-22T15:00:00.000Z</t>
  </si>
  <si>
    <t>2021-05-23T15:00:00.000Z</t>
  </si>
  <si>
    <t>2021-05-24T15:00:00.000Z</t>
  </si>
  <si>
    <t>2021-05-25T15:00:00.000Z</t>
  </si>
  <si>
    <t>2021-05-26T15:00:00.000Z</t>
  </si>
  <si>
    <t>2021-05-27T15:00:00.000Z</t>
  </si>
  <si>
    <t>2021-05-28T15:00:00.000Z</t>
  </si>
  <si>
    <t>2021-05-29T15:00:00.000Z</t>
  </si>
  <si>
    <t>2021-05-30T15:00:00.000Z</t>
  </si>
  <si>
    <t>2021-05-31T15:00:00.000Z</t>
  </si>
  <si>
    <t>2021-06-01T15:00:00.000Z</t>
  </si>
  <si>
    <t>2021-06-02T15:00:00.000Z</t>
  </si>
  <si>
    <t>2021-06-03T15:00:00.000Z</t>
  </si>
  <si>
    <t>2021-06-04T15:00:00.000Z</t>
  </si>
  <si>
    <t>2021-06-05T15:00:00.000Z</t>
  </si>
  <si>
    <t>2021-06-06T15:00:00.000Z</t>
  </si>
  <si>
    <t>2021-06-07T15:00:00.000Z</t>
  </si>
  <si>
    <t>2021-06-08T15:00:00.000Z</t>
  </si>
  <si>
    <t>2021-06-09T15:00:00.000Z</t>
  </si>
  <si>
    <t>2021-06-10T15:00:00.000Z</t>
  </si>
  <si>
    <t>2021-06-11T15:00:00.000Z</t>
  </si>
  <si>
    <t>2021-06-12T15:00:00.000Z</t>
  </si>
  <si>
    <t>2021-06-13T15:00:00.000Z</t>
  </si>
  <si>
    <t>2021-06-14T15:00:00.000Z</t>
  </si>
  <si>
    <t>2021-06-15T15:00:00.000Z</t>
  </si>
  <si>
    <t>2021-06-16T15:00:00.000Z</t>
  </si>
  <si>
    <t>2021-06-17T15:00:00.000Z</t>
  </si>
  <si>
    <t>2021-06-18T15:00:00.000Z</t>
  </si>
  <si>
    <t>2021-06-19T08:36:38.144Z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</si>
</sst>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d/m/yyyy;@"/>
    <numFmt numFmtId="165" formatCode="d/m\ hh:mm"/>
    <numFmt numFmtId="166" formatCode="d/m/;@"/>
    <numFmt numFmtId="167" formatCode="d/m"/>
    <numFmt numFmtId="168" formatCode="d/m/yyyy\ h:mm;@"/>
    <numFmt numFmtId="169" formatCode="0.0"/>
    <numFmt numFmtId="170" formatCode="d\.m\.yyyy;@"/>
    <numFmt numFmtId="171" formatCode="0.0\ %"/>
  </numFmts>
  <fonts count="7">
    <font>
      <sz val="11"/>
      <color theme="1"/>
      <name val="Calibri"/>
      <family val="2"/>
      <scheme val="minor"/>
    </font>
    <font>
      <sz val="10"/>
      <color rgb="FF000000"/>
      <name val="Arial Unicode MS"/>
    </font>
    <font>
      <u/>
      <sz val="11"/>
      <color theme="10"/>
      <name val="Calibri"/>
      <family val="2"/>
      <scheme val="minor"/>
    </font>
    <font>
      <b/>
      <sz val="11"/>
      <color theme="1"/>
      <name val="Calibri"/>
      <family val="2"/>
      <scheme val="minor"/>
    </font>
    <font>
      <sz val="14"/>
      <color rgb="FF595959"/>
      <name val="Calibri"/>
      <family val="2"/>
      <scheme val="minor"/>
    </font>
    <font>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2"/>
        <bgColor indexed="64"/>
      </patternFill>
    </fill>
    <fill>
      <patternFill patternType="solid">
        <fgColor rgb="FFFFFF00"/>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48">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3" fillId="0" borderId="0" xfId="0" applyNumberFormat="1" applyFont="1"/>
    <xf numFmtId="0" fontId="3" fillId="0" borderId="0" xfId="0" applyFont="1"/>
    <xf numFmtId="0" fontId="0" fillId="0" borderId="0" xfId="0" applyFont="1"/>
    <xf numFmtId="164" fontId="0" fillId="0" borderId="0" xfId="0" applyNumberFormat="1" applyFont="1"/>
    <xf numFmtId="14" fontId="0" fillId="0" borderId="0" xfId="0" applyNumberFormat="1"/>
    <xf numFmtId="0" fontId="3" fillId="0" borderId="0" xfId="0" applyNumberFormat="1" applyFont="1"/>
    <xf numFmtId="164" fontId="0" fillId="0" borderId="0" xfId="0" applyNumberFormat="1" applyAlignment="1">
      <alignment vertical="center"/>
    </xf>
    <xf numFmtId="166" fontId="0" fillId="0" borderId="0" xfId="0" applyNumberFormat="1"/>
    <xf numFmtId="166" fontId="3" fillId="0" borderId="0" xfId="0" applyNumberFormat="1" applyFont="1"/>
    <xf numFmtId="165" fontId="3" fillId="0" borderId="0" xfId="0" applyNumberFormat="1" applyFont="1"/>
    <xf numFmtId="1" fontId="3" fillId="0" borderId="0" xfId="0" applyNumberFormat="1" applyFont="1"/>
    <xf numFmtId="2" fontId="0" fillId="0" borderId="0" xfId="0" applyNumberFormat="1"/>
    <xf numFmtId="167" fontId="0" fillId="0" borderId="0" xfId="0" applyNumberFormat="1"/>
    <xf numFmtId="168" fontId="0" fillId="0" borderId="0" xfId="0" applyNumberFormat="1"/>
    <xf numFmtId="0" fontId="4" fillId="0" borderId="0" xfId="0" applyFont="1" applyAlignment="1">
      <alignment horizontal="left" vertical="center" readingOrder="1"/>
    </xf>
    <xf numFmtId="166" fontId="0" fillId="2" borderId="0" xfId="0" applyNumberFormat="1" applyFill="1"/>
    <xf numFmtId="0" fontId="0" fillId="2" borderId="0" xfId="0" applyFill="1"/>
    <xf numFmtId="0" fontId="3"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NumberFormat="1" applyAlignment="1">
      <alignment horizontal="right"/>
    </xf>
    <xf numFmtId="1" fontId="0" fillId="0" borderId="0" xfId="0" applyNumberFormat="1" applyAlignment="1">
      <alignment vertical="center"/>
    </xf>
    <xf numFmtId="9" fontId="3" fillId="0" borderId="0" xfId="2" applyFont="1"/>
    <xf numFmtId="0" fontId="0" fillId="0" borderId="0" xfId="0" applyAlignment="1">
      <alignment horizontal="right"/>
    </xf>
    <xf numFmtId="164" fontId="0" fillId="0" borderId="0" xfId="0" applyNumberFormat="1" applyAlignment="1">
      <alignment horizontal="right"/>
    </xf>
    <xf numFmtId="1" fontId="0" fillId="0" borderId="0" xfId="0" applyNumberFormat="1"/>
    <xf numFmtId="9" fontId="0" fillId="0" borderId="0" xfId="0" applyNumberFormat="1"/>
    <xf numFmtId="171" fontId="0" fillId="0" borderId="0" xfId="0" applyNumberFormat="1"/>
    <xf numFmtId="0" fontId="0" fillId="3" borderId="0" xfId="0" applyNumberFormat="1" applyFill="1"/>
    <xf numFmtId="0" fontId="0" fillId="3" borderId="0" xfId="0" applyFill="1"/>
    <xf numFmtId="165" fontId="0" fillId="3" borderId="0" xfId="0" applyNumberFormat="1" applyFill="1"/>
    <xf numFmtId="1" fontId="3" fillId="3" borderId="0" xfId="0" applyNumberFormat="1" applyFont="1" applyFill="1"/>
    <xf numFmtId="9" fontId="0" fillId="3" borderId="0" xfId="2" applyFont="1" applyFill="1"/>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tx>
            <c:strRef>
              <c:f>Tested!$D$2:$D$7</c:f>
              <c:strCache>
                <c:ptCount val="6"/>
              </c:strCache>
            </c:strRef>
          </c:tx>
          <c:spPr>
            <a:ln w="28575" cap="rnd">
              <a:solidFill>
                <a:schemeClr val="accent1"/>
              </a:solidFill>
              <a:round/>
            </a:ln>
            <a:effectLst/>
          </c:spPr>
          <c:marker>
            <c:symbol val="none"/>
          </c:marker>
          <c:cat>
            <c:numRef>
              <c:f>Tested!$C$8:$C$423</c:f>
              <c:numCache>
                <c:formatCode>General</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1</c:v>
                </c:pt>
                <c:pt idx="47">
                  <c:v>0</c:v>
                </c:pt>
                <c:pt idx="48">
                  <c:v>0</c:v>
                </c:pt>
                <c:pt idx="49">
                  <c:v>1</c:v>
                </c:pt>
                <c:pt idx="50">
                  <c:v>0</c:v>
                </c:pt>
                <c:pt idx="51">
                  <c:v>1</c:v>
                </c:pt>
                <c:pt idx="52">
                  <c:v>3</c:v>
                </c:pt>
                <c:pt idx="53">
                  <c:v>1</c:v>
                </c:pt>
                <c:pt idx="54">
                  <c:v>1</c:v>
                </c:pt>
                <c:pt idx="55">
                  <c:v>0</c:v>
                </c:pt>
                <c:pt idx="56">
                  <c:v>4</c:v>
                </c:pt>
                <c:pt idx="57">
                  <c:v>6</c:v>
                </c:pt>
                <c:pt idx="58">
                  <c:v>1</c:v>
                </c:pt>
                <c:pt idx="59">
                  <c:v>7</c:v>
                </c:pt>
                <c:pt idx="60">
                  <c:v>7</c:v>
                </c:pt>
                <c:pt idx="61">
                  <c:v>9</c:v>
                </c:pt>
                <c:pt idx="62">
                  <c:v>17</c:v>
                </c:pt>
                <c:pt idx="63">
                  <c:v>54</c:v>
                </c:pt>
                <c:pt idx="64">
                  <c:v>76</c:v>
                </c:pt>
                <c:pt idx="65">
                  <c:v>60</c:v>
                </c:pt>
                <c:pt idx="66">
                  <c:v>28</c:v>
                </c:pt>
                <c:pt idx="67">
                  <c:v>29</c:v>
                </c:pt>
                <c:pt idx="68">
                  <c:v>53</c:v>
                </c:pt>
                <c:pt idx="69">
                  <c:v>52</c:v>
                </c:pt>
                <c:pt idx="70">
                  <c:v>47</c:v>
                </c:pt>
                <c:pt idx="71">
                  <c:v>90</c:v>
                </c:pt>
                <c:pt idx="72">
                  <c:v>99</c:v>
                </c:pt>
                <c:pt idx="73">
                  <c:v>87</c:v>
                </c:pt>
                <c:pt idx="74">
                  <c:v>87</c:v>
                </c:pt>
                <c:pt idx="75">
                  <c:v>78</c:v>
                </c:pt>
                <c:pt idx="76">
                  <c:v>84</c:v>
                </c:pt>
                <c:pt idx="77">
                  <c:v>99</c:v>
                </c:pt>
                <c:pt idx="78">
                  <c:v>104</c:v>
                </c:pt>
                <c:pt idx="79">
                  <c:v>113</c:v>
                </c:pt>
                <c:pt idx="80">
                  <c:v>95</c:v>
                </c:pt>
                <c:pt idx="81">
                  <c:v>77</c:v>
                </c:pt>
                <c:pt idx="82">
                  <c:v>70</c:v>
                </c:pt>
                <c:pt idx="83">
                  <c:v>129</c:v>
                </c:pt>
                <c:pt idx="84">
                  <c:v>125</c:v>
                </c:pt>
                <c:pt idx="85">
                  <c:v>149</c:v>
                </c:pt>
                <c:pt idx="86">
                  <c:v>161</c:v>
                </c:pt>
                <c:pt idx="87">
                  <c:v>199</c:v>
                </c:pt>
                <c:pt idx="88">
                  <c:v>81</c:v>
                </c:pt>
                <c:pt idx="89">
                  <c:v>122</c:v>
                </c:pt>
                <c:pt idx="90">
                  <c:v>209</c:v>
                </c:pt>
                <c:pt idx="91">
                  <c:v>200</c:v>
                </c:pt>
                <c:pt idx="92">
                  <c:v>138</c:v>
                </c:pt>
                <c:pt idx="93">
                  <c:v>158</c:v>
                </c:pt>
                <c:pt idx="94">
                  <c:v>71</c:v>
                </c:pt>
                <c:pt idx="95">
                  <c:v>75</c:v>
                </c:pt>
                <c:pt idx="96">
                  <c:v>80</c:v>
                </c:pt>
                <c:pt idx="97">
                  <c:v>117</c:v>
                </c:pt>
                <c:pt idx="98">
                  <c:v>175</c:v>
                </c:pt>
                <c:pt idx="99">
                  <c:v>130</c:v>
                </c:pt>
                <c:pt idx="100">
                  <c:v>120</c:v>
                </c:pt>
                <c:pt idx="101">
                  <c:v>125</c:v>
                </c:pt>
                <c:pt idx="102">
                  <c:v>56</c:v>
                </c:pt>
                <c:pt idx="103">
                  <c:v>67</c:v>
                </c:pt>
                <c:pt idx="104">
                  <c:v>143</c:v>
                </c:pt>
                <c:pt idx="105">
                  <c:v>112</c:v>
                </c:pt>
                <c:pt idx="106">
                  <c:v>124</c:v>
                </c:pt>
                <c:pt idx="107">
                  <c:v>116</c:v>
                </c:pt>
                <c:pt idx="108">
                  <c:v>92</c:v>
                </c:pt>
                <c:pt idx="109">
                  <c:v>76</c:v>
                </c:pt>
                <c:pt idx="110">
                  <c:v>73</c:v>
                </c:pt>
                <c:pt idx="111">
                  <c:v>123</c:v>
                </c:pt>
                <c:pt idx="112">
                  <c:v>139</c:v>
                </c:pt>
                <c:pt idx="113">
                  <c:v>108</c:v>
                </c:pt>
                <c:pt idx="114">
                  <c:v>86</c:v>
                </c:pt>
                <c:pt idx="115">
                  <c:v>48</c:v>
                </c:pt>
                <c:pt idx="116">
                  <c:v>58</c:v>
                </c:pt>
                <c:pt idx="117">
                  <c:v>61</c:v>
                </c:pt>
                <c:pt idx="118">
                  <c:v>133</c:v>
                </c:pt>
                <c:pt idx="119">
                  <c:v>125</c:v>
                </c:pt>
                <c:pt idx="120">
                  <c:v>95</c:v>
                </c:pt>
                <c:pt idx="121">
                  <c:v>108</c:v>
                </c:pt>
                <c:pt idx="122">
                  <c:v>81</c:v>
                </c:pt>
                <c:pt idx="123">
                  <c:v>47</c:v>
                </c:pt>
                <c:pt idx="124">
                  <c:v>28</c:v>
                </c:pt>
                <c:pt idx="125">
                  <c:v>92</c:v>
                </c:pt>
                <c:pt idx="126">
                  <c:v>67</c:v>
                </c:pt>
                <c:pt idx="127">
                  <c:v>78</c:v>
                </c:pt>
                <c:pt idx="128">
                  <c:v>50</c:v>
                </c:pt>
                <c:pt idx="129">
                  <c:v>55</c:v>
                </c:pt>
                <c:pt idx="130">
                  <c:v>25</c:v>
                </c:pt>
                <c:pt idx="131">
                  <c:v>29</c:v>
                </c:pt>
                <c:pt idx="132">
                  <c:v>45</c:v>
                </c:pt>
                <c:pt idx="133">
                  <c:v>41</c:v>
                </c:pt>
                <c:pt idx="134">
                  <c:v>43</c:v>
                </c:pt>
                <c:pt idx="135">
                  <c:v>22</c:v>
                </c:pt>
                <c:pt idx="136">
                  <c:v>32</c:v>
                </c:pt>
                <c:pt idx="137">
                  <c:v>18</c:v>
                </c:pt>
                <c:pt idx="138">
                  <c:v>20</c:v>
                </c:pt>
                <c:pt idx="139">
                  <c:v>45</c:v>
                </c:pt>
                <c:pt idx="140">
                  <c:v>33</c:v>
                </c:pt>
                <c:pt idx="141">
                  <c:v>12</c:v>
                </c:pt>
                <c:pt idx="142">
                  <c:v>30</c:v>
                </c:pt>
                <c:pt idx="143">
                  <c:v>21</c:v>
                </c:pt>
                <c:pt idx="144">
                  <c:v>10</c:v>
                </c:pt>
                <c:pt idx="145">
                  <c:v>12</c:v>
                </c:pt>
                <c:pt idx="146">
                  <c:v>17</c:v>
                </c:pt>
                <c:pt idx="147">
                  <c:v>15</c:v>
                </c:pt>
                <c:pt idx="148">
                  <c:v>25</c:v>
                </c:pt>
                <c:pt idx="149">
                  <c:v>12</c:v>
                </c:pt>
                <c:pt idx="150">
                  <c:v>13</c:v>
                </c:pt>
                <c:pt idx="151">
                  <c:v>13</c:v>
                </c:pt>
                <c:pt idx="152">
                  <c:v>4</c:v>
                </c:pt>
                <c:pt idx="153">
                  <c:v>10</c:v>
                </c:pt>
                <c:pt idx="154">
                  <c:v>8</c:v>
                </c:pt>
                <c:pt idx="155">
                  <c:v>7</c:v>
                </c:pt>
                <c:pt idx="156">
                  <c:v>9</c:v>
                </c:pt>
                <c:pt idx="157">
                  <c:v>13</c:v>
                </c:pt>
                <c:pt idx="158">
                  <c:v>2</c:v>
                </c:pt>
                <c:pt idx="159">
                  <c:v>5</c:v>
                </c:pt>
                <c:pt idx="160">
                  <c:v>16</c:v>
                </c:pt>
                <c:pt idx="161">
                  <c:v>8</c:v>
                </c:pt>
                <c:pt idx="162">
                  <c:v>4</c:v>
                </c:pt>
                <c:pt idx="163">
                  <c:v>8</c:v>
                </c:pt>
                <c:pt idx="164">
                  <c:v>0</c:v>
                </c:pt>
                <c:pt idx="165">
                  <c:v>2</c:v>
                </c:pt>
                <c:pt idx="166">
                  <c:v>13</c:v>
                </c:pt>
                <c:pt idx="167">
                  <c:v>5</c:v>
                </c:pt>
                <c:pt idx="168">
                  <c:v>5</c:v>
                </c:pt>
                <c:pt idx="169">
                  <c:v>17</c:v>
                </c:pt>
                <c:pt idx="170">
                  <c:v>14</c:v>
                </c:pt>
                <c:pt idx="171">
                  <c:v>3</c:v>
                </c:pt>
                <c:pt idx="172">
                  <c:v>2</c:v>
                </c:pt>
                <c:pt idx="173">
                  <c:v>7</c:v>
                </c:pt>
                <c:pt idx="174">
                  <c:v>16</c:v>
                </c:pt>
                <c:pt idx="175">
                  <c:v>10</c:v>
                </c:pt>
                <c:pt idx="176">
                  <c:v>2</c:v>
                </c:pt>
                <c:pt idx="177">
                  <c:v>7</c:v>
                </c:pt>
                <c:pt idx="178">
                  <c:v>6</c:v>
                </c:pt>
                <c:pt idx="179">
                  <c:v>2</c:v>
                </c:pt>
                <c:pt idx="180">
                  <c:v>3</c:v>
                </c:pt>
                <c:pt idx="181">
                  <c:v>8</c:v>
                </c:pt>
                <c:pt idx="182">
                  <c:v>3</c:v>
                </c:pt>
                <c:pt idx="183">
                  <c:v>9</c:v>
                </c:pt>
                <c:pt idx="184">
                  <c:v>8</c:v>
                </c:pt>
                <c:pt idx="185">
                  <c:v>6</c:v>
                </c:pt>
                <c:pt idx="186">
                  <c:v>0</c:v>
                </c:pt>
                <c:pt idx="187">
                  <c:v>4</c:v>
                </c:pt>
                <c:pt idx="188">
                  <c:v>6</c:v>
                </c:pt>
                <c:pt idx="189">
                  <c:v>5</c:v>
                </c:pt>
                <c:pt idx="190">
                  <c:v>5</c:v>
                </c:pt>
                <c:pt idx="191">
                  <c:v>9</c:v>
                </c:pt>
                <c:pt idx="192">
                  <c:v>6</c:v>
                </c:pt>
                <c:pt idx="193">
                  <c:v>7</c:v>
                </c:pt>
                <c:pt idx="194">
                  <c:v>5</c:v>
                </c:pt>
                <c:pt idx="195">
                  <c:v>12</c:v>
                </c:pt>
                <c:pt idx="196">
                  <c:v>8</c:v>
                </c:pt>
                <c:pt idx="197">
                  <c:v>11</c:v>
                </c:pt>
                <c:pt idx="198">
                  <c:v>3</c:v>
                </c:pt>
                <c:pt idx="199">
                  <c:v>10</c:v>
                </c:pt>
                <c:pt idx="200">
                  <c:v>4</c:v>
                </c:pt>
                <c:pt idx="201">
                  <c:v>8</c:v>
                </c:pt>
                <c:pt idx="202">
                  <c:v>12</c:v>
                </c:pt>
                <c:pt idx="203">
                  <c:v>9</c:v>
                </c:pt>
                <c:pt idx="204">
                  <c:v>12</c:v>
                </c:pt>
                <c:pt idx="205">
                  <c:v>8</c:v>
                </c:pt>
                <c:pt idx="206">
                  <c:v>18</c:v>
                </c:pt>
                <c:pt idx="207">
                  <c:v>15</c:v>
                </c:pt>
                <c:pt idx="208">
                  <c:v>10</c:v>
                </c:pt>
                <c:pt idx="209">
                  <c:v>35</c:v>
                </c:pt>
                <c:pt idx="210">
                  <c:v>22</c:v>
                </c:pt>
                <c:pt idx="211">
                  <c:v>29</c:v>
                </c:pt>
                <c:pt idx="212">
                  <c:v>22</c:v>
                </c:pt>
                <c:pt idx="213">
                  <c:v>17</c:v>
                </c:pt>
                <c:pt idx="214">
                  <c:v>9</c:v>
                </c:pt>
                <c:pt idx="215">
                  <c:v>35</c:v>
                </c:pt>
                <c:pt idx="216">
                  <c:v>15</c:v>
                </c:pt>
                <c:pt idx="217">
                  <c:v>28</c:v>
                </c:pt>
                <c:pt idx="218">
                  <c:v>27</c:v>
                </c:pt>
                <c:pt idx="219">
                  <c:v>21</c:v>
                </c:pt>
                <c:pt idx="220">
                  <c:v>27</c:v>
                </c:pt>
                <c:pt idx="221">
                  <c:v>14</c:v>
                </c:pt>
                <c:pt idx="222">
                  <c:v>43</c:v>
                </c:pt>
                <c:pt idx="223">
                  <c:v>27</c:v>
                </c:pt>
                <c:pt idx="224">
                  <c:v>39</c:v>
                </c:pt>
                <c:pt idx="225">
                  <c:v>47</c:v>
                </c:pt>
                <c:pt idx="226">
                  <c:v>27</c:v>
                </c:pt>
                <c:pt idx="227">
                  <c:v>25</c:v>
                </c:pt>
                <c:pt idx="228">
                  <c:v>16</c:v>
                </c:pt>
                <c:pt idx="229">
                  <c:v>11</c:v>
                </c:pt>
                <c:pt idx="230">
                  <c:v>17</c:v>
                </c:pt>
                <c:pt idx="231">
                  <c:v>15</c:v>
                </c:pt>
                <c:pt idx="232">
                  <c:v>20</c:v>
                </c:pt>
                <c:pt idx="233">
                  <c:v>32</c:v>
                </c:pt>
                <c:pt idx="234">
                  <c:v>35</c:v>
                </c:pt>
                <c:pt idx="235">
                  <c:v>19</c:v>
                </c:pt>
                <c:pt idx="236">
                  <c:v>18</c:v>
                </c:pt>
                <c:pt idx="237">
                  <c:v>48</c:v>
                </c:pt>
                <c:pt idx="238">
                  <c:v>29</c:v>
                </c:pt>
                <c:pt idx="239">
                  <c:v>26</c:v>
                </c:pt>
                <c:pt idx="240">
                  <c:v>35</c:v>
                </c:pt>
                <c:pt idx="241">
                  <c:v>42</c:v>
                </c:pt>
                <c:pt idx="242">
                  <c:v>22</c:v>
                </c:pt>
                <c:pt idx="243">
                  <c:v>33</c:v>
                </c:pt>
                <c:pt idx="244">
                  <c:v>45</c:v>
                </c:pt>
                <c:pt idx="245">
                  <c:v>57</c:v>
                </c:pt>
                <c:pt idx="246">
                  <c:v>55</c:v>
                </c:pt>
                <c:pt idx="247">
                  <c:v>54</c:v>
                </c:pt>
                <c:pt idx="248">
                  <c:v>58</c:v>
                </c:pt>
                <c:pt idx="249">
                  <c:v>40</c:v>
                </c:pt>
                <c:pt idx="250">
                  <c:v>46</c:v>
                </c:pt>
                <c:pt idx="251">
                  <c:v>59</c:v>
                </c:pt>
                <c:pt idx="252">
                  <c:v>53</c:v>
                </c:pt>
                <c:pt idx="253">
                  <c:v>57</c:v>
                </c:pt>
                <c:pt idx="254">
                  <c:v>85</c:v>
                </c:pt>
                <c:pt idx="255">
                  <c:v>77</c:v>
                </c:pt>
                <c:pt idx="256">
                  <c:v>64</c:v>
                </c:pt>
                <c:pt idx="257">
                  <c:v>74</c:v>
                </c:pt>
                <c:pt idx="258">
                  <c:v>120</c:v>
                </c:pt>
                <c:pt idx="259">
                  <c:v>110</c:v>
                </c:pt>
                <c:pt idx="260">
                  <c:v>117</c:v>
                </c:pt>
                <c:pt idx="261">
                  <c:v>98</c:v>
                </c:pt>
                <c:pt idx="262">
                  <c:v>128</c:v>
                </c:pt>
                <c:pt idx="263">
                  <c:v>74</c:v>
                </c:pt>
                <c:pt idx="264">
                  <c:v>70</c:v>
                </c:pt>
                <c:pt idx="265">
                  <c:v>124</c:v>
                </c:pt>
                <c:pt idx="266">
                  <c:v>134</c:v>
                </c:pt>
                <c:pt idx="267">
                  <c:v>167</c:v>
                </c:pt>
                <c:pt idx="268">
                  <c:v>191</c:v>
                </c:pt>
                <c:pt idx="269">
                  <c:v>187</c:v>
                </c:pt>
                <c:pt idx="270">
                  <c:v>178</c:v>
                </c:pt>
                <c:pt idx="271">
                  <c:v>148</c:v>
                </c:pt>
                <c:pt idx="272">
                  <c:v>291</c:v>
                </c:pt>
                <c:pt idx="273">
                  <c:v>302</c:v>
                </c:pt>
                <c:pt idx="274">
                  <c:v>306</c:v>
                </c:pt>
                <c:pt idx="275">
                  <c:v>259</c:v>
                </c:pt>
                <c:pt idx="276">
                  <c:v>226</c:v>
                </c:pt>
                <c:pt idx="277">
                  <c:v>110</c:v>
                </c:pt>
                <c:pt idx="278">
                  <c:v>131</c:v>
                </c:pt>
                <c:pt idx="279">
                  <c:v>256</c:v>
                </c:pt>
                <c:pt idx="280">
                  <c:v>199</c:v>
                </c:pt>
                <c:pt idx="281">
                  <c:v>202</c:v>
                </c:pt>
                <c:pt idx="282">
                  <c:v>190</c:v>
                </c:pt>
                <c:pt idx="283">
                  <c:v>195</c:v>
                </c:pt>
                <c:pt idx="284">
                  <c:v>104</c:v>
                </c:pt>
                <c:pt idx="285">
                  <c:v>129</c:v>
                </c:pt>
                <c:pt idx="286">
                  <c:v>243</c:v>
                </c:pt>
                <c:pt idx="287">
                  <c:v>167</c:v>
                </c:pt>
                <c:pt idx="288">
                  <c:v>188</c:v>
                </c:pt>
                <c:pt idx="289">
                  <c:v>220</c:v>
                </c:pt>
                <c:pt idx="290">
                  <c:v>193</c:v>
                </c:pt>
                <c:pt idx="291">
                  <c:v>107</c:v>
                </c:pt>
                <c:pt idx="292">
                  <c:v>124</c:v>
                </c:pt>
                <c:pt idx="293">
                  <c:v>255</c:v>
                </c:pt>
                <c:pt idx="294">
                  <c:v>232</c:v>
                </c:pt>
                <c:pt idx="295">
                  <c:v>240</c:v>
                </c:pt>
                <c:pt idx="296">
                  <c:v>237</c:v>
                </c:pt>
                <c:pt idx="297">
                  <c:v>220</c:v>
                </c:pt>
                <c:pt idx="298">
                  <c:v>121</c:v>
                </c:pt>
                <c:pt idx="299">
                  <c:v>151</c:v>
                </c:pt>
                <c:pt idx="300">
                  <c:v>287</c:v>
                </c:pt>
                <c:pt idx="301">
                  <c:v>241</c:v>
                </c:pt>
                <c:pt idx="302">
                  <c:v>213</c:v>
                </c:pt>
                <c:pt idx="303">
                  <c:v>219</c:v>
                </c:pt>
                <c:pt idx="304">
                  <c:v>196</c:v>
                </c:pt>
                <c:pt idx="305">
                  <c:v>128</c:v>
                </c:pt>
                <c:pt idx="306">
                  <c:v>132</c:v>
                </c:pt>
                <c:pt idx="307">
                  <c:v>273</c:v>
                </c:pt>
                <c:pt idx="308">
                  <c:v>206</c:v>
                </c:pt>
                <c:pt idx="309">
                  <c:v>294</c:v>
                </c:pt>
                <c:pt idx="310">
                  <c:v>282</c:v>
                </c:pt>
                <c:pt idx="311">
                  <c:v>268</c:v>
                </c:pt>
                <c:pt idx="312">
                  <c:v>145</c:v>
                </c:pt>
                <c:pt idx="313">
                  <c:v>181</c:v>
                </c:pt>
                <c:pt idx="314">
                  <c:v>392</c:v>
                </c:pt>
                <c:pt idx="315">
                  <c:v>389</c:v>
                </c:pt>
                <c:pt idx="316">
                  <c:v>376</c:v>
                </c:pt>
                <c:pt idx="317">
                  <c:v>478</c:v>
                </c:pt>
                <c:pt idx="318">
                  <c:v>428</c:v>
                </c:pt>
                <c:pt idx="319">
                  <c:v>270</c:v>
                </c:pt>
                <c:pt idx="320">
                  <c:v>267</c:v>
                </c:pt>
                <c:pt idx="321">
                  <c:v>504</c:v>
                </c:pt>
                <c:pt idx="322">
                  <c:v>471</c:v>
                </c:pt>
                <c:pt idx="323">
                  <c:v>619</c:v>
                </c:pt>
                <c:pt idx="324">
                  <c:v>509</c:v>
                </c:pt>
                <c:pt idx="325">
                  <c:v>456</c:v>
                </c:pt>
                <c:pt idx="326">
                  <c:v>284</c:v>
                </c:pt>
                <c:pt idx="327">
                  <c:v>293</c:v>
                </c:pt>
                <c:pt idx="328">
                  <c:v>595</c:v>
                </c:pt>
                <c:pt idx="329">
                  <c:v>440</c:v>
                </c:pt>
                <c:pt idx="330">
                  <c:v>495</c:v>
                </c:pt>
                <c:pt idx="331">
                  <c:v>478</c:v>
                </c:pt>
                <c:pt idx="332">
                  <c:v>473</c:v>
                </c:pt>
                <c:pt idx="333">
                  <c:v>250</c:v>
                </c:pt>
                <c:pt idx="334">
                  <c:v>284</c:v>
                </c:pt>
                <c:pt idx="335">
                  <c:v>587</c:v>
                </c:pt>
                <c:pt idx="336">
                  <c:v>478</c:v>
                </c:pt>
                <c:pt idx="337">
                  <c:v>462</c:v>
                </c:pt>
                <c:pt idx="338">
                  <c:v>407</c:v>
                </c:pt>
                <c:pt idx="339">
                  <c:v>445</c:v>
                </c:pt>
                <c:pt idx="340">
                  <c:v>249</c:v>
                </c:pt>
                <c:pt idx="341">
                  <c:v>276</c:v>
                </c:pt>
                <c:pt idx="342">
                  <c:v>463</c:v>
                </c:pt>
                <c:pt idx="343">
                  <c:v>359</c:v>
                </c:pt>
                <c:pt idx="344">
                  <c:v>353</c:v>
                </c:pt>
                <c:pt idx="345">
                  <c:v>323</c:v>
                </c:pt>
                <c:pt idx="346">
                  <c:v>394</c:v>
                </c:pt>
                <c:pt idx="347">
                  <c:v>191</c:v>
                </c:pt>
                <c:pt idx="348">
                  <c:v>244</c:v>
                </c:pt>
                <c:pt idx="349">
                  <c:v>375</c:v>
                </c:pt>
                <c:pt idx="350">
                  <c:v>332</c:v>
                </c:pt>
                <c:pt idx="351">
                  <c:v>277</c:v>
                </c:pt>
                <c:pt idx="352">
                  <c:v>138</c:v>
                </c:pt>
                <c:pt idx="353">
                  <c:v>157</c:v>
                </c:pt>
                <c:pt idx="354">
                  <c:v>183</c:v>
                </c:pt>
                <c:pt idx="355">
                  <c:v>191</c:v>
                </c:pt>
                <c:pt idx="356">
                  <c:v>435</c:v>
                </c:pt>
                <c:pt idx="357">
                  <c:v>307</c:v>
                </c:pt>
                <c:pt idx="358">
                  <c:v>255</c:v>
                </c:pt>
                <c:pt idx="359">
                  <c:v>254</c:v>
                </c:pt>
                <c:pt idx="360">
                  <c:v>129</c:v>
                </c:pt>
                <c:pt idx="361">
                  <c:v>206</c:v>
                </c:pt>
                <c:pt idx="362">
                  <c:v>169</c:v>
                </c:pt>
                <c:pt idx="363">
                  <c:v>398</c:v>
                </c:pt>
                <c:pt idx="364">
                  <c:v>263</c:v>
                </c:pt>
                <c:pt idx="365">
                  <c:v>209</c:v>
                </c:pt>
                <c:pt idx="366">
                  <c:v>332</c:v>
                </c:pt>
                <c:pt idx="367">
                  <c:v>252</c:v>
                </c:pt>
                <c:pt idx="368">
                  <c:v>194</c:v>
                </c:pt>
                <c:pt idx="369">
                  <c:v>186</c:v>
                </c:pt>
                <c:pt idx="370">
                  <c:v>386</c:v>
                </c:pt>
                <c:pt idx="371">
                  <c:v>229</c:v>
                </c:pt>
                <c:pt idx="372">
                  <c:v>260</c:v>
                </c:pt>
                <c:pt idx="373">
                  <c:v>249</c:v>
                </c:pt>
                <c:pt idx="374">
                  <c:v>266</c:v>
                </c:pt>
                <c:pt idx="375">
                  <c:v>171</c:v>
                </c:pt>
                <c:pt idx="376">
                  <c:v>197</c:v>
                </c:pt>
                <c:pt idx="377">
                  <c:v>448</c:v>
                </c:pt>
                <c:pt idx="378">
                  <c:v>342</c:v>
                </c:pt>
                <c:pt idx="379">
                  <c:v>406</c:v>
                </c:pt>
                <c:pt idx="380">
                  <c:v>377</c:v>
                </c:pt>
                <c:pt idx="381">
                  <c:v>361</c:v>
                </c:pt>
                <c:pt idx="382">
                  <c:v>168</c:v>
                </c:pt>
                <c:pt idx="383">
                  <c:v>247</c:v>
                </c:pt>
                <c:pt idx="384">
                  <c:v>605</c:v>
                </c:pt>
                <c:pt idx="385">
                  <c:v>397</c:v>
                </c:pt>
                <c:pt idx="386">
                  <c:v>382</c:v>
                </c:pt>
                <c:pt idx="387">
                  <c:v>435</c:v>
                </c:pt>
                <c:pt idx="388">
                  <c:v>378</c:v>
                </c:pt>
                <c:pt idx="389">
                  <c:v>232</c:v>
                </c:pt>
                <c:pt idx="390">
                  <c:v>273</c:v>
                </c:pt>
                <c:pt idx="391">
                  <c:v>534</c:v>
                </c:pt>
                <c:pt idx="392">
                  <c:v>396</c:v>
                </c:pt>
                <c:pt idx="393">
                  <c:v>441</c:v>
                </c:pt>
                <c:pt idx="394">
                  <c:v>373</c:v>
                </c:pt>
                <c:pt idx="395">
                  <c:v>367</c:v>
                </c:pt>
                <c:pt idx="396">
                  <c:v>238</c:v>
                </c:pt>
                <c:pt idx="397">
                  <c:v>264</c:v>
                </c:pt>
                <c:pt idx="398">
                  <c:v>461</c:v>
                </c:pt>
                <c:pt idx="399">
                  <c:v>372</c:v>
                </c:pt>
                <c:pt idx="400">
                  <c:v>383</c:v>
                </c:pt>
                <c:pt idx="401">
                  <c:v>361</c:v>
                </c:pt>
                <c:pt idx="402">
                  <c:v>419</c:v>
                </c:pt>
                <c:pt idx="403">
                  <c:v>279</c:v>
                </c:pt>
                <c:pt idx="404">
                  <c:v>282</c:v>
                </c:pt>
                <c:pt idx="405">
                  <c:v>616</c:v>
                </c:pt>
                <c:pt idx="406">
                  <c:v>514</c:v>
                </c:pt>
                <c:pt idx="407">
                  <c:v>553</c:v>
                </c:pt>
                <c:pt idx="408">
                  <c:v>611</c:v>
                </c:pt>
                <c:pt idx="409">
                  <c:v>573</c:v>
                </c:pt>
                <c:pt idx="410">
                  <c:v>318</c:v>
                </c:pt>
                <c:pt idx="411">
                  <c:v>356</c:v>
                </c:pt>
                <c:pt idx="412">
                  <c:v>623</c:v>
                </c:pt>
                <c:pt idx="413">
                  <c:v>626</c:v>
                </c:pt>
                <c:pt idx="414">
                  <c:v>598</c:v>
                </c:pt>
                <c:pt idx="415">
                  <c:v>629</c:v>
                </c:pt>
              </c:numCache>
            </c:numRef>
          </c:cat>
          <c:val>
            <c:numRef>
              <c:f>Tested!$D$8:$D$423</c:f>
              <c:numCache>
                <c:formatCode>0.0\ %</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0.1111111111111111</c:v>
                </c:pt>
                <c:pt idx="52">
                  <c:v>8.3798882681564244E-3</c:v>
                </c:pt>
                <c:pt idx="53">
                  <c:v>6.6666666666666666E-2</c:v>
                </c:pt>
                <c:pt idx="54">
                  <c:v>6.25E-2</c:v>
                </c:pt>
                <c:pt idx="55">
                  <c:v>0</c:v>
                </c:pt>
                <c:pt idx="56">
                  <c:v>7.8431372549019607E-2</c:v>
                </c:pt>
                <c:pt idx="57">
                  <c:v>7.0588235294117646E-2</c:v>
                </c:pt>
                <c:pt idx="58">
                  <c:v>1.2500000000000001E-2</c:v>
                </c:pt>
                <c:pt idx="59">
                  <c:v>6.6666666666666666E-2</c:v>
                </c:pt>
                <c:pt idx="60">
                  <c:v>0.35</c:v>
                </c:pt>
                <c:pt idx="61">
                  <c:v>0.6428571428571429</c:v>
                </c:pt>
                <c:pt idx="62">
                  <c:v>0.13934426229508196</c:v>
                </c:pt>
                <c:pt idx="63">
                  <c:v>0.421875</c:v>
                </c:pt>
                <c:pt idx="64">
                  <c:v>0.46625766871165641</c:v>
                </c:pt>
                <c:pt idx="65">
                  <c:v>0.17191977077363896</c:v>
                </c:pt>
                <c:pt idx="66">
                  <c:v>6.8459657701711488E-2</c:v>
                </c:pt>
                <c:pt idx="67">
                  <c:v>4.8739495798319328E-2</c:v>
                </c:pt>
                <c:pt idx="68">
                  <c:v>8.2298136645962736E-2</c:v>
                </c:pt>
                <c:pt idx="69">
                  <c:v>5.9907834101382486E-2</c:v>
                </c:pt>
                <c:pt idx="70">
                  <c:v>4.1373239436619719E-2</c:v>
                </c:pt>
                <c:pt idx="71">
                  <c:v>8.7804878048780483E-2</c:v>
                </c:pt>
                <c:pt idx="72">
                  <c:v>0.12774193548387097</c:v>
                </c:pt>
                <c:pt idx="73">
                  <c:v>6.7651632970451014E-2</c:v>
                </c:pt>
                <c:pt idx="74">
                  <c:v>5.4273237679351216E-2</c:v>
                </c:pt>
                <c:pt idx="75">
                  <c:v>7.4427480916030533E-2</c:v>
                </c:pt>
                <c:pt idx="76">
                  <c:v>6.3829787234042548E-2</c:v>
                </c:pt>
                <c:pt idx="77">
                  <c:v>6.2579013906447531E-2</c:v>
                </c:pt>
                <c:pt idx="78">
                  <c:v>5.627705627705628E-2</c:v>
                </c:pt>
                <c:pt idx="79">
                  <c:v>6.1513336962438755E-2</c:v>
                </c:pt>
                <c:pt idx="80">
                  <c:v>4.740518962075848E-2</c:v>
                </c:pt>
                <c:pt idx="81">
                  <c:v>6.3900414937759331E-2</c:v>
                </c:pt>
                <c:pt idx="82">
                  <c:v>0.11925042589437819</c:v>
                </c:pt>
                <c:pt idx="83">
                  <c:v>0.11900369003690037</c:v>
                </c:pt>
                <c:pt idx="84">
                  <c:v>0.11052166224580018</c:v>
                </c:pt>
                <c:pt idx="85">
                  <c:v>9.2489137181874612E-2</c:v>
                </c:pt>
                <c:pt idx="86">
                  <c:v>6.9069069069069067E-2</c:v>
                </c:pt>
                <c:pt idx="87">
                  <c:v>0.11768184506209343</c:v>
                </c:pt>
                <c:pt idx="88">
                  <c:v>2.512406947890819E-2</c:v>
                </c:pt>
                <c:pt idx="89">
                  <c:v>7.407407407407407E-2</c:v>
                </c:pt>
                <c:pt idx="90">
                  <c:v>0.10603754439370877</c:v>
                </c:pt>
                <c:pt idx="91">
                  <c:v>9.2293493308721733E-2</c:v>
                </c:pt>
                <c:pt idx="92">
                  <c:v>4.1881638846737484E-2</c:v>
                </c:pt>
                <c:pt idx="93">
                  <c:v>6.1985092193016872E-2</c:v>
                </c:pt>
                <c:pt idx="94">
                  <c:v>2.1600243383024034E-2</c:v>
                </c:pt>
                <c:pt idx="95">
                  <c:v>5.6904400606980272E-2</c:v>
                </c:pt>
                <c:pt idx="96">
                  <c:v>5.0346129641283828E-2</c:v>
                </c:pt>
                <c:pt idx="97">
                  <c:v>0.12717391304347825</c:v>
                </c:pt>
                <c:pt idx="98">
                  <c:v>0.14285714285714285</c:v>
                </c:pt>
                <c:pt idx="99">
                  <c:v>5.21669341894061E-2</c:v>
                </c:pt>
                <c:pt idx="100">
                  <c:v>3.4217279726261762E-2</c:v>
                </c:pt>
                <c:pt idx="101">
                  <c:v>4.6125461254612546E-2</c:v>
                </c:pt>
                <c:pt idx="102">
                  <c:v>1.5167930660888408E-2</c:v>
                </c:pt>
                <c:pt idx="103">
                  <c:v>2.8365791701947501E-2</c:v>
                </c:pt>
                <c:pt idx="104">
                  <c:v>7.7548806941431667E-2</c:v>
                </c:pt>
                <c:pt idx="105">
                  <c:v>3.0939226519337018E-2</c:v>
                </c:pt>
                <c:pt idx="106">
                  <c:v>2.9509757258448358E-2</c:v>
                </c:pt>
                <c:pt idx="107">
                  <c:v>3.1659388646288207E-2</c:v>
                </c:pt>
                <c:pt idx="108">
                  <c:v>2.1495327102803739E-2</c:v>
                </c:pt>
                <c:pt idx="109">
                  <c:v>2.4196115886660298E-2</c:v>
                </c:pt>
                <c:pt idx="110">
                  <c:v>2.9376257545271629E-2</c:v>
                </c:pt>
                <c:pt idx="111">
                  <c:v>5.0409836065573768E-2</c:v>
                </c:pt>
                <c:pt idx="112">
                  <c:v>3.6694825765575499E-2</c:v>
                </c:pt>
                <c:pt idx="113">
                  <c:v>2.4269662921348314E-2</c:v>
                </c:pt>
                <c:pt idx="114">
                  <c:v>2.0579085905719073E-2</c:v>
                </c:pt>
                <c:pt idx="115">
                  <c:v>1.4222222222222223E-2</c:v>
                </c:pt>
                <c:pt idx="116">
                  <c:v>3.910991233985165E-2</c:v>
                </c:pt>
                <c:pt idx="117">
                  <c:v>3.6992116434202547E-2</c:v>
                </c:pt>
                <c:pt idx="118">
                  <c:v>7.5268817204301078E-2</c:v>
                </c:pt>
                <c:pt idx="119">
                  <c:v>3.3147706178732431E-2</c:v>
                </c:pt>
                <c:pt idx="120">
                  <c:v>2.494747899159664E-2</c:v>
                </c:pt>
                <c:pt idx="121">
                  <c:v>2.8183716075156576E-2</c:v>
                </c:pt>
                <c:pt idx="122">
                  <c:v>2.4382901866345574E-2</c:v>
                </c:pt>
                <c:pt idx="123">
                  <c:v>1.6725978647686834E-2</c:v>
                </c:pt>
                <c:pt idx="124">
                  <c:v>1.5393073117097306E-2</c:v>
                </c:pt>
                <c:pt idx="125">
                  <c:v>4.1666666666666664E-2</c:v>
                </c:pt>
                <c:pt idx="126">
                  <c:v>1.6522811344019728E-2</c:v>
                </c:pt>
                <c:pt idx="127">
                  <c:v>1.944652206432311E-2</c:v>
                </c:pt>
                <c:pt idx="128">
                  <c:v>1.2833675564681724E-2</c:v>
                </c:pt>
                <c:pt idx="129">
                  <c:v>1.2634964392373075E-2</c:v>
                </c:pt>
                <c:pt idx="130">
                  <c:v>7.246376811594203E-3</c:v>
                </c:pt>
                <c:pt idx="131">
                  <c:v>1.2543252595155709E-2</c:v>
                </c:pt>
                <c:pt idx="132">
                  <c:v>1.9067796610169493E-2</c:v>
                </c:pt>
                <c:pt idx="133">
                  <c:v>8.2895268904164977E-3</c:v>
                </c:pt>
                <c:pt idx="134">
                  <c:v>1.1634199134199134E-2</c:v>
                </c:pt>
                <c:pt idx="135">
                  <c:v>7.4198988195615517E-3</c:v>
                </c:pt>
                <c:pt idx="136">
                  <c:v>1.444043321299639E-2</c:v>
                </c:pt>
                <c:pt idx="137">
                  <c:v>6.8441064638783272E-3</c:v>
                </c:pt>
                <c:pt idx="138">
                  <c:v>1.2870012870012869E-2</c:v>
                </c:pt>
                <c:pt idx="139">
                  <c:v>2.5802752293577983E-2</c:v>
                </c:pt>
                <c:pt idx="140">
                  <c:v>9.0709180868609133E-3</c:v>
                </c:pt>
                <c:pt idx="141">
                  <c:v>4.0390440928980142E-3</c:v>
                </c:pt>
                <c:pt idx="142">
                  <c:v>1.0056989607777405E-2</c:v>
                </c:pt>
                <c:pt idx="143">
                  <c:v>7.4893009985734661E-3</c:v>
                </c:pt>
                <c:pt idx="144">
                  <c:v>5.1413881748071976E-3</c:v>
                </c:pt>
                <c:pt idx="145">
                  <c:v>9.2664092664092659E-3</c:v>
                </c:pt>
                <c:pt idx="146">
                  <c:v>1.0089020771513354E-2</c:v>
                </c:pt>
                <c:pt idx="147">
                  <c:v>5.2173913043478265E-3</c:v>
                </c:pt>
                <c:pt idx="148">
                  <c:v>8.7412587412587419E-3</c:v>
                </c:pt>
                <c:pt idx="149">
                  <c:v>4.2887776983559682E-3</c:v>
                </c:pt>
                <c:pt idx="150">
                  <c:v>5.6010340370529947E-3</c:v>
                </c:pt>
                <c:pt idx="151">
                  <c:v>6.3663075416258569E-3</c:v>
                </c:pt>
                <c:pt idx="152">
                  <c:v>4.1580041580041582E-3</c:v>
                </c:pt>
                <c:pt idx="153">
                  <c:v>5.4288816503800215E-3</c:v>
                </c:pt>
                <c:pt idx="154">
                  <c:v>2.7118644067796612E-3</c:v>
                </c:pt>
                <c:pt idx="155">
                  <c:v>2.368064952638701E-3</c:v>
                </c:pt>
                <c:pt idx="156">
                  <c:v>3.0272452068617556E-3</c:v>
                </c:pt>
                <c:pt idx="157">
                  <c:v>5.208333333333333E-3</c:v>
                </c:pt>
                <c:pt idx="158">
                  <c:v>1.28783000643915E-3</c:v>
                </c:pt>
                <c:pt idx="159">
                  <c:v>6.0532687651331718E-3</c:v>
                </c:pt>
                <c:pt idx="160">
                  <c:v>8.4254870984728798E-3</c:v>
                </c:pt>
                <c:pt idx="161">
                  <c:v>2.6746907388833165E-3</c:v>
                </c:pt>
                <c:pt idx="162">
                  <c:v>1.4652014652014652E-3</c:v>
                </c:pt>
                <c:pt idx="163">
                  <c:v>3.8666022232962784E-3</c:v>
                </c:pt>
                <c:pt idx="164">
                  <c:v>0</c:v>
                </c:pt>
                <c:pt idx="165">
                  <c:v>2.6773761713520749E-3</c:v>
                </c:pt>
                <c:pt idx="166">
                  <c:v>1.8922852983988356E-2</c:v>
                </c:pt>
                <c:pt idx="167">
                  <c:v>3.117206982543641E-3</c:v>
                </c:pt>
                <c:pt idx="168">
                  <c:v>1.8975332068311196E-3</c:v>
                </c:pt>
                <c:pt idx="169">
                  <c:v>7.2961373390557941E-3</c:v>
                </c:pt>
                <c:pt idx="170">
                  <c:v>5.1986632008911996E-3</c:v>
                </c:pt>
                <c:pt idx="171">
                  <c:v>1.3786764705882354E-3</c:v>
                </c:pt>
                <c:pt idx="172">
                  <c:v>1.2853470437017994E-3</c:v>
                </c:pt>
                <c:pt idx="173">
                  <c:v>7.2538860103626944E-3</c:v>
                </c:pt>
                <c:pt idx="174">
                  <c:v>9.433962264150943E-3</c:v>
                </c:pt>
                <c:pt idx="175">
                  <c:v>3.5285815102328866E-3</c:v>
                </c:pt>
                <c:pt idx="176">
                  <c:v>7.2046109510086451E-4</c:v>
                </c:pt>
                <c:pt idx="177">
                  <c:v>1.8572565667285751E-3</c:v>
                </c:pt>
                <c:pt idx="178">
                  <c:v>1.8518518518518519E-3</c:v>
                </c:pt>
                <c:pt idx="179">
                  <c:v>7.5614366729678643E-4</c:v>
                </c:pt>
                <c:pt idx="180">
                  <c:v>2.2831050228310501E-3</c:v>
                </c:pt>
                <c:pt idx="181">
                  <c:v>3.5730236712818221E-3</c:v>
                </c:pt>
                <c:pt idx="182">
                  <c:v>6.5963060686015829E-4</c:v>
                </c:pt>
                <c:pt idx="183">
                  <c:v>2.0454545454545456E-3</c:v>
                </c:pt>
                <c:pt idx="184">
                  <c:v>1.6406890894175555E-3</c:v>
                </c:pt>
                <c:pt idx="185">
                  <c:v>1.3670539986329461E-3</c:v>
                </c:pt>
                <c:pt idx="186">
                  <c:v>0</c:v>
                </c:pt>
                <c:pt idx="187">
                  <c:v>1.7152658662092624E-3</c:v>
                </c:pt>
                <c:pt idx="188">
                  <c:v>1.9342359767891683E-3</c:v>
                </c:pt>
                <c:pt idx="189">
                  <c:v>9.344047841524949E-4</c:v>
                </c:pt>
                <c:pt idx="190">
                  <c:v>9.2064076597311731E-4</c:v>
                </c:pt>
                <c:pt idx="191">
                  <c:v>1.8101367658889783E-3</c:v>
                </c:pt>
                <c:pt idx="192">
                  <c:v>1.1746280344557558E-3</c:v>
                </c:pt>
                <c:pt idx="193">
                  <c:v>1.6945049624788188E-3</c:v>
                </c:pt>
                <c:pt idx="194">
                  <c:v>2.3408239700374533E-3</c:v>
                </c:pt>
                <c:pt idx="195">
                  <c:v>3.6407766990291263E-3</c:v>
                </c:pt>
                <c:pt idx="196">
                  <c:v>1.4646649578908824E-3</c:v>
                </c:pt>
                <c:pt idx="197">
                  <c:v>2.1816739389131298E-3</c:v>
                </c:pt>
                <c:pt idx="198">
                  <c:v>5.4774511593938286E-4</c:v>
                </c:pt>
                <c:pt idx="199">
                  <c:v>2.1043771043771043E-3</c:v>
                </c:pt>
                <c:pt idx="200">
                  <c:v>1.0638297872340426E-3</c:v>
                </c:pt>
                <c:pt idx="201">
                  <c:v>3.50109409190372E-3</c:v>
                </c:pt>
                <c:pt idx="202">
                  <c:v>3.5263003232441962E-3</c:v>
                </c:pt>
                <c:pt idx="203">
                  <c:v>1.5671251958906496E-3</c:v>
                </c:pt>
                <c:pt idx="204">
                  <c:v>2.1664560389962088E-3</c:v>
                </c:pt>
                <c:pt idx="205">
                  <c:v>1.419698314108252E-3</c:v>
                </c:pt>
                <c:pt idx="206">
                  <c:v>3.2403240324032404E-3</c:v>
                </c:pt>
                <c:pt idx="207">
                  <c:v>3.5731300619342545E-3</c:v>
                </c:pt>
                <c:pt idx="208">
                  <c:v>2.1891418563922942E-3</c:v>
                </c:pt>
                <c:pt idx="209">
                  <c:v>6.6666666666666671E-3</c:v>
                </c:pt>
                <c:pt idx="210">
                  <c:v>3.2262795131250918E-3</c:v>
                </c:pt>
                <c:pt idx="211">
                  <c:v>3.3973758200562323E-3</c:v>
                </c:pt>
                <c:pt idx="212">
                  <c:v>3.0999013667746935E-3</c:v>
                </c:pt>
                <c:pt idx="213">
                  <c:v>1.928530913216109E-3</c:v>
                </c:pt>
                <c:pt idx="214">
                  <c:v>1.4224751066856331E-3</c:v>
                </c:pt>
                <c:pt idx="215">
                  <c:v>5.8902726354762708E-3</c:v>
                </c:pt>
                <c:pt idx="216">
                  <c:v>2.0661157024793389E-3</c:v>
                </c:pt>
                <c:pt idx="217">
                  <c:v>2.6320736980635457E-3</c:v>
                </c:pt>
                <c:pt idx="218">
                  <c:v>2.3281883245666983E-3</c:v>
                </c:pt>
                <c:pt idx="219">
                  <c:v>1.734533740811101E-3</c:v>
                </c:pt>
                <c:pt idx="220">
                  <c:v>2.8063610851262861E-3</c:v>
                </c:pt>
                <c:pt idx="221">
                  <c:v>1.3521344407958276E-3</c:v>
                </c:pt>
                <c:pt idx="222">
                  <c:v>3.9240737360832266E-3</c:v>
                </c:pt>
                <c:pt idx="223">
                  <c:v>2.4727539151936989E-3</c:v>
                </c:pt>
                <c:pt idx="224">
                  <c:v>3.0265404314760206E-3</c:v>
                </c:pt>
                <c:pt idx="225">
                  <c:v>2.7418037568545093E-3</c:v>
                </c:pt>
                <c:pt idx="226">
                  <c:v>1.6907758782641368E-3</c:v>
                </c:pt>
                <c:pt idx="227">
                  <c:v>1.5479876160990713E-3</c:v>
                </c:pt>
                <c:pt idx="228">
                  <c:v>1.2469799703842257E-3</c:v>
                </c:pt>
                <c:pt idx="229">
                  <c:v>8.6444007858546166E-4</c:v>
                </c:pt>
                <c:pt idx="230">
                  <c:v>1.1719288570246793E-3</c:v>
                </c:pt>
                <c:pt idx="231">
                  <c:v>9.2879256965944267E-4</c:v>
                </c:pt>
                <c:pt idx="232">
                  <c:v>1.1435105774728416E-3</c:v>
                </c:pt>
                <c:pt idx="233">
                  <c:v>1.8469352418330831E-3</c:v>
                </c:pt>
                <c:pt idx="234">
                  <c:v>2.4707045037413527E-3</c:v>
                </c:pt>
                <c:pt idx="235">
                  <c:v>1.2520593080724877E-3</c:v>
                </c:pt>
                <c:pt idx="236">
                  <c:v>1.3492241960872497E-3</c:v>
                </c:pt>
                <c:pt idx="237">
                  <c:v>3.6596523330283625E-3</c:v>
                </c:pt>
                <c:pt idx="238">
                  <c:v>1.9598567277150773E-3</c:v>
                </c:pt>
                <c:pt idx="239">
                  <c:v>1.452595117045645E-3</c:v>
                </c:pt>
                <c:pt idx="240">
                  <c:v>2.0744428639165482E-3</c:v>
                </c:pt>
                <c:pt idx="241">
                  <c:v>2.6121027427078798E-3</c:v>
                </c:pt>
                <c:pt idx="242">
                  <c:v>1.552685440045169E-3</c:v>
                </c:pt>
                <c:pt idx="243">
                  <c:v>3.4627492130115426E-3</c:v>
                </c:pt>
                <c:pt idx="244">
                  <c:v>6.1745334796926453E-3</c:v>
                </c:pt>
                <c:pt idx="245">
                  <c:v>4.7291130838795319E-3</c:v>
                </c:pt>
                <c:pt idx="246">
                  <c:v>3.869696756490537E-3</c:v>
                </c:pt>
                <c:pt idx="247">
                  <c:v>4.1538461538461538E-3</c:v>
                </c:pt>
                <c:pt idx="248">
                  <c:v>4.0163423585624263E-3</c:v>
                </c:pt>
                <c:pt idx="249">
                  <c:v>3.8722168441432721E-3</c:v>
                </c:pt>
                <c:pt idx="250">
                  <c:v>5.4761904761904765E-3</c:v>
                </c:pt>
                <c:pt idx="251">
                  <c:v>6.4242160278745646E-3</c:v>
                </c:pt>
                <c:pt idx="252">
                  <c:v>3.9013617960986383E-3</c:v>
                </c:pt>
                <c:pt idx="253">
                  <c:v>3.3243905284031259E-3</c:v>
                </c:pt>
                <c:pt idx="254">
                  <c:v>4.6240887825046238E-3</c:v>
                </c:pt>
                <c:pt idx="255">
                  <c:v>4.5586406962287605E-3</c:v>
                </c:pt>
                <c:pt idx="256">
                  <c:v>5.2219321148825066E-3</c:v>
                </c:pt>
                <c:pt idx="257">
                  <c:v>7.1691532648711486E-3</c:v>
                </c:pt>
                <c:pt idx="258">
                  <c:v>1.372055796935742E-2</c:v>
                </c:pt>
                <c:pt idx="259">
                  <c:v>7.7497534169367341E-3</c:v>
                </c:pt>
                <c:pt idx="260">
                  <c:v>8.5701728684441838E-3</c:v>
                </c:pt>
                <c:pt idx="261">
                  <c:v>5.9168025116222911E-3</c:v>
                </c:pt>
                <c:pt idx="262">
                  <c:v>8.8202866593164279E-3</c:v>
                </c:pt>
                <c:pt idx="263">
                  <c:v>5.0135501355013552E-3</c:v>
                </c:pt>
                <c:pt idx="264">
                  <c:v>7.7968367119625754E-3</c:v>
                </c:pt>
                <c:pt idx="265">
                  <c:v>1.1009500133179436E-2</c:v>
                </c:pt>
                <c:pt idx="266">
                  <c:v>1.1383909608359527E-2</c:v>
                </c:pt>
                <c:pt idx="267">
                  <c:v>1.0843451723914032E-2</c:v>
                </c:pt>
                <c:pt idx="268">
                  <c:v>1.5740893357507828E-2</c:v>
                </c:pt>
                <c:pt idx="269">
                  <c:v>1.4945652173913044E-2</c:v>
                </c:pt>
                <c:pt idx="270">
                  <c:v>1.4701024116286753E-2</c:v>
                </c:pt>
                <c:pt idx="271">
                  <c:v>1.5019281510046681E-2</c:v>
                </c:pt>
                <c:pt idx="272">
                  <c:v>2.5497239989485675E-2</c:v>
                </c:pt>
                <c:pt idx="273">
                  <c:v>1.9493932352181772E-2</c:v>
                </c:pt>
                <c:pt idx="274">
                  <c:v>1.7384388137711624E-2</c:v>
                </c:pt>
                <c:pt idx="275">
                  <c:v>1.5033666124912932E-2</c:v>
                </c:pt>
                <c:pt idx="276">
                  <c:v>1.3092341559494845E-2</c:v>
                </c:pt>
                <c:pt idx="277">
                  <c:v>7.4455123866251525E-3</c:v>
                </c:pt>
                <c:pt idx="278">
                  <c:v>1.3350998777007746E-2</c:v>
                </c:pt>
                <c:pt idx="279">
                  <c:v>1.9269853217914943E-2</c:v>
                </c:pt>
                <c:pt idx="280">
                  <c:v>1.1470401752262379E-2</c:v>
                </c:pt>
                <c:pt idx="281">
                  <c:v>1.1475968639927281E-2</c:v>
                </c:pt>
                <c:pt idx="282">
                  <c:v>1.1156127062415595E-2</c:v>
                </c:pt>
                <c:pt idx="283">
                  <c:v>1.3256288239292998E-2</c:v>
                </c:pt>
                <c:pt idx="284">
                  <c:v>8.9577950043066325E-3</c:v>
                </c:pt>
                <c:pt idx="285">
                  <c:v>1.5313390313390313E-2</c:v>
                </c:pt>
                <c:pt idx="286">
                  <c:v>2.1913608080079357E-2</c:v>
                </c:pt>
                <c:pt idx="287">
                  <c:v>1.0205328770471768E-2</c:v>
                </c:pt>
                <c:pt idx="288">
                  <c:v>1.0652765185856755E-2</c:v>
                </c:pt>
                <c:pt idx="289">
                  <c:v>1.2602394454946439E-2</c:v>
                </c:pt>
                <c:pt idx="290">
                  <c:v>1.1788419252382117E-2</c:v>
                </c:pt>
                <c:pt idx="291">
                  <c:v>9.2011350933012305E-3</c:v>
                </c:pt>
                <c:pt idx="292">
                  <c:v>1.7215049285020132E-2</c:v>
                </c:pt>
                <c:pt idx="293">
                  <c:v>2.1439381200605349E-2</c:v>
                </c:pt>
                <c:pt idx="294">
                  <c:v>1.248385708136031E-2</c:v>
                </c:pt>
                <c:pt idx="295">
                  <c:v>1.4746543778801843E-2</c:v>
                </c:pt>
                <c:pt idx="296">
                  <c:v>1.5719307554553294E-2</c:v>
                </c:pt>
                <c:pt idx="297">
                  <c:v>1.7815207709126243E-2</c:v>
                </c:pt>
                <c:pt idx="298">
                  <c:v>1.3659968390155791E-2</c:v>
                </c:pt>
                <c:pt idx="299">
                  <c:v>2.5233957219251337E-2</c:v>
                </c:pt>
                <c:pt idx="300">
                  <c:v>2.9420809841107124E-2</c:v>
                </c:pt>
                <c:pt idx="301">
                  <c:v>1.4990358897804318E-2</c:v>
                </c:pt>
                <c:pt idx="302">
                  <c:v>1.231712253512982E-2</c:v>
                </c:pt>
                <c:pt idx="303">
                  <c:v>1.4299706170421155E-2</c:v>
                </c:pt>
                <c:pt idx="304">
                  <c:v>1.2956107879428873E-2</c:v>
                </c:pt>
                <c:pt idx="305">
                  <c:v>1.3017390420014237E-2</c:v>
                </c:pt>
                <c:pt idx="306">
                  <c:v>2.2813688212927757E-2</c:v>
                </c:pt>
                <c:pt idx="307">
                  <c:v>2.3228111971411555E-2</c:v>
                </c:pt>
                <c:pt idx="308">
                  <c:v>1.2339762789025998E-2</c:v>
                </c:pt>
                <c:pt idx="309">
                  <c:v>1.7941050832977361E-2</c:v>
                </c:pt>
                <c:pt idx="310">
                  <c:v>1.7789553368660106E-2</c:v>
                </c:pt>
                <c:pt idx="311">
                  <c:v>2.001194743130227E-2</c:v>
                </c:pt>
                <c:pt idx="312">
                  <c:v>1.3381321520856405E-2</c:v>
                </c:pt>
                <c:pt idx="313">
                  <c:v>2.7226233453670277E-2</c:v>
                </c:pt>
                <c:pt idx="314">
                  <c:v>3.0946554038051629E-2</c:v>
                </c:pt>
                <c:pt idx="315">
                  <c:v>2.1319741313164529E-2</c:v>
                </c:pt>
                <c:pt idx="316">
                  <c:v>2.1997308839875971E-2</c:v>
                </c:pt>
                <c:pt idx="317">
                  <c:v>2.8471022693430222E-2</c:v>
                </c:pt>
                <c:pt idx="318">
                  <c:v>2.4115393283750283E-2</c:v>
                </c:pt>
                <c:pt idx="319">
                  <c:v>2.0694412508622671E-2</c:v>
                </c:pt>
                <c:pt idx="320">
                  <c:v>3.0626290433585685E-2</c:v>
                </c:pt>
                <c:pt idx="321">
                  <c:v>3.4313725490196081E-2</c:v>
                </c:pt>
                <c:pt idx="322">
                  <c:v>2.2445672893633244E-2</c:v>
                </c:pt>
                <c:pt idx="323">
                  <c:v>2.6540325001071903E-2</c:v>
                </c:pt>
                <c:pt idx="324">
                  <c:v>2.3212331265961329E-2</c:v>
                </c:pt>
                <c:pt idx="325">
                  <c:v>2.1054575676424415E-2</c:v>
                </c:pt>
                <c:pt idx="326">
                  <c:v>1.7425450975579827E-2</c:v>
                </c:pt>
                <c:pt idx="327">
                  <c:v>2.1026193039110155E-2</c:v>
                </c:pt>
                <c:pt idx="328">
                  <c:v>4.0876614454520475E-2</c:v>
                </c:pt>
                <c:pt idx="329">
                  <c:v>2.1063717746182202E-2</c:v>
                </c:pt>
                <c:pt idx="330">
                  <c:v>2.0836841219060449E-2</c:v>
                </c:pt>
                <c:pt idx="331">
                  <c:v>2.1832465515666394E-2</c:v>
                </c:pt>
                <c:pt idx="332">
                  <c:v>2.1793217840029487E-2</c:v>
                </c:pt>
                <c:pt idx="333">
                  <c:v>1.3993059442516512E-2</c:v>
                </c:pt>
                <c:pt idx="334">
                  <c:v>2.4777525737218635E-2</c:v>
                </c:pt>
                <c:pt idx="335">
                  <c:v>3.7522372794681666E-2</c:v>
                </c:pt>
                <c:pt idx="336">
                  <c:v>2.2557810287871637E-2</c:v>
                </c:pt>
                <c:pt idx="337">
                  <c:v>2.1344421344421344E-2</c:v>
                </c:pt>
                <c:pt idx="338">
                  <c:v>2.1789175009368809E-2</c:v>
                </c:pt>
                <c:pt idx="339">
                  <c:v>2.3187952686154967E-2</c:v>
                </c:pt>
                <c:pt idx="340">
                  <c:v>1.7943359515745477E-2</c:v>
                </c:pt>
                <c:pt idx="341">
                  <c:v>2.6502784712886498E-2</c:v>
                </c:pt>
                <c:pt idx="342">
                  <c:v>3.048258608203305E-2</c:v>
                </c:pt>
                <c:pt idx="343">
                  <c:v>1.5863897481219622E-2</c:v>
                </c:pt>
                <c:pt idx="344">
                  <c:v>1.9007107473616197E-2</c:v>
                </c:pt>
                <c:pt idx="345">
                  <c:v>1.5802348336594912E-2</c:v>
                </c:pt>
                <c:pt idx="346">
                  <c:v>1.9945327528601803E-2</c:v>
                </c:pt>
                <c:pt idx="347">
                  <c:v>1.2649006622516556E-2</c:v>
                </c:pt>
                <c:pt idx="348">
                  <c:v>2.0321479137169984E-2</c:v>
                </c:pt>
                <c:pt idx="349">
                  <c:v>2.4754109182124232E-2</c:v>
                </c:pt>
                <c:pt idx="350">
                  <c:v>1.4910626066648702E-2</c:v>
                </c:pt>
                <c:pt idx="351">
                  <c:v>1.3055568647782439E-2</c:v>
                </c:pt>
                <c:pt idx="352">
                  <c:v>1.2170385395537525E-2</c:v>
                </c:pt>
                <c:pt idx="353">
                  <c:v>2.2896310339798744E-2</c:v>
                </c:pt>
                <c:pt idx="354">
                  <c:v>2.852689010132502E-2</c:v>
                </c:pt>
                <c:pt idx="355">
                  <c:v>2.6004084411164058E-2</c:v>
                </c:pt>
                <c:pt idx="356">
                  <c:v>3.743223474743998E-2</c:v>
                </c:pt>
                <c:pt idx="357">
                  <c:v>1.9524294072755025E-2</c:v>
                </c:pt>
                <c:pt idx="358">
                  <c:v>1.7804775869291998E-2</c:v>
                </c:pt>
                <c:pt idx="359">
                  <c:v>2.1212627359278438E-2</c:v>
                </c:pt>
                <c:pt idx="360">
                  <c:v>1.88900278225216E-2</c:v>
                </c:pt>
                <c:pt idx="361">
                  <c:v>3.6242083040112595E-2</c:v>
                </c:pt>
                <c:pt idx="362">
                  <c:v>2.6020015396458814E-2</c:v>
                </c:pt>
                <c:pt idx="363">
                  <c:v>3.7276388498641941E-2</c:v>
                </c:pt>
                <c:pt idx="364">
                  <c:v>1.7555570389159603E-2</c:v>
                </c:pt>
                <c:pt idx="365">
                  <c:v>1.9243163612926988E-2</c:v>
                </c:pt>
                <c:pt idx="366">
                  <c:v>3.6991643454038999E-2</c:v>
                </c:pt>
                <c:pt idx="367">
                  <c:v>1.8340611353711789E-2</c:v>
                </c:pt>
                <c:pt idx="368">
                  <c:v>2.0704375667022414E-2</c:v>
                </c:pt>
                <c:pt idx="369">
                  <c:v>2.8610982925703739E-2</c:v>
                </c:pt>
                <c:pt idx="370">
                  <c:v>4.1173333333333333E-2</c:v>
                </c:pt>
                <c:pt idx="371">
                  <c:v>1.5869715869715868E-2</c:v>
                </c:pt>
                <c:pt idx="372">
                  <c:v>2.0044715133759924E-2</c:v>
                </c:pt>
                <c:pt idx="373">
                  <c:v>2.3143414815503298E-2</c:v>
                </c:pt>
                <c:pt idx="374">
                  <c:v>2.3773348824738583E-2</c:v>
                </c:pt>
                <c:pt idx="375">
                  <c:v>1.8341735492867103E-2</c:v>
                </c:pt>
                <c:pt idx="376">
                  <c:v>3.8178294573643412E-2</c:v>
                </c:pt>
                <c:pt idx="377">
                  <c:v>4.7827479449129927E-2</c:v>
                </c:pt>
                <c:pt idx="378">
                  <c:v>2.0270270270270271E-2</c:v>
                </c:pt>
                <c:pt idx="379">
                  <c:v>2.5705964290236798E-2</c:v>
                </c:pt>
                <c:pt idx="380">
                  <c:v>2.3942588593928615E-2</c:v>
                </c:pt>
                <c:pt idx="381">
                  <c:v>2.1412895189513021E-2</c:v>
                </c:pt>
                <c:pt idx="382">
                  <c:v>1.4588398749565822E-2</c:v>
                </c:pt>
                <c:pt idx="383">
                  <c:v>2.8704241719930274E-2</c:v>
                </c:pt>
                <c:pt idx="384">
                  <c:v>5.3355675103624656E-2</c:v>
                </c:pt>
                <c:pt idx="385">
                  <c:v>1.9851985198519852E-2</c:v>
                </c:pt>
                <c:pt idx="386">
                  <c:v>2.3101112723754234E-2</c:v>
                </c:pt>
                <c:pt idx="387">
                  <c:v>2.6252263126131561E-2</c:v>
                </c:pt>
                <c:pt idx="388">
                  <c:v>2.0261578044596912E-2</c:v>
                </c:pt>
                <c:pt idx="389">
                  <c:v>1.8759602167057493E-2</c:v>
                </c:pt>
                <c:pt idx="390">
                  <c:v>2.5796088065765849E-2</c:v>
                </c:pt>
                <c:pt idx="391">
                  <c:v>4.1695947528695244E-2</c:v>
                </c:pt>
                <c:pt idx="392">
                  <c:v>2.0205112505740089E-2</c:v>
                </c:pt>
                <c:pt idx="393">
                  <c:v>1.9340408736075784E-2</c:v>
                </c:pt>
                <c:pt idx="394">
                  <c:v>1.9249625845074055E-2</c:v>
                </c:pt>
                <c:pt idx="395">
                  <c:v>2.0438850523501893E-2</c:v>
                </c:pt>
                <c:pt idx="396">
                  <c:v>1.6899808279485905E-2</c:v>
                </c:pt>
                <c:pt idx="397">
                  <c:v>2.9310536249583657E-2</c:v>
                </c:pt>
                <c:pt idx="398">
                  <c:v>3.3072673792955018E-2</c:v>
                </c:pt>
                <c:pt idx="399">
                  <c:v>1.7008046817849305E-2</c:v>
                </c:pt>
                <c:pt idx="400">
                  <c:v>1.8576001552041903E-2</c:v>
                </c:pt>
                <c:pt idx="401">
                  <c:v>1.9286248530825945E-2</c:v>
                </c:pt>
                <c:pt idx="402">
                  <c:v>2.2744544566279449E-2</c:v>
                </c:pt>
                <c:pt idx="403">
                  <c:v>2.1885786005647945E-2</c:v>
                </c:pt>
                <c:pt idx="404">
                  <c:v>2.9313929313929316E-2</c:v>
                </c:pt>
                <c:pt idx="405">
                  <c:v>4.2612064194798009E-2</c:v>
                </c:pt>
                <c:pt idx="406">
                  <c:v>2.3844869177955093E-2</c:v>
                </c:pt>
                <c:pt idx="407">
                  <c:v>2.7175782593739251E-2</c:v>
                </c:pt>
                <c:pt idx="408">
                  <c:v>2.8928554519198901E-2</c:v>
                </c:pt>
                <c:pt idx="409">
                  <c:v>2.9743057357902933E-2</c:v>
                </c:pt>
                <c:pt idx="410">
                  <c:v>2.0173824779547041E-2</c:v>
                </c:pt>
                <c:pt idx="411">
                  <c:v>3.1537916371367825E-2</c:v>
                </c:pt>
                <c:pt idx="412">
                  <c:v>3.0282408982647158E-2</c:v>
                </c:pt>
                <c:pt idx="413">
                  <c:v>2.996362243921118E-2</c:v>
                </c:pt>
                <c:pt idx="414">
                  <c:v>2.502092050209205</c:v>
                </c:pt>
                <c:pt idx="415">
                  <c:v>0</c:v>
                </c:pt>
              </c:numCache>
            </c:numRef>
          </c:val>
          <c:smooth val="0"/>
          <c:extLst>
            <c:ext xmlns:c16="http://schemas.microsoft.com/office/drawing/2014/chart" uri="{C3380CC4-5D6E-409C-BE32-E72D297353CC}">
              <c16:uniqueId val="{00000000-AF23-4F33-B157-ABD3A04F5696}"/>
            </c:ext>
          </c:extLst>
        </c:ser>
        <c:dLbls>
          <c:showLegendKey val="0"/>
          <c:showVal val="0"/>
          <c:showCatName val="0"/>
          <c:showSerName val="0"/>
          <c:showPercent val="0"/>
          <c:showBubbleSize val="0"/>
        </c:dLbls>
        <c:smooth val="0"/>
        <c:axId val="594968752"/>
        <c:axId val="594970032"/>
      </c:lineChart>
      <c:catAx>
        <c:axId val="59496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70032"/>
        <c:crosses val="autoZero"/>
        <c:auto val="1"/>
        <c:lblAlgn val="ctr"/>
        <c:lblOffset val="100"/>
        <c:noMultiLvlLbl val="0"/>
      </c:catAx>
      <c:valAx>
        <c:axId val="594970032"/>
        <c:scaling>
          <c:orientation val="minMax"/>
        </c:scaling>
        <c:delete val="0"/>
        <c:axPos val="l"/>
        <c:majorGridlines>
          <c:spPr>
            <a:ln w="9525" cap="flat" cmpd="sng" algn="ctr">
              <a:solidFill>
                <a:schemeClr val="tx1">
                  <a:lumMod val="15000"/>
                  <a:lumOff val="85000"/>
                </a:schemeClr>
              </a:solidFill>
              <a:round/>
            </a:ln>
            <a:effectLst/>
          </c:spPr>
        </c:majorGridlines>
        <c:numFmt formatCode="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68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15.6.2021 saakka. Suurin arvo 892, joka 15.3.2021.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531"/>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strCache>
            </c:strRef>
          </c:cat>
          <c:val>
            <c:numRef>
              <c:f>[0]!PlotY</c:f>
              <c:numCache>
                <c:formatCode>General</c:formatCode>
                <c:ptCount val="5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193</c:v>
                </c:pt>
                <c:pt idx="297">
                  <c:v>107</c:v>
                </c:pt>
                <c:pt idx="298">
                  <c:v>124</c:v>
                </c:pt>
                <c:pt idx="299">
                  <c:v>255</c:v>
                </c:pt>
                <c:pt idx="300">
                  <c:v>232</c:v>
                </c:pt>
                <c:pt idx="301">
                  <c:v>240</c:v>
                </c:pt>
                <c:pt idx="302">
                  <c:v>237</c:v>
                </c:pt>
                <c:pt idx="303">
                  <c:v>220</c:v>
                </c:pt>
                <c:pt idx="304">
                  <c:v>121</c:v>
                </c:pt>
                <c:pt idx="305">
                  <c:v>151</c:v>
                </c:pt>
                <c:pt idx="306">
                  <c:v>287</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284</c:v>
                </c:pt>
                <c:pt idx="341">
                  <c:v>587</c:v>
                </c:pt>
                <c:pt idx="342">
                  <c:v>478</c:v>
                </c:pt>
                <c:pt idx="343">
                  <c:v>462</c:v>
                </c:pt>
                <c:pt idx="344">
                  <c:v>407</c:v>
                </c:pt>
                <c:pt idx="345">
                  <c:v>445</c:v>
                </c:pt>
                <c:pt idx="346">
                  <c:v>249</c:v>
                </c:pt>
                <c:pt idx="347">
                  <c:v>276</c:v>
                </c:pt>
                <c:pt idx="348">
                  <c:v>463</c:v>
                </c:pt>
                <c:pt idx="349">
                  <c:v>359</c:v>
                </c:pt>
                <c:pt idx="350">
                  <c:v>353</c:v>
                </c:pt>
                <c:pt idx="351">
                  <c:v>323</c:v>
                </c:pt>
                <c:pt idx="352">
                  <c:v>394</c:v>
                </c:pt>
                <c:pt idx="353">
                  <c:v>191</c:v>
                </c:pt>
                <c:pt idx="354">
                  <c:v>244</c:v>
                </c:pt>
                <c:pt idx="355">
                  <c:v>375</c:v>
                </c:pt>
                <c:pt idx="356">
                  <c:v>332</c:v>
                </c:pt>
                <c:pt idx="357">
                  <c:v>277</c:v>
                </c:pt>
                <c:pt idx="358">
                  <c:v>138</c:v>
                </c:pt>
                <c:pt idx="359">
                  <c:v>157</c:v>
                </c:pt>
                <c:pt idx="360">
                  <c:v>183</c:v>
                </c:pt>
                <c:pt idx="361">
                  <c:v>191</c:v>
                </c:pt>
                <c:pt idx="362">
                  <c:v>435</c:v>
                </c:pt>
                <c:pt idx="363">
                  <c:v>307</c:v>
                </c:pt>
                <c:pt idx="364">
                  <c:v>255</c:v>
                </c:pt>
                <c:pt idx="365">
                  <c:v>254</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260</c:v>
                </c:pt>
                <c:pt idx="379">
                  <c:v>249</c:v>
                </c:pt>
                <c:pt idx="380">
                  <c:v>266</c:v>
                </c:pt>
                <c:pt idx="381">
                  <c:v>171</c:v>
                </c:pt>
                <c:pt idx="382">
                  <c:v>197</c:v>
                </c:pt>
                <c:pt idx="383">
                  <c:v>448</c:v>
                </c:pt>
                <c:pt idx="384">
                  <c:v>342</c:v>
                </c:pt>
                <c:pt idx="385">
                  <c:v>406</c:v>
                </c:pt>
                <c:pt idx="386">
                  <c:v>377</c:v>
                </c:pt>
                <c:pt idx="387">
                  <c:v>361</c:v>
                </c:pt>
                <c:pt idx="388">
                  <c:v>168</c:v>
                </c:pt>
                <c:pt idx="389">
                  <c:v>247</c:v>
                </c:pt>
                <c:pt idx="390">
                  <c:v>605</c:v>
                </c:pt>
                <c:pt idx="391">
                  <c:v>397</c:v>
                </c:pt>
                <c:pt idx="392">
                  <c:v>382</c:v>
                </c:pt>
                <c:pt idx="393">
                  <c:v>435</c:v>
                </c:pt>
                <c:pt idx="394">
                  <c:v>378</c:v>
                </c:pt>
                <c:pt idx="395">
                  <c:v>232</c:v>
                </c:pt>
                <c:pt idx="396">
                  <c:v>273</c:v>
                </c:pt>
                <c:pt idx="397">
                  <c:v>534</c:v>
                </c:pt>
                <c:pt idx="398">
                  <c:v>396</c:v>
                </c:pt>
                <c:pt idx="399">
                  <c:v>441</c:v>
                </c:pt>
                <c:pt idx="400">
                  <c:v>373</c:v>
                </c:pt>
                <c:pt idx="401">
                  <c:v>367</c:v>
                </c:pt>
                <c:pt idx="402">
                  <c:v>238</c:v>
                </c:pt>
                <c:pt idx="403">
                  <c:v>264</c:v>
                </c:pt>
                <c:pt idx="404">
                  <c:v>461</c:v>
                </c:pt>
                <c:pt idx="405">
                  <c:v>372</c:v>
                </c:pt>
                <c:pt idx="406">
                  <c:v>383</c:v>
                </c:pt>
                <c:pt idx="407">
                  <c:v>361</c:v>
                </c:pt>
                <c:pt idx="408">
                  <c:v>419</c:v>
                </c:pt>
                <c:pt idx="409">
                  <c:v>279</c:v>
                </c:pt>
                <c:pt idx="410">
                  <c:v>282</c:v>
                </c:pt>
                <c:pt idx="411">
                  <c:v>616</c:v>
                </c:pt>
                <c:pt idx="412">
                  <c:v>514</c:v>
                </c:pt>
                <c:pt idx="413">
                  <c:v>553</c:v>
                </c:pt>
                <c:pt idx="414">
                  <c:v>611</c:v>
                </c:pt>
                <c:pt idx="415">
                  <c:v>573</c:v>
                </c:pt>
                <c:pt idx="416">
                  <c:v>318</c:v>
                </c:pt>
                <c:pt idx="417">
                  <c:v>356</c:v>
                </c:pt>
                <c:pt idx="418">
                  <c:v>623</c:v>
                </c:pt>
                <c:pt idx="419">
                  <c:v>626</c:v>
                </c:pt>
                <c:pt idx="420">
                  <c:v>598</c:v>
                </c:pt>
                <c:pt idx="421">
                  <c:v>629</c:v>
                </c:pt>
                <c:pt idx="422">
                  <c:v>686</c:v>
                </c:pt>
                <c:pt idx="423">
                  <c:v>401</c:v>
                </c:pt>
                <c:pt idx="424">
                  <c:v>422</c:v>
                </c:pt>
                <c:pt idx="425">
                  <c:v>875</c:v>
                </c:pt>
                <c:pt idx="426">
                  <c:v>758</c:v>
                </c:pt>
                <c:pt idx="427">
                  <c:v>732</c:v>
                </c:pt>
                <c:pt idx="428">
                  <c:v>640</c:v>
                </c:pt>
                <c:pt idx="429">
                  <c:v>630</c:v>
                </c:pt>
                <c:pt idx="430">
                  <c:v>433</c:v>
                </c:pt>
                <c:pt idx="431">
                  <c:v>395</c:v>
                </c:pt>
                <c:pt idx="432">
                  <c:v>834</c:v>
                </c:pt>
                <c:pt idx="433">
                  <c:v>773</c:v>
                </c:pt>
                <c:pt idx="434">
                  <c:v>822</c:v>
                </c:pt>
                <c:pt idx="435">
                  <c:v>779</c:v>
                </c:pt>
                <c:pt idx="436">
                  <c:v>808</c:v>
                </c:pt>
                <c:pt idx="437">
                  <c:v>491</c:v>
                </c:pt>
                <c:pt idx="438">
                  <c:v>434</c:v>
                </c:pt>
                <c:pt idx="439">
                  <c:v>892</c:v>
                </c:pt>
                <c:pt idx="440">
                  <c:v>767</c:v>
                </c:pt>
                <c:pt idx="441">
                  <c:v>743</c:v>
                </c:pt>
                <c:pt idx="442">
                  <c:v>735</c:v>
                </c:pt>
                <c:pt idx="443">
                  <c:v>745</c:v>
                </c:pt>
                <c:pt idx="444">
                  <c:v>404</c:v>
                </c:pt>
                <c:pt idx="445">
                  <c:v>420</c:v>
                </c:pt>
                <c:pt idx="446">
                  <c:v>769</c:v>
                </c:pt>
                <c:pt idx="447">
                  <c:v>703</c:v>
                </c:pt>
                <c:pt idx="448">
                  <c:v>695</c:v>
                </c:pt>
                <c:pt idx="449">
                  <c:v>606</c:v>
                </c:pt>
                <c:pt idx="450">
                  <c:v>688</c:v>
                </c:pt>
                <c:pt idx="451">
                  <c:v>351</c:v>
                </c:pt>
                <c:pt idx="452">
                  <c:v>372</c:v>
                </c:pt>
                <c:pt idx="453">
                  <c:v>654</c:v>
                </c:pt>
                <c:pt idx="454">
                  <c:v>570</c:v>
                </c:pt>
                <c:pt idx="455">
                  <c:v>550</c:v>
                </c:pt>
                <c:pt idx="456">
                  <c:v>486</c:v>
                </c:pt>
                <c:pt idx="457">
                  <c:v>361</c:v>
                </c:pt>
                <c:pt idx="458">
                  <c:v>320</c:v>
                </c:pt>
                <c:pt idx="459">
                  <c:v>322</c:v>
                </c:pt>
                <c:pt idx="460">
                  <c:v>359</c:v>
                </c:pt>
                <c:pt idx="461">
                  <c:v>545</c:v>
                </c:pt>
                <c:pt idx="462">
                  <c:v>426</c:v>
                </c:pt>
                <c:pt idx="463">
                  <c:v>407</c:v>
                </c:pt>
                <c:pt idx="464">
                  <c:v>351</c:v>
                </c:pt>
                <c:pt idx="465">
                  <c:v>226</c:v>
                </c:pt>
                <c:pt idx="466">
                  <c:v>239</c:v>
                </c:pt>
                <c:pt idx="467">
                  <c:v>398</c:v>
                </c:pt>
                <c:pt idx="468">
                  <c:v>325</c:v>
                </c:pt>
                <c:pt idx="469">
                  <c:v>345</c:v>
                </c:pt>
                <c:pt idx="470">
                  <c:v>274</c:v>
                </c:pt>
                <c:pt idx="471">
                  <c:v>264</c:v>
                </c:pt>
                <c:pt idx="472">
                  <c:v>171</c:v>
                </c:pt>
                <c:pt idx="473">
                  <c:v>156</c:v>
                </c:pt>
                <c:pt idx="474">
                  <c:v>284</c:v>
                </c:pt>
                <c:pt idx="475">
                  <c:v>285</c:v>
                </c:pt>
                <c:pt idx="476">
                  <c:v>233</c:v>
                </c:pt>
                <c:pt idx="477">
                  <c:v>258</c:v>
                </c:pt>
                <c:pt idx="478">
                  <c:v>255</c:v>
                </c:pt>
                <c:pt idx="479">
                  <c:v>155</c:v>
                </c:pt>
                <c:pt idx="480">
                  <c:v>140</c:v>
                </c:pt>
                <c:pt idx="481">
                  <c:v>243</c:v>
                </c:pt>
                <c:pt idx="482">
                  <c:v>228</c:v>
                </c:pt>
                <c:pt idx="483">
                  <c:v>274</c:v>
                </c:pt>
                <c:pt idx="484">
                  <c:v>201</c:v>
                </c:pt>
                <c:pt idx="485">
                  <c:v>197</c:v>
                </c:pt>
                <c:pt idx="486">
                  <c:v>108</c:v>
                </c:pt>
                <c:pt idx="487">
                  <c:v>135</c:v>
                </c:pt>
                <c:pt idx="488">
                  <c:v>318</c:v>
                </c:pt>
                <c:pt idx="489">
                  <c:v>205</c:v>
                </c:pt>
                <c:pt idx="490">
                  <c:v>266</c:v>
                </c:pt>
                <c:pt idx="491">
                  <c:v>239</c:v>
                </c:pt>
                <c:pt idx="492">
                  <c:v>214</c:v>
                </c:pt>
                <c:pt idx="493">
                  <c:v>131</c:v>
                </c:pt>
                <c:pt idx="494">
                  <c:v>130</c:v>
                </c:pt>
                <c:pt idx="495">
                  <c:v>257</c:v>
                </c:pt>
                <c:pt idx="496">
                  <c:v>216</c:v>
                </c:pt>
                <c:pt idx="497">
                  <c:v>256</c:v>
                </c:pt>
                <c:pt idx="498">
                  <c:v>156</c:v>
                </c:pt>
                <c:pt idx="499">
                  <c:v>245</c:v>
                </c:pt>
                <c:pt idx="500">
                  <c:v>160</c:v>
                </c:pt>
                <c:pt idx="501">
                  <c:v>133</c:v>
                </c:pt>
                <c:pt idx="502">
                  <c:v>284</c:v>
                </c:pt>
                <c:pt idx="503">
                  <c:v>217</c:v>
                </c:pt>
                <c:pt idx="504">
                  <c:v>230</c:v>
                </c:pt>
                <c:pt idx="505">
                  <c:v>215</c:v>
                </c:pt>
                <c:pt idx="506">
                  <c:v>168</c:v>
                </c:pt>
                <c:pt idx="507">
                  <c:v>108</c:v>
                </c:pt>
                <c:pt idx="508">
                  <c:v>93</c:v>
                </c:pt>
                <c:pt idx="509">
                  <c:v>188</c:v>
                </c:pt>
                <c:pt idx="510">
                  <c:v>152</c:v>
                </c:pt>
                <c:pt idx="511">
                  <c:v>142</c:v>
                </c:pt>
                <c:pt idx="512">
                  <c:v>127</c:v>
                </c:pt>
                <c:pt idx="513">
                  <c:v>136</c:v>
                </c:pt>
                <c:pt idx="514">
                  <c:v>64</c:v>
                </c:pt>
                <c:pt idx="515">
                  <c:v>79</c:v>
                </c:pt>
                <c:pt idx="516">
                  <c:v>145</c:v>
                </c:pt>
                <c:pt idx="517">
                  <c:v>121</c:v>
                </c:pt>
                <c:pt idx="518">
                  <c:v>118</c:v>
                </c:pt>
                <c:pt idx="519">
                  <c:v>111</c:v>
                </c:pt>
                <c:pt idx="520">
                  <c:v>101</c:v>
                </c:pt>
                <c:pt idx="521">
                  <c:v>65</c:v>
                </c:pt>
                <c:pt idx="522">
                  <c:v>59</c:v>
                </c:pt>
                <c:pt idx="523">
                  <c:v>136</c:v>
                </c:pt>
                <c:pt idx="524">
                  <c:v>101</c:v>
                </c:pt>
                <c:pt idx="525">
                  <c:v>82</c:v>
                </c:pt>
                <c:pt idx="526">
                  <c:v>76</c:v>
                </c:pt>
                <c:pt idx="527">
                  <c:v>70</c:v>
                </c:pt>
                <c:pt idx="528">
                  <c:v>45</c:v>
                </c:pt>
                <c:pt idx="529">
                  <c:v>47</c:v>
                </c:pt>
                <c:pt idx="530">
                  <c:v>88</c:v>
                </c:pt>
                <c:pt idx="531">
                  <c:v>77</c:v>
                </c:pt>
              </c:numCache>
            </c:numRef>
          </c:val>
          <c:smooth val="0"/>
          <c:extLst>
            <c:ext xmlns:c16="http://schemas.microsoft.com/office/drawing/2014/chart" uri="{C3380CC4-5D6E-409C-BE32-E72D297353CC}">
              <c16:uniqueId val="{00000000-93E0-459D-B0CC-B743FA4680EE}"/>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15.6.2021 saakka. Suurin arvo 517, joka 12.3.2021.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531"/>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strCache>
            </c:strRef>
          </c:cat>
          <c:val>
            <c:numRef>
              <c:f>HUS!PlotY</c:f>
              <c:numCache>
                <c:formatCode>General</c:formatCode>
                <c:ptCount val="5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133</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7</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85</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103</c:v>
                </c:pt>
                <c:pt idx="297">
                  <c:v>66</c:v>
                </c:pt>
                <c:pt idx="298">
                  <c:v>71</c:v>
                </c:pt>
                <c:pt idx="299">
                  <c:v>133</c:v>
                </c:pt>
                <c:pt idx="300">
                  <c:v>121</c:v>
                </c:pt>
                <c:pt idx="301">
                  <c:v>121</c:v>
                </c:pt>
                <c:pt idx="302">
                  <c:v>102</c:v>
                </c:pt>
                <c:pt idx="303">
                  <c:v>123</c:v>
                </c:pt>
                <c:pt idx="304">
                  <c:v>72</c:v>
                </c:pt>
                <c:pt idx="305">
                  <c:v>93</c:v>
                </c:pt>
                <c:pt idx="306">
                  <c:v>155</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180</c:v>
                </c:pt>
                <c:pt idx="326">
                  <c:v>161</c:v>
                </c:pt>
                <c:pt idx="327">
                  <c:v>261</c:v>
                </c:pt>
                <c:pt idx="328">
                  <c:v>283</c:v>
                </c:pt>
                <c:pt idx="329">
                  <c:v>299</c:v>
                </c:pt>
                <c:pt idx="330">
                  <c:v>261</c:v>
                </c:pt>
                <c:pt idx="331">
                  <c:v>242</c:v>
                </c:pt>
                <c:pt idx="332">
                  <c:v>151</c:v>
                </c:pt>
                <c:pt idx="333">
                  <c:v>158</c:v>
                </c:pt>
                <c:pt idx="334">
                  <c:v>313</c:v>
                </c:pt>
                <c:pt idx="335">
                  <c:v>221</c:v>
                </c:pt>
                <c:pt idx="336">
                  <c:v>250</c:v>
                </c:pt>
                <c:pt idx="337">
                  <c:v>281</c:v>
                </c:pt>
                <c:pt idx="338">
                  <c:v>224</c:v>
                </c:pt>
                <c:pt idx="339">
                  <c:v>153</c:v>
                </c:pt>
                <c:pt idx="340">
                  <c:v>157</c:v>
                </c:pt>
                <c:pt idx="341">
                  <c:v>284</c:v>
                </c:pt>
                <c:pt idx="342">
                  <c:v>253</c:v>
                </c:pt>
                <c:pt idx="343">
                  <c:v>268</c:v>
                </c:pt>
                <c:pt idx="344">
                  <c:v>222</c:v>
                </c:pt>
                <c:pt idx="345">
                  <c:v>235</c:v>
                </c:pt>
                <c:pt idx="346">
                  <c:v>147</c:v>
                </c:pt>
                <c:pt idx="347">
                  <c:v>169</c:v>
                </c:pt>
                <c:pt idx="348">
                  <c:v>233</c:v>
                </c:pt>
                <c:pt idx="349">
                  <c:v>195</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223</c:v>
                </c:pt>
                <c:pt idx="363">
                  <c:v>164</c:v>
                </c:pt>
                <c:pt idx="364">
                  <c:v>110</c:v>
                </c:pt>
                <c:pt idx="365">
                  <c:v>136</c:v>
                </c:pt>
                <c:pt idx="366">
                  <c:v>67</c:v>
                </c:pt>
                <c:pt idx="367">
                  <c:v>117</c:v>
                </c:pt>
                <c:pt idx="368">
                  <c:v>93</c:v>
                </c:pt>
                <c:pt idx="369">
                  <c:v>197</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97</c:v>
                </c:pt>
                <c:pt idx="383">
                  <c:v>257</c:v>
                </c:pt>
                <c:pt idx="384">
                  <c:v>189</c:v>
                </c:pt>
                <c:pt idx="385">
                  <c:v>209</c:v>
                </c:pt>
                <c:pt idx="386">
                  <c:v>178</c:v>
                </c:pt>
                <c:pt idx="387">
                  <c:v>196</c:v>
                </c:pt>
                <c:pt idx="388">
                  <c:v>93</c:v>
                </c:pt>
                <c:pt idx="389">
                  <c:v>153</c:v>
                </c:pt>
                <c:pt idx="390">
                  <c:v>257</c:v>
                </c:pt>
                <c:pt idx="391">
                  <c:v>212</c:v>
                </c:pt>
                <c:pt idx="392">
                  <c:v>188</c:v>
                </c:pt>
                <c:pt idx="393">
                  <c:v>229</c:v>
                </c:pt>
                <c:pt idx="394">
                  <c:v>191</c:v>
                </c:pt>
                <c:pt idx="395">
                  <c:v>132</c:v>
                </c:pt>
                <c:pt idx="396">
                  <c:v>167</c:v>
                </c:pt>
                <c:pt idx="397">
                  <c:v>296</c:v>
                </c:pt>
                <c:pt idx="398">
                  <c:v>250</c:v>
                </c:pt>
                <c:pt idx="399">
                  <c:v>263</c:v>
                </c:pt>
                <c:pt idx="400">
                  <c:v>225</c:v>
                </c:pt>
                <c:pt idx="401">
                  <c:v>216</c:v>
                </c:pt>
                <c:pt idx="402">
                  <c:v>152</c:v>
                </c:pt>
                <c:pt idx="403">
                  <c:v>173</c:v>
                </c:pt>
                <c:pt idx="404">
                  <c:v>295</c:v>
                </c:pt>
                <c:pt idx="405">
                  <c:v>240</c:v>
                </c:pt>
                <c:pt idx="406">
                  <c:v>230</c:v>
                </c:pt>
                <c:pt idx="407">
                  <c:v>237</c:v>
                </c:pt>
                <c:pt idx="408">
                  <c:v>261</c:v>
                </c:pt>
                <c:pt idx="409">
                  <c:v>191</c:v>
                </c:pt>
                <c:pt idx="410">
                  <c:v>181</c:v>
                </c:pt>
                <c:pt idx="411">
                  <c:v>360</c:v>
                </c:pt>
                <c:pt idx="412">
                  <c:v>328</c:v>
                </c:pt>
                <c:pt idx="413">
                  <c:v>329</c:v>
                </c:pt>
                <c:pt idx="414">
                  <c:v>325</c:v>
                </c:pt>
                <c:pt idx="415">
                  <c:v>306</c:v>
                </c:pt>
                <c:pt idx="416">
                  <c:v>185</c:v>
                </c:pt>
                <c:pt idx="417">
                  <c:v>220</c:v>
                </c:pt>
                <c:pt idx="418">
                  <c:v>388</c:v>
                </c:pt>
                <c:pt idx="419">
                  <c:v>383</c:v>
                </c:pt>
                <c:pt idx="420">
                  <c:v>417</c:v>
                </c:pt>
                <c:pt idx="421">
                  <c:v>361</c:v>
                </c:pt>
                <c:pt idx="422">
                  <c:v>429</c:v>
                </c:pt>
                <c:pt idx="423">
                  <c:v>266</c:v>
                </c:pt>
                <c:pt idx="424">
                  <c:v>266</c:v>
                </c:pt>
                <c:pt idx="425">
                  <c:v>483</c:v>
                </c:pt>
                <c:pt idx="426">
                  <c:v>492</c:v>
                </c:pt>
                <c:pt idx="427">
                  <c:v>475</c:v>
                </c:pt>
                <c:pt idx="428">
                  <c:v>389</c:v>
                </c:pt>
                <c:pt idx="429">
                  <c:v>420</c:v>
                </c:pt>
                <c:pt idx="430">
                  <c:v>277</c:v>
                </c:pt>
                <c:pt idx="431">
                  <c:v>256</c:v>
                </c:pt>
                <c:pt idx="432">
                  <c:v>501</c:v>
                </c:pt>
                <c:pt idx="433">
                  <c:v>506</c:v>
                </c:pt>
                <c:pt idx="434">
                  <c:v>505</c:v>
                </c:pt>
                <c:pt idx="435">
                  <c:v>477</c:v>
                </c:pt>
                <c:pt idx="436">
                  <c:v>517</c:v>
                </c:pt>
                <c:pt idx="437">
                  <c:v>327</c:v>
                </c:pt>
                <c:pt idx="438">
                  <c:v>262</c:v>
                </c:pt>
                <c:pt idx="439">
                  <c:v>508</c:v>
                </c:pt>
                <c:pt idx="440">
                  <c:v>454</c:v>
                </c:pt>
                <c:pt idx="441">
                  <c:v>417</c:v>
                </c:pt>
                <c:pt idx="442">
                  <c:v>455</c:v>
                </c:pt>
                <c:pt idx="443">
                  <c:v>444</c:v>
                </c:pt>
                <c:pt idx="444">
                  <c:v>287</c:v>
                </c:pt>
                <c:pt idx="445">
                  <c:v>288</c:v>
                </c:pt>
                <c:pt idx="446">
                  <c:v>452</c:v>
                </c:pt>
                <c:pt idx="447">
                  <c:v>452</c:v>
                </c:pt>
                <c:pt idx="448">
                  <c:v>394</c:v>
                </c:pt>
                <c:pt idx="449">
                  <c:v>355</c:v>
                </c:pt>
                <c:pt idx="450">
                  <c:v>407</c:v>
                </c:pt>
                <c:pt idx="451">
                  <c:v>199</c:v>
                </c:pt>
                <c:pt idx="452">
                  <c:v>248</c:v>
                </c:pt>
                <c:pt idx="453">
                  <c:v>378</c:v>
                </c:pt>
                <c:pt idx="454">
                  <c:v>322</c:v>
                </c:pt>
                <c:pt idx="455">
                  <c:v>331</c:v>
                </c:pt>
                <c:pt idx="456">
                  <c:v>252</c:v>
                </c:pt>
                <c:pt idx="457">
                  <c:v>223</c:v>
                </c:pt>
                <c:pt idx="458">
                  <c:v>188</c:v>
                </c:pt>
                <c:pt idx="459">
                  <c:v>206</c:v>
                </c:pt>
                <c:pt idx="460">
                  <c:v>232</c:v>
                </c:pt>
                <c:pt idx="461">
                  <c:v>305</c:v>
                </c:pt>
                <c:pt idx="462">
                  <c:v>246</c:v>
                </c:pt>
                <c:pt idx="463">
                  <c:v>211</c:v>
                </c:pt>
                <c:pt idx="464">
                  <c:v>175</c:v>
                </c:pt>
                <c:pt idx="465">
                  <c:v>137</c:v>
                </c:pt>
                <c:pt idx="466">
                  <c:v>142</c:v>
                </c:pt>
                <c:pt idx="467">
                  <c:v>215</c:v>
                </c:pt>
                <c:pt idx="468">
                  <c:v>155</c:v>
                </c:pt>
                <c:pt idx="469">
                  <c:v>169</c:v>
                </c:pt>
                <c:pt idx="470">
                  <c:v>129</c:v>
                </c:pt>
                <c:pt idx="471">
                  <c:v>130</c:v>
                </c:pt>
                <c:pt idx="472">
                  <c:v>124</c:v>
                </c:pt>
                <c:pt idx="473">
                  <c:v>88</c:v>
                </c:pt>
                <c:pt idx="474">
                  <c:v>136</c:v>
                </c:pt>
                <c:pt idx="475">
                  <c:v>144</c:v>
                </c:pt>
                <c:pt idx="476">
                  <c:v>114</c:v>
                </c:pt>
                <c:pt idx="477">
                  <c:v>139</c:v>
                </c:pt>
                <c:pt idx="478">
                  <c:v>110</c:v>
                </c:pt>
                <c:pt idx="479">
                  <c:v>85</c:v>
                </c:pt>
                <c:pt idx="480">
                  <c:v>83</c:v>
                </c:pt>
                <c:pt idx="481">
                  <c:v>121</c:v>
                </c:pt>
                <c:pt idx="482">
                  <c:v>109</c:v>
                </c:pt>
                <c:pt idx="483">
                  <c:v>146</c:v>
                </c:pt>
                <c:pt idx="484">
                  <c:v>94</c:v>
                </c:pt>
                <c:pt idx="485">
                  <c:v>97</c:v>
                </c:pt>
                <c:pt idx="486">
                  <c:v>54</c:v>
                </c:pt>
                <c:pt idx="487">
                  <c:v>81</c:v>
                </c:pt>
                <c:pt idx="488">
                  <c:v>158</c:v>
                </c:pt>
                <c:pt idx="489">
                  <c:v>113</c:v>
                </c:pt>
                <c:pt idx="490">
                  <c:v>126</c:v>
                </c:pt>
                <c:pt idx="491">
                  <c:v>113</c:v>
                </c:pt>
                <c:pt idx="492">
                  <c:v>94</c:v>
                </c:pt>
                <c:pt idx="493">
                  <c:v>69</c:v>
                </c:pt>
                <c:pt idx="494">
                  <c:v>69</c:v>
                </c:pt>
                <c:pt idx="495">
                  <c:v>138</c:v>
                </c:pt>
                <c:pt idx="496">
                  <c:v>108</c:v>
                </c:pt>
                <c:pt idx="497">
                  <c:v>146</c:v>
                </c:pt>
                <c:pt idx="498">
                  <c:v>77</c:v>
                </c:pt>
                <c:pt idx="499">
                  <c:v>85</c:v>
                </c:pt>
                <c:pt idx="500">
                  <c:v>80</c:v>
                </c:pt>
                <c:pt idx="501">
                  <c:v>55</c:v>
                </c:pt>
                <c:pt idx="502">
                  <c:v>120</c:v>
                </c:pt>
                <c:pt idx="503">
                  <c:v>109</c:v>
                </c:pt>
                <c:pt idx="504">
                  <c:v>113</c:v>
                </c:pt>
                <c:pt idx="505">
                  <c:v>103</c:v>
                </c:pt>
                <c:pt idx="506">
                  <c:v>86</c:v>
                </c:pt>
                <c:pt idx="507">
                  <c:v>55</c:v>
                </c:pt>
                <c:pt idx="508">
                  <c:v>54</c:v>
                </c:pt>
                <c:pt idx="509">
                  <c:v>109</c:v>
                </c:pt>
                <c:pt idx="510">
                  <c:v>85</c:v>
                </c:pt>
                <c:pt idx="511">
                  <c:v>76</c:v>
                </c:pt>
                <c:pt idx="512">
                  <c:v>56</c:v>
                </c:pt>
                <c:pt idx="513">
                  <c:v>64</c:v>
                </c:pt>
                <c:pt idx="514">
                  <c:v>28</c:v>
                </c:pt>
                <c:pt idx="515">
                  <c:v>49</c:v>
                </c:pt>
                <c:pt idx="516">
                  <c:v>95</c:v>
                </c:pt>
                <c:pt idx="517">
                  <c:v>77</c:v>
                </c:pt>
                <c:pt idx="518">
                  <c:v>67</c:v>
                </c:pt>
                <c:pt idx="519">
                  <c:v>68</c:v>
                </c:pt>
                <c:pt idx="520">
                  <c:v>63</c:v>
                </c:pt>
                <c:pt idx="521">
                  <c:v>41</c:v>
                </c:pt>
                <c:pt idx="522">
                  <c:v>41</c:v>
                </c:pt>
                <c:pt idx="523">
                  <c:v>85</c:v>
                </c:pt>
                <c:pt idx="524">
                  <c:v>53</c:v>
                </c:pt>
                <c:pt idx="525">
                  <c:v>37</c:v>
                </c:pt>
                <c:pt idx="526">
                  <c:v>32</c:v>
                </c:pt>
                <c:pt idx="527">
                  <c:v>33</c:v>
                </c:pt>
                <c:pt idx="528">
                  <c:v>34</c:v>
                </c:pt>
                <c:pt idx="529">
                  <c:v>32</c:v>
                </c:pt>
                <c:pt idx="530">
                  <c:v>33</c:v>
                </c:pt>
                <c:pt idx="531">
                  <c:v>41</c:v>
                </c:pt>
              </c:numCache>
            </c:numRef>
          </c:val>
          <c:smooth val="0"/>
          <c:extLst>
            <c:ext xmlns:c16="http://schemas.microsoft.com/office/drawing/2014/chart" uri="{C3380CC4-5D6E-409C-BE32-E72D297353CC}">
              <c16:uniqueId val="{00000000-42CE-45DE-803D-8FE580C00FA2}"/>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Vertailu!$G$1</c:f>
          <c:strCache>
            <c:ptCount val="1"/>
            <c:pt idx="0">
              <c:v>HUS osuus COVID-19 tapauksista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Vertailu!$B$2:$B$440</c:f>
              <c:strCache>
                <c:ptCount val="43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strCache>
            </c:strRef>
          </c:cat>
          <c:val>
            <c:numRef>
              <c:f>Vertailu!$E$2:$E$440</c:f>
              <c:numCache>
                <c:formatCode>0%</c:formatCode>
                <c:ptCount val="4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1</c:v>
                </c:pt>
                <c:pt idx="59">
                  <c:v>1</c:v>
                </c:pt>
                <c:pt idx="60">
                  <c:v>1</c:v>
                </c:pt>
                <c:pt idx="61">
                  <c:v>0</c:v>
                </c:pt>
                <c:pt idx="62">
                  <c:v>0.75</c:v>
                </c:pt>
                <c:pt idx="63">
                  <c:v>0.33333333333333331</c:v>
                </c:pt>
                <c:pt idx="64">
                  <c:v>1</c:v>
                </c:pt>
                <c:pt idx="65">
                  <c:v>0.5714285714285714</c:v>
                </c:pt>
                <c:pt idx="66">
                  <c:v>0.5714285714285714</c:v>
                </c:pt>
                <c:pt idx="67">
                  <c:v>0.22222222222222221</c:v>
                </c:pt>
                <c:pt idx="68">
                  <c:v>0.58823529411764708</c:v>
                </c:pt>
                <c:pt idx="69">
                  <c:v>0.46296296296296297</c:v>
                </c:pt>
                <c:pt idx="70">
                  <c:v>0.57894736842105265</c:v>
                </c:pt>
                <c:pt idx="71">
                  <c:v>0.58333333333333337</c:v>
                </c:pt>
                <c:pt idx="72">
                  <c:v>0.6785714285714286</c:v>
                </c:pt>
                <c:pt idx="73">
                  <c:v>0.51724137931034486</c:v>
                </c:pt>
                <c:pt idx="74">
                  <c:v>0.90566037735849059</c:v>
                </c:pt>
                <c:pt idx="75">
                  <c:v>0.78846153846153844</c:v>
                </c:pt>
                <c:pt idx="76">
                  <c:v>0.65957446808510634</c:v>
                </c:pt>
                <c:pt idx="77">
                  <c:v>0.72222222222222221</c:v>
                </c:pt>
                <c:pt idx="78">
                  <c:v>0.74747474747474751</c:v>
                </c:pt>
                <c:pt idx="79">
                  <c:v>0.60919540229885061</c:v>
                </c:pt>
                <c:pt idx="80">
                  <c:v>0.77011494252873558</c:v>
                </c:pt>
                <c:pt idx="81">
                  <c:v>0.76923076923076927</c:v>
                </c:pt>
                <c:pt idx="82">
                  <c:v>0.48809523809523808</c:v>
                </c:pt>
                <c:pt idx="83">
                  <c:v>0.53535353535353536</c:v>
                </c:pt>
                <c:pt idx="84">
                  <c:v>0.50961538461538458</c:v>
                </c:pt>
                <c:pt idx="85">
                  <c:v>0.51327433628318586</c:v>
                </c:pt>
                <c:pt idx="86">
                  <c:v>0.51578947368421058</c:v>
                </c:pt>
                <c:pt idx="87">
                  <c:v>0.68831168831168832</c:v>
                </c:pt>
                <c:pt idx="88">
                  <c:v>0.67142857142857137</c:v>
                </c:pt>
                <c:pt idx="89">
                  <c:v>0.47286821705426357</c:v>
                </c:pt>
                <c:pt idx="90">
                  <c:v>0.57599999999999996</c:v>
                </c:pt>
                <c:pt idx="91">
                  <c:v>0.66442953020134232</c:v>
                </c:pt>
                <c:pt idx="92">
                  <c:v>0.64596273291925466</c:v>
                </c:pt>
                <c:pt idx="93">
                  <c:v>0.66834170854271358</c:v>
                </c:pt>
                <c:pt idx="94">
                  <c:v>0.70370370370370372</c:v>
                </c:pt>
                <c:pt idx="95">
                  <c:v>0.71311475409836067</c:v>
                </c:pt>
                <c:pt idx="96">
                  <c:v>0.69856459330143539</c:v>
                </c:pt>
                <c:pt idx="97">
                  <c:v>0.64500000000000002</c:v>
                </c:pt>
                <c:pt idx="98">
                  <c:v>0.69565217391304346</c:v>
                </c:pt>
                <c:pt idx="99">
                  <c:v>0.65822784810126578</c:v>
                </c:pt>
                <c:pt idx="100">
                  <c:v>0.81690140845070425</c:v>
                </c:pt>
                <c:pt idx="101">
                  <c:v>0.57333333333333336</c:v>
                </c:pt>
                <c:pt idx="102">
                  <c:v>0.72499999999999998</c:v>
                </c:pt>
                <c:pt idx="103">
                  <c:v>0.79487179487179482</c:v>
                </c:pt>
                <c:pt idx="104">
                  <c:v>0.72</c:v>
                </c:pt>
                <c:pt idx="105">
                  <c:v>0.79230769230769227</c:v>
                </c:pt>
                <c:pt idx="106">
                  <c:v>0.75</c:v>
                </c:pt>
                <c:pt idx="107">
                  <c:v>0.77600000000000002</c:v>
                </c:pt>
                <c:pt idx="108">
                  <c:v>0.9107142857142857</c:v>
                </c:pt>
                <c:pt idx="109">
                  <c:v>0.79104477611940294</c:v>
                </c:pt>
                <c:pt idx="110">
                  <c:v>0.80419580419580416</c:v>
                </c:pt>
                <c:pt idx="111">
                  <c:v>0.8303571428571429</c:v>
                </c:pt>
                <c:pt idx="112">
                  <c:v>0.83870967741935487</c:v>
                </c:pt>
                <c:pt idx="113">
                  <c:v>0.86206896551724133</c:v>
                </c:pt>
                <c:pt idx="114">
                  <c:v>0.77173913043478259</c:v>
                </c:pt>
                <c:pt idx="115">
                  <c:v>0.93421052631578949</c:v>
                </c:pt>
                <c:pt idx="116">
                  <c:v>0.78082191780821919</c:v>
                </c:pt>
                <c:pt idx="117">
                  <c:v>0.7967479674796748</c:v>
                </c:pt>
                <c:pt idx="118">
                  <c:v>0.87050359712230219</c:v>
                </c:pt>
                <c:pt idx="119">
                  <c:v>0.89814814814814814</c:v>
                </c:pt>
                <c:pt idx="120">
                  <c:v>0.79069767441860461</c:v>
                </c:pt>
                <c:pt idx="121">
                  <c:v>0.8125</c:v>
                </c:pt>
                <c:pt idx="122">
                  <c:v>0.86206896551724133</c:v>
                </c:pt>
                <c:pt idx="123">
                  <c:v>0.91803278688524592</c:v>
                </c:pt>
                <c:pt idx="124">
                  <c:v>0.79699248120300747</c:v>
                </c:pt>
                <c:pt idx="125">
                  <c:v>0.82399999999999995</c:v>
                </c:pt>
                <c:pt idx="126">
                  <c:v>0.81052631578947365</c:v>
                </c:pt>
                <c:pt idx="127">
                  <c:v>0.78703703703703709</c:v>
                </c:pt>
                <c:pt idx="128">
                  <c:v>0.83950617283950613</c:v>
                </c:pt>
                <c:pt idx="129">
                  <c:v>0.91489361702127658</c:v>
                </c:pt>
                <c:pt idx="130">
                  <c:v>0.6785714285714286</c:v>
                </c:pt>
                <c:pt idx="131">
                  <c:v>0.78260869565217395</c:v>
                </c:pt>
                <c:pt idx="132">
                  <c:v>0.89552238805970152</c:v>
                </c:pt>
                <c:pt idx="133">
                  <c:v>0.82051282051282048</c:v>
                </c:pt>
                <c:pt idx="134">
                  <c:v>0.88</c:v>
                </c:pt>
                <c:pt idx="135">
                  <c:v>0.8545454545454545</c:v>
                </c:pt>
                <c:pt idx="136">
                  <c:v>1</c:v>
                </c:pt>
                <c:pt idx="137">
                  <c:v>0.89655172413793105</c:v>
                </c:pt>
                <c:pt idx="138">
                  <c:v>0.84444444444444444</c:v>
                </c:pt>
                <c:pt idx="139">
                  <c:v>0.87804878048780488</c:v>
                </c:pt>
                <c:pt idx="140">
                  <c:v>0.86046511627906974</c:v>
                </c:pt>
                <c:pt idx="141">
                  <c:v>0.72727272727272729</c:v>
                </c:pt>
                <c:pt idx="142">
                  <c:v>0.875</c:v>
                </c:pt>
                <c:pt idx="143">
                  <c:v>0.66666666666666663</c:v>
                </c:pt>
                <c:pt idx="144">
                  <c:v>0.8</c:v>
                </c:pt>
                <c:pt idx="145">
                  <c:v>0.75555555555555554</c:v>
                </c:pt>
                <c:pt idx="146">
                  <c:v>0.87878787878787878</c:v>
                </c:pt>
                <c:pt idx="147">
                  <c:v>0.75</c:v>
                </c:pt>
                <c:pt idx="148">
                  <c:v>0.76666666666666672</c:v>
                </c:pt>
                <c:pt idx="149">
                  <c:v>0.8571428571428571</c:v>
                </c:pt>
                <c:pt idx="150">
                  <c:v>1</c:v>
                </c:pt>
                <c:pt idx="151">
                  <c:v>0.66666666666666663</c:v>
                </c:pt>
                <c:pt idx="152">
                  <c:v>0.70588235294117652</c:v>
                </c:pt>
                <c:pt idx="153">
                  <c:v>0.8</c:v>
                </c:pt>
                <c:pt idx="154">
                  <c:v>0.88</c:v>
                </c:pt>
                <c:pt idx="155">
                  <c:v>0.91666666666666663</c:v>
                </c:pt>
                <c:pt idx="156">
                  <c:v>0.92307692307692313</c:v>
                </c:pt>
                <c:pt idx="157">
                  <c:v>0.76923076923076927</c:v>
                </c:pt>
                <c:pt idx="158">
                  <c:v>0.75</c:v>
                </c:pt>
                <c:pt idx="159">
                  <c:v>0.8</c:v>
                </c:pt>
                <c:pt idx="160">
                  <c:v>0.625</c:v>
                </c:pt>
                <c:pt idx="161">
                  <c:v>0.42857142857142855</c:v>
                </c:pt>
                <c:pt idx="162">
                  <c:v>0.77777777777777779</c:v>
                </c:pt>
                <c:pt idx="163">
                  <c:v>0.76923076923076927</c:v>
                </c:pt>
                <c:pt idx="164">
                  <c:v>1</c:v>
                </c:pt>
                <c:pt idx="165">
                  <c:v>1</c:v>
                </c:pt>
                <c:pt idx="166">
                  <c:v>0.8125</c:v>
                </c:pt>
                <c:pt idx="167">
                  <c:v>0.625</c:v>
                </c:pt>
                <c:pt idx="168">
                  <c:v>0.75</c:v>
                </c:pt>
                <c:pt idx="169">
                  <c:v>0.75</c:v>
                </c:pt>
                <c:pt idx="170">
                  <c:v>0</c:v>
                </c:pt>
                <c:pt idx="171">
                  <c:v>1</c:v>
                </c:pt>
                <c:pt idx="172">
                  <c:v>0.76923076923076927</c:v>
                </c:pt>
                <c:pt idx="173">
                  <c:v>0.8</c:v>
                </c:pt>
                <c:pt idx="174">
                  <c:v>0.6</c:v>
                </c:pt>
                <c:pt idx="175">
                  <c:v>0.6470588235294118</c:v>
                </c:pt>
                <c:pt idx="176">
                  <c:v>0.42857142857142855</c:v>
                </c:pt>
                <c:pt idx="177">
                  <c:v>1</c:v>
                </c:pt>
                <c:pt idx="178">
                  <c:v>1</c:v>
                </c:pt>
                <c:pt idx="179">
                  <c:v>1</c:v>
                </c:pt>
                <c:pt idx="180">
                  <c:v>0.75</c:v>
                </c:pt>
                <c:pt idx="181">
                  <c:v>0.7</c:v>
                </c:pt>
                <c:pt idx="182">
                  <c:v>1</c:v>
                </c:pt>
                <c:pt idx="183">
                  <c:v>1</c:v>
                </c:pt>
                <c:pt idx="184">
                  <c:v>0.33333333333333331</c:v>
                </c:pt>
                <c:pt idx="185">
                  <c:v>1</c:v>
                </c:pt>
                <c:pt idx="186">
                  <c:v>0.66666666666666663</c:v>
                </c:pt>
                <c:pt idx="187">
                  <c:v>0.25</c:v>
                </c:pt>
                <c:pt idx="188">
                  <c:v>0</c:v>
                </c:pt>
                <c:pt idx="189">
                  <c:v>0</c:v>
                </c:pt>
                <c:pt idx="190">
                  <c:v>0.375</c:v>
                </c:pt>
                <c:pt idx="191">
                  <c:v>0.16666666666666666</c:v>
                </c:pt>
                <c:pt idx="192">
                  <c:v>0</c:v>
                </c:pt>
                <c:pt idx="193">
                  <c:v>0.75</c:v>
                </c:pt>
                <c:pt idx="194">
                  <c:v>0.5</c:v>
                </c:pt>
                <c:pt idx="195">
                  <c:v>0.6</c:v>
                </c:pt>
                <c:pt idx="196">
                  <c:v>0.8</c:v>
                </c:pt>
                <c:pt idx="197">
                  <c:v>0.55555555555555558</c:v>
                </c:pt>
                <c:pt idx="198">
                  <c:v>0.83333333333333337</c:v>
                </c:pt>
                <c:pt idx="199">
                  <c:v>0.2857142857142857</c:v>
                </c:pt>
                <c:pt idx="200">
                  <c:v>1</c:v>
                </c:pt>
                <c:pt idx="201">
                  <c:v>0.33333333333333331</c:v>
                </c:pt>
                <c:pt idx="202">
                  <c:v>0.875</c:v>
                </c:pt>
                <c:pt idx="203">
                  <c:v>0.54545454545454541</c:v>
                </c:pt>
                <c:pt idx="204">
                  <c:v>0.33333333333333331</c:v>
                </c:pt>
                <c:pt idx="205">
                  <c:v>0.8</c:v>
                </c:pt>
                <c:pt idx="206">
                  <c:v>1</c:v>
                </c:pt>
                <c:pt idx="207">
                  <c:v>0.5</c:v>
                </c:pt>
                <c:pt idx="208">
                  <c:v>0.75</c:v>
                </c:pt>
                <c:pt idx="209">
                  <c:v>0.55555555555555558</c:v>
                </c:pt>
                <c:pt idx="210">
                  <c:v>0.66666666666666663</c:v>
                </c:pt>
                <c:pt idx="211">
                  <c:v>0.5</c:v>
                </c:pt>
                <c:pt idx="212">
                  <c:v>0.72222222222222221</c:v>
                </c:pt>
                <c:pt idx="213">
                  <c:v>0.53333333333333333</c:v>
                </c:pt>
                <c:pt idx="214">
                  <c:v>0.7</c:v>
                </c:pt>
                <c:pt idx="215">
                  <c:v>0.74285714285714288</c:v>
                </c:pt>
                <c:pt idx="216">
                  <c:v>0.86363636363636365</c:v>
                </c:pt>
                <c:pt idx="217">
                  <c:v>0.62068965517241381</c:v>
                </c:pt>
                <c:pt idx="218">
                  <c:v>0.68181818181818177</c:v>
                </c:pt>
                <c:pt idx="219">
                  <c:v>0.6470588235294118</c:v>
                </c:pt>
                <c:pt idx="220">
                  <c:v>0.66666666666666663</c:v>
                </c:pt>
                <c:pt idx="221">
                  <c:v>0.65714285714285714</c:v>
                </c:pt>
                <c:pt idx="222">
                  <c:v>0.8</c:v>
                </c:pt>
                <c:pt idx="223">
                  <c:v>0.8214285714285714</c:v>
                </c:pt>
                <c:pt idx="224">
                  <c:v>0.59259259259259256</c:v>
                </c:pt>
                <c:pt idx="225">
                  <c:v>0.61904761904761907</c:v>
                </c:pt>
                <c:pt idx="226">
                  <c:v>0.62962962962962965</c:v>
                </c:pt>
                <c:pt idx="227">
                  <c:v>0.7857142857142857</c:v>
                </c:pt>
                <c:pt idx="228">
                  <c:v>0.72093023255813948</c:v>
                </c:pt>
                <c:pt idx="229">
                  <c:v>0.7407407407407407</c:v>
                </c:pt>
                <c:pt idx="230">
                  <c:v>0.51282051282051277</c:v>
                </c:pt>
                <c:pt idx="231">
                  <c:v>0.72340425531914898</c:v>
                </c:pt>
                <c:pt idx="232">
                  <c:v>0.62962962962962965</c:v>
                </c:pt>
                <c:pt idx="233">
                  <c:v>0.48</c:v>
                </c:pt>
                <c:pt idx="234">
                  <c:v>0.5</c:v>
                </c:pt>
                <c:pt idx="235">
                  <c:v>0.63636363636363635</c:v>
                </c:pt>
                <c:pt idx="236">
                  <c:v>0.70588235294117652</c:v>
                </c:pt>
                <c:pt idx="237">
                  <c:v>0.6</c:v>
                </c:pt>
                <c:pt idx="238">
                  <c:v>0.7</c:v>
                </c:pt>
                <c:pt idx="239">
                  <c:v>0.65625</c:v>
                </c:pt>
                <c:pt idx="240">
                  <c:v>0.37142857142857144</c:v>
                </c:pt>
                <c:pt idx="241">
                  <c:v>0.36842105263157893</c:v>
                </c:pt>
                <c:pt idx="242">
                  <c:v>0.61111111111111116</c:v>
                </c:pt>
                <c:pt idx="243">
                  <c:v>0.39583333333333331</c:v>
                </c:pt>
                <c:pt idx="244">
                  <c:v>0.58620689655172409</c:v>
                </c:pt>
                <c:pt idx="245">
                  <c:v>0.57692307692307687</c:v>
                </c:pt>
                <c:pt idx="246">
                  <c:v>0.42857142857142855</c:v>
                </c:pt>
                <c:pt idx="247">
                  <c:v>0.5714285714285714</c:v>
                </c:pt>
                <c:pt idx="248">
                  <c:v>0.59090909090909094</c:v>
                </c:pt>
                <c:pt idx="249">
                  <c:v>0.51515151515151514</c:v>
                </c:pt>
                <c:pt idx="250">
                  <c:v>0.48888888888888887</c:v>
                </c:pt>
                <c:pt idx="251">
                  <c:v>0.33333333333333331</c:v>
                </c:pt>
                <c:pt idx="252">
                  <c:v>0.4</c:v>
                </c:pt>
                <c:pt idx="253">
                  <c:v>0.31481481481481483</c:v>
                </c:pt>
                <c:pt idx="254">
                  <c:v>0.43103448275862066</c:v>
                </c:pt>
                <c:pt idx="255">
                  <c:v>0.35</c:v>
                </c:pt>
                <c:pt idx="256">
                  <c:v>0.32608695652173914</c:v>
                </c:pt>
                <c:pt idx="257">
                  <c:v>0.25423728813559321</c:v>
                </c:pt>
                <c:pt idx="258">
                  <c:v>0.47169811320754718</c:v>
                </c:pt>
                <c:pt idx="259">
                  <c:v>0.43859649122807015</c:v>
                </c:pt>
                <c:pt idx="260">
                  <c:v>0.49411764705882355</c:v>
                </c:pt>
                <c:pt idx="261">
                  <c:v>0.54545454545454541</c:v>
                </c:pt>
                <c:pt idx="262">
                  <c:v>0.640625</c:v>
                </c:pt>
                <c:pt idx="263">
                  <c:v>0.55405405405405406</c:v>
                </c:pt>
                <c:pt idx="264">
                  <c:v>0.55000000000000004</c:v>
                </c:pt>
                <c:pt idx="265">
                  <c:v>0.47272727272727272</c:v>
                </c:pt>
                <c:pt idx="266">
                  <c:v>0.58119658119658124</c:v>
                </c:pt>
                <c:pt idx="267">
                  <c:v>0.68367346938775508</c:v>
                </c:pt>
                <c:pt idx="268">
                  <c:v>0.6640625</c:v>
                </c:pt>
                <c:pt idx="269">
                  <c:v>0.63513513513513509</c:v>
                </c:pt>
                <c:pt idx="270">
                  <c:v>0.75714285714285712</c:v>
                </c:pt>
                <c:pt idx="271">
                  <c:v>0.68548387096774188</c:v>
                </c:pt>
                <c:pt idx="272">
                  <c:v>0.60447761194029848</c:v>
                </c:pt>
                <c:pt idx="273">
                  <c:v>0.55688622754491013</c:v>
                </c:pt>
                <c:pt idx="274">
                  <c:v>0.41361256544502617</c:v>
                </c:pt>
                <c:pt idx="275">
                  <c:v>0.42245989304812837</c:v>
                </c:pt>
                <c:pt idx="276">
                  <c:v>0.4044943820224719</c:v>
                </c:pt>
                <c:pt idx="277">
                  <c:v>0.52702702702702697</c:v>
                </c:pt>
                <c:pt idx="278">
                  <c:v>0.40893470790378006</c:v>
                </c:pt>
                <c:pt idx="279">
                  <c:v>0.42715231788079472</c:v>
                </c:pt>
                <c:pt idx="280">
                  <c:v>0.39215686274509803</c:v>
                </c:pt>
                <c:pt idx="281">
                  <c:v>0.52509652509652505</c:v>
                </c:pt>
                <c:pt idx="282">
                  <c:v>0.55752212389380529</c:v>
                </c:pt>
                <c:pt idx="283">
                  <c:v>0.48181818181818181</c:v>
                </c:pt>
                <c:pt idx="284">
                  <c:v>0.56488549618320616</c:v>
                </c:pt>
                <c:pt idx="285">
                  <c:v>0.52734375</c:v>
                </c:pt>
                <c:pt idx="286">
                  <c:v>0.59296482412060303</c:v>
                </c:pt>
                <c:pt idx="287">
                  <c:v>0.43069306930693069</c:v>
                </c:pt>
                <c:pt idx="288">
                  <c:v>0.61052631578947369</c:v>
                </c:pt>
                <c:pt idx="289">
                  <c:v>0.61025641025641031</c:v>
                </c:pt>
                <c:pt idx="290">
                  <c:v>0.49038461538461536</c:v>
                </c:pt>
                <c:pt idx="291">
                  <c:v>0.65891472868217049</c:v>
                </c:pt>
                <c:pt idx="292">
                  <c:v>0.52263374485596703</c:v>
                </c:pt>
                <c:pt idx="293">
                  <c:v>0.53892215568862278</c:v>
                </c:pt>
                <c:pt idx="294">
                  <c:v>0.55851063829787229</c:v>
                </c:pt>
                <c:pt idx="295">
                  <c:v>0.50454545454545452</c:v>
                </c:pt>
                <c:pt idx="296">
                  <c:v>0.53367875647668395</c:v>
                </c:pt>
                <c:pt idx="297">
                  <c:v>0.61682242990654201</c:v>
                </c:pt>
                <c:pt idx="298">
                  <c:v>0.57258064516129037</c:v>
                </c:pt>
                <c:pt idx="299">
                  <c:v>0.52156862745098043</c:v>
                </c:pt>
                <c:pt idx="300">
                  <c:v>0.52155172413793105</c:v>
                </c:pt>
                <c:pt idx="301">
                  <c:v>0.50416666666666665</c:v>
                </c:pt>
                <c:pt idx="302">
                  <c:v>0.43037974683544306</c:v>
                </c:pt>
                <c:pt idx="303">
                  <c:v>0.55909090909090908</c:v>
                </c:pt>
                <c:pt idx="304">
                  <c:v>0.5950413223140496</c:v>
                </c:pt>
                <c:pt idx="305">
                  <c:v>0.61589403973509937</c:v>
                </c:pt>
                <c:pt idx="306">
                  <c:v>0.54006968641114983</c:v>
                </c:pt>
                <c:pt idx="307">
                  <c:v>0.61825726141078841</c:v>
                </c:pt>
                <c:pt idx="308">
                  <c:v>0.59154929577464788</c:v>
                </c:pt>
                <c:pt idx="309">
                  <c:v>0.63013698630136983</c:v>
                </c:pt>
                <c:pt idx="310">
                  <c:v>0.59183673469387754</c:v>
                </c:pt>
                <c:pt idx="311">
                  <c:v>0.734375</c:v>
                </c:pt>
                <c:pt idx="312">
                  <c:v>0.60606060606060608</c:v>
                </c:pt>
                <c:pt idx="313">
                  <c:v>0.59340659340659341</c:v>
                </c:pt>
                <c:pt idx="314">
                  <c:v>0.61650485436893199</c:v>
                </c:pt>
                <c:pt idx="315">
                  <c:v>0.5</c:v>
                </c:pt>
                <c:pt idx="316">
                  <c:v>0.68794326241134751</c:v>
                </c:pt>
                <c:pt idx="317">
                  <c:v>0.62313432835820892</c:v>
                </c:pt>
                <c:pt idx="318">
                  <c:v>0.62758620689655176</c:v>
                </c:pt>
                <c:pt idx="319">
                  <c:v>0.60773480662983426</c:v>
                </c:pt>
                <c:pt idx="320">
                  <c:v>0.61479591836734693</c:v>
                </c:pt>
                <c:pt idx="321">
                  <c:v>0.66323907455012854</c:v>
                </c:pt>
                <c:pt idx="322">
                  <c:v>0.64095744680851063</c:v>
                </c:pt>
                <c:pt idx="323">
                  <c:v>0.66945606694560666</c:v>
                </c:pt>
                <c:pt idx="324">
                  <c:v>0.61682242990654201</c:v>
                </c:pt>
                <c:pt idx="325">
                  <c:v>0.66666666666666663</c:v>
                </c:pt>
                <c:pt idx="326">
                  <c:v>0.60299625468164797</c:v>
                </c:pt>
                <c:pt idx="327">
                  <c:v>0.5178571428571429</c:v>
                </c:pt>
                <c:pt idx="328">
                  <c:v>0.60084925690021229</c:v>
                </c:pt>
                <c:pt idx="329">
                  <c:v>0.48303715670436187</c:v>
                </c:pt>
                <c:pt idx="330">
                  <c:v>0.51277013752455791</c:v>
                </c:pt>
                <c:pt idx="331">
                  <c:v>0.5307017543859649</c:v>
                </c:pt>
                <c:pt idx="332">
                  <c:v>0.53169014084507038</c:v>
                </c:pt>
                <c:pt idx="333">
                  <c:v>0.53924914675767921</c:v>
                </c:pt>
                <c:pt idx="334">
                  <c:v>0.52605042016806725</c:v>
                </c:pt>
                <c:pt idx="335">
                  <c:v>0.50227272727272732</c:v>
                </c:pt>
                <c:pt idx="336">
                  <c:v>0.50505050505050508</c:v>
                </c:pt>
                <c:pt idx="337">
                  <c:v>0.58786610878661083</c:v>
                </c:pt>
                <c:pt idx="338">
                  <c:v>0.47357293868921774</c:v>
                </c:pt>
                <c:pt idx="339">
                  <c:v>0.61199999999999999</c:v>
                </c:pt>
                <c:pt idx="340">
                  <c:v>0.55281690140845074</c:v>
                </c:pt>
                <c:pt idx="341">
                  <c:v>0.48381601362862009</c:v>
                </c:pt>
                <c:pt idx="342">
                  <c:v>0.52928870292887031</c:v>
                </c:pt>
                <c:pt idx="343">
                  <c:v>0.58008658008658009</c:v>
                </c:pt>
                <c:pt idx="344">
                  <c:v>0.54545454545454541</c:v>
                </c:pt>
                <c:pt idx="345">
                  <c:v>0.5280898876404494</c:v>
                </c:pt>
                <c:pt idx="346">
                  <c:v>0.59036144578313254</c:v>
                </c:pt>
                <c:pt idx="347">
                  <c:v>0.6123188405797102</c:v>
                </c:pt>
                <c:pt idx="348">
                  <c:v>0.5032397408207343</c:v>
                </c:pt>
                <c:pt idx="349">
                  <c:v>0.54317548746518107</c:v>
                </c:pt>
                <c:pt idx="350">
                  <c:v>0.5439093484419264</c:v>
                </c:pt>
                <c:pt idx="351">
                  <c:v>0.46749226006191952</c:v>
                </c:pt>
                <c:pt idx="352">
                  <c:v>0.45939086294416243</c:v>
                </c:pt>
                <c:pt idx="353">
                  <c:v>0.65445026178010468</c:v>
                </c:pt>
                <c:pt idx="354">
                  <c:v>0.60245901639344257</c:v>
                </c:pt>
                <c:pt idx="355">
                  <c:v>0.53866666666666663</c:v>
                </c:pt>
                <c:pt idx="356">
                  <c:v>0.59337349397590367</c:v>
                </c:pt>
                <c:pt idx="357">
                  <c:v>0.52707581227436828</c:v>
                </c:pt>
                <c:pt idx="358">
                  <c:v>0.68840579710144922</c:v>
                </c:pt>
                <c:pt idx="359">
                  <c:v>0.61146496815286622</c:v>
                </c:pt>
                <c:pt idx="360">
                  <c:v>0.50819672131147542</c:v>
                </c:pt>
                <c:pt idx="361">
                  <c:v>0.58115183246073299</c:v>
                </c:pt>
                <c:pt idx="362">
                  <c:v>0.51264367816091949</c:v>
                </c:pt>
                <c:pt idx="363">
                  <c:v>0.53420195439739415</c:v>
                </c:pt>
                <c:pt idx="364">
                  <c:v>0.43137254901960786</c:v>
                </c:pt>
                <c:pt idx="365">
                  <c:v>0.53543307086614178</c:v>
                </c:pt>
                <c:pt idx="366">
                  <c:v>0.51937984496124034</c:v>
                </c:pt>
                <c:pt idx="367">
                  <c:v>0.56796116504854366</c:v>
                </c:pt>
                <c:pt idx="368">
                  <c:v>0.55029585798816572</c:v>
                </c:pt>
                <c:pt idx="369">
                  <c:v>0.49497487437185927</c:v>
                </c:pt>
                <c:pt idx="370">
                  <c:v>0.58935361216730042</c:v>
                </c:pt>
                <c:pt idx="371">
                  <c:v>0.45454545454545453</c:v>
                </c:pt>
                <c:pt idx="372">
                  <c:v>0.48795180722891568</c:v>
                </c:pt>
                <c:pt idx="373">
                  <c:v>0.57936507936507942</c:v>
                </c:pt>
                <c:pt idx="374">
                  <c:v>0.52061855670103097</c:v>
                </c:pt>
                <c:pt idx="375">
                  <c:v>0.63440860215053763</c:v>
                </c:pt>
                <c:pt idx="376">
                  <c:v>0.4844559585492228</c:v>
                </c:pt>
                <c:pt idx="377">
                  <c:v>0.55458515283842791</c:v>
                </c:pt>
                <c:pt idx="378">
                  <c:v>0.4653846153846154</c:v>
                </c:pt>
                <c:pt idx="379">
                  <c:v>0.49397590361445781</c:v>
                </c:pt>
                <c:pt idx="380">
                  <c:v>0.40601503759398494</c:v>
                </c:pt>
                <c:pt idx="381">
                  <c:v>0.56725146198830412</c:v>
                </c:pt>
                <c:pt idx="382">
                  <c:v>0.49238578680203043</c:v>
                </c:pt>
                <c:pt idx="383">
                  <c:v>0.5736607142857143</c:v>
                </c:pt>
                <c:pt idx="384">
                  <c:v>0.55263157894736847</c:v>
                </c:pt>
                <c:pt idx="385">
                  <c:v>0.51477832512315269</c:v>
                </c:pt>
                <c:pt idx="386">
                  <c:v>0.47214854111405835</c:v>
                </c:pt>
                <c:pt idx="387">
                  <c:v>0.54293628808864269</c:v>
                </c:pt>
                <c:pt idx="388">
                  <c:v>0.5535714285714286</c:v>
                </c:pt>
                <c:pt idx="389">
                  <c:v>0.61943319838056676</c:v>
                </c:pt>
                <c:pt idx="390">
                  <c:v>0.42479338842975206</c:v>
                </c:pt>
                <c:pt idx="391">
                  <c:v>0.53400503778337527</c:v>
                </c:pt>
                <c:pt idx="392">
                  <c:v>0.49214659685863876</c:v>
                </c:pt>
                <c:pt idx="393">
                  <c:v>0.52643678160919538</c:v>
                </c:pt>
                <c:pt idx="394">
                  <c:v>0.50529100529100535</c:v>
                </c:pt>
                <c:pt idx="395">
                  <c:v>0.56896551724137934</c:v>
                </c:pt>
                <c:pt idx="396">
                  <c:v>0.61172161172161177</c:v>
                </c:pt>
                <c:pt idx="397">
                  <c:v>0.55430711610486894</c:v>
                </c:pt>
                <c:pt idx="398">
                  <c:v>0.63131313131313127</c:v>
                </c:pt>
                <c:pt idx="399">
                  <c:v>0.59637188208616776</c:v>
                </c:pt>
                <c:pt idx="400">
                  <c:v>0.60321715817694366</c:v>
                </c:pt>
                <c:pt idx="401">
                  <c:v>0.58855585831062673</c:v>
                </c:pt>
                <c:pt idx="402">
                  <c:v>0.6386554621848739</c:v>
                </c:pt>
                <c:pt idx="403">
                  <c:v>0.65530303030303028</c:v>
                </c:pt>
                <c:pt idx="404">
                  <c:v>0.63991323210412143</c:v>
                </c:pt>
                <c:pt idx="405">
                  <c:v>0.64516129032258063</c:v>
                </c:pt>
                <c:pt idx="406">
                  <c:v>0.60052219321148825</c:v>
                </c:pt>
                <c:pt idx="407">
                  <c:v>0.65650969529085867</c:v>
                </c:pt>
                <c:pt idx="408">
                  <c:v>0.62291169451073991</c:v>
                </c:pt>
                <c:pt idx="409">
                  <c:v>0.68458781362007171</c:v>
                </c:pt>
                <c:pt idx="410">
                  <c:v>0.64184397163120566</c:v>
                </c:pt>
                <c:pt idx="411">
                  <c:v>0.58441558441558439</c:v>
                </c:pt>
                <c:pt idx="412">
                  <c:v>0.63813229571984431</c:v>
                </c:pt>
                <c:pt idx="413">
                  <c:v>0.59493670886075944</c:v>
                </c:pt>
                <c:pt idx="414">
                  <c:v>0.53191489361702127</c:v>
                </c:pt>
                <c:pt idx="415">
                  <c:v>0.53403141361256545</c:v>
                </c:pt>
                <c:pt idx="416">
                  <c:v>0.58176100628930816</c:v>
                </c:pt>
                <c:pt idx="417">
                  <c:v>0.6179775280898876</c:v>
                </c:pt>
                <c:pt idx="418">
                  <c:v>0.622792937399679</c:v>
                </c:pt>
                <c:pt idx="419">
                  <c:v>0.61182108626198084</c:v>
                </c:pt>
                <c:pt idx="420">
                  <c:v>0.69732441471571904</c:v>
                </c:pt>
                <c:pt idx="421">
                  <c:v>0.57392686804451509</c:v>
                </c:pt>
                <c:pt idx="422">
                  <c:v>0.62536443148688048</c:v>
                </c:pt>
                <c:pt idx="423">
                  <c:v>0.66334164588528677</c:v>
                </c:pt>
                <c:pt idx="424">
                  <c:v>0.63033175355450233</c:v>
                </c:pt>
                <c:pt idx="425">
                  <c:v>0.55200000000000005</c:v>
                </c:pt>
                <c:pt idx="426">
                  <c:v>0.64907651715039583</c:v>
                </c:pt>
                <c:pt idx="427">
                  <c:v>0.64890710382513661</c:v>
                </c:pt>
                <c:pt idx="428">
                  <c:v>0.60781249999999998</c:v>
                </c:pt>
                <c:pt idx="429">
                  <c:v>0.66666666666666663</c:v>
                </c:pt>
                <c:pt idx="430">
                  <c:v>0.63972286374133946</c:v>
                </c:pt>
                <c:pt idx="431">
                  <c:v>0.64810126582278482</c:v>
                </c:pt>
                <c:pt idx="432">
                  <c:v>0.60071942446043169</c:v>
                </c:pt>
                <c:pt idx="433">
                  <c:v>0.6545924967658473</c:v>
                </c:pt>
                <c:pt idx="434">
                  <c:v>0.61435523114355228</c:v>
                </c:pt>
                <c:pt idx="435">
                  <c:v>0.61232349165596922</c:v>
                </c:pt>
                <c:pt idx="436">
                  <c:v>0.63985148514851486</c:v>
                </c:pt>
                <c:pt idx="437">
                  <c:v>0.66598778004073322</c:v>
                </c:pt>
                <c:pt idx="438">
                  <c:v>0.60368663594470051</c:v>
                </c:pt>
              </c:numCache>
            </c:numRef>
          </c:val>
          <c:smooth val="0"/>
          <c:extLst>
            <c:ext xmlns:c16="http://schemas.microsoft.com/office/drawing/2014/chart" uri="{C3380CC4-5D6E-409C-BE32-E72D297353CC}">
              <c16:uniqueId val="{00000000-7C91-42D6-AE3D-1CC1C9FF748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Vertailu!$G$23</c:f>
          <c:strCache>
            <c:ptCount val="1"/>
            <c:pt idx="0">
              <c:v>HUS ja kaikki COVID-19 tapaukset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1"/>
          <c:order val="0"/>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Vertailu!$D$2:$D$418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133</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7</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85</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103</c:v>
                </c:pt>
                <c:pt idx="297">
                  <c:v>66</c:v>
                </c:pt>
                <c:pt idx="298">
                  <c:v>71</c:v>
                </c:pt>
                <c:pt idx="299">
                  <c:v>133</c:v>
                </c:pt>
                <c:pt idx="300">
                  <c:v>121</c:v>
                </c:pt>
                <c:pt idx="301">
                  <c:v>121</c:v>
                </c:pt>
                <c:pt idx="302">
                  <c:v>102</c:v>
                </c:pt>
                <c:pt idx="303">
                  <c:v>123</c:v>
                </c:pt>
                <c:pt idx="304">
                  <c:v>72</c:v>
                </c:pt>
                <c:pt idx="305">
                  <c:v>93</c:v>
                </c:pt>
                <c:pt idx="306">
                  <c:v>155</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180</c:v>
                </c:pt>
                <c:pt idx="326">
                  <c:v>161</c:v>
                </c:pt>
                <c:pt idx="327">
                  <c:v>261</c:v>
                </c:pt>
                <c:pt idx="328">
                  <c:v>283</c:v>
                </c:pt>
                <c:pt idx="329">
                  <c:v>299</c:v>
                </c:pt>
                <c:pt idx="330">
                  <c:v>261</c:v>
                </c:pt>
                <c:pt idx="331">
                  <c:v>242</c:v>
                </c:pt>
                <c:pt idx="332">
                  <c:v>151</c:v>
                </c:pt>
                <c:pt idx="333">
                  <c:v>158</c:v>
                </c:pt>
                <c:pt idx="334">
                  <c:v>313</c:v>
                </c:pt>
                <c:pt idx="335">
                  <c:v>221</c:v>
                </c:pt>
                <c:pt idx="336">
                  <c:v>250</c:v>
                </c:pt>
                <c:pt idx="337">
                  <c:v>281</c:v>
                </c:pt>
                <c:pt idx="338">
                  <c:v>224</c:v>
                </c:pt>
                <c:pt idx="339">
                  <c:v>153</c:v>
                </c:pt>
                <c:pt idx="340">
                  <c:v>157</c:v>
                </c:pt>
                <c:pt idx="341">
                  <c:v>284</c:v>
                </c:pt>
                <c:pt idx="342">
                  <c:v>253</c:v>
                </c:pt>
                <c:pt idx="343">
                  <c:v>268</c:v>
                </c:pt>
                <c:pt idx="344">
                  <c:v>222</c:v>
                </c:pt>
                <c:pt idx="345">
                  <c:v>235</c:v>
                </c:pt>
                <c:pt idx="346">
                  <c:v>147</c:v>
                </c:pt>
                <c:pt idx="347">
                  <c:v>169</c:v>
                </c:pt>
                <c:pt idx="348">
                  <c:v>233</c:v>
                </c:pt>
                <c:pt idx="349">
                  <c:v>195</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223</c:v>
                </c:pt>
                <c:pt idx="363">
                  <c:v>164</c:v>
                </c:pt>
                <c:pt idx="364">
                  <c:v>110</c:v>
                </c:pt>
                <c:pt idx="365">
                  <c:v>136</c:v>
                </c:pt>
                <c:pt idx="366">
                  <c:v>67</c:v>
                </c:pt>
                <c:pt idx="367">
                  <c:v>117</c:v>
                </c:pt>
                <c:pt idx="368">
                  <c:v>93</c:v>
                </c:pt>
                <c:pt idx="369">
                  <c:v>197</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97</c:v>
                </c:pt>
                <c:pt idx="383">
                  <c:v>257</c:v>
                </c:pt>
                <c:pt idx="384">
                  <c:v>189</c:v>
                </c:pt>
                <c:pt idx="385">
                  <c:v>209</c:v>
                </c:pt>
                <c:pt idx="386">
                  <c:v>178</c:v>
                </c:pt>
                <c:pt idx="387">
                  <c:v>196</c:v>
                </c:pt>
                <c:pt idx="388">
                  <c:v>93</c:v>
                </c:pt>
                <c:pt idx="389">
                  <c:v>153</c:v>
                </c:pt>
                <c:pt idx="390">
                  <c:v>257</c:v>
                </c:pt>
                <c:pt idx="391">
                  <c:v>212</c:v>
                </c:pt>
                <c:pt idx="392">
                  <c:v>188</c:v>
                </c:pt>
                <c:pt idx="393">
                  <c:v>229</c:v>
                </c:pt>
                <c:pt idx="394">
                  <c:v>191</c:v>
                </c:pt>
                <c:pt idx="395">
                  <c:v>132</c:v>
                </c:pt>
                <c:pt idx="396">
                  <c:v>167</c:v>
                </c:pt>
                <c:pt idx="397">
                  <c:v>296</c:v>
                </c:pt>
                <c:pt idx="398">
                  <c:v>250</c:v>
                </c:pt>
                <c:pt idx="399">
                  <c:v>263</c:v>
                </c:pt>
                <c:pt idx="400">
                  <c:v>225</c:v>
                </c:pt>
                <c:pt idx="401">
                  <c:v>216</c:v>
                </c:pt>
                <c:pt idx="402">
                  <c:v>152</c:v>
                </c:pt>
                <c:pt idx="403">
                  <c:v>173</c:v>
                </c:pt>
                <c:pt idx="404">
                  <c:v>295</c:v>
                </c:pt>
                <c:pt idx="405">
                  <c:v>240</c:v>
                </c:pt>
                <c:pt idx="406">
                  <c:v>230</c:v>
                </c:pt>
                <c:pt idx="407">
                  <c:v>237</c:v>
                </c:pt>
                <c:pt idx="408">
                  <c:v>261</c:v>
                </c:pt>
                <c:pt idx="409">
                  <c:v>191</c:v>
                </c:pt>
                <c:pt idx="410">
                  <c:v>181</c:v>
                </c:pt>
                <c:pt idx="411">
                  <c:v>360</c:v>
                </c:pt>
                <c:pt idx="412">
                  <c:v>328</c:v>
                </c:pt>
                <c:pt idx="413">
                  <c:v>329</c:v>
                </c:pt>
                <c:pt idx="414">
                  <c:v>325</c:v>
                </c:pt>
                <c:pt idx="415">
                  <c:v>306</c:v>
                </c:pt>
                <c:pt idx="416">
                  <c:v>185</c:v>
                </c:pt>
              </c:numCache>
            </c:numRef>
          </c:val>
          <c:smooth val="0"/>
          <c:extLst>
            <c:ext xmlns:c16="http://schemas.microsoft.com/office/drawing/2014/chart" uri="{C3380CC4-5D6E-409C-BE32-E72D297353CC}">
              <c16:uniqueId val="{00000003-71DE-4F4A-B84D-B72F0919C1B0}"/>
            </c:ext>
          </c:extLst>
        </c:ser>
        <c:ser>
          <c:idx val="0"/>
          <c:order val="1"/>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Vertailu!$C$2:$C$418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193</c:v>
                </c:pt>
                <c:pt idx="297">
                  <c:v>107</c:v>
                </c:pt>
                <c:pt idx="298">
                  <c:v>124</c:v>
                </c:pt>
                <c:pt idx="299">
                  <c:v>255</c:v>
                </c:pt>
                <c:pt idx="300">
                  <c:v>232</c:v>
                </c:pt>
                <c:pt idx="301">
                  <c:v>240</c:v>
                </c:pt>
                <c:pt idx="302">
                  <c:v>237</c:v>
                </c:pt>
                <c:pt idx="303">
                  <c:v>220</c:v>
                </c:pt>
                <c:pt idx="304">
                  <c:v>121</c:v>
                </c:pt>
                <c:pt idx="305">
                  <c:v>151</c:v>
                </c:pt>
                <c:pt idx="306">
                  <c:v>287</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284</c:v>
                </c:pt>
                <c:pt idx="341">
                  <c:v>587</c:v>
                </c:pt>
                <c:pt idx="342">
                  <c:v>478</c:v>
                </c:pt>
                <c:pt idx="343">
                  <c:v>462</c:v>
                </c:pt>
                <c:pt idx="344">
                  <c:v>407</c:v>
                </c:pt>
                <c:pt idx="345">
                  <c:v>445</c:v>
                </c:pt>
                <c:pt idx="346">
                  <c:v>249</c:v>
                </c:pt>
                <c:pt idx="347">
                  <c:v>276</c:v>
                </c:pt>
                <c:pt idx="348">
                  <c:v>463</c:v>
                </c:pt>
                <c:pt idx="349">
                  <c:v>359</c:v>
                </c:pt>
                <c:pt idx="350">
                  <c:v>353</c:v>
                </c:pt>
                <c:pt idx="351">
                  <c:v>323</c:v>
                </c:pt>
                <c:pt idx="352">
                  <c:v>394</c:v>
                </c:pt>
                <c:pt idx="353">
                  <c:v>191</c:v>
                </c:pt>
                <c:pt idx="354">
                  <c:v>244</c:v>
                </c:pt>
                <c:pt idx="355">
                  <c:v>375</c:v>
                </c:pt>
                <c:pt idx="356">
                  <c:v>332</c:v>
                </c:pt>
                <c:pt idx="357">
                  <c:v>277</c:v>
                </c:pt>
                <c:pt idx="358">
                  <c:v>138</c:v>
                </c:pt>
                <c:pt idx="359">
                  <c:v>157</c:v>
                </c:pt>
                <c:pt idx="360">
                  <c:v>183</c:v>
                </c:pt>
                <c:pt idx="361">
                  <c:v>191</c:v>
                </c:pt>
                <c:pt idx="362">
                  <c:v>435</c:v>
                </c:pt>
                <c:pt idx="363">
                  <c:v>307</c:v>
                </c:pt>
                <c:pt idx="364">
                  <c:v>255</c:v>
                </c:pt>
                <c:pt idx="365">
                  <c:v>254</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260</c:v>
                </c:pt>
                <c:pt idx="379">
                  <c:v>249</c:v>
                </c:pt>
                <c:pt idx="380">
                  <c:v>266</c:v>
                </c:pt>
                <c:pt idx="381">
                  <c:v>171</c:v>
                </c:pt>
                <c:pt idx="382">
                  <c:v>197</c:v>
                </c:pt>
                <c:pt idx="383">
                  <c:v>448</c:v>
                </c:pt>
                <c:pt idx="384">
                  <c:v>342</c:v>
                </c:pt>
                <c:pt idx="385">
                  <c:v>406</c:v>
                </c:pt>
                <c:pt idx="386">
                  <c:v>377</c:v>
                </c:pt>
                <c:pt idx="387">
                  <c:v>361</c:v>
                </c:pt>
                <c:pt idx="388">
                  <c:v>168</c:v>
                </c:pt>
                <c:pt idx="389">
                  <c:v>247</c:v>
                </c:pt>
                <c:pt idx="390">
                  <c:v>605</c:v>
                </c:pt>
                <c:pt idx="391">
                  <c:v>397</c:v>
                </c:pt>
                <c:pt idx="392">
                  <c:v>382</c:v>
                </c:pt>
                <c:pt idx="393">
                  <c:v>435</c:v>
                </c:pt>
                <c:pt idx="394">
                  <c:v>378</c:v>
                </c:pt>
                <c:pt idx="395">
                  <c:v>232</c:v>
                </c:pt>
                <c:pt idx="396">
                  <c:v>273</c:v>
                </c:pt>
                <c:pt idx="397">
                  <c:v>534</c:v>
                </c:pt>
                <c:pt idx="398">
                  <c:v>396</c:v>
                </c:pt>
                <c:pt idx="399">
                  <c:v>441</c:v>
                </c:pt>
                <c:pt idx="400">
                  <c:v>373</c:v>
                </c:pt>
                <c:pt idx="401">
                  <c:v>367</c:v>
                </c:pt>
                <c:pt idx="402">
                  <c:v>238</c:v>
                </c:pt>
                <c:pt idx="403">
                  <c:v>264</c:v>
                </c:pt>
                <c:pt idx="404">
                  <c:v>461</c:v>
                </c:pt>
                <c:pt idx="405">
                  <c:v>372</c:v>
                </c:pt>
                <c:pt idx="406">
                  <c:v>383</c:v>
                </c:pt>
                <c:pt idx="407">
                  <c:v>361</c:v>
                </c:pt>
                <c:pt idx="408">
                  <c:v>419</c:v>
                </c:pt>
                <c:pt idx="409">
                  <c:v>279</c:v>
                </c:pt>
                <c:pt idx="410">
                  <c:v>282</c:v>
                </c:pt>
                <c:pt idx="411">
                  <c:v>616</c:v>
                </c:pt>
                <c:pt idx="412">
                  <c:v>514</c:v>
                </c:pt>
                <c:pt idx="413">
                  <c:v>553</c:v>
                </c:pt>
                <c:pt idx="414">
                  <c:v>611</c:v>
                </c:pt>
                <c:pt idx="415">
                  <c:v>573</c:v>
                </c:pt>
                <c:pt idx="416">
                  <c:v>318</c:v>
                </c:pt>
              </c:numCache>
            </c:numRef>
          </c:val>
          <c:smooth val="0"/>
          <c:extLst>
            <c:ext xmlns:c16="http://schemas.microsoft.com/office/drawing/2014/chart" uri="{C3380CC4-5D6E-409C-BE32-E72D297353CC}">
              <c16:uniqueId val="{00000002-71DE-4F4A-B84D-B72F0919C1B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pPr>
      <a:endParaRPr lang="LID4096"/>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15.6.2021 saakka. Suurin arvo 892, joka 15.3.2021.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531"/>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strCache>
            </c:strRef>
          </c:cat>
          <c:val>
            <c:numRef>
              <c:f>[0]!PlotY</c:f>
              <c:numCache>
                <c:formatCode>General</c:formatCode>
                <c:ptCount val="5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193</c:v>
                </c:pt>
                <c:pt idx="297">
                  <c:v>107</c:v>
                </c:pt>
                <c:pt idx="298">
                  <c:v>124</c:v>
                </c:pt>
                <c:pt idx="299">
                  <c:v>255</c:v>
                </c:pt>
                <c:pt idx="300">
                  <c:v>232</c:v>
                </c:pt>
                <c:pt idx="301">
                  <c:v>240</c:v>
                </c:pt>
                <c:pt idx="302">
                  <c:v>237</c:v>
                </c:pt>
                <c:pt idx="303">
                  <c:v>220</c:v>
                </c:pt>
                <c:pt idx="304">
                  <c:v>121</c:v>
                </c:pt>
                <c:pt idx="305">
                  <c:v>151</c:v>
                </c:pt>
                <c:pt idx="306">
                  <c:v>287</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284</c:v>
                </c:pt>
                <c:pt idx="341">
                  <c:v>587</c:v>
                </c:pt>
                <c:pt idx="342">
                  <c:v>478</c:v>
                </c:pt>
                <c:pt idx="343">
                  <c:v>462</c:v>
                </c:pt>
                <c:pt idx="344">
                  <c:v>407</c:v>
                </c:pt>
                <c:pt idx="345">
                  <c:v>445</c:v>
                </c:pt>
                <c:pt idx="346">
                  <c:v>249</c:v>
                </c:pt>
                <c:pt idx="347">
                  <c:v>276</c:v>
                </c:pt>
                <c:pt idx="348">
                  <c:v>463</c:v>
                </c:pt>
                <c:pt idx="349">
                  <c:v>359</c:v>
                </c:pt>
                <c:pt idx="350">
                  <c:v>353</c:v>
                </c:pt>
                <c:pt idx="351">
                  <c:v>323</c:v>
                </c:pt>
                <c:pt idx="352">
                  <c:v>394</c:v>
                </c:pt>
                <c:pt idx="353">
                  <c:v>191</c:v>
                </c:pt>
                <c:pt idx="354">
                  <c:v>244</c:v>
                </c:pt>
                <c:pt idx="355">
                  <c:v>375</c:v>
                </c:pt>
                <c:pt idx="356">
                  <c:v>332</c:v>
                </c:pt>
                <c:pt idx="357">
                  <c:v>277</c:v>
                </c:pt>
                <c:pt idx="358">
                  <c:v>138</c:v>
                </c:pt>
                <c:pt idx="359">
                  <c:v>157</c:v>
                </c:pt>
                <c:pt idx="360">
                  <c:v>183</c:v>
                </c:pt>
                <c:pt idx="361">
                  <c:v>191</c:v>
                </c:pt>
                <c:pt idx="362">
                  <c:v>435</c:v>
                </c:pt>
                <c:pt idx="363">
                  <c:v>307</c:v>
                </c:pt>
                <c:pt idx="364">
                  <c:v>255</c:v>
                </c:pt>
                <c:pt idx="365">
                  <c:v>254</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260</c:v>
                </c:pt>
                <c:pt idx="379">
                  <c:v>249</c:v>
                </c:pt>
                <c:pt idx="380">
                  <c:v>266</c:v>
                </c:pt>
                <c:pt idx="381">
                  <c:v>171</c:v>
                </c:pt>
                <c:pt idx="382">
                  <c:v>197</c:v>
                </c:pt>
                <c:pt idx="383">
                  <c:v>448</c:v>
                </c:pt>
                <c:pt idx="384">
                  <c:v>342</c:v>
                </c:pt>
                <c:pt idx="385">
                  <c:v>406</c:v>
                </c:pt>
                <c:pt idx="386">
                  <c:v>377</c:v>
                </c:pt>
                <c:pt idx="387">
                  <c:v>361</c:v>
                </c:pt>
                <c:pt idx="388">
                  <c:v>168</c:v>
                </c:pt>
                <c:pt idx="389">
                  <c:v>247</c:v>
                </c:pt>
                <c:pt idx="390">
                  <c:v>605</c:v>
                </c:pt>
                <c:pt idx="391">
                  <c:v>397</c:v>
                </c:pt>
                <c:pt idx="392">
                  <c:v>382</c:v>
                </c:pt>
                <c:pt idx="393">
                  <c:v>435</c:v>
                </c:pt>
                <c:pt idx="394">
                  <c:v>378</c:v>
                </c:pt>
                <c:pt idx="395">
                  <c:v>232</c:v>
                </c:pt>
                <c:pt idx="396">
                  <c:v>273</c:v>
                </c:pt>
                <c:pt idx="397">
                  <c:v>534</c:v>
                </c:pt>
                <c:pt idx="398">
                  <c:v>396</c:v>
                </c:pt>
                <c:pt idx="399">
                  <c:v>441</c:v>
                </c:pt>
                <c:pt idx="400">
                  <c:v>373</c:v>
                </c:pt>
                <c:pt idx="401">
                  <c:v>367</c:v>
                </c:pt>
                <c:pt idx="402">
                  <c:v>238</c:v>
                </c:pt>
                <c:pt idx="403">
                  <c:v>264</c:v>
                </c:pt>
                <c:pt idx="404">
                  <c:v>461</c:v>
                </c:pt>
                <c:pt idx="405">
                  <c:v>372</c:v>
                </c:pt>
                <c:pt idx="406">
                  <c:v>383</c:v>
                </c:pt>
                <c:pt idx="407">
                  <c:v>361</c:v>
                </c:pt>
                <c:pt idx="408">
                  <c:v>419</c:v>
                </c:pt>
                <c:pt idx="409">
                  <c:v>279</c:v>
                </c:pt>
                <c:pt idx="410">
                  <c:v>282</c:v>
                </c:pt>
                <c:pt idx="411">
                  <c:v>616</c:v>
                </c:pt>
                <c:pt idx="412">
                  <c:v>514</c:v>
                </c:pt>
                <c:pt idx="413">
                  <c:v>553</c:v>
                </c:pt>
                <c:pt idx="414">
                  <c:v>611</c:v>
                </c:pt>
                <c:pt idx="415">
                  <c:v>573</c:v>
                </c:pt>
                <c:pt idx="416">
                  <c:v>318</c:v>
                </c:pt>
                <c:pt idx="417">
                  <c:v>356</c:v>
                </c:pt>
                <c:pt idx="418">
                  <c:v>623</c:v>
                </c:pt>
                <c:pt idx="419">
                  <c:v>626</c:v>
                </c:pt>
                <c:pt idx="420">
                  <c:v>598</c:v>
                </c:pt>
                <c:pt idx="421">
                  <c:v>629</c:v>
                </c:pt>
                <c:pt idx="422">
                  <c:v>686</c:v>
                </c:pt>
                <c:pt idx="423">
                  <c:v>401</c:v>
                </c:pt>
                <c:pt idx="424">
                  <c:v>422</c:v>
                </c:pt>
                <c:pt idx="425">
                  <c:v>875</c:v>
                </c:pt>
                <c:pt idx="426">
                  <c:v>758</c:v>
                </c:pt>
                <c:pt idx="427">
                  <c:v>732</c:v>
                </c:pt>
                <c:pt idx="428">
                  <c:v>640</c:v>
                </c:pt>
                <c:pt idx="429">
                  <c:v>630</c:v>
                </c:pt>
                <c:pt idx="430">
                  <c:v>433</c:v>
                </c:pt>
                <c:pt idx="431">
                  <c:v>395</c:v>
                </c:pt>
                <c:pt idx="432">
                  <c:v>834</c:v>
                </c:pt>
                <c:pt idx="433">
                  <c:v>773</c:v>
                </c:pt>
                <c:pt idx="434">
                  <c:v>822</c:v>
                </c:pt>
                <c:pt idx="435">
                  <c:v>779</c:v>
                </c:pt>
                <c:pt idx="436">
                  <c:v>808</c:v>
                </c:pt>
                <c:pt idx="437">
                  <c:v>491</c:v>
                </c:pt>
                <c:pt idx="438">
                  <c:v>434</c:v>
                </c:pt>
                <c:pt idx="439">
                  <c:v>892</c:v>
                </c:pt>
                <c:pt idx="440">
                  <c:v>767</c:v>
                </c:pt>
                <c:pt idx="441">
                  <c:v>743</c:v>
                </c:pt>
                <c:pt idx="442">
                  <c:v>735</c:v>
                </c:pt>
                <c:pt idx="443">
                  <c:v>745</c:v>
                </c:pt>
                <c:pt idx="444">
                  <c:v>404</c:v>
                </c:pt>
                <c:pt idx="445">
                  <c:v>420</c:v>
                </c:pt>
                <c:pt idx="446">
                  <c:v>769</c:v>
                </c:pt>
                <c:pt idx="447">
                  <c:v>703</c:v>
                </c:pt>
                <c:pt idx="448">
                  <c:v>695</c:v>
                </c:pt>
                <c:pt idx="449">
                  <c:v>606</c:v>
                </c:pt>
                <c:pt idx="450">
                  <c:v>688</c:v>
                </c:pt>
                <c:pt idx="451">
                  <c:v>351</c:v>
                </c:pt>
                <c:pt idx="452">
                  <c:v>372</c:v>
                </c:pt>
                <c:pt idx="453">
                  <c:v>654</c:v>
                </c:pt>
                <c:pt idx="454">
                  <c:v>570</c:v>
                </c:pt>
                <c:pt idx="455">
                  <c:v>550</c:v>
                </c:pt>
                <c:pt idx="456">
                  <c:v>486</c:v>
                </c:pt>
                <c:pt idx="457">
                  <c:v>361</c:v>
                </c:pt>
                <c:pt idx="458">
                  <c:v>320</c:v>
                </c:pt>
                <c:pt idx="459">
                  <c:v>322</c:v>
                </c:pt>
                <c:pt idx="460">
                  <c:v>359</c:v>
                </c:pt>
                <c:pt idx="461">
                  <c:v>545</c:v>
                </c:pt>
                <c:pt idx="462">
                  <c:v>426</c:v>
                </c:pt>
                <c:pt idx="463">
                  <c:v>407</c:v>
                </c:pt>
                <c:pt idx="464">
                  <c:v>351</c:v>
                </c:pt>
                <c:pt idx="465">
                  <c:v>226</c:v>
                </c:pt>
                <c:pt idx="466">
                  <c:v>239</c:v>
                </c:pt>
                <c:pt idx="467">
                  <c:v>398</c:v>
                </c:pt>
                <c:pt idx="468">
                  <c:v>325</c:v>
                </c:pt>
                <c:pt idx="469">
                  <c:v>345</c:v>
                </c:pt>
                <c:pt idx="470">
                  <c:v>274</c:v>
                </c:pt>
                <c:pt idx="471">
                  <c:v>264</c:v>
                </c:pt>
                <c:pt idx="472">
                  <c:v>171</c:v>
                </c:pt>
                <c:pt idx="473">
                  <c:v>156</c:v>
                </c:pt>
                <c:pt idx="474">
                  <c:v>284</c:v>
                </c:pt>
                <c:pt idx="475">
                  <c:v>285</c:v>
                </c:pt>
                <c:pt idx="476">
                  <c:v>233</c:v>
                </c:pt>
                <c:pt idx="477">
                  <c:v>258</c:v>
                </c:pt>
                <c:pt idx="478">
                  <c:v>255</c:v>
                </c:pt>
                <c:pt idx="479">
                  <c:v>155</c:v>
                </c:pt>
                <c:pt idx="480">
                  <c:v>140</c:v>
                </c:pt>
                <c:pt idx="481">
                  <c:v>243</c:v>
                </c:pt>
                <c:pt idx="482">
                  <c:v>228</c:v>
                </c:pt>
                <c:pt idx="483">
                  <c:v>274</c:v>
                </c:pt>
                <c:pt idx="484">
                  <c:v>201</c:v>
                </c:pt>
                <c:pt idx="485">
                  <c:v>197</c:v>
                </c:pt>
                <c:pt idx="486">
                  <c:v>108</c:v>
                </c:pt>
                <c:pt idx="487">
                  <c:v>135</c:v>
                </c:pt>
                <c:pt idx="488">
                  <c:v>318</c:v>
                </c:pt>
                <c:pt idx="489">
                  <c:v>205</c:v>
                </c:pt>
                <c:pt idx="490">
                  <c:v>266</c:v>
                </c:pt>
                <c:pt idx="491">
                  <c:v>239</c:v>
                </c:pt>
                <c:pt idx="492">
                  <c:v>214</c:v>
                </c:pt>
                <c:pt idx="493">
                  <c:v>131</c:v>
                </c:pt>
                <c:pt idx="494">
                  <c:v>130</c:v>
                </c:pt>
                <c:pt idx="495">
                  <c:v>257</c:v>
                </c:pt>
                <c:pt idx="496">
                  <c:v>216</c:v>
                </c:pt>
                <c:pt idx="497">
                  <c:v>256</c:v>
                </c:pt>
                <c:pt idx="498">
                  <c:v>156</c:v>
                </c:pt>
                <c:pt idx="499">
                  <c:v>245</c:v>
                </c:pt>
                <c:pt idx="500">
                  <c:v>160</c:v>
                </c:pt>
                <c:pt idx="501">
                  <c:v>133</c:v>
                </c:pt>
                <c:pt idx="502">
                  <c:v>284</c:v>
                </c:pt>
                <c:pt idx="503">
                  <c:v>217</c:v>
                </c:pt>
                <c:pt idx="504">
                  <c:v>230</c:v>
                </c:pt>
                <c:pt idx="505">
                  <c:v>215</c:v>
                </c:pt>
                <c:pt idx="506">
                  <c:v>168</c:v>
                </c:pt>
                <c:pt idx="507">
                  <c:v>108</c:v>
                </c:pt>
                <c:pt idx="508">
                  <c:v>93</c:v>
                </c:pt>
                <c:pt idx="509">
                  <c:v>188</c:v>
                </c:pt>
                <c:pt idx="510">
                  <c:v>152</c:v>
                </c:pt>
                <c:pt idx="511">
                  <c:v>142</c:v>
                </c:pt>
                <c:pt idx="512">
                  <c:v>127</c:v>
                </c:pt>
                <c:pt idx="513">
                  <c:v>136</c:v>
                </c:pt>
                <c:pt idx="514">
                  <c:v>64</c:v>
                </c:pt>
                <c:pt idx="515">
                  <c:v>79</c:v>
                </c:pt>
                <c:pt idx="516">
                  <c:v>145</c:v>
                </c:pt>
                <c:pt idx="517">
                  <c:v>121</c:v>
                </c:pt>
                <c:pt idx="518">
                  <c:v>118</c:v>
                </c:pt>
                <c:pt idx="519">
                  <c:v>111</c:v>
                </c:pt>
                <c:pt idx="520">
                  <c:v>101</c:v>
                </c:pt>
                <c:pt idx="521">
                  <c:v>65</c:v>
                </c:pt>
                <c:pt idx="522">
                  <c:v>59</c:v>
                </c:pt>
                <c:pt idx="523">
                  <c:v>136</c:v>
                </c:pt>
                <c:pt idx="524">
                  <c:v>101</c:v>
                </c:pt>
                <c:pt idx="525">
                  <c:v>82</c:v>
                </c:pt>
                <c:pt idx="526">
                  <c:v>76</c:v>
                </c:pt>
                <c:pt idx="527">
                  <c:v>70</c:v>
                </c:pt>
                <c:pt idx="528">
                  <c:v>45</c:v>
                </c:pt>
                <c:pt idx="529">
                  <c:v>47</c:v>
                </c:pt>
                <c:pt idx="530">
                  <c:v>88</c:v>
                </c:pt>
                <c:pt idx="531">
                  <c:v>77</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General</c:formatCode>
                <c:ptCount val="7"/>
                <c:pt idx="0">
                  <c:v>230.69736842105263</c:v>
                </c:pt>
                <c:pt idx="1">
                  <c:v>198.5</c:v>
                </c:pt>
                <c:pt idx="2">
                  <c:v>198.3896103896104</c:v>
                </c:pt>
                <c:pt idx="3">
                  <c:v>188.37662337662337</c:v>
                </c:pt>
                <c:pt idx="4">
                  <c:v>181.35064935064935</c:v>
                </c:pt>
                <c:pt idx="5">
                  <c:v>113.14285714285714</c:v>
                </c:pt>
                <c:pt idx="6">
                  <c:v>120.96052631578948</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Kuvaajat!$B$58</c:f>
          <c:strCache>
            <c:ptCount val="1"/>
            <c:pt idx="0">
              <c:v>Näytteenottopäivän mukaan COVID-19 tapauksia N=94269. Uusimmat 19.6.2021 lisäykset 115 punaisella.</c:v>
            </c:pt>
          </c:strCache>
        </c:strRef>
      </c:tx>
      <c:layout>
        <c:manualLayout>
          <c:xMode val="edge"/>
          <c:yMode val="edge"/>
          <c:x val="0.17723521260937788"/>
          <c:y val="3.22814988933239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Lisäys!$B$7:$B$34</c:f>
              <c:strCache>
                <c:ptCount val="28"/>
                <c:pt idx="0">
                  <c:v>22.5</c:v>
                </c:pt>
                <c:pt idx="1">
                  <c:v>23.5</c:v>
                </c:pt>
                <c:pt idx="2">
                  <c:v>Ma 24</c:v>
                </c:pt>
                <c:pt idx="3">
                  <c:v>25.5</c:v>
                </c:pt>
                <c:pt idx="4">
                  <c:v>26.5</c:v>
                </c:pt>
                <c:pt idx="5">
                  <c:v>27.5</c:v>
                </c:pt>
                <c:pt idx="6">
                  <c:v>28.5</c:v>
                </c:pt>
                <c:pt idx="7">
                  <c:v>29.5</c:v>
                </c:pt>
                <c:pt idx="8">
                  <c:v>30.5</c:v>
                </c:pt>
                <c:pt idx="9">
                  <c:v>Ma 31</c:v>
                </c:pt>
                <c:pt idx="10">
                  <c:v>1.6</c:v>
                </c:pt>
                <c:pt idx="11">
                  <c:v>2.6</c:v>
                </c:pt>
                <c:pt idx="12">
                  <c:v>3.6</c:v>
                </c:pt>
                <c:pt idx="13">
                  <c:v>4.6</c:v>
                </c:pt>
                <c:pt idx="14">
                  <c:v>5.6</c:v>
                </c:pt>
                <c:pt idx="15">
                  <c:v>6.6</c:v>
                </c:pt>
                <c:pt idx="16">
                  <c:v>Ma 7</c:v>
                </c:pt>
                <c:pt idx="17">
                  <c:v>8.6</c:v>
                </c:pt>
                <c:pt idx="18">
                  <c:v>9.6</c:v>
                </c:pt>
                <c:pt idx="19">
                  <c:v>10.6</c:v>
                </c:pt>
                <c:pt idx="20">
                  <c:v>11.6</c:v>
                </c:pt>
                <c:pt idx="21">
                  <c:v>12.6</c:v>
                </c:pt>
                <c:pt idx="22">
                  <c:v>13.6</c:v>
                </c:pt>
                <c:pt idx="23">
                  <c:v>Ma 14</c:v>
                </c:pt>
                <c:pt idx="24">
                  <c:v>15.6</c:v>
                </c:pt>
                <c:pt idx="25">
                  <c:v>16.6</c:v>
                </c:pt>
                <c:pt idx="26">
                  <c:v>17.6</c:v>
                </c:pt>
                <c:pt idx="27">
                  <c:v>18.6</c:v>
                </c:pt>
              </c:strCache>
            </c:strRef>
          </c:cat>
          <c:val>
            <c:numRef>
              <c:f>Lisäys!$E$7:$E$34</c:f>
              <c:numCache>
                <c:formatCode>General</c:formatCode>
                <c:ptCount val="28"/>
                <c:pt idx="0">
                  <c:v>108</c:v>
                </c:pt>
                <c:pt idx="1">
                  <c:v>93</c:v>
                </c:pt>
                <c:pt idx="2">
                  <c:v>188</c:v>
                </c:pt>
                <c:pt idx="3">
                  <c:v>152</c:v>
                </c:pt>
                <c:pt idx="4">
                  <c:v>142</c:v>
                </c:pt>
                <c:pt idx="5">
                  <c:v>127</c:v>
                </c:pt>
                <c:pt idx="6">
                  <c:v>136</c:v>
                </c:pt>
                <c:pt idx="7">
                  <c:v>64</c:v>
                </c:pt>
                <c:pt idx="8">
                  <c:v>79</c:v>
                </c:pt>
                <c:pt idx="9">
                  <c:v>145</c:v>
                </c:pt>
                <c:pt idx="10">
                  <c:v>121</c:v>
                </c:pt>
                <c:pt idx="11">
                  <c:v>118</c:v>
                </c:pt>
                <c:pt idx="12">
                  <c:v>111</c:v>
                </c:pt>
                <c:pt idx="13">
                  <c:v>101</c:v>
                </c:pt>
                <c:pt idx="14">
                  <c:v>65</c:v>
                </c:pt>
                <c:pt idx="15">
                  <c:v>59</c:v>
                </c:pt>
                <c:pt idx="16">
                  <c:v>136</c:v>
                </c:pt>
                <c:pt idx="17">
                  <c:v>101</c:v>
                </c:pt>
                <c:pt idx="18">
                  <c:v>82</c:v>
                </c:pt>
                <c:pt idx="19">
                  <c:v>76</c:v>
                </c:pt>
                <c:pt idx="20">
                  <c:v>70</c:v>
                </c:pt>
                <c:pt idx="21">
                  <c:v>45</c:v>
                </c:pt>
                <c:pt idx="22">
                  <c:v>47</c:v>
                </c:pt>
                <c:pt idx="23">
                  <c:v>88</c:v>
                </c:pt>
                <c:pt idx="24">
                  <c:v>77</c:v>
                </c:pt>
                <c:pt idx="25">
                  <c:v>60</c:v>
                </c:pt>
                <c:pt idx="26">
                  <c:v>66</c:v>
                </c:pt>
                <c:pt idx="27">
                  <c:v>34</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Lisäys!$B$7:$B$34</c:f>
              <c:strCache>
                <c:ptCount val="28"/>
                <c:pt idx="0">
                  <c:v>22.5</c:v>
                </c:pt>
                <c:pt idx="1">
                  <c:v>23.5</c:v>
                </c:pt>
                <c:pt idx="2">
                  <c:v>Ma 24</c:v>
                </c:pt>
                <c:pt idx="3">
                  <c:v>25.5</c:v>
                </c:pt>
                <c:pt idx="4">
                  <c:v>26.5</c:v>
                </c:pt>
                <c:pt idx="5">
                  <c:v>27.5</c:v>
                </c:pt>
                <c:pt idx="6">
                  <c:v>28.5</c:v>
                </c:pt>
                <c:pt idx="7">
                  <c:v>29.5</c:v>
                </c:pt>
                <c:pt idx="8">
                  <c:v>30.5</c:v>
                </c:pt>
                <c:pt idx="9">
                  <c:v>Ma 31</c:v>
                </c:pt>
                <c:pt idx="10">
                  <c:v>1.6</c:v>
                </c:pt>
                <c:pt idx="11">
                  <c:v>2.6</c:v>
                </c:pt>
                <c:pt idx="12">
                  <c:v>3.6</c:v>
                </c:pt>
                <c:pt idx="13">
                  <c:v>4.6</c:v>
                </c:pt>
                <c:pt idx="14">
                  <c:v>5.6</c:v>
                </c:pt>
                <c:pt idx="15">
                  <c:v>6.6</c:v>
                </c:pt>
                <c:pt idx="16">
                  <c:v>Ma 7</c:v>
                </c:pt>
                <c:pt idx="17">
                  <c:v>8.6</c:v>
                </c:pt>
                <c:pt idx="18">
                  <c:v>9.6</c:v>
                </c:pt>
                <c:pt idx="19">
                  <c:v>10.6</c:v>
                </c:pt>
                <c:pt idx="20">
                  <c:v>11.6</c:v>
                </c:pt>
                <c:pt idx="21">
                  <c:v>12.6</c:v>
                </c:pt>
                <c:pt idx="22">
                  <c:v>13.6</c:v>
                </c:pt>
                <c:pt idx="23">
                  <c:v>Ma 14</c:v>
                </c:pt>
                <c:pt idx="24">
                  <c:v>15.6</c:v>
                </c:pt>
                <c:pt idx="25">
                  <c:v>16.6</c:v>
                </c:pt>
                <c:pt idx="26">
                  <c:v>17.6</c:v>
                </c:pt>
                <c:pt idx="27">
                  <c:v>18.6</c:v>
                </c:pt>
              </c:strCache>
            </c:strRef>
          </c:cat>
          <c:val>
            <c:numRef>
              <c:f>Lisäys!$F$7:$F$34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c:v>
                </c:pt>
                <c:pt idx="16">
                  <c:v>0</c:v>
                </c:pt>
                <c:pt idx="17">
                  <c:v>-1</c:v>
                </c:pt>
                <c:pt idx="18">
                  <c:v>0</c:v>
                </c:pt>
                <c:pt idx="19">
                  <c:v>-2</c:v>
                </c:pt>
                <c:pt idx="20">
                  <c:v>0</c:v>
                </c:pt>
                <c:pt idx="21">
                  <c:v>2</c:v>
                </c:pt>
                <c:pt idx="22">
                  <c:v>1</c:v>
                </c:pt>
                <c:pt idx="23">
                  <c:v>10</c:v>
                </c:pt>
                <c:pt idx="24">
                  <c:v>21</c:v>
                </c:pt>
                <c:pt idx="25">
                  <c:v>20</c:v>
                </c:pt>
                <c:pt idx="26">
                  <c:v>31</c:v>
                </c:pt>
                <c:pt idx="27">
                  <c:v>34</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Kuvaajat!$B$80</c:f>
          <c:strCache>
            <c:ptCount val="1"/>
            <c:pt idx="0">
              <c:v> COVID-19 tapauksia 7 päivän välein 15.6.2021 saakka (- uusin ... vanhin).</c:v>
            </c:pt>
          </c:strCache>
        </c:strRef>
      </c:tx>
      <c:layout>
        <c:manualLayout>
          <c:xMode val="edge"/>
          <c:yMode val="edge"/>
          <c:x val="0.18249457042557674"/>
          <c:y val="9.1517972018203663E-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44362.625</c:v>
                </c:pt>
                <c:pt idx="1">
                  <c:v>44355.625</c:v>
                </c:pt>
                <c:pt idx="2">
                  <c:v>44348.625</c:v>
                </c:pt>
                <c:pt idx="3">
                  <c:v>44341.625</c:v>
                </c:pt>
                <c:pt idx="4">
                  <c:v>44334.625</c:v>
                </c:pt>
                <c:pt idx="5">
                  <c:v>44327.625</c:v>
                </c:pt>
                <c:pt idx="6">
                  <c:v>44320.625</c:v>
                </c:pt>
                <c:pt idx="7">
                  <c:v>44313.625</c:v>
                </c:pt>
                <c:pt idx="8">
                  <c:v>44306.625</c:v>
                </c:pt>
                <c:pt idx="9">
                  <c:v>44299.625</c:v>
                </c:pt>
              </c:numCache>
            </c:numRef>
          </c:xVal>
          <c:yVal>
            <c:numRef>
              <c:f>Lisäys!$E$50:$E$59</c:f>
              <c:numCache>
                <c:formatCode>General</c:formatCode>
                <c:ptCount val="10"/>
                <c:pt idx="0">
                  <c:v>77</c:v>
                </c:pt>
                <c:pt idx="1">
                  <c:v>101</c:v>
                </c:pt>
                <c:pt idx="2">
                  <c:v>121</c:v>
                </c:pt>
                <c:pt idx="3">
                  <c:v>152</c:v>
                </c:pt>
                <c:pt idx="4">
                  <c:v>217</c:v>
                </c:pt>
                <c:pt idx="5">
                  <c:v>216</c:v>
                </c:pt>
                <c:pt idx="6">
                  <c:v>205</c:v>
                </c:pt>
                <c:pt idx="7">
                  <c:v>228</c:v>
                </c:pt>
                <c:pt idx="8">
                  <c:v>285</c:v>
                </c:pt>
                <c:pt idx="9">
                  <c:v>325</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44361.625</c:v>
                </c:pt>
                <c:pt idx="1">
                  <c:v>44354.625</c:v>
                </c:pt>
                <c:pt idx="2">
                  <c:v>44347.625</c:v>
                </c:pt>
                <c:pt idx="3">
                  <c:v>44340.625</c:v>
                </c:pt>
                <c:pt idx="4">
                  <c:v>44333.625</c:v>
                </c:pt>
                <c:pt idx="5">
                  <c:v>44326.625</c:v>
                </c:pt>
                <c:pt idx="6">
                  <c:v>44319.625</c:v>
                </c:pt>
                <c:pt idx="7">
                  <c:v>44312.625</c:v>
                </c:pt>
                <c:pt idx="8">
                  <c:v>44305.625</c:v>
                </c:pt>
                <c:pt idx="9">
                  <c:v>44298.625</c:v>
                </c:pt>
              </c:numCache>
            </c:numRef>
          </c:xVal>
          <c:yVal>
            <c:numRef>
              <c:f>Lisäys!$I$50:$I$59</c:f>
              <c:numCache>
                <c:formatCode>General</c:formatCode>
                <c:ptCount val="10"/>
                <c:pt idx="0">
                  <c:v>88</c:v>
                </c:pt>
                <c:pt idx="1">
                  <c:v>136</c:v>
                </c:pt>
                <c:pt idx="2">
                  <c:v>145</c:v>
                </c:pt>
                <c:pt idx="3">
                  <c:v>188</c:v>
                </c:pt>
                <c:pt idx="4">
                  <c:v>284</c:v>
                </c:pt>
                <c:pt idx="5">
                  <c:v>257</c:v>
                </c:pt>
                <c:pt idx="6">
                  <c:v>318</c:v>
                </c:pt>
                <c:pt idx="7">
                  <c:v>243</c:v>
                </c:pt>
                <c:pt idx="8">
                  <c:v>284</c:v>
                </c:pt>
                <c:pt idx="9">
                  <c:v>398</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44360.625</c:v>
                </c:pt>
                <c:pt idx="1">
                  <c:v>44353.625</c:v>
                </c:pt>
                <c:pt idx="2">
                  <c:v>44346.625</c:v>
                </c:pt>
                <c:pt idx="3">
                  <c:v>44339.625</c:v>
                </c:pt>
                <c:pt idx="4">
                  <c:v>44332.625</c:v>
                </c:pt>
                <c:pt idx="5">
                  <c:v>44325.625</c:v>
                </c:pt>
                <c:pt idx="6">
                  <c:v>44318.625</c:v>
                </c:pt>
                <c:pt idx="7">
                  <c:v>44311.625</c:v>
                </c:pt>
                <c:pt idx="8">
                  <c:v>44304.625</c:v>
                </c:pt>
                <c:pt idx="9">
                  <c:v>44297.625</c:v>
                </c:pt>
              </c:numCache>
            </c:numRef>
          </c:xVal>
          <c:yVal>
            <c:numRef>
              <c:f>Lisäys!$M$50:$M$59</c:f>
              <c:numCache>
                <c:formatCode>General</c:formatCode>
                <c:ptCount val="10"/>
                <c:pt idx="0">
                  <c:v>47</c:v>
                </c:pt>
                <c:pt idx="1">
                  <c:v>59</c:v>
                </c:pt>
                <c:pt idx="2">
                  <c:v>79</c:v>
                </c:pt>
                <c:pt idx="3">
                  <c:v>93</c:v>
                </c:pt>
                <c:pt idx="4">
                  <c:v>133</c:v>
                </c:pt>
                <c:pt idx="5">
                  <c:v>130</c:v>
                </c:pt>
                <c:pt idx="6">
                  <c:v>135</c:v>
                </c:pt>
                <c:pt idx="7">
                  <c:v>140</c:v>
                </c:pt>
                <c:pt idx="8">
                  <c:v>156</c:v>
                </c:pt>
                <c:pt idx="9">
                  <c:v>239</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44359.625</c:v>
                </c:pt>
                <c:pt idx="1">
                  <c:v>44352.625</c:v>
                </c:pt>
                <c:pt idx="2">
                  <c:v>44345.625</c:v>
                </c:pt>
                <c:pt idx="3">
                  <c:v>44338.625</c:v>
                </c:pt>
                <c:pt idx="4">
                  <c:v>44331.625</c:v>
                </c:pt>
                <c:pt idx="5">
                  <c:v>44324.625</c:v>
                </c:pt>
                <c:pt idx="6">
                  <c:v>44317.625</c:v>
                </c:pt>
                <c:pt idx="7">
                  <c:v>44310.625</c:v>
                </c:pt>
                <c:pt idx="8">
                  <c:v>44303.625</c:v>
                </c:pt>
                <c:pt idx="9">
                  <c:v>44296.625</c:v>
                </c:pt>
              </c:numCache>
            </c:numRef>
          </c:xVal>
          <c:yVal>
            <c:numRef>
              <c:f>Lisäys!$Q$50:$Q$59</c:f>
              <c:numCache>
                <c:formatCode>General</c:formatCode>
                <c:ptCount val="10"/>
                <c:pt idx="0">
                  <c:v>45</c:v>
                </c:pt>
                <c:pt idx="1">
                  <c:v>65</c:v>
                </c:pt>
                <c:pt idx="2">
                  <c:v>64</c:v>
                </c:pt>
                <c:pt idx="3">
                  <c:v>108</c:v>
                </c:pt>
                <c:pt idx="4">
                  <c:v>160</c:v>
                </c:pt>
                <c:pt idx="5">
                  <c:v>131</c:v>
                </c:pt>
                <c:pt idx="6">
                  <c:v>108</c:v>
                </c:pt>
                <c:pt idx="7">
                  <c:v>155</c:v>
                </c:pt>
                <c:pt idx="8">
                  <c:v>171</c:v>
                </c:pt>
                <c:pt idx="9">
                  <c:v>226</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44358.625</c:v>
                </c:pt>
                <c:pt idx="1">
                  <c:v>44351.625</c:v>
                </c:pt>
                <c:pt idx="2">
                  <c:v>44344.625</c:v>
                </c:pt>
                <c:pt idx="3">
                  <c:v>44337.625</c:v>
                </c:pt>
                <c:pt idx="4">
                  <c:v>44330.625</c:v>
                </c:pt>
                <c:pt idx="5">
                  <c:v>44323.625</c:v>
                </c:pt>
                <c:pt idx="6">
                  <c:v>44316.625</c:v>
                </c:pt>
                <c:pt idx="7">
                  <c:v>44309.625</c:v>
                </c:pt>
                <c:pt idx="8">
                  <c:v>44302.625</c:v>
                </c:pt>
                <c:pt idx="9">
                  <c:v>44295.625</c:v>
                </c:pt>
              </c:numCache>
            </c:numRef>
          </c:xVal>
          <c:yVal>
            <c:numRef>
              <c:f>Lisäys!$U$50:$U$59</c:f>
              <c:numCache>
                <c:formatCode>General</c:formatCode>
                <c:ptCount val="10"/>
                <c:pt idx="0">
                  <c:v>70</c:v>
                </c:pt>
                <c:pt idx="1">
                  <c:v>101</c:v>
                </c:pt>
                <c:pt idx="2">
                  <c:v>136</c:v>
                </c:pt>
                <c:pt idx="3">
                  <c:v>168</c:v>
                </c:pt>
                <c:pt idx="4">
                  <c:v>245</c:v>
                </c:pt>
                <c:pt idx="5">
                  <c:v>214</c:v>
                </c:pt>
                <c:pt idx="6">
                  <c:v>197</c:v>
                </c:pt>
                <c:pt idx="7">
                  <c:v>255</c:v>
                </c:pt>
                <c:pt idx="8">
                  <c:v>264</c:v>
                </c:pt>
                <c:pt idx="9">
                  <c:v>351</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44357.625</c:v>
                </c:pt>
                <c:pt idx="1">
                  <c:v>44350.625</c:v>
                </c:pt>
                <c:pt idx="2">
                  <c:v>44343.625</c:v>
                </c:pt>
                <c:pt idx="3">
                  <c:v>44336.625</c:v>
                </c:pt>
                <c:pt idx="4">
                  <c:v>44329.625</c:v>
                </c:pt>
                <c:pt idx="5">
                  <c:v>44322.625</c:v>
                </c:pt>
                <c:pt idx="6">
                  <c:v>44315.625</c:v>
                </c:pt>
                <c:pt idx="7">
                  <c:v>44308.625</c:v>
                </c:pt>
                <c:pt idx="8">
                  <c:v>44301.625</c:v>
                </c:pt>
                <c:pt idx="9">
                  <c:v>44294.625</c:v>
                </c:pt>
              </c:numCache>
            </c:numRef>
          </c:xVal>
          <c:yVal>
            <c:numRef>
              <c:f>Lisäys!$Y$50:$Y$59</c:f>
              <c:numCache>
                <c:formatCode>General</c:formatCode>
                <c:ptCount val="10"/>
                <c:pt idx="0">
                  <c:v>76</c:v>
                </c:pt>
                <c:pt idx="1">
                  <c:v>111</c:v>
                </c:pt>
                <c:pt idx="2">
                  <c:v>127</c:v>
                </c:pt>
                <c:pt idx="3">
                  <c:v>215</c:v>
                </c:pt>
                <c:pt idx="4">
                  <c:v>156</c:v>
                </c:pt>
                <c:pt idx="5">
                  <c:v>239</c:v>
                </c:pt>
                <c:pt idx="6">
                  <c:v>201</c:v>
                </c:pt>
                <c:pt idx="7">
                  <c:v>258</c:v>
                </c:pt>
                <c:pt idx="8">
                  <c:v>274</c:v>
                </c:pt>
                <c:pt idx="9">
                  <c:v>407</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44356.625</c:v>
                </c:pt>
                <c:pt idx="1">
                  <c:v>44349.625</c:v>
                </c:pt>
                <c:pt idx="2">
                  <c:v>44342.625</c:v>
                </c:pt>
                <c:pt idx="3">
                  <c:v>44335.625</c:v>
                </c:pt>
                <c:pt idx="4">
                  <c:v>44328.625</c:v>
                </c:pt>
                <c:pt idx="5">
                  <c:v>44321.625</c:v>
                </c:pt>
                <c:pt idx="6">
                  <c:v>44314.625</c:v>
                </c:pt>
                <c:pt idx="7">
                  <c:v>44307.625</c:v>
                </c:pt>
                <c:pt idx="8">
                  <c:v>44300.625</c:v>
                </c:pt>
                <c:pt idx="9">
                  <c:v>44293.625</c:v>
                </c:pt>
              </c:numCache>
            </c:numRef>
          </c:xVal>
          <c:yVal>
            <c:numRef>
              <c:f>Lisäys!$AC$50:$AC$59</c:f>
              <c:numCache>
                <c:formatCode>General</c:formatCode>
                <c:ptCount val="10"/>
                <c:pt idx="0">
                  <c:v>82</c:v>
                </c:pt>
                <c:pt idx="1">
                  <c:v>118</c:v>
                </c:pt>
                <c:pt idx="2">
                  <c:v>142</c:v>
                </c:pt>
                <c:pt idx="3">
                  <c:v>230</c:v>
                </c:pt>
                <c:pt idx="4">
                  <c:v>256</c:v>
                </c:pt>
                <c:pt idx="5">
                  <c:v>266</c:v>
                </c:pt>
                <c:pt idx="6">
                  <c:v>274</c:v>
                </c:pt>
                <c:pt idx="7">
                  <c:v>233</c:v>
                </c:pt>
                <c:pt idx="8">
                  <c:v>345</c:v>
                </c:pt>
                <c:pt idx="9">
                  <c:v>426</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Päivittäinen 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892</c:v>
                </c:pt>
                <c:pt idx="1">
                  <c:v>773</c:v>
                </c:pt>
                <c:pt idx="2">
                  <c:v>822</c:v>
                </c:pt>
                <c:pt idx="3">
                  <c:v>779</c:v>
                </c:pt>
                <c:pt idx="4">
                  <c:v>808</c:v>
                </c:pt>
                <c:pt idx="5">
                  <c:v>491</c:v>
                </c:pt>
                <c:pt idx="6">
                  <c:v>434</c:v>
                </c:pt>
              </c:numCache>
            </c:numRef>
          </c:val>
          <c:extLst>
            <c:ext xmlns:c16="http://schemas.microsoft.com/office/drawing/2014/chart" uri="{C3380CC4-5D6E-409C-BE32-E72D297353CC}">
              <c16:uniqueId val="{00000000-A612-465D-B62B-867FB2236A9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dLbl>
              <c:idx val="0"/>
              <c:tx>
                <c:rich>
                  <a:bodyPr/>
                  <a:lstStyle/>
                  <a:p>
                    <a:fld id="{B78BEF51-5440-4B19-858B-1150D06738A9}" type="CELLRANGE">
                      <a:rPr lang="en-US"/>
                      <a:pPr/>
                      <a:t>[CELLRANGE]</a:t>
                    </a:fld>
                    <a:r>
                      <a:rPr lang="en-US" baseline="0"/>
                      <a:t>; </a:t>
                    </a:r>
                    <a:fld id="{81F8FE50-4D6B-4B62-B7F5-9C8BA5A7B0CF}"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62C-45AB-9ACB-4B7B0DD19F34}"/>
                </c:ext>
              </c:extLst>
            </c:dLbl>
            <c:dLbl>
              <c:idx val="1"/>
              <c:tx>
                <c:rich>
                  <a:bodyPr/>
                  <a:lstStyle/>
                  <a:p>
                    <a:fld id="{9CD4D6B4-182D-431F-983A-FBA76B3794CC}" type="CELLRANGE">
                      <a:rPr lang="en-US"/>
                      <a:pPr/>
                      <a:t>[CELLRANGE]</a:t>
                    </a:fld>
                    <a:r>
                      <a:rPr lang="en-US" baseline="0"/>
                      <a:t>; </a:t>
                    </a:r>
                    <a:fld id="{85ACE88A-77AA-4FA3-AD71-3D6AB61DD1CD}"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62C-45AB-9ACB-4B7B0DD19F34}"/>
                </c:ext>
              </c:extLst>
            </c:dLbl>
            <c:dLbl>
              <c:idx val="2"/>
              <c:tx>
                <c:rich>
                  <a:bodyPr/>
                  <a:lstStyle/>
                  <a:p>
                    <a:fld id="{DB0B8575-4A17-4212-9722-77ADD4F9BC24}" type="CELLRANGE">
                      <a:rPr lang="en-US"/>
                      <a:pPr/>
                      <a:t>[CELLRANGE]</a:t>
                    </a:fld>
                    <a:r>
                      <a:rPr lang="en-US" baseline="0"/>
                      <a:t>; </a:t>
                    </a:r>
                    <a:fld id="{37F52151-E603-4513-A7D1-1D3AB1BD704A}"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62C-45AB-9ACB-4B7B0DD19F34}"/>
                </c:ext>
              </c:extLst>
            </c:dLbl>
            <c:dLbl>
              <c:idx val="3"/>
              <c:tx>
                <c:rich>
                  <a:bodyPr/>
                  <a:lstStyle/>
                  <a:p>
                    <a:fld id="{0E1CD7E7-8A21-4A96-A105-81B1ACBABD80}" type="CELLRANGE">
                      <a:rPr lang="en-US"/>
                      <a:pPr/>
                      <a:t>[CELLRANGE]</a:t>
                    </a:fld>
                    <a:r>
                      <a:rPr lang="en-US" baseline="0"/>
                      <a:t>; </a:t>
                    </a:r>
                    <a:fld id="{3C94EBAE-BA52-4998-8298-E508DDD72E76}"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62C-45AB-9ACB-4B7B0DD19F34}"/>
                </c:ext>
              </c:extLst>
            </c:dLbl>
            <c:dLbl>
              <c:idx val="4"/>
              <c:tx>
                <c:rich>
                  <a:bodyPr/>
                  <a:lstStyle/>
                  <a:p>
                    <a:fld id="{78AE3ADD-91AE-4EED-BEFC-9112224E5041}" type="CELLRANGE">
                      <a:rPr lang="en-US"/>
                      <a:pPr/>
                      <a:t>[CELLRANGE]</a:t>
                    </a:fld>
                    <a:r>
                      <a:rPr lang="en-US" baseline="0"/>
                      <a:t>; </a:t>
                    </a:r>
                    <a:fld id="{34C96369-D8B6-4426-B684-28946BFBB97B}"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62C-45AB-9ACB-4B7B0DD19F34}"/>
                </c:ext>
              </c:extLst>
            </c:dLbl>
            <c:dLbl>
              <c:idx val="5"/>
              <c:tx>
                <c:rich>
                  <a:bodyPr/>
                  <a:lstStyle/>
                  <a:p>
                    <a:fld id="{91587012-EA1B-452D-921C-7FEAB12ACB1E}" type="CELLRANGE">
                      <a:rPr lang="en-US"/>
                      <a:pPr/>
                      <a:t>[CELLRANGE]</a:t>
                    </a:fld>
                    <a:r>
                      <a:rPr lang="en-US" baseline="0"/>
                      <a:t>; </a:t>
                    </a:r>
                    <a:fld id="{776A42BD-4981-4466-8E4A-B8710DC771B4}"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62C-45AB-9ACB-4B7B0DD19F34}"/>
                </c:ext>
              </c:extLst>
            </c:dLbl>
            <c:dLbl>
              <c:idx val="6"/>
              <c:tx>
                <c:rich>
                  <a:bodyPr/>
                  <a:lstStyle/>
                  <a:p>
                    <a:fld id="{902A4FC2-817E-4AD8-9C27-25D23D465BF8}" type="CELLRANGE">
                      <a:rPr lang="en-US"/>
                      <a:pPr/>
                      <a:t>[CELLRANGE]</a:t>
                    </a:fld>
                    <a:r>
                      <a:rPr lang="en-US" baseline="0"/>
                      <a:t>; </a:t>
                    </a:r>
                    <a:fld id="{EFF8EFEB-5745-404B-8FA9-D0D07FFD0406}"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62C-45AB-9ACB-4B7B0DD19F34}"/>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892</c:v>
                </c:pt>
                <c:pt idx="1">
                  <c:v>773</c:v>
                </c:pt>
                <c:pt idx="2">
                  <c:v>822</c:v>
                </c:pt>
                <c:pt idx="3">
                  <c:v>779</c:v>
                </c:pt>
                <c:pt idx="4">
                  <c:v>808</c:v>
                </c:pt>
                <c:pt idx="5">
                  <c:v>491</c:v>
                </c:pt>
                <c:pt idx="6">
                  <c:v>434</c:v>
                </c:pt>
              </c:numCache>
            </c:numRef>
          </c:val>
          <c:extLst>
            <c:ext xmlns:c15="http://schemas.microsoft.com/office/drawing/2012/chart" uri="{02D57815-91ED-43cb-92C2-25804820EDAC}">
              <c15:datalabelsRange>
                <c15:f>Kuvaajat!$P$25:$P$31</c15:f>
                <c15:dlblRangeCache>
                  <c:ptCount val="7"/>
                  <c:pt idx="0">
                    <c:v>15.3.2021</c:v>
                  </c:pt>
                  <c:pt idx="1">
                    <c:v>9.3.2021</c:v>
                  </c:pt>
                  <c:pt idx="2">
                    <c:v>10.3.2021</c:v>
                  </c:pt>
                  <c:pt idx="3">
                    <c:v>11.3.2021</c:v>
                  </c:pt>
                  <c:pt idx="4">
                    <c:v>12.3.2021</c:v>
                  </c:pt>
                  <c:pt idx="5">
                    <c:v>13.3.2021</c:v>
                  </c:pt>
                  <c:pt idx="6">
                    <c:v>14.3.2021</c:v>
                  </c:pt>
                </c15:dlblRangeCache>
              </c15:datalabelsRange>
            </c:ext>
            <c:ext xmlns:c16="http://schemas.microsoft.com/office/drawing/2014/chart" uri="{C3380CC4-5D6E-409C-BE32-E72D297353CC}">
              <c16:uniqueId val="{00000000-862C-45AB-9ACB-4B7B0DD19F34}"/>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15.6.2021 saakka. Suurin arvo 892, joka 15.3.2021.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1"/>
          <c:order val="0"/>
          <c:marker>
            <c:symbol val="none"/>
          </c:marker>
          <c:cat>
            <c:strRef>
              <c:f>HUS!PlotX</c:f>
              <c:strCache>
                <c:ptCount val="531"/>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strCache>
            </c:strRef>
          </c:cat>
          <c:val>
            <c:numRef>
              <c:f>HUS!PlotY</c:f>
              <c:numCache>
                <c:formatCode>General</c:formatCode>
                <c:ptCount val="5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133</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7</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85</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103</c:v>
                </c:pt>
                <c:pt idx="297">
                  <c:v>66</c:v>
                </c:pt>
                <c:pt idx="298">
                  <c:v>71</c:v>
                </c:pt>
                <c:pt idx="299">
                  <c:v>133</c:v>
                </c:pt>
                <c:pt idx="300">
                  <c:v>121</c:v>
                </c:pt>
                <c:pt idx="301">
                  <c:v>121</c:v>
                </c:pt>
                <c:pt idx="302">
                  <c:v>102</c:v>
                </c:pt>
                <c:pt idx="303">
                  <c:v>123</c:v>
                </c:pt>
                <c:pt idx="304">
                  <c:v>72</c:v>
                </c:pt>
                <c:pt idx="305">
                  <c:v>93</c:v>
                </c:pt>
                <c:pt idx="306">
                  <c:v>155</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180</c:v>
                </c:pt>
                <c:pt idx="326">
                  <c:v>161</c:v>
                </c:pt>
                <c:pt idx="327">
                  <c:v>261</c:v>
                </c:pt>
                <c:pt idx="328">
                  <c:v>283</c:v>
                </c:pt>
                <c:pt idx="329">
                  <c:v>299</c:v>
                </c:pt>
                <c:pt idx="330">
                  <c:v>261</c:v>
                </c:pt>
                <c:pt idx="331">
                  <c:v>242</c:v>
                </c:pt>
                <c:pt idx="332">
                  <c:v>151</c:v>
                </c:pt>
                <c:pt idx="333">
                  <c:v>158</c:v>
                </c:pt>
                <c:pt idx="334">
                  <c:v>313</c:v>
                </c:pt>
                <c:pt idx="335">
                  <c:v>221</c:v>
                </c:pt>
                <c:pt idx="336">
                  <c:v>250</c:v>
                </c:pt>
                <c:pt idx="337">
                  <c:v>281</c:v>
                </c:pt>
                <c:pt idx="338">
                  <c:v>224</c:v>
                </c:pt>
                <c:pt idx="339">
                  <c:v>153</c:v>
                </c:pt>
                <c:pt idx="340">
                  <c:v>157</c:v>
                </c:pt>
                <c:pt idx="341">
                  <c:v>284</c:v>
                </c:pt>
                <c:pt idx="342">
                  <c:v>253</c:v>
                </c:pt>
                <c:pt idx="343">
                  <c:v>268</c:v>
                </c:pt>
                <c:pt idx="344">
                  <c:v>222</c:v>
                </c:pt>
                <c:pt idx="345">
                  <c:v>235</c:v>
                </c:pt>
                <c:pt idx="346">
                  <c:v>147</c:v>
                </c:pt>
                <c:pt idx="347">
                  <c:v>169</c:v>
                </c:pt>
                <c:pt idx="348">
                  <c:v>233</c:v>
                </c:pt>
                <c:pt idx="349">
                  <c:v>195</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223</c:v>
                </c:pt>
                <c:pt idx="363">
                  <c:v>164</c:v>
                </c:pt>
                <c:pt idx="364">
                  <c:v>110</c:v>
                </c:pt>
                <c:pt idx="365">
                  <c:v>136</c:v>
                </c:pt>
                <c:pt idx="366">
                  <c:v>67</c:v>
                </c:pt>
                <c:pt idx="367">
                  <c:v>117</c:v>
                </c:pt>
                <c:pt idx="368">
                  <c:v>93</c:v>
                </c:pt>
                <c:pt idx="369">
                  <c:v>197</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97</c:v>
                </c:pt>
                <c:pt idx="383">
                  <c:v>257</c:v>
                </c:pt>
                <c:pt idx="384">
                  <c:v>189</c:v>
                </c:pt>
                <c:pt idx="385">
                  <c:v>209</c:v>
                </c:pt>
                <c:pt idx="386">
                  <c:v>178</c:v>
                </c:pt>
                <c:pt idx="387">
                  <c:v>196</c:v>
                </c:pt>
                <c:pt idx="388">
                  <c:v>93</c:v>
                </c:pt>
                <c:pt idx="389">
                  <c:v>153</c:v>
                </c:pt>
                <c:pt idx="390">
                  <c:v>257</c:v>
                </c:pt>
                <c:pt idx="391">
                  <c:v>212</c:v>
                </c:pt>
                <c:pt idx="392">
                  <c:v>188</c:v>
                </c:pt>
                <c:pt idx="393">
                  <c:v>229</c:v>
                </c:pt>
                <c:pt idx="394">
                  <c:v>191</c:v>
                </c:pt>
                <c:pt idx="395">
                  <c:v>132</c:v>
                </c:pt>
                <c:pt idx="396">
                  <c:v>167</c:v>
                </c:pt>
                <c:pt idx="397">
                  <c:v>296</c:v>
                </c:pt>
                <c:pt idx="398">
                  <c:v>250</c:v>
                </c:pt>
                <c:pt idx="399">
                  <c:v>263</c:v>
                </c:pt>
                <c:pt idx="400">
                  <c:v>225</c:v>
                </c:pt>
                <c:pt idx="401">
                  <c:v>216</c:v>
                </c:pt>
                <c:pt idx="402">
                  <c:v>152</c:v>
                </c:pt>
                <c:pt idx="403">
                  <c:v>173</c:v>
                </c:pt>
                <c:pt idx="404">
                  <c:v>295</c:v>
                </c:pt>
                <c:pt idx="405">
                  <c:v>240</c:v>
                </c:pt>
                <c:pt idx="406">
                  <c:v>230</c:v>
                </c:pt>
                <c:pt idx="407">
                  <c:v>237</c:v>
                </c:pt>
                <c:pt idx="408">
                  <c:v>261</c:v>
                </c:pt>
                <c:pt idx="409">
                  <c:v>191</c:v>
                </c:pt>
                <c:pt idx="410">
                  <c:v>181</c:v>
                </c:pt>
                <c:pt idx="411">
                  <c:v>360</c:v>
                </c:pt>
                <c:pt idx="412">
                  <c:v>328</c:v>
                </c:pt>
                <c:pt idx="413">
                  <c:v>329</c:v>
                </c:pt>
                <c:pt idx="414">
                  <c:v>325</c:v>
                </c:pt>
                <c:pt idx="415">
                  <c:v>306</c:v>
                </c:pt>
                <c:pt idx="416">
                  <c:v>185</c:v>
                </c:pt>
                <c:pt idx="417">
                  <c:v>220</c:v>
                </c:pt>
                <c:pt idx="418">
                  <c:v>388</c:v>
                </c:pt>
                <c:pt idx="419">
                  <c:v>383</c:v>
                </c:pt>
                <c:pt idx="420">
                  <c:v>417</c:v>
                </c:pt>
                <c:pt idx="421">
                  <c:v>361</c:v>
                </c:pt>
                <c:pt idx="422">
                  <c:v>429</c:v>
                </c:pt>
                <c:pt idx="423">
                  <c:v>266</c:v>
                </c:pt>
                <c:pt idx="424">
                  <c:v>266</c:v>
                </c:pt>
                <c:pt idx="425">
                  <c:v>483</c:v>
                </c:pt>
                <c:pt idx="426">
                  <c:v>492</c:v>
                </c:pt>
                <c:pt idx="427">
                  <c:v>475</c:v>
                </c:pt>
                <c:pt idx="428">
                  <c:v>389</c:v>
                </c:pt>
                <c:pt idx="429">
                  <c:v>420</c:v>
                </c:pt>
                <c:pt idx="430">
                  <c:v>277</c:v>
                </c:pt>
                <c:pt idx="431">
                  <c:v>256</c:v>
                </c:pt>
                <c:pt idx="432">
                  <c:v>501</c:v>
                </c:pt>
                <c:pt idx="433">
                  <c:v>506</c:v>
                </c:pt>
                <c:pt idx="434">
                  <c:v>505</c:v>
                </c:pt>
                <c:pt idx="435">
                  <c:v>477</c:v>
                </c:pt>
                <c:pt idx="436">
                  <c:v>517</c:v>
                </c:pt>
                <c:pt idx="437">
                  <c:v>327</c:v>
                </c:pt>
                <c:pt idx="438">
                  <c:v>262</c:v>
                </c:pt>
                <c:pt idx="439">
                  <c:v>508</c:v>
                </c:pt>
                <c:pt idx="440">
                  <c:v>454</c:v>
                </c:pt>
                <c:pt idx="441">
                  <c:v>417</c:v>
                </c:pt>
                <c:pt idx="442">
                  <c:v>455</c:v>
                </c:pt>
                <c:pt idx="443">
                  <c:v>444</c:v>
                </c:pt>
                <c:pt idx="444">
                  <c:v>287</c:v>
                </c:pt>
                <c:pt idx="445">
                  <c:v>288</c:v>
                </c:pt>
                <c:pt idx="446">
                  <c:v>452</c:v>
                </c:pt>
                <c:pt idx="447">
                  <c:v>452</c:v>
                </c:pt>
                <c:pt idx="448">
                  <c:v>394</c:v>
                </c:pt>
                <c:pt idx="449">
                  <c:v>355</c:v>
                </c:pt>
                <c:pt idx="450">
                  <c:v>407</c:v>
                </c:pt>
                <c:pt idx="451">
                  <c:v>199</c:v>
                </c:pt>
                <c:pt idx="452">
                  <c:v>248</c:v>
                </c:pt>
                <c:pt idx="453">
                  <c:v>378</c:v>
                </c:pt>
                <c:pt idx="454">
                  <c:v>322</c:v>
                </c:pt>
                <c:pt idx="455">
                  <c:v>331</c:v>
                </c:pt>
                <c:pt idx="456">
                  <c:v>252</c:v>
                </c:pt>
                <c:pt idx="457">
                  <c:v>223</c:v>
                </c:pt>
                <c:pt idx="458">
                  <c:v>188</c:v>
                </c:pt>
                <c:pt idx="459">
                  <c:v>206</c:v>
                </c:pt>
                <c:pt idx="460">
                  <c:v>232</c:v>
                </c:pt>
                <c:pt idx="461">
                  <c:v>305</c:v>
                </c:pt>
                <c:pt idx="462">
                  <c:v>246</c:v>
                </c:pt>
                <c:pt idx="463">
                  <c:v>211</c:v>
                </c:pt>
                <c:pt idx="464">
                  <c:v>175</c:v>
                </c:pt>
                <c:pt idx="465">
                  <c:v>137</c:v>
                </c:pt>
                <c:pt idx="466">
                  <c:v>142</c:v>
                </c:pt>
                <c:pt idx="467">
                  <c:v>215</c:v>
                </c:pt>
                <c:pt idx="468">
                  <c:v>155</c:v>
                </c:pt>
                <c:pt idx="469">
                  <c:v>169</c:v>
                </c:pt>
                <c:pt idx="470">
                  <c:v>129</c:v>
                </c:pt>
                <c:pt idx="471">
                  <c:v>130</c:v>
                </c:pt>
                <c:pt idx="472">
                  <c:v>124</c:v>
                </c:pt>
                <c:pt idx="473">
                  <c:v>88</c:v>
                </c:pt>
                <c:pt idx="474">
                  <c:v>136</c:v>
                </c:pt>
                <c:pt idx="475">
                  <c:v>144</c:v>
                </c:pt>
                <c:pt idx="476">
                  <c:v>114</c:v>
                </c:pt>
                <c:pt idx="477">
                  <c:v>139</c:v>
                </c:pt>
                <c:pt idx="478">
                  <c:v>110</c:v>
                </c:pt>
                <c:pt idx="479">
                  <c:v>85</c:v>
                </c:pt>
                <c:pt idx="480">
                  <c:v>83</c:v>
                </c:pt>
                <c:pt idx="481">
                  <c:v>121</c:v>
                </c:pt>
                <c:pt idx="482">
                  <c:v>109</c:v>
                </c:pt>
                <c:pt idx="483">
                  <c:v>146</c:v>
                </c:pt>
                <c:pt idx="484">
                  <c:v>94</c:v>
                </c:pt>
                <c:pt idx="485">
                  <c:v>97</c:v>
                </c:pt>
                <c:pt idx="486">
                  <c:v>54</c:v>
                </c:pt>
                <c:pt idx="487">
                  <c:v>81</c:v>
                </c:pt>
                <c:pt idx="488">
                  <c:v>158</c:v>
                </c:pt>
                <c:pt idx="489">
                  <c:v>113</c:v>
                </c:pt>
                <c:pt idx="490">
                  <c:v>126</c:v>
                </c:pt>
                <c:pt idx="491">
                  <c:v>113</c:v>
                </c:pt>
                <c:pt idx="492">
                  <c:v>94</c:v>
                </c:pt>
                <c:pt idx="493">
                  <c:v>69</c:v>
                </c:pt>
                <c:pt idx="494">
                  <c:v>69</c:v>
                </c:pt>
                <c:pt idx="495">
                  <c:v>138</c:v>
                </c:pt>
                <c:pt idx="496">
                  <c:v>108</c:v>
                </c:pt>
                <c:pt idx="497">
                  <c:v>146</c:v>
                </c:pt>
                <c:pt idx="498">
                  <c:v>77</c:v>
                </c:pt>
                <c:pt idx="499">
                  <c:v>85</c:v>
                </c:pt>
                <c:pt idx="500">
                  <c:v>80</c:v>
                </c:pt>
                <c:pt idx="501">
                  <c:v>55</c:v>
                </c:pt>
                <c:pt idx="502">
                  <c:v>120</c:v>
                </c:pt>
                <c:pt idx="503">
                  <c:v>109</c:v>
                </c:pt>
                <c:pt idx="504">
                  <c:v>113</c:v>
                </c:pt>
                <c:pt idx="505">
                  <c:v>103</c:v>
                </c:pt>
                <c:pt idx="506">
                  <c:v>86</c:v>
                </c:pt>
                <c:pt idx="507">
                  <c:v>55</c:v>
                </c:pt>
                <c:pt idx="508">
                  <c:v>54</c:v>
                </c:pt>
                <c:pt idx="509">
                  <c:v>109</c:v>
                </c:pt>
                <c:pt idx="510">
                  <c:v>85</c:v>
                </c:pt>
                <c:pt idx="511">
                  <c:v>76</c:v>
                </c:pt>
                <c:pt idx="512">
                  <c:v>56</c:v>
                </c:pt>
                <c:pt idx="513">
                  <c:v>64</c:v>
                </c:pt>
                <c:pt idx="514">
                  <c:v>28</c:v>
                </c:pt>
                <c:pt idx="515">
                  <c:v>49</c:v>
                </c:pt>
                <c:pt idx="516">
                  <c:v>95</c:v>
                </c:pt>
                <c:pt idx="517">
                  <c:v>77</c:v>
                </c:pt>
                <c:pt idx="518">
                  <c:v>67</c:v>
                </c:pt>
                <c:pt idx="519">
                  <c:v>68</c:v>
                </c:pt>
                <c:pt idx="520">
                  <c:v>63</c:v>
                </c:pt>
                <c:pt idx="521">
                  <c:v>41</c:v>
                </c:pt>
                <c:pt idx="522">
                  <c:v>41</c:v>
                </c:pt>
                <c:pt idx="523">
                  <c:v>85</c:v>
                </c:pt>
                <c:pt idx="524">
                  <c:v>53</c:v>
                </c:pt>
                <c:pt idx="525">
                  <c:v>37</c:v>
                </c:pt>
                <c:pt idx="526">
                  <c:v>32</c:v>
                </c:pt>
                <c:pt idx="527">
                  <c:v>33</c:v>
                </c:pt>
                <c:pt idx="528">
                  <c:v>34</c:v>
                </c:pt>
                <c:pt idx="529">
                  <c:v>32</c:v>
                </c:pt>
                <c:pt idx="530">
                  <c:v>33</c:v>
                </c:pt>
                <c:pt idx="531">
                  <c:v>41</c:v>
                </c:pt>
              </c:numCache>
            </c:numRef>
          </c:val>
          <c:smooth val="0"/>
          <c:extLst>
            <c:ext xmlns:c16="http://schemas.microsoft.com/office/drawing/2014/chart" uri="{C3380CC4-5D6E-409C-BE32-E72D297353CC}">
              <c16:uniqueId val="{00000003-6029-47E8-8842-142D96B25EEC}"/>
            </c:ext>
          </c:extLst>
        </c:ser>
        <c:ser>
          <c:idx val="0"/>
          <c:order val="1"/>
          <c:spPr>
            <a:ln w="28575" cap="rnd">
              <a:solidFill>
                <a:schemeClr val="accent1"/>
              </a:solidFill>
              <a:round/>
            </a:ln>
            <a:effectLst/>
          </c:spPr>
          <c:marker>
            <c:symbol val="none"/>
          </c:marker>
          <c:cat>
            <c:strRef>
              <c:f>[0]!PlotX</c:f>
              <c:strCache>
                <c:ptCount val="531"/>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strCache>
            </c:strRef>
          </c:cat>
          <c:val>
            <c:numRef>
              <c:f>[0]!PlotY</c:f>
              <c:numCache>
                <c:formatCode>General</c:formatCode>
                <c:ptCount val="5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193</c:v>
                </c:pt>
                <c:pt idx="297">
                  <c:v>107</c:v>
                </c:pt>
                <c:pt idx="298">
                  <c:v>124</c:v>
                </c:pt>
                <c:pt idx="299">
                  <c:v>255</c:v>
                </c:pt>
                <c:pt idx="300">
                  <c:v>232</c:v>
                </c:pt>
                <c:pt idx="301">
                  <c:v>240</c:v>
                </c:pt>
                <c:pt idx="302">
                  <c:v>237</c:v>
                </c:pt>
                <c:pt idx="303">
                  <c:v>220</c:v>
                </c:pt>
                <c:pt idx="304">
                  <c:v>121</c:v>
                </c:pt>
                <c:pt idx="305">
                  <c:v>151</c:v>
                </c:pt>
                <c:pt idx="306">
                  <c:v>287</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284</c:v>
                </c:pt>
                <c:pt idx="341">
                  <c:v>587</c:v>
                </c:pt>
                <c:pt idx="342">
                  <c:v>478</c:v>
                </c:pt>
                <c:pt idx="343">
                  <c:v>462</c:v>
                </c:pt>
                <c:pt idx="344">
                  <c:v>407</c:v>
                </c:pt>
                <c:pt idx="345">
                  <c:v>445</c:v>
                </c:pt>
                <c:pt idx="346">
                  <c:v>249</c:v>
                </c:pt>
                <c:pt idx="347">
                  <c:v>276</c:v>
                </c:pt>
                <c:pt idx="348">
                  <c:v>463</c:v>
                </c:pt>
                <c:pt idx="349">
                  <c:v>359</c:v>
                </c:pt>
                <c:pt idx="350">
                  <c:v>353</c:v>
                </c:pt>
                <c:pt idx="351">
                  <c:v>323</c:v>
                </c:pt>
                <c:pt idx="352">
                  <c:v>394</c:v>
                </c:pt>
                <c:pt idx="353">
                  <c:v>191</c:v>
                </c:pt>
                <c:pt idx="354">
                  <c:v>244</c:v>
                </c:pt>
                <c:pt idx="355">
                  <c:v>375</c:v>
                </c:pt>
                <c:pt idx="356">
                  <c:v>332</c:v>
                </c:pt>
                <c:pt idx="357">
                  <c:v>277</c:v>
                </c:pt>
                <c:pt idx="358">
                  <c:v>138</c:v>
                </c:pt>
                <c:pt idx="359">
                  <c:v>157</c:v>
                </c:pt>
                <c:pt idx="360">
                  <c:v>183</c:v>
                </c:pt>
                <c:pt idx="361">
                  <c:v>191</c:v>
                </c:pt>
                <c:pt idx="362">
                  <c:v>435</c:v>
                </c:pt>
                <c:pt idx="363">
                  <c:v>307</c:v>
                </c:pt>
                <c:pt idx="364">
                  <c:v>255</c:v>
                </c:pt>
                <c:pt idx="365">
                  <c:v>254</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260</c:v>
                </c:pt>
                <c:pt idx="379">
                  <c:v>249</c:v>
                </c:pt>
                <c:pt idx="380">
                  <c:v>266</c:v>
                </c:pt>
                <c:pt idx="381">
                  <c:v>171</c:v>
                </c:pt>
                <c:pt idx="382">
                  <c:v>197</c:v>
                </c:pt>
                <c:pt idx="383">
                  <c:v>448</c:v>
                </c:pt>
                <c:pt idx="384">
                  <c:v>342</c:v>
                </c:pt>
                <c:pt idx="385">
                  <c:v>406</c:v>
                </c:pt>
                <c:pt idx="386">
                  <c:v>377</c:v>
                </c:pt>
                <c:pt idx="387">
                  <c:v>361</c:v>
                </c:pt>
                <c:pt idx="388">
                  <c:v>168</c:v>
                </c:pt>
                <c:pt idx="389">
                  <c:v>247</c:v>
                </c:pt>
                <c:pt idx="390">
                  <c:v>605</c:v>
                </c:pt>
                <c:pt idx="391">
                  <c:v>397</c:v>
                </c:pt>
                <c:pt idx="392">
                  <c:v>382</c:v>
                </c:pt>
                <c:pt idx="393">
                  <c:v>435</c:v>
                </c:pt>
                <c:pt idx="394">
                  <c:v>378</c:v>
                </c:pt>
                <c:pt idx="395">
                  <c:v>232</c:v>
                </c:pt>
                <c:pt idx="396">
                  <c:v>273</c:v>
                </c:pt>
                <c:pt idx="397">
                  <c:v>534</c:v>
                </c:pt>
                <c:pt idx="398">
                  <c:v>396</c:v>
                </c:pt>
                <c:pt idx="399">
                  <c:v>441</c:v>
                </c:pt>
                <c:pt idx="400">
                  <c:v>373</c:v>
                </c:pt>
                <c:pt idx="401">
                  <c:v>367</c:v>
                </c:pt>
                <c:pt idx="402">
                  <c:v>238</c:v>
                </c:pt>
                <c:pt idx="403">
                  <c:v>264</c:v>
                </c:pt>
                <c:pt idx="404">
                  <c:v>461</c:v>
                </c:pt>
                <c:pt idx="405">
                  <c:v>372</c:v>
                </c:pt>
                <c:pt idx="406">
                  <c:v>383</c:v>
                </c:pt>
                <c:pt idx="407">
                  <c:v>361</c:v>
                </c:pt>
                <c:pt idx="408">
                  <c:v>419</c:v>
                </c:pt>
                <c:pt idx="409">
                  <c:v>279</c:v>
                </c:pt>
                <c:pt idx="410">
                  <c:v>282</c:v>
                </c:pt>
                <c:pt idx="411">
                  <c:v>616</c:v>
                </c:pt>
                <c:pt idx="412">
                  <c:v>514</c:v>
                </c:pt>
                <c:pt idx="413">
                  <c:v>553</c:v>
                </c:pt>
                <c:pt idx="414">
                  <c:v>611</c:v>
                </c:pt>
                <c:pt idx="415">
                  <c:v>573</c:v>
                </c:pt>
                <c:pt idx="416">
                  <c:v>318</c:v>
                </c:pt>
                <c:pt idx="417">
                  <c:v>356</c:v>
                </c:pt>
                <c:pt idx="418">
                  <c:v>623</c:v>
                </c:pt>
                <c:pt idx="419">
                  <c:v>626</c:v>
                </c:pt>
                <c:pt idx="420">
                  <c:v>598</c:v>
                </c:pt>
                <c:pt idx="421">
                  <c:v>629</c:v>
                </c:pt>
                <c:pt idx="422">
                  <c:v>686</c:v>
                </c:pt>
                <c:pt idx="423">
                  <c:v>401</c:v>
                </c:pt>
                <c:pt idx="424">
                  <c:v>422</c:v>
                </c:pt>
                <c:pt idx="425">
                  <c:v>875</c:v>
                </c:pt>
                <c:pt idx="426">
                  <c:v>758</c:v>
                </c:pt>
                <c:pt idx="427">
                  <c:v>732</c:v>
                </c:pt>
                <c:pt idx="428">
                  <c:v>640</c:v>
                </c:pt>
                <c:pt idx="429">
                  <c:v>630</c:v>
                </c:pt>
                <c:pt idx="430">
                  <c:v>433</c:v>
                </c:pt>
                <c:pt idx="431">
                  <c:v>395</c:v>
                </c:pt>
                <c:pt idx="432">
                  <c:v>834</c:v>
                </c:pt>
                <c:pt idx="433">
                  <c:v>773</c:v>
                </c:pt>
                <c:pt idx="434">
                  <c:v>822</c:v>
                </c:pt>
                <c:pt idx="435">
                  <c:v>779</c:v>
                </c:pt>
                <c:pt idx="436">
                  <c:v>808</c:v>
                </c:pt>
                <c:pt idx="437">
                  <c:v>491</c:v>
                </c:pt>
                <c:pt idx="438">
                  <c:v>434</c:v>
                </c:pt>
                <c:pt idx="439">
                  <c:v>892</c:v>
                </c:pt>
                <c:pt idx="440">
                  <c:v>767</c:v>
                </c:pt>
                <c:pt idx="441">
                  <c:v>743</c:v>
                </c:pt>
                <c:pt idx="442">
                  <c:v>735</c:v>
                </c:pt>
                <c:pt idx="443">
                  <c:v>745</c:v>
                </c:pt>
                <c:pt idx="444">
                  <c:v>404</c:v>
                </c:pt>
                <c:pt idx="445">
                  <c:v>420</c:v>
                </c:pt>
                <c:pt idx="446">
                  <c:v>769</c:v>
                </c:pt>
                <c:pt idx="447">
                  <c:v>703</c:v>
                </c:pt>
                <c:pt idx="448">
                  <c:v>695</c:v>
                </c:pt>
                <c:pt idx="449">
                  <c:v>606</c:v>
                </c:pt>
                <c:pt idx="450">
                  <c:v>688</c:v>
                </c:pt>
                <c:pt idx="451">
                  <c:v>351</c:v>
                </c:pt>
                <c:pt idx="452">
                  <c:v>372</c:v>
                </c:pt>
                <c:pt idx="453">
                  <c:v>654</c:v>
                </c:pt>
                <c:pt idx="454">
                  <c:v>570</c:v>
                </c:pt>
                <c:pt idx="455">
                  <c:v>550</c:v>
                </c:pt>
                <c:pt idx="456">
                  <c:v>486</c:v>
                </c:pt>
                <c:pt idx="457">
                  <c:v>361</c:v>
                </c:pt>
                <c:pt idx="458">
                  <c:v>320</c:v>
                </c:pt>
                <c:pt idx="459">
                  <c:v>322</c:v>
                </c:pt>
                <c:pt idx="460">
                  <c:v>359</c:v>
                </c:pt>
                <c:pt idx="461">
                  <c:v>545</c:v>
                </c:pt>
                <c:pt idx="462">
                  <c:v>426</c:v>
                </c:pt>
                <c:pt idx="463">
                  <c:v>407</c:v>
                </c:pt>
                <c:pt idx="464">
                  <c:v>351</c:v>
                </c:pt>
                <c:pt idx="465">
                  <c:v>226</c:v>
                </c:pt>
                <c:pt idx="466">
                  <c:v>239</c:v>
                </c:pt>
                <c:pt idx="467">
                  <c:v>398</c:v>
                </c:pt>
                <c:pt idx="468">
                  <c:v>325</c:v>
                </c:pt>
                <c:pt idx="469">
                  <c:v>345</c:v>
                </c:pt>
                <c:pt idx="470">
                  <c:v>274</c:v>
                </c:pt>
                <c:pt idx="471">
                  <c:v>264</c:v>
                </c:pt>
                <c:pt idx="472">
                  <c:v>171</c:v>
                </c:pt>
                <c:pt idx="473">
                  <c:v>156</c:v>
                </c:pt>
                <c:pt idx="474">
                  <c:v>284</c:v>
                </c:pt>
                <c:pt idx="475">
                  <c:v>285</c:v>
                </c:pt>
                <c:pt idx="476">
                  <c:v>233</c:v>
                </c:pt>
                <c:pt idx="477">
                  <c:v>258</c:v>
                </c:pt>
                <c:pt idx="478">
                  <c:v>255</c:v>
                </c:pt>
                <c:pt idx="479">
                  <c:v>155</c:v>
                </c:pt>
                <c:pt idx="480">
                  <c:v>140</c:v>
                </c:pt>
                <c:pt idx="481">
                  <c:v>243</c:v>
                </c:pt>
                <c:pt idx="482">
                  <c:v>228</c:v>
                </c:pt>
                <c:pt idx="483">
                  <c:v>274</c:v>
                </c:pt>
                <c:pt idx="484">
                  <c:v>201</c:v>
                </c:pt>
                <c:pt idx="485">
                  <c:v>197</c:v>
                </c:pt>
                <c:pt idx="486">
                  <c:v>108</c:v>
                </c:pt>
                <c:pt idx="487">
                  <c:v>135</c:v>
                </c:pt>
                <c:pt idx="488">
                  <c:v>318</c:v>
                </c:pt>
                <c:pt idx="489">
                  <c:v>205</c:v>
                </c:pt>
                <c:pt idx="490">
                  <c:v>266</c:v>
                </c:pt>
                <c:pt idx="491">
                  <c:v>239</c:v>
                </c:pt>
                <c:pt idx="492">
                  <c:v>214</c:v>
                </c:pt>
                <c:pt idx="493">
                  <c:v>131</c:v>
                </c:pt>
                <c:pt idx="494">
                  <c:v>130</c:v>
                </c:pt>
                <c:pt idx="495">
                  <c:v>257</c:v>
                </c:pt>
                <c:pt idx="496">
                  <c:v>216</c:v>
                </c:pt>
                <c:pt idx="497">
                  <c:v>256</c:v>
                </c:pt>
                <c:pt idx="498">
                  <c:v>156</c:v>
                </c:pt>
                <c:pt idx="499">
                  <c:v>245</c:v>
                </c:pt>
                <c:pt idx="500">
                  <c:v>160</c:v>
                </c:pt>
                <c:pt idx="501">
                  <c:v>133</c:v>
                </c:pt>
                <c:pt idx="502">
                  <c:v>284</c:v>
                </c:pt>
                <c:pt idx="503">
                  <c:v>217</c:v>
                </c:pt>
                <c:pt idx="504">
                  <c:v>230</c:v>
                </c:pt>
                <c:pt idx="505">
                  <c:v>215</c:v>
                </c:pt>
                <c:pt idx="506">
                  <c:v>168</c:v>
                </c:pt>
                <c:pt idx="507">
                  <c:v>108</c:v>
                </c:pt>
                <c:pt idx="508">
                  <c:v>93</c:v>
                </c:pt>
                <c:pt idx="509">
                  <c:v>188</c:v>
                </c:pt>
                <c:pt idx="510">
                  <c:v>152</c:v>
                </c:pt>
                <c:pt idx="511">
                  <c:v>142</c:v>
                </c:pt>
                <c:pt idx="512">
                  <c:v>127</c:v>
                </c:pt>
                <c:pt idx="513">
                  <c:v>136</c:v>
                </c:pt>
                <c:pt idx="514">
                  <c:v>64</c:v>
                </c:pt>
                <c:pt idx="515">
                  <c:v>79</c:v>
                </c:pt>
                <c:pt idx="516">
                  <c:v>145</c:v>
                </c:pt>
                <c:pt idx="517">
                  <c:v>121</c:v>
                </c:pt>
                <c:pt idx="518">
                  <c:v>118</c:v>
                </c:pt>
                <c:pt idx="519">
                  <c:v>111</c:v>
                </c:pt>
                <c:pt idx="520">
                  <c:v>101</c:v>
                </c:pt>
                <c:pt idx="521">
                  <c:v>65</c:v>
                </c:pt>
                <c:pt idx="522">
                  <c:v>59</c:v>
                </c:pt>
                <c:pt idx="523">
                  <c:v>136</c:v>
                </c:pt>
                <c:pt idx="524">
                  <c:v>101</c:v>
                </c:pt>
                <c:pt idx="525">
                  <c:v>82</c:v>
                </c:pt>
                <c:pt idx="526">
                  <c:v>76</c:v>
                </c:pt>
                <c:pt idx="527">
                  <c:v>70</c:v>
                </c:pt>
                <c:pt idx="528">
                  <c:v>45</c:v>
                </c:pt>
                <c:pt idx="529">
                  <c:v>47</c:v>
                </c:pt>
                <c:pt idx="530">
                  <c:v>88</c:v>
                </c:pt>
                <c:pt idx="531">
                  <c:v>77</c:v>
                </c:pt>
              </c:numCache>
            </c:numRef>
          </c:val>
          <c:smooth val="0"/>
          <c:extLst>
            <c:ext xmlns:c16="http://schemas.microsoft.com/office/drawing/2014/chart" uri="{C3380CC4-5D6E-409C-BE32-E72D297353CC}">
              <c16:uniqueId val="{00000002-6029-47E8-8842-142D96B25EEC}"/>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plotArea>
    <c:plotVisOnly val="1"/>
    <c:dispBlanksAs val="gap"/>
    <c:showDLblsOverMax val="0"/>
    <c:extLst/>
  </c:chart>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4</xdr:col>
      <xdr:colOff>295275</xdr:colOff>
      <xdr:row>361</xdr:row>
      <xdr:rowOff>85724</xdr:rowOff>
    </xdr:from>
    <xdr:to>
      <xdr:col>11</xdr:col>
      <xdr:colOff>600075</xdr:colOff>
      <xdr:row>384</xdr:row>
      <xdr:rowOff>152399</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66675</xdr:rowOff>
        </xdr:from>
        <xdr:to>
          <xdr:col>1</xdr:col>
          <xdr:colOff>1362075</xdr:colOff>
          <xdr:row>0</xdr:row>
          <xdr:rowOff>447675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60960</xdr:colOff>
      <xdr:row>539</xdr:row>
      <xdr:rowOff>15240</xdr:rowOff>
    </xdr:from>
    <xdr:to>
      <xdr:col>12</xdr:col>
      <xdr:colOff>457200</xdr:colOff>
      <xdr:row>556</xdr:row>
      <xdr:rowOff>154033</xdr:rowOff>
    </xdr:to>
    <xdr:graphicFrame macro="">
      <xdr:nvGraphicFramePr>
        <xdr:cNvPr id="3" name="Chart 1">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47625</xdr:rowOff>
        </xdr:from>
        <xdr:to>
          <xdr:col>1</xdr:col>
          <xdr:colOff>1362075</xdr:colOff>
          <xdr:row>0</xdr:row>
          <xdr:rowOff>419100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3810</xdr:colOff>
      <xdr:row>428</xdr:row>
      <xdr:rowOff>139065</xdr:rowOff>
    </xdr:from>
    <xdr:to>
      <xdr:col>11</xdr:col>
      <xdr:colOff>514350</xdr:colOff>
      <xdr:row>446</xdr:row>
      <xdr:rowOff>87358</xdr:rowOff>
    </xdr:to>
    <xdr:graphicFrame macro="">
      <xdr:nvGraphicFramePr>
        <xdr:cNvPr id="3" name="Chart 1">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441960</xdr:colOff>
      <xdr:row>3</xdr:row>
      <xdr:rowOff>38100</xdr:rowOff>
    </xdr:from>
    <xdr:to>
      <xdr:col>22</xdr:col>
      <xdr:colOff>358686</xdr:colOff>
      <xdr:row>20</xdr:row>
      <xdr:rowOff>169273</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23</xdr:row>
      <xdr:rowOff>99060</xdr:rowOff>
    </xdr:from>
    <xdr:to>
      <xdr:col>22</xdr:col>
      <xdr:colOff>373926</xdr:colOff>
      <xdr:row>41</xdr:row>
      <xdr:rowOff>47353</xdr:rowOff>
    </xdr:to>
    <xdr:graphicFrame macro="">
      <xdr:nvGraphicFramePr>
        <xdr:cNvPr id="3" name="Chart 1">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0</xdr:row>
          <xdr:rowOff>114300</xdr:rowOff>
        </xdr:from>
        <xdr:to>
          <xdr:col>3</xdr:col>
          <xdr:colOff>314325</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95249</xdr:colOff>
      <xdr:row>4</xdr:row>
      <xdr:rowOff>28575</xdr:rowOff>
    </xdr:from>
    <xdr:to>
      <xdr:col>17</xdr:col>
      <xdr:colOff>123824</xdr:colOff>
      <xdr:row>21</xdr:row>
      <xdr:rowOff>167368</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85725</xdr:colOff>
      <xdr:row>22</xdr:row>
      <xdr:rowOff>123825</xdr:rowOff>
    </xdr:from>
    <xdr:to>
      <xdr:col>9</xdr:col>
      <xdr:colOff>390525</xdr:colOff>
      <xdr:row>37</xdr:row>
      <xdr:rowOff>91168</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406853</xdr:colOff>
      <xdr:row>59</xdr:row>
      <xdr:rowOff>66675</xdr:rowOff>
    </xdr:from>
    <xdr:to>
      <xdr:col>17</xdr:col>
      <xdr:colOff>559335</xdr:colOff>
      <xdr:row>77</xdr:row>
      <xdr:rowOff>142314</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43542</xdr:colOff>
      <xdr:row>81</xdr:row>
      <xdr:rowOff>19050</xdr:rowOff>
    </xdr:from>
    <xdr:to>
      <xdr:col>14</xdr:col>
      <xdr:colOff>382281</xdr:colOff>
      <xdr:row>98</xdr:row>
      <xdr:rowOff>180975</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104775</xdr:colOff>
          <xdr:row>1</xdr:row>
          <xdr:rowOff>76200</xdr:rowOff>
        </xdr:from>
        <xdr:to>
          <xdr:col>2</xdr:col>
          <xdr:colOff>447675</xdr:colOff>
          <xdr:row>3</xdr:row>
          <xdr:rowOff>28575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11</xdr:col>
      <xdr:colOff>304799</xdr:colOff>
      <xdr:row>41</xdr:row>
      <xdr:rowOff>85725</xdr:rowOff>
    </xdr:from>
    <xdr:to>
      <xdr:col>20</xdr:col>
      <xdr:colOff>390524</xdr:colOff>
      <xdr:row>55</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9525</xdr:colOff>
      <xdr:row>41</xdr:row>
      <xdr:rowOff>142875</xdr:rowOff>
    </xdr:from>
    <xdr:to>
      <xdr:col>11</xdr:col>
      <xdr:colOff>76200</xdr:colOff>
      <xdr:row>56</xdr:row>
      <xdr:rowOff>104774</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428625</xdr:colOff>
      <xdr:row>3</xdr:row>
      <xdr:rowOff>161925</xdr:rowOff>
    </xdr:from>
    <xdr:to>
      <xdr:col>33</xdr:col>
      <xdr:colOff>348615</xdr:colOff>
      <xdr:row>21</xdr:row>
      <xdr:rowOff>110218</xdr:rowOff>
    </xdr:to>
    <xdr:graphicFrame macro="">
      <xdr:nvGraphicFramePr>
        <xdr:cNvPr id="9" name="Chart 1">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9"/>
  <sheetViews>
    <sheetView workbookViewId="0">
      <selection activeCell="B20" sqref="B20"/>
    </sheetView>
  </sheetViews>
  <sheetFormatPr defaultRowHeight="15"/>
  <sheetData>
    <row r="2" spans="2:12" ht="14.85" customHeight="1">
      <c r="B2" s="45" t="s">
        <v>523</v>
      </c>
      <c r="C2" s="46"/>
      <c r="D2" s="46"/>
      <c r="E2" s="46"/>
      <c r="F2" s="46"/>
      <c r="G2" s="46"/>
      <c r="H2" s="46"/>
      <c r="I2" s="47"/>
      <c r="J2" s="47"/>
      <c r="K2" s="47"/>
      <c r="L2" s="47"/>
    </row>
    <row r="3" spans="2:12">
      <c r="B3" s="46"/>
      <c r="C3" s="46"/>
      <c r="D3" s="46"/>
      <c r="E3" s="46"/>
      <c r="F3" s="46"/>
      <c r="G3" s="46"/>
      <c r="H3" s="46"/>
      <c r="I3" s="47"/>
      <c r="J3" s="47"/>
      <c r="K3" s="47"/>
      <c r="L3" s="47"/>
    </row>
    <row r="4" spans="2:12">
      <c r="B4" s="46"/>
      <c r="C4" s="46"/>
      <c r="D4" s="46"/>
      <c r="E4" s="46"/>
      <c r="F4" s="46"/>
      <c r="G4" s="46"/>
      <c r="H4" s="46"/>
      <c r="I4" s="47"/>
      <c r="J4" s="47"/>
      <c r="K4" s="47"/>
      <c r="L4" s="47"/>
    </row>
    <row r="5" spans="2:12">
      <c r="B5" s="46"/>
      <c r="C5" s="46"/>
      <c r="D5" s="46"/>
      <c r="E5" s="46"/>
      <c r="F5" s="46"/>
      <c r="G5" s="46"/>
      <c r="H5" s="46"/>
      <c r="I5" s="47"/>
      <c r="J5" s="47"/>
      <c r="K5" s="47"/>
      <c r="L5" s="47"/>
    </row>
    <row r="6" spans="2:12">
      <c r="B6" s="46"/>
      <c r="C6" s="46"/>
      <c r="D6" s="46"/>
      <c r="E6" s="46"/>
      <c r="F6" s="46"/>
      <c r="G6" s="46"/>
      <c r="H6" s="46"/>
      <c r="I6" s="47"/>
      <c r="J6" s="47"/>
      <c r="K6" s="47"/>
      <c r="L6" s="47"/>
    </row>
    <row r="7" spans="2:12">
      <c r="B7" s="46"/>
      <c r="C7" s="46"/>
      <c r="D7" s="46"/>
      <c r="E7" s="46"/>
      <c r="F7" s="46"/>
      <c r="G7" s="46"/>
      <c r="H7" s="46"/>
      <c r="I7" s="47"/>
      <c r="J7" s="47"/>
      <c r="K7" s="47"/>
      <c r="L7" s="47"/>
    </row>
    <row r="8" spans="2:12">
      <c r="F8" s="3"/>
      <c r="G8" s="5"/>
    </row>
    <row r="9" spans="2:12">
      <c r="B9" s="2" t="s">
        <v>3</v>
      </c>
      <c r="F9" s="3"/>
    </row>
    <row r="10" spans="2:12">
      <c r="B10" s="2" t="s">
        <v>232</v>
      </c>
      <c r="F10" s="3"/>
      <c r="G10" s="5"/>
    </row>
    <row r="11" spans="2:12">
      <c r="F11" s="3"/>
      <c r="G11" s="5"/>
    </row>
    <row r="12" spans="2:12">
      <c r="B12" s="2" t="s">
        <v>4</v>
      </c>
      <c r="F12" s="3"/>
      <c r="G12" s="5"/>
    </row>
    <row r="13" spans="2:12">
      <c r="B13" s="2" t="s">
        <v>2</v>
      </c>
      <c r="F13" s="3"/>
      <c r="G13" s="5"/>
    </row>
    <row r="15" spans="2:12">
      <c r="B15" t="s">
        <v>229</v>
      </c>
    </row>
    <row r="17" spans="2:2">
      <c r="B17" t="s">
        <v>538</v>
      </c>
    </row>
    <row r="18" spans="2:2">
      <c r="B18" s="13" t="s">
        <v>466</v>
      </c>
    </row>
    <row r="19" spans="2:2">
      <c r="B19" t="s">
        <v>457</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2:D423"/>
  <sheetViews>
    <sheetView workbookViewId="0"/>
  </sheetViews>
  <sheetFormatPr defaultRowHeight="15"/>
  <cols>
    <col min="1" max="1" width="23.5703125" bestFit="1" customWidth="1"/>
  </cols>
  <sheetData>
    <row r="2" spans="1:4">
      <c r="A2" t="s">
        <v>234</v>
      </c>
      <c r="B2">
        <v>0</v>
      </c>
    </row>
    <row r="3" spans="1:4">
      <c r="A3" t="s">
        <v>235</v>
      </c>
      <c r="B3">
        <v>0</v>
      </c>
    </row>
    <row r="4" spans="1:4">
      <c r="A4" t="s">
        <v>236</v>
      </c>
      <c r="B4">
        <v>0</v>
      </c>
    </row>
    <row r="5" spans="1:4">
      <c r="A5" t="s">
        <v>237</v>
      </c>
      <c r="B5">
        <v>0</v>
      </c>
    </row>
    <row r="6" spans="1:4">
      <c r="A6" t="s">
        <v>238</v>
      </c>
      <c r="B6">
        <v>0</v>
      </c>
    </row>
    <row r="7" spans="1:4">
      <c r="A7" t="s">
        <v>239</v>
      </c>
      <c r="B7">
        <v>0</v>
      </c>
    </row>
    <row r="8" spans="1:4">
      <c r="A8" t="s">
        <v>240</v>
      </c>
      <c r="B8">
        <v>0</v>
      </c>
      <c r="C8">
        <f>Kaikki!A8</f>
        <v>0</v>
      </c>
      <c r="D8" s="39" t="e">
        <f t="shared" ref="D8:D71" si="0">C8/B8</f>
        <v>#DIV/0!</v>
      </c>
    </row>
    <row r="9" spans="1:4">
      <c r="A9" t="s">
        <v>241</v>
      </c>
      <c r="B9">
        <v>0</v>
      </c>
      <c r="C9">
        <f>Kaikki!A9</f>
        <v>0</v>
      </c>
      <c r="D9" s="39" t="e">
        <f t="shared" si="0"/>
        <v>#DIV/0!</v>
      </c>
    </row>
    <row r="10" spans="1:4">
      <c r="A10" t="s">
        <v>242</v>
      </c>
      <c r="B10">
        <v>0</v>
      </c>
      <c r="C10">
        <f>Kaikki!A10</f>
        <v>0</v>
      </c>
      <c r="D10" s="39" t="e">
        <f t="shared" si="0"/>
        <v>#DIV/0!</v>
      </c>
    </row>
    <row r="11" spans="1:4">
      <c r="A11" t="s">
        <v>243</v>
      </c>
      <c r="B11">
        <v>0</v>
      </c>
      <c r="C11">
        <f>Kaikki!A11</f>
        <v>0</v>
      </c>
      <c r="D11" s="39" t="e">
        <f t="shared" si="0"/>
        <v>#DIV/0!</v>
      </c>
    </row>
    <row r="12" spans="1:4">
      <c r="A12" t="s">
        <v>244</v>
      </c>
      <c r="B12">
        <v>0</v>
      </c>
      <c r="C12">
        <f>Kaikki!A12</f>
        <v>0</v>
      </c>
      <c r="D12" s="39" t="e">
        <f t="shared" si="0"/>
        <v>#DIV/0!</v>
      </c>
    </row>
    <row r="13" spans="1:4">
      <c r="A13" t="s">
        <v>245</v>
      </c>
      <c r="B13">
        <v>0</v>
      </c>
      <c r="C13">
        <f>Kaikki!A13</f>
        <v>0</v>
      </c>
      <c r="D13" s="39" t="e">
        <f t="shared" si="0"/>
        <v>#DIV/0!</v>
      </c>
    </row>
    <row r="14" spans="1:4">
      <c r="A14" t="s">
        <v>246</v>
      </c>
      <c r="B14">
        <v>0</v>
      </c>
      <c r="C14">
        <f>Kaikki!A14</f>
        <v>0</v>
      </c>
      <c r="D14" s="39" t="e">
        <f t="shared" si="0"/>
        <v>#DIV/0!</v>
      </c>
    </row>
    <row r="15" spans="1:4">
      <c r="A15" t="s">
        <v>247</v>
      </c>
      <c r="B15">
        <v>0</v>
      </c>
      <c r="C15">
        <f>Kaikki!A15</f>
        <v>0</v>
      </c>
      <c r="D15" s="39" t="e">
        <f t="shared" si="0"/>
        <v>#DIV/0!</v>
      </c>
    </row>
    <row r="16" spans="1:4">
      <c r="A16" t="s">
        <v>248</v>
      </c>
      <c r="B16">
        <v>0</v>
      </c>
      <c r="C16">
        <f>Kaikki!A16</f>
        <v>0</v>
      </c>
      <c r="D16" s="39" t="e">
        <f t="shared" si="0"/>
        <v>#DIV/0!</v>
      </c>
    </row>
    <row r="17" spans="1:4">
      <c r="A17" t="s">
        <v>249</v>
      </c>
      <c r="B17">
        <v>0</v>
      </c>
      <c r="C17">
        <f>Kaikki!A17</f>
        <v>0</v>
      </c>
      <c r="D17" s="39" t="e">
        <f t="shared" si="0"/>
        <v>#DIV/0!</v>
      </c>
    </row>
    <row r="18" spans="1:4">
      <c r="A18" t="s">
        <v>250</v>
      </c>
      <c r="B18">
        <v>0</v>
      </c>
      <c r="C18">
        <f>Kaikki!A18</f>
        <v>0</v>
      </c>
      <c r="D18" s="39" t="e">
        <f t="shared" si="0"/>
        <v>#DIV/0!</v>
      </c>
    </row>
    <row r="19" spans="1:4">
      <c r="A19" t="s">
        <v>251</v>
      </c>
      <c r="B19">
        <v>0</v>
      </c>
      <c r="C19">
        <f>Kaikki!A19</f>
        <v>0</v>
      </c>
      <c r="D19" s="39" t="e">
        <f t="shared" si="0"/>
        <v>#DIV/0!</v>
      </c>
    </row>
    <row r="20" spans="1:4">
      <c r="A20" t="s">
        <v>252</v>
      </c>
      <c r="B20">
        <v>0</v>
      </c>
      <c r="C20">
        <f>Kaikki!A20</f>
        <v>0</v>
      </c>
      <c r="D20" s="39" t="e">
        <f t="shared" si="0"/>
        <v>#DIV/0!</v>
      </c>
    </row>
    <row r="21" spans="1:4">
      <c r="A21" t="s">
        <v>253</v>
      </c>
      <c r="B21">
        <v>0</v>
      </c>
      <c r="C21">
        <f>Kaikki!A21</f>
        <v>0</v>
      </c>
      <c r="D21" s="39" t="e">
        <f t="shared" si="0"/>
        <v>#DIV/0!</v>
      </c>
    </row>
    <row r="22" spans="1:4">
      <c r="A22" t="s">
        <v>254</v>
      </c>
      <c r="B22">
        <v>0</v>
      </c>
      <c r="C22">
        <f>Kaikki!A22</f>
        <v>0</v>
      </c>
      <c r="D22" s="39" t="e">
        <f t="shared" si="0"/>
        <v>#DIV/0!</v>
      </c>
    </row>
    <row r="23" spans="1:4">
      <c r="A23" t="s">
        <v>255</v>
      </c>
      <c r="B23">
        <v>0</v>
      </c>
      <c r="C23">
        <f>Kaikki!A23</f>
        <v>0</v>
      </c>
      <c r="D23" s="39" t="e">
        <f t="shared" si="0"/>
        <v>#DIV/0!</v>
      </c>
    </row>
    <row r="24" spans="1:4">
      <c r="A24" t="s">
        <v>256</v>
      </c>
      <c r="B24">
        <v>0</v>
      </c>
      <c r="C24">
        <f>Kaikki!A24</f>
        <v>0</v>
      </c>
      <c r="D24" s="39" t="e">
        <f t="shared" si="0"/>
        <v>#DIV/0!</v>
      </c>
    </row>
    <row r="25" spans="1:4">
      <c r="A25" t="s">
        <v>257</v>
      </c>
      <c r="B25">
        <v>0</v>
      </c>
      <c r="C25">
        <f>Kaikki!A25</f>
        <v>0</v>
      </c>
      <c r="D25" s="39" t="e">
        <f t="shared" si="0"/>
        <v>#DIV/0!</v>
      </c>
    </row>
    <row r="26" spans="1:4">
      <c r="A26" t="s">
        <v>258</v>
      </c>
      <c r="B26">
        <v>0</v>
      </c>
      <c r="C26">
        <f>Kaikki!A26</f>
        <v>0</v>
      </c>
      <c r="D26" s="39" t="e">
        <f t="shared" si="0"/>
        <v>#DIV/0!</v>
      </c>
    </row>
    <row r="27" spans="1:4">
      <c r="A27" t="s">
        <v>259</v>
      </c>
      <c r="B27">
        <v>0</v>
      </c>
      <c r="C27">
        <f>Kaikki!A27</f>
        <v>0</v>
      </c>
      <c r="D27" s="39" t="e">
        <f t="shared" si="0"/>
        <v>#DIV/0!</v>
      </c>
    </row>
    <row r="28" spans="1:4">
      <c r="A28" t="s">
        <v>260</v>
      </c>
      <c r="B28">
        <v>0</v>
      </c>
      <c r="C28">
        <f>Kaikki!A28</f>
        <v>0</v>
      </c>
      <c r="D28" s="39" t="e">
        <f t="shared" si="0"/>
        <v>#DIV/0!</v>
      </c>
    </row>
    <row r="29" spans="1:4">
      <c r="A29" t="s">
        <v>10</v>
      </c>
      <c r="B29">
        <v>0</v>
      </c>
      <c r="C29">
        <f>Kaikki!A29</f>
        <v>1</v>
      </c>
      <c r="D29" s="39" t="e">
        <f t="shared" si="0"/>
        <v>#DIV/0!</v>
      </c>
    </row>
    <row r="30" spans="1:4">
      <c r="A30" t="s">
        <v>261</v>
      </c>
      <c r="B30">
        <v>0</v>
      </c>
      <c r="C30">
        <f>Kaikki!A30</f>
        <v>0</v>
      </c>
      <c r="D30" s="39" t="e">
        <f t="shared" si="0"/>
        <v>#DIV/0!</v>
      </c>
    </row>
    <row r="31" spans="1:4">
      <c r="A31" t="s">
        <v>262</v>
      </c>
      <c r="B31">
        <v>0</v>
      </c>
      <c r="C31">
        <f>Kaikki!A31</f>
        <v>0</v>
      </c>
      <c r="D31" s="39" t="e">
        <f t="shared" si="0"/>
        <v>#DIV/0!</v>
      </c>
    </row>
    <row r="32" spans="1:4">
      <c r="A32" t="s">
        <v>263</v>
      </c>
      <c r="B32">
        <v>0</v>
      </c>
      <c r="C32">
        <f>Kaikki!A32</f>
        <v>0</v>
      </c>
      <c r="D32" s="39" t="e">
        <f t="shared" si="0"/>
        <v>#DIV/0!</v>
      </c>
    </row>
    <row r="33" spans="1:4">
      <c r="A33" t="s">
        <v>264</v>
      </c>
      <c r="B33">
        <v>0</v>
      </c>
      <c r="C33">
        <f>Kaikki!A33</f>
        <v>0</v>
      </c>
      <c r="D33" s="39" t="e">
        <f t="shared" si="0"/>
        <v>#DIV/0!</v>
      </c>
    </row>
    <row r="34" spans="1:4">
      <c r="A34" t="s">
        <v>265</v>
      </c>
      <c r="B34">
        <v>0</v>
      </c>
      <c r="C34">
        <f>Kaikki!A34</f>
        <v>0</v>
      </c>
      <c r="D34" s="39" t="e">
        <f t="shared" si="0"/>
        <v>#DIV/0!</v>
      </c>
    </row>
    <row r="35" spans="1:4">
      <c r="A35" t="s">
        <v>266</v>
      </c>
      <c r="B35">
        <v>0</v>
      </c>
      <c r="C35">
        <f>Kaikki!A35</f>
        <v>0</v>
      </c>
      <c r="D35" s="39" t="e">
        <f t="shared" si="0"/>
        <v>#DIV/0!</v>
      </c>
    </row>
    <row r="36" spans="1:4">
      <c r="A36" t="s">
        <v>267</v>
      </c>
      <c r="B36">
        <v>0</v>
      </c>
      <c r="C36">
        <f>Kaikki!A36</f>
        <v>0</v>
      </c>
      <c r="D36" s="39" t="e">
        <f t="shared" si="0"/>
        <v>#DIV/0!</v>
      </c>
    </row>
    <row r="37" spans="1:4">
      <c r="A37" t="s">
        <v>268</v>
      </c>
      <c r="B37">
        <v>0</v>
      </c>
      <c r="C37">
        <f>Kaikki!A37</f>
        <v>0</v>
      </c>
      <c r="D37" s="39" t="e">
        <f t="shared" si="0"/>
        <v>#DIV/0!</v>
      </c>
    </row>
    <row r="38" spans="1:4">
      <c r="A38" t="s">
        <v>269</v>
      </c>
      <c r="B38">
        <v>0</v>
      </c>
      <c r="C38">
        <f>Kaikki!A38</f>
        <v>0</v>
      </c>
      <c r="D38" s="39" t="e">
        <f t="shared" si="0"/>
        <v>#DIV/0!</v>
      </c>
    </row>
    <row r="39" spans="1:4">
      <c r="A39" t="s">
        <v>270</v>
      </c>
      <c r="B39">
        <v>0</v>
      </c>
      <c r="C39">
        <f>Kaikki!A39</f>
        <v>0</v>
      </c>
      <c r="D39" s="39" t="e">
        <f t="shared" si="0"/>
        <v>#DIV/0!</v>
      </c>
    </row>
    <row r="40" spans="1:4">
      <c r="A40" t="s">
        <v>271</v>
      </c>
      <c r="B40">
        <v>0</v>
      </c>
      <c r="C40">
        <f>Kaikki!A40</f>
        <v>0</v>
      </c>
      <c r="D40" s="39" t="e">
        <f t="shared" si="0"/>
        <v>#DIV/0!</v>
      </c>
    </row>
    <row r="41" spans="1:4">
      <c r="A41" t="s">
        <v>272</v>
      </c>
      <c r="B41">
        <v>0</v>
      </c>
      <c r="C41">
        <f>Kaikki!A41</f>
        <v>0</v>
      </c>
      <c r="D41" s="39" t="e">
        <f t="shared" si="0"/>
        <v>#DIV/0!</v>
      </c>
    </row>
    <row r="42" spans="1:4">
      <c r="A42" t="s">
        <v>11</v>
      </c>
      <c r="B42">
        <v>0</v>
      </c>
      <c r="C42">
        <f>Kaikki!A42</f>
        <v>1</v>
      </c>
      <c r="D42" s="39" t="e">
        <f t="shared" si="0"/>
        <v>#DIV/0!</v>
      </c>
    </row>
    <row r="43" spans="1:4">
      <c r="A43" t="s">
        <v>273</v>
      </c>
      <c r="B43">
        <v>0</v>
      </c>
      <c r="C43">
        <f>Kaikki!A43</f>
        <v>0</v>
      </c>
      <c r="D43" s="39" t="e">
        <f t="shared" si="0"/>
        <v>#DIV/0!</v>
      </c>
    </row>
    <row r="44" spans="1:4">
      <c r="A44" t="s">
        <v>274</v>
      </c>
      <c r="B44">
        <v>0</v>
      </c>
      <c r="C44">
        <f>Kaikki!A44</f>
        <v>0</v>
      </c>
      <c r="D44" s="39" t="e">
        <f t="shared" si="0"/>
        <v>#DIV/0!</v>
      </c>
    </row>
    <row r="45" spans="1:4">
      <c r="A45" t="s">
        <v>275</v>
      </c>
      <c r="B45">
        <v>0</v>
      </c>
      <c r="C45">
        <f>Kaikki!A45</f>
        <v>0</v>
      </c>
      <c r="D45" s="39" t="e">
        <f t="shared" si="0"/>
        <v>#DIV/0!</v>
      </c>
    </row>
    <row r="46" spans="1:4">
      <c r="A46" t="s">
        <v>276</v>
      </c>
      <c r="B46">
        <v>0</v>
      </c>
      <c r="C46">
        <f>Kaikki!A46</f>
        <v>0</v>
      </c>
      <c r="D46" s="39" t="e">
        <f t="shared" si="0"/>
        <v>#DIV/0!</v>
      </c>
    </row>
    <row r="47" spans="1:4">
      <c r="A47" t="s">
        <v>277</v>
      </c>
      <c r="B47">
        <v>0</v>
      </c>
      <c r="C47">
        <f>Kaikki!A47</f>
        <v>0</v>
      </c>
      <c r="D47" s="39" t="e">
        <f t="shared" si="0"/>
        <v>#DIV/0!</v>
      </c>
    </row>
    <row r="48" spans="1:4">
      <c r="A48" t="s">
        <v>278</v>
      </c>
      <c r="B48">
        <v>0</v>
      </c>
      <c r="C48">
        <f>Kaikki!A48</f>
        <v>0</v>
      </c>
      <c r="D48" s="39" t="e">
        <f t="shared" si="0"/>
        <v>#DIV/0!</v>
      </c>
    </row>
    <row r="49" spans="1:4">
      <c r="A49" t="s">
        <v>279</v>
      </c>
      <c r="B49">
        <v>0</v>
      </c>
      <c r="C49">
        <f>Kaikki!A49</f>
        <v>0</v>
      </c>
      <c r="D49" s="39" t="e">
        <f t="shared" si="0"/>
        <v>#DIV/0!</v>
      </c>
    </row>
    <row r="50" spans="1:4">
      <c r="A50" t="s">
        <v>280</v>
      </c>
      <c r="B50">
        <v>0</v>
      </c>
      <c r="C50">
        <f>Kaikki!A50</f>
        <v>0</v>
      </c>
      <c r="D50" s="39" t="e">
        <f t="shared" si="0"/>
        <v>#DIV/0!</v>
      </c>
    </row>
    <row r="51" spans="1:4">
      <c r="A51" t="s">
        <v>281</v>
      </c>
      <c r="B51">
        <v>0</v>
      </c>
      <c r="C51">
        <f>Kaikki!A51</f>
        <v>0</v>
      </c>
      <c r="D51" s="39" t="e">
        <f t="shared" si="0"/>
        <v>#DIV/0!</v>
      </c>
    </row>
    <row r="52" spans="1:4">
      <c r="A52" t="s">
        <v>282</v>
      </c>
      <c r="B52">
        <v>0</v>
      </c>
      <c r="C52">
        <f>Kaikki!A52</f>
        <v>0</v>
      </c>
      <c r="D52" s="39" t="e">
        <f t="shared" si="0"/>
        <v>#DIV/0!</v>
      </c>
    </row>
    <row r="53" spans="1:4">
      <c r="A53" t="s">
        <v>283</v>
      </c>
      <c r="B53">
        <v>0</v>
      </c>
      <c r="C53">
        <f>Kaikki!A53</f>
        <v>0</v>
      </c>
      <c r="D53" s="39" t="e">
        <f t="shared" si="0"/>
        <v>#DIV/0!</v>
      </c>
    </row>
    <row r="54" spans="1:4">
      <c r="A54" t="s">
        <v>12</v>
      </c>
      <c r="B54">
        <v>0</v>
      </c>
      <c r="C54">
        <f>Kaikki!A54</f>
        <v>1</v>
      </c>
      <c r="D54" s="39" t="e">
        <f t="shared" si="0"/>
        <v>#DIV/0!</v>
      </c>
    </row>
    <row r="55" spans="1:4">
      <c r="A55" t="s">
        <v>284</v>
      </c>
      <c r="B55">
        <v>0</v>
      </c>
      <c r="C55">
        <f>Kaikki!A55</f>
        <v>0</v>
      </c>
      <c r="D55" s="39" t="e">
        <f t="shared" si="0"/>
        <v>#DIV/0!</v>
      </c>
    </row>
    <row r="56" spans="1:4">
      <c r="A56" t="s">
        <v>285</v>
      </c>
      <c r="B56">
        <v>0</v>
      </c>
      <c r="C56">
        <f>Kaikki!A56</f>
        <v>0</v>
      </c>
      <c r="D56" s="39" t="e">
        <f t="shared" si="0"/>
        <v>#DIV/0!</v>
      </c>
    </row>
    <row r="57" spans="1:4">
      <c r="A57" t="s">
        <v>13</v>
      </c>
      <c r="B57">
        <v>0</v>
      </c>
      <c r="C57">
        <f>Kaikki!A57</f>
        <v>1</v>
      </c>
      <c r="D57" s="39" t="e">
        <f t="shared" si="0"/>
        <v>#DIV/0!</v>
      </c>
    </row>
    <row r="58" spans="1:4">
      <c r="A58" t="s">
        <v>286</v>
      </c>
      <c r="B58">
        <v>0</v>
      </c>
      <c r="C58">
        <f>Kaikki!A58</f>
        <v>0</v>
      </c>
      <c r="D58" s="39" t="e">
        <f t="shared" si="0"/>
        <v>#DIV/0!</v>
      </c>
    </row>
    <row r="59" spans="1:4">
      <c r="A59" t="s">
        <v>14</v>
      </c>
      <c r="B59">
        <v>9</v>
      </c>
      <c r="C59">
        <f>Kaikki!A59</f>
        <v>1</v>
      </c>
      <c r="D59" s="39">
        <f t="shared" si="0"/>
        <v>0.1111111111111111</v>
      </c>
    </row>
    <row r="60" spans="1:4">
      <c r="A60" t="s">
        <v>15</v>
      </c>
      <c r="B60">
        <v>358</v>
      </c>
      <c r="C60">
        <f>Kaikki!A60</f>
        <v>3</v>
      </c>
      <c r="D60" s="39">
        <f t="shared" si="0"/>
        <v>8.3798882681564244E-3</v>
      </c>
    </row>
    <row r="61" spans="1:4">
      <c r="A61" t="s">
        <v>16</v>
      </c>
      <c r="B61">
        <v>15</v>
      </c>
      <c r="C61">
        <f>Kaikki!A61</f>
        <v>1</v>
      </c>
      <c r="D61" s="39">
        <f t="shared" si="0"/>
        <v>6.6666666666666666E-2</v>
      </c>
    </row>
    <row r="62" spans="1:4">
      <c r="A62" t="s">
        <v>17</v>
      </c>
      <c r="B62">
        <v>16</v>
      </c>
      <c r="C62">
        <f>Kaikki!A62</f>
        <v>1</v>
      </c>
      <c r="D62" s="39">
        <f t="shared" si="0"/>
        <v>6.25E-2</v>
      </c>
    </row>
    <row r="63" spans="1:4">
      <c r="A63" t="s">
        <v>287</v>
      </c>
      <c r="B63">
        <v>26</v>
      </c>
      <c r="C63">
        <f>Kaikki!A63</f>
        <v>0</v>
      </c>
      <c r="D63" s="39">
        <f t="shared" si="0"/>
        <v>0</v>
      </c>
    </row>
    <row r="64" spans="1:4">
      <c r="A64" t="s">
        <v>18</v>
      </c>
      <c r="B64">
        <v>51</v>
      </c>
      <c r="C64">
        <f>Kaikki!A64</f>
        <v>4</v>
      </c>
      <c r="D64" s="39">
        <f t="shared" si="0"/>
        <v>7.8431372549019607E-2</v>
      </c>
    </row>
    <row r="65" spans="1:4">
      <c r="A65" t="s">
        <v>19</v>
      </c>
      <c r="B65">
        <v>85</v>
      </c>
      <c r="C65">
        <f>Kaikki!A65</f>
        <v>6</v>
      </c>
      <c r="D65" s="39">
        <f t="shared" si="0"/>
        <v>7.0588235294117646E-2</v>
      </c>
    </row>
    <row r="66" spans="1:4">
      <c r="A66" t="s">
        <v>20</v>
      </c>
      <c r="B66">
        <v>80</v>
      </c>
      <c r="C66">
        <f>Kaikki!A66</f>
        <v>1</v>
      </c>
      <c r="D66" s="39">
        <f t="shared" si="0"/>
        <v>1.2500000000000001E-2</v>
      </c>
    </row>
    <row r="67" spans="1:4">
      <c r="A67" t="s">
        <v>21</v>
      </c>
      <c r="B67">
        <v>105</v>
      </c>
      <c r="C67">
        <f>Kaikki!A67</f>
        <v>7</v>
      </c>
      <c r="D67" s="39">
        <f t="shared" si="0"/>
        <v>6.6666666666666666E-2</v>
      </c>
    </row>
    <row r="68" spans="1:4">
      <c r="A68" t="s">
        <v>22</v>
      </c>
      <c r="B68">
        <v>20</v>
      </c>
      <c r="C68">
        <f>Kaikki!A68</f>
        <v>7</v>
      </c>
      <c r="D68" s="39">
        <f t="shared" si="0"/>
        <v>0.35</v>
      </c>
    </row>
    <row r="69" spans="1:4">
      <c r="A69" t="s">
        <v>23</v>
      </c>
      <c r="B69">
        <v>14</v>
      </c>
      <c r="C69">
        <f>Kaikki!A69</f>
        <v>9</v>
      </c>
      <c r="D69" s="39">
        <f t="shared" si="0"/>
        <v>0.6428571428571429</v>
      </c>
    </row>
    <row r="70" spans="1:4">
      <c r="A70" t="s">
        <v>24</v>
      </c>
      <c r="B70">
        <v>122</v>
      </c>
      <c r="C70">
        <f>Kaikki!A70</f>
        <v>17</v>
      </c>
      <c r="D70" s="39">
        <f t="shared" si="0"/>
        <v>0.13934426229508196</v>
      </c>
    </row>
    <row r="71" spans="1:4">
      <c r="A71" t="s">
        <v>25</v>
      </c>
      <c r="B71">
        <v>128</v>
      </c>
      <c r="C71">
        <f>Kaikki!A71</f>
        <v>54</v>
      </c>
      <c r="D71" s="39">
        <f t="shared" si="0"/>
        <v>0.421875</v>
      </c>
    </row>
    <row r="72" spans="1:4">
      <c r="A72" t="s">
        <v>26</v>
      </c>
      <c r="B72">
        <v>163</v>
      </c>
      <c r="C72">
        <f>Kaikki!A72</f>
        <v>76</v>
      </c>
      <c r="D72" s="39">
        <f t="shared" ref="D72:D135" si="1">C72/B72</f>
        <v>0.46625766871165641</v>
      </c>
    </row>
    <row r="73" spans="1:4">
      <c r="A73" t="s">
        <v>27</v>
      </c>
      <c r="B73">
        <v>349</v>
      </c>
      <c r="C73">
        <f>Kaikki!A73</f>
        <v>60</v>
      </c>
      <c r="D73" s="39">
        <f t="shared" si="1"/>
        <v>0.17191977077363896</v>
      </c>
    </row>
    <row r="74" spans="1:4">
      <c r="A74" t="s">
        <v>28</v>
      </c>
      <c r="B74">
        <v>409</v>
      </c>
      <c r="C74">
        <f>Kaikki!A74</f>
        <v>28</v>
      </c>
      <c r="D74" s="39">
        <f t="shared" si="1"/>
        <v>6.8459657701711488E-2</v>
      </c>
    </row>
    <row r="75" spans="1:4">
      <c r="A75" t="s">
        <v>29</v>
      </c>
      <c r="B75">
        <v>595</v>
      </c>
      <c r="C75">
        <f>Kaikki!A75</f>
        <v>29</v>
      </c>
      <c r="D75" s="39">
        <f t="shared" si="1"/>
        <v>4.8739495798319328E-2</v>
      </c>
    </row>
    <row r="76" spans="1:4">
      <c r="A76" t="s">
        <v>30</v>
      </c>
      <c r="B76">
        <v>644</v>
      </c>
      <c r="C76">
        <f>Kaikki!A76</f>
        <v>53</v>
      </c>
      <c r="D76" s="39">
        <f t="shared" si="1"/>
        <v>8.2298136645962736E-2</v>
      </c>
    </row>
    <row r="77" spans="1:4">
      <c r="A77" t="s">
        <v>31</v>
      </c>
      <c r="B77">
        <v>868</v>
      </c>
      <c r="C77">
        <f>Kaikki!A77</f>
        <v>52</v>
      </c>
      <c r="D77" s="39">
        <f t="shared" si="1"/>
        <v>5.9907834101382486E-2</v>
      </c>
    </row>
    <row r="78" spans="1:4">
      <c r="A78" t="s">
        <v>32</v>
      </c>
      <c r="B78">
        <v>1136</v>
      </c>
      <c r="C78">
        <f>Kaikki!A78</f>
        <v>47</v>
      </c>
      <c r="D78" s="39">
        <f t="shared" si="1"/>
        <v>4.1373239436619719E-2</v>
      </c>
    </row>
    <row r="79" spans="1:4">
      <c r="A79" t="s">
        <v>33</v>
      </c>
      <c r="B79">
        <v>1025</v>
      </c>
      <c r="C79">
        <f>Kaikki!A79</f>
        <v>90</v>
      </c>
      <c r="D79" s="39">
        <f t="shared" si="1"/>
        <v>8.7804878048780483E-2</v>
      </c>
    </row>
    <row r="80" spans="1:4">
      <c r="A80" t="s">
        <v>34</v>
      </c>
      <c r="B80">
        <v>775</v>
      </c>
      <c r="C80">
        <f>Kaikki!A80</f>
        <v>99</v>
      </c>
      <c r="D80" s="39">
        <f t="shared" si="1"/>
        <v>0.12774193548387097</v>
      </c>
    </row>
    <row r="81" spans="1:4">
      <c r="A81" t="s">
        <v>35</v>
      </c>
      <c r="B81">
        <v>1286</v>
      </c>
      <c r="C81">
        <f>Kaikki!A81</f>
        <v>87</v>
      </c>
      <c r="D81" s="39">
        <f t="shared" si="1"/>
        <v>6.7651632970451014E-2</v>
      </c>
    </row>
    <row r="82" spans="1:4">
      <c r="A82" t="s">
        <v>36</v>
      </c>
      <c r="B82">
        <v>1603</v>
      </c>
      <c r="C82">
        <f>Kaikki!A82</f>
        <v>87</v>
      </c>
      <c r="D82" s="39">
        <f t="shared" si="1"/>
        <v>5.4273237679351216E-2</v>
      </c>
    </row>
    <row r="83" spans="1:4">
      <c r="A83" t="s">
        <v>37</v>
      </c>
      <c r="B83">
        <v>1048</v>
      </c>
      <c r="C83">
        <f>Kaikki!A83</f>
        <v>78</v>
      </c>
      <c r="D83" s="39">
        <f t="shared" si="1"/>
        <v>7.4427480916030533E-2</v>
      </c>
    </row>
    <row r="84" spans="1:4">
      <c r="A84" t="s">
        <v>38</v>
      </c>
      <c r="B84">
        <v>1316</v>
      </c>
      <c r="C84">
        <f>Kaikki!A84</f>
        <v>84</v>
      </c>
      <c r="D84" s="39">
        <f t="shared" si="1"/>
        <v>6.3829787234042548E-2</v>
      </c>
    </row>
    <row r="85" spans="1:4">
      <c r="A85" t="s">
        <v>39</v>
      </c>
      <c r="B85">
        <v>1582</v>
      </c>
      <c r="C85">
        <f>Kaikki!A85</f>
        <v>99</v>
      </c>
      <c r="D85" s="39">
        <f t="shared" si="1"/>
        <v>6.2579013906447531E-2</v>
      </c>
    </row>
    <row r="86" spans="1:4">
      <c r="A86" t="s">
        <v>40</v>
      </c>
      <c r="B86">
        <v>1848</v>
      </c>
      <c r="C86">
        <f>Kaikki!A86</f>
        <v>104</v>
      </c>
      <c r="D86" s="39">
        <f t="shared" si="1"/>
        <v>5.627705627705628E-2</v>
      </c>
    </row>
    <row r="87" spans="1:4">
      <c r="A87" t="s">
        <v>41</v>
      </c>
      <c r="B87">
        <v>1837</v>
      </c>
      <c r="C87">
        <f>Kaikki!A87</f>
        <v>113</v>
      </c>
      <c r="D87" s="39">
        <f t="shared" si="1"/>
        <v>6.1513336962438755E-2</v>
      </c>
    </row>
    <row r="88" spans="1:4">
      <c r="A88" t="s">
        <v>42</v>
      </c>
      <c r="B88">
        <v>2004</v>
      </c>
      <c r="C88">
        <f>Kaikki!A88</f>
        <v>95</v>
      </c>
      <c r="D88" s="39">
        <f t="shared" si="1"/>
        <v>4.740518962075848E-2</v>
      </c>
    </row>
    <row r="89" spans="1:4">
      <c r="A89" t="s">
        <v>43</v>
      </c>
      <c r="B89">
        <v>1205</v>
      </c>
      <c r="C89">
        <f>Kaikki!A89</f>
        <v>77</v>
      </c>
      <c r="D89" s="39">
        <f t="shared" si="1"/>
        <v>6.3900414937759331E-2</v>
      </c>
    </row>
    <row r="90" spans="1:4">
      <c r="A90" t="s">
        <v>44</v>
      </c>
      <c r="B90">
        <v>587</v>
      </c>
      <c r="C90">
        <f>Kaikki!A90</f>
        <v>70</v>
      </c>
      <c r="D90" s="39">
        <f t="shared" si="1"/>
        <v>0.11925042589437819</v>
      </c>
    </row>
    <row r="91" spans="1:4">
      <c r="A91" t="s">
        <v>45</v>
      </c>
      <c r="B91">
        <v>1084</v>
      </c>
      <c r="C91">
        <f>Kaikki!A91</f>
        <v>129</v>
      </c>
      <c r="D91" s="39">
        <f t="shared" si="1"/>
        <v>0.11900369003690037</v>
      </c>
    </row>
    <row r="92" spans="1:4">
      <c r="A92" t="s">
        <v>46</v>
      </c>
      <c r="B92">
        <v>1131</v>
      </c>
      <c r="C92">
        <f>Kaikki!A92</f>
        <v>125</v>
      </c>
      <c r="D92" s="39">
        <f t="shared" si="1"/>
        <v>0.11052166224580018</v>
      </c>
    </row>
    <row r="93" spans="1:4">
      <c r="A93" t="s">
        <v>47</v>
      </c>
      <c r="B93">
        <v>1611</v>
      </c>
      <c r="C93">
        <f>Kaikki!A93</f>
        <v>149</v>
      </c>
      <c r="D93" s="39">
        <f t="shared" si="1"/>
        <v>9.2489137181874612E-2</v>
      </c>
    </row>
    <row r="94" spans="1:4">
      <c r="A94" t="s">
        <v>48</v>
      </c>
      <c r="B94">
        <v>2331</v>
      </c>
      <c r="C94">
        <f>Kaikki!A94</f>
        <v>161</v>
      </c>
      <c r="D94" s="39">
        <f t="shared" si="1"/>
        <v>6.9069069069069067E-2</v>
      </c>
    </row>
    <row r="95" spans="1:4">
      <c r="A95" t="s">
        <v>49</v>
      </c>
      <c r="B95">
        <v>1691</v>
      </c>
      <c r="C95">
        <f>Kaikki!A95</f>
        <v>199</v>
      </c>
      <c r="D95" s="39">
        <f t="shared" si="1"/>
        <v>0.11768184506209343</v>
      </c>
    </row>
    <row r="96" spans="1:4">
      <c r="A96" t="s">
        <v>50</v>
      </c>
      <c r="B96">
        <v>3224</v>
      </c>
      <c r="C96">
        <f>Kaikki!A96</f>
        <v>81</v>
      </c>
      <c r="D96" s="39">
        <f t="shared" si="1"/>
        <v>2.512406947890819E-2</v>
      </c>
    </row>
    <row r="97" spans="1:4">
      <c r="A97" t="s">
        <v>51</v>
      </c>
      <c r="B97">
        <v>1647</v>
      </c>
      <c r="C97">
        <f>Kaikki!A97</f>
        <v>122</v>
      </c>
      <c r="D97" s="39">
        <f t="shared" si="1"/>
        <v>7.407407407407407E-2</v>
      </c>
    </row>
    <row r="98" spans="1:4">
      <c r="A98" t="s">
        <v>52</v>
      </c>
      <c r="B98">
        <v>1971</v>
      </c>
      <c r="C98">
        <f>Kaikki!A98</f>
        <v>209</v>
      </c>
      <c r="D98" s="39">
        <f t="shared" si="1"/>
        <v>0.10603754439370877</v>
      </c>
    </row>
    <row r="99" spans="1:4">
      <c r="A99" t="s">
        <v>53</v>
      </c>
      <c r="B99">
        <v>2167</v>
      </c>
      <c r="C99">
        <f>Kaikki!A99</f>
        <v>200</v>
      </c>
      <c r="D99" s="39">
        <f t="shared" si="1"/>
        <v>9.2293493308721733E-2</v>
      </c>
    </row>
    <row r="100" spans="1:4">
      <c r="A100" t="s">
        <v>54</v>
      </c>
      <c r="B100">
        <v>3295</v>
      </c>
      <c r="C100">
        <f>Kaikki!A100</f>
        <v>138</v>
      </c>
      <c r="D100" s="39">
        <f t="shared" si="1"/>
        <v>4.1881638846737484E-2</v>
      </c>
    </row>
    <row r="101" spans="1:4">
      <c r="A101" t="s">
        <v>55</v>
      </c>
      <c r="B101">
        <v>2549</v>
      </c>
      <c r="C101">
        <f>Kaikki!A101</f>
        <v>158</v>
      </c>
      <c r="D101" s="39">
        <f t="shared" si="1"/>
        <v>6.1985092193016872E-2</v>
      </c>
    </row>
    <row r="102" spans="1:4">
      <c r="A102" t="s">
        <v>56</v>
      </c>
      <c r="B102">
        <v>3287</v>
      </c>
      <c r="C102">
        <f>Kaikki!A102</f>
        <v>71</v>
      </c>
      <c r="D102" s="39">
        <f t="shared" si="1"/>
        <v>2.1600243383024034E-2</v>
      </c>
    </row>
    <row r="103" spans="1:4">
      <c r="A103" t="s">
        <v>57</v>
      </c>
      <c r="B103">
        <v>1318</v>
      </c>
      <c r="C103">
        <f>Kaikki!A103</f>
        <v>75</v>
      </c>
      <c r="D103" s="39">
        <f t="shared" si="1"/>
        <v>5.6904400606980272E-2</v>
      </c>
    </row>
    <row r="104" spans="1:4">
      <c r="A104" t="s">
        <v>58</v>
      </c>
      <c r="B104">
        <v>1589</v>
      </c>
      <c r="C104">
        <f>Kaikki!A104</f>
        <v>80</v>
      </c>
      <c r="D104" s="39">
        <f t="shared" si="1"/>
        <v>5.0346129641283828E-2</v>
      </c>
    </row>
    <row r="105" spans="1:4">
      <c r="A105" t="s">
        <v>59</v>
      </c>
      <c r="B105">
        <v>920</v>
      </c>
      <c r="C105">
        <f>Kaikki!A105</f>
        <v>117</v>
      </c>
      <c r="D105" s="39">
        <f t="shared" si="1"/>
        <v>0.12717391304347825</v>
      </c>
    </row>
    <row r="106" spans="1:4">
      <c r="A106" t="s">
        <v>60</v>
      </c>
      <c r="B106">
        <v>1225</v>
      </c>
      <c r="C106">
        <f>Kaikki!A106</f>
        <v>175</v>
      </c>
      <c r="D106" s="39">
        <f t="shared" si="1"/>
        <v>0.14285714285714285</v>
      </c>
    </row>
    <row r="107" spans="1:4">
      <c r="A107" t="s">
        <v>61</v>
      </c>
      <c r="B107">
        <v>2492</v>
      </c>
      <c r="C107">
        <f>Kaikki!A107</f>
        <v>130</v>
      </c>
      <c r="D107" s="39">
        <f t="shared" si="1"/>
        <v>5.21669341894061E-2</v>
      </c>
    </row>
    <row r="108" spans="1:4">
      <c r="A108" t="s">
        <v>62</v>
      </c>
      <c r="B108">
        <v>3507</v>
      </c>
      <c r="C108">
        <f>Kaikki!A108</f>
        <v>120</v>
      </c>
      <c r="D108" s="39">
        <f t="shared" si="1"/>
        <v>3.4217279726261762E-2</v>
      </c>
    </row>
    <row r="109" spans="1:4">
      <c r="A109" t="s">
        <v>63</v>
      </c>
      <c r="B109">
        <v>2710</v>
      </c>
      <c r="C109">
        <f>Kaikki!A109</f>
        <v>125</v>
      </c>
      <c r="D109" s="39">
        <f t="shared" si="1"/>
        <v>4.6125461254612546E-2</v>
      </c>
    </row>
    <row r="110" spans="1:4">
      <c r="A110" t="s">
        <v>64</v>
      </c>
      <c r="B110">
        <v>3692</v>
      </c>
      <c r="C110">
        <f>Kaikki!A110</f>
        <v>56</v>
      </c>
      <c r="D110" s="39">
        <f t="shared" si="1"/>
        <v>1.5167930660888408E-2</v>
      </c>
    </row>
    <row r="111" spans="1:4">
      <c r="A111" t="s">
        <v>65</v>
      </c>
      <c r="B111">
        <v>2362</v>
      </c>
      <c r="C111">
        <f>Kaikki!A111</f>
        <v>67</v>
      </c>
      <c r="D111" s="39">
        <f t="shared" si="1"/>
        <v>2.8365791701947501E-2</v>
      </c>
    </row>
    <row r="112" spans="1:4">
      <c r="A112" t="s">
        <v>66</v>
      </c>
      <c r="B112">
        <v>1844</v>
      </c>
      <c r="C112">
        <f>Kaikki!A112</f>
        <v>143</v>
      </c>
      <c r="D112" s="39">
        <f t="shared" si="1"/>
        <v>7.7548806941431667E-2</v>
      </c>
    </row>
    <row r="113" spans="1:4">
      <c r="A113" t="s">
        <v>67</v>
      </c>
      <c r="B113">
        <v>3620</v>
      </c>
      <c r="C113">
        <f>Kaikki!A113</f>
        <v>112</v>
      </c>
      <c r="D113" s="39">
        <f t="shared" si="1"/>
        <v>3.0939226519337018E-2</v>
      </c>
    </row>
    <row r="114" spans="1:4">
      <c r="A114" t="s">
        <v>68</v>
      </c>
      <c r="B114">
        <v>4202</v>
      </c>
      <c r="C114">
        <f>Kaikki!A114</f>
        <v>124</v>
      </c>
      <c r="D114" s="39">
        <f t="shared" si="1"/>
        <v>2.9509757258448358E-2</v>
      </c>
    </row>
    <row r="115" spans="1:4">
      <c r="A115" t="s">
        <v>69</v>
      </c>
      <c r="B115">
        <v>3664</v>
      </c>
      <c r="C115">
        <f>Kaikki!A115</f>
        <v>116</v>
      </c>
      <c r="D115" s="39">
        <f t="shared" si="1"/>
        <v>3.1659388646288207E-2</v>
      </c>
    </row>
    <row r="116" spans="1:4">
      <c r="A116" t="s">
        <v>70</v>
      </c>
      <c r="B116">
        <v>4280</v>
      </c>
      <c r="C116">
        <f>Kaikki!A116</f>
        <v>92</v>
      </c>
      <c r="D116" s="39">
        <f t="shared" si="1"/>
        <v>2.1495327102803739E-2</v>
      </c>
    </row>
    <row r="117" spans="1:4">
      <c r="A117" t="s">
        <v>71</v>
      </c>
      <c r="B117">
        <v>3141</v>
      </c>
      <c r="C117">
        <f>Kaikki!A117</f>
        <v>76</v>
      </c>
      <c r="D117" s="39">
        <f t="shared" si="1"/>
        <v>2.4196115886660298E-2</v>
      </c>
    </row>
    <row r="118" spans="1:4">
      <c r="A118" t="s">
        <v>72</v>
      </c>
      <c r="B118">
        <v>2485</v>
      </c>
      <c r="C118">
        <f>Kaikki!A118</f>
        <v>73</v>
      </c>
      <c r="D118" s="39">
        <f t="shared" si="1"/>
        <v>2.9376257545271629E-2</v>
      </c>
    </row>
    <row r="119" spans="1:4">
      <c r="A119" t="s">
        <v>73</v>
      </c>
      <c r="B119">
        <v>2440</v>
      </c>
      <c r="C119">
        <f>Kaikki!A119</f>
        <v>123</v>
      </c>
      <c r="D119" s="39">
        <f t="shared" si="1"/>
        <v>5.0409836065573768E-2</v>
      </c>
    </row>
    <row r="120" spans="1:4">
      <c r="A120" t="s">
        <v>74</v>
      </c>
      <c r="B120">
        <v>3788</v>
      </c>
      <c r="C120">
        <f>Kaikki!A120</f>
        <v>139</v>
      </c>
      <c r="D120" s="39">
        <f t="shared" si="1"/>
        <v>3.6694825765575499E-2</v>
      </c>
    </row>
    <row r="121" spans="1:4">
      <c r="A121" t="s">
        <v>75</v>
      </c>
      <c r="B121">
        <v>4450</v>
      </c>
      <c r="C121">
        <f>Kaikki!A121</f>
        <v>108</v>
      </c>
      <c r="D121" s="39">
        <f t="shared" si="1"/>
        <v>2.4269662921348314E-2</v>
      </c>
    </row>
    <row r="122" spans="1:4">
      <c r="A122" t="s">
        <v>76</v>
      </c>
      <c r="B122">
        <v>4179</v>
      </c>
      <c r="C122">
        <f>Kaikki!A122</f>
        <v>86</v>
      </c>
      <c r="D122" s="39">
        <f t="shared" si="1"/>
        <v>2.0579085905719073E-2</v>
      </c>
    </row>
    <row r="123" spans="1:4">
      <c r="A123" t="s">
        <v>77</v>
      </c>
      <c r="B123">
        <v>3375</v>
      </c>
      <c r="C123">
        <f>Kaikki!A123</f>
        <v>48</v>
      </c>
      <c r="D123" s="39">
        <f t="shared" si="1"/>
        <v>1.4222222222222223E-2</v>
      </c>
    </row>
    <row r="124" spans="1:4">
      <c r="A124" t="s">
        <v>78</v>
      </c>
      <c r="B124">
        <v>1483</v>
      </c>
      <c r="C124">
        <f>Kaikki!A124</f>
        <v>58</v>
      </c>
      <c r="D124" s="39">
        <f t="shared" si="1"/>
        <v>3.910991233985165E-2</v>
      </c>
    </row>
    <row r="125" spans="1:4">
      <c r="A125" t="s">
        <v>79</v>
      </c>
      <c r="B125">
        <v>1649</v>
      </c>
      <c r="C125">
        <f>Kaikki!A125</f>
        <v>61</v>
      </c>
      <c r="D125" s="39">
        <f t="shared" si="1"/>
        <v>3.6992116434202547E-2</v>
      </c>
    </row>
    <row r="126" spans="1:4">
      <c r="A126" t="s">
        <v>80</v>
      </c>
      <c r="B126">
        <v>1767</v>
      </c>
      <c r="C126">
        <f>Kaikki!A126</f>
        <v>133</v>
      </c>
      <c r="D126" s="39">
        <f t="shared" si="1"/>
        <v>7.5268817204301078E-2</v>
      </c>
    </row>
    <row r="127" spans="1:4">
      <c r="A127" t="s">
        <v>81</v>
      </c>
      <c r="B127">
        <v>3771</v>
      </c>
      <c r="C127">
        <f>Kaikki!A127</f>
        <v>125</v>
      </c>
      <c r="D127" s="39">
        <f t="shared" si="1"/>
        <v>3.3147706178732431E-2</v>
      </c>
    </row>
    <row r="128" spans="1:4">
      <c r="A128" t="s">
        <v>82</v>
      </c>
      <c r="B128">
        <v>3808</v>
      </c>
      <c r="C128">
        <f>Kaikki!A128</f>
        <v>95</v>
      </c>
      <c r="D128" s="39">
        <f t="shared" si="1"/>
        <v>2.494747899159664E-2</v>
      </c>
    </row>
    <row r="129" spans="1:4">
      <c r="A129" t="s">
        <v>83</v>
      </c>
      <c r="B129">
        <v>3832</v>
      </c>
      <c r="C129">
        <f>Kaikki!A129</f>
        <v>108</v>
      </c>
      <c r="D129" s="39">
        <f t="shared" si="1"/>
        <v>2.8183716075156576E-2</v>
      </c>
    </row>
    <row r="130" spans="1:4">
      <c r="A130" t="s">
        <v>84</v>
      </c>
      <c r="B130">
        <v>3322</v>
      </c>
      <c r="C130">
        <f>Kaikki!A130</f>
        <v>81</v>
      </c>
      <c r="D130" s="39">
        <f t="shared" si="1"/>
        <v>2.4382901866345574E-2</v>
      </c>
    </row>
    <row r="131" spans="1:4">
      <c r="A131" t="s">
        <v>85</v>
      </c>
      <c r="B131">
        <v>2810</v>
      </c>
      <c r="C131">
        <f>Kaikki!A131</f>
        <v>47</v>
      </c>
      <c r="D131" s="39">
        <f t="shared" si="1"/>
        <v>1.6725978647686834E-2</v>
      </c>
    </row>
    <row r="132" spans="1:4">
      <c r="A132" t="s">
        <v>86</v>
      </c>
      <c r="B132">
        <v>1819</v>
      </c>
      <c r="C132">
        <f>Kaikki!A132</f>
        <v>28</v>
      </c>
      <c r="D132" s="39">
        <f t="shared" si="1"/>
        <v>1.5393073117097306E-2</v>
      </c>
    </row>
    <row r="133" spans="1:4">
      <c r="A133" t="s">
        <v>87</v>
      </c>
      <c r="B133">
        <v>2208</v>
      </c>
      <c r="C133">
        <f>Kaikki!A133</f>
        <v>92</v>
      </c>
      <c r="D133" s="39">
        <f t="shared" si="1"/>
        <v>4.1666666666666664E-2</v>
      </c>
    </row>
    <row r="134" spans="1:4">
      <c r="A134" t="s">
        <v>88</v>
      </c>
      <c r="B134">
        <v>4055</v>
      </c>
      <c r="C134">
        <f>Kaikki!A134</f>
        <v>67</v>
      </c>
      <c r="D134" s="39">
        <f t="shared" si="1"/>
        <v>1.6522811344019728E-2</v>
      </c>
    </row>
    <row r="135" spans="1:4">
      <c r="A135" t="s">
        <v>89</v>
      </c>
      <c r="B135">
        <v>4011</v>
      </c>
      <c r="C135">
        <f>Kaikki!A135</f>
        <v>78</v>
      </c>
      <c r="D135" s="39">
        <f t="shared" si="1"/>
        <v>1.944652206432311E-2</v>
      </c>
    </row>
    <row r="136" spans="1:4">
      <c r="A136" t="s">
        <v>90</v>
      </c>
      <c r="B136">
        <v>3896</v>
      </c>
      <c r="C136">
        <f>Kaikki!A136</f>
        <v>50</v>
      </c>
      <c r="D136" s="39">
        <f t="shared" ref="D136:D199" si="2">C136/B136</f>
        <v>1.2833675564681724E-2</v>
      </c>
    </row>
    <row r="137" spans="1:4">
      <c r="A137" t="s">
        <v>91</v>
      </c>
      <c r="B137">
        <v>4353</v>
      </c>
      <c r="C137">
        <f>Kaikki!A137</f>
        <v>55</v>
      </c>
      <c r="D137" s="39">
        <f t="shared" si="2"/>
        <v>1.2634964392373075E-2</v>
      </c>
    </row>
    <row r="138" spans="1:4">
      <c r="A138" t="s">
        <v>92</v>
      </c>
      <c r="B138">
        <v>3450</v>
      </c>
      <c r="C138">
        <f>Kaikki!A138</f>
        <v>25</v>
      </c>
      <c r="D138" s="39">
        <f t="shared" si="2"/>
        <v>7.246376811594203E-3</v>
      </c>
    </row>
    <row r="139" spans="1:4">
      <c r="A139" t="s">
        <v>93</v>
      </c>
      <c r="B139">
        <v>2312</v>
      </c>
      <c r="C139">
        <f>Kaikki!A139</f>
        <v>29</v>
      </c>
      <c r="D139" s="39">
        <f t="shared" si="2"/>
        <v>1.2543252595155709E-2</v>
      </c>
    </row>
    <row r="140" spans="1:4">
      <c r="A140" t="s">
        <v>94</v>
      </c>
      <c r="B140">
        <v>2360</v>
      </c>
      <c r="C140">
        <f>Kaikki!A140</f>
        <v>45</v>
      </c>
      <c r="D140" s="39">
        <f t="shared" si="2"/>
        <v>1.9067796610169493E-2</v>
      </c>
    </row>
    <row r="141" spans="1:4">
      <c r="A141" t="s">
        <v>95</v>
      </c>
      <c r="B141">
        <v>4946</v>
      </c>
      <c r="C141">
        <f>Kaikki!A141</f>
        <v>41</v>
      </c>
      <c r="D141" s="39">
        <f t="shared" si="2"/>
        <v>8.2895268904164977E-3</v>
      </c>
    </row>
    <row r="142" spans="1:4">
      <c r="A142" t="s">
        <v>96</v>
      </c>
      <c r="B142">
        <v>3696</v>
      </c>
      <c r="C142">
        <f>Kaikki!A142</f>
        <v>43</v>
      </c>
      <c r="D142" s="39">
        <f t="shared" si="2"/>
        <v>1.1634199134199134E-2</v>
      </c>
    </row>
    <row r="143" spans="1:4">
      <c r="A143" t="s">
        <v>97</v>
      </c>
      <c r="B143">
        <v>2965</v>
      </c>
      <c r="C143">
        <f>Kaikki!A143</f>
        <v>22</v>
      </c>
      <c r="D143" s="39">
        <f t="shared" si="2"/>
        <v>7.4198988195615517E-3</v>
      </c>
    </row>
    <row r="144" spans="1:4">
      <c r="A144" t="s">
        <v>98</v>
      </c>
      <c r="B144">
        <v>2216</v>
      </c>
      <c r="C144">
        <f>Kaikki!A144</f>
        <v>32</v>
      </c>
      <c r="D144" s="39">
        <f t="shared" si="2"/>
        <v>1.444043321299639E-2</v>
      </c>
    </row>
    <row r="145" spans="1:4">
      <c r="A145" t="s">
        <v>99</v>
      </c>
      <c r="B145">
        <v>2630</v>
      </c>
      <c r="C145">
        <f>Kaikki!A145</f>
        <v>18</v>
      </c>
      <c r="D145" s="39">
        <f t="shared" si="2"/>
        <v>6.8441064638783272E-3</v>
      </c>
    </row>
    <row r="146" spans="1:4">
      <c r="A146" t="s">
        <v>100</v>
      </c>
      <c r="B146">
        <v>1554</v>
      </c>
      <c r="C146">
        <f>Kaikki!A146</f>
        <v>20</v>
      </c>
      <c r="D146" s="39">
        <f t="shared" si="2"/>
        <v>1.2870012870012869E-2</v>
      </c>
    </row>
    <row r="147" spans="1:4">
      <c r="A147" t="s">
        <v>101</v>
      </c>
      <c r="B147">
        <v>1744</v>
      </c>
      <c r="C147">
        <f>Kaikki!A147</f>
        <v>45</v>
      </c>
      <c r="D147" s="39">
        <f t="shared" si="2"/>
        <v>2.5802752293577983E-2</v>
      </c>
    </row>
    <row r="148" spans="1:4">
      <c r="A148" t="s">
        <v>102</v>
      </c>
      <c r="B148">
        <v>3638</v>
      </c>
      <c r="C148">
        <f>Kaikki!A148</f>
        <v>33</v>
      </c>
      <c r="D148" s="39">
        <f t="shared" si="2"/>
        <v>9.0709180868609133E-3</v>
      </c>
    </row>
    <row r="149" spans="1:4">
      <c r="A149" t="s">
        <v>103</v>
      </c>
      <c r="B149">
        <v>2971</v>
      </c>
      <c r="C149">
        <f>Kaikki!A149</f>
        <v>12</v>
      </c>
      <c r="D149" s="39">
        <f t="shared" si="2"/>
        <v>4.0390440928980142E-3</v>
      </c>
    </row>
    <row r="150" spans="1:4">
      <c r="A150" t="s">
        <v>104</v>
      </c>
      <c r="B150">
        <v>2983</v>
      </c>
      <c r="C150">
        <f>Kaikki!A150</f>
        <v>30</v>
      </c>
      <c r="D150" s="39">
        <f t="shared" si="2"/>
        <v>1.0056989607777405E-2</v>
      </c>
    </row>
    <row r="151" spans="1:4">
      <c r="A151" t="s">
        <v>105</v>
      </c>
      <c r="B151">
        <v>2804</v>
      </c>
      <c r="C151">
        <f>Kaikki!A151</f>
        <v>21</v>
      </c>
      <c r="D151" s="39">
        <f t="shared" si="2"/>
        <v>7.4893009985734661E-3</v>
      </c>
    </row>
    <row r="152" spans="1:4">
      <c r="A152" t="s">
        <v>106</v>
      </c>
      <c r="B152">
        <v>1945</v>
      </c>
      <c r="C152">
        <f>Kaikki!A152</f>
        <v>10</v>
      </c>
      <c r="D152" s="39">
        <f t="shared" si="2"/>
        <v>5.1413881748071976E-3</v>
      </c>
    </row>
    <row r="153" spans="1:4">
      <c r="A153" t="s">
        <v>107</v>
      </c>
      <c r="B153">
        <v>1295</v>
      </c>
      <c r="C153">
        <f>Kaikki!A153</f>
        <v>12</v>
      </c>
      <c r="D153" s="39">
        <f t="shared" si="2"/>
        <v>9.2664092664092659E-3</v>
      </c>
    </row>
    <row r="154" spans="1:4">
      <c r="A154" t="s">
        <v>108</v>
      </c>
      <c r="B154">
        <v>1685</v>
      </c>
      <c r="C154">
        <f>Kaikki!A154</f>
        <v>17</v>
      </c>
      <c r="D154" s="39">
        <f t="shared" si="2"/>
        <v>1.0089020771513354E-2</v>
      </c>
    </row>
    <row r="155" spans="1:4">
      <c r="A155" t="s">
        <v>109</v>
      </c>
      <c r="B155">
        <v>2875</v>
      </c>
      <c r="C155">
        <f>Kaikki!A155</f>
        <v>15</v>
      </c>
      <c r="D155" s="39">
        <f t="shared" si="2"/>
        <v>5.2173913043478265E-3</v>
      </c>
    </row>
    <row r="156" spans="1:4">
      <c r="A156" t="s">
        <v>110</v>
      </c>
      <c r="B156">
        <v>2860</v>
      </c>
      <c r="C156">
        <f>Kaikki!A156</f>
        <v>25</v>
      </c>
      <c r="D156" s="39">
        <f t="shared" si="2"/>
        <v>8.7412587412587419E-3</v>
      </c>
    </row>
    <row r="157" spans="1:4">
      <c r="A157" t="s">
        <v>111</v>
      </c>
      <c r="B157">
        <v>2798</v>
      </c>
      <c r="C157">
        <f>Kaikki!A157</f>
        <v>12</v>
      </c>
      <c r="D157" s="39">
        <f t="shared" si="2"/>
        <v>4.2887776983559682E-3</v>
      </c>
    </row>
    <row r="158" spans="1:4">
      <c r="A158" t="s">
        <v>112</v>
      </c>
      <c r="B158">
        <v>2321</v>
      </c>
      <c r="C158">
        <f>Kaikki!A158</f>
        <v>13</v>
      </c>
      <c r="D158" s="39">
        <f t="shared" si="2"/>
        <v>5.6010340370529947E-3</v>
      </c>
    </row>
    <row r="159" spans="1:4">
      <c r="A159" t="s">
        <v>113</v>
      </c>
      <c r="B159">
        <v>2042</v>
      </c>
      <c r="C159">
        <f>Kaikki!A159</f>
        <v>13</v>
      </c>
      <c r="D159" s="39">
        <f t="shared" si="2"/>
        <v>6.3663075416258569E-3</v>
      </c>
    </row>
    <row r="160" spans="1:4">
      <c r="A160" t="s">
        <v>114</v>
      </c>
      <c r="B160">
        <v>962</v>
      </c>
      <c r="C160">
        <f>Kaikki!A160</f>
        <v>4</v>
      </c>
      <c r="D160" s="39">
        <f t="shared" si="2"/>
        <v>4.1580041580041582E-3</v>
      </c>
    </row>
    <row r="161" spans="1:4">
      <c r="A161" t="s">
        <v>115</v>
      </c>
      <c r="B161">
        <v>1842</v>
      </c>
      <c r="C161">
        <f>Kaikki!A161</f>
        <v>10</v>
      </c>
      <c r="D161" s="39">
        <f t="shared" si="2"/>
        <v>5.4288816503800215E-3</v>
      </c>
    </row>
    <row r="162" spans="1:4">
      <c r="A162" t="s">
        <v>116</v>
      </c>
      <c r="B162">
        <v>2950</v>
      </c>
      <c r="C162">
        <f>Kaikki!A162</f>
        <v>8</v>
      </c>
      <c r="D162" s="39">
        <f t="shared" si="2"/>
        <v>2.7118644067796612E-3</v>
      </c>
    </row>
    <row r="163" spans="1:4">
      <c r="A163" t="s">
        <v>117</v>
      </c>
      <c r="B163">
        <v>2956</v>
      </c>
      <c r="C163">
        <f>Kaikki!A163</f>
        <v>7</v>
      </c>
      <c r="D163" s="39">
        <f t="shared" si="2"/>
        <v>2.368064952638701E-3</v>
      </c>
    </row>
    <row r="164" spans="1:4">
      <c r="A164" t="s">
        <v>118</v>
      </c>
      <c r="B164">
        <v>2973</v>
      </c>
      <c r="C164">
        <f>Kaikki!A164</f>
        <v>9</v>
      </c>
      <c r="D164" s="39">
        <f t="shared" si="2"/>
        <v>3.0272452068617556E-3</v>
      </c>
    </row>
    <row r="165" spans="1:4">
      <c r="A165" t="s">
        <v>119</v>
      </c>
      <c r="B165">
        <v>2496</v>
      </c>
      <c r="C165">
        <f>Kaikki!A165</f>
        <v>13</v>
      </c>
      <c r="D165" s="39">
        <f t="shared" si="2"/>
        <v>5.208333333333333E-3</v>
      </c>
    </row>
    <row r="166" spans="1:4">
      <c r="A166" t="s">
        <v>120</v>
      </c>
      <c r="B166">
        <v>1553</v>
      </c>
      <c r="C166">
        <f>Kaikki!A166</f>
        <v>2</v>
      </c>
      <c r="D166" s="39">
        <f t="shared" si="2"/>
        <v>1.28783000643915E-3</v>
      </c>
    </row>
    <row r="167" spans="1:4">
      <c r="A167" t="s">
        <v>121</v>
      </c>
      <c r="B167">
        <v>826</v>
      </c>
      <c r="C167">
        <f>Kaikki!A167</f>
        <v>5</v>
      </c>
      <c r="D167" s="39">
        <f t="shared" si="2"/>
        <v>6.0532687651331718E-3</v>
      </c>
    </row>
    <row r="168" spans="1:4">
      <c r="A168" t="s">
        <v>122</v>
      </c>
      <c r="B168">
        <v>1899</v>
      </c>
      <c r="C168">
        <f>Kaikki!A168</f>
        <v>16</v>
      </c>
      <c r="D168" s="39">
        <f t="shared" si="2"/>
        <v>8.4254870984728798E-3</v>
      </c>
    </row>
    <row r="169" spans="1:4">
      <c r="A169" t="s">
        <v>123</v>
      </c>
      <c r="B169">
        <v>2991</v>
      </c>
      <c r="C169">
        <f>Kaikki!A169</f>
        <v>8</v>
      </c>
      <c r="D169" s="39">
        <f t="shared" si="2"/>
        <v>2.6746907388833165E-3</v>
      </c>
    </row>
    <row r="170" spans="1:4">
      <c r="A170" t="s">
        <v>124</v>
      </c>
      <c r="B170">
        <v>2730</v>
      </c>
      <c r="C170">
        <f>Kaikki!A170</f>
        <v>4</v>
      </c>
      <c r="D170" s="39">
        <f t="shared" si="2"/>
        <v>1.4652014652014652E-3</v>
      </c>
    </row>
    <row r="171" spans="1:4">
      <c r="A171" t="s">
        <v>125</v>
      </c>
      <c r="B171">
        <v>2069</v>
      </c>
      <c r="C171">
        <f>Kaikki!A171</f>
        <v>8</v>
      </c>
      <c r="D171" s="39">
        <f t="shared" si="2"/>
        <v>3.8666022232962784E-3</v>
      </c>
    </row>
    <row r="172" spans="1:4">
      <c r="A172" t="s">
        <v>288</v>
      </c>
      <c r="B172">
        <v>1440</v>
      </c>
      <c r="C172">
        <f>Kaikki!A172</f>
        <v>0</v>
      </c>
      <c r="D172" s="39">
        <f t="shared" si="2"/>
        <v>0</v>
      </c>
    </row>
    <row r="173" spans="1:4">
      <c r="A173" t="s">
        <v>126</v>
      </c>
      <c r="B173">
        <v>747</v>
      </c>
      <c r="C173">
        <f>Kaikki!A173</f>
        <v>2</v>
      </c>
      <c r="D173" s="39">
        <f t="shared" si="2"/>
        <v>2.6773761713520749E-3</v>
      </c>
    </row>
    <row r="174" spans="1:4">
      <c r="A174" t="s">
        <v>127</v>
      </c>
      <c r="B174">
        <v>687</v>
      </c>
      <c r="C174">
        <f>Kaikki!A174</f>
        <v>13</v>
      </c>
      <c r="D174" s="39">
        <f t="shared" si="2"/>
        <v>1.8922852983988356E-2</v>
      </c>
    </row>
    <row r="175" spans="1:4">
      <c r="A175" t="s">
        <v>128</v>
      </c>
      <c r="B175">
        <v>1604</v>
      </c>
      <c r="C175">
        <f>Kaikki!A175</f>
        <v>5</v>
      </c>
      <c r="D175" s="39">
        <f t="shared" si="2"/>
        <v>3.117206982543641E-3</v>
      </c>
    </row>
    <row r="176" spans="1:4">
      <c r="A176" t="s">
        <v>129</v>
      </c>
      <c r="B176">
        <v>2635</v>
      </c>
      <c r="C176">
        <f>Kaikki!A176</f>
        <v>5</v>
      </c>
      <c r="D176" s="39">
        <f t="shared" si="2"/>
        <v>1.8975332068311196E-3</v>
      </c>
    </row>
    <row r="177" spans="1:4">
      <c r="A177" t="s">
        <v>130</v>
      </c>
      <c r="B177">
        <v>2330</v>
      </c>
      <c r="C177">
        <f>Kaikki!A177</f>
        <v>17</v>
      </c>
      <c r="D177" s="39">
        <f t="shared" si="2"/>
        <v>7.2961373390557941E-3</v>
      </c>
    </row>
    <row r="178" spans="1:4">
      <c r="A178" t="s">
        <v>131</v>
      </c>
      <c r="B178">
        <v>2693</v>
      </c>
      <c r="C178">
        <f>Kaikki!A178</f>
        <v>14</v>
      </c>
      <c r="D178" s="39">
        <f t="shared" si="2"/>
        <v>5.1986632008911996E-3</v>
      </c>
    </row>
    <row r="179" spans="1:4">
      <c r="A179" t="s">
        <v>132</v>
      </c>
      <c r="B179">
        <v>2176</v>
      </c>
      <c r="C179">
        <f>Kaikki!A179</f>
        <v>3</v>
      </c>
      <c r="D179" s="39">
        <f t="shared" si="2"/>
        <v>1.3786764705882354E-3</v>
      </c>
    </row>
    <row r="180" spans="1:4">
      <c r="A180" t="s">
        <v>133</v>
      </c>
      <c r="B180">
        <v>1556</v>
      </c>
      <c r="C180">
        <f>Kaikki!A180</f>
        <v>2</v>
      </c>
      <c r="D180" s="39">
        <f t="shared" si="2"/>
        <v>1.2853470437017994E-3</v>
      </c>
    </row>
    <row r="181" spans="1:4">
      <c r="A181" t="s">
        <v>134</v>
      </c>
      <c r="B181">
        <v>965</v>
      </c>
      <c r="C181">
        <f>Kaikki!A181</f>
        <v>7</v>
      </c>
      <c r="D181" s="39">
        <f t="shared" si="2"/>
        <v>7.2538860103626944E-3</v>
      </c>
    </row>
    <row r="182" spans="1:4">
      <c r="A182" t="s">
        <v>135</v>
      </c>
      <c r="B182">
        <v>1696</v>
      </c>
      <c r="C182">
        <f>Kaikki!A182</f>
        <v>16</v>
      </c>
      <c r="D182" s="39">
        <f t="shared" si="2"/>
        <v>9.433962264150943E-3</v>
      </c>
    </row>
    <row r="183" spans="1:4">
      <c r="A183" t="s">
        <v>136</v>
      </c>
      <c r="B183">
        <v>2834</v>
      </c>
      <c r="C183">
        <f>Kaikki!A183</f>
        <v>10</v>
      </c>
      <c r="D183" s="39">
        <f t="shared" si="2"/>
        <v>3.5285815102328866E-3</v>
      </c>
    </row>
    <row r="184" spans="1:4">
      <c r="A184" t="s">
        <v>137</v>
      </c>
      <c r="B184">
        <v>2776</v>
      </c>
      <c r="C184">
        <f>Kaikki!A184</f>
        <v>2</v>
      </c>
      <c r="D184" s="39">
        <f t="shared" si="2"/>
        <v>7.2046109510086451E-4</v>
      </c>
    </row>
    <row r="185" spans="1:4">
      <c r="A185" t="s">
        <v>138</v>
      </c>
      <c r="B185">
        <v>3769</v>
      </c>
      <c r="C185">
        <f>Kaikki!A185</f>
        <v>7</v>
      </c>
      <c r="D185" s="39">
        <f t="shared" si="2"/>
        <v>1.8572565667285751E-3</v>
      </c>
    </row>
    <row r="186" spans="1:4">
      <c r="A186" t="s">
        <v>139</v>
      </c>
      <c r="B186">
        <v>3240</v>
      </c>
      <c r="C186">
        <f>Kaikki!A186</f>
        <v>6</v>
      </c>
      <c r="D186" s="39">
        <f t="shared" si="2"/>
        <v>1.8518518518518519E-3</v>
      </c>
    </row>
    <row r="187" spans="1:4">
      <c r="A187" t="s">
        <v>140</v>
      </c>
      <c r="B187">
        <v>2645</v>
      </c>
      <c r="C187">
        <f>Kaikki!A187</f>
        <v>2</v>
      </c>
      <c r="D187" s="39">
        <f t="shared" si="2"/>
        <v>7.5614366729678643E-4</v>
      </c>
    </row>
    <row r="188" spans="1:4">
      <c r="A188" t="s">
        <v>141</v>
      </c>
      <c r="B188">
        <v>1314</v>
      </c>
      <c r="C188">
        <f>Kaikki!A188</f>
        <v>3</v>
      </c>
      <c r="D188" s="39">
        <f t="shared" si="2"/>
        <v>2.2831050228310501E-3</v>
      </c>
    </row>
    <row r="189" spans="1:4">
      <c r="A189" t="s">
        <v>142</v>
      </c>
      <c r="B189">
        <v>2239</v>
      </c>
      <c r="C189">
        <f>Kaikki!A189</f>
        <v>8</v>
      </c>
      <c r="D189" s="39">
        <f t="shared" si="2"/>
        <v>3.5730236712818221E-3</v>
      </c>
    </row>
    <row r="190" spans="1:4">
      <c r="A190" t="s">
        <v>143</v>
      </c>
      <c r="B190">
        <v>4548</v>
      </c>
      <c r="C190">
        <f>Kaikki!A190</f>
        <v>3</v>
      </c>
      <c r="D190" s="39">
        <f t="shared" si="2"/>
        <v>6.5963060686015829E-4</v>
      </c>
    </row>
    <row r="191" spans="1:4">
      <c r="A191" t="s">
        <v>144</v>
      </c>
      <c r="B191">
        <v>4400</v>
      </c>
      <c r="C191">
        <f>Kaikki!A191</f>
        <v>9</v>
      </c>
      <c r="D191" s="39">
        <f t="shared" si="2"/>
        <v>2.0454545454545456E-3</v>
      </c>
    </row>
    <row r="192" spans="1:4">
      <c r="A192" t="s">
        <v>145</v>
      </c>
      <c r="B192">
        <v>4876</v>
      </c>
      <c r="C192">
        <f>Kaikki!A192</f>
        <v>8</v>
      </c>
      <c r="D192" s="39">
        <f t="shared" si="2"/>
        <v>1.6406890894175555E-3</v>
      </c>
    </row>
    <row r="193" spans="1:4">
      <c r="A193" t="s">
        <v>146</v>
      </c>
      <c r="B193">
        <v>4389</v>
      </c>
      <c r="C193">
        <f>Kaikki!A193</f>
        <v>6</v>
      </c>
      <c r="D193" s="39">
        <f t="shared" si="2"/>
        <v>1.3670539986329461E-3</v>
      </c>
    </row>
    <row r="194" spans="1:4">
      <c r="A194" t="s">
        <v>289</v>
      </c>
      <c r="B194">
        <v>3296</v>
      </c>
      <c r="C194">
        <f>Kaikki!A194</f>
        <v>0</v>
      </c>
      <c r="D194" s="39">
        <f t="shared" si="2"/>
        <v>0</v>
      </c>
    </row>
    <row r="195" spans="1:4">
      <c r="A195" t="s">
        <v>147</v>
      </c>
      <c r="B195">
        <v>2332</v>
      </c>
      <c r="C195">
        <f>Kaikki!A195</f>
        <v>4</v>
      </c>
      <c r="D195" s="39">
        <f t="shared" si="2"/>
        <v>1.7152658662092624E-3</v>
      </c>
    </row>
    <row r="196" spans="1:4">
      <c r="A196" t="s">
        <v>148</v>
      </c>
      <c r="B196">
        <v>3102</v>
      </c>
      <c r="C196">
        <f>Kaikki!A196</f>
        <v>6</v>
      </c>
      <c r="D196" s="39">
        <f t="shared" si="2"/>
        <v>1.9342359767891683E-3</v>
      </c>
    </row>
    <row r="197" spans="1:4">
      <c r="A197" t="s">
        <v>149</v>
      </c>
      <c r="B197">
        <v>5351</v>
      </c>
      <c r="C197">
        <f>Kaikki!A197</f>
        <v>5</v>
      </c>
      <c r="D197" s="39">
        <f t="shared" si="2"/>
        <v>9.344047841524949E-4</v>
      </c>
    </row>
    <row r="198" spans="1:4">
      <c r="A198" t="s">
        <v>150</v>
      </c>
      <c r="B198">
        <v>5431</v>
      </c>
      <c r="C198">
        <f>Kaikki!A198</f>
        <v>5</v>
      </c>
      <c r="D198" s="39">
        <f t="shared" si="2"/>
        <v>9.2064076597311731E-4</v>
      </c>
    </row>
    <row r="199" spans="1:4">
      <c r="A199" t="s">
        <v>151</v>
      </c>
      <c r="B199">
        <v>4972</v>
      </c>
      <c r="C199">
        <f>Kaikki!A199</f>
        <v>9</v>
      </c>
      <c r="D199" s="39">
        <f t="shared" si="2"/>
        <v>1.8101367658889783E-3</v>
      </c>
    </row>
    <row r="200" spans="1:4">
      <c r="A200" t="s">
        <v>152</v>
      </c>
      <c r="B200">
        <v>5108</v>
      </c>
      <c r="C200">
        <f>Kaikki!A200</f>
        <v>6</v>
      </c>
      <c r="D200" s="39">
        <f t="shared" ref="D200:D263" si="3">C200/B200</f>
        <v>1.1746280344557558E-3</v>
      </c>
    </row>
    <row r="201" spans="1:4">
      <c r="A201" t="s">
        <v>153</v>
      </c>
      <c r="B201">
        <v>4131</v>
      </c>
      <c r="C201">
        <f>Kaikki!A201</f>
        <v>7</v>
      </c>
      <c r="D201" s="39">
        <f t="shared" si="3"/>
        <v>1.6945049624788188E-3</v>
      </c>
    </row>
    <row r="202" spans="1:4">
      <c r="A202" t="s">
        <v>154</v>
      </c>
      <c r="B202">
        <v>2136</v>
      </c>
      <c r="C202">
        <f>Kaikki!A202</f>
        <v>5</v>
      </c>
      <c r="D202" s="39">
        <f t="shared" si="3"/>
        <v>2.3408239700374533E-3</v>
      </c>
    </row>
    <row r="203" spans="1:4">
      <c r="A203" t="s">
        <v>155</v>
      </c>
      <c r="B203">
        <v>3296</v>
      </c>
      <c r="C203">
        <f>Kaikki!A203</f>
        <v>12</v>
      </c>
      <c r="D203" s="39">
        <f t="shared" si="3"/>
        <v>3.6407766990291263E-3</v>
      </c>
    </row>
    <row r="204" spans="1:4">
      <c r="A204" t="s">
        <v>156</v>
      </c>
      <c r="B204">
        <v>5462</v>
      </c>
      <c r="C204">
        <f>Kaikki!A204</f>
        <v>8</v>
      </c>
      <c r="D204" s="39">
        <f t="shared" si="3"/>
        <v>1.4646649578908824E-3</v>
      </c>
    </row>
    <row r="205" spans="1:4">
      <c r="A205" t="s">
        <v>157</v>
      </c>
      <c r="B205">
        <v>5042</v>
      </c>
      <c r="C205">
        <f>Kaikki!A205</f>
        <v>11</v>
      </c>
      <c r="D205" s="39">
        <f t="shared" si="3"/>
        <v>2.1816739389131298E-3</v>
      </c>
    </row>
    <row r="206" spans="1:4">
      <c r="A206" t="s">
        <v>158</v>
      </c>
      <c r="B206">
        <v>5477</v>
      </c>
      <c r="C206">
        <f>Kaikki!A206</f>
        <v>3</v>
      </c>
      <c r="D206" s="39">
        <f t="shared" si="3"/>
        <v>5.4774511593938286E-4</v>
      </c>
    </row>
    <row r="207" spans="1:4">
      <c r="A207" t="s">
        <v>159</v>
      </c>
      <c r="B207">
        <v>4752</v>
      </c>
      <c r="C207">
        <f>Kaikki!A207</f>
        <v>10</v>
      </c>
      <c r="D207" s="39">
        <f t="shared" si="3"/>
        <v>2.1043771043771043E-3</v>
      </c>
    </row>
    <row r="208" spans="1:4">
      <c r="A208" t="s">
        <v>160</v>
      </c>
      <c r="B208">
        <v>3760</v>
      </c>
      <c r="C208">
        <f>Kaikki!A208</f>
        <v>4</v>
      </c>
      <c r="D208" s="39">
        <f t="shared" si="3"/>
        <v>1.0638297872340426E-3</v>
      </c>
    </row>
    <row r="209" spans="1:4">
      <c r="A209" t="s">
        <v>161</v>
      </c>
      <c r="B209">
        <v>2285</v>
      </c>
      <c r="C209">
        <f>Kaikki!A209</f>
        <v>8</v>
      </c>
      <c r="D209" s="39">
        <f t="shared" si="3"/>
        <v>3.50109409190372E-3</v>
      </c>
    </row>
    <row r="210" spans="1:4">
      <c r="A210" t="s">
        <v>162</v>
      </c>
      <c r="B210">
        <v>3403</v>
      </c>
      <c r="C210">
        <f>Kaikki!A210</f>
        <v>12</v>
      </c>
      <c r="D210" s="39">
        <f t="shared" si="3"/>
        <v>3.5263003232441962E-3</v>
      </c>
    </row>
    <row r="211" spans="1:4">
      <c r="A211" t="s">
        <v>163</v>
      </c>
      <c r="B211">
        <v>5743</v>
      </c>
      <c r="C211">
        <f>Kaikki!A211</f>
        <v>9</v>
      </c>
      <c r="D211" s="39">
        <f t="shared" si="3"/>
        <v>1.5671251958906496E-3</v>
      </c>
    </row>
    <row r="212" spans="1:4">
      <c r="A212" t="s">
        <v>164</v>
      </c>
      <c r="B212">
        <v>5539</v>
      </c>
      <c r="C212">
        <f>Kaikki!A212</f>
        <v>12</v>
      </c>
      <c r="D212" s="39">
        <f t="shared" si="3"/>
        <v>2.1664560389962088E-3</v>
      </c>
    </row>
    <row r="213" spans="1:4">
      <c r="A213" t="s">
        <v>165</v>
      </c>
      <c r="B213">
        <v>5635</v>
      </c>
      <c r="C213">
        <f>Kaikki!A213</f>
        <v>8</v>
      </c>
      <c r="D213" s="39">
        <f t="shared" si="3"/>
        <v>1.419698314108252E-3</v>
      </c>
    </row>
    <row r="214" spans="1:4">
      <c r="A214" t="s">
        <v>166</v>
      </c>
      <c r="B214">
        <v>5555</v>
      </c>
      <c r="C214">
        <f>Kaikki!A214</f>
        <v>18</v>
      </c>
      <c r="D214" s="39">
        <f t="shared" si="3"/>
        <v>3.2403240324032404E-3</v>
      </c>
    </row>
    <row r="215" spans="1:4">
      <c r="A215" t="s">
        <v>167</v>
      </c>
      <c r="B215">
        <v>4198</v>
      </c>
      <c r="C215">
        <f>Kaikki!A215</f>
        <v>15</v>
      </c>
      <c r="D215" s="39">
        <f t="shared" si="3"/>
        <v>3.5731300619342545E-3</v>
      </c>
    </row>
    <row r="216" spans="1:4">
      <c r="A216" t="s">
        <v>168</v>
      </c>
      <c r="B216">
        <v>4568</v>
      </c>
      <c r="C216">
        <f>Kaikki!A216</f>
        <v>10</v>
      </c>
      <c r="D216" s="39">
        <f t="shared" si="3"/>
        <v>2.1891418563922942E-3</v>
      </c>
    </row>
    <row r="217" spans="1:4">
      <c r="A217" t="s">
        <v>169</v>
      </c>
      <c r="B217">
        <v>5250</v>
      </c>
      <c r="C217">
        <f>Kaikki!A217</f>
        <v>35</v>
      </c>
      <c r="D217" s="39">
        <f t="shared" si="3"/>
        <v>6.6666666666666671E-3</v>
      </c>
    </row>
    <row r="218" spans="1:4">
      <c r="A218" t="s">
        <v>170</v>
      </c>
      <c r="B218">
        <v>6819</v>
      </c>
      <c r="C218">
        <f>Kaikki!A218</f>
        <v>22</v>
      </c>
      <c r="D218" s="39">
        <f t="shared" si="3"/>
        <v>3.2262795131250918E-3</v>
      </c>
    </row>
    <row r="219" spans="1:4">
      <c r="A219" t="s">
        <v>171</v>
      </c>
      <c r="B219">
        <v>8536</v>
      </c>
      <c r="C219">
        <f>Kaikki!A219</f>
        <v>29</v>
      </c>
      <c r="D219" s="39">
        <f t="shared" si="3"/>
        <v>3.3973758200562323E-3</v>
      </c>
    </row>
    <row r="220" spans="1:4">
      <c r="A220" t="s">
        <v>172</v>
      </c>
      <c r="B220">
        <v>7097</v>
      </c>
      <c r="C220">
        <f>Kaikki!A220</f>
        <v>22</v>
      </c>
      <c r="D220" s="39">
        <f t="shared" si="3"/>
        <v>3.0999013667746935E-3</v>
      </c>
    </row>
    <row r="221" spans="1:4">
      <c r="A221" t="s">
        <v>173</v>
      </c>
      <c r="B221">
        <v>8815</v>
      </c>
      <c r="C221">
        <f>Kaikki!A221</f>
        <v>17</v>
      </c>
      <c r="D221" s="39">
        <f t="shared" si="3"/>
        <v>1.928530913216109E-3</v>
      </c>
    </row>
    <row r="222" spans="1:4">
      <c r="A222" t="s">
        <v>174</v>
      </c>
      <c r="B222">
        <v>6327</v>
      </c>
      <c r="C222">
        <f>Kaikki!A222</f>
        <v>9</v>
      </c>
      <c r="D222" s="39">
        <f t="shared" si="3"/>
        <v>1.4224751066856331E-3</v>
      </c>
    </row>
    <row r="223" spans="1:4">
      <c r="A223" t="s">
        <v>175</v>
      </c>
      <c r="B223">
        <v>5942</v>
      </c>
      <c r="C223">
        <f>Kaikki!A223</f>
        <v>35</v>
      </c>
      <c r="D223" s="39">
        <f t="shared" si="3"/>
        <v>5.8902726354762708E-3</v>
      </c>
    </row>
    <row r="224" spans="1:4">
      <c r="A224" t="s">
        <v>176</v>
      </c>
      <c r="B224">
        <v>7260</v>
      </c>
      <c r="C224">
        <f>Kaikki!A224</f>
        <v>15</v>
      </c>
      <c r="D224" s="39">
        <f t="shared" si="3"/>
        <v>2.0661157024793389E-3</v>
      </c>
    </row>
    <row r="225" spans="1:4">
      <c r="A225" t="s">
        <v>177</v>
      </c>
      <c r="B225">
        <v>10638</v>
      </c>
      <c r="C225">
        <f>Kaikki!A225</f>
        <v>28</v>
      </c>
      <c r="D225" s="39">
        <f t="shared" si="3"/>
        <v>2.6320736980635457E-3</v>
      </c>
    </row>
    <row r="226" spans="1:4">
      <c r="A226" t="s">
        <v>178</v>
      </c>
      <c r="B226">
        <v>11597</v>
      </c>
      <c r="C226">
        <f>Kaikki!A226</f>
        <v>27</v>
      </c>
      <c r="D226" s="39">
        <f t="shared" si="3"/>
        <v>2.3281883245666983E-3</v>
      </c>
    </row>
    <row r="227" spans="1:4">
      <c r="A227" t="s">
        <v>179</v>
      </c>
      <c r="B227">
        <v>12107</v>
      </c>
      <c r="C227">
        <f>Kaikki!A227</f>
        <v>21</v>
      </c>
      <c r="D227" s="39">
        <f t="shared" si="3"/>
        <v>1.734533740811101E-3</v>
      </c>
    </row>
    <row r="228" spans="1:4">
      <c r="A228" t="s">
        <v>180</v>
      </c>
      <c r="B228">
        <v>9621</v>
      </c>
      <c r="C228">
        <f>Kaikki!A228</f>
        <v>27</v>
      </c>
      <c r="D228" s="39">
        <f t="shared" si="3"/>
        <v>2.8063610851262861E-3</v>
      </c>
    </row>
    <row r="229" spans="1:4">
      <c r="A229" t="s">
        <v>181</v>
      </c>
      <c r="B229">
        <v>10354</v>
      </c>
      <c r="C229">
        <f>Kaikki!A229</f>
        <v>14</v>
      </c>
      <c r="D229" s="39">
        <f t="shared" si="3"/>
        <v>1.3521344407958276E-3</v>
      </c>
    </row>
    <row r="230" spans="1:4">
      <c r="A230" t="s">
        <v>182</v>
      </c>
      <c r="B230">
        <v>10958</v>
      </c>
      <c r="C230">
        <f>Kaikki!A230</f>
        <v>43</v>
      </c>
      <c r="D230" s="39">
        <f t="shared" si="3"/>
        <v>3.9240737360832266E-3</v>
      </c>
    </row>
    <row r="231" spans="1:4">
      <c r="A231" t="s">
        <v>183</v>
      </c>
      <c r="B231">
        <v>10919</v>
      </c>
      <c r="C231">
        <f>Kaikki!A231</f>
        <v>27</v>
      </c>
      <c r="D231" s="39">
        <f t="shared" si="3"/>
        <v>2.4727539151936989E-3</v>
      </c>
    </row>
    <row r="232" spans="1:4">
      <c r="A232" t="s">
        <v>184</v>
      </c>
      <c r="B232">
        <v>12886</v>
      </c>
      <c r="C232">
        <f>Kaikki!A232</f>
        <v>39</v>
      </c>
      <c r="D232" s="39">
        <f t="shared" si="3"/>
        <v>3.0265404314760206E-3</v>
      </c>
    </row>
    <row r="233" spans="1:4">
      <c r="A233" t="s">
        <v>185</v>
      </c>
      <c r="B233">
        <v>17142</v>
      </c>
      <c r="C233">
        <f>Kaikki!A233</f>
        <v>47</v>
      </c>
      <c r="D233" s="39">
        <f t="shared" si="3"/>
        <v>2.7418037568545093E-3</v>
      </c>
    </row>
    <row r="234" spans="1:4">
      <c r="A234" t="s">
        <v>186</v>
      </c>
      <c r="B234">
        <v>15969</v>
      </c>
      <c r="C234">
        <f>Kaikki!A234</f>
        <v>27</v>
      </c>
      <c r="D234" s="39">
        <f t="shared" si="3"/>
        <v>1.6907758782641368E-3</v>
      </c>
    </row>
    <row r="235" spans="1:4">
      <c r="A235" t="s">
        <v>187</v>
      </c>
      <c r="B235">
        <v>16150</v>
      </c>
      <c r="C235">
        <f>Kaikki!A235</f>
        <v>25</v>
      </c>
      <c r="D235" s="39">
        <f t="shared" si="3"/>
        <v>1.5479876160990713E-3</v>
      </c>
    </row>
    <row r="236" spans="1:4">
      <c r="A236" t="s">
        <v>188</v>
      </c>
      <c r="B236">
        <v>12831</v>
      </c>
      <c r="C236">
        <f>Kaikki!A236</f>
        <v>16</v>
      </c>
      <c r="D236" s="39">
        <f t="shared" si="3"/>
        <v>1.2469799703842257E-3</v>
      </c>
    </row>
    <row r="237" spans="1:4">
      <c r="A237" t="s">
        <v>189</v>
      </c>
      <c r="B237">
        <v>12725</v>
      </c>
      <c r="C237">
        <f>Kaikki!A237</f>
        <v>11</v>
      </c>
      <c r="D237" s="39">
        <f t="shared" si="3"/>
        <v>8.6444007858546166E-4</v>
      </c>
    </row>
    <row r="238" spans="1:4">
      <c r="A238" t="s">
        <v>190</v>
      </c>
      <c r="B238">
        <v>14506</v>
      </c>
      <c r="C238">
        <f>Kaikki!A238</f>
        <v>17</v>
      </c>
      <c r="D238" s="39">
        <f t="shared" si="3"/>
        <v>1.1719288570246793E-3</v>
      </c>
    </row>
    <row r="239" spans="1:4">
      <c r="A239" t="s">
        <v>191</v>
      </c>
      <c r="B239">
        <v>16150</v>
      </c>
      <c r="C239">
        <f>Kaikki!A239</f>
        <v>15</v>
      </c>
      <c r="D239" s="39">
        <f t="shared" si="3"/>
        <v>9.2879256965944267E-4</v>
      </c>
    </row>
    <row r="240" spans="1:4">
      <c r="A240" t="s">
        <v>192</v>
      </c>
      <c r="B240">
        <v>17490</v>
      </c>
      <c r="C240">
        <f>Kaikki!A240</f>
        <v>20</v>
      </c>
      <c r="D240" s="39">
        <f t="shared" si="3"/>
        <v>1.1435105774728416E-3</v>
      </c>
    </row>
    <row r="241" spans="1:4">
      <c r="A241" t="s">
        <v>193</v>
      </c>
      <c r="B241">
        <v>17326</v>
      </c>
      <c r="C241">
        <f>Kaikki!A241</f>
        <v>32</v>
      </c>
      <c r="D241" s="39">
        <f t="shared" si="3"/>
        <v>1.8469352418330831E-3</v>
      </c>
    </row>
    <row r="242" spans="1:4">
      <c r="A242" t="s">
        <v>194</v>
      </c>
      <c r="B242">
        <v>14166</v>
      </c>
      <c r="C242">
        <f>Kaikki!A242</f>
        <v>35</v>
      </c>
      <c r="D242" s="39">
        <f t="shared" si="3"/>
        <v>2.4707045037413527E-3</v>
      </c>
    </row>
    <row r="243" spans="1:4">
      <c r="A243" t="s">
        <v>195</v>
      </c>
      <c r="B243">
        <v>15175</v>
      </c>
      <c r="C243">
        <f>Kaikki!A243</f>
        <v>19</v>
      </c>
      <c r="D243" s="39">
        <f t="shared" si="3"/>
        <v>1.2520593080724877E-3</v>
      </c>
    </row>
    <row r="244" spans="1:4">
      <c r="A244" t="s">
        <v>196</v>
      </c>
      <c r="B244">
        <v>13341</v>
      </c>
      <c r="C244">
        <f>Kaikki!A244</f>
        <v>18</v>
      </c>
      <c r="D244" s="39">
        <f t="shared" si="3"/>
        <v>1.3492241960872497E-3</v>
      </c>
    </row>
    <row r="245" spans="1:4">
      <c r="A245" t="s">
        <v>197</v>
      </c>
      <c r="B245">
        <v>13116</v>
      </c>
      <c r="C245">
        <f>Kaikki!A245</f>
        <v>48</v>
      </c>
      <c r="D245" s="39">
        <f t="shared" si="3"/>
        <v>3.6596523330283625E-3</v>
      </c>
    </row>
    <row r="246" spans="1:4">
      <c r="A246" t="s">
        <v>198</v>
      </c>
      <c r="B246">
        <v>14797</v>
      </c>
      <c r="C246">
        <f>Kaikki!A246</f>
        <v>29</v>
      </c>
      <c r="D246" s="39">
        <f t="shared" si="3"/>
        <v>1.9598567277150773E-3</v>
      </c>
    </row>
    <row r="247" spans="1:4">
      <c r="A247" t="s">
        <v>199</v>
      </c>
      <c r="B247">
        <v>17899</v>
      </c>
      <c r="C247">
        <f>Kaikki!A247</f>
        <v>26</v>
      </c>
      <c r="D247" s="39">
        <f t="shared" si="3"/>
        <v>1.452595117045645E-3</v>
      </c>
    </row>
    <row r="248" spans="1:4">
      <c r="A248" t="s">
        <v>200</v>
      </c>
      <c r="B248">
        <v>16872</v>
      </c>
      <c r="C248">
        <f>Kaikki!A248</f>
        <v>35</v>
      </c>
      <c r="D248" s="39">
        <f t="shared" si="3"/>
        <v>2.0744428639165482E-3</v>
      </c>
    </row>
    <row r="249" spans="1:4">
      <c r="A249" t="s">
        <v>201</v>
      </c>
      <c r="B249">
        <v>16079</v>
      </c>
      <c r="C249">
        <f>Kaikki!A249</f>
        <v>42</v>
      </c>
      <c r="D249" s="39">
        <f t="shared" si="3"/>
        <v>2.6121027427078798E-3</v>
      </c>
    </row>
    <row r="250" spans="1:4">
      <c r="A250" t="s">
        <v>202</v>
      </c>
      <c r="B250">
        <v>14169</v>
      </c>
      <c r="C250">
        <f>Kaikki!A250</f>
        <v>22</v>
      </c>
      <c r="D250" s="39">
        <f t="shared" si="3"/>
        <v>1.552685440045169E-3</v>
      </c>
    </row>
    <row r="251" spans="1:4">
      <c r="A251" t="s">
        <v>203</v>
      </c>
      <c r="B251">
        <v>9530</v>
      </c>
      <c r="C251">
        <f>Kaikki!A251</f>
        <v>33</v>
      </c>
      <c r="D251" s="39">
        <f t="shared" si="3"/>
        <v>3.4627492130115426E-3</v>
      </c>
    </row>
    <row r="252" spans="1:4">
      <c r="A252" t="s">
        <v>204</v>
      </c>
      <c r="B252">
        <v>7288</v>
      </c>
      <c r="C252">
        <f>Kaikki!A252</f>
        <v>45</v>
      </c>
      <c r="D252" s="39">
        <f t="shared" si="3"/>
        <v>6.1745334796926453E-3</v>
      </c>
    </row>
    <row r="253" spans="1:4">
      <c r="A253" t="s">
        <v>205</v>
      </c>
      <c r="B253">
        <v>12053</v>
      </c>
      <c r="C253">
        <f>Kaikki!A253</f>
        <v>57</v>
      </c>
      <c r="D253" s="39">
        <f t="shared" si="3"/>
        <v>4.7291130838795319E-3</v>
      </c>
    </row>
    <row r="254" spans="1:4">
      <c r="A254" t="s">
        <v>206</v>
      </c>
      <c r="B254">
        <v>14213</v>
      </c>
      <c r="C254">
        <f>Kaikki!A254</f>
        <v>55</v>
      </c>
      <c r="D254" s="39">
        <f t="shared" si="3"/>
        <v>3.869696756490537E-3</v>
      </c>
    </row>
    <row r="255" spans="1:4">
      <c r="A255" t="s">
        <v>207</v>
      </c>
      <c r="B255">
        <v>13000</v>
      </c>
      <c r="C255">
        <f>Kaikki!A255</f>
        <v>54</v>
      </c>
      <c r="D255" s="39">
        <f t="shared" si="3"/>
        <v>4.1538461538461538E-3</v>
      </c>
    </row>
    <row r="256" spans="1:4">
      <c r="A256" t="s">
        <v>208</v>
      </c>
      <c r="B256">
        <v>14441</v>
      </c>
      <c r="C256">
        <f>Kaikki!A256</f>
        <v>58</v>
      </c>
      <c r="D256" s="39">
        <f t="shared" si="3"/>
        <v>4.0163423585624263E-3</v>
      </c>
    </row>
    <row r="257" spans="1:4">
      <c r="A257" t="s">
        <v>209</v>
      </c>
      <c r="B257">
        <v>10330</v>
      </c>
      <c r="C257">
        <f>Kaikki!A257</f>
        <v>40</v>
      </c>
      <c r="D257" s="39">
        <f t="shared" si="3"/>
        <v>3.8722168441432721E-3</v>
      </c>
    </row>
    <row r="258" spans="1:4">
      <c r="A258" t="s">
        <v>210</v>
      </c>
      <c r="B258">
        <v>8400</v>
      </c>
      <c r="C258">
        <f>Kaikki!A258</f>
        <v>46</v>
      </c>
      <c r="D258" s="39">
        <f t="shared" si="3"/>
        <v>5.4761904761904765E-3</v>
      </c>
    </row>
    <row r="259" spans="1:4">
      <c r="A259" t="s">
        <v>211</v>
      </c>
      <c r="B259">
        <v>9184</v>
      </c>
      <c r="C259">
        <f>Kaikki!A259</f>
        <v>59</v>
      </c>
      <c r="D259" s="39">
        <f t="shared" si="3"/>
        <v>6.4242160278745646E-3</v>
      </c>
    </row>
    <row r="260" spans="1:4">
      <c r="A260" t="s">
        <v>212</v>
      </c>
      <c r="B260">
        <v>13585</v>
      </c>
      <c r="C260">
        <f>Kaikki!A260</f>
        <v>53</v>
      </c>
      <c r="D260" s="39">
        <f t="shared" si="3"/>
        <v>3.9013617960986383E-3</v>
      </c>
    </row>
    <row r="261" spans="1:4">
      <c r="A261" t="s">
        <v>213</v>
      </c>
      <c r="B261">
        <v>17146</v>
      </c>
      <c r="C261">
        <f>Kaikki!A261</f>
        <v>57</v>
      </c>
      <c r="D261" s="39">
        <f t="shared" si="3"/>
        <v>3.3243905284031259E-3</v>
      </c>
    </row>
    <row r="262" spans="1:4">
      <c r="A262" t="s">
        <v>214</v>
      </c>
      <c r="B262">
        <v>18382</v>
      </c>
      <c r="C262">
        <f>Kaikki!A262</f>
        <v>85</v>
      </c>
      <c r="D262" s="39">
        <f t="shared" si="3"/>
        <v>4.6240887825046238E-3</v>
      </c>
    </row>
    <row r="263" spans="1:4">
      <c r="A263" t="s">
        <v>215</v>
      </c>
      <c r="B263">
        <v>16891</v>
      </c>
      <c r="C263">
        <f>Kaikki!A263</f>
        <v>77</v>
      </c>
      <c r="D263" s="39">
        <f t="shared" si="3"/>
        <v>4.5586406962287605E-3</v>
      </c>
    </row>
    <row r="264" spans="1:4">
      <c r="A264" t="s">
        <v>216</v>
      </c>
      <c r="B264">
        <v>12256</v>
      </c>
      <c r="C264">
        <f>Kaikki!A264</f>
        <v>64</v>
      </c>
      <c r="D264" s="39">
        <f t="shared" ref="D264:D327" si="4">C264/B264</f>
        <v>5.2219321148825066E-3</v>
      </c>
    </row>
    <row r="265" spans="1:4">
      <c r="A265" t="s">
        <v>217</v>
      </c>
      <c r="B265">
        <v>10322</v>
      </c>
      <c r="C265">
        <f>Kaikki!A265</f>
        <v>74</v>
      </c>
      <c r="D265" s="39">
        <f t="shared" si="4"/>
        <v>7.1691532648711486E-3</v>
      </c>
    </row>
    <row r="266" spans="1:4">
      <c r="A266" t="s">
        <v>218</v>
      </c>
      <c r="B266">
        <v>8746</v>
      </c>
      <c r="C266">
        <f>Kaikki!A266</f>
        <v>120</v>
      </c>
      <c r="D266" s="39">
        <f t="shared" si="4"/>
        <v>1.372055796935742E-2</v>
      </c>
    </row>
    <row r="267" spans="1:4">
      <c r="A267" t="s">
        <v>219</v>
      </c>
      <c r="B267">
        <v>14194</v>
      </c>
      <c r="C267">
        <f>Kaikki!A267</f>
        <v>110</v>
      </c>
      <c r="D267" s="39">
        <f t="shared" si="4"/>
        <v>7.7497534169367341E-3</v>
      </c>
    </row>
    <row r="268" spans="1:4">
      <c r="A268" t="s">
        <v>220</v>
      </c>
      <c r="B268">
        <v>13652</v>
      </c>
      <c r="C268">
        <f>Kaikki!A268</f>
        <v>117</v>
      </c>
      <c r="D268" s="39">
        <f t="shared" si="4"/>
        <v>8.5701728684441838E-3</v>
      </c>
    </row>
    <row r="269" spans="1:4">
      <c r="A269" t="s">
        <v>221</v>
      </c>
      <c r="B269">
        <v>16563</v>
      </c>
      <c r="C269">
        <f>Kaikki!A269</f>
        <v>98</v>
      </c>
      <c r="D269" s="39">
        <f t="shared" si="4"/>
        <v>5.9168025116222911E-3</v>
      </c>
    </row>
    <row r="270" spans="1:4">
      <c r="A270" t="s">
        <v>222</v>
      </c>
      <c r="B270">
        <v>14512</v>
      </c>
      <c r="C270">
        <f>Kaikki!A270</f>
        <v>128</v>
      </c>
      <c r="D270" s="39">
        <f t="shared" si="4"/>
        <v>8.8202866593164279E-3</v>
      </c>
    </row>
    <row r="271" spans="1:4">
      <c r="A271" t="s">
        <v>223</v>
      </c>
      <c r="B271">
        <v>14760</v>
      </c>
      <c r="C271">
        <f>Kaikki!A271</f>
        <v>74</v>
      </c>
      <c r="D271" s="39">
        <f t="shared" si="4"/>
        <v>5.0135501355013552E-3</v>
      </c>
    </row>
    <row r="272" spans="1:4">
      <c r="A272" t="s">
        <v>224</v>
      </c>
      <c r="B272">
        <v>8978</v>
      </c>
      <c r="C272">
        <f>Kaikki!A272</f>
        <v>70</v>
      </c>
      <c r="D272" s="39">
        <f t="shared" si="4"/>
        <v>7.7968367119625754E-3</v>
      </c>
    </row>
    <row r="273" spans="1:4">
      <c r="A273" t="s">
        <v>225</v>
      </c>
      <c r="B273">
        <v>11263</v>
      </c>
      <c r="C273">
        <f>Kaikki!A273</f>
        <v>124</v>
      </c>
      <c r="D273" s="39">
        <f t="shared" si="4"/>
        <v>1.1009500133179436E-2</v>
      </c>
    </row>
    <row r="274" spans="1:4">
      <c r="A274" t="s">
        <v>226</v>
      </c>
      <c r="B274">
        <v>11771</v>
      </c>
      <c r="C274">
        <f>Kaikki!A274</f>
        <v>134</v>
      </c>
      <c r="D274" s="39">
        <f t="shared" si="4"/>
        <v>1.1383909608359527E-2</v>
      </c>
    </row>
    <row r="275" spans="1:4">
      <c r="A275" t="s">
        <v>228</v>
      </c>
      <c r="B275">
        <v>15401</v>
      </c>
      <c r="C275">
        <f>Kaikki!A275</f>
        <v>167</v>
      </c>
      <c r="D275" s="39">
        <f t="shared" si="4"/>
        <v>1.0843451723914032E-2</v>
      </c>
    </row>
    <row r="276" spans="1:4">
      <c r="A276" t="s">
        <v>230</v>
      </c>
      <c r="B276">
        <v>12134</v>
      </c>
      <c r="C276">
        <f>Kaikki!A276</f>
        <v>191</v>
      </c>
      <c r="D276" s="39">
        <f t="shared" si="4"/>
        <v>1.5740893357507828E-2</v>
      </c>
    </row>
    <row r="277" spans="1:4">
      <c r="A277" t="s">
        <v>231</v>
      </c>
      <c r="B277">
        <v>12512</v>
      </c>
      <c r="C277">
        <f>Kaikki!A277</f>
        <v>187</v>
      </c>
      <c r="D277" s="39">
        <f t="shared" si="4"/>
        <v>1.4945652173913044E-2</v>
      </c>
    </row>
    <row r="278" spans="1:4">
      <c r="A278" t="s">
        <v>233</v>
      </c>
      <c r="B278">
        <v>12108</v>
      </c>
      <c r="C278">
        <f>Kaikki!A278</f>
        <v>178</v>
      </c>
      <c r="D278" s="39">
        <f t="shared" si="4"/>
        <v>1.4701024116286753E-2</v>
      </c>
    </row>
    <row r="279" spans="1:4">
      <c r="A279" t="s">
        <v>292</v>
      </c>
      <c r="B279">
        <v>9854</v>
      </c>
      <c r="C279">
        <f>Kaikki!A279</f>
        <v>148</v>
      </c>
      <c r="D279" s="39">
        <f t="shared" si="4"/>
        <v>1.5019281510046681E-2</v>
      </c>
    </row>
    <row r="280" spans="1:4">
      <c r="A280" t="s">
        <v>293</v>
      </c>
      <c r="B280">
        <v>11413</v>
      </c>
      <c r="C280">
        <f>Kaikki!A280</f>
        <v>291</v>
      </c>
      <c r="D280" s="39">
        <f t="shared" si="4"/>
        <v>2.5497239989485675E-2</v>
      </c>
    </row>
    <row r="281" spans="1:4">
      <c r="A281" t="s">
        <v>294</v>
      </c>
      <c r="B281">
        <v>15492</v>
      </c>
      <c r="C281">
        <f>Kaikki!A281</f>
        <v>302</v>
      </c>
      <c r="D281" s="39">
        <f t="shared" si="4"/>
        <v>1.9493932352181772E-2</v>
      </c>
    </row>
    <row r="282" spans="1:4">
      <c r="A282" t="s">
        <v>295</v>
      </c>
      <c r="B282">
        <v>17602</v>
      </c>
      <c r="C282">
        <f>Kaikki!A282</f>
        <v>306</v>
      </c>
      <c r="D282" s="39">
        <f t="shared" si="4"/>
        <v>1.7384388137711624E-2</v>
      </c>
    </row>
    <row r="283" spans="1:4">
      <c r="A283" t="s">
        <v>296</v>
      </c>
      <c r="B283">
        <v>17228</v>
      </c>
      <c r="C283">
        <f>Kaikki!A283</f>
        <v>259</v>
      </c>
      <c r="D283" s="39">
        <f t="shared" si="4"/>
        <v>1.5033666124912932E-2</v>
      </c>
    </row>
    <row r="284" spans="1:4">
      <c r="A284" t="s">
        <v>297</v>
      </c>
      <c r="B284">
        <v>17262</v>
      </c>
      <c r="C284">
        <f>Kaikki!A284</f>
        <v>226</v>
      </c>
      <c r="D284" s="39">
        <f t="shared" si="4"/>
        <v>1.3092341559494845E-2</v>
      </c>
    </row>
    <row r="285" spans="1:4">
      <c r="A285" t="s">
        <v>300</v>
      </c>
      <c r="B285">
        <v>14774</v>
      </c>
      <c r="C285">
        <f>Kaikki!A285</f>
        <v>110</v>
      </c>
      <c r="D285" s="39">
        <f t="shared" si="4"/>
        <v>7.4455123866251525E-3</v>
      </c>
    </row>
    <row r="286" spans="1:4">
      <c r="A286" t="s">
        <v>301</v>
      </c>
      <c r="B286">
        <v>9812</v>
      </c>
      <c r="C286">
        <f>Kaikki!A286</f>
        <v>131</v>
      </c>
      <c r="D286" s="39">
        <f t="shared" si="4"/>
        <v>1.3350998777007746E-2</v>
      </c>
    </row>
    <row r="287" spans="1:4">
      <c r="A287" t="s">
        <v>305</v>
      </c>
      <c r="B287">
        <v>13285</v>
      </c>
      <c r="C287">
        <f>Kaikki!A287</f>
        <v>256</v>
      </c>
      <c r="D287" s="39">
        <f t="shared" si="4"/>
        <v>1.9269853217914943E-2</v>
      </c>
    </row>
    <row r="288" spans="1:4">
      <c r="A288" t="s">
        <v>306</v>
      </c>
      <c r="B288">
        <v>17349</v>
      </c>
      <c r="C288">
        <f>Kaikki!A288</f>
        <v>199</v>
      </c>
      <c r="D288" s="39">
        <f t="shared" si="4"/>
        <v>1.1470401752262379E-2</v>
      </c>
    </row>
    <row r="289" spans="1:4">
      <c r="A289" t="s">
        <v>307</v>
      </c>
      <c r="B289">
        <v>17602</v>
      </c>
      <c r="C289">
        <f>Kaikki!A289</f>
        <v>202</v>
      </c>
      <c r="D289" s="39">
        <f t="shared" si="4"/>
        <v>1.1475968639927281E-2</v>
      </c>
    </row>
    <row r="290" spans="1:4">
      <c r="A290" t="s">
        <v>308</v>
      </c>
      <c r="B290">
        <v>17031</v>
      </c>
      <c r="C290">
        <f>Kaikki!A290</f>
        <v>190</v>
      </c>
      <c r="D290" s="39">
        <f t="shared" si="4"/>
        <v>1.1156127062415595E-2</v>
      </c>
    </row>
    <row r="291" spans="1:4">
      <c r="A291" t="s">
        <v>309</v>
      </c>
      <c r="B291">
        <v>14710</v>
      </c>
      <c r="C291">
        <f>Kaikki!A291</f>
        <v>195</v>
      </c>
      <c r="D291" s="39">
        <f t="shared" si="4"/>
        <v>1.3256288239292998E-2</v>
      </c>
    </row>
    <row r="292" spans="1:4">
      <c r="A292" t="s">
        <v>310</v>
      </c>
      <c r="B292">
        <v>11610</v>
      </c>
      <c r="C292">
        <f>Kaikki!A292</f>
        <v>104</v>
      </c>
      <c r="D292" s="39">
        <f t="shared" si="4"/>
        <v>8.9577950043066325E-3</v>
      </c>
    </row>
    <row r="293" spans="1:4">
      <c r="A293" t="s">
        <v>311</v>
      </c>
      <c r="B293">
        <v>8424</v>
      </c>
      <c r="C293">
        <f>Kaikki!A293</f>
        <v>129</v>
      </c>
      <c r="D293" s="39">
        <f t="shared" si="4"/>
        <v>1.5313390313390313E-2</v>
      </c>
    </row>
    <row r="294" spans="1:4">
      <c r="A294" t="s">
        <v>312</v>
      </c>
      <c r="B294">
        <v>11089</v>
      </c>
      <c r="C294">
        <f>Kaikki!A294</f>
        <v>243</v>
      </c>
      <c r="D294" s="39">
        <f t="shared" si="4"/>
        <v>2.1913608080079357E-2</v>
      </c>
    </row>
    <row r="295" spans="1:4">
      <c r="A295" t="s">
        <v>313</v>
      </c>
      <c r="B295">
        <v>16364</v>
      </c>
      <c r="C295">
        <f>Kaikki!A295</f>
        <v>167</v>
      </c>
      <c r="D295" s="39">
        <f t="shared" si="4"/>
        <v>1.0205328770471768E-2</v>
      </c>
    </row>
    <row r="296" spans="1:4">
      <c r="A296" t="s">
        <v>314</v>
      </c>
      <c r="B296">
        <v>17648</v>
      </c>
      <c r="C296">
        <f>Kaikki!A296</f>
        <v>188</v>
      </c>
      <c r="D296" s="39">
        <f t="shared" si="4"/>
        <v>1.0652765185856755E-2</v>
      </c>
    </row>
    <row r="297" spans="1:4">
      <c r="A297" t="s">
        <v>315</v>
      </c>
      <c r="B297">
        <v>17457</v>
      </c>
      <c r="C297">
        <f>Kaikki!A297</f>
        <v>220</v>
      </c>
      <c r="D297" s="39">
        <f t="shared" si="4"/>
        <v>1.2602394454946439E-2</v>
      </c>
    </row>
    <row r="298" spans="1:4">
      <c r="A298" t="s">
        <v>316</v>
      </c>
      <c r="B298">
        <v>16372</v>
      </c>
      <c r="C298">
        <f>Kaikki!A298</f>
        <v>193</v>
      </c>
      <c r="D298" s="39">
        <f t="shared" si="4"/>
        <v>1.1788419252382117E-2</v>
      </c>
    </row>
    <row r="299" spans="1:4">
      <c r="A299" t="s">
        <v>317</v>
      </c>
      <c r="B299">
        <v>11629</v>
      </c>
      <c r="C299">
        <f>Kaikki!A299</f>
        <v>107</v>
      </c>
      <c r="D299" s="39">
        <f t="shared" si="4"/>
        <v>9.2011350933012305E-3</v>
      </c>
    </row>
    <row r="300" spans="1:4">
      <c r="A300" t="s">
        <v>318</v>
      </c>
      <c r="B300">
        <v>7203</v>
      </c>
      <c r="C300">
        <f>Kaikki!A300</f>
        <v>124</v>
      </c>
      <c r="D300" s="39">
        <f t="shared" si="4"/>
        <v>1.7215049285020132E-2</v>
      </c>
    </row>
    <row r="301" spans="1:4">
      <c r="A301" t="s">
        <v>319</v>
      </c>
      <c r="B301">
        <v>11894</v>
      </c>
      <c r="C301">
        <f>Kaikki!A301</f>
        <v>255</v>
      </c>
      <c r="D301" s="39">
        <f t="shared" si="4"/>
        <v>2.1439381200605349E-2</v>
      </c>
    </row>
    <row r="302" spans="1:4">
      <c r="A302" t="s">
        <v>320</v>
      </c>
      <c r="B302">
        <v>18584</v>
      </c>
      <c r="C302">
        <f>Kaikki!A302</f>
        <v>232</v>
      </c>
      <c r="D302" s="39">
        <f t="shared" si="4"/>
        <v>1.248385708136031E-2</v>
      </c>
    </row>
    <row r="303" spans="1:4">
      <c r="A303" t="s">
        <v>321</v>
      </c>
      <c r="B303">
        <v>16275</v>
      </c>
      <c r="C303">
        <f>Kaikki!A303</f>
        <v>240</v>
      </c>
      <c r="D303" s="39">
        <f t="shared" si="4"/>
        <v>1.4746543778801843E-2</v>
      </c>
    </row>
    <row r="304" spans="1:4">
      <c r="A304" t="s">
        <v>322</v>
      </c>
      <c r="B304">
        <v>15077</v>
      </c>
      <c r="C304">
        <f>Kaikki!A304</f>
        <v>237</v>
      </c>
      <c r="D304" s="39">
        <f t="shared" si="4"/>
        <v>1.5719307554553294E-2</v>
      </c>
    </row>
    <row r="305" spans="1:4">
      <c r="A305" t="s">
        <v>323</v>
      </c>
      <c r="B305">
        <v>12349</v>
      </c>
      <c r="C305">
        <f>Kaikki!A305</f>
        <v>220</v>
      </c>
      <c r="D305" s="39">
        <f t="shared" si="4"/>
        <v>1.7815207709126243E-2</v>
      </c>
    </row>
    <row r="306" spans="1:4">
      <c r="A306" t="s">
        <v>324</v>
      </c>
      <c r="B306">
        <v>8858</v>
      </c>
      <c r="C306">
        <f>Kaikki!A306</f>
        <v>121</v>
      </c>
      <c r="D306" s="39">
        <f t="shared" si="4"/>
        <v>1.3659968390155791E-2</v>
      </c>
    </row>
    <row r="307" spans="1:4">
      <c r="A307" t="s">
        <v>325</v>
      </c>
      <c r="B307">
        <v>5984</v>
      </c>
      <c r="C307">
        <f>Kaikki!A307</f>
        <v>151</v>
      </c>
      <c r="D307" s="39">
        <f t="shared" si="4"/>
        <v>2.5233957219251337E-2</v>
      </c>
    </row>
    <row r="308" spans="1:4">
      <c r="A308" t="s">
        <v>326</v>
      </c>
      <c r="B308">
        <v>9755</v>
      </c>
      <c r="C308">
        <f>Kaikki!A308</f>
        <v>287</v>
      </c>
      <c r="D308" s="39">
        <f t="shared" si="4"/>
        <v>2.9420809841107124E-2</v>
      </c>
    </row>
    <row r="309" spans="1:4">
      <c r="A309" t="s">
        <v>327</v>
      </c>
      <c r="B309">
        <v>16077</v>
      </c>
      <c r="C309">
        <f>Kaikki!A309</f>
        <v>241</v>
      </c>
      <c r="D309" s="39">
        <f t="shared" si="4"/>
        <v>1.4990358897804318E-2</v>
      </c>
    </row>
    <row r="310" spans="1:4">
      <c r="A310" t="s">
        <v>328</v>
      </c>
      <c r="B310">
        <v>17293</v>
      </c>
      <c r="C310">
        <f>Kaikki!A310</f>
        <v>213</v>
      </c>
      <c r="D310" s="39">
        <f t="shared" si="4"/>
        <v>1.231712253512982E-2</v>
      </c>
    </row>
    <row r="311" spans="1:4">
      <c r="A311" t="s">
        <v>329</v>
      </c>
      <c r="B311">
        <v>15315</v>
      </c>
      <c r="C311">
        <f>Kaikki!A311</f>
        <v>219</v>
      </c>
      <c r="D311" s="39">
        <f t="shared" si="4"/>
        <v>1.4299706170421155E-2</v>
      </c>
    </row>
    <row r="312" spans="1:4">
      <c r="A312" t="s">
        <v>330</v>
      </c>
      <c r="B312">
        <v>15128</v>
      </c>
      <c r="C312">
        <f>Kaikki!A312</f>
        <v>196</v>
      </c>
      <c r="D312" s="39">
        <f t="shared" si="4"/>
        <v>1.2956107879428873E-2</v>
      </c>
    </row>
    <row r="313" spans="1:4">
      <c r="A313" t="s">
        <v>331</v>
      </c>
      <c r="B313">
        <v>9833</v>
      </c>
      <c r="C313">
        <f>Kaikki!A313</f>
        <v>128</v>
      </c>
      <c r="D313" s="39">
        <f t="shared" si="4"/>
        <v>1.3017390420014237E-2</v>
      </c>
    </row>
    <row r="314" spans="1:4">
      <c r="A314" t="s">
        <v>332</v>
      </c>
      <c r="B314">
        <v>5786</v>
      </c>
      <c r="C314">
        <f>Kaikki!A314</f>
        <v>132</v>
      </c>
      <c r="D314" s="39">
        <f t="shared" si="4"/>
        <v>2.2813688212927757E-2</v>
      </c>
    </row>
    <row r="315" spans="1:4">
      <c r="A315" t="s">
        <v>333</v>
      </c>
      <c r="B315">
        <v>11753</v>
      </c>
      <c r="C315">
        <f>Kaikki!A315</f>
        <v>273</v>
      </c>
      <c r="D315" s="39">
        <f t="shared" si="4"/>
        <v>2.3228111971411555E-2</v>
      </c>
    </row>
    <row r="316" spans="1:4">
      <c r="A316" t="s">
        <v>334</v>
      </c>
      <c r="B316">
        <v>16694</v>
      </c>
      <c r="C316">
        <f>Kaikki!A316</f>
        <v>206</v>
      </c>
      <c r="D316" s="39">
        <f t="shared" si="4"/>
        <v>1.2339762789025998E-2</v>
      </c>
    </row>
    <row r="317" spans="1:4">
      <c r="A317" t="s">
        <v>335</v>
      </c>
      <c r="B317">
        <v>16387</v>
      </c>
      <c r="C317">
        <f>Kaikki!A317</f>
        <v>294</v>
      </c>
      <c r="D317" s="39">
        <f t="shared" si="4"/>
        <v>1.7941050832977361E-2</v>
      </c>
    </row>
    <row r="318" spans="1:4">
      <c r="A318" t="s">
        <v>336</v>
      </c>
      <c r="B318">
        <v>15852</v>
      </c>
      <c r="C318">
        <f>Kaikki!A318</f>
        <v>282</v>
      </c>
      <c r="D318" s="39">
        <f t="shared" si="4"/>
        <v>1.7789553368660106E-2</v>
      </c>
    </row>
    <row r="319" spans="1:4">
      <c r="A319" t="s">
        <v>337</v>
      </c>
      <c r="B319">
        <v>13392</v>
      </c>
      <c r="C319">
        <f>Kaikki!A319</f>
        <v>268</v>
      </c>
      <c r="D319" s="39">
        <f t="shared" si="4"/>
        <v>2.001194743130227E-2</v>
      </c>
    </row>
    <row r="320" spans="1:4">
      <c r="A320" t="s">
        <v>338</v>
      </c>
      <c r="B320">
        <v>10836</v>
      </c>
      <c r="C320">
        <f>Kaikki!A320</f>
        <v>145</v>
      </c>
      <c r="D320" s="39">
        <f t="shared" si="4"/>
        <v>1.3381321520856405E-2</v>
      </c>
    </row>
    <row r="321" spans="1:4">
      <c r="A321" t="s">
        <v>339</v>
      </c>
      <c r="B321">
        <v>6648</v>
      </c>
      <c r="C321">
        <f>Kaikki!A321</f>
        <v>181</v>
      </c>
      <c r="D321" s="39">
        <f t="shared" si="4"/>
        <v>2.7226233453670277E-2</v>
      </c>
    </row>
    <row r="322" spans="1:4">
      <c r="A322" t="s">
        <v>340</v>
      </c>
      <c r="B322">
        <v>12667</v>
      </c>
      <c r="C322">
        <f>Kaikki!A322</f>
        <v>392</v>
      </c>
      <c r="D322" s="39">
        <f t="shared" si="4"/>
        <v>3.0946554038051629E-2</v>
      </c>
    </row>
    <row r="323" spans="1:4">
      <c r="A323" t="s">
        <v>341</v>
      </c>
      <c r="B323">
        <v>18246</v>
      </c>
      <c r="C323">
        <f>Kaikki!A323</f>
        <v>389</v>
      </c>
      <c r="D323" s="39">
        <f t="shared" si="4"/>
        <v>2.1319741313164529E-2</v>
      </c>
    </row>
    <row r="324" spans="1:4">
      <c r="A324" t="s">
        <v>342</v>
      </c>
      <c r="B324">
        <v>17093</v>
      </c>
      <c r="C324">
        <f>Kaikki!A324</f>
        <v>376</v>
      </c>
      <c r="D324" s="39">
        <f t="shared" si="4"/>
        <v>2.1997308839875971E-2</v>
      </c>
    </row>
    <row r="325" spans="1:4">
      <c r="A325" t="s">
        <v>343</v>
      </c>
      <c r="B325">
        <v>16789</v>
      </c>
      <c r="C325">
        <f>Kaikki!A325</f>
        <v>478</v>
      </c>
      <c r="D325" s="39">
        <f t="shared" si="4"/>
        <v>2.8471022693430222E-2</v>
      </c>
    </row>
    <row r="326" spans="1:4">
      <c r="A326" t="s">
        <v>344</v>
      </c>
      <c r="B326">
        <v>17748</v>
      </c>
      <c r="C326">
        <f>Kaikki!A326</f>
        <v>428</v>
      </c>
      <c r="D326" s="39">
        <f t="shared" si="4"/>
        <v>2.4115393283750283E-2</v>
      </c>
    </row>
    <row r="327" spans="1:4">
      <c r="A327" t="s">
        <v>347</v>
      </c>
      <c r="B327">
        <v>13047</v>
      </c>
      <c r="C327">
        <f>Kaikki!A327</f>
        <v>270</v>
      </c>
      <c r="D327" s="39">
        <f t="shared" si="4"/>
        <v>2.0694412508622671E-2</v>
      </c>
    </row>
    <row r="328" spans="1:4">
      <c r="A328" t="s">
        <v>348</v>
      </c>
      <c r="B328">
        <v>8718</v>
      </c>
      <c r="C328">
        <f>Kaikki!A328</f>
        <v>267</v>
      </c>
      <c r="D328" s="39">
        <f t="shared" ref="D328:D391" si="5">C328/B328</f>
        <v>3.0626290433585685E-2</v>
      </c>
    </row>
    <row r="329" spans="1:4">
      <c r="A329" t="s">
        <v>349</v>
      </c>
      <c r="B329">
        <v>14688</v>
      </c>
      <c r="C329">
        <f>Kaikki!A329</f>
        <v>504</v>
      </c>
      <c r="D329" s="39">
        <f t="shared" si="5"/>
        <v>3.4313725490196081E-2</v>
      </c>
    </row>
    <row r="330" spans="1:4">
      <c r="A330" t="s">
        <v>350</v>
      </c>
      <c r="B330">
        <v>20984</v>
      </c>
      <c r="C330">
        <f>Kaikki!A330</f>
        <v>471</v>
      </c>
      <c r="D330" s="39">
        <f t="shared" si="5"/>
        <v>2.2445672893633244E-2</v>
      </c>
    </row>
    <row r="331" spans="1:4">
      <c r="A331" t="s">
        <v>351</v>
      </c>
      <c r="B331">
        <v>23323</v>
      </c>
      <c r="C331">
        <f>Kaikki!A331</f>
        <v>619</v>
      </c>
      <c r="D331" s="39">
        <f t="shared" si="5"/>
        <v>2.6540325001071903E-2</v>
      </c>
    </row>
    <row r="332" spans="1:4">
      <c r="A332" t="s">
        <v>354</v>
      </c>
      <c r="B332">
        <v>21928</v>
      </c>
      <c r="C332">
        <f>Kaikki!A332</f>
        <v>509</v>
      </c>
      <c r="D332" s="39">
        <f t="shared" si="5"/>
        <v>2.3212331265961329E-2</v>
      </c>
    </row>
    <row r="333" spans="1:4">
      <c r="A333" t="s">
        <v>355</v>
      </c>
      <c r="B333">
        <v>21658</v>
      </c>
      <c r="C333">
        <f>Kaikki!A333</f>
        <v>456</v>
      </c>
      <c r="D333" s="39">
        <f t="shared" si="5"/>
        <v>2.1054575676424415E-2</v>
      </c>
    </row>
    <row r="334" spans="1:4">
      <c r="A334" t="s">
        <v>356</v>
      </c>
      <c r="B334">
        <v>16298</v>
      </c>
      <c r="C334">
        <f>Kaikki!A334</f>
        <v>284</v>
      </c>
      <c r="D334" s="39">
        <f t="shared" si="5"/>
        <v>1.7425450975579827E-2</v>
      </c>
    </row>
    <row r="335" spans="1:4">
      <c r="A335" t="s">
        <v>357</v>
      </c>
      <c r="B335">
        <v>13935</v>
      </c>
      <c r="C335">
        <f>Kaikki!A335</f>
        <v>293</v>
      </c>
      <c r="D335" s="39">
        <f t="shared" si="5"/>
        <v>2.1026193039110155E-2</v>
      </c>
    </row>
    <row r="336" spans="1:4">
      <c r="A336" t="s">
        <v>358</v>
      </c>
      <c r="B336">
        <v>14556</v>
      </c>
      <c r="C336">
        <f>Kaikki!A336</f>
        <v>595</v>
      </c>
      <c r="D336" s="39">
        <f t="shared" si="5"/>
        <v>4.0876614454520475E-2</v>
      </c>
    </row>
    <row r="337" spans="1:4">
      <c r="A337" t="s">
        <v>360</v>
      </c>
      <c r="B337">
        <v>20889</v>
      </c>
      <c r="C337">
        <f>Kaikki!A337</f>
        <v>440</v>
      </c>
      <c r="D337" s="39">
        <f t="shared" si="5"/>
        <v>2.1063717746182202E-2</v>
      </c>
    </row>
    <row r="338" spans="1:4">
      <c r="A338" t="s">
        <v>361</v>
      </c>
      <c r="B338">
        <v>23756</v>
      </c>
      <c r="C338">
        <f>Kaikki!A338</f>
        <v>495</v>
      </c>
      <c r="D338" s="39">
        <f t="shared" si="5"/>
        <v>2.0836841219060449E-2</v>
      </c>
    </row>
    <row r="339" spans="1:4">
      <c r="A339" t="s">
        <v>362</v>
      </c>
      <c r="B339">
        <v>21894</v>
      </c>
      <c r="C339">
        <f>Kaikki!A339</f>
        <v>478</v>
      </c>
      <c r="D339" s="39">
        <f t="shared" si="5"/>
        <v>2.1832465515666394E-2</v>
      </c>
    </row>
    <row r="340" spans="1:4">
      <c r="A340" t="s">
        <v>363</v>
      </c>
      <c r="B340">
        <v>21704</v>
      </c>
      <c r="C340">
        <f>Kaikki!A340</f>
        <v>473</v>
      </c>
      <c r="D340" s="39">
        <f t="shared" si="5"/>
        <v>2.1793217840029487E-2</v>
      </c>
    </row>
    <row r="341" spans="1:4">
      <c r="A341" t="s">
        <v>364</v>
      </c>
      <c r="B341">
        <v>17866</v>
      </c>
      <c r="C341">
        <f>Kaikki!A341</f>
        <v>250</v>
      </c>
      <c r="D341" s="39">
        <f t="shared" si="5"/>
        <v>1.3993059442516512E-2</v>
      </c>
    </row>
    <row r="342" spans="1:4">
      <c r="A342" t="s">
        <v>365</v>
      </c>
      <c r="B342">
        <v>11462</v>
      </c>
      <c r="C342">
        <f>Kaikki!A342</f>
        <v>284</v>
      </c>
      <c r="D342" s="39">
        <f t="shared" si="5"/>
        <v>2.4777525737218635E-2</v>
      </c>
    </row>
    <row r="343" spans="1:4">
      <c r="A343" t="s">
        <v>366</v>
      </c>
      <c r="B343">
        <v>15644</v>
      </c>
      <c r="C343">
        <f>Kaikki!A343</f>
        <v>587</v>
      </c>
      <c r="D343" s="39">
        <f t="shared" si="5"/>
        <v>3.7522372794681666E-2</v>
      </c>
    </row>
    <row r="344" spans="1:4">
      <c r="A344" t="s">
        <v>367</v>
      </c>
      <c r="B344">
        <v>21190</v>
      </c>
      <c r="C344">
        <f>Kaikki!A344</f>
        <v>478</v>
      </c>
      <c r="D344" s="39">
        <f t="shared" si="5"/>
        <v>2.2557810287871637E-2</v>
      </c>
    </row>
    <row r="345" spans="1:4">
      <c r="A345" t="s">
        <v>368</v>
      </c>
      <c r="B345">
        <v>21645</v>
      </c>
      <c r="C345">
        <f>Kaikki!A345</f>
        <v>462</v>
      </c>
      <c r="D345" s="39">
        <f t="shared" si="5"/>
        <v>2.1344421344421344E-2</v>
      </c>
    </row>
    <row r="346" spans="1:4">
      <c r="A346" t="s">
        <v>369</v>
      </c>
      <c r="B346">
        <v>18679</v>
      </c>
      <c r="C346">
        <f>Kaikki!A346</f>
        <v>407</v>
      </c>
      <c r="D346" s="39">
        <f t="shared" si="5"/>
        <v>2.1789175009368809E-2</v>
      </c>
    </row>
    <row r="347" spans="1:4">
      <c r="A347" t="s">
        <v>370</v>
      </c>
      <c r="B347">
        <v>19191</v>
      </c>
      <c r="C347">
        <f>Kaikki!A347</f>
        <v>445</v>
      </c>
      <c r="D347" s="39">
        <f t="shared" si="5"/>
        <v>2.3187952686154967E-2</v>
      </c>
    </row>
    <row r="348" spans="1:4">
      <c r="A348" t="s">
        <v>371</v>
      </c>
      <c r="B348">
        <v>13877</v>
      </c>
      <c r="C348">
        <f>Kaikki!A348</f>
        <v>249</v>
      </c>
      <c r="D348" s="39">
        <f t="shared" si="5"/>
        <v>1.7943359515745477E-2</v>
      </c>
    </row>
    <row r="349" spans="1:4">
      <c r="A349" t="s">
        <v>372</v>
      </c>
      <c r="B349">
        <v>10414</v>
      </c>
      <c r="C349">
        <f>Kaikki!A349</f>
        <v>276</v>
      </c>
      <c r="D349" s="39">
        <f t="shared" si="5"/>
        <v>2.6502784712886498E-2</v>
      </c>
    </row>
    <row r="350" spans="1:4">
      <c r="A350" t="s">
        <v>373</v>
      </c>
      <c r="B350">
        <v>15189</v>
      </c>
      <c r="C350">
        <f>Kaikki!A350</f>
        <v>463</v>
      </c>
      <c r="D350" s="39">
        <f t="shared" si="5"/>
        <v>3.048258608203305E-2</v>
      </c>
    </row>
    <row r="351" spans="1:4">
      <c r="A351" t="s">
        <v>374</v>
      </c>
      <c r="B351">
        <v>22630</v>
      </c>
      <c r="C351">
        <f>Kaikki!A351</f>
        <v>359</v>
      </c>
      <c r="D351" s="39">
        <f t="shared" si="5"/>
        <v>1.5863897481219622E-2</v>
      </c>
    </row>
    <row r="352" spans="1:4">
      <c r="A352" t="s">
        <v>375</v>
      </c>
      <c r="B352">
        <v>18572</v>
      </c>
      <c r="C352">
        <f>Kaikki!A352</f>
        <v>353</v>
      </c>
      <c r="D352" s="39">
        <f t="shared" si="5"/>
        <v>1.9007107473616197E-2</v>
      </c>
    </row>
    <row r="353" spans="1:4">
      <c r="A353" t="s">
        <v>376</v>
      </c>
      <c r="B353">
        <v>20440</v>
      </c>
      <c r="C353">
        <f>Kaikki!A353</f>
        <v>323</v>
      </c>
      <c r="D353" s="39">
        <f t="shared" si="5"/>
        <v>1.5802348336594912E-2</v>
      </c>
    </row>
    <row r="354" spans="1:4">
      <c r="A354" t="s">
        <v>377</v>
      </c>
      <c r="B354">
        <v>19754</v>
      </c>
      <c r="C354">
        <f>Kaikki!A354</f>
        <v>394</v>
      </c>
      <c r="D354" s="39">
        <f t="shared" si="5"/>
        <v>1.9945327528601803E-2</v>
      </c>
    </row>
    <row r="355" spans="1:4">
      <c r="A355" t="s">
        <v>378</v>
      </c>
      <c r="B355">
        <v>15100</v>
      </c>
      <c r="C355">
        <f>Kaikki!A355</f>
        <v>191</v>
      </c>
      <c r="D355" s="39">
        <f t="shared" si="5"/>
        <v>1.2649006622516556E-2</v>
      </c>
    </row>
    <row r="356" spans="1:4">
      <c r="A356" t="s">
        <v>379</v>
      </c>
      <c r="B356">
        <v>12007</v>
      </c>
      <c r="C356">
        <f>Kaikki!A356</f>
        <v>244</v>
      </c>
      <c r="D356" s="39">
        <f t="shared" si="5"/>
        <v>2.0321479137169984E-2</v>
      </c>
    </row>
    <row r="357" spans="1:4">
      <c r="A357" t="s">
        <v>380</v>
      </c>
      <c r="B357">
        <v>15149</v>
      </c>
      <c r="C357">
        <f>Kaikki!A357</f>
        <v>375</v>
      </c>
      <c r="D357" s="39">
        <f t="shared" si="5"/>
        <v>2.4754109182124232E-2</v>
      </c>
    </row>
    <row r="358" spans="1:4">
      <c r="A358" t="s">
        <v>381</v>
      </c>
      <c r="B358">
        <v>22266</v>
      </c>
      <c r="C358">
        <f>Kaikki!A358</f>
        <v>332</v>
      </c>
      <c r="D358" s="39">
        <f t="shared" si="5"/>
        <v>1.4910626066648702E-2</v>
      </c>
    </row>
    <row r="359" spans="1:4">
      <c r="A359" t="s">
        <v>382</v>
      </c>
      <c r="B359">
        <v>21217</v>
      </c>
      <c r="C359">
        <f>Kaikki!A359</f>
        <v>277</v>
      </c>
      <c r="D359" s="39">
        <f t="shared" si="5"/>
        <v>1.3055568647782439E-2</v>
      </c>
    </row>
    <row r="360" spans="1:4">
      <c r="A360" t="s">
        <v>383</v>
      </c>
      <c r="B360">
        <v>11339</v>
      </c>
      <c r="C360">
        <f>Kaikki!A360</f>
        <v>138</v>
      </c>
      <c r="D360" s="39">
        <f t="shared" si="5"/>
        <v>1.2170385395537525E-2</v>
      </c>
    </row>
    <row r="361" spans="1:4">
      <c r="A361" t="s">
        <v>384</v>
      </c>
      <c r="B361">
        <v>6857</v>
      </c>
      <c r="C361">
        <f>Kaikki!A361</f>
        <v>157</v>
      </c>
      <c r="D361" s="39">
        <f t="shared" si="5"/>
        <v>2.2896310339798744E-2</v>
      </c>
    </row>
    <row r="362" spans="1:4">
      <c r="A362" t="s">
        <v>385</v>
      </c>
      <c r="B362">
        <v>6415</v>
      </c>
      <c r="C362">
        <f>Kaikki!A362</f>
        <v>183</v>
      </c>
      <c r="D362" s="39">
        <f t="shared" si="5"/>
        <v>2.852689010132502E-2</v>
      </c>
    </row>
    <row r="363" spans="1:4">
      <c r="A363" t="s">
        <v>386</v>
      </c>
      <c r="B363">
        <v>7345</v>
      </c>
      <c r="C363">
        <f>Kaikki!A363</f>
        <v>191</v>
      </c>
      <c r="D363" s="39">
        <f t="shared" si="5"/>
        <v>2.6004084411164058E-2</v>
      </c>
    </row>
    <row r="364" spans="1:4">
      <c r="A364" t="s">
        <v>387</v>
      </c>
      <c r="B364">
        <v>11621</v>
      </c>
      <c r="C364">
        <f>Kaikki!A364</f>
        <v>435</v>
      </c>
      <c r="D364" s="39">
        <f t="shared" si="5"/>
        <v>3.743223474743998E-2</v>
      </c>
    </row>
    <row r="365" spans="1:4">
      <c r="A365" t="s">
        <v>388</v>
      </c>
      <c r="B365">
        <v>15724</v>
      </c>
      <c r="C365">
        <f>Kaikki!A365</f>
        <v>307</v>
      </c>
      <c r="D365" s="39">
        <f t="shared" si="5"/>
        <v>1.9524294072755025E-2</v>
      </c>
    </row>
    <row r="366" spans="1:4">
      <c r="A366" t="s">
        <v>389</v>
      </c>
      <c r="B366">
        <v>14322</v>
      </c>
      <c r="C366">
        <f>Kaikki!A366</f>
        <v>255</v>
      </c>
      <c r="D366" s="39">
        <f t="shared" si="5"/>
        <v>1.7804775869291998E-2</v>
      </c>
    </row>
    <row r="367" spans="1:4">
      <c r="A367" t="s">
        <v>390</v>
      </c>
      <c r="B367">
        <v>11974</v>
      </c>
      <c r="C367">
        <f>Kaikki!A367</f>
        <v>254</v>
      </c>
      <c r="D367" s="39">
        <f t="shared" si="5"/>
        <v>2.1212627359278438E-2</v>
      </c>
    </row>
    <row r="368" spans="1:4">
      <c r="A368" t="s">
        <v>391</v>
      </c>
      <c r="B368">
        <v>6829</v>
      </c>
      <c r="C368">
        <f>Kaikki!A368</f>
        <v>129</v>
      </c>
      <c r="D368" s="39">
        <f t="shared" si="5"/>
        <v>1.88900278225216E-2</v>
      </c>
    </row>
    <row r="369" spans="1:4">
      <c r="A369" t="s">
        <v>392</v>
      </c>
      <c r="B369">
        <v>5684</v>
      </c>
      <c r="C369">
        <f>Kaikki!A369</f>
        <v>206</v>
      </c>
      <c r="D369" s="39">
        <f t="shared" si="5"/>
        <v>3.6242083040112595E-2</v>
      </c>
    </row>
    <row r="370" spans="1:4">
      <c r="A370" t="s">
        <v>393</v>
      </c>
      <c r="B370">
        <v>6495</v>
      </c>
      <c r="C370">
        <f>Kaikki!A370</f>
        <v>169</v>
      </c>
      <c r="D370" s="39">
        <f t="shared" si="5"/>
        <v>2.6020015396458814E-2</v>
      </c>
    </row>
    <row r="371" spans="1:4">
      <c r="A371" t="s">
        <v>394</v>
      </c>
      <c r="B371">
        <v>10677</v>
      </c>
      <c r="C371">
        <f>Kaikki!A371</f>
        <v>398</v>
      </c>
      <c r="D371" s="39">
        <f t="shared" si="5"/>
        <v>3.7276388498641941E-2</v>
      </c>
    </row>
    <row r="372" spans="1:4">
      <c r="A372" t="s">
        <v>395</v>
      </c>
      <c r="B372">
        <v>14981</v>
      </c>
      <c r="C372">
        <f>Kaikki!A372</f>
        <v>263</v>
      </c>
      <c r="D372" s="39">
        <f t="shared" si="5"/>
        <v>1.7555570389159603E-2</v>
      </c>
    </row>
    <row r="373" spans="1:4">
      <c r="A373" t="s">
        <v>396</v>
      </c>
      <c r="B373">
        <v>10861</v>
      </c>
      <c r="C373">
        <f>Kaikki!A373</f>
        <v>209</v>
      </c>
      <c r="D373" s="39">
        <f t="shared" si="5"/>
        <v>1.9243163612926988E-2</v>
      </c>
    </row>
    <row r="374" spans="1:4">
      <c r="A374" t="s">
        <v>397</v>
      </c>
      <c r="B374">
        <v>8975</v>
      </c>
      <c r="C374">
        <f>Kaikki!A374</f>
        <v>332</v>
      </c>
      <c r="D374" s="39">
        <f t="shared" si="5"/>
        <v>3.6991643454038999E-2</v>
      </c>
    </row>
    <row r="375" spans="1:4">
      <c r="A375" t="s">
        <v>398</v>
      </c>
      <c r="B375">
        <v>13740</v>
      </c>
      <c r="C375">
        <f>Kaikki!A375</f>
        <v>252</v>
      </c>
      <c r="D375" s="39">
        <f t="shared" si="5"/>
        <v>1.8340611353711789E-2</v>
      </c>
    </row>
    <row r="376" spans="1:4">
      <c r="A376" t="s">
        <v>399</v>
      </c>
      <c r="B376">
        <v>9370</v>
      </c>
      <c r="C376">
        <f>Kaikki!A376</f>
        <v>194</v>
      </c>
      <c r="D376" s="39">
        <f t="shared" si="5"/>
        <v>2.0704375667022414E-2</v>
      </c>
    </row>
    <row r="377" spans="1:4">
      <c r="A377" t="s">
        <v>400</v>
      </c>
      <c r="B377">
        <v>6501</v>
      </c>
      <c r="C377">
        <f>Kaikki!A377</f>
        <v>186</v>
      </c>
      <c r="D377" s="39">
        <f t="shared" si="5"/>
        <v>2.8610982925703739E-2</v>
      </c>
    </row>
    <row r="378" spans="1:4">
      <c r="A378" t="s">
        <v>401</v>
      </c>
      <c r="B378">
        <v>9375</v>
      </c>
      <c r="C378">
        <f>Kaikki!A378</f>
        <v>386</v>
      </c>
      <c r="D378" s="39">
        <f t="shared" si="5"/>
        <v>4.1173333333333333E-2</v>
      </c>
    </row>
    <row r="379" spans="1:4">
      <c r="A379" t="s">
        <v>402</v>
      </c>
      <c r="B379">
        <v>14430</v>
      </c>
      <c r="C379">
        <f>Kaikki!A379</f>
        <v>229</v>
      </c>
      <c r="D379" s="39">
        <f t="shared" si="5"/>
        <v>1.5869715869715868E-2</v>
      </c>
    </row>
    <row r="380" spans="1:4">
      <c r="A380" t="s">
        <v>403</v>
      </c>
      <c r="B380">
        <v>12971</v>
      </c>
      <c r="C380">
        <f>Kaikki!A380</f>
        <v>260</v>
      </c>
      <c r="D380" s="39">
        <f t="shared" si="5"/>
        <v>2.0044715133759924E-2</v>
      </c>
    </row>
    <row r="381" spans="1:4">
      <c r="A381" t="s">
        <v>404</v>
      </c>
      <c r="B381">
        <v>10759</v>
      </c>
      <c r="C381">
        <f>Kaikki!A381</f>
        <v>249</v>
      </c>
      <c r="D381" s="39">
        <f t="shared" si="5"/>
        <v>2.3143414815503298E-2</v>
      </c>
    </row>
    <row r="382" spans="1:4">
      <c r="A382" t="s">
        <v>405</v>
      </c>
      <c r="B382">
        <v>11189</v>
      </c>
      <c r="C382">
        <f>Kaikki!A382</f>
        <v>266</v>
      </c>
      <c r="D382" s="39">
        <f t="shared" si="5"/>
        <v>2.3773348824738583E-2</v>
      </c>
    </row>
    <row r="383" spans="1:4">
      <c r="A383" t="s">
        <v>406</v>
      </c>
      <c r="B383">
        <v>9323</v>
      </c>
      <c r="C383">
        <f>Kaikki!A383</f>
        <v>171</v>
      </c>
      <c r="D383" s="39">
        <f t="shared" si="5"/>
        <v>1.8341735492867103E-2</v>
      </c>
    </row>
    <row r="384" spans="1:4">
      <c r="A384" t="s">
        <v>407</v>
      </c>
      <c r="B384">
        <v>5160</v>
      </c>
      <c r="C384">
        <f>Kaikki!A384</f>
        <v>197</v>
      </c>
      <c r="D384" s="39">
        <f t="shared" si="5"/>
        <v>3.8178294573643412E-2</v>
      </c>
    </row>
    <row r="385" spans="1:4">
      <c r="A385" t="s">
        <v>408</v>
      </c>
      <c r="B385">
        <v>9367</v>
      </c>
      <c r="C385">
        <f>Kaikki!A385</f>
        <v>448</v>
      </c>
      <c r="D385" s="39">
        <f t="shared" si="5"/>
        <v>4.7827479449129927E-2</v>
      </c>
    </row>
    <row r="386" spans="1:4">
      <c r="A386" t="s">
        <v>409</v>
      </c>
      <c r="B386">
        <v>16872</v>
      </c>
      <c r="C386">
        <f>Kaikki!A386</f>
        <v>342</v>
      </c>
      <c r="D386" s="39">
        <f t="shared" si="5"/>
        <v>2.0270270270270271E-2</v>
      </c>
    </row>
    <row r="387" spans="1:4">
      <c r="A387" t="s">
        <v>410</v>
      </c>
      <c r="B387">
        <v>15794</v>
      </c>
      <c r="C387">
        <f>Kaikki!A387</f>
        <v>406</v>
      </c>
      <c r="D387" s="39">
        <f t="shared" si="5"/>
        <v>2.5705964290236798E-2</v>
      </c>
    </row>
    <row r="388" spans="1:4">
      <c r="A388" t="s">
        <v>411</v>
      </c>
      <c r="B388">
        <v>15746</v>
      </c>
      <c r="C388">
        <f>Kaikki!A388</f>
        <v>377</v>
      </c>
      <c r="D388" s="39">
        <f t="shared" si="5"/>
        <v>2.3942588593928615E-2</v>
      </c>
    </row>
    <row r="389" spans="1:4">
      <c r="A389" t="s">
        <v>412</v>
      </c>
      <c r="B389">
        <v>16859</v>
      </c>
      <c r="C389">
        <f>Kaikki!A389</f>
        <v>361</v>
      </c>
      <c r="D389" s="39">
        <f t="shared" si="5"/>
        <v>2.1412895189513021E-2</v>
      </c>
    </row>
    <row r="390" spans="1:4">
      <c r="A390" t="s">
        <v>413</v>
      </c>
      <c r="B390">
        <v>11516</v>
      </c>
      <c r="C390">
        <f>Kaikki!A390</f>
        <v>168</v>
      </c>
      <c r="D390" s="39">
        <f t="shared" si="5"/>
        <v>1.4588398749565822E-2</v>
      </c>
    </row>
    <row r="391" spans="1:4">
      <c r="A391" t="s">
        <v>414</v>
      </c>
      <c r="B391">
        <v>8605</v>
      </c>
      <c r="C391">
        <f>Kaikki!A391</f>
        <v>247</v>
      </c>
      <c r="D391" s="39">
        <f t="shared" si="5"/>
        <v>2.8704241719930274E-2</v>
      </c>
    </row>
    <row r="392" spans="1:4">
      <c r="A392" t="s">
        <v>415</v>
      </c>
      <c r="B392">
        <v>11339</v>
      </c>
      <c r="C392">
        <f>Kaikki!A392</f>
        <v>605</v>
      </c>
      <c r="D392" s="39">
        <f t="shared" ref="D392:D406" si="6">C392/B392</f>
        <v>5.3355675103624656E-2</v>
      </c>
    </row>
    <row r="393" spans="1:4">
      <c r="A393" t="s">
        <v>416</v>
      </c>
      <c r="B393">
        <v>19998</v>
      </c>
      <c r="C393">
        <f>Kaikki!A393</f>
        <v>397</v>
      </c>
      <c r="D393" s="39">
        <f t="shared" si="6"/>
        <v>1.9851985198519852E-2</v>
      </c>
    </row>
    <row r="394" spans="1:4">
      <c r="A394" t="s">
        <v>417</v>
      </c>
      <c r="B394">
        <v>16536</v>
      </c>
      <c r="C394">
        <f>Kaikki!A394</f>
        <v>382</v>
      </c>
      <c r="D394" s="39">
        <f t="shared" si="6"/>
        <v>2.3101112723754234E-2</v>
      </c>
    </row>
    <row r="395" spans="1:4">
      <c r="A395" t="s">
        <v>418</v>
      </c>
      <c r="B395">
        <v>16570</v>
      </c>
      <c r="C395">
        <f>Kaikki!A395</f>
        <v>435</v>
      </c>
      <c r="D395" s="39">
        <f t="shared" si="6"/>
        <v>2.6252263126131561E-2</v>
      </c>
    </row>
    <row r="396" spans="1:4">
      <c r="A396" t="s">
        <v>419</v>
      </c>
      <c r="B396">
        <v>18656</v>
      </c>
      <c r="C396">
        <f>Kaikki!A396</f>
        <v>378</v>
      </c>
      <c r="D396" s="39">
        <f t="shared" si="6"/>
        <v>2.0261578044596912E-2</v>
      </c>
    </row>
    <row r="397" spans="1:4">
      <c r="A397" t="s">
        <v>421</v>
      </c>
      <c r="B397">
        <v>12367</v>
      </c>
      <c r="C397">
        <f>Kaikki!A397</f>
        <v>232</v>
      </c>
      <c r="D397" s="39">
        <f t="shared" si="6"/>
        <v>1.8759602167057493E-2</v>
      </c>
    </row>
    <row r="398" spans="1:4">
      <c r="A398" t="s">
        <v>422</v>
      </c>
      <c r="B398">
        <v>10583</v>
      </c>
      <c r="C398">
        <f>Kaikki!A398</f>
        <v>273</v>
      </c>
      <c r="D398" s="39">
        <f t="shared" si="6"/>
        <v>2.5796088065765849E-2</v>
      </c>
    </row>
    <row r="399" spans="1:4">
      <c r="A399" t="s">
        <v>423</v>
      </c>
      <c r="B399">
        <v>12807</v>
      </c>
      <c r="C399">
        <f>Kaikki!A399</f>
        <v>534</v>
      </c>
      <c r="D399" s="39">
        <f t="shared" si="6"/>
        <v>4.1695947528695244E-2</v>
      </c>
    </row>
    <row r="400" spans="1:4">
      <c r="A400" t="s">
        <v>424</v>
      </c>
      <c r="B400">
        <v>19599</v>
      </c>
      <c r="C400">
        <f>Kaikki!A400</f>
        <v>396</v>
      </c>
      <c r="D400" s="39">
        <f t="shared" si="6"/>
        <v>2.0205112505740089E-2</v>
      </c>
    </row>
    <row r="401" spans="1:4">
      <c r="A401" t="s">
        <v>425</v>
      </c>
      <c r="B401">
        <v>22802</v>
      </c>
      <c r="C401">
        <f>Kaikki!A401</f>
        <v>441</v>
      </c>
      <c r="D401" s="39">
        <f t="shared" si="6"/>
        <v>1.9340408736075784E-2</v>
      </c>
    </row>
    <row r="402" spans="1:4">
      <c r="A402" t="s">
        <v>426</v>
      </c>
      <c r="B402">
        <v>19377</v>
      </c>
      <c r="C402">
        <f>Kaikki!A402</f>
        <v>373</v>
      </c>
      <c r="D402" s="39">
        <f t="shared" si="6"/>
        <v>1.9249625845074055E-2</v>
      </c>
    </row>
    <row r="403" spans="1:4">
      <c r="A403" t="s">
        <v>427</v>
      </c>
      <c r="B403">
        <v>17956</v>
      </c>
      <c r="C403">
        <f>Kaikki!A403</f>
        <v>367</v>
      </c>
      <c r="D403" s="39">
        <f t="shared" si="6"/>
        <v>2.0438850523501893E-2</v>
      </c>
    </row>
    <row r="404" spans="1:4">
      <c r="A404" t="s">
        <v>428</v>
      </c>
      <c r="B404">
        <v>14083</v>
      </c>
      <c r="C404">
        <f>Kaikki!A404</f>
        <v>238</v>
      </c>
      <c r="D404" s="39">
        <f t="shared" si="6"/>
        <v>1.6899808279485905E-2</v>
      </c>
    </row>
    <row r="405" spans="1:4">
      <c r="A405" t="s">
        <v>429</v>
      </c>
      <c r="B405">
        <v>9007</v>
      </c>
      <c r="C405">
        <f>Kaikki!A405</f>
        <v>264</v>
      </c>
      <c r="D405" s="39">
        <f t="shared" si="6"/>
        <v>2.9310536249583657E-2</v>
      </c>
    </row>
    <row r="406" spans="1:4">
      <c r="A406" t="s">
        <v>437</v>
      </c>
      <c r="B406">
        <v>13939</v>
      </c>
      <c r="C406">
        <f>Kaikki!A406</f>
        <v>461</v>
      </c>
      <c r="D406" s="39">
        <f t="shared" si="6"/>
        <v>3.3072673792955018E-2</v>
      </c>
    </row>
    <row r="407" spans="1:4">
      <c r="A407" t="s">
        <v>438</v>
      </c>
      <c r="B407">
        <v>21872</v>
      </c>
      <c r="C407">
        <f>Kaikki!A407</f>
        <v>372</v>
      </c>
      <c r="D407" s="39">
        <f>C407/B407</f>
        <v>1.7008046817849305E-2</v>
      </c>
    </row>
    <row r="408" spans="1:4">
      <c r="A408" t="s">
        <v>439</v>
      </c>
      <c r="B408">
        <v>20618</v>
      </c>
      <c r="C408">
        <f>Kaikki!A408</f>
        <v>383</v>
      </c>
      <c r="D408" s="39">
        <f t="shared" ref="D408:D423" si="7">C408/B408</f>
        <v>1.8576001552041903E-2</v>
      </c>
    </row>
    <row r="409" spans="1:4">
      <c r="A409" t="s">
        <v>440</v>
      </c>
      <c r="B409">
        <v>18718</v>
      </c>
      <c r="C409">
        <f>Kaikki!A409</f>
        <v>361</v>
      </c>
      <c r="D409" s="39">
        <f t="shared" si="7"/>
        <v>1.9286248530825945E-2</v>
      </c>
    </row>
    <row r="410" spans="1:4">
      <c r="A410" t="s">
        <v>441</v>
      </c>
      <c r="B410">
        <v>18422</v>
      </c>
      <c r="C410">
        <f>Kaikki!A410</f>
        <v>419</v>
      </c>
      <c r="D410" s="39">
        <f t="shared" si="7"/>
        <v>2.2744544566279449E-2</v>
      </c>
    </row>
    <row r="411" spans="1:4">
      <c r="A411" t="s">
        <v>442</v>
      </c>
      <c r="B411">
        <v>12748</v>
      </c>
      <c r="C411">
        <f>Kaikki!A411</f>
        <v>279</v>
      </c>
      <c r="D411" s="39">
        <f t="shared" si="7"/>
        <v>2.1885786005647945E-2</v>
      </c>
    </row>
    <row r="412" spans="1:4">
      <c r="A412" t="s">
        <v>443</v>
      </c>
      <c r="B412">
        <v>9620</v>
      </c>
      <c r="C412">
        <f>Kaikki!A412</f>
        <v>282</v>
      </c>
      <c r="D412" s="39">
        <f t="shared" si="7"/>
        <v>2.9313929313929316E-2</v>
      </c>
    </row>
    <row r="413" spans="1:4">
      <c r="A413" t="s">
        <v>444</v>
      </c>
      <c r="B413">
        <v>14456</v>
      </c>
      <c r="C413">
        <f>Kaikki!A413</f>
        <v>616</v>
      </c>
      <c r="D413" s="39">
        <f t="shared" si="7"/>
        <v>4.2612064194798009E-2</v>
      </c>
    </row>
    <row r="414" spans="1:4">
      <c r="A414" t="s">
        <v>445</v>
      </c>
      <c r="B414">
        <v>21556</v>
      </c>
      <c r="C414">
        <f>Kaikki!A414</f>
        <v>514</v>
      </c>
      <c r="D414" s="39">
        <f t="shared" si="7"/>
        <v>2.3844869177955093E-2</v>
      </c>
    </row>
    <row r="415" spans="1:4">
      <c r="A415" t="s">
        <v>446</v>
      </c>
      <c r="B415">
        <v>20349</v>
      </c>
      <c r="C415">
        <f>Kaikki!A415</f>
        <v>553</v>
      </c>
      <c r="D415" s="39">
        <f t="shared" si="7"/>
        <v>2.7175782593739251E-2</v>
      </c>
    </row>
    <row r="416" spans="1:4">
      <c r="A416" t="s">
        <v>447</v>
      </c>
      <c r="B416">
        <v>21121</v>
      </c>
      <c r="C416">
        <f>Kaikki!A416</f>
        <v>611</v>
      </c>
      <c r="D416" s="39">
        <f t="shared" si="7"/>
        <v>2.8928554519198901E-2</v>
      </c>
    </row>
    <row r="417" spans="1:4">
      <c r="A417" t="s">
        <v>448</v>
      </c>
      <c r="B417">
        <v>19265</v>
      </c>
      <c r="C417">
        <f>Kaikki!A417</f>
        <v>573</v>
      </c>
      <c r="D417" s="39">
        <f t="shared" si="7"/>
        <v>2.9743057357902933E-2</v>
      </c>
    </row>
    <row r="418" spans="1:4">
      <c r="A418" t="s">
        <v>450</v>
      </c>
      <c r="B418">
        <v>15763</v>
      </c>
      <c r="C418">
        <f>Kaikki!A418</f>
        <v>318</v>
      </c>
      <c r="D418" s="39">
        <f t="shared" si="7"/>
        <v>2.0173824779547041E-2</v>
      </c>
    </row>
    <row r="419" spans="1:4">
      <c r="A419" t="s">
        <v>451</v>
      </c>
      <c r="B419">
        <v>11288</v>
      </c>
      <c r="C419">
        <f>Kaikki!A419</f>
        <v>356</v>
      </c>
      <c r="D419" s="39">
        <f t="shared" si="7"/>
        <v>3.1537916371367825E-2</v>
      </c>
    </row>
    <row r="420" spans="1:4">
      <c r="A420" t="s">
        <v>452</v>
      </c>
      <c r="B420">
        <v>20573</v>
      </c>
      <c r="C420">
        <f>Kaikki!A420</f>
        <v>623</v>
      </c>
      <c r="D420" s="39">
        <f t="shared" si="7"/>
        <v>3.0282408982647158E-2</v>
      </c>
    </row>
    <row r="421" spans="1:4">
      <c r="A421" t="s">
        <v>455</v>
      </c>
      <c r="B421">
        <v>20892</v>
      </c>
      <c r="C421">
        <f>Kaikki!A421</f>
        <v>626</v>
      </c>
      <c r="D421" s="39">
        <f t="shared" si="7"/>
        <v>2.996362243921118E-2</v>
      </c>
    </row>
    <row r="422" spans="1:4">
      <c r="A422" t="s">
        <v>461</v>
      </c>
      <c r="B422">
        <v>239</v>
      </c>
      <c r="C422">
        <f>Kaikki!A422</f>
        <v>598</v>
      </c>
      <c r="D422" s="39">
        <f t="shared" si="7"/>
        <v>2.502092050209205</v>
      </c>
    </row>
    <row r="423" spans="1:4">
      <c r="A423" t="s">
        <v>462</v>
      </c>
      <c r="B423">
        <v>0</v>
      </c>
      <c r="C423">
        <f>Kaikki!A423</f>
        <v>629</v>
      </c>
      <c r="D423" s="39" t="e">
        <f t="shared" si="7"/>
        <v>#DIV/0!</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O805"/>
  <sheetViews>
    <sheetView workbookViewId="0">
      <pane ySplit="1" topLeftCell="A574" activePane="bottomLeft" state="frozen"/>
      <selection pane="bottomLeft" activeCell="A195" sqref="A195:A536"/>
    </sheetView>
  </sheetViews>
  <sheetFormatPr defaultRowHeight="15"/>
  <cols>
    <col min="1" max="1" width="9.140625" style="3"/>
    <col min="2" max="2" width="22.85546875" bestFit="1" customWidth="1"/>
    <col min="3" max="3" width="17.140625" bestFit="1" customWidth="1"/>
    <col min="4" max="4" width="6.140625" customWidth="1"/>
    <col min="5" max="5" width="15.140625" style="3" bestFit="1" customWidth="1"/>
    <col min="6" max="6" width="14" style="5" bestFit="1" customWidth="1"/>
    <col min="7" max="7" width="9.85546875" style="4" bestFit="1" customWidth="1"/>
    <col min="8" max="8" width="16.85546875" customWidth="1"/>
    <col min="9" max="9" width="14.140625" bestFit="1" customWidth="1"/>
    <col min="10" max="10" width="14.85546875" bestFit="1" customWidth="1"/>
    <col min="11" max="11" width="14" bestFit="1" customWidth="1"/>
    <col min="12" max="12" width="10.140625" bestFit="1" customWidth="1"/>
    <col min="13" max="13" width="14.140625" bestFit="1" customWidth="1"/>
  </cols>
  <sheetData>
    <row r="1" spans="1:15" s="7" customFormat="1" ht="39.950000000000003" customHeight="1">
      <c r="A1" s="31" t="s">
        <v>290</v>
      </c>
      <c r="B1" s="1" t="s">
        <v>1</v>
      </c>
      <c r="C1" s="1" t="s">
        <v>9</v>
      </c>
      <c r="D1" s="1" t="s">
        <v>291</v>
      </c>
      <c r="E1" s="1" t="s">
        <v>299</v>
      </c>
      <c r="F1" s="6" t="s">
        <v>7</v>
      </c>
      <c r="G1" s="7" t="s">
        <v>465</v>
      </c>
      <c r="H1" s="7" t="s">
        <v>467</v>
      </c>
      <c r="I1" s="7">
        <f>SUM(A:A)</f>
        <v>94269</v>
      </c>
      <c r="J1" s="8">
        <v>44366.716446759259</v>
      </c>
      <c r="K1" s="7">
        <f>MAX(A:A)</f>
        <v>892</v>
      </c>
      <c r="L1" s="15">
        <f>VLOOKUP(K1,A:F,6,FALSE)</f>
        <v>44270.625</v>
      </c>
      <c r="M1" s="7">
        <f>COUNT(DataN)-5</f>
        <v>531</v>
      </c>
      <c r="O1" s="7" t="str">
        <f>"Päivittäisiä COVID-19 tapauksia vuoden 2020 alusta lähtien "&amp;TEXT(MAX(Kaikki!F:F)-4,"[$-40B]p.k.vvvv")&amp;" saakka. Suurin arvo "&amp;Kaikki!K1&amp;", joka "&amp;TEXT(Kaikki!L1,"[$-40B]p.k.vvvv")&amp;". Uusimpien 4 päivien arvot tulevat viiveellä, joten ne jätetty pois kuvaajasta."</f>
        <v>Päivittäisiä COVID-19 tapauksia vuoden 2020 alusta lähtien 15.6.2021 saakka. Suurin arvo 892, joka 15.3.2021. Uusimpien 4 päivien arvot tulevat viiveellä, joten ne jätetty pois kuvaajasta.</v>
      </c>
    </row>
    <row r="2" spans="1:15">
      <c r="A2" s="3">
        <v>0</v>
      </c>
      <c r="B2" t="s">
        <v>234</v>
      </c>
      <c r="C2" t="s">
        <v>8</v>
      </c>
      <c r="E2" s="3">
        <f>WEEKDAY(F2,2)</f>
        <v>3</v>
      </c>
      <c r="F2" s="5">
        <v>43831.625</v>
      </c>
      <c r="G2" s="19" t="str">
        <f>IF(WEEKDAY(F2,2)=1,YEAR(F2)&amp;"-W"&amp;TEXT(WEEKNUM(F2,14),"00"),"")</f>
        <v/>
      </c>
      <c r="J2" s="28"/>
    </row>
    <row r="3" spans="1:15">
      <c r="A3" s="3">
        <v>0</v>
      </c>
      <c r="B3" t="s">
        <v>235</v>
      </c>
      <c r="C3" t="s">
        <v>8</v>
      </c>
      <c r="E3" s="3">
        <f t="shared" ref="E3:E66" si="0">WEEKDAY(F3,2)</f>
        <v>4</v>
      </c>
      <c r="F3" s="5">
        <v>43832.625</v>
      </c>
      <c r="G3" s="19" t="str">
        <f t="shared" ref="G3:G66" si="1">IF(WEEKDAY(F3,2)=1,YEAR(F3)&amp;"-W"&amp;TEXT(WEEKNUM(F3,14),"00"),"")</f>
        <v/>
      </c>
      <c r="J3" s="28"/>
    </row>
    <row r="4" spans="1:15">
      <c r="A4" s="3">
        <v>0</v>
      </c>
      <c r="B4" t="s">
        <v>236</v>
      </c>
      <c r="C4" t="s">
        <v>8</v>
      </c>
      <c r="E4" s="3">
        <f t="shared" si="0"/>
        <v>5</v>
      </c>
      <c r="F4" s="5">
        <v>43833.625</v>
      </c>
      <c r="G4" s="19" t="str">
        <f t="shared" si="1"/>
        <v/>
      </c>
      <c r="J4" s="28"/>
    </row>
    <row r="5" spans="1:15">
      <c r="A5" s="3">
        <v>0</v>
      </c>
      <c r="B5" t="s">
        <v>237</v>
      </c>
      <c r="C5" t="s">
        <v>8</v>
      </c>
      <c r="E5" s="3">
        <f t="shared" si="0"/>
        <v>6</v>
      </c>
      <c r="F5" s="5">
        <v>43834.625</v>
      </c>
      <c r="G5" s="19" t="str">
        <f t="shared" si="1"/>
        <v/>
      </c>
      <c r="J5" s="28"/>
    </row>
    <row r="6" spans="1:15">
      <c r="A6" s="3">
        <v>0</v>
      </c>
      <c r="B6" t="s">
        <v>238</v>
      </c>
      <c r="C6" t="s">
        <v>8</v>
      </c>
      <c r="E6" s="3">
        <f t="shared" si="0"/>
        <v>7</v>
      </c>
      <c r="F6" s="5">
        <v>43835.625</v>
      </c>
      <c r="G6" s="19" t="str">
        <f t="shared" si="1"/>
        <v/>
      </c>
      <c r="J6" s="28"/>
    </row>
    <row r="7" spans="1:15">
      <c r="A7" s="3">
        <v>0</v>
      </c>
      <c r="B7" t="s">
        <v>239</v>
      </c>
      <c r="C7" t="s">
        <v>8</v>
      </c>
      <c r="E7" s="3">
        <f t="shared" si="0"/>
        <v>1</v>
      </c>
      <c r="F7" s="5">
        <v>43836.625</v>
      </c>
      <c r="G7" s="19" t="str">
        <f t="shared" si="1"/>
        <v>2020-W02</v>
      </c>
      <c r="H7">
        <f>SUM(A7:A13)</f>
        <v>0</v>
      </c>
      <c r="I7" s="28"/>
      <c r="J7" s="28"/>
    </row>
    <row r="8" spans="1:15">
      <c r="A8" s="3">
        <v>0</v>
      </c>
      <c r="B8" t="s">
        <v>240</v>
      </c>
      <c r="C8" t="s">
        <v>8</v>
      </c>
      <c r="E8" s="3">
        <f t="shared" si="0"/>
        <v>2</v>
      </c>
      <c r="F8" s="5">
        <v>43837.625</v>
      </c>
      <c r="G8" s="19" t="str">
        <f t="shared" si="1"/>
        <v/>
      </c>
      <c r="J8" s="28"/>
    </row>
    <row r="9" spans="1:15">
      <c r="A9" s="3">
        <v>0</v>
      </c>
      <c r="B9" t="s">
        <v>241</v>
      </c>
      <c r="C9" t="s">
        <v>8</v>
      </c>
      <c r="E9" s="3">
        <f t="shared" si="0"/>
        <v>3</v>
      </c>
      <c r="F9" s="5">
        <v>43838.625</v>
      </c>
      <c r="G9" s="19" t="str">
        <f t="shared" si="1"/>
        <v/>
      </c>
      <c r="J9" s="28" t="e">
        <f t="shared" ref="J9:J72" si="2">A9/A2-1</f>
        <v>#DIV/0!</v>
      </c>
    </row>
    <row r="10" spans="1:15">
      <c r="A10" s="3">
        <v>0</v>
      </c>
      <c r="B10" t="s">
        <v>242</v>
      </c>
      <c r="C10" t="s">
        <v>8</v>
      </c>
      <c r="E10" s="3">
        <f t="shared" si="0"/>
        <v>4</v>
      </c>
      <c r="F10" s="5">
        <v>43839.625</v>
      </c>
      <c r="G10" s="19" t="str">
        <f t="shared" si="1"/>
        <v/>
      </c>
      <c r="J10" s="28" t="e">
        <f t="shared" si="2"/>
        <v>#DIV/0!</v>
      </c>
    </row>
    <row r="11" spans="1:15">
      <c r="A11" s="3">
        <v>0</v>
      </c>
      <c r="B11" t="s">
        <v>243</v>
      </c>
      <c r="C11" t="s">
        <v>8</v>
      </c>
      <c r="E11" s="3">
        <f t="shared" si="0"/>
        <v>5</v>
      </c>
      <c r="F11" s="5">
        <v>43840.625</v>
      </c>
      <c r="G11" s="19" t="str">
        <f t="shared" si="1"/>
        <v/>
      </c>
      <c r="J11" s="28" t="e">
        <f t="shared" si="2"/>
        <v>#DIV/0!</v>
      </c>
    </row>
    <row r="12" spans="1:15">
      <c r="A12" s="3">
        <v>0</v>
      </c>
      <c r="B12" t="s">
        <v>244</v>
      </c>
      <c r="C12" t="s">
        <v>8</v>
      </c>
      <c r="E12" s="3">
        <f t="shared" si="0"/>
        <v>6</v>
      </c>
      <c r="F12" s="5">
        <v>43841.625</v>
      </c>
      <c r="G12" s="19" t="str">
        <f t="shared" si="1"/>
        <v/>
      </c>
      <c r="J12" s="28" t="e">
        <f t="shared" si="2"/>
        <v>#DIV/0!</v>
      </c>
    </row>
    <row r="13" spans="1:15">
      <c r="A13" s="3">
        <v>0</v>
      </c>
      <c r="B13" t="s">
        <v>245</v>
      </c>
      <c r="C13" t="s">
        <v>8</v>
      </c>
      <c r="E13" s="3">
        <f t="shared" si="0"/>
        <v>7</v>
      </c>
      <c r="F13" s="5">
        <v>43842.625</v>
      </c>
      <c r="G13" s="19" t="str">
        <f t="shared" si="1"/>
        <v/>
      </c>
      <c r="J13" s="28" t="e">
        <f t="shared" si="2"/>
        <v>#DIV/0!</v>
      </c>
    </row>
    <row r="14" spans="1:15">
      <c r="A14" s="3">
        <v>0</v>
      </c>
      <c r="B14" t="s">
        <v>246</v>
      </c>
      <c r="C14" t="s">
        <v>8</v>
      </c>
      <c r="E14" s="3">
        <f t="shared" si="0"/>
        <v>1</v>
      </c>
      <c r="F14" s="5">
        <v>43843.625</v>
      </c>
      <c r="G14" s="19" t="str">
        <f t="shared" si="1"/>
        <v>2020-W03</v>
      </c>
      <c r="H14">
        <f>SUM(A14:A20)</f>
        <v>0</v>
      </c>
      <c r="I14" s="28" t="e">
        <f>H14/H7-1</f>
        <v>#DIV/0!</v>
      </c>
      <c r="J14" s="28" t="e">
        <f t="shared" si="2"/>
        <v>#DIV/0!</v>
      </c>
    </row>
    <row r="15" spans="1:15">
      <c r="A15" s="3">
        <v>0</v>
      </c>
      <c r="B15" t="s">
        <v>247</v>
      </c>
      <c r="C15" t="s">
        <v>8</v>
      </c>
      <c r="E15" s="3">
        <f t="shared" si="0"/>
        <v>2</v>
      </c>
      <c r="F15" s="5">
        <v>43844.625</v>
      </c>
      <c r="G15" s="19" t="str">
        <f t="shared" si="1"/>
        <v/>
      </c>
      <c r="J15" s="28" t="e">
        <f t="shared" si="2"/>
        <v>#DIV/0!</v>
      </c>
    </row>
    <row r="16" spans="1:15">
      <c r="A16" s="3">
        <v>0</v>
      </c>
      <c r="B16" t="s">
        <v>248</v>
      </c>
      <c r="C16" t="s">
        <v>8</v>
      </c>
      <c r="E16" s="3">
        <f t="shared" si="0"/>
        <v>3</v>
      </c>
      <c r="F16" s="5">
        <v>43845.625</v>
      </c>
      <c r="G16" s="19" t="str">
        <f t="shared" si="1"/>
        <v/>
      </c>
      <c r="J16" s="28" t="e">
        <f t="shared" si="2"/>
        <v>#DIV/0!</v>
      </c>
    </row>
    <row r="17" spans="1:10">
      <c r="A17" s="3">
        <v>0</v>
      </c>
      <c r="B17" t="s">
        <v>249</v>
      </c>
      <c r="C17" t="s">
        <v>8</v>
      </c>
      <c r="E17" s="3">
        <f t="shared" si="0"/>
        <v>4</v>
      </c>
      <c r="F17" s="5">
        <v>43846.625</v>
      </c>
      <c r="G17" s="19" t="str">
        <f t="shared" si="1"/>
        <v/>
      </c>
      <c r="J17" s="28" t="e">
        <f t="shared" si="2"/>
        <v>#DIV/0!</v>
      </c>
    </row>
    <row r="18" spans="1:10">
      <c r="A18" s="3">
        <v>0</v>
      </c>
      <c r="B18" t="s">
        <v>250</v>
      </c>
      <c r="C18" t="s">
        <v>8</v>
      </c>
      <c r="E18" s="3">
        <f t="shared" si="0"/>
        <v>5</v>
      </c>
      <c r="F18" s="5">
        <v>43847.625</v>
      </c>
      <c r="G18" s="19" t="str">
        <f t="shared" si="1"/>
        <v/>
      </c>
      <c r="J18" s="28" t="e">
        <f t="shared" si="2"/>
        <v>#DIV/0!</v>
      </c>
    </row>
    <row r="19" spans="1:10">
      <c r="A19" s="3">
        <v>0</v>
      </c>
      <c r="B19" t="s">
        <v>251</v>
      </c>
      <c r="C19" t="s">
        <v>8</v>
      </c>
      <c r="E19" s="3">
        <f t="shared" si="0"/>
        <v>6</v>
      </c>
      <c r="F19" s="5">
        <v>43848.625</v>
      </c>
      <c r="G19" s="19" t="str">
        <f t="shared" si="1"/>
        <v/>
      </c>
      <c r="J19" s="28" t="e">
        <f t="shared" si="2"/>
        <v>#DIV/0!</v>
      </c>
    </row>
    <row r="20" spans="1:10">
      <c r="A20" s="3">
        <v>0</v>
      </c>
      <c r="B20" t="s">
        <v>252</v>
      </c>
      <c r="C20" t="s">
        <v>8</v>
      </c>
      <c r="E20" s="3">
        <f t="shared" si="0"/>
        <v>7</v>
      </c>
      <c r="F20" s="5">
        <v>43849.625</v>
      </c>
      <c r="G20" s="19" t="str">
        <f t="shared" si="1"/>
        <v/>
      </c>
      <c r="J20" s="28" t="e">
        <f t="shared" si="2"/>
        <v>#DIV/0!</v>
      </c>
    </row>
    <row r="21" spans="1:10">
      <c r="A21" s="3">
        <v>0</v>
      </c>
      <c r="B21" t="s">
        <v>253</v>
      </c>
      <c r="C21" t="s">
        <v>8</v>
      </c>
      <c r="E21" s="3">
        <f t="shared" si="0"/>
        <v>1</v>
      </c>
      <c r="F21" s="5">
        <v>43850.625</v>
      </c>
      <c r="G21" s="19" t="str">
        <f t="shared" si="1"/>
        <v>2020-W04</v>
      </c>
      <c r="H21">
        <f>SUM(A21:A27)</f>
        <v>0</v>
      </c>
      <c r="I21" s="28" t="e">
        <f>H21/H14-1</f>
        <v>#DIV/0!</v>
      </c>
      <c r="J21" s="28" t="e">
        <f t="shared" si="2"/>
        <v>#DIV/0!</v>
      </c>
    </row>
    <row r="22" spans="1:10">
      <c r="A22" s="3">
        <v>0</v>
      </c>
      <c r="B22" t="s">
        <v>254</v>
      </c>
      <c r="C22" t="s">
        <v>8</v>
      </c>
      <c r="E22" s="3">
        <f t="shared" si="0"/>
        <v>2</v>
      </c>
      <c r="F22" s="5">
        <v>43851.625</v>
      </c>
      <c r="G22" s="19" t="str">
        <f t="shared" si="1"/>
        <v/>
      </c>
      <c r="J22" s="28" t="e">
        <f t="shared" si="2"/>
        <v>#DIV/0!</v>
      </c>
    </row>
    <row r="23" spans="1:10">
      <c r="A23" s="3">
        <v>0</v>
      </c>
      <c r="B23" t="s">
        <v>255</v>
      </c>
      <c r="C23" t="s">
        <v>8</v>
      </c>
      <c r="E23" s="3">
        <f t="shared" si="0"/>
        <v>3</v>
      </c>
      <c r="F23" s="5">
        <v>43852.625</v>
      </c>
      <c r="G23" s="19" t="str">
        <f t="shared" si="1"/>
        <v/>
      </c>
      <c r="J23" s="28" t="e">
        <f t="shared" si="2"/>
        <v>#DIV/0!</v>
      </c>
    </row>
    <row r="24" spans="1:10">
      <c r="A24" s="3">
        <v>0</v>
      </c>
      <c r="B24" t="s">
        <v>256</v>
      </c>
      <c r="C24" t="s">
        <v>8</v>
      </c>
      <c r="E24" s="3">
        <f t="shared" si="0"/>
        <v>4</v>
      </c>
      <c r="F24" s="5">
        <v>43853.625</v>
      </c>
      <c r="G24" s="19" t="str">
        <f t="shared" si="1"/>
        <v/>
      </c>
      <c r="J24" s="28" t="e">
        <f t="shared" si="2"/>
        <v>#DIV/0!</v>
      </c>
    </row>
    <row r="25" spans="1:10">
      <c r="A25" s="3">
        <v>0</v>
      </c>
      <c r="B25" t="s">
        <v>257</v>
      </c>
      <c r="C25" t="s">
        <v>8</v>
      </c>
      <c r="E25" s="3">
        <f t="shared" si="0"/>
        <v>5</v>
      </c>
      <c r="F25" s="5">
        <v>43854.625</v>
      </c>
      <c r="G25" s="19" t="str">
        <f t="shared" si="1"/>
        <v/>
      </c>
      <c r="J25" s="28" t="e">
        <f t="shared" si="2"/>
        <v>#DIV/0!</v>
      </c>
    </row>
    <row r="26" spans="1:10">
      <c r="A26" s="3">
        <v>0</v>
      </c>
      <c r="B26" t="s">
        <v>258</v>
      </c>
      <c r="C26" t="s">
        <v>8</v>
      </c>
      <c r="E26" s="3">
        <f t="shared" si="0"/>
        <v>6</v>
      </c>
      <c r="F26" s="5">
        <v>43855.625</v>
      </c>
      <c r="G26" s="19" t="str">
        <f t="shared" si="1"/>
        <v/>
      </c>
      <c r="J26" s="28" t="e">
        <f t="shared" si="2"/>
        <v>#DIV/0!</v>
      </c>
    </row>
    <row r="27" spans="1:10">
      <c r="A27" s="3">
        <v>0</v>
      </c>
      <c r="B27" t="s">
        <v>259</v>
      </c>
      <c r="C27" t="s">
        <v>8</v>
      </c>
      <c r="E27" s="3">
        <f t="shared" si="0"/>
        <v>7</v>
      </c>
      <c r="F27" s="5">
        <v>43856.625</v>
      </c>
      <c r="G27" s="19" t="str">
        <f t="shared" si="1"/>
        <v/>
      </c>
      <c r="J27" s="28" t="e">
        <f t="shared" si="2"/>
        <v>#DIV/0!</v>
      </c>
    </row>
    <row r="28" spans="1:10">
      <c r="A28" s="3">
        <v>0</v>
      </c>
      <c r="B28" t="s">
        <v>260</v>
      </c>
      <c r="C28" t="s">
        <v>8</v>
      </c>
      <c r="E28" s="3">
        <f t="shared" si="0"/>
        <v>1</v>
      </c>
      <c r="F28" s="5">
        <v>43857.625</v>
      </c>
      <c r="G28" s="19" t="str">
        <f t="shared" si="1"/>
        <v>2020-W05</v>
      </c>
      <c r="H28">
        <f>SUM(A28:A34)</f>
        <v>1</v>
      </c>
      <c r="I28" s="28" t="e">
        <f>H28/H21-1</f>
        <v>#DIV/0!</v>
      </c>
      <c r="J28" s="28" t="e">
        <f t="shared" si="2"/>
        <v>#DIV/0!</v>
      </c>
    </row>
    <row r="29" spans="1:10">
      <c r="A29" s="3">
        <v>1</v>
      </c>
      <c r="B29" t="s">
        <v>10</v>
      </c>
      <c r="C29" t="s">
        <v>8</v>
      </c>
      <c r="E29" s="3">
        <f t="shared" si="0"/>
        <v>2</v>
      </c>
      <c r="F29" s="5">
        <v>43858.625</v>
      </c>
      <c r="G29" s="19" t="str">
        <f t="shared" si="1"/>
        <v/>
      </c>
      <c r="J29" s="28" t="e">
        <f t="shared" si="2"/>
        <v>#DIV/0!</v>
      </c>
    </row>
    <row r="30" spans="1:10">
      <c r="A30" s="3">
        <v>0</v>
      </c>
      <c r="B30" t="s">
        <v>261</v>
      </c>
      <c r="C30" t="s">
        <v>8</v>
      </c>
      <c r="E30" s="3">
        <f t="shared" si="0"/>
        <v>3</v>
      </c>
      <c r="F30" s="5">
        <v>43859.625</v>
      </c>
      <c r="G30" s="19" t="str">
        <f t="shared" si="1"/>
        <v/>
      </c>
      <c r="J30" s="28" t="e">
        <f t="shared" si="2"/>
        <v>#DIV/0!</v>
      </c>
    </row>
    <row r="31" spans="1:10">
      <c r="A31" s="3">
        <v>0</v>
      </c>
      <c r="B31" t="s">
        <v>262</v>
      </c>
      <c r="C31" t="s">
        <v>8</v>
      </c>
      <c r="E31" s="3">
        <f t="shared" si="0"/>
        <v>4</v>
      </c>
      <c r="F31" s="5">
        <v>43860.625</v>
      </c>
      <c r="G31" s="19" t="str">
        <f t="shared" si="1"/>
        <v/>
      </c>
      <c r="J31" s="28" t="e">
        <f t="shared" si="2"/>
        <v>#DIV/0!</v>
      </c>
    </row>
    <row r="32" spans="1:10">
      <c r="A32" s="3">
        <v>0</v>
      </c>
      <c r="B32" t="s">
        <v>263</v>
      </c>
      <c r="C32" t="s">
        <v>8</v>
      </c>
      <c r="E32" s="3">
        <f t="shared" si="0"/>
        <v>5</v>
      </c>
      <c r="F32" s="5">
        <v>43861.625</v>
      </c>
      <c r="G32" s="19" t="str">
        <f t="shared" si="1"/>
        <v/>
      </c>
      <c r="J32" s="28" t="e">
        <f t="shared" si="2"/>
        <v>#DIV/0!</v>
      </c>
    </row>
    <row r="33" spans="1:10">
      <c r="A33" s="3">
        <v>0</v>
      </c>
      <c r="B33" t="s">
        <v>264</v>
      </c>
      <c r="C33" t="s">
        <v>8</v>
      </c>
      <c r="E33" s="3">
        <f t="shared" si="0"/>
        <v>6</v>
      </c>
      <c r="F33" s="5">
        <v>43862.625</v>
      </c>
      <c r="G33" s="19" t="str">
        <f t="shared" si="1"/>
        <v/>
      </c>
      <c r="J33" s="28" t="e">
        <f t="shared" si="2"/>
        <v>#DIV/0!</v>
      </c>
    </row>
    <row r="34" spans="1:10">
      <c r="A34" s="3">
        <v>0</v>
      </c>
      <c r="B34" t="s">
        <v>265</v>
      </c>
      <c r="C34" t="s">
        <v>8</v>
      </c>
      <c r="E34" s="3">
        <f t="shared" si="0"/>
        <v>7</v>
      </c>
      <c r="F34" s="5">
        <v>43863.625</v>
      </c>
      <c r="G34" s="19" t="str">
        <f t="shared" si="1"/>
        <v/>
      </c>
      <c r="J34" s="28" t="e">
        <f t="shared" si="2"/>
        <v>#DIV/0!</v>
      </c>
    </row>
    <row r="35" spans="1:10">
      <c r="A35" s="3">
        <v>0</v>
      </c>
      <c r="B35" t="s">
        <v>266</v>
      </c>
      <c r="C35" t="s">
        <v>8</v>
      </c>
      <c r="E35" s="3">
        <f t="shared" si="0"/>
        <v>1</v>
      </c>
      <c r="F35" s="5">
        <v>43864.625</v>
      </c>
      <c r="G35" s="19" t="str">
        <f t="shared" si="1"/>
        <v>2020-W06</v>
      </c>
      <c r="H35">
        <f>SUM(A35:A41)</f>
        <v>0</v>
      </c>
      <c r="I35" s="28">
        <f>H35/H28-1</f>
        <v>-1</v>
      </c>
      <c r="J35" s="28" t="e">
        <f t="shared" si="2"/>
        <v>#DIV/0!</v>
      </c>
    </row>
    <row r="36" spans="1:10">
      <c r="A36" s="3">
        <v>0</v>
      </c>
      <c r="B36" t="s">
        <v>267</v>
      </c>
      <c r="C36" t="s">
        <v>8</v>
      </c>
      <c r="E36" s="3">
        <f t="shared" si="0"/>
        <v>2</v>
      </c>
      <c r="F36" s="5">
        <v>43865.625</v>
      </c>
      <c r="G36" s="19" t="str">
        <f t="shared" si="1"/>
        <v/>
      </c>
      <c r="J36" s="28">
        <f t="shared" si="2"/>
        <v>-1</v>
      </c>
    </row>
    <row r="37" spans="1:10">
      <c r="A37" s="3">
        <v>0</v>
      </c>
      <c r="B37" t="s">
        <v>268</v>
      </c>
      <c r="C37" t="s">
        <v>8</v>
      </c>
      <c r="E37" s="3">
        <f t="shared" si="0"/>
        <v>3</v>
      </c>
      <c r="F37" s="5">
        <v>43866.625</v>
      </c>
      <c r="G37" s="19" t="str">
        <f t="shared" si="1"/>
        <v/>
      </c>
      <c r="J37" s="28" t="e">
        <f t="shared" si="2"/>
        <v>#DIV/0!</v>
      </c>
    </row>
    <row r="38" spans="1:10">
      <c r="A38" s="3">
        <v>0</v>
      </c>
      <c r="B38" t="s">
        <v>269</v>
      </c>
      <c r="C38" t="s">
        <v>8</v>
      </c>
      <c r="E38" s="3">
        <f t="shared" si="0"/>
        <v>4</v>
      </c>
      <c r="F38" s="5">
        <v>43867.625</v>
      </c>
      <c r="G38" s="19" t="str">
        <f t="shared" si="1"/>
        <v/>
      </c>
      <c r="J38" s="28" t="e">
        <f t="shared" si="2"/>
        <v>#DIV/0!</v>
      </c>
    </row>
    <row r="39" spans="1:10">
      <c r="A39" s="3">
        <v>0</v>
      </c>
      <c r="B39" t="s">
        <v>270</v>
      </c>
      <c r="C39" t="s">
        <v>8</v>
      </c>
      <c r="E39" s="3">
        <f t="shared" si="0"/>
        <v>5</v>
      </c>
      <c r="F39" s="5">
        <v>43868.625</v>
      </c>
      <c r="G39" s="19" t="str">
        <f t="shared" si="1"/>
        <v/>
      </c>
      <c r="J39" s="28" t="e">
        <f t="shared" si="2"/>
        <v>#DIV/0!</v>
      </c>
    </row>
    <row r="40" spans="1:10">
      <c r="A40" s="3">
        <v>0</v>
      </c>
      <c r="B40" t="s">
        <v>271</v>
      </c>
      <c r="C40" t="s">
        <v>8</v>
      </c>
      <c r="E40" s="3">
        <f t="shared" si="0"/>
        <v>6</v>
      </c>
      <c r="F40" s="5">
        <v>43869.625</v>
      </c>
      <c r="G40" s="19" t="str">
        <f t="shared" si="1"/>
        <v/>
      </c>
      <c r="J40" s="28" t="e">
        <f t="shared" si="2"/>
        <v>#DIV/0!</v>
      </c>
    </row>
    <row r="41" spans="1:10">
      <c r="A41" s="3">
        <v>0</v>
      </c>
      <c r="B41" t="s">
        <v>272</v>
      </c>
      <c r="C41" t="s">
        <v>8</v>
      </c>
      <c r="E41" s="3">
        <f t="shared" si="0"/>
        <v>7</v>
      </c>
      <c r="F41" s="5">
        <v>43870.625</v>
      </c>
      <c r="G41" s="19" t="str">
        <f t="shared" si="1"/>
        <v/>
      </c>
      <c r="J41" s="28" t="e">
        <f t="shared" si="2"/>
        <v>#DIV/0!</v>
      </c>
    </row>
    <row r="42" spans="1:10">
      <c r="A42" s="3">
        <v>1</v>
      </c>
      <c r="B42" t="s">
        <v>11</v>
      </c>
      <c r="C42" t="s">
        <v>8</v>
      </c>
      <c r="E42" s="3">
        <f t="shared" si="0"/>
        <v>1</v>
      </c>
      <c r="F42" s="5">
        <v>43871.625</v>
      </c>
      <c r="G42" s="19" t="str">
        <f t="shared" si="1"/>
        <v>2020-W07</v>
      </c>
      <c r="H42">
        <f>SUM(A42:A48)</f>
        <v>1</v>
      </c>
      <c r="I42" s="28" t="e">
        <f>H42/H35-1</f>
        <v>#DIV/0!</v>
      </c>
      <c r="J42" s="28" t="e">
        <f t="shared" si="2"/>
        <v>#DIV/0!</v>
      </c>
    </row>
    <row r="43" spans="1:10">
      <c r="A43" s="3">
        <v>0</v>
      </c>
      <c r="B43" t="s">
        <v>273</v>
      </c>
      <c r="C43" t="s">
        <v>8</v>
      </c>
      <c r="E43" s="3">
        <f t="shared" si="0"/>
        <v>2</v>
      </c>
      <c r="F43" s="5">
        <v>43872.625</v>
      </c>
      <c r="G43" s="19" t="str">
        <f t="shared" si="1"/>
        <v/>
      </c>
      <c r="J43" s="28" t="e">
        <f t="shared" si="2"/>
        <v>#DIV/0!</v>
      </c>
    </row>
    <row r="44" spans="1:10">
      <c r="A44" s="3">
        <v>0</v>
      </c>
      <c r="B44" t="s">
        <v>274</v>
      </c>
      <c r="C44" t="s">
        <v>8</v>
      </c>
      <c r="E44" s="3">
        <f t="shared" si="0"/>
        <v>3</v>
      </c>
      <c r="F44" s="5">
        <v>43873.625</v>
      </c>
      <c r="G44" s="19" t="str">
        <f t="shared" si="1"/>
        <v/>
      </c>
      <c r="J44" s="28" t="e">
        <f t="shared" si="2"/>
        <v>#DIV/0!</v>
      </c>
    </row>
    <row r="45" spans="1:10">
      <c r="A45" s="3">
        <v>0</v>
      </c>
      <c r="B45" t="s">
        <v>275</v>
      </c>
      <c r="C45" t="s">
        <v>8</v>
      </c>
      <c r="E45" s="3">
        <f t="shared" si="0"/>
        <v>4</v>
      </c>
      <c r="F45" s="5">
        <v>43874.625</v>
      </c>
      <c r="G45" s="19" t="str">
        <f t="shared" si="1"/>
        <v/>
      </c>
      <c r="J45" s="28" t="e">
        <f t="shared" si="2"/>
        <v>#DIV/0!</v>
      </c>
    </row>
    <row r="46" spans="1:10">
      <c r="A46" s="3">
        <v>0</v>
      </c>
      <c r="B46" t="s">
        <v>276</v>
      </c>
      <c r="C46" t="s">
        <v>8</v>
      </c>
      <c r="E46" s="3">
        <f t="shared" si="0"/>
        <v>5</v>
      </c>
      <c r="F46" s="5">
        <v>43875.625</v>
      </c>
      <c r="G46" s="19" t="str">
        <f t="shared" si="1"/>
        <v/>
      </c>
      <c r="J46" s="28" t="e">
        <f t="shared" si="2"/>
        <v>#DIV/0!</v>
      </c>
    </row>
    <row r="47" spans="1:10">
      <c r="A47" s="3">
        <v>0</v>
      </c>
      <c r="B47" t="s">
        <v>277</v>
      </c>
      <c r="C47" t="s">
        <v>8</v>
      </c>
      <c r="E47" s="3">
        <f t="shared" si="0"/>
        <v>6</v>
      </c>
      <c r="F47" s="5">
        <v>43876.625</v>
      </c>
      <c r="G47" s="19" t="str">
        <f t="shared" si="1"/>
        <v/>
      </c>
      <c r="J47" s="28" t="e">
        <f t="shared" si="2"/>
        <v>#DIV/0!</v>
      </c>
    </row>
    <row r="48" spans="1:10">
      <c r="A48" s="3">
        <v>0</v>
      </c>
      <c r="B48" t="s">
        <v>278</v>
      </c>
      <c r="C48" t="s">
        <v>8</v>
      </c>
      <c r="E48" s="3">
        <f t="shared" si="0"/>
        <v>7</v>
      </c>
      <c r="F48" s="5">
        <v>43877.625</v>
      </c>
      <c r="G48" s="19" t="str">
        <f t="shared" si="1"/>
        <v/>
      </c>
      <c r="J48" s="28" t="e">
        <f t="shared" si="2"/>
        <v>#DIV/0!</v>
      </c>
    </row>
    <row r="49" spans="1:10">
      <c r="A49" s="3">
        <v>0</v>
      </c>
      <c r="B49" t="s">
        <v>279</v>
      </c>
      <c r="C49" t="s">
        <v>8</v>
      </c>
      <c r="E49" s="3">
        <f t="shared" si="0"/>
        <v>1</v>
      </c>
      <c r="F49" s="5">
        <v>43878.625</v>
      </c>
      <c r="G49" s="19" t="str">
        <f t="shared" si="1"/>
        <v>2020-W08</v>
      </c>
      <c r="H49">
        <f>SUM(A49:A55)</f>
        <v>1</v>
      </c>
      <c r="I49" s="28">
        <f>H49/H42-1</f>
        <v>0</v>
      </c>
      <c r="J49" s="28">
        <f t="shared" si="2"/>
        <v>-1</v>
      </c>
    </row>
    <row r="50" spans="1:10">
      <c r="A50" s="3">
        <v>0</v>
      </c>
      <c r="B50" t="s">
        <v>280</v>
      </c>
      <c r="C50" t="s">
        <v>8</v>
      </c>
      <c r="E50" s="3">
        <f t="shared" si="0"/>
        <v>2</v>
      </c>
      <c r="F50" s="5">
        <v>43879.625</v>
      </c>
      <c r="G50" s="19" t="str">
        <f t="shared" si="1"/>
        <v/>
      </c>
      <c r="J50" s="28" t="e">
        <f t="shared" si="2"/>
        <v>#DIV/0!</v>
      </c>
    </row>
    <row r="51" spans="1:10">
      <c r="A51" s="3">
        <v>0</v>
      </c>
      <c r="B51" t="s">
        <v>281</v>
      </c>
      <c r="C51" t="s">
        <v>8</v>
      </c>
      <c r="E51" s="3">
        <f t="shared" si="0"/>
        <v>3</v>
      </c>
      <c r="F51" s="5">
        <v>43880.625</v>
      </c>
      <c r="G51" s="19" t="str">
        <f t="shared" si="1"/>
        <v/>
      </c>
      <c r="J51" s="28" t="e">
        <f t="shared" si="2"/>
        <v>#DIV/0!</v>
      </c>
    </row>
    <row r="52" spans="1:10">
      <c r="A52" s="3">
        <v>0</v>
      </c>
      <c r="B52" t="s">
        <v>282</v>
      </c>
      <c r="C52" t="s">
        <v>8</v>
      </c>
      <c r="E52" s="3">
        <f t="shared" si="0"/>
        <v>4</v>
      </c>
      <c r="F52" s="5">
        <v>43881.625</v>
      </c>
      <c r="G52" s="19" t="str">
        <f t="shared" si="1"/>
        <v/>
      </c>
      <c r="J52" s="28" t="e">
        <f t="shared" si="2"/>
        <v>#DIV/0!</v>
      </c>
    </row>
    <row r="53" spans="1:10">
      <c r="A53" s="3">
        <v>0</v>
      </c>
      <c r="B53" t="s">
        <v>283</v>
      </c>
      <c r="C53" t="s">
        <v>8</v>
      </c>
      <c r="E53" s="3">
        <f t="shared" si="0"/>
        <v>5</v>
      </c>
      <c r="F53" s="5">
        <v>43882.625</v>
      </c>
      <c r="G53" s="19" t="str">
        <f t="shared" si="1"/>
        <v/>
      </c>
      <c r="J53" s="28" t="e">
        <f t="shared" si="2"/>
        <v>#DIV/0!</v>
      </c>
    </row>
    <row r="54" spans="1:10">
      <c r="A54" s="3">
        <v>1</v>
      </c>
      <c r="B54" t="s">
        <v>12</v>
      </c>
      <c r="C54" t="s">
        <v>8</v>
      </c>
      <c r="E54" s="3">
        <f t="shared" si="0"/>
        <v>6</v>
      </c>
      <c r="F54" s="5">
        <v>43883.625</v>
      </c>
      <c r="G54" s="19" t="str">
        <f t="shared" si="1"/>
        <v/>
      </c>
      <c r="J54" s="28" t="e">
        <f t="shared" si="2"/>
        <v>#DIV/0!</v>
      </c>
    </row>
    <row r="55" spans="1:10">
      <c r="A55" s="3">
        <v>0</v>
      </c>
      <c r="B55" t="s">
        <v>284</v>
      </c>
      <c r="C55" t="s">
        <v>8</v>
      </c>
      <c r="E55" s="3">
        <f t="shared" si="0"/>
        <v>7</v>
      </c>
      <c r="F55" s="5">
        <v>43884.625</v>
      </c>
      <c r="G55" s="19" t="str">
        <f t="shared" si="1"/>
        <v/>
      </c>
      <c r="J55" s="28" t="e">
        <f t="shared" si="2"/>
        <v>#DIV/0!</v>
      </c>
    </row>
    <row r="56" spans="1:10">
      <c r="A56" s="3">
        <v>0</v>
      </c>
      <c r="B56" t="s">
        <v>285</v>
      </c>
      <c r="C56" t="s">
        <v>8</v>
      </c>
      <c r="E56" s="3">
        <f t="shared" si="0"/>
        <v>1</v>
      </c>
      <c r="F56" s="5">
        <v>43885.625</v>
      </c>
      <c r="G56" s="19" t="str">
        <f t="shared" si="1"/>
        <v>2020-W09</v>
      </c>
      <c r="H56">
        <f>SUM(A56:A62)</f>
        <v>7</v>
      </c>
      <c r="I56" s="28">
        <f>H56/H49-1</f>
        <v>6</v>
      </c>
      <c r="J56" s="28" t="e">
        <f t="shared" si="2"/>
        <v>#DIV/0!</v>
      </c>
    </row>
    <row r="57" spans="1:10">
      <c r="A57" s="3">
        <v>1</v>
      </c>
      <c r="B57" t="s">
        <v>13</v>
      </c>
      <c r="C57" t="s">
        <v>8</v>
      </c>
      <c r="E57" s="3">
        <f t="shared" si="0"/>
        <v>2</v>
      </c>
      <c r="F57" s="5">
        <v>43886.625</v>
      </c>
      <c r="G57" s="19" t="str">
        <f t="shared" si="1"/>
        <v/>
      </c>
      <c r="J57" s="28" t="e">
        <f t="shared" si="2"/>
        <v>#DIV/0!</v>
      </c>
    </row>
    <row r="58" spans="1:10">
      <c r="A58" s="3">
        <v>0</v>
      </c>
      <c r="B58" t="s">
        <v>286</v>
      </c>
      <c r="C58" t="s">
        <v>8</v>
      </c>
      <c r="E58" s="3">
        <f t="shared" si="0"/>
        <v>3</v>
      </c>
      <c r="F58" s="5">
        <v>43887.625</v>
      </c>
      <c r="G58" s="19" t="str">
        <f t="shared" si="1"/>
        <v/>
      </c>
      <c r="J58" s="28" t="e">
        <f t="shared" si="2"/>
        <v>#DIV/0!</v>
      </c>
    </row>
    <row r="59" spans="1:10">
      <c r="A59" s="3">
        <v>1</v>
      </c>
      <c r="B59" t="s">
        <v>14</v>
      </c>
      <c r="C59" t="s">
        <v>8</v>
      </c>
      <c r="E59" s="3">
        <f t="shared" si="0"/>
        <v>4</v>
      </c>
      <c r="F59" s="5">
        <v>43888.625</v>
      </c>
      <c r="G59" s="19" t="str">
        <f t="shared" si="1"/>
        <v/>
      </c>
      <c r="J59" s="28" t="e">
        <f t="shared" si="2"/>
        <v>#DIV/0!</v>
      </c>
    </row>
    <row r="60" spans="1:10">
      <c r="A60" s="3">
        <v>3</v>
      </c>
      <c r="B60" t="s">
        <v>15</v>
      </c>
      <c r="C60" t="s">
        <v>8</v>
      </c>
      <c r="E60" s="3">
        <f t="shared" si="0"/>
        <v>5</v>
      </c>
      <c r="F60" s="5">
        <v>43889.625</v>
      </c>
      <c r="G60" s="19" t="str">
        <f t="shared" si="1"/>
        <v/>
      </c>
      <c r="J60" s="28" t="e">
        <f t="shared" si="2"/>
        <v>#DIV/0!</v>
      </c>
    </row>
    <row r="61" spans="1:10">
      <c r="A61" s="3">
        <v>1</v>
      </c>
      <c r="B61" t="s">
        <v>16</v>
      </c>
      <c r="C61" t="s">
        <v>8</v>
      </c>
      <c r="E61" s="3">
        <f t="shared" si="0"/>
        <v>6</v>
      </c>
      <c r="F61" s="5">
        <v>43890.625</v>
      </c>
      <c r="G61" s="19" t="str">
        <f t="shared" si="1"/>
        <v/>
      </c>
      <c r="J61" s="28">
        <f t="shared" si="2"/>
        <v>0</v>
      </c>
    </row>
    <row r="62" spans="1:10">
      <c r="A62" s="3">
        <v>1</v>
      </c>
      <c r="B62" t="s">
        <v>17</v>
      </c>
      <c r="C62" t="s">
        <v>8</v>
      </c>
      <c r="E62" s="3">
        <f t="shared" si="0"/>
        <v>7</v>
      </c>
      <c r="F62" s="5">
        <v>43891.625</v>
      </c>
      <c r="G62" s="19" t="str">
        <f t="shared" si="1"/>
        <v/>
      </c>
      <c r="J62" s="28" t="e">
        <f t="shared" si="2"/>
        <v>#DIV/0!</v>
      </c>
    </row>
    <row r="63" spans="1:10">
      <c r="A63" s="3">
        <v>0</v>
      </c>
      <c r="B63" t="s">
        <v>287</v>
      </c>
      <c r="C63" t="s">
        <v>8</v>
      </c>
      <c r="E63" s="3">
        <f t="shared" si="0"/>
        <v>1</v>
      </c>
      <c r="F63" s="5">
        <v>43892.625</v>
      </c>
      <c r="G63" s="19" t="str">
        <f t="shared" si="1"/>
        <v>2020-W10</v>
      </c>
      <c r="H63">
        <f>SUM(A63:A69)</f>
        <v>34</v>
      </c>
      <c r="I63" s="28">
        <f>H63/H56-1</f>
        <v>3.8571428571428568</v>
      </c>
      <c r="J63" s="28" t="e">
        <f t="shared" si="2"/>
        <v>#DIV/0!</v>
      </c>
    </row>
    <row r="64" spans="1:10">
      <c r="A64" s="3">
        <v>4</v>
      </c>
      <c r="B64" t="s">
        <v>18</v>
      </c>
      <c r="C64" t="s">
        <v>8</v>
      </c>
      <c r="E64" s="3">
        <f t="shared" si="0"/>
        <v>2</v>
      </c>
      <c r="F64" s="5">
        <v>43893.625</v>
      </c>
      <c r="G64" s="19" t="str">
        <f t="shared" si="1"/>
        <v/>
      </c>
      <c r="J64" s="28">
        <f t="shared" si="2"/>
        <v>3</v>
      </c>
    </row>
    <row r="65" spans="1:10">
      <c r="A65" s="3">
        <v>6</v>
      </c>
      <c r="B65" t="s">
        <v>19</v>
      </c>
      <c r="C65" t="s">
        <v>8</v>
      </c>
      <c r="E65" s="3">
        <f t="shared" si="0"/>
        <v>3</v>
      </c>
      <c r="F65" s="5">
        <v>43894.625</v>
      </c>
      <c r="G65" s="19" t="str">
        <f t="shared" si="1"/>
        <v/>
      </c>
      <c r="J65" s="28" t="e">
        <f t="shared" si="2"/>
        <v>#DIV/0!</v>
      </c>
    </row>
    <row r="66" spans="1:10">
      <c r="A66" s="3">
        <v>1</v>
      </c>
      <c r="B66" t="s">
        <v>20</v>
      </c>
      <c r="C66" t="s">
        <v>8</v>
      </c>
      <c r="E66" s="3">
        <f t="shared" si="0"/>
        <v>4</v>
      </c>
      <c r="F66" s="5">
        <v>43895.625</v>
      </c>
      <c r="G66" s="19" t="str">
        <f t="shared" si="1"/>
        <v/>
      </c>
      <c r="J66" s="28">
        <f t="shared" si="2"/>
        <v>0</v>
      </c>
    </row>
    <row r="67" spans="1:10">
      <c r="A67" s="3">
        <v>7</v>
      </c>
      <c r="B67" t="s">
        <v>21</v>
      </c>
      <c r="C67" t="s">
        <v>8</v>
      </c>
      <c r="E67" s="3">
        <f t="shared" ref="E67:E130" si="3">WEEKDAY(F67,2)</f>
        <v>5</v>
      </c>
      <c r="F67" s="5">
        <v>43896.625</v>
      </c>
      <c r="G67" s="19" t="str">
        <f t="shared" ref="G67:G130" si="4">IF(WEEKDAY(F67,2)=1,YEAR(F67)&amp;"-W"&amp;TEXT(WEEKNUM(F67,14),"00"),"")</f>
        <v/>
      </c>
      <c r="J67" s="28">
        <f t="shared" si="2"/>
        <v>1.3333333333333335</v>
      </c>
    </row>
    <row r="68" spans="1:10">
      <c r="A68" s="3">
        <v>7</v>
      </c>
      <c r="B68" t="s">
        <v>22</v>
      </c>
      <c r="C68" t="s">
        <v>8</v>
      </c>
      <c r="E68" s="3">
        <f t="shared" si="3"/>
        <v>6</v>
      </c>
      <c r="F68" s="5">
        <v>43897.625</v>
      </c>
      <c r="G68" s="19" t="str">
        <f t="shared" si="4"/>
        <v/>
      </c>
      <c r="J68" s="28">
        <f t="shared" si="2"/>
        <v>6</v>
      </c>
    </row>
    <row r="69" spans="1:10">
      <c r="A69" s="3">
        <v>9</v>
      </c>
      <c r="B69" t="s">
        <v>23</v>
      </c>
      <c r="C69" t="s">
        <v>8</v>
      </c>
      <c r="E69" s="3">
        <f t="shared" si="3"/>
        <v>7</v>
      </c>
      <c r="F69" s="5">
        <v>43898.625</v>
      </c>
      <c r="G69" s="19" t="str">
        <f t="shared" si="4"/>
        <v/>
      </c>
      <c r="J69" s="28">
        <f t="shared" si="2"/>
        <v>8</v>
      </c>
    </row>
    <row r="70" spans="1:10">
      <c r="A70" s="3">
        <v>17</v>
      </c>
      <c r="B70" t="s">
        <v>24</v>
      </c>
      <c r="C70" t="s">
        <v>8</v>
      </c>
      <c r="E70" s="3">
        <f t="shared" si="3"/>
        <v>1</v>
      </c>
      <c r="F70" s="5">
        <v>43899.625</v>
      </c>
      <c r="G70" s="19" t="str">
        <f t="shared" si="4"/>
        <v>2020-W11</v>
      </c>
      <c r="H70">
        <f>SUM(A70:A76)</f>
        <v>317</v>
      </c>
      <c r="I70" s="28">
        <f>H70/H63-1</f>
        <v>8.3235294117647065</v>
      </c>
      <c r="J70" s="28" t="e">
        <f t="shared" si="2"/>
        <v>#DIV/0!</v>
      </c>
    </row>
    <row r="71" spans="1:10">
      <c r="A71" s="3">
        <v>54</v>
      </c>
      <c r="B71" t="s">
        <v>25</v>
      </c>
      <c r="C71" t="s">
        <v>8</v>
      </c>
      <c r="E71" s="3">
        <f t="shared" si="3"/>
        <v>2</v>
      </c>
      <c r="F71" s="5">
        <v>43900.625</v>
      </c>
      <c r="G71" s="19" t="str">
        <f t="shared" si="4"/>
        <v/>
      </c>
      <c r="J71" s="28">
        <f t="shared" si="2"/>
        <v>12.5</v>
      </c>
    </row>
    <row r="72" spans="1:10">
      <c r="A72" s="3">
        <v>76</v>
      </c>
      <c r="B72" t="s">
        <v>26</v>
      </c>
      <c r="C72" t="s">
        <v>8</v>
      </c>
      <c r="E72" s="3">
        <f t="shared" si="3"/>
        <v>3</v>
      </c>
      <c r="F72" s="5">
        <v>43901.625</v>
      </c>
      <c r="G72" s="19" t="str">
        <f t="shared" si="4"/>
        <v/>
      </c>
      <c r="J72" s="28">
        <f t="shared" si="2"/>
        <v>11.666666666666666</v>
      </c>
    </row>
    <row r="73" spans="1:10">
      <c r="A73" s="3">
        <v>60</v>
      </c>
      <c r="B73" t="s">
        <v>27</v>
      </c>
      <c r="C73" t="s">
        <v>8</v>
      </c>
      <c r="E73" s="3">
        <f t="shared" si="3"/>
        <v>4</v>
      </c>
      <c r="F73" s="5">
        <v>43902.625</v>
      </c>
      <c r="G73" s="19" t="str">
        <f t="shared" si="4"/>
        <v/>
      </c>
      <c r="J73" s="28">
        <f t="shared" ref="J73:J136" si="5">A73/A66-1</f>
        <v>59</v>
      </c>
    </row>
    <row r="74" spans="1:10">
      <c r="A74" s="3">
        <v>28</v>
      </c>
      <c r="B74" t="s">
        <v>28</v>
      </c>
      <c r="C74" t="s">
        <v>8</v>
      </c>
      <c r="E74" s="3">
        <f t="shared" si="3"/>
        <v>5</v>
      </c>
      <c r="F74" s="5">
        <v>43903.625</v>
      </c>
      <c r="G74" s="19" t="str">
        <f t="shared" si="4"/>
        <v/>
      </c>
      <c r="J74" s="28">
        <f t="shared" si="5"/>
        <v>3</v>
      </c>
    </row>
    <row r="75" spans="1:10">
      <c r="A75" s="3">
        <v>29</v>
      </c>
      <c r="B75" t="s">
        <v>29</v>
      </c>
      <c r="C75" t="s">
        <v>8</v>
      </c>
      <c r="E75" s="3">
        <f t="shared" si="3"/>
        <v>6</v>
      </c>
      <c r="F75" s="5">
        <v>43904.625</v>
      </c>
      <c r="G75" s="19" t="str">
        <f t="shared" si="4"/>
        <v/>
      </c>
      <c r="J75" s="28">
        <f t="shared" si="5"/>
        <v>3.1428571428571432</v>
      </c>
    </row>
    <row r="76" spans="1:10">
      <c r="A76" s="3">
        <v>53</v>
      </c>
      <c r="B76" t="s">
        <v>30</v>
      </c>
      <c r="C76" t="s">
        <v>8</v>
      </c>
      <c r="E76" s="3">
        <f t="shared" si="3"/>
        <v>7</v>
      </c>
      <c r="F76" s="5">
        <v>43905.625</v>
      </c>
      <c r="G76" s="19" t="str">
        <f t="shared" si="4"/>
        <v/>
      </c>
      <c r="J76" s="28">
        <f t="shared" si="5"/>
        <v>4.8888888888888893</v>
      </c>
    </row>
    <row r="77" spans="1:10">
      <c r="A77" s="3">
        <v>52</v>
      </c>
      <c r="B77" t="s">
        <v>31</v>
      </c>
      <c r="C77" t="s">
        <v>8</v>
      </c>
      <c r="E77" s="3">
        <f t="shared" si="3"/>
        <v>1</v>
      </c>
      <c r="F77" s="5">
        <v>43906.625</v>
      </c>
      <c r="G77" s="19" t="str">
        <f t="shared" si="4"/>
        <v>2020-W12</v>
      </c>
      <c r="H77">
        <f>SUM(A77:A83)</f>
        <v>540</v>
      </c>
      <c r="I77" s="28">
        <f>H77/H70-1</f>
        <v>0.70347003154574139</v>
      </c>
      <c r="J77" s="28">
        <f t="shared" si="5"/>
        <v>2.0588235294117645</v>
      </c>
    </row>
    <row r="78" spans="1:10">
      <c r="A78" s="3">
        <v>47</v>
      </c>
      <c r="B78" t="s">
        <v>32</v>
      </c>
      <c r="C78" t="s">
        <v>8</v>
      </c>
      <c r="E78" s="3">
        <f t="shared" si="3"/>
        <v>2</v>
      </c>
      <c r="F78" s="5">
        <v>43907.625</v>
      </c>
      <c r="G78" s="19" t="str">
        <f t="shared" si="4"/>
        <v/>
      </c>
      <c r="J78" s="28">
        <f t="shared" si="5"/>
        <v>-0.12962962962962965</v>
      </c>
    </row>
    <row r="79" spans="1:10">
      <c r="A79" s="3">
        <v>90</v>
      </c>
      <c r="B79" t="s">
        <v>33</v>
      </c>
      <c r="C79" t="s">
        <v>8</v>
      </c>
      <c r="E79" s="3">
        <f t="shared" si="3"/>
        <v>3</v>
      </c>
      <c r="F79" s="5">
        <v>43908.625</v>
      </c>
      <c r="G79" s="19" t="str">
        <f t="shared" si="4"/>
        <v/>
      </c>
      <c r="J79" s="28">
        <f t="shared" si="5"/>
        <v>0.18421052631578938</v>
      </c>
    </row>
    <row r="80" spans="1:10">
      <c r="A80" s="3">
        <v>99</v>
      </c>
      <c r="B80" t="s">
        <v>34</v>
      </c>
      <c r="C80" t="s">
        <v>8</v>
      </c>
      <c r="E80" s="3">
        <f t="shared" si="3"/>
        <v>4</v>
      </c>
      <c r="F80" s="5">
        <v>43909.625</v>
      </c>
      <c r="G80" s="19" t="str">
        <f t="shared" si="4"/>
        <v/>
      </c>
      <c r="J80" s="28">
        <f t="shared" si="5"/>
        <v>0.64999999999999991</v>
      </c>
    </row>
    <row r="81" spans="1:10">
      <c r="A81" s="3">
        <v>87</v>
      </c>
      <c r="B81" t="s">
        <v>35</v>
      </c>
      <c r="C81" t="s">
        <v>8</v>
      </c>
      <c r="E81" s="3">
        <f t="shared" si="3"/>
        <v>5</v>
      </c>
      <c r="F81" s="5">
        <v>43910.625</v>
      </c>
      <c r="G81" s="19" t="str">
        <f t="shared" si="4"/>
        <v/>
      </c>
      <c r="J81" s="28">
        <f t="shared" si="5"/>
        <v>2.1071428571428572</v>
      </c>
    </row>
    <row r="82" spans="1:10">
      <c r="A82" s="3">
        <v>87</v>
      </c>
      <c r="B82" t="s">
        <v>36</v>
      </c>
      <c r="C82" t="s">
        <v>8</v>
      </c>
      <c r="E82" s="3">
        <f t="shared" si="3"/>
        <v>6</v>
      </c>
      <c r="F82" s="5">
        <v>43911.625</v>
      </c>
      <c r="G82" s="19" t="str">
        <f t="shared" si="4"/>
        <v/>
      </c>
      <c r="J82" s="28">
        <f t="shared" si="5"/>
        <v>2</v>
      </c>
    </row>
    <row r="83" spans="1:10">
      <c r="A83" s="3">
        <v>78</v>
      </c>
      <c r="B83" t="s">
        <v>37</v>
      </c>
      <c r="C83" t="s">
        <v>8</v>
      </c>
      <c r="E83" s="3">
        <f t="shared" si="3"/>
        <v>7</v>
      </c>
      <c r="F83" s="5">
        <v>43912.625</v>
      </c>
      <c r="G83" s="19" t="str">
        <f t="shared" si="4"/>
        <v/>
      </c>
      <c r="J83" s="28">
        <f t="shared" si="5"/>
        <v>0.47169811320754707</v>
      </c>
    </row>
    <row r="84" spans="1:10">
      <c r="A84" s="3">
        <v>84</v>
      </c>
      <c r="B84" t="s">
        <v>38</v>
      </c>
      <c r="C84" t="s">
        <v>8</v>
      </c>
      <c r="E84" s="3">
        <f t="shared" si="3"/>
        <v>1</v>
      </c>
      <c r="F84" s="5">
        <v>43913.625</v>
      </c>
      <c r="G84" s="19" t="str">
        <f t="shared" si="4"/>
        <v>2020-W13</v>
      </c>
      <c r="H84">
        <f>SUM(A84:A90)</f>
        <v>642</v>
      </c>
      <c r="I84" s="28">
        <f>H84/H77-1</f>
        <v>0.18888888888888888</v>
      </c>
      <c r="J84" s="28">
        <f t="shared" si="5"/>
        <v>0.61538461538461542</v>
      </c>
    </row>
    <row r="85" spans="1:10">
      <c r="A85" s="3">
        <v>99</v>
      </c>
      <c r="B85" t="s">
        <v>39</v>
      </c>
      <c r="C85" t="s">
        <v>8</v>
      </c>
      <c r="E85" s="3">
        <f t="shared" si="3"/>
        <v>2</v>
      </c>
      <c r="F85" s="5">
        <v>43914.625</v>
      </c>
      <c r="G85" s="19" t="str">
        <f t="shared" si="4"/>
        <v/>
      </c>
      <c r="J85" s="28">
        <f t="shared" si="5"/>
        <v>1.1063829787234041</v>
      </c>
    </row>
    <row r="86" spans="1:10">
      <c r="A86" s="3">
        <v>104</v>
      </c>
      <c r="B86" t="s">
        <v>40</v>
      </c>
      <c r="C86" t="s">
        <v>8</v>
      </c>
      <c r="E86" s="3">
        <f t="shared" si="3"/>
        <v>3</v>
      </c>
      <c r="F86" s="5">
        <v>43915.625</v>
      </c>
      <c r="G86" s="19" t="str">
        <f t="shared" si="4"/>
        <v/>
      </c>
      <c r="J86" s="28">
        <f t="shared" si="5"/>
        <v>0.15555555555555545</v>
      </c>
    </row>
    <row r="87" spans="1:10">
      <c r="A87" s="3">
        <v>113</v>
      </c>
      <c r="B87" t="s">
        <v>41</v>
      </c>
      <c r="C87" t="s">
        <v>8</v>
      </c>
      <c r="E87" s="3">
        <f t="shared" si="3"/>
        <v>4</v>
      </c>
      <c r="F87" s="5">
        <v>43916.625</v>
      </c>
      <c r="G87" s="19" t="str">
        <f t="shared" si="4"/>
        <v/>
      </c>
      <c r="J87" s="28">
        <f t="shared" si="5"/>
        <v>0.14141414141414144</v>
      </c>
    </row>
    <row r="88" spans="1:10">
      <c r="A88" s="3">
        <v>95</v>
      </c>
      <c r="B88" t="s">
        <v>42</v>
      </c>
      <c r="C88" t="s">
        <v>8</v>
      </c>
      <c r="E88" s="3">
        <f t="shared" si="3"/>
        <v>5</v>
      </c>
      <c r="F88" s="5">
        <v>43917.625</v>
      </c>
      <c r="G88" s="19" t="str">
        <f t="shared" si="4"/>
        <v/>
      </c>
      <c r="J88" s="28">
        <f t="shared" si="5"/>
        <v>9.1954022988505857E-2</v>
      </c>
    </row>
    <row r="89" spans="1:10">
      <c r="A89" s="3">
        <v>77</v>
      </c>
      <c r="B89" t="s">
        <v>43</v>
      </c>
      <c r="C89" t="s">
        <v>8</v>
      </c>
      <c r="E89" s="3">
        <f t="shared" si="3"/>
        <v>6</v>
      </c>
      <c r="F89" s="5">
        <v>43918.625</v>
      </c>
      <c r="G89" s="19" t="str">
        <f t="shared" si="4"/>
        <v/>
      </c>
      <c r="J89" s="28">
        <f t="shared" si="5"/>
        <v>-0.11494252873563215</v>
      </c>
    </row>
    <row r="90" spans="1:10">
      <c r="A90" s="3">
        <v>70</v>
      </c>
      <c r="B90" t="s">
        <v>44</v>
      </c>
      <c r="C90" t="s">
        <v>8</v>
      </c>
      <c r="E90" s="3">
        <f t="shared" si="3"/>
        <v>7</v>
      </c>
      <c r="F90" s="5">
        <v>43919.625</v>
      </c>
      <c r="G90" s="19" t="str">
        <f t="shared" si="4"/>
        <v/>
      </c>
      <c r="J90" s="28">
        <f t="shared" si="5"/>
        <v>-0.10256410256410253</v>
      </c>
    </row>
    <row r="91" spans="1:10">
      <c r="A91" s="3">
        <v>129</v>
      </c>
      <c r="B91" t="s">
        <v>45</v>
      </c>
      <c r="C91" t="s">
        <v>8</v>
      </c>
      <c r="E91" s="3">
        <f t="shared" si="3"/>
        <v>1</v>
      </c>
      <c r="F91" s="5">
        <v>43920.625</v>
      </c>
      <c r="G91" s="19" t="str">
        <f t="shared" si="4"/>
        <v>2020-W14</v>
      </c>
      <c r="H91">
        <f>SUM(A91:A97)</f>
        <v>966</v>
      </c>
      <c r="I91" s="28">
        <f>H91/H84-1</f>
        <v>0.50467289719626174</v>
      </c>
      <c r="J91" s="28">
        <f t="shared" si="5"/>
        <v>0.53571428571428581</v>
      </c>
    </row>
    <row r="92" spans="1:10">
      <c r="A92" s="3">
        <v>125</v>
      </c>
      <c r="B92" t="s">
        <v>46</v>
      </c>
      <c r="C92" t="s">
        <v>8</v>
      </c>
      <c r="E92" s="3">
        <f t="shared" si="3"/>
        <v>2</v>
      </c>
      <c r="F92" s="5">
        <v>43921.625</v>
      </c>
      <c r="G92" s="19" t="str">
        <f t="shared" si="4"/>
        <v/>
      </c>
      <c r="J92" s="28">
        <f t="shared" si="5"/>
        <v>0.26262626262626254</v>
      </c>
    </row>
    <row r="93" spans="1:10">
      <c r="A93" s="3">
        <v>149</v>
      </c>
      <c r="B93" t="s">
        <v>47</v>
      </c>
      <c r="C93" t="s">
        <v>8</v>
      </c>
      <c r="E93" s="3">
        <f t="shared" si="3"/>
        <v>3</v>
      </c>
      <c r="F93" s="5">
        <v>43922.625</v>
      </c>
      <c r="G93" s="19" t="str">
        <f t="shared" si="4"/>
        <v/>
      </c>
      <c r="J93" s="28">
        <f t="shared" si="5"/>
        <v>0.43269230769230771</v>
      </c>
    </row>
    <row r="94" spans="1:10">
      <c r="A94" s="3">
        <v>161</v>
      </c>
      <c r="B94" t="s">
        <v>48</v>
      </c>
      <c r="C94" t="s">
        <v>8</v>
      </c>
      <c r="E94" s="3">
        <f t="shared" si="3"/>
        <v>4</v>
      </c>
      <c r="F94" s="5">
        <v>43923.625</v>
      </c>
      <c r="G94" s="19" t="str">
        <f t="shared" si="4"/>
        <v/>
      </c>
      <c r="J94" s="28">
        <f t="shared" si="5"/>
        <v>0.4247787610619469</v>
      </c>
    </row>
    <row r="95" spans="1:10">
      <c r="A95" s="3">
        <v>199</v>
      </c>
      <c r="B95" t="s">
        <v>49</v>
      </c>
      <c r="C95" t="s">
        <v>8</v>
      </c>
      <c r="E95" s="3">
        <f t="shared" si="3"/>
        <v>5</v>
      </c>
      <c r="F95" s="5">
        <v>43924.625</v>
      </c>
      <c r="G95" s="19" t="str">
        <f t="shared" si="4"/>
        <v/>
      </c>
      <c r="J95" s="28">
        <f t="shared" si="5"/>
        <v>1.094736842105263</v>
      </c>
    </row>
    <row r="96" spans="1:10">
      <c r="A96" s="3">
        <v>81</v>
      </c>
      <c r="B96" t="s">
        <v>50</v>
      </c>
      <c r="C96" t="s">
        <v>8</v>
      </c>
      <c r="E96" s="3">
        <f t="shared" si="3"/>
        <v>6</v>
      </c>
      <c r="F96" s="5">
        <v>43925.625</v>
      </c>
      <c r="G96" s="19" t="str">
        <f t="shared" si="4"/>
        <v/>
      </c>
      <c r="J96" s="28">
        <f t="shared" si="5"/>
        <v>5.1948051948051965E-2</v>
      </c>
    </row>
    <row r="97" spans="1:10">
      <c r="A97" s="3">
        <v>122</v>
      </c>
      <c r="B97" s="1" t="s">
        <v>51</v>
      </c>
      <c r="C97" t="s">
        <v>8</v>
      </c>
      <c r="D97" s="1"/>
      <c r="E97" s="3">
        <f t="shared" si="3"/>
        <v>7</v>
      </c>
      <c r="F97" s="6">
        <v>43926.625</v>
      </c>
      <c r="G97" s="19" t="str">
        <f t="shared" si="4"/>
        <v/>
      </c>
      <c r="J97" s="28">
        <f t="shared" si="5"/>
        <v>0.74285714285714288</v>
      </c>
    </row>
    <row r="98" spans="1:10" s="41" customFormat="1">
      <c r="A98" s="40">
        <v>209</v>
      </c>
      <c r="B98" s="41" t="s">
        <v>52</v>
      </c>
      <c r="C98" s="41" t="s">
        <v>8</v>
      </c>
      <c r="E98" s="40">
        <f t="shared" si="3"/>
        <v>1</v>
      </c>
      <c r="F98" s="42">
        <v>43927.625</v>
      </c>
      <c r="G98" s="43" t="str">
        <f t="shared" si="4"/>
        <v>2020-W15</v>
      </c>
      <c r="H98" s="41">
        <f>SUM(A98:A104)</f>
        <v>931</v>
      </c>
      <c r="I98" s="44">
        <f>H98/H91-1</f>
        <v>-3.6231884057971064E-2</v>
      </c>
      <c r="J98" s="44">
        <f t="shared" si="5"/>
        <v>0.62015503875968991</v>
      </c>
    </row>
    <row r="99" spans="1:10">
      <c r="A99" s="3">
        <v>200</v>
      </c>
      <c r="B99" t="s">
        <v>53</v>
      </c>
      <c r="C99" t="s">
        <v>8</v>
      </c>
      <c r="E99" s="3">
        <f t="shared" si="3"/>
        <v>2</v>
      </c>
      <c r="F99" s="5">
        <v>43928.625</v>
      </c>
      <c r="G99" s="19" t="str">
        <f t="shared" si="4"/>
        <v/>
      </c>
      <c r="J99" s="28">
        <f t="shared" si="5"/>
        <v>0.60000000000000009</v>
      </c>
    </row>
    <row r="100" spans="1:10">
      <c r="A100" s="3">
        <v>138</v>
      </c>
      <c r="B100" t="s">
        <v>54</v>
      </c>
      <c r="C100" t="s">
        <v>8</v>
      </c>
      <c r="E100" s="3">
        <f t="shared" si="3"/>
        <v>3</v>
      </c>
      <c r="F100" s="5">
        <v>43929.625</v>
      </c>
      <c r="G100" s="19" t="str">
        <f t="shared" si="4"/>
        <v/>
      </c>
      <c r="J100" s="28">
        <f t="shared" si="5"/>
        <v>-7.3825503355704702E-2</v>
      </c>
    </row>
    <row r="101" spans="1:10">
      <c r="A101" s="3">
        <v>158</v>
      </c>
      <c r="B101" t="s">
        <v>55</v>
      </c>
      <c r="C101" t="s">
        <v>8</v>
      </c>
      <c r="E101" s="3">
        <f t="shared" si="3"/>
        <v>4</v>
      </c>
      <c r="F101" s="5">
        <v>43930.625</v>
      </c>
      <c r="G101" s="19" t="str">
        <f t="shared" si="4"/>
        <v/>
      </c>
      <c r="J101" s="28">
        <f t="shared" si="5"/>
        <v>-1.8633540372670843E-2</v>
      </c>
    </row>
    <row r="102" spans="1:10">
      <c r="A102" s="3">
        <v>71</v>
      </c>
      <c r="B102" t="s">
        <v>56</v>
      </c>
      <c r="C102" t="s">
        <v>8</v>
      </c>
      <c r="E102" s="3">
        <f t="shared" si="3"/>
        <v>5</v>
      </c>
      <c r="F102" s="5">
        <v>43931.625</v>
      </c>
      <c r="G102" s="19" t="str">
        <f t="shared" si="4"/>
        <v/>
      </c>
      <c r="J102" s="28">
        <f t="shared" si="5"/>
        <v>-0.64321608040201006</v>
      </c>
    </row>
    <row r="103" spans="1:10">
      <c r="A103" s="3">
        <v>75</v>
      </c>
      <c r="B103" t="s">
        <v>57</v>
      </c>
      <c r="C103" t="s">
        <v>8</v>
      </c>
      <c r="E103" s="3">
        <f t="shared" si="3"/>
        <v>6</v>
      </c>
      <c r="F103" s="5">
        <v>43932.625</v>
      </c>
      <c r="G103" s="19" t="str">
        <f t="shared" si="4"/>
        <v/>
      </c>
      <c r="J103" s="28">
        <f t="shared" si="5"/>
        <v>-7.407407407407407E-2</v>
      </c>
    </row>
    <row r="104" spans="1:10">
      <c r="A104" s="3">
        <v>80</v>
      </c>
      <c r="B104" t="s">
        <v>58</v>
      </c>
      <c r="C104" t="s">
        <v>8</v>
      </c>
      <c r="E104" s="3">
        <f t="shared" si="3"/>
        <v>7</v>
      </c>
      <c r="F104" s="5">
        <v>43933.625</v>
      </c>
      <c r="G104" s="19" t="str">
        <f t="shared" si="4"/>
        <v/>
      </c>
      <c r="J104" s="28">
        <f t="shared" si="5"/>
        <v>-0.34426229508196726</v>
      </c>
    </row>
    <row r="105" spans="1:10">
      <c r="A105" s="3">
        <v>117</v>
      </c>
      <c r="B105" t="s">
        <v>59</v>
      </c>
      <c r="C105" t="s">
        <v>8</v>
      </c>
      <c r="E105" s="3">
        <f t="shared" si="3"/>
        <v>1</v>
      </c>
      <c r="F105" s="5">
        <v>43934.625</v>
      </c>
      <c r="G105" s="19" t="str">
        <f t="shared" si="4"/>
        <v>2020-W16</v>
      </c>
      <c r="H105">
        <f>SUM(A105:A111)</f>
        <v>790</v>
      </c>
      <c r="I105" s="28">
        <f>H105/H98-1</f>
        <v>-0.15145005370569276</v>
      </c>
      <c r="J105" s="28">
        <f t="shared" si="5"/>
        <v>-0.44019138755980858</v>
      </c>
    </row>
    <row r="106" spans="1:10">
      <c r="A106" s="3">
        <v>175</v>
      </c>
      <c r="B106" t="s">
        <v>60</v>
      </c>
      <c r="C106" t="s">
        <v>8</v>
      </c>
      <c r="E106" s="3">
        <f t="shared" si="3"/>
        <v>2</v>
      </c>
      <c r="F106" s="5">
        <v>43935.625</v>
      </c>
      <c r="G106" s="19" t="str">
        <f t="shared" si="4"/>
        <v/>
      </c>
      <c r="J106" s="28">
        <f t="shared" si="5"/>
        <v>-0.125</v>
      </c>
    </row>
    <row r="107" spans="1:10">
      <c r="A107" s="3">
        <v>130</v>
      </c>
      <c r="B107" t="s">
        <v>61</v>
      </c>
      <c r="C107" t="s">
        <v>8</v>
      </c>
      <c r="E107" s="3">
        <f t="shared" si="3"/>
        <v>3</v>
      </c>
      <c r="F107" s="5">
        <v>43936.625</v>
      </c>
      <c r="G107" s="19" t="str">
        <f t="shared" si="4"/>
        <v/>
      </c>
      <c r="J107" s="28">
        <f t="shared" si="5"/>
        <v>-5.7971014492753659E-2</v>
      </c>
    </row>
    <row r="108" spans="1:10">
      <c r="A108" s="3">
        <v>120</v>
      </c>
      <c r="B108" t="s">
        <v>62</v>
      </c>
      <c r="C108" t="s">
        <v>8</v>
      </c>
      <c r="E108" s="3">
        <f t="shared" si="3"/>
        <v>4</v>
      </c>
      <c r="F108" s="5">
        <v>43937.625</v>
      </c>
      <c r="G108" s="19" t="str">
        <f t="shared" si="4"/>
        <v/>
      </c>
      <c r="J108" s="28">
        <f t="shared" si="5"/>
        <v>-0.240506329113924</v>
      </c>
    </row>
    <row r="109" spans="1:10">
      <c r="A109" s="3">
        <v>125</v>
      </c>
      <c r="B109" t="s">
        <v>63</v>
      </c>
      <c r="C109" t="s">
        <v>8</v>
      </c>
      <c r="E109" s="3">
        <f t="shared" si="3"/>
        <v>5</v>
      </c>
      <c r="F109" s="5">
        <v>43938.625</v>
      </c>
      <c r="G109" s="19" t="str">
        <f t="shared" si="4"/>
        <v/>
      </c>
      <c r="J109" s="28">
        <f t="shared" si="5"/>
        <v>0.76056338028169024</v>
      </c>
    </row>
    <row r="110" spans="1:10">
      <c r="A110" s="3">
        <v>56</v>
      </c>
      <c r="B110" t="s">
        <v>64</v>
      </c>
      <c r="C110" t="s">
        <v>8</v>
      </c>
      <c r="E110" s="3">
        <f t="shared" si="3"/>
        <v>6</v>
      </c>
      <c r="F110" s="5">
        <v>43939.625</v>
      </c>
      <c r="G110" s="19" t="str">
        <f t="shared" si="4"/>
        <v/>
      </c>
      <c r="J110" s="28">
        <f t="shared" si="5"/>
        <v>-0.2533333333333333</v>
      </c>
    </row>
    <row r="111" spans="1:10">
      <c r="A111" s="3">
        <v>67</v>
      </c>
      <c r="B111" t="s">
        <v>65</v>
      </c>
      <c r="C111" t="s">
        <v>8</v>
      </c>
      <c r="E111" s="3">
        <f t="shared" si="3"/>
        <v>7</v>
      </c>
      <c r="F111" s="5">
        <v>43940.625</v>
      </c>
      <c r="G111" s="19" t="str">
        <f t="shared" si="4"/>
        <v/>
      </c>
      <c r="J111" s="28">
        <f t="shared" si="5"/>
        <v>-0.16249999999999998</v>
      </c>
    </row>
    <row r="112" spans="1:10" s="41" customFormat="1">
      <c r="A112" s="40">
        <v>143</v>
      </c>
      <c r="B112" s="41" t="s">
        <v>66</v>
      </c>
      <c r="C112" s="41" t="s">
        <v>8</v>
      </c>
      <c r="E112" s="40">
        <f t="shared" si="3"/>
        <v>1</v>
      </c>
      <c r="F112" s="42">
        <v>43941.625</v>
      </c>
      <c r="G112" s="43" t="str">
        <f t="shared" si="4"/>
        <v>2020-W17</v>
      </c>
      <c r="H112" s="41">
        <f>SUM(A112:A118)</f>
        <v>736</v>
      </c>
      <c r="I112" s="44">
        <f>H112/H105-1</f>
        <v>-6.8354430379746867E-2</v>
      </c>
      <c r="J112" s="44">
        <f t="shared" si="5"/>
        <v>0.22222222222222232</v>
      </c>
    </row>
    <row r="113" spans="1:10">
      <c r="A113" s="3">
        <v>112</v>
      </c>
      <c r="B113" t="s">
        <v>67</v>
      </c>
      <c r="C113" t="s">
        <v>8</v>
      </c>
      <c r="E113" s="3">
        <f t="shared" si="3"/>
        <v>2</v>
      </c>
      <c r="F113" s="5">
        <v>43942.625</v>
      </c>
      <c r="G113" s="19" t="str">
        <f t="shared" si="4"/>
        <v/>
      </c>
      <c r="J113" s="28">
        <f t="shared" si="5"/>
        <v>-0.36</v>
      </c>
    </row>
    <row r="114" spans="1:10">
      <c r="A114" s="3">
        <v>124</v>
      </c>
      <c r="B114" t="s">
        <v>68</v>
      </c>
      <c r="C114" t="s">
        <v>8</v>
      </c>
      <c r="E114" s="3">
        <f t="shared" si="3"/>
        <v>3</v>
      </c>
      <c r="F114" s="5">
        <v>43943.625</v>
      </c>
      <c r="G114" s="19" t="str">
        <f t="shared" si="4"/>
        <v/>
      </c>
      <c r="J114" s="28">
        <f t="shared" si="5"/>
        <v>-4.6153846153846101E-2</v>
      </c>
    </row>
    <row r="115" spans="1:10">
      <c r="A115" s="3">
        <v>116</v>
      </c>
      <c r="B115" t="s">
        <v>69</v>
      </c>
      <c r="C115" t="s">
        <v>8</v>
      </c>
      <c r="E115" s="3">
        <f t="shared" si="3"/>
        <v>4</v>
      </c>
      <c r="F115" s="5">
        <v>43944.625</v>
      </c>
      <c r="G115" s="19" t="str">
        <f t="shared" si="4"/>
        <v/>
      </c>
      <c r="J115" s="28">
        <f t="shared" si="5"/>
        <v>-3.3333333333333326E-2</v>
      </c>
    </row>
    <row r="116" spans="1:10">
      <c r="A116" s="3">
        <v>92</v>
      </c>
      <c r="B116" t="s">
        <v>70</v>
      </c>
      <c r="C116" t="s">
        <v>8</v>
      </c>
      <c r="E116" s="3">
        <f t="shared" si="3"/>
        <v>5</v>
      </c>
      <c r="F116" s="5">
        <v>43945.625</v>
      </c>
      <c r="G116" s="19" t="str">
        <f t="shared" si="4"/>
        <v/>
      </c>
      <c r="J116" s="28">
        <f t="shared" si="5"/>
        <v>-0.26400000000000001</v>
      </c>
    </row>
    <row r="117" spans="1:10">
      <c r="A117" s="3">
        <v>76</v>
      </c>
      <c r="B117" t="s">
        <v>71</v>
      </c>
      <c r="C117" t="s">
        <v>8</v>
      </c>
      <c r="E117" s="3">
        <f t="shared" si="3"/>
        <v>6</v>
      </c>
      <c r="F117" s="5">
        <v>43946.625</v>
      </c>
      <c r="G117" s="19" t="str">
        <f t="shared" si="4"/>
        <v/>
      </c>
      <c r="J117" s="28">
        <f t="shared" si="5"/>
        <v>0.35714285714285721</v>
      </c>
    </row>
    <row r="118" spans="1:10">
      <c r="A118" s="3">
        <v>73</v>
      </c>
      <c r="B118" t="s">
        <v>72</v>
      </c>
      <c r="C118" t="s">
        <v>8</v>
      </c>
      <c r="E118" s="3">
        <f t="shared" si="3"/>
        <v>7</v>
      </c>
      <c r="F118" s="5">
        <v>43947.625</v>
      </c>
      <c r="G118" s="19" t="str">
        <f t="shared" si="4"/>
        <v/>
      </c>
      <c r="J118" s="28">
        <f t="shared" si="5"/>
        <v>8.9552238805970186E-2</v>
      </c>
    </row>
    <row r="119" spans="1:10">
      <c r="A119" s="3">
        <v>123</v>
      </c>
      <c r="B119" t="s">
        <v>73</v>
      </c>
      <c r="C119" t="s">
        <v>8</v>
      </c>
      <c r="E119" s="3">
        <f t="shared" si="3"/>
        <v>1</v>
      </c>
      <c r="F119" s="5">
        <v>43948.625</v>
      </c>
      <c r="G119" s="19" t="str">
        <f t="shared" si="4"/>
        <v>2020-W18</v>
      </c>
      <c r="H119">
        <f>SUM(A119:A125)</f>
        <v>623</v>
      </c>
      <c r="I119" s="28">
        <f>H119/H112-1</f>
        <v>-0.15353260869565222</v>
      </c>
      <c r="J119" s="28">
        <f t="shared" si="5"/>
        <v>-0.1398601398601399</v>
      </c>
    </row>
    <row r="120" spans="1:10" s="41" customFormat="1">
      <c r="A120" s="40">
        <v>139</v>
      </c>
      <c r="B120" s="41" t="s">
        <v>74</v>
      </c>
      <c r="C120" s="41" t="s">
        <v>8</v>
      </c>
      <c r="E120" s="40">
        <f t="shared" si="3"/>
        <v>2</v>
      </c>
      <c r="F120" s="42">
        <v>43949.625</v>
      </c>
      <c r="G120" s="43" t="str">
        <f t="shared" si="4"/>
        <v/>
      </c>
      <c r="J120" s="44">
        <f t="shared" si="5"/>
        <v>0.2410714285714286</v>
      </c>
    </row>
    <row r="121" spans="1:10">
      <c r="A121" s="3">
        <v>108</v>
      </c>
      <c r="B121" t="s">
        <v>75</v>
      </c>
      <c r="C121" t="s">
        <v>8</v>
      </c>
      <c r="E121" s="3">
        <f t="shared" si="3"/>
        <v>3</v>
      </c>
      <c r="F121" s="5">
        <v>43950.625</v>
      </c>
      <c r="G121" s="19" t="str">
        <f t="shared" si="4"/>
        <v/>
      </c>
      <c r="J121" s="28">
        <f t="shared" si="5"/>
        <v>-0.12903225806451613</v>
      </c>
    </row>
    <row r="122" spans="1:10">
      <c r="A122" s="3">
        <v>86</v>
      </c>
      <c r="B122" t="s">
        <v>76</v>
      </c>
      <c r="C122" t="s">
        <v>8</v>
      </c>
      <c r="E122" s="3">
        <f t="shared" si="3"/>
        <v>4</v>
      </c>
      <c r="F122" s="5">
        <v>43951.625</v>
      </c>
      <c r="G122" s="19" t="str">
        <f t="shared" si="4"/>
        <v/>
      </c>
      <c r="J122" s="28">
        <f t="shared" si="5"/>
        <v>-0.25862068965517238</v>
      </c>
    </row>
    <row r="123" spans="1:10">
      <c r="A123" s="3">
        <v>48</v>
      </c>
      <c r="B123" t="s">
        <v>77</v>
      </c>
      <c r="C123" t="s">
        <v>8</v>
      </c>
      <c r="E123" s="3">
        <f t="shared" si="3"/>
        <v>5</v>
      </c>
      <c r="F123" s="5">
        <v>43952.625</v>
      </c>
      <c r="G123" s="19" t="str">
        <f t="shared" si="4"/>
        <v/>
      </c>
      <c r="J123" s="28">
        <f t="shared" si="5"/>
        <v>-0.47826086956521741</v>
      </c>
    </row>
    <row r="124" spans="1:10">
      <c r="A124" s="3">
        <v>58</v>
      </c>
      <c r="B124" t="s">
        <v>78</v>
      </c>
      <c r="C124" t="s">
        <v>8</v>
      </c>
      <c r="E124" s="3">
        <f t="shared" si="3"/>
        <v>6</v>
      </c>
      <c r="F124" s="5">
        <v>43953.625</v>
      </c>
      <c r="G124" s="19" t="str">
        <f t="shared" si="4"/>
        <v/>
      </c>
      <c r="J124" s="28">
        <f t="shared" si="5"/>
        <v>-0.23684210526315785</v>
      </c>
    </row>
    <row r="125" spans="1:10">
      <c r="A125" s="3">
        <v>61</v>
      </c>
      <c r="B125" t="s">
        <v>79</v>
      </c>
      <c r="C125" t="s">
        <v>8</v>
      </c>
      <c r="E125" s="3">
        <f t="shared" si="3"/>
        <v>7</v>
      </c>
      <c r="F125" s="5">
        <v>43954.625</v>
      </c>
      <c r="G125" s="19" t="str">
        <f t="shared" si="4"/>
        <v/>
      </c>
      <c r="J125" s="28">
        <f t="shared" si="5"/>
        <v>-0.16438356164383561</v>
      </c>
    </row>
    <row r="126" spans="1:10">
      <c r="A126" s="3">
        <v>133</v>
      </c>
      <c r="B126" t="s">
        <v>80</v>
      </c>
      <c r="C126" t="s">
        <v>8</v>
      </c>
      <c r="E126" s="3">
        <f t="shared" si="3"/>
        <v>1</v>
      </c>
      <c r="F126" s="5">
        <v>43955.625</v>
      </c>
      <c r="G126" s="19" t="str">
        <f t="shared" si="4"/>
        <v>2020-W19</v>
      </c>
      <c r="H126">
        <f>SUM(A126:A132)</f>
        <v>617</v>
      </c>
      <c r="I126" s="28">
        <f>H126/H119-1</f>
        <v>-9.6308186195827039E-3</v>
      </c>
      <c r="J126" s="28">
        <f t="shared" si="5"/>
        <v>8.1300813008130079E-2</v>
      </c>
    </row>
    <row r="127" spans="1:10">
      <c r="A127" s="3">
        <v>125</v>
      </c>
      <c r="B127" t="s">
        <v>81</v>
      </c>
      <c r="C127" t="s">
        <v>8</v>
      </c>
      <c r="E127" s="3">
        <f t="shared" si="3"/>
        <v>2</v>
      </c>
      <c r="F127" s="5">
        <v>43956.625</v>
      </c>
      <c r="G127" s="19" t="str">
        <f t="shared" si="4"/>
        <v/>
      </c>
      <c r="J127" s="28">
        <f t="shared" si="5"/>
        <v>-0.10071942446043169</v>
      </c>
    </row>
    <row r="128" spans="1:10">
      <c r="A128" s="3">
        <v>95</v>
      </c>
      <c r="B128" t="s">
        <v>82</v>
      </c>
      <c r="C128" t="s">
        <v>8</v>
      </c>
      <c r="E128" s="3">
        <f t="shared" si="3"/>
        <v>3</v>
      </c>
      <c r="F128" s="5">
        <v>43957.625</v>
      </c>
      <c r="G128" s="19" t="str">
        <f t="shared" si="4"/>
        <v/>
      </c>
      <c r="J128" s="28">
        <f t="shared" si="5"/>
        <v>-0.12037037037037035</v>
      </c>
    </row>
    <row r="129" spans="1:10" s="41" customFormat="1">
      <c r="A129" s="40">
        <v>108</v>
      </c>
      <c r="B129" s="41" t="s">
        <v>83</v>
      </c>
      <c r="C129" s="41" t="s">
        <v>8</v>
      </c>
      <c r="E129" s="40">
        <f t="shared" si="3"/>
        <v>4</v>
      </c>
      <c r="F129" s="42">
        <v>43958.625</v>
      </c>
      <c r="G129" s="43" t="str">
        <f t="shared" si="4"/>
        <v/>
      </c>
      <c r="J129" s="44">
        <f t="shared" si="5"/>
        <v>0.2558139534883721</v>
      </c>
    </row>
    <row r="130" spans="1:10">
      <c r="A130" s="3">
        <v>81</v>
      </c>
      <c r="B130" t="s">
        <v>84</v>
      </c>
      <c r="C130" t="s">
        <v>8</v>
      </c>
      <c r="E130" s="3">
        <f t="shared" si="3"/>
        <v>5</v>
      </c>
      <c r="F130" s="5">
        <v>43959.625</v>
      </c>
      <c r="G130" s="19" t="str">
        <f t="shared" si="4"/>
        <v/>
      </c>
      <c r="J130" s="28">
        <f t="shared" si="5"/>
        <v>0.6875</v>
      </c>
    </row>
    <row r="131" spans="1:10">
      <c r="A131" s="3">
        <v>47</v>
      </c>
      <c r="B131" t="s">
        <v>85</v>
      </c>
      <c r="C131" t="s">
        <v>8</v>
      </c>
      <c r="E131" s="3">
        <f t="shared" ref="E131:E194" si="6">WEEKDAY(F131,2)</f>
        <v>6</v>
      </c>
      <c r="F131" s="5">
        <v>43960.625</v>
      </c>
      <c r="G131" s="19" t="str">
        <f t="shared" ref="G131:G194" si="7">IF(WEEKDAY(F131,2)=1,YEAR(F131)&amp;"-W"&amp;TEXT(WEEKNUM(F131,14),"00"),"")</f>
        <v/>
      </c>
      <c r="J131" s="28">
        <f t="shared" si="5"/>
        <v>-0.18965517241379315</v>
      </c>
    </row>
    <row r="132" spans="1:10">
      <c r="A132" s="3">
        <v>28</v>
      </c>
      <c r="B132" t="s">
        <v>86</v>
      </c>
      <c r="C132" t="s">
        <v>8</v>
      </c>
      <c r="E132" s="3">
        <f t="shared" si="6"/>
        <v>7</v>
      </c>
      <c r="F132" s="5">
        <v>43961.625</v>
      </c>
      <c r="G132" s="19" t="str">
        <f t="shared" si="7"/>
        <v/>
      </c>
      <c r="J132" s="28">
        <f t="shared" si="5"/>
        <v>-0.54098360655737698</v>
      </c>
    </row>
    <row r="133" spans="1:10">
      <c r="A133" s="3">
        <v>92</v>
      </c>
      <c r="B133" t="s">
        <v>87</v>
      </c>
      <c r="C133" t="s">
        <v>8</v>
      </c>
      <c r="E133" s="3">
        <f t="shared" si="6"/>
        <v>1</v>
      </c>
      <c r="F133" s="5">
        <v>43962.625</v>
      </c>
      <c r="G133" s="19" t="str">
        <f t="shared" si="7"/>
        <v>2020-W20</v>
      </c>
      <c r="H133">
        <f>SUM(A133:A139)</f>
        <v>396</v>
      </c>
      <c r="I133" s="28">
        <f>H133/H126-1</f>
        <v>-0.35818476499189622</v>
      </c>
      <c r="J133" s="28">
        <f t="shared" si="5"/>
        <v>-0.30827067669172936</v>
      </c>
    </row>
    <row r="134" spans="1:10">
      <c r="A134" s="3">
        <v>67</v>
      </c>
      <c r="B134" t="s">
        <v>88</v>
      </c>
      <c r="C134" t="s">
        <v>8</v>
      </c>
      <c r="E134" s="3">
        <f t="shared" si="6"/>
        <v>2</v>
      </c>
      <c r="F134" s="5">
        <v>43963.625</v>
      </c>
      <c r="G134" s="19" t="str">
        <f t="shared" si="7"/>
        <v/>
      </c>
      <c r="J134" s="28">
        <f t="shared" si="5"/>
        <v>-0.46399999999999997</v>
      </c>
    </row>
    <row r="135" spans="1:10">
      <c r="A135" s="3">
        <v>78</v>
      </c>
      <c r="B135" t="s">
        <v>89</v>
      </c>
      <c r="C135" t="s">
        <v>8</v>
      </c>
      <c r="E135" s="3">
        <f t="shared" si="6"/>
        <v>3</v>
      </c>
      <c r="F135" s="5">
        <v>43964.625</v>
      </c>
      <c r="G135" s="19" t="str">
        <f t="shared" si="7"/>
        <v/>
      </c>
      <c r="J135" s="28">
        <f t="shared" si="5"/>
        <v>-0.17894736842105263</v>
      </c>
    </row>
    <row r="136" spans="1:10">
      <c r="A136" s="3">
        <v>50</v>
      </c>
      <c r="B136" t="s">
        <v>90</v>
      </c>
      <c r="C136" t="s">
        <v>8</v>
      </c>
      <c r="E136" s="3">
        <f t="shared" si="6"/>
        <v>4</v>
      </c>
      <c r="F136" s="5">
        <v>43965.625</v>
      </c>
      <c r="G136" s="19" t="str">
        <f t="shared" si="7"/>
        <v/>
      </c>
      <c r="J136" s="28">
        <f t="shared" si="5"/>
        <v>-0.53703703703703698</v>
      </c>
    </row>
    <row r="137" spans="1:10">
      <c r="A137" s="3">
        <v>55</v>
      </c>
      <c r="B137" t="s">
        <v>91</v>
      </c>
      <c r="C137" t="s">
        <v>8</v>
      </c>
      <c r="E137" s="3">
        <f t="shared" si="6"/>
        <v>5</v>
      </c>
      <c r="F137" s="5">
        <v>43966.625</v>
      </c>
      <c r="G137" s="19" t="str">
        <f t="shared" si="7"/>
        <v/>
      </c>
      <c r="J137" s="28">
        <f t="shared" ref="J137:J200" si="8">A137/A130-1</f>
        <v>-0.32098765432098764</v>
      </c>
    </row>
    <row r="138" spans="1:10" s="41" customFormat="1">
      <c r="A138" s="40">
        <v>25</v>
      </c>
      <c r="B138" s="41" t="s">
        <v>92</v>
      </c>
      <c r="C138" s="41" t="s">
        <v>8</v>
      </c>
      <c r="E138" s="40">
        <f t="shared" si="6"/>
        <v>6</v>
      </c>
      <c r="F138" s="42">
        <v>43967.625</v>
      </c>
      <c r="G138" s="43" t="str">
        <f t="shared" si="7"/>
        <v/>
      </c>
      <c r="J138" s="44">
        <f t="shared" si="8"/>
        <v>-0.46808510638297873</v>
      </c>
    </row>
    <row r="139" spans="1:10">
      <c r="A139" s="3">
        <v>29</v>
      </c>
      <c r="B139" t="s">
        <v>93</v>
      </c>
      <c r="C139" t="s">
        <v>8</v>
      </c>
      <c r="E139" s="3">
        <f t="shared" si="6"/>
        <v>7</v>
      </c>
      <c r="F139" s="5">
        <v>43968.625</v>
      </c>
      <c r="G139" s="19" t="str">
        <f t="shared" si="7"/>
        <v/>
      </c>
      <c r="J139" s="28">
        <f t="shared" si="8"/>
        <v>3.5714285714285809E-2</v>
      </c>
    </row>
    <row r="140" spans="1:10">
      <c r="A140" s="3">
        <v>45</v>
      </c>
      <c r="B140" t="s">
        <v>94</v>
      </c>
      <c r="C140" t="s">
        <v>8</v>
      </c>
      <c r="E140" s="3">
        <f t="shared" si="6"/>
        <v>1</v>
      </c>
      <c r="F140" s="5">
        <v>43969.625</v>
      </c>
      <c r="G140" s="19" t="str">
        <f t="shared" si="7"/>
        <v>2020-W21</v>
      </c>
      <c r="H140">
        <f>SUM(A140:A146)</f>
        <v>221</v>
      </c>
      <c r="I140" s="28">
        <f>H140/H133-1</f>
        <v>-0.44191919191919193</v>
      </c>
      <c r="J140" s="28">
        <f t="shared" si="8"/>
        <v>-0.51086956521739135</v>
      </c>
    </row>
    <row r="141" spans="1:10">
      <c r="A141" s="3">
        <v>41</v>
      </c>
      <c r="B141" t="s">
        <v>95</v>
      </c>
      <c r="C141" t="s">
        <v>8</v>
      </c>
      <c r="E141" s="3">
        <f t="shared" si="6"/>
        <v>2</v>
      </c>
      <c r="F141" s="5">
        <v>43970.625</v>
      </c>
      <c r="G141" s="19" t="str">
        <f t="shared" si="7"/>
        <v/>
      </c>
      <c r="J141" s="28">
        <f t="shared" si="8"/>
        <v>-0.38805970149253732</v>
      </c>
    </row>
    <row r="142" spans="1:10">
      <c r="A142" s="3">
        <v>43</v>
      </c>
      <c r="B142" t="s">
        <v>96</v>
      </c>
      <c r="C142" t="s">
        <v>8</v>
      </c>
      <c r="E142" s="3">
        <f t="shared" si="6"/>
        <v>3</v>
      </c>
      <c r="F142" s="5">
        <v>43971.625</v>
      </c>
      <c r="G142" s="19" t="str">
        <f t="shared" si="7"/>
        <v/>
      </c>
      <c r="J142" s="28">
        <f t="shared" si="8"/>
        <v>-0.44871794871794868</v>
      </c>
    </row>
    <row r="143" spans="1:10">
      <c r="A143" s="3">
        <v>22</v>
      </c>
      <c r="B143" t="s">
        <v>97</v>
      </c>
      <c r="C143" t="s">
        <v>8</v>
      </c>
      <c r="E143" s="3">
        <f t="shared" si="6"/>
        <v>4</v>
      </c>
      <c r="F143" s="5">
        <v>43972.625</v>
      </c>
      <c r="G143" s="19" t="str">
        <f t="shared" si="7"/>
        <v/>
      </c>
      <c r="J143" s="28">
        <f t="shared" si="8"/>
        <v>-0.56000000000000005</v>
      </c>
    </row>
    <row r="144" spans="1:10">
      <c r="A144" s="3">
        <v>32</v>
      </c>
      <c r="B144" t="s">
        <v>98</v>
      </c>
      <c r="C144" t="s">
        <v>8</v>
      </c>
      <c r="E144" s="3">
        <f t="shared" si="6"/>
        <v>5</v>
      </c>
      <c r="F144" s="5">
        <v>43973.625</v>
      </c>
      <c r="G144" s="19" t="str">
        <f t="shared" si="7"/>
        <v/>
      </c>
      <c r="J144" s="28">
        <f t="shared" si="8"/>
        <v>-0.41818181818181821</v>
      </c>
    </row>
    <row r="145" spans="1:10">
      <c r="A145" s="3">
        <v>18</v>
      </c>
      <c r="B145" t="s">
        <v>99</v>
      </c>
      <c r="C145" t="s">
        <v>8</v>
      </c>
      <c r="E145" s="3">
        <f t="shared" si="6"/>
        <v>6</v>
      </c>
      <c r="F145" s="5">
        <v>43974.625</v>
      </c>
      <c r="G145" s="19" t="str">
        <f t="shared" si="7"/>
        <v/>
      </c>
      <c r="J145" s="28">
        <f t="shared" si="8"/>
        <v>-0.28000000000000003</v>
      </c>
    </row>
    <row r="146" spans="1:10">
      <c r="A146" s="3">
        <v>20</v>
      </c>
      <c r="B146" t="s">
        <v>100</v>
      </c>
      <c r="C146" t="s">
        <v>8</v>
      </c>
      <c r="E146" s="3">
        <f t="shared" si="6"/>
        <v>7</v>
      </c>
      <c r="F146" s="5">
        <v>43975.625</v>
      </c>
      <c r="G146" s="19" t="str">
        <f t="shared" si="7"/>
        <v/>
      </c>
      <c r="J146" s="28">
        <f t="shared" si="8"/>
        <v>-0.31034482758620685</v>
      </c>
    </row>
    <row r="147" spans="1:10">
      <c r="A147" s="3">
        <v>45</v>
      </c>
      <c r="B147" t="s">
        <v>101</v>
      </c>
      <c r="C147" t="s">
        <v>8</v>
      </c>
      <c r="E147" s="3">
        <f t="shared" si="6"/>
        <v>1</v>
      </c>
      <c r="F147" s="5">
        <v>43976.625</v>
      </c>
      <c r="G147" s="19" t="str">
        <f t="shared" si="7"/>
        <v>2020-W22</v>
      </c>
      <c r="H147">
        <f>SUM(A147:A153)</f>
        <v>163</v>
      </c>
      <c r="I147" s="28">
        <f>H147/H140-1</f>
        <v>-0.26244343891402711</v>
      </c>
      <c r="J147" s="28">
        <f t="shared" si="8"/>
        <v>0</v>
      </c>
    </row>
    <row r="148" spans="1:10">
      <c r="A148" s="3">
        <v>33</v>
      </c>
      <c r="B148" t="s">
        <v>102</v>
      </c>
      <c r="C148" t="s">
        <v>8</v>
      </c>
      <c r="E148" s="3">
        <f t="shared" si="6"/>
        <v>2</v>
      </c>
      <c r="F148" s="5">
        <v>43977.625</v>
      </c>
      <c r="G148" s="19" t="str">
        <f t="shared" si="7"/>
        <v/>
      </c>
      <c r="J148" s="28">
        <f t="shared" si="8"/>
        <v>-0.19512195121951215</v>
      </c>
    </row>
    <row r="149" spans="1:10">
      <c r="A149" s="3">
        <v>12</v>
      </c>
      <c r="B149" t="s">
        <v>103</v>
      </c>
      <c r="C149" t="s">
        <v>8</v>
      </c>
      <c r="E149" s="3">
        <f t="shared" si="6"/>
        <v>3</v>
      </c>
      <c r="F149" s="5">
        <v>43978.625</v>
      </c>
      <c r="G149" s="19" t="str">
        <f t="shared" si="7"/>
        <v/>
      </c>
      <c r="J149" s="28">
        <f t="shared" si="8"/>
        <v>-0.72093023255813948</v>
      </c>
    </row>
    <row r="150" spans="1:10">
      <c r="A150" s="3">
        <v>30</v>
      </c>
      <c r="B150" t="s">
        <v>104</v>
      </c>
      <c r="C150" t="s">
        <v>8</v>
      </c>
      <c r="E150" s="3">
        <f t="shared" si="6"/>
        <v>4</v>
      </c>
      <c r="F150" s="5">
        <v>43979.625</v>
      </c>
      <c r="G150" s="19" t="str">
        <f t="shared" si="7"/>
        <v/>
      </c>
      <c r="J150" s="28">
        <f t="shared" si="8"/>
        <v>0.36363636363636354</v>
      </c>
    </row>
    <row r="151" spans="1:10">
      <c r="A151" s="3">
        <v>21</v>
      </c>
      <c r="B151" t="s">
        <v>105</v>
      </c>
      <c r="C151" t="s">
        <v>8</v>
      </c>
      <c r="E151" s="3">
        <f t="shared" si="6"/>
        <v>5</v>
      </c>
      <c r="F151" s="5">
        <v>43980.625</v>
      </c>
      <c r="G151" s="19" t="str">
        <f t="shared" si="7"/>
        <v/>
      </c>
      <c r="J151" s="28">
        <f t="shared" si="8"/>
        <v>-0.34375</v>
      </c>
    </row>
    <row r="152" spans="1:10">
      <c r="A152" s="3">
        <v>10</v>
      </c>
      <c r="B152" t="s">
        <v>106</v>
      </c>
      <c r="C152" t="s">
        <v>8</v>
      </c>
      <c r="E152" s="3">
        <f t="shared" si="6"/>
        <v>6</v>
      </c>
      <c r="F152" s="5">
        <v>43981.625</v>
      </c>
      <c r="G152" s="19" t="str">
        <f t="shared" si="7"/>
        <v/>
      </c>
      <c r="J152" s="28">
        <f t="shared" si="8"/>
        <v>-0.44444444444444442</v>
      </c>
    </row>
    <row r="153" spans="1:10">
      <c r="A153" s="3">
        <v>12</v>
      </c>
      <c r="B153" t="s">
        <v>107</v>
      </c>
      <c r="C153" t="s">
        <v>8</v>
      </c>
      <c r="E153" s="3">
        <f t="shared" si="6"/>
        <v>7</v>
      </c>
      <c r="F153" s="5">
        <v>43982.625</v>
      </c>
      <c r="G153" s="19" t="str">
        <f t="shared" si="7"/>
        <v/>
      </c>
      <c r="J153" s="28">
        <f t="shared" si="8"/>
        <v>-0.4</v>
      </c>
    </row>
    <row r="154" spans="1:10">
      <c r="A154" s="3">
        <v>17</v>
      </c>
      <c r="B154" t="s">
        <v>108</v>
      </c>
      <c r="C154" t="s">
        <v>8</v>
      </c>
      <c r="E154" s="3">
        <f t="shared" si="6"/>
        <v>1</v>
      </c>
      <c r="F154" s="5">
        <v>43983.625</v>
      </c>
      <c r="G154" s="19" t="str">
        <f t="shared" si="7"/>
        <v>2020-W23</v>
      </c>
      <c r="H154">
        <f>SUM(A154:A160)</f>
        <v>99</v>
      </c>
      <c r="I154" s="28">
        <f>H154/H147-1</f>
        <v>-0.3926380368098159</v>
      </c>
      <c r="J154" s="28">
        <f t="shared" si="8"/>
        <v>-0.62222222222222223</v>
      </c>
    </row>
    <row r="155" spans="1:10">
      <c r="A155" s="3">
        <v>15</v>
      </c>
      <c r="B155" t="s">
        <v>109</v>
      </c>
      <c r="C155" t="s">
        <v>8</v>
      </c>
      <c r="E155" s="3">
        <f t="shared" si="6"/>
        <v>2</v>
      </c>
      <c r="F155" s="5">
        <v>43984.625</v>
      </c>
      <c r="G155" s="19" t="str">
        <f t="shared" si="7"/>
        <v/>
      </c>
      <c r="J155" s="28">
        <f t="shared" si="8"/>
        <v>-0.54545454545454541</v>
      </c>
    </row>
    <row r="156" spans="1:10">
      <c r="A156" s="3">
        <v>25</v>
      </c>
      <c r="B156" t="s">
        <v>110</v>
      </c>
      <c r="C156" t="s">
        <v>8</v>
      </c>
      <c r="E156" s="3">
        <f t="shared" si="6"/>
        <v>3</v>
      </c>
      <c r="F156" s="5">
        <v>43985.625</v>
      </c>
      <c r="G156" s="19" t="str">
        <f t="shared" si="7"/>
        <v/>
      </c>
      <c r="J156" s="28">
        <f t="shared" si="8"/>
        <v>1.0833333333333335</v>
      </c>
    </row>
    <row r="157" spans="1:10">
      <c r="A157" s="3">
        <v>12</v>
      </c>
      <c r="B157" t="s">
        <v>111</v>
      </c>
      <c r="C157" t="s">
        <v>8</v>
      </c>
      <c r="E157" s="3">
        <f t="shared" si="6"/>
        <v>4</v>
      </c>
      <c r="F157" s="5">
        <v>43986.625</v>
      </c>
      <c r="G157" s="19" t="str">
        <f t="shared" si="7"/>
        <v/>
      </c>
      <c r="J157" s="28">
        <f t="shared" si="8"/>
        <v>-0.6</v>
      </c>
    </row>
    <row r="158" spans="1:10">
      <c r="A158" s="3">
        <v>13</v>
      </c>
      <c r="B158" t="s">
        <v>112</v>
      </c>
      <c r="C158" t="s">
        <v>8</v>
      </c>
      <c r="E158" s="3">
        <f t="shared" si="6"/>
        <v>5</v>
      </c>
      <c r="F158" s="5">
        <v>43987.625</v>
      </c>
      <c r="G158" s="19" t="str">
        <f t="shared" si="7"/>
        <v/>
      </c>
      <c r="J158" s="28">
        <f t="shared" si="8"/>
        <v>-0.38095238095238093</v>
      </c>
    </row>
    <row r="159" spans="1:10">
      <c r="A159" s="3">
        <v>13</v>
      </c>
      <c r="B159" t="s">
        <v>113</v>
      </c>
      <c r="C159" t="s">
        <v>8</v>
      </c>
      <c r="E159" s="3">
        <f t="shared" si="6"/>
        <v>6</v>
      </c>
      <c r="F159" s="5">
        <v>43988.625</v>
      </c>
      <c r="G159" s="19" t="str">
        <f t="shared" si="7"/>
        <v/>
      </c>
      <c r="J159" s="28">
        <f t="shared" si="8"/>
        <v>0.30000000000000004</v>
      </c>
    </row>
    <row r="160" spans="1:10">
      <c r="A160" s="3">
        <v>4</v>
      </c>
      <c r="B160" t="s">
        <v>114</v>
      </c>
      <c r="C160" t="s">
        <v>8</v>
      </c>
      <c r="E160" s="3">
        <f t="shared" si="6"/>
        <v>7</v>
      </c>
      <c r="F160" s="5">
        <v>43989.625</v>
      </c>
      <c r="G160" s="19" t="str">
        <f t="shared" si="7"/>
        <v/>
      </c>
      <c r="J160" s="28">
        <f t="shared" si="8"/>
        <v>-0.66666666666666674</v>
      </c>
    </row>
    <row r="161" spans="1:10">
      <c r="A161" s="3">
        <v>10</v>
      </c>
      <c r="B161" t="s">
        <v>115</v>
      </c>
      <c r="C161" t="s">
        <v>8</v>
      </c>
      <c r="E161" s="3">
        <f t="shared" si="6"/>
        <v>1</v>
      </c>
      <c r="F161" s="5">
        <v>43990.625</v>
      </c>
      <c r="G161" s="19" t="str">
        <f t="shared" si="7"/>
        <v>2020-W24</v>
      </c>
      <c r="H161">
        <f>SUM(A161:A167)</f>
        <v>54</v>
      </c>
      <c r="I161" s="28">
        <f>H161/H154-1</f>
        <v>-0.45454545454545459</v>
      </c>
      <c r="J161" s="28">
        <f t="shared" si="8"/>
        <v>-0.41176470588235292</v>
      </c>
    </row>
    <row r="162" spans="1:10">
      <c r="A162" s="3">
        <v>8</v>
      </c>
      <c r="B162" t="s">
        <v>116</v>
      </c>
      <c r="C162" t="s">
        <v>8</v>
      </c>
      <c r="E162" s="3">
        <f t="shared" si="6"/>
        <v>2</v>
      </c>
      <c r="F162" s="5">
        <v>43991.625</v>
      </c>
      <c r="G162" s="19" t="str">
        <f t="shared" si="7"/>
        <v/>
      </c>
      <c r="J162" s="28">
        <f t="shared" si="8"/>
        <v>-0.46666666666666667</v>
      </c>
    </row>
    <row r="163" spans="1:10">
      <c r="A163" s="3">
        <v>7</v>
      </c>
      <c r="B163" t="s">
        <v>117</v>
      </c>
      <c r="C163" t="s">
        <v>8</v>
      </c>
      <c r="E163" s="3">
        <f t="shared" si="6"/>
        <v>3</v>
      </c>
      <c r="F163" s="5">
        <v>43992.625</v>
      </c>
      <c r="G163" s="19" t="str">
        <f t="shared" si="7"/>
        <v/>
      </c>
      <c r="J163" s="28">
        <f t="shared" si="8"/>
        <v>-0.72</v>
      </c>
    </row>
    <row r="164" spans="1:10">
      <c r="A164" s="3">
        <v>9</v>
      </c>
      <c r="B164" t="s">
        <v>118</v>
      </c>
      <c r="C164" t="s">
        <v>8</v>
      </c>
      <c r="E164" s="3">
        <f t="shared" si="6"/>
        <v>4</v>
      </c>
      <c r="F164" s="5">
        <v>43993.625</v>
      </c>
      <c r="G164" s="19" t="str">
        <f t="shared" si="7"/>
        <v/>
      </c>
      <c r="J164" s="28">
        <f t="shared" si="8"/>
        <v>-0.25</v>
      </c>
    </row>
    <row r="165" spans="1:10">
      <c r="A165" s="3">
        <v>13</v>
      </c>
      <c r="B165" t="s">
        <v>119</v>
      </c>
      <c r="C165" t="s">
        <v>8</v>
      </c>
      <c r="E165" s="3">
        <f t="shared" si="6"/>
        <v>5</v>
      </c>
      <c r="F165" s="5">
        <v>43994.625</v>
      </c>
      <c r="G165" s="19" t="str">
        <f t="shared" si="7"/>
        <v/>
      </c>
      <c r="J165" s="28">
        <f t="shared" si="8"/>
        <v>0</v>
      </c>
    </row>
    <row r="166" spans="1:10">
      <c r="A166" s="3">
        <v>2</v>
      </c>
      <c r="B166" t="s">
        <v>120</v>
      </c>
      <c r="C166" t="s">
        <v>8</v>
      </c>
      <c r="E166" s="3">
        <f t="shared" si="6"/>
        <v>6</v>
      </c>
      <c r="F166" s="5">
        <v>43995.625</v>
      </c>
      <c r="G166" s="19" t="str">
        <f t="shared" si="7"/>
        <v/>
      </c>
      <c r="J166" s="28">
        <f t="shared" si="8"/>
        <v>-0.84615384615384615</v>
      </c>
    </row>
    <row r="167" spans="1:10">
      <c r="A167" s="3">
        <v>5</v>
      </c>
      <c r="B167" t="s">
        <v>121</v>
      </c>
      <c r="C167" t="s">
        <v>8</v>
      </c>
      <c r="E167" s="3">
        <f t="shared" si="6"/>
        <v>7</v>
      </c>
      <c r="F167" s="5">
        <v>43996.625</v>
      </c>
      <c r="G167" s="19" t="str">
        <f t="shared" si="7"/>
        <v/>
      </c>
      <c r="J167" s="28">
        <f t="shared" si="8"/>
        <v>0.25</v>
      </c>
    </row>
    <row r="168" spans="1:10">
      <c r="A168" s="3">
        <v>16</v>
      </c>
      <c r="B168" t="s">
        <v>122</v>
      </c>
      <c r="C168" t="s">
        <v>8</v>
      </c>
      <c r="E168" s="3">
        <f t="shared" si="6"/>
        <v>1</v>
      </c>
      <c r="F168" s="5">
        <v>43997.625</v>
      </c>
      <c r="G168" s="19" t="str">
        <f t="shared" si="7"/>
        <v>2020-W25</v>
      </c>
      <c r="H168">
        <f>SUM(A168:A174)</f>
        <v>51</v>
      </c>
      <c r="I168" s="28">
        <f>H168/H161-1</f>
        <v>-5.555555555555558E-2</v>
      </c>
      <c r="J168" s="28">
        <f t="shared" si="8"/>
        <v>0.60000000000000009</v>
      </c>
    </row>
    <row r="169" spans="1:10">
      <c r="A169" s="3">
        <v>8</v>
      </c>
      <c r="B169" t="s">
        <v>123</v>
      </c>
      <c r="C169" t="s">
        <v>8</v>
      </c>
      <c r="E169" s="3">
        <f t="shared" si="6"/>
        <v>2</v>
      </c>
      <c r="F169" s="5">
        <v>43998.625</v>
      </c>
      <c r="G169" s="19" t="str">
        <f t="shared" si="7"/>
        <v/>
      </c>
      <c r="J169" s="28">
        <f t="shared" si="8"/>
        <v>0</v>
      </c>
    </row>
    <row r="170" spans="1:10">
      <c r="A170" s="3">
        <v>4</v>
      </c>
      <c r="B170" t="s">
        <v>124</v>
      </c>
      <c r="C170" t="s">
        <v>8</v>
      </c>
      <c r="E170" s="3">
        <f t="shared" si="6"/>
        <v>3</v>
      </c>
      <c r="F170" s="5">
        <v>43999.625</v>
      </c>
      <c r="G170" s="19" t="str">
        <f t="shared" si="7"/>
        <v/>
      </c>
      <c r="J170" s="28">
        <f t="shared" si="8"/>
        <v>-0.4285714285714286</v>
      </c>
    </row>
    <row r="171" spans="1:10">
      <c r="A171" s="3">
        <v>8</v>
      </c>
      <c r="B171" t="s">
        <v>125</v>
      </c>
      <c r="C171" t="s">
        <v>8</v>
      </c>
      <c r="E171" s="3">
        <f t="shared" si="6"/>
        <v>4</v>
      </c>
      <c r="F171" s="5">
        <v>44000.625</v>
      </c>
      <c r="G171" s="19" t="str">
        <f t="shared" si="7"/>
        <v/>
      </c>
      <c r="J171" s="28">
        <f t="shared" si="8"/>
        <v>-0.11111111111111116</v>
      </c>
    </row>
    <row r="172" spans="1:10" s="41" customFormat="1">
      <c r="A172" s="40">
        <v>0</v>
      </c>
      <c r="B172" s="41" t="s">
        <v>288</v>
      </c>
      <c r="C172" s="41" t="s">
        <v>8</v>
      </c>
      <c r="E172" s="40">
        <f t="shared" si="6"/>
        <v>5</v>
      </c>
      <c r="F172" s="42">
        <v>44001.625</v>
      </c>
      <c r="G172" s="43" t="str">
        <f t="shared" si="7"/>
        <v/>
      </c>
      <c r="J172" s="44">
        <f t="shared" si="8"/>
        <v>-1</v>
      </c>
    </row>
    <row r="173" spans="1:10">
      <c r="A173" s="3">
        <v>2</v>
      </c>
      <c r="B173" t="s">
        <v>126</v>
      </c>
      <c r="C173" t="s">
        <v>8</v>
      </c>
      <c r="E173" s="3">
        <f t="shared" si="6"/>
        <v>6</v>
      </c>
      <c r="F173" s="5">
        <v>44002.625</v>
      </c>
      <c r="G173" s="19" t="str">
        <f t="shared" si="7"/>
        <v/>
      </c>
      <c r="J173" s="28">
        <f t="shared" si="8"/>
        <v>0</v>
      </c>
    </row>
    <row r="174" spans="1:10">
      <c r="A174" s="3">
        <v>13</v>
      </c>
      <c r="B174" t="s">
        <v>127</v>
      </c>
      <c r="C174" t="s">
        <v>8</v>
      </c>
      <c r="E174" s="3">
        <f t="shared" si="6"/>
        <v>7</v>
      </c>
      <c r="F174" s="5">
        <v>44003.625</v>
      </c>
      <c r="G174" s="19" t="str">
        <f t="shared" si="7"/>
        <v/>
      </c>
      <c r="J174" s="28">
        <f t="shared" si="8"/>
        <v>1.6</v>
      </c>
    </row>
    <row r="175" spans="1:10">
      <c r="A175" s="3">
        <v>5</v>
      </c>
      <c r="B175" t="s">
        <v>128</v>
      </c>
      <c r="C175" t="s">
        <v>8</v>
      </c>
      <c r="E175" s="3">
        <f t="shared" si="6"/>
        <v>1</v>
      </c>
      <c r="F175" s="5">
        <v>44004.625</v>
      </c>
      <c r="G175" s="19" t="str">
        <f t="shared" si="7"/>
        <v>2020-W26</v>
      </c>
      <c r="H175">
        <f>SUM(A175:A181)</f>
        <v>53</v>
      </c>
      <c r="I175" s="28">
        <f>H175/H168-1</f>
        <v>3.9215686274509887E-2</v>
      </c>
      <c r="J175" s="28">
        <f t="shared" si="8"/>
        <v>-0.6875</v>
      </c>
    </row>
    <row r="176" spans="1:10">
      <c r="A176" s="3">
        <v>5</v>
      </c>
      <c r="B176" t="s">
        <v>129</v>
      </c>
      <c r="C176" t="s">
        <v>8</v>
      </c>
      <c r="E176" s="3">
        <f t="shared" si="6"/>
        <v>2</v>
      </c>
      <c r="F176" s="5">
        <v>44005.625</v>
      </c>
      <c r="G176" s="19" t="str">
        <f t="shared" si="7"/>
        <v/>
      </c>
      <c r="J176" s="28">
        <f t="shared" si="8"/>
        <v>-0.375</v>
      </c>
    </row>
    <row r="177" spans="1:10">
      <c r="A177" s="3">
        <v>17</v>
      </c>
      <c r="B177" t="s">
        <v>130</v>
      </c>
      <c r="C177" t="s">
        <v>8</v>
      </c>
      <c r="E177" s="3">
        <f t="shared" si="6"/>
        <v>3</v>
      </c>
      <c r="F177" s="5">
        <v>44006.625</v>
      </c>
      <c r="G177" s="19" t="str">
        <f t="shared" si="7"/>
        <v/>
      </c>
      <c r="J177" s="28">
        <f t="shared" si="8"/>
        <v>3.25</v>
      </c>
    </row>
    <row r="178" spans="1:10">
      <c r="A178" s="3">
        <v>14</v>
      </c>
      <c r="B178" t="s">
        <v>131</v>
      </c>
      <c r="C178" t="s">
        <v>8</v>
      </c>
      <c r="E178" s="3">
        <f t="shared" si="6"/>
        <v>4</v>
      </c>
      <c r="F178" s="5">
        <v>44007.625</v>
      </c>
      <c r="G178" s="19" t="str">
        <f t="shared" si="7"/>
        <v/>
      </c>
      <c r="J178" s="28">
        <f t="shared" si="8"/>
        <v>0.75</v>
      </c>
    </row>
    <row r="179" spans="1:10">
      <c r="A179" s="3">
        <v>3</v>
      </c>
      <c r="B179" t="s">
        <v>132</v>
      </c>
      <c r="C179" t="s">
        <v>8</v>
      </c>
      <c r="E179" s="3">
        <f t="shared" si="6"/>
        <v>5</v>
      </c>
      <c r="F179" s="5">
        <v>44008.625</v>
      </c>
      <c r="G179" s="19" t="str">
        <f t="shared" si="7"/>
        <v/>
      </c>
      <c r="J179" s="28" t="e">
        <f t="shared" si="8"/>
        <v>#DIV/0!</v>
      </c>
    </row>
    <row r="180" spans="1:10">
      <c r="A180" s="3">
        <v>2</v>
      </c>
      <c r="B180" t="s">
        <v>133</v>
      </c>
      <c r="C180" t="s">
        <v>8</v>
      </c>
      <c r="E180" s="3">
        <f t="shared" si="6"/>
        <v>6</v>
      </c>
      <c r="F180" s="5">
        <v>44009.625</v>
      </c>
      <c r="G180" s="19" t="str">
        <f t="shared" si="7"/>
        <v/>
      </c>
      <c r="J180" s="28">
        <f t="shared" si="8"/>
        <v>0</v>
      </c>
    </row>
    <row r="181" spans="1:10">
      <c r="A181" s="3">
        <v>7</v>
      </c>
      <c r="B181" t="s">
        <v>134</v>
      </c>
      <c r="C181" t="s">
        <v>8</v>
      </c>
      <c r="E181" s="3">
        <f t="shared" si="6"/>
        <v>7</v>
      </c>
      <c r="F181" s="5">
        <v>44010.625</v>
      </c>
      <c r="G181" s="19" t="str">
        <f t="shared" si="7"/>
        <v/>
      </c>
      <c r="J181" s="28">
        <f t="shared" si="8"/>
        <v>-0.46153846153846156</v>
      </c>
    </row>
    <row r="182" spans="1:10">
      <c r="A182" s="3">
        <v>16</v>
      </c>
      <c r="B182" t="s">
        <v>135</v>
      </c>
      <c r="C182" t="s">
        <v>8</v>
      </c>
      <c r="E182" s="3">
        <f t="shared" si="6"/>
        <v>1</v>
      </c>
      <c r="F182" s="5">
        <v>44011.625</v>
      </c>
      <c r="G182" s="19" t="str">
        <f t="shared" si="7"/>
        <v>2020-W27</v>
      </c>
      <c r="H182">
        <f>SUM(A182:A188)</f>
        <v>46</v>
      </c>
      <c r="I182" s="28">
        <f>H182/H175-1</f>
        <v>-0.13207547169811318</v>
      </c>
      <c r="J182" s="28">
        <f t="shared" si="8"/>
        <v>2.2000000000000002</v>
      </c>
    </row>
    <row r="183" spans="1:10">
      <c r="A183" s="3">
        <v>10</v>
      </c>
      <c r="B183" t="s">
        <v>136</v>
      </c>
      <c r="C183" t="s">
        <v>8</v>
      </c>
      <c r="E183" s="3">
        <f t="shared" si="6"/>
        <v>2</v>
      </c>
      <c r="F183" s="5">
        <v>44012.625</v>
      </c>
      <c r="G183" s="19" t="str">
        <f t="shared" si="7"/>
        <v/>
      </c>
      <c r="J183" s="28">
        <f t="shared" si="8"/>
        <v>1</v>
      </c>
    </row>
    <row r="184" spans="1:10">
      <c r="A184" s="3">
        <v>2</v>
      </c>
      <c r="B184" t="s">
        <v>137</v>
      </c>
      <c r="C184" t="s">
        <v>8</v>
      </c>
      <c r="E184" s="3">
        <f t="shared" si="6"/>
        <v>3</v>
      </c>
      <c r="F184" s="5">
        <v>44013.625</v>
      </c>
      <c r="G184" s="19" t="str">
        <f t="shared" si="7"/>
        <v/>
      </c>
      <c r="J184" s="28">
        <f t="shared" si="8"/>
        <v>-0.88235294117647056</v>
      </c>
    </row>
    <row r="185" spans="1:10">
      <c r="A185" s="3">
        <v>7</v>
      </c>
      <c r="B185" t="s">
        <v>138</v>
      </c>
      <c r="C185" t="s">
        <v>8</v>
      </c>
      <c r="E185" s="3">
        <f t="shared" si="6"/>
        <v>4</v>
      </c>
      <c r="F185" s="5">
        <v>44014.625</v>
      </c>
      <c r="G185" s="19" t="str">
        <f t="shared" si="7"/>
        <v/>
      </c>
      <c r="J185" s="28">
        <f t="shared" si="8"/>
        <v>-0.5</v>
      </c>
    </row>
    <row r="186" spans="1:10">
      <c r="A186" s="3">
        <v>6</v>
      </c>
      <c r="B186" t="s">
        <v>139</v>
      </c>
      <c r="C186" t="s">
        <v>8</v>
      </c>
      <c r="E186" s="3">
        <f t="shared" si="6"/>
        <v>5</v>
      </c>
      <c r="F186" s="5">
        <v>44015.625</v>
      </c>
      <c r="G186" s="19" t="str">
        <f t="shared" si="7"/>
        <v/>
      </c>
      <c r="J186" s="28">
        <f t="shared" si="8"/>
        <v>1</v>
      </c>
    </row>
    <row r="187" spans="1:10">
      <c r="A187" s="3">
        <v>2</v>
      </c>
      <c r="B187" t="s">
        <v>140</v>
      </c>
      <c r="C187" t="s">
        <v>8</v>
      </c>
      <c r="E187" s="3">
        <f t="shared" si="6"/>
        <v>6</v>
      </c>
      <c r="F187" s="5">
        <v>44016.625</v>
      </c>
      <c r="G187" s="19" t="str">
        <f t="shared" si="7"/>
        <v/>
      </c>
      <c r="J187" s="28">
        <f t="shared" si="8"/>
        <v>0</v>
      </c>
    </row>
    <row r="188" spans="1:10">
      <c r="A188" s="3">
        <v>3</v>
      </c>
      <c r="B188" t="s">
        <v>141</v>
      </c>
      <c r="C188" t="s">
        <v>8</v>
      </c>
      <c r="E188" s="3">
        <f t="shared" si="6"/>
        <v>7</v>
      </c>
      <c r="F188" s="5">
        <v>44017.625</v>
      </c>
      <c r="G188" s="19" t="str">
        <f t="shared" si="7"/>
        <v/>
      </c>
      <c r="J188" s="28">
        <f t="shared" si="8"/>
        <v>-0.5714285714285714</v>
      </c>
    </row>
    <row r="189" spans="1:10" s="41" customFormat="1">
      <c r="A189" s="40">
        <v>8</v>
      </c>
      <c r="B189" s="41" t="s">
        <v>142</v>
      </c>
      <c r="C189" s="41" t="s">
        <v>8</v>
      </c>
      <c r="E189" s="40">
        <f t="shared" si="6"/>
        <v>1</v>
      </c>
      <c r="F189" s="42">
        <v>44018.625</v>
      </c>
      <c r="G189" s="43" t="str">
        <f t="shared" si="7"/>
        <v>2020-W28</v>
      </c>
      <c r="H189" s="41">
        <f>SUM(A189:A195)</f>
        <v>38</v>
      </c>
      <c r="I189" s="44">
        <f>H189/H182-1</f>
        <v>-0.17391304347826086</v>
      </c>
      <c r="J189" s="44">
        <f t="shared" si="8"/>
        <v>-0.5</v>
      </c>
    </row>
    <row r="190" spans="1:10">
      <c r="A190" s="3">
        <v>3</v>
      </c>
      <c r="B190" t="s">
        <v>143</v>
      </c>
      <c r="C190" t="s">
        <v>8</v>
      </c>
      <c r="E190" s="3">
        <f t="shared" si="6"/>
        <v>2</v>
      </c>
      <c r="F190" s="5">
        <v>44019.625</v>
      </c>
      <c r="G190" s="19" t="str">
        <f t="shared" si="7"/>
        <v/>
      </c>
      <c r="J190" s="28">
        <f t="shared" si="8"/>
        <v>-0.7</v>
      </c>
    </row>
    <row r="191" spans="1:10">
      <c r="A191" s="3">
        <v>9</v>
      </c>
      <c r="B191" t="s">
        <v>144</v>
      </c>
      <c r="C191" t="s">
        <v>8</v>
      </c>
      <c r="E191" s="3">
        <f t="shared" si="6"/>
        <v>3</v>
      </c>
      <c r="F191" s="5">
        <v>44020.625</v>
      </c>
      <c r="G191" s="19" t="str">
        <f t="shared" si="7"/>
        <v/>
      </c>
      <c r="J191" s="28">
        <f t="shared" si="8"/>
        <v>3.5</v>
      </c>
    </row>
    <row r="192" spans="1:10">
      <c r="A192" s="3">
        <v>8</v>
      </c>
      <c r="B192" t="s">
        <v>145</v>
      </c>
      <c r="C192" t="s">
        <v>8</v>
      </c>
      <c r="E192" s="3">
        <f t="shared" si="6"/>
        <v>4</v>
      </c>
      <c r="F192" s="5">
        <v>44021.625</v>
      </c>
      <c r="G192" s="19" t="str">
        <f t="shared" si="7"/>
        <v/>
      </c>
      <c r="J192" s="28">
        <f t="shared" si="8"/>
        <v>0.14285714285714279</v>
      </c>
    </row>
    <row r="193" spans="1:10">
      <c r="A193" s="3">
        <v>6</v>
      </c>
      <c r="B193" t="s">
        <v>146</v>
      </c>
      <c r="C193" t="s">
        <v>8</v>
      </c>
      <c r="E193" s="3">
        <f t="shared" si="6"/>
        <v>5</v>
      </c>
      <c r="F193" s="5">
        <v>44022.625</v>
      </c>
      <c r="G193" s="19" t="str">
        <f t="shared" si="7"/>
        <v/>
      </c>
      <c r="J193" s="28">
        <f t="shared" si="8"/>
        <v>0</v>
      </c>
    </row>
    <row r="194" spans="1:10">
      <c r="A194" s="3">
        <v>0</v>
      </c>
      <c r="B194" t="s">
        <v>289</v>
      </c>
      <c r="C194" t="s">
        <v>8</v>
      </c>
      <c r="E194" s="3">
        <f t="shared" si="6"/>
        <v>6</v>
      </c>
      <c r="F194" s="5">
        <v>44023.625</v>
      </c>
      <c r="G194" s="19" t="str">
        <f t="shared" si="7"/>
        <v/>
      </c>
      <c r="J194" s="28">
        <f t="shared" si="8"/>
        <v>-1</v>
      </c>
    </row>
    <row r="195" spans="1:10">
      <c r="A195" s="3">
        <v>4</v>
      </c>
      <c r="B195" t="s">
        <v>147</v>
      </c>
      <c r="C195" t="s">
        <v>8</v>
      </c>
      <c r="E195" s="3">
        <f t="shared" ref="E195:E258" si="9">WEEKDAY(F195,2)</f>
        <v>7</v>
      </c>
      <c r="F195" s="5">
        <v>44024.625</v>
      </c>
      <c r="G195" s="19" t="str">
        <f t="shared" ref="G195:G258" si="10">IF(WEEKDAY(F195,2)=1,YEAR(F195)&amp;"-W"&amp;TEXT(WEEKNUM(F195,14),"00"),"")</f>
        <v/>
      </c>
      <c r="J195" s="28">
        <f t="shared" si="8"/>
        <v>0.33333333333333326</v>
      </c>
    </row>
    <row r="196" spans="1:10">
      <c r="A196" s="3">
        <v>6</v>
      </c>
      <c r="B196" t="s">
        <v>148</v>
      </c>
      <c r="C196" t="s">
        <v>8</v>
      </c>
      <c r="E196" s="3">
        <f t="shared" si="9"/>
        <v>1</v>
      </c>
      <c r="F196" s="5">
        <v>44025.625</v>
      </c>
      <c r="G196" s="19" t="str">
        <f t="shared" si="10"/>
        <v>2020-W29</v>
      </c>
      <c r="H196">
        <f>SUM(A196:A202)</f>
        <v>43</v>
      </c>
      <c r="I196" s="28">
        <f>H196/H189-1</f>
        <v>0.13157894736842102</v>
      </c>
      <c r="J196" s="28">
        <f t="shared" si="8"/>
        <v>-0.25</v>
      </c>
    </row>
    <row r="197" spans="1:10">
      <c r="A197" s="3">
        <v>5</v>
      </c>
      <c r="B197" t="s">
        <v>149</v>
      </c>
      <c r="C197" t="s">
        <v>8</v>
      </c>
      <c r="E197" s="3">
        <f t="shared" si="9"/>
        <v>2</v>
      </c>
      <c r="F197" s="5">
        <v>44026.625</v>
      </c>
      <c r="G197" s="19" t="str">
        <f t="shared" si="10"/>
        <v/>
      </c>
      <c r="J197" s="28">
        <f t="shared" si="8"/>
        <v>0.66666666666666674</v>
      </c>
    </row>
    <row r="198" spans="1:10">
      <c r="A198" s="3">
        <v>5</v>
      </c>
      <c r="B198" t="s">
        <v>150</v>
      </c>
      <c r="C198" t="s">
        <v>8</v>
      </c>
      <c r="E198" s="3">
        <f t="shared" si="9"/>
        <v>3</v>
      </c>
      <c r="F198" s="5">
        <v>44027.625</v>
      </c>
      <c r="G198" s="19" t="str">
        <f t="shared" si="10"/>
        <v/>
      </c>
      <c r="J198" s="28">
        <f t="shared" si="8"/>
        <v>-0.44444444444444442</v>
      </c>
    </row>
    <row r="199" spans="1:10">
      <c r="A199" s="3">
        <v>9</v>
      </c>
      <c r="B199" t="s">
        <v>151</v>
      </c>
      <c r="C199" t="s">
        <v>8</v>
      </c>
      <c r="E199" s="3">
        <f t="shared" si="9"/>
        <v>4</v>
      </c>
      <c r="F199" s="5">
        <v>44028.625</v>
      </c>
      <c r="G199" s="19" t="str">
        <f t="shared" si="10"/>
        <v/>
      </c>
      <c r="J199" s="28">
        <f t="shared" si="8"/>
        <v>0.125</v>
      </c>
    </row>
    <row r="200" spans="1:10">
      <c r="A200" s="3">
        <v>6</v>
      </c>
      <c r="B200" t="s">
        <v>152</v>
      </c>
      <c r="C200" t="s">
        <v>8</v>
      </c>
      <c r="E200" s="3">
        <f t="shared" si="9"/>
        <v>5</v>
      </c>
      <c r="F200" s="5">
        <v>44029.625</v>
      </c>
      <c r="G200" s="19" t="str">
        <f t="shared" si="10"/>
        <v/>
      </c>
      <c r="J200" s="28">
        <f t="shared" si="8"/>
        <v>0</v>
      </c>
    </row>
    <row r="201" spans="1:10">
      <c r="A201" s="3">
        <v>7</v>
      </c>
      <c r="B201" t="s">
        <v>153</v>
      </c>
      <c r="C201" t="s">
        <v>8</v>
      </c>
      <c r="E201" s="3">
        <f t="shared" si="9"/>
        <v>6</v>
      </c>
      <c r="F201" s="5">
        <v>44030.625</v>
      </c>
      <c r="G201" s="19" t="str">
        <f t="shared" si="10"/>
        <v/>
      </c>
      <c r="J201" s="28" t="e">
        <f t="shared" ref="J201:J264" si="11">A201/A194-1</f>
        <v>#DIV/0!</v>
      </c>
    </row>
    <row r="202" spans="1:10">
      <c r="A202" s="3">
        <v>5</v>
      </c>
      <c r="B202" t="s">
        <v>154</v>
      </c>
      <c r="C202" t="s">
        <v>8</v>
      </c>
      <c r="E202" s="3">
        <f t="shared" si="9"/>
        <v>7</v>
      </c>
      <c r="F202" s="5">
        <v>44031.625</v>
      </c>
      <c r="G202" s="19" t="str">
        <f t="shared" si="10"/>
        <v/>
      </c>
      <c r="J202" s="28">
        <f t="shared" si="11"/>
        <v>0.25</v>
      </c>
    </row>
    <row r="203" spans="1:10">
      <c r="A203" s="3">
        <v>12</v>
      </c>
      <c r="B203" t="s">
        <v>155</v>
      </c>
      <c r="C203" t="s">
        <v>8</v>
      </c>
      <c r="E203" s="3">
        <f t="shared" si="9"/>
        <v>1</v>
      </c>
      <c r="F203" s="5">
        <v>44032.625</v>
      </c>
      <c r="G203" s="19" t="str">
        <f t="shared" si="10"/>
        <v>2020-W30</v>
      </c>
      <c r="H203">
        <f>SUM(A203:A209)</f>
        <v>56</v>
      </c>
      <c r="I203" s="28">
        <f>H203/H196-1</f>
        <v>0.30232558139534893</v>
      </c>
      <c r="J203" s="28">
        <f t="shared" si="11"/>
        <v>1</v>
      </c>
    </row>
    <row r="204" spans="1:10">
      <c r="A204" s="3">
        <v>8</v>
      </c>
      <c r="B204" t="s">
        <v>156</v>
      </c>
      <c r="C204" t="s">
        <v>8</v>
      </c>
      <c r="E204" s="3">
        <f t="shared" si="9"/>
        <v>2</v>
      </c>
      <c r="F204" s="5">
        <v>44033.625</v>
      </c>
      <c r="G204" s="19" t="str">
        <f t="shared" si="10"/>
        <v/>
      </c>
      <c r="J204" s="28">
        <f t="shared" si="11"/>
        <v>0.60000000000000009</v>
      </c>
    </row>
    <row r="205" spans="1:10">
      <c r="A205" s="3">
        <v>11</v>
      </c>
      <c r="B205" t="s">
        <v>157</v>
      </c>
      <c r="C205" t="s">
        <v>8</v>
      </c>
      <c r="E205" s="3">
        <f t="shared" si="9"/>
        <v>3</v>
      </c>
      <c r="F205" s="5">
        <v>44034.625</v>
      </c>
      <c r="G205" s="19" t="str">
        <f t="shared" si="10"/>
        <v/>
      </c>
      <c r="J205" s="28">
        <f t="shared" si="11"/>
        <v>1.2000000000000002</v>
      </c>
    </row>
    <row r="206" spans="1:10">
      <c r="A206" s="3">
        <v>3</v>
      </c>
      <c r="B206" t="s">
        <v>158</v>
      </c>
      <c r="C206" t="s">
        <v>8</v>
      </c>
      <c r="E206" s="3">
        <f t="shared" si="9"/>
        <v>4</v>
      </c>
      <c r="F206" s="5">
        <v>44035.625</v>
      </c>
      <c r="G206" s="19" t="str">
        <f t="shared" si="10"/>
        <v/>
      </c>
      <c r="J206" s="28">
        <f t="shared" si="11"/>
        <v>-0.66666666666666674</v>
      </c>
    </row>
    <row r="207" spans="1:10">
      <c r="A207" s="3">
        <v>10</v>
      </c>
      <c r="B207" t="s">
        <v>159</v>
      </c>
      <c r="C207" t="s">
        <v>8</v>
      </c>
      <c r="E207" s="3">
        <f t="shared" si="9"/>
        <v>5</v>
      </c>
      <c r="F207" s="5">
        <v>44036.625</v>
      </c>
      <c r="G207" s="19" t="str">
        <f t="shared" si="10"/>
        <v/>
      </c>
      <c r="J207" s="28">
        <f t="shared" si="11"/>
        <v>0.66666666666666674</v>
      </c>
    </row>
    <row r="208" spans="1:10">
      <c r="A208" s="3">
        <v>4</v>
      </c>
      <c r="B208" t="s">
        <v>160</v>
      </c>
      <c r="C208" t="s">
        <v>8</v>
      </c>
      <c r="E208" s="3">
        <f t="shared" si="9"/>
        <v>6</v>
      </c>
      <c r="F208" s="5">
        <v>44037.625</v>
      </c>
      <c r="G208" s="19" t="str">
        <f t="shared" si="10"/>
        <v/>
      </c>
      <c r="J208" s="28">
        <f t="shared" si="11"/>
        <v>-0.4285714285714286</v>
      </c>
    </row>
    <row r="209" spans="1:10">
      <c r="A209" s="3">
        <v>8</v>
      </c>
      <c r="B209" t="s">
        <v>161</v>
      </c>
      <c r="C209" t="s">
        <v>8</v>
      </c>
      <c r="E209" s="3">
        <f t="shared" si="9"/>
        <v>7</v>
      </c>
      <c r="F209" s="5">
        <v>44038.625</v>
      </c>
      <c r="G209" s="19" t="str">
        <f t="shared" si="10"/>
        <v/>
      </c>
      <c r="J209" s="28">
        <f t="shared" si="11"/>
        <v>0.60000000000000009</v>
      </c>
    </row>
    <row r="210" spans="1:10">
      <c r="A210" s="3">
        <v>12</v>
      </c>
      <c r="B210" t="s">
        <v>162</v>
      </c>
      <c r="C210" t="s">
        <v>8</v>
      </c>
      <c r="E210" s="3">
        <f t="shared" si="9"/>
        <v>1</v>
      </c>
      <c r="F210" s="5">
        <v>44039.625</v>
      </c>
      <c r="G210" s="19" t="str">
        <f t="shared" si="10"/>
        <v>2020-W31</v>
      </c>
      <c r="H210">
        <f>SUM(A210:A216)</f>
        <v>84</v>
      </c>
      <c r="I210" s="28">
        <f>H210/H203-1</f>
        <v>0.5</v>
      </c>
      <c r="J210" s="28">
        <f t="shared" si="11"/>
        <v>0</v>
      </c>
    </row>
    <row r="211" spans="1:10">
      <c r="A211" s="3">
        <v>9</v>
      </c>
      <c r="B211" t="s">
        <v>163</v>
      </c>
      <c r="C211" t="s">
        <v>8</v>
      </c>
      <c r="E211" s="3">
        <f t="shared" si="9"/>
        <v>2</v>
      </c>
      <c r="F211" s="5">
        <v>44040.625</v>
      </c>
      <c r="G211" s="19" t="str">
        <f t="shared" si="10"/>
        <v/>
      </c>
      <c r="J211" s="28">
        <f t="shared" si="11"/>
        <v>0.125</v>
      </c>
    </row>
    <row r="212" spans="1:10">
      <c r="A212" s="3">
        <v>12</v>
      </c>
      <c r="B212" t="s">
        <v>164</v>
      </c>
      <c r="C212" t="s">
        <v>8</v>
      </c>
      <c r="E212" s="3">
        <f t="shared" si="9"/>
        <v>3</v>
      </c>
      <c r="F212" s="5">
        <v>44041.625</v>
      </c>
      <c r="G212" s="19" t="str">
        <f t="shared" si="10"/>
        <v/>
      </c>
      <c r="J212" s="28">
        <f t="shared" si="11"/>
        <v>9.0909090909090828E-2</v>
      </c>
    </row>
    <row r="213" spans="1:10">
      <c r="A213" s="3">
        <v>8</v>
      </c>
      <c r="B213" t="s">
        <v>165</v>
      </c>
      <c r="C213" t="s">
        <v>8</v>
      </c>
      <c r="E213" s="3">
        <f t="shared" si="9"/>
        <v>4</v>
      </c>
      <c r="F213" s="5">
        <v>44042.625</v>
      </c>
      <c r="G213" s="19" t="str">
        <f t="shared" si="10"/>
        <v/>
      </c>
      <c r="J213" s="28">
        <f t="shared" si="11"/>
        <v>1.6666666666666665</v>
      </c>
    </row>
    <row r="214" spans="1:10">
      <c r="A214" s="3">
        <v>18</v>
      </c>
      <c r="B214" t="s">
        <v>166</v>
      </c>
      <c r="C214" t="s">
        <v>8</v>
      </c>
      <c r="E214" s="3">
        <f t="shared" si="9"/>
        <v>5</v>
      </c>
      <c r="F214" s="5">
        <v>44043.625</v>
      </c>
      <c r="G214" s="19" t="str">
        <f t="shared" si="10"/>
        <v/>
      </c>
      <c r="J214" s="28">
        <f t="shared" si="11"/>
        <v>0.8</v>
      </c>
    </row>
    <row r="215" spans="1:10">
      <c r="A215" s="3">
        <v>15</v>
      </c>
      <c r="B215" t="s">
        <v>167</v>
      </c>
      <c r="C215" t="s">
        <v>8</v>
      </c>
      <c r="E215" s="3">
        <f t="shared" si="9"/>
        <v>6</v>
      </c>
      <c r="F215" s="5">
        <v>44044.625</v>
      </c>
      <c r="G215" s="19" t="str">
        <f t="shared" si="10"/>
        <v/>
      </c>
      <c r="J215" s="28">
        <f t="shared" si="11"/>
        <v>2.75</v>
      </c>
    </row>
    <row r="216" spans="1:10">
      <c r="A216" s="3">
        <v>10</v>
      </c>
      <c r="B216" t="s">
        <v>168</v>
      </c>
      <c r="C216" t="s">
        <v>8</v>
      </c>
      <c r="E216" s="3">
        <f t="shared" si="9"/>
        <v>7</v>
      </c>
      <c r="F216" s="5">
        <v>44045.625</v>
      </c>
      <c r="G216" s="19" t="str">
        <f t="shared" si="10"/>
        <v/>
      </c>
      <c r="J216" s="28">
        <f t="shared" si="11"/>
        <v>0.25</v>
      </c>
    </row>
    <row r="217" spans="1:10">
      <c r="A217" s="3">
        <v>35</v>
      </c>
      <c r="B217" t="s">
        <v>169</v>
      </c>
      <c r="C217" t="s">
        <v>8</v>
      </c>
      <c r="E217" s="3">
        <f t="shared" si="9"/>
        <v>1</v>
      </c>
      <c r="F217" s="5">
        <v>44046.625</v>
      </c>
      <c r="G217" s="19" t="str">
        <f t="shared" si="10"/>
        <v>2020-W32</v>
      </c>
      <c r="H217">
        <f>SUM(A217:A223)</f>
        <v>169</v>
      </c>
      <c r="I217" s="28">
        <f>H217/H210-1</f>
        <v>1.0119047619047619</v>
      </c>
      <c r="J217" s="28">
        <f t="shared" si="11"/>
        <v>1.9166666666666665</v>
      </c>
    </row>
    <row r="218" spans="1:10">
      <c r="A218" s="3">
        <v>22</v>
      </c>
      <c r="B218" t="s">
        <v>170</v>
      </c>
      <c r="C218" t="s">
        <v>8</v>
      </c>
      <c r="E218" s="3">
        <f t="shared" si="9"/>
        <v>2</v>
      </c>
      <c r="F218" s="5">
        <v>44047.625</v>
      </c>
      <c r="G218" s="19" t="str">
        <f t="shared" si="10"/>
        <v/>
      </c>
      <c r="J218" s="28">
        <f t="shared" si="11"/>
        <v>1.4444444444444446</v>
      </c>
    </row>
    <row r="219" spans="1:10">
      <c r="A219" s="3">
        <v>29</v>
      </c>
      <c r="B219" t="s">
        <v>171</v>
      </c>
      <c r="C219" t="s">
        <v>8</v>
      </c>
      <c r="E219" s="3">
        <f t="shared" si="9"/>
        <v>3</v>
      </c>
      <c r="F219" s="5">
        <v>44048.625</v>
      </c>
      <c r="G219" s="19" t="str">
        <f t="shared" si="10"/>
        <v/>
      </c>
      <c r="J219" s="28">
        <f t="shared" si="11"/>
        <v>1.4166666666666665</v>
      </c>
    </row>
    <row r="220" spans="1:10">
      <c r="A220" s="3">
        <v>22</v>
      </c>
      <c r="B220" t="s">
        <v>172</v>
      </c>
      <c r="C220" t="s">
        <v>8</v>
      </c>
      <c r="E220" s="3">
        <f t="shared" si="9"/>
        <v>4</v>
      </c>
      <c r="F220" s="5">
        <v>44049.625</v>
      </c>
      <c r="G220" s="19" t="str">
        <f t="shared" si="10"/>
        <v/>
      </c>
      <c r="J220" s="28">
        <f t="shared" si="11"/>
        <v>1.75</v>
      </c>
    </row>
    <row r="221" spans="1:10">
      <c r="A221" s="3">
        <v>17</v>
      </c>
      <c r="B221" t="s">
        <v>173</v>
      </c>
      <c r="C221" t="s">
        <v>8</v>
      </c>
      <c r="E221" s="3">
        <f t="shared" si="9"/>
        <v>5</v>
      </c>
      <c r="F221" s="5">
        <v>44050.625</v>
      </c>
      <c r="G221" s="19" t="str">
        <f t="shared" si="10"/>
        <v/>
      </c>
      <c r="J221" s="28">
        <f t="shared" si="11"/>
        <v>-5.555555555555558E-2</v>
      </c>
    </row>
    <row r="222" spans="1:10">
      <c r="A222" s="3">
        <v>9</v>
      </c>
      <c r="B222" t="s">
        <v>174</v>
      </c>
      <c r="C222" t="s">
        <v>8</v>
      </c>
      <c r="E222" s="3">
        <f t="shared" si="9"/>
        <v>6</v>
      </c>
      <c r="F222" s="5">
        <v>44051.625</v>
      </c>
      <c r="G222" s="19" t="str">
        <f t="shared" si="10"/>
        <v/>
      </c>
      <c r="J222" s="28">
        <f t="shared" si="11"/>
        <v>-0.4</v>
      </c>
    </row>
    <row r="223" spans="1:10">
      <c r="A223" s="3">
        <v>35</v>
      </c>
      <c r="B223" t="s">
        <v>175</v>
      </c>
      <c r="C223" t="s">
        <v>8</v>
      </c>
      <c r="E223" s="3">
        <f t="shared" si="9"/>
        <v>7</v>
      </c>
      <c r="F223" s="5">
        <v>44052.625</v>
      </c>
      <c r="G223" s="19" t="str">
        <f t="shared" si="10"/>
        <v/>
      </c>
      <c r="J223" s="28">
        <f t="shared" si="11"/>
        <v>2.5</v>
      </c>
    </row>
    <row r="224" spans="1:10">
      <c r="A224" s="3">
        <v>15</v>
      </c>
      <c r="B224" t="s">
        <v>176</v>
      </c>
      <c r="C224" t="s">
        <v>8</v>
      </c>
      <c r="E224" s="3">
        <f t="shared" si="9"/>
        <v>1</v>
      </c>
      <c r="F224" s="5">
        <v>44053.625</v>
      </c>
      <c r="G224" s="19" t="str">
        <f t="shared" si="10"/>
        <v>2020-W33</v>
      </c>
      <c r="H224">
        <f>SUM(A224:A230)</f>
        <v>175</v>
      </c>
      <c r="I224" s="28">
        <f>H224/H217-1</f>
        <v>3.5502958579881616E-2</v>
      </c>
      <c r="J224" s="28">
        <f t="shared" si="11"/>
        <v>-0.5714285714285714</v>
      </c>
    </row>
    <row r="225" spans="1:10">
      <c r="A225" s="3">
        <v>28</v>
      </c>
      <c r="B225" t="s">
        <v>177</v>
      </c>
      <c r="C225" t="s">
        <v>8</v>
      </c>
      <c r="E225" s="3">
        <f t="shared" si="9"/>
        <v>2</v>
      </c>
      <c r="F225" s="5">
        <v>44054.625</v>
      </c>
      <c r="G225" s="19" t="str">
        <f t="shared" si="10"/>
        <v/>
      </c>
      <c r="J225" s="28">
        <f t="shared" si="11"/>
        <v>0.27272727272727271</v>
      </c>
    </row>
    <row r="226" spans="1:10">
      <c r="A226" s="3">
        <v>27</v>
      </c>
      <c r="B226" t="s">
        <v>178</v>
      </c>
      <c r="C226" t="s">
        <v>8</v>
      </c>
      <c r="E226" s="3">
        <f t="shared" si="9"/>
        <v>3</v>
      </c>
      <c r="F226" s="5">
        <v>44055.625</v>
      </c>
      <c r="G226" s="19" t="str">
        <f t="shared" si="10"/>
        <v/>
      </c>
      <c r="J226" s="28">
        <f t="shared" si="11"/>
        <v>-6.8965517241379337E-2</v>
      </c>
    </row>
    <row r="227" spans="1:10">
      <c r="A227" s="3">
        <v>21</v>
      </c>
      <c r="B227" t="s">
        <v>179</v>
      </c>
      <c r="C227" t="s">
        <v>8</v>
      </c>
      <c r="E227" s="3">
        <f t="shared" si="9"/>
        <v>4</v>
      </c>
      <c r="F227" s="5">
        <v>44056.625</v>
      </c>
      <c r="G227" s="19" t="str">
        <f t="shared" si="10"/>
        <v/>
      </c>
      <c r="J227" s="28">
        <f t="shared" si="11"/>
        <v>-4.5454545454545414E-2</v>
      </c>
    </row>
    <row r="228" spans="1:10">
      <c r="A228" s="3">
        <v>27</v>
      </c>
      <c r="B228" t="s">
        <v>180</v>
      </c>
      <c r="C228" t="s">
        <v>8</v>
      </c>
      <c r="E228" s="3">
        <f t="shared" si="9"/>
        <v>5</v>
      </c>
      <c r="F228" s="5">
        <v>44057.625</v>
      </c>
      <c r="G228" s="19" t="str">
        <f t="shared" si="10"/>
        <v/>
      </c>
      <c r="J228" s="28">
        <f t="shared" si="11"/>
        <v>0.58823529411764697</v>
      </c>
    </row>
    <row r="229" spans="1:10">
      <c r="A229" s="3">
        <v>14</v>
      </c>
      <c r="B229" t="s">
        <v>181</v>
      </c>
      <c r="C229" t="s">
        <v>8</v>
      </c>
      <c r="E229" s="3">
        <f t="shared" si="9"/>
        <v>6</v>
      </c>
      <c r="F229" s="5">
        <v>44058.625</v>
      </c>
      <c r="G229" s="19" t="str">
        <f t="shared" si="10"/>
        <v/>
      </c>
      <c r="J229" s="28">
        <f t="shared" si="11"/>
        <v>0.55555555555555558</v>
      </c>
    </row>
    <row r="230" spans="1:10">
      <c r="A230" s="3">
        <v>43</v>
      </c>
      <c r="B230" t="s">
        <v>182</v>
      </c>
      <c r="C230" t="s">
        <v>8</v>
      </c>
      <c r="E230" s="3">
        <f t="shared" si="9"/>
        <v>7</v>
      </c>
      <c r="F230" s="5">
        <v>44059.625</v>
      </c>
      <c r="G230" s="19" t="str">
        <f t="shared" si="10"/>
        <v/>
      </c>
      <c r="J230" s="28">
        <f t="shared" si="11"/>
        <v>0.22857142857142865</v>
      </c>
    </row>
    <row r="231" spans="1:10">
      <c r="A231" s="3">
        <v>27</v>
      </c>
      <c r="B231" t="s">
        <v>183</v>
      </c>
      <c r="C231" t="s">
        <v>8</v>
      </c>
      <c r="E231" s="3">
        <f t="shared" si="9"/>
        <v>1</v>
      </c>
      <c r="F231" s="5">
        <v>44060.625</v>
      </c>
      <c r="G231" s="19" t="str">
        <f t="shared" si="10"/>
        <v>2020-W34</v>
      </c>
      <c r="H231">
        <f>SUM(A231:A237)</f>
        <v>192</v>
      </c>
      <c r="I231" s="28">
        <f>H231/H224-1</f>
        <v>9.7142857142857197E-2</v>
      </c>
      <c r="J231" s="28">
        <f t="shared" si="11"/>
        <v>0.8</v>
      </c>
    </row>
    <row r="232" spans="1:10">
      <c r="A232" s="3">
        <v>39</v>
      </c>
      <c r="B232" t="s">
        <v>184</v>
      </c>
      <c r="C232" t="s">
        <v>8</v>
      </c>
      <c r="E232" s="3">
        <f t="shared" si="9"/>
        <v>2</v>
      </c>
      <c r="F232" s="5">
        <v>44061.625</v>
      </c>
      <c r="G232" s="19" t="str">
        <f t="shared" si="10"/>
        <v/>
      </c>
      <c r="J232" s="28">
        <f t="shared" si="11"/>
        <v>0.39285714285714279</v>
      </c>
    </row>
    <row r="233" spans="1:10">
      <c r="A233" s="3">
        <v>47</v>
      </c>
      <c r="B233" t="s">
        <v>185</v>
      </c>
      <c r="C233" t="s">
        <v>8</v>
      </c>
      <c r="E233" s="3">
        <f t="shared" si="9"/>
        <v>3</v>
      </c>
      <c r="F233" s="5">
        <v>44062.625</v>
      </c>
      <c r="G233" s="19" t="str">
        <f t="shared" si="10"/>
        <v/>
      </c>
      <c r="J233" s="28">
        <f t="shared" si="11"/>
        <v>0.7407407407407407</v>
      </c>
    </row>
    <row r="234" spans="1:10">
      <c r="A234" s="3">
        <v>27</v>
      </c>
      <c r="B234" t="s">
        <v>186</v>
      </c>
      <c r="C234" t="s">
        <v>8</v>
      </c>
      <c r="E234" s="3">
        <f t="shared" si="9"/>
        <v>4</v>
      </c>
      <c r="F234" s="5">
        <v>44063.625</v>
      </c>
      <c r="G234" s="19" t="str">
        <f t="shared" si="10"/>
        <v/>
      </c>
      <c r="J234" s="28">
        <f t="shared" si="11"/>
        <v>0.28571428571428581</v>
      </c>
    </row>
    <row r="235" spans="1:10">
      <c r="A235" s="3">
        <v>25</v>
      </c>
      <c r="B235" t="s">
        <v>187</v>
      </c>
      <c r="C235" t="s">
        <v>8</v>
      </c>
      <c r="E235" s="3">
        <f t="shared" si="9"/>
        <v>5</v>
      </c>
      <c r="F235" s="5">
        <v>44064.625</v>
      </c>
      <c r="G235" s="19" t="str">
        <f t="shared" si="10"/>
        <v/>
      </c>
      <c r="J235" s="28">
        <f t="shared" si="11"/>
        <v>-7.407407407407407E-2</v>
      </c>
    </row>
    <row r="236" spans="1:10">
      <c r="A236" s="3">
        <v>16</v>
      </c>
      <c r="B236" t="s">
        <v>188</v>
      </c>
      <c r="C236" t="s">
        <v>8</v>
      </c>
      <c r="E236" s="3">
        <f t="shared" si="9"/>
        <v>6</v>
      </c>
      <c r="F236" s="5">
        <v>44065.625</v>
      </c>
      <c r="G236" s="19" t="str">
        <f t="shared" si="10"/>
        <v/>
      </c>
      <c r="J236" s="28">
        <f t="shared" si="11"/>
        <v>0.14285714285714279</v>
      </c>
    </row>
    <row r="237" spans="1:10">
      <c r="A237" s="3">
        <v>11</v>
      </c>
      <c r="B237" t="s">
        <v>189</v>
      </c>
      <c r="C237" t="s">
        <v>8</v>
      </c>
      <c r="E237" s="3">
        <f t="shared" si="9"/>
        <v>7</v>
      </c>
      <c r="F237" s="5">
        <v>44066.625</v>
      </c>
      <c r="G237" s="19" t="str">
        <f t="shared" si="10"/>
        <v/>
      </c>
      <c r="J237" s="28">
        <f t="shared" si="11"/>
        <v>-0.7441860465116279</v>
      </c>
    </row>
    <row r="238" spans="1:10">
      <c r="A238" s="3">
        <v>17</v>
      </c>
      <c r="B238" t="s">
        <v>190</v>
      </c>
      <c r="C238" t="s">
        <v>8</v>
      </c>
      <c r="E238" s="3">
        <f t="shared" si="9"/>
        <v>1</v>
      </c>
      <c r="F238" s="5">
        <v>44067.625</v>
      </c>
      <c r="G238" s="19" t="str">
        <f t="shared" si="10"/>
        <v>2020-W35</v>
      </c>
      <c r="H238">
        <f>SUM(A238:A244)</f>
        <v>156</v>
      </c>
      <c r="I238" s="28">
        <f>H238/H231-1</f>
        <v>-0.1875</v>
      </c>
      <c r="J238" s="28">
        <f t="shared" si="11"/>
        <v>-0.37037037037037035</v>
      </c>
    </row>
    <row r="239" spans="1:10">
      <c r="A239" s="3">
        <v>15</v>
      </c>
      <c r="B239" t="s">
        <v>191</v>
      </c>
      <c r="C239" t="s">
        <v>8</v>
      </c>
      <c r="E239" s="3">
        <f t="shared" si="9"/>
        <v>2</v>
      </c>
      <c r="F239" s="5">
        <v>44068.625</v>
      </c>
      <c r="G239" s="19" t="str">
        <f t="shared" si="10"/>
        <v/>
      </c>
      <c r="J239" s="28">
        <f t="shared" si="11"/>
        <v>-0.61538461538461542</v>
      </c>
    </row>
    <row r="240" spans="1:10">
      <c r="A240" s="3">
        <v>20</v>
      </c>
      <c r="B240" t="s">
        <v>192</v>
      </c>
      <c r="C240" t="s">
        <v>8</v>
      </c>
      <c r="E240" s="3">
        <f t="shared" si="9"/>
        <v>3</v>
      </c>
      <c r="F240" s="5">
        <v>44069.625</v>
      </c>
      <c r="G240" s="19" t="str">
        <f t="shared" si="10"/>
        <v/>
      </c>
      <c r="J240" s="28">
        <f t="shared" si="11"/>
        <v>-0.57446808510638303</v>
      </c>
    </row>
    <row r="241" spans="1:10">
      <c r="A241" s="3">
        <v>32</v>
      </c>
      <c r="B241" t="s">
        <v>193</v>
      </c>
      <c r="C241" t="s">
        <v>8</v>
      </c>
      <c r="E241" s="3">
        <f t="shared" si="9"/>
        <v>4</v>
      </c>
      <c r="F241" s="5">
        <v>44070.625</v>
      </c>
      <c r="G241" s="19" t="str">
        <f t="shared" si="10"/>
        <v/>
      </c>
      <c r="J241" s="28">
        <f t="shared" si="11"/>
        <v>0.18518518518518512</v>
      </c>
    </row>
    <row r="242" spans="1:10">
      <c r="A242" s="3">
        <v>35</v>
      </c>
      <c r="B242" t="s">
        <v>194</v>
      </c>
      <c r="C242" t="s">
        <v>8</v>
      </c>
      <c r="E242" s="3">
        <f t="shared" si="9"/>
        <v>5</v>
      </c>
      <c r="F242" s="5">
        <v>44071.625</v>
      </c>
      <c r="G242" s="19" t="str">
        <f t="shared" si="10"/>
        <v/>
      </c>
      <c r="J242" s="28">
        <f t="shared" si="11"/>
        <v>0.39999999999999991</v>
      </c>
    </row>
    <row r="243" spans="1:10">
      <c r="A243" s="3">
        <v>19</v>
      </c>
      <c r="B243" t="s">
        <v>195</v>
      </c>
      <c r="C243" t="s">
        <v>8</v>
      </c>
      <c r="E243" s="3">
        <f t="shared" si="9"/>
        <v>6</v>
      </c>
      <c r="F243" s="5">
        <v>44072.625</v>
      </c>
      <c r="G243" s="19" t="str">
        <f t="shared" si="10"/>
        <v/>
      </c>
      <c r="J243" s="28">
        <f t="shared" si="11"/>
        <v>0.1875</v>
      </c>
    </row>
    <row r="244" spans="1:10">
      <c r="A244" s="3">
        <v>18</v>
      </c>
      <c r="B244" t="s">
        <v>196</v>
      </c>
      <c r="C244" t="s">
        <v>8</v>
      </c>
      <c r="E244" s="3">
        <f t="shared" si="9"/>
        <v>7</v>
      </c>
      <c r="F244" s="5">
        <v>44073.625</v>
      </c>
      <c r="G244" s="19" t="str">
        <f t="shared" si="10"/>
        <v/>
      </c>
      <c r="J244" s="28">
        <f t="shared" si="11"/>
        <v>0.63636363636363646</v>
      </c>
    </row>
    <row r="245" spans="1:10">
      <c r="A245" s="3">
        <v>48</v>
      </c>
      <c r="B245" t="s">
        <v>197</v>
      </c>
      <c r="C245" t="s">
        <v>8</v>
      </c>
      <c r="E245" s="3">
        <f t="shared" si="9"/>
        <v>1</v>
      </c>
      <c r="F245" s="5">
        <v>44074.625</v>
      </c>
      <c r="G245" s="19" t="str">
        <f t="shared" si="10"/>
        <v>2020-W36</v>
      </c>
      <c r="H245">
        <f>SUM(A245:A251)</f>
        <v>235</v>
      </c>
      <c r="I245" s="28">
        <f>H245/H238-1</f>
        <v>0.50641025641025639</v>
      </c>
      <c r="J245" s="28">
        <f t="shared" si="11"/>
        <v>1.8235294117647061</v>
      </c>
    </row>
    <row r="246" spans="1:10">
      <c r="A246" s="3">
        <v>29</v>
      </c>
      <c r="B246" t="s">
        <v>198</v>
      </c>
      <c r="C246" t="s">
        <v>8</v>
      </c>
      <c r="E246" s="3">
        <f t="shared" si="9"/>
        <v>2</v>
      </c>
      <c r="F246" s="5">
        <v>44075.625</v>
      </c>
      <c r="G246" s="19" t="str">
        <f t="shared" si="10"/>
        <v/>
      </c>
      <c r="J246" s="28">
        <f t="shared" si="11"/>
        <v>0.93333333333333335</v>
      </c>
    </row>
    <row r="247" spans="1:10">
      <c r="A247" s="3">
        <v>26</v>
      </c>
      <c r="B247" t="s">
        <v>199</v>
      </c>
      <c r="C247" t="s">
        <v>8</v>
      </c>
      <c r="E247" s="3">
        <f t="shared" si="9"/>
        <v>3</v>
      </c>
      <c r="F247" s="5">
        <v>44076.625</v>
      </c>
      <c r="G247" s="19" t="str">
        <f t="shared" si="10"/>
        <v/>
      </c>
      <c r="J247" s="28">
        <f t="shared" si="11"/>
        <v>0.30000000000000004</v>
      </c>
    </row>
    <row r="248" spans="1:10">
      <c r="A248" s="3">
        <v>35</v>
      </c>
      <c r="B248" t="s">
        <v>200</v>
      </c>
      <c r="C248" t="s">
        <v>8</v>
      </c>
      <c r="E248" s="3">
        <f t="shared" si="9"/>
        <v>4</v>
      </c>
      <c r="F248" s="5">
        <v>44077.625</v>
      </c>
      <c r="G248" s="19" t="str">
        <f t="shared" si="10"/>
        <v/>
      </c>
      <c r="J248" s="28">
        <f t="shared" si="11"/>
        <v>9.375E-2</v>
      </c>
    </row>
    <row r="249" spans="1:10">
      <c r="A249" s="3">
        <v>42</v>
      </c>
      <c r="B249" t="s">
        <v>201</v>
      </c>
      <c r="C249" t="s">
        <v>8</v>
      </c>
      <c r="E249" s="3">
        <f t="shared" si="9"/>
        <v>5</v>
      </c>
      <c r="F249" s="5">
        <v>44078.625</v>
      </c>
      <c r="G249" s="19" t="str">
        <f t="shared" si="10"/>
        <v/>
      </c>
      <c r="J249" s="28">
        <f t="shared" si="11"/>
        <v>0.19999999999999996</v>
      </c>
    </row>
    <row r="250" spans="1:10">
      <c r="A250" s="3">
        <v>22</v>
      </c>
      <c r="B250" t="s">
        <v>202</v>
      </c>
      <c r="C250" t="s">
        <v>8</v>
      </c>
      <c r="E250" s="3">
        <f t="shared" si="9"/>
        <v>6</v>
      </c>
      <c r="F250" s="5">
        <v>44079.625</v>
      </c>
      <c r="G250" s="19" t="str">
        <f t="shared" si="10"/>
        <v/>
      </c>
      <c r="J250" s="28">
        <f t="shared" si="11"/>
        <v>0.15789473684210531</v>
      </c>
    </row>
    <row r="251" spans="1:10">
      <c r="A251" s="3">
        <v>33</v>
      </c>
      <c r="B251" t="s">
        <v>203</v>
      </c>
      <c r="C251" t="s">
        <v>8</v>
      </c>
      <c r="E251" s="3">
        <f t="shared" si="9"/>
        <v>7</v>
      </c>
      <c r="F251" s="5">
        <v>44080.625</v>
      </c>
      <c r="G251" s="19" t="str">
        <f t="shared" si="10"/>
        <v/>
      </c>
      <c r="J251" s="28">
        <f t="shared" si="11"/>
        <v>0.83333333333333326</v>
      </c>
    </row>
    <row r="252" spans="1:10">
      <c r="A252" s="3">
        <v>45</v>
      </c>
      <c r="B252" t="s">
        <v>204</v>
      </c>
      <c r="C252" t="s">
        <v>8</v>
      </c>
      <c r="E252" s="3">
        <f t="shared" si="9"/>
        <v>1</v>
      </c>
      <c r="F252" s="5">
        <v>44081.625</v>
      </c>
      <c r="G252" s="19" t="str">
        <f t="shared" si="10"/>
        <v>2020-W37</v>
      </c>
      <c r="H252">
        <f>SUM(A252:A258)</f>
        <v>355</v>
      </c>
      <c r="I252" s="28">
        <f>H252/H245-1</f>
        <v>0.5106382978723405</v>
      </c>
      <c r="J252" s="28">
        <f t="shared" si="11"/>
        <v>-6.25E-2</v>
      </c>
    </row>
    <row r="253" spans="1:10">
      <c r="A253" s="3">
        <v>57</v>
      </c>
      <c r="B253" t="s">
        <v>205</v>
      </c>
      <c r="C253" t="s">
        <v>8</v>
      </c>
      <c r="E253" s="3">
        <f t="shared" si="9"/>
        <v>2</v>
      </c>
      <c r="F253" s="5">
        <v>44082.625</v>
      </c>
      <c r="G253" s="19" t="str">
        <f t="shared" si="10"/>
        <v/>
      </c>
      <c r="J253" s="28">
        <f t="shared" si="11"/>
        <v>0.96551724137931028</v>
      </c>
    </row>
    <row r="254" spans="1:10">
      <c r="A254" s="3">
        <v>55</v>
      </c>
      <c r="B254" t="s">
        <v>206</v>
      </c>
      <c r="C254" t="s">
        <v>8</v>
      </c>
      <c r="E254" s="3">
        <f t="shared" si="9"/>
        <v>3</v>
      </c>
      <c r="F254" s="5">
        <v>44083.625</v>
      </c>
      <c r="G254" s="19" t="str">
        <f t="shared" si="10"/>
        <v/>
      </c>
      <c r="J254" s="28">
        <f t="shared" si="11"/>
        <v>1.1153846153846154</v>
      </c>
    </row>
    <row r="255" spans="1:10">
      <c r="A255" s="3">
        <v>54</v>
      </c>
      <c r="B255" t="s">
        <v>207</v>
      </c>
      <c r="C255" t="s">
        <v>8</v>
      </c>
      <c r="E255" s="3">
        <f t="shared" si="9"/>
        <v>4</v>
      </c>
      <c r="F255" s="5">
        <v>44084.625</v>
      </c>
      <c r="G255" s="19" t="str">
        <f t="shared" si="10"/>
        <v/>
      </c>
      <c r="J255" s="28">
        <f t="shared" si="11"/>
        <v>0.54285714285714293</v>
      </c>
    </row>
    <row r="256" spans="1:10">
      <c r="A256" s="3">
        <v>58</v>
      </c>
      <c r="B256" t="s">
        <v>208</v>
      </c>
      <c r="C256" t="s">
        <v>8</v>
      </c>
      <c r="E256" s="3">
        <f t="shared" si="9"/>
        <v>5</v>
      </c>
      <c r="F256" s="5">
        <v>44085.625</v>
      </c>
      <c r="G256" s="19" t="str">
        <f t="shared" si="10"/>
        <v/>
      </c>
      <c r="J256" s="28">
        <f t="shared" si="11"/>
        <v>0.38095238095238093</v>
      </c>
    </row>
    <row r="257" spans="1:10">
      <c r="A257" s="3">
        <v>40</v>
      </c>
      <c r="B257" t="s">
        <v>209</v>
      </c>
      <c r="C257" t="s">
        <v>8</v>
      </c>
      <c r="E257" s="3">
        <f t="shared" si="9"/>
        <v>6</v>
      </c>
      <c r="F257" s="5">
        <v>44086.625</v>
      </c>
      <c r="G257" s="19" t="str">
        <f t="shared" si="10"/>
        <v/>
      </c>
      <c r="J257" s="28">
        <f t="shared" si="11"/>
        <v>0.81818181818181812</v>
      </c>
    </row>
    <row r="258" spans="1:10">
      <c r="A258" s="3">
        <v>46</v>
      </c>
      <c r="B258" t="s">
        <v>210</v>
      </c>
      <c r="C258" t="s">
        <v>8</v>
      </c>
      <c r="E258" s="3">
        <f t="shared" si="9"/>
        <v>7</v>
      </c>
      <c r="F258" s="5">
        <v>44087.625</v>
      </c>
      <c r="G258" s="19" t="str">
        <f t="shared" si="10"/>
        <v/>
      </c>
      <c r="J258" s="28">
        <f t="shared" si="11"/>
        <v>0.39393939393939403</v>
      </c>
    </row>
    <row r="259" spans="1:10">
      <c r="A259" s="3">
        <v>59</v>
      </c>
      <c r="B259" t="s">
        <v>211</v>
      </c>
      <c r="C259" t="s">
        <v>8</v>
      </c>
      <c r="E259" s="3">
        <f t="shared" ref="E259:E324" si="12">WEEKDAY(F259,2)</f>
        <v>1</v>
      </c>
      <c r="F259" s="5">
        <v>44088.625</v>
      </c>
      <c r="G259" s="19" t="str">
        <f t="shared" ref="G259:G322" si="13">IF(WEEKDAY(F259,2)=1,YEAR(F259)&amp;"-W"&amp;TEXT(WEEKNUM(F259,14),"00"),"")</f>
        <v>2020-W38</v>
      </c>
      <c r="H259">
        <f>SUM(A259:A265)</f>
        <v>469</v>
      </c>
      <c r="I259" s="28">
        <f>H259/H252-1</f>
        <v>0.3211267605633803</v>
      </c>
      <c r="J259" s="28">
        <f t="shared" si="11"/>
        <v>0.31111111111111112</v>
      </c>
    </row>
    <row r="260" spans="1:10">
      <c r="A260" s="3">
        <v>53</v>
      </c>
      <c r="B260" t="s">
        <v>212</v>
      </c>
      <c r="C260" t="s">
        <v>8</v>
      </c>
      <c r="E260" s="3">
        <f t="shared" si="12"/>
        <v>2</v>
      </c>
      <c r="F260" s="5">
        <v>44089.625</v>
      </c>
      <c r="G260" s="19" t="str">
        <f t="shared" si="13"/>
        <v/>
      </c>
      <c r="J260" s="28">
        <f t="shared" si="11"/>
        <v>-7.0175438596491224E-2</v>
      </c>
    </row>
    <row r="261" spans="1:10">
      <c r="A261" s="3">
        <v>57</v>
      </c>
      <c r="B261" t="s">
        <v>213</v>
      </c>
      <c r="C261" t="s">
        <v>8</v>
      </c>
      <c r="E261" s="3">
        <f t="shared" si="12"/>
        <v>3</v>
      </c>
      <c r="F261" s="5">
        <v>44090.625</v>
      </c>
      <c r="G261" s="19" t="str">
        <f t="shared" si="13"/>
        <v/>
      </c>
      <c r="J261" s="28">
        <f t="shared" si="11"/>
        <v>3.6363636363636376E-2</v>
      </c>
    </row>
    <row r="262" spans="1:10">
      <c r="A262" s="3">
        <v>85</v>
      </c>
      <c r="B262" t="s">
        <v>214</v>
      </c>
      <c r="C262" t="s">
        <v>8</v>
      </c>
      <c r="E262" s="3">
        <f t="shared" si="12"/>
        <v>4</v>
      </c>
      <c r="F262" s="5">
        <v>44091.625</v>
      </c>
      <c r="G262" s="19" t="str">
        <f t="shared" si="13"/>
        <v/>
      </c>
      <c r="J262" s="28">
        <f t="shared" si="11"/>
        <v>0.57407407407407418</v>
      </c>
    </row>
    <row r="263" spans="1:10">
      <c r="A263" s="3">
        <v>77</v>
      </c>
      <c r="B263" t="s">
        <v>215</v>
      </c>
      <c r="C263" t="s">
        <v>8</v>
      </c>
      <c r="E263" s="3">
        <f t="shared" si="12"/>
        <v>5</v>
      </c>
      <c r="F263" s="5">
        <v>44092.625</v>
      </c>
      <c r="G263" s="19" t="str">
        <f t="shared" si="13"/>
        <v/>
      </c>
      <c r="J263" s="28">
        <f t="shared" si="11"/>
        <v>0.32758620689655182</v>
      </c>
    </row>
    <row r="264" spans="1:10">
      <c r="A264" s="3">
        <v>64</v>
      </c>
      <c r="B264" t="s">
        <v>216</v>
      </c>
      <c r="C264" t="s">
        <v>8</v>
      </c>
      <c r="E264" s="3">
        <f t="shared" si="12"/>
        <v>6</v>
      </c>
      <c r="F264" s="5">
        <v>44093.625</v>
      </c>
      <c r="G264" s="19" t="str">
        <f t="shared" si="13"/>
        <v/>
      </c>
      <c r="J264" s="28">
        <f t="shared" si="11"/>
        <v>0.60000000000000009</v>
      </c>
    </row>
    <row r="265" spans="1:10">
      <c r="A265" s="3">
        <v>74</v>
      </c>
      <c r="B265" t="s">
        <v>217</v>
      </c>
      <c r="C265" t="s">
        <v>8</v>
      </c>
      <c r="E265" s="3">
        <f t="shared" si="12"/>
        <v>7</v>
      </c>
      <c r="F265" s="5">
        <v>44094.625</v>
      </c>
      <c r="G265" s="19" t="str">
        <f t="shared" si="13"/>
        <v/>
      </c>
      <c r="J265" s="28">
        <f t="shared" ref="J265:J328" si="14">A265/A258-1</f>
        <v>0.60869565217391308</v>
      </c>
    </row>
    <row r="266" spans="1:10">
      <c r="A266" s="3">
        <v>120</v>
      </c>
      <c r="B266" t="s">
        <v>218</v>
      </c>
      <c r="C266" t="s">
        <v>8</v>
      </c>
      <c r="E266" s="3">
        <f t="shared" si="12"/>
        <v>1</v>
      </c>
      <c r="F266" s="5">
        <v>44095.625</v>
      </c>
      <c r="G266" s="19" t="str">
        <f t="shared" si="13"/>
        <v>2020-W39</v>
      </c>
      <c r="H266">
        <f>SUM(A266:A272)</f>
        <v>717</v>
      </c>
      <c r="I266" s="28">
        <f>H266/H259-1</f>
        <v>0.52878464818763327</v>
      </c>
      <c r="J266" s="28">
        <f t="shared" si="14"/>
        <v>1.0338983050847457</v>
      </c>
    </row>
    <row r="267" spans="1:10">
      <c r="A267" s="3">
        <v>110</v>
      </c>
      <c r="B267" t="s">
        <v>219</v>
      </c>
      <c r="C267" t="s">
        <v>8</v>
      </c>
      <c r="E267" s="3">
        <f t="shared" si="12"/>
        <v>2</v>
      </c>
      <c r="F267" s="5">
        <v>44096.625</v>
      </c>
      <c r="G267" s="19" t="str">
        <f t="shared" si="13"/>
        <v/>
      </c>
      <c r="J267" s="28">
        <f t="shared" si="14"/>
        <v>1.0754716981132075</v>
      </c>
    </row>
    <row r="268" spans="1:10">
      <c r="A268" s="3">
        <v>117</v>
      </c>
      <c r="B268" t="s">
        <v>220</v>
      </c>
      <c r="C268" t="s">
        <v>8</v>
      </c>
      <c r="E268" s="3">
        <f t="shared" si="12"/>
        <v>3</v>
      </c>
      <c r="F268" s="5">
        <v>44097.625</v>
      </c>
      <c r="G268" s="19" t="str">
        <f t="shared" si="13"/>
        <v/>
      </c>
      <c r="J268" s="28">
        <f t="shared" si="14"/>
        <v>1.0526315789473686</v>
      </c>
    </row>
    <row r="269" spans="1:10">
      <c r="A269" s="3">
        <v>98</v>
      </c>
      <c r="B269" t="s">
        <v>221</v>
      </c>
      <c r="C269" t="s">
        <v>8</v>
      </c>
      <c r="E269" s="3">
        <f t="shared" si="12"/>
        <v>4</v>
      </c>
      <c r="F269" s="5">
        <v>44098.625</v>
      </c>
      <c r="G269" s="19" t="str">
        <f t="shared" si="13"/>
        <v/>
      </c>
      <c r="J269" s="28">
        <f t="shared" si="14"/>
        <v>0.15294117647058814</v>
      </c>
    </row>
    <row r="270" spans="1:10">
      <c r="A270" s="3">
        <v>128</v>
      </c>
      <c r="B270" t="s">
        <v>222</v>
      </c>
      <c r="C270" t="s">
        <v>8</v>
      </c>
      <c r="E270" s="3">
        <f t="shared" si="12"/>
        <v>5</v>
      </c>
      <c r="F270" s="5">
        <v>44099.625</v>
      </c>
      <c r="G270" s="19" t="str">
        <f t="shared" si="13"/>
        <v/>
      </c>
      <c r="J270" s="28">
        <f t="shared" si="14"/>
        <v>0.66233766233766245</v>
      </c>
    </row>
    <row r="271" spans="1:10">
      <c r="A271" s="3">
        <v>74</v>
      </c>
      <c r="B271" t="s">
        <v>223</v>
      </c>
      <c r="C271" t="s">
        <v>8</v>
      </c>
      <c r="E271" s="3">
        <f t="shared" si="12"/>
        <v>6</v>
      </c>
      <c r="F271" s="5">
        <v>44100.625</v>
      </c>
      <c r="G271" s="19" t="str">
        <f t="shared" si="13"/>
        <v/>
      </c>
      <c r="J271" s="28">
        <f t="shared" si="14"/>
        <v>0.15625</v>
      </c>
    </row>
    <row r="272" spans="1:10">
      <c r="A272" s="3">
        <v>70</v>
      </c>
      <c r="B272" t="s">
        <v>224</v>
      </c>
      <c r="C272" t="s">
        <v>8</v>
      </c>
      <c r="E272" s="3">
        <f t="shared" si="12"/>
        <v>7</v>
      </c>
      <c r="F272" s="5">
        <v>44101.625</v>
      </c>
      <c r="G272" s="19" t="str">
        <f t="shared" si="13"/>
        <v/>
      </c>
      <c r="J272" s="28">
        <f t="shared" si="14"/>
        <v>-5.4054054054054057E-2</v>
      </c>
    </row>
    <row r="273" spans="1:10">
      <c r="A273" s="3">
        <v>124</v>
      </c>
      <c r="B273" t="s">
        <v>225</v>
      </c>
      <c r="C273" t="s">
        <v>8</v>
      </c>
      <c r="E273" s="3">
        <f t="shared" si="12"/>
        <v>1</v>
      </c>
      <c r="F273" s="5">
        <v>44102.625</v>
      </c>
      <c r="G273" s="19" t="str">
        <f t="shared" si="13"/>
        <v>2020-W40</v>
      </c>
      <c r="H273">
        <f>SUM(A273:A279)</f>
        <v>1129</v>
      </c>
      <c r="I273" s="28">
        <f>H273/H266-1</f>
        <v>0.57461645746164569</v>
      </c>
      <c r="J273" s="28">
        <f t="shared" si="14"/>
        <v>3.3333333333333437E-2</v>
      </c>
    </row>
    <row r="274" spans="1:10">
      <c r="A274" s="3">
        <v>134</v>
      </c>
      <c r="B274" t="s">
        <v>226</v>
      </c>
      <c r="C274" t="s">
        <v>8</v>
      </c>
      <c r="E274" s="3">
        <f t="shared" si="12"/>
        <v>2</v>
      </c>
      <c r="F274" s="5">
        <v>44103.625</v>
      </c>
      <c r="G274" s="19" t="str">
        <f t="shared" si="13"/>
        <v/>
      </c>
      <c r="J274" s="28">
        <f t="shared" si="14"/>
        <v>0.21818181818181825</v>
      </c>
    </row>
    <row r="275" spans="1:10">
      <c r="A275" s="3">
        <v>167</v>
      </c>
      <c r="B275" t="s">
        <v>228</v>
      </c>
      <c r="C275" t="s">
        <v>8</v>
      </c>
      <c r="E275" s="3">
        <f t="shared" si="12"/>
        <v>3</v>
      </c>
      <c r="F275" s="5">
        <v>44104.625</v>
      </c>
      <c r="G275" s="19" t="str">
        <f t="shared" si="13"/>
        <v/>
      </c>
      <c r="J275" s="28">
        <f t="shared" si="14"/>
        <v>0.42735042735042739</v>
      </c>
    </row>
    <row r="276" spans="1:10">
      <c r="A276" s="3">
        <v>191</v>
      </c>
      <c r="B276" t="s">
        <v>230</v>
      </c>
      <c r="C276" t="s">
        <v>8</v>
      </c>
      <c r="E276" s="3">
        <f t="shared" si="12"/>
        <v>4</v>
      </c>
      <c r="F276" s="5">
        <v>44105.625</v>
      </c>
      <c r="G276" s="19" t="str">
        <f t="shared" si="13"/>
        <v/>
      </c>
      <c r="J276" s="28">
        <f t="shared" si="14"/>
        <v>0.94897959183673475</v>
      </c>
    </row>
    <row r="277" spans="1:10">
      <c r="A277" s="3">
        <v>187</v>
      </c>
      <c r="B277" t="s">
        <v>231</v>
      </c>
      <c r="C277" t="s">
        <v>8</v>
      </c>
      <c r="E277" s="3">
        <f t="shared" si="12"/>
        <v>5</v>
      </c>
      <c r="F277" s="5">
        <v>44106.625</v>
      </c>
      <c r="G277" s="19" t="str">
        <f t="shared" si="13"/>
        <v/>
      </c>
      <c r="J277" s="28">
        <f t="shared" si="14"/>
        <v>0.4609375</v>
      </c>
    </row>
    <row r="278" spans="1:10">
      <c r="A278" s="3">
        <v>178</v>
      </c>
      <c r="B278" t="s">
        <v>233</v>
      </c>
      <c r="C278" t="s">
        <v>8</v>
      </c>
      <c r="E278" s="3">
        <f t="shared" si="12"/>
        <v>6</v>
      </c>
      <c r="F278" s="5">
        <v>44107.625</v>
      </c>
      <c r="G278" s="19" t="str">
        <f t="shared" si="13"/>
        <v/>
      </c>
      <c r="J278" s="28">
        <f t="shared" si="14"/>
        <v>1.4054054054054053</v>
      </c>
    </row>
    <row r="279" spans="1:10">
      <c r="A279" s="3">
        <v>148</v>
      </c>
      <c r="B279" t="s">
        <v>292</v>
      </c>
      <c r="C279" t="s">
        <v>8</v>
      </c>
      <c r="E279" s="3">
        <f t="shared" si="12"/>
        <v>7</v>
      </c>
      <c r="F279" s="5">
        <v>44108.625</v>
      </c>
      <c r="G279" s="19" t="str">
        <f t="shared" si="13"/>
        <v/>
      </c>
      <c r="J279" s="28">
        <f t="shared" si="14"/>
        <v>1.1142857142857143</v>
      </c>
    </row>
    <row r="280" spans="1:10" s="10" customFormat="1">
      <c r="A280" s="14">
        <v>291</v>
      </c>
      <c r="B280" s="10" t="s">
        <v>293</v>
      </c>
      <c r="C280" s="10" t="s">
        <v>8</v>
      </c>
      <c r="E280" s="14">
        <f t="shared" si="12"/>
        <v>1</v>
      </c>
      <c r="F280" s="18">
        <v>44109.625</v>
      </c>
      <c r="G280" s="19" t="str">
        <f t="shared" si="13"/>
        <v>2020-W41</v>
      </c>
      <c r="H280">
        <f>SUM(A280:A286)</f>
        <v>1625</v>
      </c>
      <c r="I280" s="28">
        <f>H280/H273-1</f>
        <v>0.43932683790965465</v>
      </c>
      <c r="J280" s="28">
        <f t="shared" si="14"/>
        <v>1.346774193548387</v>
      </c>
    </row>
    <row r="281" spans="1:10">
      <c r="A281" s="3">
        <v>302</v>
      </c>
      <c r="B281" t="s">
        <v>294</v>
      </c>
      <c r="C281" t="s">
        <v>8</v>
      </c>
      <c r="E281" s="3">
        <f t="shared" si="12"/>
        <v>2</v>
      </c>
      <c r="F281" s="5">
        <v>44110.625</v>
      </c>
      <c r="G281" s="19" t="str">
        <f t="shared" si="13"/>
        <v/>
      </c>
      <c r="J281" s="28">
        <f t="shared" si="14"/>
        <v>1.2537313432835822</v>
      </c>
    </row>
    <row r="282" spans="1:10" s="41" customFormat="1">
      <c r="A282" s="40">
        <v>306</v>
      </c>
      <c r="B282" s="41" t="s">
        <v>295</v>
      </c>
      <c r="C282" s="41" t="s">
        <v>8</v>
      </c>
      <c r="E282" s="40">
        <f t="shared" si="12"/>
        <v>3</v>
      </c>
      <c r="F282" s="42">
        <v>44111.625</v>
      </c>
      <c r="G282" s="43" t="str">
        <f t="shared" si="13"/>
        <v/>
      </c>
      <c r="J282" s="44">
        <f t="shared" si="14"/>
        <v>0.83233532934131738</v>
      </c>
    </row>
    <row r="283" spans="1:10">
      <c r="A283" s="3">
        <v>259</v>
      </c>
      <c r="B283" t="s">
        <v>296</v>
      </c>
      <c r="C283" t="s">
        <v>8</v>
      </c>
      <c r="E283" s="3">
        <f t="shared" si="12"/>
        <v>4</v>
      </c>
      <c r="F283" s="5">
        <v>44112.625</v>
      </c>
      <c r="G283" s="19" t="str">
        <f t="shared" si="13"/>
        <v/>
      </c>
      <c r="J283" s="28">
        <f t="shared" si="14"/>
        <v>0.35602094240837689</v>
      </c>
    </row>
    <row r="284" spans="1:10">
      <c r="A284" s="3">
        <v>226</v>
      </c>
      <c r="B284" t="s">
        <v>297</v>
      </c>
      <c r="C284" t="s">
        <v>8</v>
      </c>
      <c r="E284" s="3">
        <f t="shared" si="12"/>
        <v>5</v>
      </c>
      <c r="F284" s="5">
        <v>44113.625</v>
      </c>
      <c r="G284" s="19" t="str">
        <f t="shared" si="13"/>
        <v/>
      </c>
      <c r="J284" s="28">
        <f t="shared" si="14"/>
        <v>0.20855614973262027</v>
      </c>
    </row>
    <row r="285" spans="1:10">
      <c r="A285" s="3">
        <v>110</v>
      </c>
      <c r="B285" t="s">
        <v>300</v>
      </c>
      <c r="C285" t="s">
        <v>8</v>
      </c>
      <c r="E285" s="3">
        <f t="shared" si="12"/>
        <v>6</v>
      </c>
      <c r="F285" s="5">
        <v>44114.625</v>
      </c>
      <c r="G285" s="19" t="str">
        <f t="shared" si="13"/>
        <v/>
      </c>
      <c r="J285" s="28">
        <f t="shared" si="14"/>
        <v>-0.3820224719101124</v>
      </c>
    </row>
    <row r="286" spans="1:10">
      <c r="A286" s="3">
        <v>131</v>
      </c>
      <c r="B286" t="s">
        <v>301</v>
      </c>
      <c r="C286" t="s">
        <v>8</v>
      </c>
      <c r="E286" s="3">
        <f t="shared" si="12"/>
        <v>7</v>
      </c>
      <c r="F286" s="5">
        <v>44115.625</v>
      </c>
      <c r="G286" s="19" t="str">
        <f t="shared" si="13"/>
        <v/>
      </c>
      <c r="J286" s="28">
        <f t="shared" si="14"/>
        <v>-0.11486486486486491</v>
      </c>
    </row>
    <row r="287" spans="1:10" s="10" customFormat="1">
      <c r="A287" s="14">
        <v>256</v>
      </c>
      <c r="B287" s="10" t="s">
        <v>305</v>
      </c>
      <c r="C287" s="10" t="s">
        <v>8</v>
      </c>
      <c r="E287" s="14">
        <f t="shared" si="12"/>
        <v>1</v>
      </c>
      <c r="F287" s="18">
        <v>44116.625</v>
      </c>
      <c r="G287" s="19" t="str">
        <f t="shared" si="13"/>
        <v>2020-W42</v>
      </c>
      <c r="H287">
        <f>SUM(A287:A293)</f>
        <v>1275</v>
      </c>
      <c r="I287" s="28">
        <f>H287/H280-1</f>
        <v>-0.2153846153846154</v>
      </c>
      <c r="J287" s="28">
        <f t="shared" si="14"/>
        <v>-0.1202749140893471</v>
      </c>
    </row>
    <row r="288" spans="1:10">
      <c r="A288" s="3">
        <v>199</v>
      </c>
      <c r="B288" t="s">
        <v>306</v>
      </c>
      <c r="C288" t="s">
        <v>8</v>
      </c>
      <c r="E288" s="3">
        <f t="shared" si="12"/>
        <v>2</v>
      </c>
      <c r="F288" s="5">
        <v>44117.625</v>
      </c>
      <c r="G288" s="19" t="str">
        <f t="shared" si="13"/>
        <v/>
      </c>
      <c r="J288" s="28">
        <f t="shared" si="14"/>
        <v>-0.34105960264900659</v>
      </c>
    </row>
    <row r="289" spans="1:10">
      <c r="A289" s="3">
        <v>202</v>
      </c>
      <c r="B289" t="s">
        <v>307</v>
      </c>
      <c r="C289" t="s">
        <v>8</v>
      </c>
      <c r="E289" s="3">
        <f t="shared" si="12"/>
        <v>3</v>
      </c>
      <c r="F289" s="5">
        <v>44118.625</v>
      </c>
      <c r="G289" s="19" t="str">
        <f t="shared" si="13"/>
        <v/>
      </c>
      <c r="J289" s="28">
        <f t="shared" si="14"/>
        <v>-0.33986928104575165</v>
      </c>
    </row>
    <row r="290" spans="1:10">
      <c r="A290" s="3">
        <v>190</v>
      </c>
      <c r="B290" t="s">
        <v>308</v>
      </c>
      <c r="C290" t="s">
        <v>8</v>
      </c>
      <c r="E290" s="3">
        <f t="shared" si="12"/>
        <v>4</v>
      </c>
      <c r="F290" s="5">
        <v>44119.625</v>
      </c>
      <c r="G290" s="19" t="str">
        <f t="shared" si="13"/>
        <v/>
      </c>
      <c r="J290" s="28">
        <f t="shared" si="14"/>
        <v>-0.26640926640926643</v>
      </c>
    </row>
    <row r="291" spans="1:10">
      <c r="A291" s="3">
        <v>195</v>
      </c>
      <c r="B291" t="s">
        <v>309</v>
      </c>
      <c r="C291" t="s">
        <v>8</v>
      </c>
      <c r="E291" s="3">
        <f t="shared" si="12"/>
        <v>5</v>
      </c>
      <c r="F291" s="5">
        <v>44120.625</v>
      </c>
      <c r="G291" s="19" t="str">
        <f t="shared" si="13"/>
        <v/>
      </c>
      <c r="J291" s="28">
        <f t="shared" si="14"/>
        <v>-0.13716814159292035</v>
      </c>
    </row>
    <row r="292" spans="1:10">
      <c r="A292" s="3">
        <v>104</v>
      </c>
      <c r="B292" t="s">
        <v>310</v>
      </c>
      <c r="C292" t="s">
        <v>8</v>
      </c>
      <c r="E292" s="3">
        <f t="shared" si="12"/>
        <v>6</v>
      </c>
      <c r="F292" s="5">
        <v>44121.625</v>
      </c>
      <c r="G292" s="19" t="str">
        <f t="shared" si="13"/>
        <v/>
      </c>
      <c r="J292" s="28">
        <f t="shared" si="14"/>
        <v>-5.4545454545454564E-2</v>
      </c>
    </row>
    <row r="293" spans="1:10">
      <c r="A293" s="3">
        <v>129</v>
      </c>
      <c r="B293" t="s">
        <v>311</v>
      </c>
      <c r="C293" t="s">
        <v>8</v>
      </c>
      <c r="E293" s="3">
        <f t="shared" si="12"/>
        <v>7</v>
      </c>
      <c r="F293" s="5">
        <v>44122.625</v>
      </c>
      <c r="G293" s="19" t="str">
        <f t="shared" si="13"/>
        <v/>
      </c>
      <c r="J293" s="28">
        <f t="shared" si="14"/>
        <v>-1.5267175572519109E-2</v>
      </c>
    </row>
    <row r="294" spans="1:10" s="10" customFormat="1">
      <c r="A294" s="14">
        <v>243</v>
      </c>
      <c r="B294" s="10" t="s">
        <v>312</v>
      </c>
      <c r="C294" s="10" t="s">
        <v>8</v>
      </c>
      <c r="E294" s="14">
        <f t="shared" si="12"/>
        <v>1</v>
      </c>
      <c r="F294" s="18">
        <v>44123.625</v>
      </c>
      <c r="G294" s="19" t="str">
        <f t="shared" si="13"/>
        <v>2020-W43</v>
      </c>
      <c r="H294">
        <f>SUM(A294:A300)</f>
        <v>1242</v>
      </c>
      <c r="I294" s="28">
        <f>H294/H287-1</f>
        <v>-2.5882352941176467E-2</v>
      </c>
      <c r="J294" s="28">
        <f t="shared" si="14"/>
        <v>-5.078125E-2</v>
      </c>
    </row>
    <row r="295" spans="1:10">
      <c r="A295" s="3">
        <v>167</v>
      </c>
      <c r="B295" t="s">
        <v>313</v>
      </c>
      <c r="C295" t="s">
        <v>8</v>
      </c>
      <c r="E295" s="3">
        <f t="shared" si="12"/>
        <v>2</v>
      </c>
      <c r="F295" s="5">
        <v>44124.625</v>
      </c>
      <c r="G295" s="19" t="str">
        <f t="shared" si="13"/>
        <v/>
      </c>
      <c r="J295" s="28">
        <f t="shared" si="14"/>
        <v>-0.16080402010050254</v>
      </c>
    </row>
    <row r="296" spans="1:10">
      <c r="A296" s="3">
        <v>188</v>
      </c>
      <c r="B296" t="s">
        <v>314</v>
      </c>
      <c r="C296" t="s">
        <v>8</v>
      </c>
      <c r="E296" s="3">
        <f t="shared" si="12"/>
        <v>3</v>
      </c>
      <c r="F296" s="5">
        <v>44125.625</v>
      </c>
      <c r="G296" s="19" t="str">
        <f t="shared" si="13"/>
        <v/>
      </c>
      <c r="J296" s="28">
        <f t="shared" si="14"/>
        <v>-6.9306930693069257E-2</v>
      </c>
    </row>
    <row r="297" spans="1:10">
      <c r="A297" s="3">
        <v>220</v>
      </c>
      <c r="B297" t="s">
        <v>315</v>
      </c>
      <c r="C297" t="s">
        <v>8</v>
      </c>
      <c r="E297" s="3">
        <f t="shared" si="12"/>
        <v>4</v>
      </c>
      <c r="F297" s="5">
        <v>44126.625</v>
      </c>
      <c r="G297" s="19" t="str">
        <f t="shared" si="13"/>
        <v/>
      </c>
      <c r="J297" s="28">
        <f t="shared" si="14"/>
        <v>0.15789473684210531</v>
      </c>
    </row>
    <row r="298" spans="1:10">
      <c r="A298" s="3">
        <v>193</v>
      </c>
      <c r="B298" t="s">
        <v>316</v>
      </c>
      <c r="C298" t="s">
        <v>8</v>
      </c>
      <c r="E298" s="3">
        <f t="shared" si="12"/>
        <v>5</v>
      </c>
      <c r="F298" s="5">
        <v>44127.625</v>
      </c>
      <c r="G298" s="19" t="str">
        <f t="shared" si="13"/>
        <v/>
      </c>
      <c r="J298" s="28">
        <f t="shared" si="14"/>
        <v>-1.025641025641022E-2</v>
      </c>
    </row>
    <row r="299" spans="1:10">
      <c r="A299" s="3">
        <v>107</v>
      </c>
      <c r="B299" t="s">
        <v>317</v>
      </c>
      <c r="C299" t="s">
        <v>8</v>
      </c>
      <c r="E299" s="3">
        <f t="shared" si="12"/>
        <v>6</v>
      </c>
      <c r="F299" s="5">
        <v>44128.625</v>
      </c>
      <c r="G299" s="19" t="str">
        <f t="shared" si="13"/>
        <v/>
      </c>
      <c r="J299" s="28">
        <f t="shared" si="14"/>
        <v>2.8846153846153744E-2</v>
      </c>
    </row>
    <row r="300" spans="1:10">
      <c r="A300" s="3">
        <v>124</v>
      </c>
      <c r="B300" t="s">
        <v>318</v>
      </c>
      <c r="C300" t="s">
        <v>8</v>
      </c>
      <c r="E300" s="3">
        <f t="shared" si="12"/>
        <v>7</v>
      </c>
      <c r="F300" s="5">
        <v>44129.625</v>
      </c>
      <c r="G300" s="19" t="str">
        <f t="shared" si="13"/>
        <v/>
      </c>
      <c r="J300" s="28">
        <f t="shared" si="14"/>
        <v>-3.8759689922480578E-2</v>
      </c>
    </row>
    <row r="301" spans="1:10" s="10" customFormat="1">
      <c r="A301" s="14">
        <v>255</v>
      </c>
      <c r="B301" s="10" t="s">
        <v>319</v>
      </c>
      <c r="C301" s="10" t="s">
        <v>8</v>
      </c>
      <c r="E301" s="14">
        <f t="shared" si="12"/>
        <v>1</v>
      </c>
      <c r="F301" s="18">
        <v>44130.625</v>
      </c>
      <c r="G301" s="19" t="str">
        <f t="shared" si="13"/>
        <v>2020-W44</v>
      </c>
      <c r="H301">
        <f>SUM(A301:A307)</f>
        <v>1456</v>
      </c>
      <c r="I301" s="28">
        <f>H301/H294-1</f>
        <v>0.17230273752012892</v>
      </c>
      <c r="J301" s="28">
        <f t="shared" si="14"/>
        <v>4.9382716049382713E-2</v>
      </c>
    </row>
    <row r="302" spans="1:10">
      <c r="A302" s="3">
        <v>232</v>
      </c>
      <c r="B302" t="s">
        <v>320</v>
      </c>
      <c r="C302" t="s">
        <v>8</v>
      </c>
      <c r="E302" s="3">
        <f t="shared" si="12"/>
        <v>2</v>
      </c>
      <c r="F302" s="5">
        <v>44131.625</v>
      </c>
      <c r="G302" s="19" t="str">
        <f t="shared" si="13"/>
        <v/>
      </c>
      <c r="J302" s="28">
        <f t="shared" si="14"/>
        <v>0.38922155688622762</v>
      </c>
    </row>
    <row r="303" spans="1:10">
      <c r="A303" s="3">
        <v>240</v>
      </c>
      <c r="B303" t="s">
        <v>321</v>
      </c>
      <c r="C303" t="s">
        <v>8</v>
      </c>
      <c r="E303" s="3">
        <f t="shared" si="12"/>
        <v>3</v>
      </c>
      <c r="F303" s="5">
        <v>44132.625</v>
      </c>
      <c r="G303" s="19" t="str">
        <f t="shared" si="13"/>
        <v/>
      </c>
      <c r="J303" s="28">
        <f t="shared" si="14"/>
        <v>0.27659574468085113</v>
      </c>
    </row>
    <row r="304" spans="1:10">
      <c r="A304" s="3">
        <v>237</v>
      </c>
      <c r="B304" t="s">
        <v>322</v>
      </c>
      <c r="C304" t="s">
        <v>8</v>
      </c>
      <c r="E304" s="3">
        <f t="shared" si="12"/>
        <v>4</v>
      </c>
      <c r="F304" s="5">
        <v>44133.625</v>
      </c>
      <c r="G304" s="19" t="str">
        <f t="shared" si="13"/>
        <v/>
      </c>
      <c r="J304" s="28">
        <f t="shared" si="14"/>
        <v>7.7272727272727382E-2</v>
      </c>
    </row>
    <row r="305" spans="1:10">
      <c r="A305" s="3">
        <v>220</v>
      </c>
      <c r="B305" t="s">
        <v>323</v>
      </c>
      <c r="C305" t="s">
        <v>8</v>
      </c>
      <c r="E305" s="3">
        <f t="shared" si="12"/>
        <v>5</v>
      </c>
      <c r="F305" s="5">
        <v>44134.625</v>
      </c>
      <c r="G305" s="19" t="str">
        <f t="shared" si="13"/>
        <v/>
      </c>
      <c r="J305" s="28">
        <f t="shared" si="14"/>
        <v>0.13989637305699487</v>
      </c>
    </row>
    <row r="306" spans="1:10">
      <c r="A306" s="3">
        <v>121</v>
      </c>
      <c r="B306" t="s">
        <v>324</v>
      </c>
      <c r="C306" t="s">
        <v>8</v>
      </c>
      <c r="E306" s="3">
        <f t="shared" si="12"/>
        <v>6</v>
      </c>
      <c r="F306" s="5">
        <v>44135.625</v>
      </c>
      <c r="G306" s="19" t="str">
        <f t="shared" si="13"/>
        <v/>
      </c>
      <c r="J306" s="28">
        <f t="shared" si="14"/>
        <v>0.13084112149532712</v>
      </c>
    </row>
    <row r="307" spans="1:10">
      <c r="A307" s="3">
        <v>151</v>
      </c>
      <c r="B307" t="s">
        <v>325</v>
      </c>
      <c r="C307" t="s">
        <v>8</v>
      </c>
      <c r="E307" s="3">
        <f t="shared" si="12"/>
        <v>7</v>
      </c>
      <c r="F307" s="5">
        <v>44136.625</v>
      </c>
      <c r="G307" s="19" t="str">
        <f t="shared" si="13"/>
        <v/>
      </c>
      <c r="J307" s="28">
        <f t="shared" si="14"/>
        <v>0.217741935483871</v>
      </c>
    </row>
    <row r="308" spans="1:10" s="10" customFormat="1">
      <c r="A308" s="14">
        <v>287</v>
      </c>
      <c r="B308" s="10" t="s">
        <v>326</v>
      </c>
      <c r="C308" s="10" t="s">
        <v>8</v>
      </c>
      <c r="E308" s="14">
        <f t="shared" si="12"/>
        <v>1</v>
      </c>
      <c r="F308" s="18">
        <v>44137.625</v>
      </c>
      <c r="G308" s="19" t="str">
        <f t="shared" si="13"/>
        <v>2020-W45</v>
      </c>
      <c r="H308">
        <f>SUM(A308:A314)</f>
        <v>1416</v>
      </c>
      <c r="I308" s="28">
        <f>H308/H301-1</f>
        <v>-2.7472527472527486E-2</v>
      </c>
      <c r="J308" s="28">
        <f t="shared" si="14"/>
        <v>0.12549019607843137</v>
      </c>
    </row>
    <row r="309" spans="1:10">
      <c r="A309" s="3">
        <v>241</v>
      </c>
      <c r="B309" t="s">
        <v>327</v>
      </c>
      <c r="C309" t="s">
        <v>8</v>
      </c>
      <c r="E309" s="3">
        <f t="shared" si="12"/>
        <v>2</v>
      </c>
      <c r="F309" s="5">
        <v>44138.625</v>
      </c>
      <c r="G309" s="19" t="str">
        <f t="shared" si="13"/>
        <v/>
      </c>
      <c r="J309" s="28">
        <f t="shared" si="14"/>
        <v>3.8793103448275801E-2</v>
      </c>
    </row>
    <row r="310" spans="1:10">
      <c r="A310" s="3">
        <v>213</v>
      </c>
      <c r="B310" t="s">
        <v>328</v>
      </c>
      <c r="C310" t="s">
        <v>8</v>
      </c>
      <c r="E310" s="3">
        <f t="shared" si="12"/>
        <v>3</v>
      </c>
      <c r="F310" s="5">
        <v>44139.625</v>
      </c>
      <c r="G310" s="19" t="str">
        <f t="shared" si="13"/>
        <v/>
      </c>
      <c r="J310" s="28">
        <f t="shared" si="14"/>
        <v>-0.11250000000000004</v>
      </c>
    </row>
    <row r="311" spans="1:10">
      <c r="A311" s="3">
        <v>219</v>
      </c>
      <c r="B311" t="s">
        <v>329</v>
      </c>
      <c r="C311" t="s">
        <v>8</v>
      </c>
      <c r="E311" s="3">
        <f t="shared" si="12"/>
        <v>4</v>
      </c>
      <c r="F311" s="5">
        <v>44140.625</v>
      </c>
      <c r="G311" s="19" t="str">
        <f t="shared" si="13"/>
        <v/>
      </c>
      <c r="J311" s="28">
        <f t="shared" si="14"/>
        <v>-7.5949367088607556E-2</v>
      </c>
    </row>
    <row r="312" spans="1:10">
      <c r="A312" s="3">
        <v>196</v>
      </c>
      <c r="B312" t="s">
        <v>330</v>
      </c>
      <c r="C312" t="s">
        <v>8</v>
      </c>
      <c r="E312" s="3">
        <f t="shared" si="12"/>
        <v>5</v>
      </c>
      <c r="F312" s="5">
        <v>44141.625</v>
      </c>
      <c r="G312" s="19" t="str">
        <f t="shared" si="13"/>
        <v/>
      </c>
      <c r="J312" s="28">
        <f t="shared" si="14"/>
        <v>-0.10909090909090913</v>
      </c>
    </row>
    <row r="313" spans="1:10">
      <c r="A313" s="3">
        <v>128</v>
      </c>
      <c r="B313" t="s">
        <v>331</v>
      </c>
      <c r="C313" t="s">
        <v>8</v>
      </c>
      <c r="E313" s="3">
        <f t="shared" si="12"/>
        <v>6</v>
      </c>
      <c r="F313" s="5">
        <v>44142.625</v>
      </c>
      <c r="G313" s="19" t="str">
        <f t="shared" si="13"/>
        <v/>
      </c>
      <c r="J313" s="28">
        <f t="shared" si="14"/>
        <v>5.7851239669421517E-2</v>
      </c>
    </row>
    <row r="314" spans="1:10">
      <c r="A314" s="3">
        <v>132</v>
      </c>
      <c r="B314" t="s">
        <v>332</v>
      </c>
      <c r="C314" t="s">
        <v>8</v>
      </c>
      <c r="E314" s="3">
        <f t="shared" si="12"/>
        <v>7</v>
      </c>
      <c r="F314" s="5">
        <v>44143.625</v>
      </c>
      <c r="G314" s="19" t="str">
        <f t="shared" si="13"/>
        <v/>
      </c>
      <c r="J314" s="28">
        <f t="shared" si="14"/>
        <v>-0.1258278145695364</v>
      </c>
    </row>
    <row r="315" spans="1:10">
      <c r="A315" s="3">
        <v>273</v>
      </c>
      <c r="B315" t="s">
        <v>333</v>
      </c>
      <c r="C315" t="s">
        <v>8</v>
      </c>
      <c r="E315" s="3">
        <f t="shared" si="12"/>
        <v>1</v>
      </c>
      <c r="F315" s="5">
        <v>44144.625</v>
      </c>
      <c r="G315" s="19" t="str">
        <f t="shared" si="13"/>
        <v>2020-W46</v>
      </c>
      <c r="H315">
        <f>SUM(A315:A321)</f>
        <v>1649</v>
      </c>
      <c r="I315" s="28">
        <f>H315/H308-1</f>
        <v>0.16454802259887003</v>
      </c>
      <c r="J315" s="28">
        <f t="shared" si="14"/>
        <v>-4.8780487804878092E-2</v>
      </c>
    </row>
    <row r="316" spans="1:10">
      <c r="A316" s="3">
        <v>206</v>
      </c>
      <c r="B316" t="s">
        <v>334</v>
      </c>
      <c r="C316" t="s">
        <v>8</v>
      </c>
      <c r="E316" s="3">
        <f t="shared" si="12"/>
        <v>2</v>
      </c>
      <c r="F316" s="5">
        <v>44145.625</v>
      </c>
      <c r="G316" s="19" t="str">
        <f t="shared" si="13"/>
        <v/>
      </c>
      <c r="J316" s="28">
        <f t="shared" si="14"/>
        <v>-0.14522821576763489</v>
      </c>
    </row>
    <row r="317" spans="1:10">
      <c r="A317" s="3">
        <v>294</v>
      </c>
      <c r="B317" t="s">
        <v>335</v>
      </c>
      <c r="C317" t="s">
        <v>8</v>
      </c>
      <c r="E317" s="3">
        <f t="shared" si="12"/>
        <v>3</v>
      </c>
      <c r="F317" s="5">
        <v>44146.625</v>
      </c>
      <c r="G317" s="19" t="str">
        <f t="shared" si="13"/>
        <v/>
      </c>
      <c r="J317" s="28">
        <f t="shared" si="14"/>
        <v>0.38028169014084501</v>
      </c>
    </row>
    <row r="318" spans="1:10">
      <c r="A318" s="3">
        <v>282</v>
      </c>
      <c r="B318" t="s">
        <v>336</v>
      </c>
      <c r="C318" t="s">
        <v>8</v>
      </c>
      <c r="E318" s="3">
        <f t="shared" si="12"/>
        <v>4</v>
      </c>
      <c r="F318" s="5">
        <v>44147.625</v>
      </c>
      <c r="G318" s="19" t="str">
        <f t="shared" si="13"/>
        <v/>
      </c>
      <c r="J318" s="28">
        <f t="shared" si="14"/>
        <v>0.28767123287671237</v>
      </c>
    </row>
    <row r="319" spans="1:10">
      <c r="A319" s="3">
        <v>268</v>
      </c>
      <c r="B319" t="s">
        <v>337</v>
      </c>
      <c r="C319" t="s">
        <v>8</v>
      </c>
      <c r="E319" s="3">
        <f t="shared" si="12"/>
        <v>5</v>
      </c>
      <c r="F319" s="5">
        <v>44148.625</v>
      </c>
      <c r="G319" s="19" t="str">
        <f t="shared" si="13"/>
        <v/>
      </c>
      <c r="J319" s="28">
        <f t="shared" si="14"/>
        <v>0.36734693877551017</v>
      </c>
    </row>
    <row r="320" spans="1:10">
      <c r="A320" s="3">
        <v>145</v>
      </c>
      <c r="B320" t="s">
        <v>338</v>
      </c>
      <c r="C320" t="s">
        <v>8</v>
      </c>
      <c r="E320" s="3">
        <f t="shared" si="12"/>
        <v>6</v>
      </c>
      <c r="F320" s="5">
        <v>44149.625</v>
      </c>
      <c r="G320" s="19" t="str">
        <f t="shared" si="13"/>
        <v/>
      </c>
      <c r="J320" s="28">
        <f t="shared" si="14"/>
        <v>0.1328125</v>
      </c>
    </row>
    <row r="321" spans="1:10">
      <c r="A321" s="3">
        <v>181</v>
      </c>
      <c r="B321" t="s">
        <v>339</v>
      </c>
      <c r="C321" t="s">
        <v>8</v>
      </c>
      <c r="E321" s="3">
        <f t="shared" si="12"/>
        <v>7</v>
      </c>
      <c r="F321" s="5">
        <v>44150.625</v>
      </c>
      <c r="G321" s="19" t="str">
        <f t="shared" si="13"/>
        <v/>
      </c>
      <c r="J321" s="28">
        <f t="shared" si="14"/>
        <v>0.3712121212121211</v>
      </c>
    </row>
    <row r="322" spans="1:10">
      <c r="A322" s="3">
        <v>392</v>
      </c>
      <c r="B322" t="s">
        <v>340</v>
      </c>
      <c r="C322" t="s">
        <v>8</v>
      </c>
      <c r="E322" s="3">
        <f t="shared" si="12"/>
        <v>1</v>
      </c>
      <c r="F322" s="5">
        <v>44151.625</v>
      </c>
      <c r="G322" s="19" t="str">
        <f t="shared" si="13"/>
        <v>2020-W47</v>
      </c>
      <c r="H322">
        <f>SUM(A322:A328)</f>
        <v>2600</v>
      </c>
      <c r="I322" s="28">
        <f>H322/H315-1</f>
        <v>0.57671315949060031</v>
      </c>
      <c r="J322" s="28">
        <f t="shared" si="14"/>
        <v>0.4358974358974359</v>
      </c>
    </row>
    <row r="323" spans="1:10">
      <c r="A323" s="3">
        <v>389</v>
      </c>
      <c r="B323" t="s">
        <v>341</v>
      </c>
      <c r="C323" t="s">
        <v>8</v>
      </c>
      <c r="E323" s="3">
        <f t="shared" ref="E323" si="15">WEEKDAY(F323,2)</f>
        <v>2</v>
      </c>
      <c r="F323" s="5">
        <v>44152.625</v>
      </c>
      <c r="G323" s="19" t="str">
        <f t="shared" ref="G323:G386" si="16">IF(WEEKDAY(F323,2)=1,YEAR(F323)&amp;"-W"&amp;TEXT(WEEKNUM(F323,14),"00"),"")</f>
        <v/>
      </c>
      <c r="J323" s="28">
        <f t="shared" si="14"/>
        <v>0.88834951456310685</v>
      </c>
    </row>
    <row r="324" spans="1:10">
      <c r="A324" s="3">
        <v>376</v>
      </c>
      <c r="B324" t="s">
        <v>342</v>
      </c>
      <c r="C324" t="s">
        <v>8</v>
      </c>
      <c r="E324" s="3">
        <f t="shared" si="12"/>
        <v>3</v>
      </c>
      <c r="F324" s="5">
        <v>44153.625</v>
      </c>
      <c r="G324" s="19" t="str">
        <f t="shared" si="16"/>
        <v/>
      </c>
      <c r="J324" s="28">
        <f t="shared" si="14"/>
        <v>0.27891156462585043</v>
      </c>
    </row>
    <row r="325" spans="1:10">
      <c r="A325" s="3">
        <v>478</v>
      </c>
      <c r="B325" t="s">
        <v>343</v>
      </c>
      <c r="C325" t="s">
        <v>8</v>
      </c>
      <c r="E325" s="3">
        <f t="shared" ref="E325:E382" si="17">WEEKDAY(F325,2)</f>
        <v>4</v>
      </c>
      <c r="F325" s="5">
        <v>44154.625</v>
      </c>
      <c r="G325" s="19" t="str">
        <f t="shared" si="16"/>
        <v/>
      </c>
      <c r="J325" s="28">
        <f t="shared" si="14"/>
        <v>0.69503546099290769</v>
      </c>
    </row>
    <row r="326" spans="1:10">
      <c r="A326" s="3">
        <v>428</v>
      </c>
      <c r="B326" t="s">
        <v>344</v>
      </c>
      <c r="C326" t="s">
        <v>8</v>
      </c>
      <c r="E326" s="3">
        <f t="shared" si="17"/>
        <v>5</v>
      </c>
      <c r="F326" s="5">
        <v>44155.625</v>
      </c>
      <c r="G326" s="19" t="str">
        <f t="shared" si="16"/>
        <v/>
      </c>
      <c r="J326" s="28">
        <f t="shared" si="14"/>
        <v>0.59701492537313428</v>
      </c>
    </row>
    <row r="327" spans="1:10">
      <c r="A327" s="3">
        <v>270</v>
      </c>
      <c r="B327" t="s">
        <v>347</v>
      </c>
      <c r="C327" t="s">
        <v>8</v>
      </c>
      <c r="E327" s="3">
        <f t="shared" si="17"/>
        <v>6</v>
      </c>
      <c r="F327" s="5">
        <v>44156.625</v>
      </c>
      <c r="G327" s="19" t="str">
        <f t="shared" si="16"/>
        <v/>
      </c>
      <c r="J327" s="28">
        <f t="shared" si="14"/>
        <v>0.86206896551724133</v>
      </c>
    </row>
    <row r="328" spans="1:10">
      <c r="A328" s="3">
        <v>267</v>
      </c>
      <c r="B328" t="s">
        <v>348</v>
      </c>
      <c r="C328" t="s">
        <v>8</v>
      </c>
      <c r="E328" s="3">
        <f t="shared" si="17"/>
        <v>7</v>
      </c>
      <c r="F328" s="5">
        <v>44157.625</v>
      </c>
      <c r="G328" s="19" t="str">
        <f t="shared" si="16"/>
        <v/>
      </c>
      <c r="J328" s="28">
        <f t="shared" si="14"/>
        <v>0.47513812154696122</v>
      </c>
    </row>
    <row r="329" spans="1:10">
      <c r="A329" s="3">
        <v>504</v>
      </c>
      <c r="B329" t="s">
        <v>349</v>
      </c>
      <c r="C329" t="s">
        <v>8</v>
      </c>
      <c r="E329" s="3">
        <f t="shared" si="17"/>
        <v>1</v>
      </c>
      <c r="F329" s="5">
        <v>44158.625</v>
      </c>
      <c r="G329" s="19" t="str">
        <f t="shared" si="16"/>
        <v>2020-W48</v>
      </c>
      <c r="H329">
        <f>SUM(A329:A335)</f>
        <v>3136</v>
      </c>
      <c r="I329" s="28">
        <f>H329/H322-1</f>
        <v>0.20615384615384613</v>
      </c>
      <c r="J329" s="28">
        <f t="shared" ref="J329:J392" si="18">A329/A322-1</f>
        <v>0.28571428571428581</v>
      </c>
    </row>
    <row r="330" spans="1:10">
      <c r="A330" s="3">
        <v>471</v>
      </c>
      <c r="B330" t="s">
        <v>350</v>
      </c>
      <c r="C330" t="s">
        <v>8</v>
      </c>
      <c r="E330" s="3">
        <f t="shared" si="17"/>
        <v>2</v>
      </c>
      <c r="F330" s="5">
        <v>44159.625</v>
      </c>
      <c r="G330" s="19" t="str">
        <f t="shared" si="16"/>
        <v/>
      </c>
      <c r="J330" s="28">
        <f t="shared" si="18"/>
        <v>0.2107969151670952</v>
      </c>
    </row>
    <row r="331" spans="1:10">
      <c r="A331" s="3">
        <v>619</v>
      </c>
      <c r="B331" t="s">
        <v>351</v>
      </c>
      <c r="C331" t="s">
        <v>8</v>
      </c>
      <c r="E331" s="3">
        <f t="shared" si="17"/>
        <v>3</v>
      </c>
      <c r="F331" s="5">
        <v>44160.625</v>
      </c>
      <c r="G331" s="19" t="str">
        <f t="shared" si="16"/>
        <v/>
      </c>
      <c r="J331" s="28">
        <f t="shared" si="18"/>
        <v>0.64627659574468077</v>
      </c>
    </row>
    <row r="332" spans="1:10">
      <c r="A332" s="3">
        <v>509</v>
      </c>
      <c r="B332" t="s">
        <v>354</v>
      </c>
      <c r="C332" t="s">
        <v>8</v>
      </c>
      <c r="E332" s="3">
        <f t="shared" si="17"/>
        <v>4</v>
      </c>
      <c r="F332" s="5">
        <v>44161.625</v>
      </c>
      <c r="G332" s="19" t="str">
        <f t="shared" si="16"/>
        <v/>
      </c>
      <c r="J332" s="28">
        <f t="shared" si="18"/>
        <v>6.4853556485355623E-2</v>
      </c>
    </row>
    <row r="333" spans="1:10">
      <c r="A333" s="3">
        <v>456</v>
      </c>
      <c r="B333" t="s">
        <v>355</v>
      </c>
      <c r="C333" t="s">
        <v>8</v>
      </c>
      <c r="E333" s="3">
        <f t="shared" si="17"/>
        <v>5</v>
      </c>
      <c r="F333" s="5">
        <v>44162.625</v>
      </c>
      <c r="G333" s="19" t="str">
        <f t="shared" si="16"/>
        <v/>
      </c>
      <c r="J333" s="28">
        <f t="shared" si="18"/>
        <v>6.5420560747663448E-2</v>
      </c>
    </row>
    <row r="334" spans="1:10">
      <c r="A334" s="3">
        <v>284</v>
      </c>
      <c r="B334" t="s">
        <v>356</v>
      </c>
      <c r="C334" t="s">
        <v>8</v>
      </c>
      <c r="E334" s="3">
        <f t="shared" si="17"/>
        <v>6</v>
      </c>
      <c r="F334" s="5">
        <v>44163.625</v>
      </c>
      <c r="G334" s="19" t="str">
        <f t="shared" si="16"/>
        <v/>
      </c>
      <c r="J334" s="28">
        <f t="shared" si="18"/>
        <v>5.1851851851851816E-2</v>
      </c>
    </row>
    <row r="335" spans="1:10">
      <c r="A335" s="3">
        <v>293</v>
      </c>
      <c r="B335" t="s">
        <v>357</v>
      </c>
      <c r="C335" t="s">
        <v>8</v>
      </c>
      <c r="E335" s="3">
        <f t="shared" si="17"/>
        <v>7</v>
      </c>
      <c r="F335" s="5">
        <v>44164.625</v>
      </c>
      <c r="G335" s="19" t="str">
        <f t="shared" si="16"/>
        <v/>
      </c>
      <c r="J335" s="28">
        <f t="shared" si="18"/>
        <v>9.7378277153558068E-2</v>
      </c>
    </row>
    <row r="336" spans="1:10">
      <c r="A336" s="3">
        <v>595</v>
      </c>
      <c r="B336" t="s">
        <v>358</v>
      </c>
      <c r="C336" t="s">
        <v>8</v>
      </c>
      <c r="E336" s="3">
        <f t="shared" si="17"/>
        <v>1</v>
      </c>
      <c r="F336" s="5">
        <v>44165.625</v>
      </c>
      <c r="G336" s="19" t="str">
        <f t="shared" si="16"/>
        <v>2020-W49</v>
      </c>
      <c r="H336">
        <f>SUM(A336:A342)</f>
        <v>3015</v>
      </c>
      <c r="I336" s="28">
        <f>H336/H329-1</f>
        <v>-3.8584183673469385E-2</v>
      </c>
      <c r="J336" s="28">
        <f t="shared" si="18"/>
        <v>0.18055555555555558</v>
      </c>
    </row>
    <row r="337" spans="1:10">
      <c r="A337" s="3">
        <v>440</v>
      </c>
      <c r="B337" t="s">
        <v>360</v>
      </c>
      <c r="C337" t="s">
        <v>8</v>
      </c>
      <c r="E337" s="3">
        <f t="shared" si="17"/>
        <v>2</v>
      </c>
      <c r="F337" s="5">
        <v>44166.625</v>
      </c>
      <c r="G337" s="19" t="str">
        <f t="shared" si="16"/>
        <v/>
      </c>
      <c r="J337" s="28">
        <f t="shared" si="18"/>
        <v>-6.5817409766454338E-2</v>
      </c>
    </row>
    <row r="338" spans="1:10">
      <c r="A338" s="3">
        <v>495</v>
      </c>
      <c r="B338" t="s">
        <v>361</v>
      </c>
      <c r="C338" t="s">
        <v>8</v>
      </c>
      <c r="E338" s="3">
        <f t="shared" si="17"/>
        <v>3</v>
      </c>
      <c r="F338" s="5">
        <v>44167.625</v>
      </c>
      <c r="G338" s="19" t="str">
        <f t="shared" si="16"/>
        <v/>
      </c>
      <c r="J338" s="28">
        <f t="shared" si="18"/>
        <v>-0.20032310177705981</v>
      </c>
    </row>
    <row r="339" spans="1:10">
      <c r="A339" s="3">
        <v>478</v>
      </c>
      <c r="B339" t="s">
        <v>362</v>
      </c>
      <c r="C339" t="s">
        <v>8</v>
      </c>
      <c r="E339" s="3">
        <f t="shared" si="17"/>
        <v>4</v>
      </c>
      <c r="F339" s="5">
        <v>44168.625</v>
      </c>
      <c r="G339" s="19" t="str">
        <f t="shared" si="16"/>
        <v/>
      </c>
      <c r="J339" s="28">
        <f t="shared" si="18"/>
        <v>-6.0903732809430289E-2</v>
      </c>
    </row>
    <row r="340" spans="1:10">
      <c r="A340" s="3">
        <v>473</v>
      </c>
      <c r="B340" t="s">
        <v>363</v>
      </c>
      <c r="C340" t="s">
        <v>8</v>
      </c>
      <c r="E340" s="3">
        <f t="shared" si="17"/>
        <v>5</v>
      </c>
      <c r="F340" s="5">
        <v>44169.625</v>
      </c>
      <c r="G340" s="19" t="str">
        <f t="shared" si="16"/>
        <v/>
      </c>
      <c r="J340" s="28">
        <f t="shared" si="18"/>
        <v>3.7280701754385914E-2</v>
      </c>
    </row>
    <row r="341" spans="1:10">
      <c r="A341" s="3">
        <v>250</v>
      </c>
      <c r="B341" t="s">
        <v>364</v>
      </c>
      <c r="C341" t="s">
        <v>8</v>
      </c>
      <c r="E341" s="3">
        <f t="shared" si="17"/>
        <v>6</v>
      </c>
      <c r="F341" s="5">
        <v>44170.625</v>
      </c>
      <c r="G341" s="19" t="str">
        <f t="shared" si="16"/>
        <v/>
      </c>
      <c r="J341" s="28">
        <f t="shared" si="18"/>
        <v>-0.11971830985915488</v>
      </c>
    </row>
    <row r="342" spans="1:10">
      <c r="A342" s="3">
        <v>284</v>
      </c>
      <c r="B342" t="s">
        <v>365</v>
      </c>
      <c r="C342" t="s">
        <v>8</v>
      </c>
      <c r="E342" s="3">
        <f t="shared" si="17"/>
        <v>7</v>
      </c>
      <c r="F342" s="5">
        <v>44171.625</v>
      </c>
      <c r="G342" s="19" t="str">
        <f t="shared" si="16"/>
        <v/>
      </c>
      <c r="J342" s="28">
        <f t="shared" si="18"/>
        <v>-3.0716723549488067E-2</v>
      </c>
    </row>
    <row r="343" spans="1:10">
      <c r="A343" s="3">
        <v>587</v>
      </c>
      <c r="B343" t="s">
        <v>366</v>
      </c>
      <c r="C343" t="s">
        <v>8</v>
      </c>
      <c r="E343" s="3">
        <f t="shared" si="17"/>
        <v>1</v>
      </c>
      <c r="F343" s="5">
        <v>44172.625</v>
      </c>
      <c r="G343" s="19" t="str">
        <f t="shared" si="16"/>
        <v>2020-W50</v>
      </c>
      <c r="H343">
        <f>SUM(A343:A349)</f>
        <v>2904</v>
      </c>
      <c r="I343" s="28">
        <f>H343/H336-1</f>
        <v>-3.681592039800996E-2</v>
      </c>
      <c r="J343" s="28">
        <f t="shared" si="18"/>
        <v>-1.3445378151260456E-2</v>
      </c>
    </row>
    <row r="344" spans="1:10">
      <c r="A344" s="3">
        <v>478</v>
      </c>
      <c r="B344" t="s">
        <v>367</v>
      </c>
      <c r="C344" t="s">
        <v>8</v>
      </c>
      <c r="E344" s="3">
        <f t="shared" si="17"/>
        <v>2</v>
      </c>
      <c r="F344" s="5">
        <v>44173.625</v>
      </c>
      <c r="G344" s="19" t="str">
        <f t="shared" si="16"/>
        <v/>
      </c>
      <c r="J344" s="28">
        <f t="shared" si="18"/>
        <v>8.636363636363642E-2</v>
      </c>
    </row>
    <row r="345" spans="1:10">
      <c r="A345" s="3">
        <v>462</v>
      </c>
      <c r="B345" t="s">
        <v>368</v>
      </c>
      <c r="C345" t="s">
        <v>8</v>
      </c>
      <c r="E345" s="3">
        <f t="shared" si="17"/>
        <v>3</v>
      </c>
      <c r="F345" s="5">
        <v>44174.625</v>
      </c>
      <c r="G345" s="19" t="str">
        <f t="shared" si="16"/>
        <v/>
      </c>
      <c r="J345" s="28">
        <f t="shared" si="18"/>
        <v>-6.6666666666666652E-2</v>
      </c>
    </row>
    <row r="346" spans="1:10">
      <c r="A346" s="3">
        <v>407</v>
      </c>
      <c r="B346" t="s">
        <v>369</v>
      </c>
      <c r="C346" t="s">
        <v>8</v>
      </c>
      <c r="E346" s="3">
        <f t="shared" si="17"/>
        <v>4</v>
      </c>
      <c r="F346" s="5">
        <v>44175.625</v>
      </c>
      <c r="G346" s="19" t="str">
        <f t="shared" si="16"/>
        <v/>
      </c>
      <c r="J346" s="28">
        <f t="shared" si="18"/>
        <v>-0.14853556485355646</v>
      </c>
    </row>
    <row r="347" spans="1:10">
      <c r="A347" s="3">
        <v>445</v>
      </c>
      <c r="B347" t="s">
        <v>370</v>
      </c>
      <c r="C347" t="s">
        <v>8</v>
      </c>
      <c r="E347" s="3">
        <f t="shared" si="17"/>
        <v>5</v>
      </c>
      <c r="F347" s="5">
        <v>44176.625</v>
      </c>
      <c r="G347" s="19" t="str">
        <f t="shared" si="16"/>
        <v/>
      </c>
      <c r="J347" s="28">
        <f t="shared" si="18"/>
        <v>-5.9196617336152224E-2</v>
      </c>
    </row>
    <row r="348" spans="1:10">
      <c r="A348" s="3">
        <v>249</v>
      </c>
      <c r="B348" t="s">
        <v>371</v>
      </c>
      <c r="C348" t="s">
        <v>8</v>
      </c>
      <c r="E348" s="3">
        <f t="shared" si="17"/>
        <v>6</v>
      </c>
      <c r="F348" s="5">
        <v>44177.625</v>
      </c>
      <c r="G348" s="19" t="str">
        <f t="shared" si="16"/>
        <v/>
      </c>
      <c r="J348" s="28">
        <f t="shared" si="18"/>
        <v>-4.0000000000000036E-3</v>
      </c>
    </row>
    <row r="349" spans="1:10">
      <c r="A349" s="3">
        <v>276</v>
      </c>
      <c r="B349" t="s">
        <v>372</v>
      </c>
      <c r="C349" t="s">
        <v>8</v>
      </c>
      <c r="E349" s="3">
        <f t="shared" si="17"/>
        <v>7</v>
      </c>
      <c r="F349" s="5">
        <v>44178.625</v>
      </c>
      <c r="G349" s="19" t="str">
        <f t="shared" si="16"/>
        <v/>
      </c>
      <c r="J349" s="28">
        <f t="shared" si="18"/>
        <v>-2.8169014084507005E-2</v>
      </c>
    </row>
    <row r="350" spans="1:10">
      <c r="A350" s="3">
        <v>463</v>
      </c>
      <c r="B350" t="s">
        <v>373</v>
      </c>
      <c r="C350" t="s">
        <v>8</v>
      </c>
      <c r="E350" s="3">
        <f t="shared" si="17"/>
        <v>1</v>
      </c>
      <c r="F350" s="5">
        <v>44179.625</v>
      </c>
      <c r="G350" s="19" t="str">
        <f t="shared" si="16"/>
        <v>2020-W51</v>
      </c>
      <c r="H350">
        <f>SUM(A350:A356)</f>
        <v>2327</v>
      </c>
      <c r="I350" s="28">
        <f>H350/H343-1</f>
        <v>-0.19869146005509641</v>
      </c>
      <c r="J350" s="28">
        <f t="shared" si="18"/>
        <v>-0.21124361158432714</v>
      </c>
    </row>
    <row r="351" spans="1:10">
      <c r="A351" s="3">
        <v>359</v>
      </c>
      <c r="B351" t="s">
        <v>374</v>
      </c>
      <c r="C351" t="s">
        <v>8</v>
      </c>
      <c r="E351" s="3">
        <f t="shared" si="17"/>
        <v>2</v>
      </c>
      <c r="F351" s="5">
        <v>44180.625</v>
      </c>
      <c r="G351" s="19" t="str">
        <f t="shared" si="16"/>
        <v/>
      </c>
      <c r="J351" s="28">
        <f t="shared" si="18"/>
        <v>-0.2489539748953975</v>
      </c>
    </row>
    <row r="352" spans="1:10">
      <c r="A352" s="3">
        <v>353</v>
      </c>
      <c r="B352" t="s">
        <v>375</v>
      </c>
      <c r="C352" t="s">
        <v>8</v>
      </c>
      <c r="E352" s="3">
        <f t="shared" si="17"/>
        <v>3</v>
      </c>
      <c r="F352" s="5">
        <v>44181.625</v>
      </c>
      <c r="G352" s="19" t="str">
        <f t="shared" si="16"/>
        <v/>
      </c>
      <c r="J352" s="28">
        <f t="shared" si="18"/>
        <v>-0.23593073593073588</v>
      </c>
    </row>
    <row r="353" spans="1:10">
      <c r="A353" s="3">
        <v>323</v>
      </c>
      <c r="B353" t="s">
        <v>376</v>
      </c>
      <c r="C353" t="s">
        <v>8</v>
      </c>
      <c r="E353" s="3">
        <f t="shared" si="17"/>
        <v>4</v>
      </c>
      <c r="F353" s="5">
        <v>44182.625</v>
      </c>
      <c r="G353" s="19" t="str">
        <f t="shared" si="16"/>
        <v/>
      </c>
      <c r="J353" s="28">
        <f t="shared" si="18"/>
        <v>-0.20638820638820643</v>
      </c>
    </row>
    <row r="354" spans="1:10">
      <c r="A354" s="3">
        <v>394</v>
      </c>
      <c r="B354" t="s">
        <v>377</v>
      </c>
      <c r="C354" t="s">
        <v>8</v>
      </c>
      <c r="E354" s="3">
        <f t="shared" si="17"/>
        <v>5</v>
      </c>
      <c r="F354" s="5">
        <v>44183.625</v>
      </c>
      <c r="G354" s="19" t="str">
        <f t="shared" si="16"/>
        <v/>
      </c>
      <c r="J354" s="28">
        <f t="shared" si="18"/>
        <v>-0.11460674157303374</v>
      </c>
    </row>
    <row r="355" spans="1:10">
      <c r="A355" s="3">
        <v>191</v>
      </c>
      <c r="B355" t="s">
        <v>378</v>
      </c>
      <c r="C355" t="s">
        <v>8</v>
      </c>
      <c r="E355" s="3">
        <f t="shared" si="17"/>
        <v>6</v>
      </c>
      <c r="F355" s="5">
        <v>44184.625</v>
      </c>
      <c r="G355" s="19" t="str">
        <f t="shared" si="16"/>
        <v/>
      </c>
      <c r="J355" s="28">
        <f t="shared" si="18"/>
        <v>-0.23293172690763053</v>
      </c>
    </row>
    <row r="356" spans="1:10">
      <c r="A356" s="3">
        <v>244</v>
      </c>
      <c r="B356" t="s">
        <v>379</v>
      </c>
      <c r="C356" t="s">
        <v>8</v>
      </c>
      <c r="E356" s="3">
        <f t="shared" si="17"/>
        <v>7</v>
      </c>
      <c r="F356" s="5">
        <v>44185.625</v>
      </c>
      <c r="G356" s="19" t="str">
        <f t="shared" si="16"/>
        <v/>
      </c>
      <c r="J356" s="28">
        <f t="shared" si="18"/>
        <v>-0.11594202898550721</v>
      </c>
    </row>
    <row r="357" spans="1:10">
      <c r="A357" s="3">
        <v>375</v>
      </c>
      <c r="B357" t="s">
        <v>380</v>
      </c>
      <c r="C357" t="s">
        <v>8</v>
      </c>
      <c r="E357" s="3">
        <f t="shared" si="17"/>
        <v>1</v>
      </c>
      <c r="F357" s="5">
        <v>44186.625</v>
      </c>
      <c r="G357" s="19" t="str">
        <f t="shared" si="16"/>
        <v>2020-W52</v>
      </c>
      <c r="H357">
        <f>SUM(A357:A363)</f>
        <v>1653</v>
      </c>
      <c r="I357" s="28">
        <f>H357/H350-1</f>
        <v>-0.28964331757627848</v>
      </c>
      <c r="J357" s="28">
        <f t="shared" si="18"/>
        <v>-0.19006479481641469</v>
      </c>
    </row>
    <row r="358" spans="1:10">
      <c r="A358" s="3">
        <v>332</v>
      </c>
      <c r="B358" t="s">
        <v>381</v>
      </c>
      <c r="C358" t="s">
        <v>8</v>
      </c>
      <c r="E358" s="3">
        <f t="shared" si="17"/>
        <v>2</v>
      </c>
      <c r="F358" s="5">
        <v>44187.625</v>
      </c>
      <c r="G358" s="19" t="str">
        <f t="shared" si="16"/>
        <v/>
      </c>
      <c r="J358" s="28">
        <f t="shared" si="18"/>
        <v>-7.5208913649025044E-2</v>
      </c>
    </row>
    <row r="359" spans="1:10">
      <c r="A359" s="3">
        <v>277</v>
      </c>
      <c r="B359" t="s">
        <v>382</v>
      </c>
      <c r="C359" t="s">
        <v>8</v>
      </c>
      <c r="E359" s="3">
        <f t="shared" si="17"/>
        <v>3</v>
      </c>
      <c r="F359" s="5">
        <v>44188.625</v>
      </c>
      <c r="G359" s="19" t="str">
        <f t="shared" si="16"/>
        <v/>
      </c>
      <c r="J359" s="28">
        <f t="shared" si="18"/>
        <v>-0.2152974504249292</v>
      </c>
    </row>
    <row r="360" spans="1:10">
      <c r="A360" s="3">
        <v>138</v>
      </c>
      <c r="B360" t="s">
        <v>383</v>
      </c>
      <c r="C360" t="s">
        <v>8</v>
      </c>
      <c r="E360" s="3">
        <f t="shared" si="17"/>
        <v>4</v>
      </c>
      <c r="F360" s="5">
        <v>44189.625</v>
      </c>
      <c r="G360" s="19" t="str">
        <f t="shared" si="16"/>
        <v/>
      </c>
      <c r="J360" s="28">
        <f t="shared" si="18"/>
        <v>-0.5727554179566563</v>
      </c>
    </row>
    <row r="361" spans="1:10">
      <c r="A361" s="3">
        <v>157</v>
      </c>
      <c r="B361" t="s">
        <v>384</v>
      </c>
      <c r="C361" t="s">
        <v>8</v>
      </c>
      <c r="E361" s="3">
        <f t="shared" si="17"/>
        <v>5</v>
      </c>
      <c r="F361" s="5">
        <v>44190.625</v>
      </c>
      <c r="G361" s="19" t="str">
        <f t="shared" si="16"/>
        <v/>
      </c>
      <c r="J361" s="28">
        <f t="shared" si="18"/>
        <v>-0.60152284263959399</v>
      </c>
    </row>
    <row r="362" spans="1:10">
      <c r="A362" s="3">
        <v>183</v>
      </c>
      <c r="B362" t="s">
        <v>385</v>
      </c>
      <c r="C362" t="s">
        <v>8</v>
      </c>
      <c r="E362" s="3">
        <f t="shared" si="17"/>
        <v>6</v>
      </c>
      <c r="F362" s="5">
        <v>44191.625</v>
      </c>
      <c r="G362" s="19" t="str">
        <f t="shared" si="16"/>
        <v/>
      </c>
      <c r="J362" s="28">
        <f t="shared" si="18"/>
        <v>-4.1884816753926746E-2</v>
      </c>
    </row>
    <row r="363" spans="1:10">
      <c r="A363" s="3">
        <v>191</v>
      </c>
      <c r="B363" t="s">
        <v>386</v>
      </c>
      <c r="C363" t="s">
        <v>8</v>
      </c>
      <c r="E363" s="3">
        <f t="shared" si="17"/>
        <v>7</v>
      </c>
      <c r="F363" s="5">
        <v>44192.625</v>
      </c>
      <c r="G363" s="19" t="str">
        <f t="shared" si="16"/>
        <v/>
      </c>
      <c r="J363" s="28">
        <f t="shared" si="18"/>
        <v>-0.21721311475409832</v>
      </c>
    </row>
    <row r="364" spans="1:10">
      <c r="A364" s="3">
        <v>435</v>
      </c>
      <c r="B364" t="s">
        <v>387</v>
      </c>
      <c r="C364" t="s">
        <v>8</v>
      </c>
      <c r="E364" s="3">
        <f t="shared" si="17"/>
        <v>1</v>
      </c>
      <c r="F364" s="5">
        <v>44193.625</v>
      </c>
      <c r="G364" s="19" t="str">
        <f t="shared" si="16"/>
        <v>2020-W53</v>
      </c>
      <c r="H364">
        <f>SUM(A364:A370)</f>
        <v>1755</v>
      </c>
      <c r="I364" s="28">
        <f>H364/H357-1</f>
        <v>6.1705989110707904E-2</v>
      </c>
      <c r="J364" s="28">
        <f t="shared" si="18"/>
        <v>0.15999999999999992</v>
      </c>
    </row>
    <row r="365" spans="1:10">
      <c r="A365" s="3">
        <v>307</v>
      </c>
      <c r="B365" t="s">
        <v>388</v>
      </c>
      <c r="C365" t="s">
        <v>8</v>
      </c>
      <c r="E365" s="3">
        <f t="shared" si="17"/>
        <v>2</v>
      </c>
      <c r="F365" s="5">
        <v>44194.625</v>
      </c>
      <c r="G365" s="19" t="str">
        <f t="shared" si="16"/>
        <v/>
      </c>
      <c r="J365" s="28">
        <f t="shared" si="18"/>
        <v>-7.5301204819277157E-2</v>
      </c>
    </row>
    <row r="366" spans="1:10">
      <c r="A366" s="3">
        <v>255</v>
      </c>
      <c r="B366" t="s">
        <v>389</v>
      </c>
      <c r="C366" t="s">
        <v>8</v>
      </c>
      <c r="E366" s="3">
        <f t="shared" si="17"/>
        <v>3</v>
      </c>
      <c r="F366" s="5">
        <v>44195.625</v>
      </c>
      <c r="G366" s="19" t="str">
        <f t="shared" si="16"/>
        <v/>
      </c>
      <c r="J366" s="28">
        <f t="shared" si="18"/>
        <v>-7.9422382671480163E-2</v>
      </c>
    </row>
    <row r="367" spans="1:10">
      <c r="A367" s="3">
        <v>254</v>
      </c>
      <c r="B367" t="s">
        <v>390</v>
      </c>
      <c r="C367" t="s">
        <v>8</v>
      </c>
      <c r="E367" s="3">
        <f t="shared" si="17"/>
        <v>4</v>
      </c>
      <c r="F367" s="5">
        <v>44196.625</v>
      </c>
      <c r="G367" s="19" t="str">
        <f t="shared" si="16"/>
        <v/>
      </c>
      <c r="J367" s="28">
        <f t="shared" si="18"/>
        <v>0.84057971014492749</v>
      </c>
    </row>
    <row r="368" spans="1:10">
      <c r="A368" s="3">
        <v>129</v>
      </c>
      <c r="B368" t="s">
        <v>391</v>
      </c>
      <c r="C368" t="s">
        <v>8</v>
      </c>
      <c r="E368" s="3">
        <f t="shared" si="17"/>
        <v>5</v>
      </c>
      <c r="F368" s="5">
        <v>44197.625</v>
      </c>
      <c r="G368" s="19" t="str">
        <f t="shared" si="16"/>
        <v/>
      </c>
      <c r="J368" s="28">
        <f t="shared" si="18"/>
        <v>-0.17834394904458595</v>
      </c>
    </row>
    <row r="369" spans="1:10">
      <c r="A369" s="3">
        <v>206</v>
      </c>
      <c r="B369" t="s">
        <v>392</v>
      </c>
      <c r="C369" t="s">
        <v>8</v>
      </c>
      <c r="E369" s="3">
        <f t="shared" si="17"/>
        <v>6</v>
      </c>
      <c r="F369" s="5">
        <v>44198.625</v>
      </c>
      <c r="G369" s="19" t="str">
        <f t="shared" si="16"/>
        <v/>
      </c>
      <c r="J369" s="28">
        <f t="shared" si="18"/>
        <v>0.12568306010928953</v>
      </c>
    </row>
    <row r="370" spans="1:10">
      <c r="A370" s="3">
        <v>169</v>
      </c>
      <c r="B370" t="s">
        <v>393</v>
      </c>
      <c r="C370" t="s">
        <v>8</v>
      </c>
      <c r="E370" s="3">
        <f t="shared" si="17"/>
        <v>7</v>
      </c>
      <c r="F370" s="5">
        <v>44199.625</v>
      </c>
      <c r="G370" s="19" t="str">
        <f t="shared" si="16"/>
        <v/>
      </c>
      <c r="J370" s="28">
        <f t="shared" si="18"/>
        <v>-0.11518324607329844</v>
      </c>
    </row>
    <row r="371" spans="1:10">
      <c r="A371" s="3">
        <v>398</v>
      </c>
      <c r="B371" t="s">
        <v>394</v>
      </c>
      <c r="C371" t="s">
        <v>8</v>
      </c>
      <c r="E371" s="3">
        <f t="shared" si="17"/>
        <v>1</v>
      </c>
      <c r="F371" s="5">
        <v>44200.625</v>
      </c>
      <c r="G371" s="19" t="str">
        <f t="shared" si="16"/>
        <v>2021-W01</v>
      </c>
      <c r="H371">
        <f>SUM(A371:A377)</f>
        <v>1834</v>
      </c>
      <c r="I371" s="28">
        <f>H371/H364-1</f>
        <v>4.5014245014245002E-2</v>
      </c>
      <c r="J371" s="28">
        <f t="shared" si="18"/>
        <v>-8.5057471264367801E-2</v>
      </c>
    </row>
    <row r="372" spans="1:10">
      <c r="A372" s="3">
        <v>263</v>
      </c>
      <c r="B372" t="s">
        <v>395</v>
      </c>
      <c r="C372" t="s">
        <v>8</v>
      </c>
      <c r="E372" s="3">
        <f t="shared" si="17"/>
        <v>2</v>
      </c>
      <c r="F372" s="5">
        <v>44201.625</v>
      </c>
      <c r="G372" s="19" t="str">
        <f t="shared" si="16"/>
        <v/>
      </c>
      <c r="J372" s="28">
        <f t="shared" si="18"/>
        <v>-0.14332247557003253</v>
      </c>
    </row>
    <row r="373" spans="1:10">
      <c r="A373" s="3">
        <v>209</v>
      </c>
      <c r="B373" t="s">
        <v>396</v>
      </c>
      <c r="C373" t="s">
        <v>8</v>
      </c>
      <c r="E373" s="3">
        <f t="shared" si="17"/>
        <v>3</v>
      </c>
      <c r="F373" s="5">
        <v>44202.625</v>
      </c>
      <c r="G373" s="19" t="str">
        <f t="shared" si="16"/>
        <v/>
      </c>
      <c r="J373" s="28">
        <f t="shared" si="18"/>
        <v>-0.18039215686274512</v>
      </c>
    </row>
    <row r="374" spans="1:10">
      <c r="A374" s="3">
        <v>332</v>
      </c>
      <c r="B374" t="s">
        <v>397</v>
      </c>
      <c r="C374" t="s">
        <v>8</v>
      </c>
      <c r="E374" s="3">
        <f t="shared" si="17"/>
        <v>4</v>
      </c>
      <c r="F374" s="5">
        <v>44203.625</v>
      </c>
      <c r="G374" s="19" t="str">
        <f t="shared" si="16"/>
        <v/>
      </c>
      <c r="J374" s="28">
        <f t="shared" si="18"/>
        <v>0.30708661417322825</v>
      </c>
    </row>
    <row r="375" spans="1:10">
      <c r="A375" s="3">
        <v>252</v>
      </c>
      <c r="B375" t="s">
        <v>398</v>
      </c>
      <c r="C375" t="s">
        <v>8</v>
      </c>
      <c r="E375" s="3">
        <f t="shared" si="17"/>
        <v>5</v>
      </c>
      <c r="F375" s="5">
        <v>44204.625</v>
      </c>
      <c r="G375" s="19" t="str">
        <f t="shared" si="16"/>
        <v/>
      </c>
      <c r="J375" s="28">
        <f t="shared" si="18"/>
        <v>0.95348837209302317</v>
      </c>
    </row>
    <row r="376" spans="1:10">
      <c r="A376" s="3">
        <v>194</v>
      </c>
      <c r="B376" t="s">
        <v>399</v>
      </c>
      <c r="C376" t="s">
        <v>8</v>
      </c>
      <c r="E376" s="3">
        <f t="shared" si="17"/>
        <v>6</v>
      </c>
      <c r="F376" s="5">
        <v>44205.625</v>
      </c>
      <c r="G376" s="19" t="str">
        <f t="shared" si="16"/>
        <v/>
      </c>
      <c r="J376" s="28">
        <f t="shared" si="18"/>
        <v>-5.8252427184465994E-2</v>
      </c>
    </row>
    <row r="377" spans="1:10">
      <c r="A377" s="3">
        <v>186</v>
      </c>
      <c r="B377" t="s">
        <v>400</v>
      </c>
      <c r="C377" t="s">
        <v>8</v>
      </c>
      <c r="E377" s="3">
        <f t="shared" si="17"/>
        <v>7</v>
      </c>
      <c r="F377" s="5">
        <v>44206.625</v>
      </c>
      <c r="G377" s="19" t="str">
        <f t="shared" si="16"/>
        <v/>
      </c>
      <c r="J377" s="28">
        <f t="shared" si="18"/>
        <v>0.10059171597633143</v>
      </c>
    </row>
    <row r="378" spans="1:10">
      <c r="A378" s="3">
        <v>386</v>
      </c>
      <c r="B378" t="s">
        <v>401</v>
      </c>
      <c r="C378" t="s">
        <v>8</v>
      </c>
      <c r="E378" s="3">
        <f t="shared" si="17"/>
        <v>1</v>
      </c>
      <c r="F378" s="5">
        <v>44207.625</v>
      </c>
      <c r="G378" s="19" t="str">
        <f t="shared" si="16"/>
        <v>2021-W02</v>
      </c>
      <c r="H378">
        <f>SUM(A378:A384)</f>
        <v>1758</v>
      </c>
      <c r="I378" s="28">
        <f>H378/H371-1</f>
        <v>-4.1439476553980392E-2</v>
      </c>
      <c r="J378" s="28">
        <f t="shared" si="18"/>
        <v>-3.0150753768844241E-2</v>
      </c>
    </row>
    <row r="379" spans="1:10">
      <c r="A379" s="3">
        <v>229</v>
      </c>
      <c r="B379" t="s">
        <v>402</v>
      </c>
      <c r="C379" t="s">
        <v>8</v>
      </c>
      <c r="E379" s="3">
        <f t="shared" si="17"/>
        <v>2</v>
      </c>
      <c r="F379" s="5">
        <v>44208.625</v>
      </c>
      <c r="G379" s="19" t="str">
        <f t="shared" si="16"/>
        <v/>
      </c>
      <c r="J379" s="28">
        <f t="shared" si="18"/>
        <v>-0.12927756653992395</v>
      </c>
    </row>
    <row r="380" spans="1:10">
      <c r="A380" s="3">
        <v>260</v>
      </c>
      <c r="B380" t="s">
        <v>403</v>
      </c>
      <c r="C380" t="s">
        <v>8</v>
      </c>
      <c r="E380" s="3">
        <f t="shared" si="17"/>
        <v>3</v>
      </c>
      <c r="F380" s="5">
        <v>44209.625</v>
      </c>
      <c r="G380" s="19" t="str">
        <f t="shared" si="16"/>
        <v/>
      </c>
      <c r="J380" s="28">
        <f t="shared" si="18"/>
        <v>0.24401913875598091</v>
      </c>
    </row>
    <row r="381" spans="1:10">
      <c r="A381" s="3">
        <v>249</v>
      </c>
      <c r="B381" t="s">
        <v>404</v>
      </c>
      <c r="C381" t="s">
        <v>8</v>
      </c>
      <c r="E381" s="3">
        <f t="shared" si="17"/>
        <v>4</v>
      </c>
      <c r="F381" s="5">
        <v>44210.625</v>
      </c>
      <c r="G381" s="19" t="str">
        <f t="shared" si="16"/>
        <v/>
      </c>
      <c r="J381" s="28">
        <f t="shared" si="18"/>
        <v>-0.25</v>
      </c>
    </row>
    <row r="382" spans="1:10">
      <c r="A382" s="3">
        <v>266</v>
      </c>
      <c r="B382" t="s">
        <v>405</v>
      </c>
      <c r="C382" t="s">
        <v>8</v>
      </c>
      <c r="E382" s="3">
        <f t="shared" si="17"/>
        <v>5</v>
      </c>
      <c r="F382" s="5">
        <v>44211.625</v>
      </c>
      <c r="G382" s="19" t="str">
        <f t="shared" si="16"/>
        <v/>
      </c>
      <c r="J382" s="28">
        <f t="shared" si="18"/>
        <v>5.555555555555558E-2</v>
      </c>
    </row>
    <row r="383" spans="1:10">
      <c r="A383" s="3">
        <v>171</v>
      </c>
      <c r="B383" t="s">
        <v>406</v>
      </c>
      <c r="C383" t="s">
        <v>8</v>
      </c>
      <c r="E383" s="3">
        <f t="shared" ref="E383:E446" si="19">WEEKDAY(F383,2)</f>
        <v>6</v>
      </c>
      <c r="F383" s="5">
        <v>44212.625</v>
      </c>
      <c r="G383" s="19" t="str">
        <f t="shared" si="16"/>
        <v/>
      </c>
      <c r="J383" s="28">
        <f t="shared" si="18"/>
        <v>-0.11855670103092786</v>
      </c>
    </row>
    <row r="384" spans="1:10">
      <c r="A384" s="3">
        <v>197</v>
      </c>
      <c r="B384" t="s">
        <v>407</v>
      </c>
      <c r="C384" t="s">
        <v>8</v>
      </c>
      <c r="E384" s="3">
        <f t="shared" si="19"/>
        <v>7</v>
      </c>
      <c r="F384" s="5">
        <v>44213.625</v>
      </c>
      <c r="G384" s="19" t="str">
        <f t="shared" si="16"/>
        <v/>
      </c>
      <c r="J384" s="28">
        <f t="shared" si="18"/>
        <v>5.9139784946236507E-2</v>
      </c>
    </row>
    <row r="385" spans="1:10">
      <c r="A385" s="3">
        <v>448</v>
      </c>
      <c r="B385" t="s">
        <v>408</v>
      </c>
      <c r="C385" t="s">
        <v>8</v>
      </c>
      <c r="E385" s="3">
        <f t="shared" si="19"/>
        <v>1</v>
      </c>
      <c r="F385" s="5">
        <v>44214.625</v>
      </c>
      <c r="G385" s="19" t="str">
        <f t="shared" si="16"/>
        <v>2021-W03</v>
      </c>
      <c r="H385">
        <f>SUM(A385:A391)</f>
        <v>2349</v>
      </c>
      <c r="I385" s="28">
        <f>H385/H378-1</f>
        <v>0.33617747440273038</v>
      </c>
      <c r="J385" s="28">
        <f t="shared" si="18"/>
        <v>0.16062176165803099</v>
      </c>
    </row>
    <row r="386" spans="1:10">
      <c r="A386" s="3">
        <v>342</v>
      </c>
      <c r="B386" t="s">
        <v>409</v>
      </c>
      <c r="C386" t="s">
        <v>8</v>
      </c>
      <c r="E386" s="3">
        <f t="shared" si="19"/>
        <v>2</v>
      </c>
      <c r="F386" s="5">
        <v>44215.625</v>
      </c>
      <c r="G386" s="19" t="str">
        <f t="shared" si="16"/>
        <v/>
      </c>
      <c r="J386" s="28">
        <f t="shared" si="18"/>
        <v>0.49344978165938858</v>
      </c>
    </row>
    <row r="387" spans="1:10">
      <c r="A387" s="3">
        <v>406</v>
      </c>
      <c r="B387" t="s">
        <v>410</v>
      </c>
      <c r="C387" t="s">
        <v>8</v>
      </c>
      <c r="E387" s="3">
        <f t="shared" si="19"/>
        <v>3</v>
      </c>
      <c r="F387" s="5">
        <v>44216.625</v>
      </c>
      <c r="G387" s="19" t="str">
        <f t="shared" ref="G387:G450" si="20">IF(WEEKDAY(F387,2)=1,YEAR(F387)&amp;"-W"&amp;TEXT(WEEKNUM(F387,14),"00"),"")</f>
        <v/>
      </c>
      <c r="J387" s="28">
        <f t="shared" si="18"/>
        <v>0.56153846153846154</v>
      </c>
    </row>
    <row r="388" spans="1:10">
      <c r="A388" s="3">
        <v>377</v>
      </c>
      <c r="B388" t="s">
        <v>411</v>
      </c>
      <c r="C388" t="s">
        <v>8</v>
      </c>
      <c r="E388" s="3">
        <f t="shared" si="19"/>
        <v>4</v>
      </c>
      <c r="F388" s="5">
        <v>44217.625</v>
      </c>
      <c r="G388" s="19" t="str">
        <f t="shared" si="20"/>
        <v/>
      </c>
      <c r="J388" s="28">
        <f t="shared" si="18"/>
        <v>0.51405622489959835</v>
      </c>
    </row>
    <row r="389" spans="1:10">
      <c r="A389" s="3">
        <v>361</v>
      </c>
      <c r="B389" t="s">
        <v>412</v>
      </c>
      <c r="C389" t="s">
        <v>8</v>
      </c>
      <c r="E389" s="3">
        <f t="shared" si="19"/>
        <v>5</v>
      </c>
      <c r="F389" s="5">
        <v>44218.625</v>
      </c>
      <c r="G389" s="19" t="str">
        <f t="shared" si="20"/>
        <v/>
      </c>
      <c r="J389" s="28">
        <f t="shared" si="18"/>
        <v>0.35714285714285721</v>
      </c>
    </row>
    <row r="390" spans="1:10">
      <c r="A390" s="3">
        <v>168</v>
      </c>
      <c r="B390" t="s">
        <v>413</v>
      </c>
      <c r="C390" t="s">
        <v>8</v>
      </c>
      <c r="E390" s="3">
        <f t="shared" si="19"/>
        <v>6</v>
      </c>
      <c r="F390" s="5">
        <v>44219.625</v>
      </c>
      <c r="G390" s="19" t="str">
        <f t="shared" si="20"/>
        <v/>
      </c>
      <c r="J390" s="28">
        <f t="shared" si="18"/>
        <v>-1.7543859649122862E-2</v>
      </c>
    </row>
    <row r="391" spans="1:10">
      <c r="A391" s="3">
        <v>247</v>
      </c>
      <c r="B391" t="s">
        <v>414</v>
      </c>
      <c r="C391" t="s">
        <v>8</v>
      </c>
      <c r="E391" s="3">
        <f t="shared" si="19"/>
        <v>7</v>
      </c>
      <c r="F391" s="5">
        <v>44220.625</v>
      </c>
      <c r="G391" s="19" t="str">
        <f t="shared" si="20"/>
        <v/>
      </c>
      <c r="J391" s="28">
        <f t="shared" si="18"/>
        <v>0.25380710659898487</v>
      </c>
    </row>
    <row r="392" spans="1:10">
      <c r="A392" s="3">
        <v>605</v>
      </c>
      <c r="B392" t="s">
        <v>415</v>
      </c>
      <c r="C392" t="s">
        <v>8</v>
      </c>
      <c r="E392" s="3">
        <f t="shared" si="19"/>
        <v>1</v>
      </c>
      <c r="F392" s="5">
        <v>44221.625</v>
      </c>
      <c r="G392" s="19" t="str">
        <f t="shared" si="20"/>
        <v>2021-W04</v>
      </c>
      <c r="H392">
        <f>SUM(A392:A398)</f>
        <v>2702</v>
      </c>
      <c r="I392" s="28">
        <f>H392/H385-1</f>
        <v>0.15027671349510441</v>
      </c>
      <c r="J392" s="28">
        <f t="shared" si="18"/>
        <v>0.3504464285714286</v>
      </c>
    </row>
    <row r="393" spans="1:10">
      <c r="A393" s="3">
        <v>397</v>
      </c>
      <c r="B393" t="s">
        <v>416</v>
      </c>
      <c r="C393" t="s">
        <v>8</v>
      </c>
      <c r="E393" s="3">
        <f t="shared" si="19"/>
        <v>2</v>
      </c>
      <c r="F393" s="5">
        <v>44222.625</v>
      </c>
      <c r="G393" s="19" t="str">
        <f t="shared" si="20"/>
        <v/>
      </c>
      <c r="J393" s="28">
        <f t="shared" ref="J393:J456" si="21">A393/A386-1</f>
        <v>0.16081871345029231</v>
      </c>
    </row>
    <row r="394" spans="1:10">
      <c r="A394" s="3">
        <v>382</v>
      </c>
      <c r="B394" t="s">
        <v>417</v>
      </c>
      <c r="C394" t="s">
        <v>8</v>
      </c>
      <c r="E394" s="3">
        <f t="shared" si="19"/>
        <v>3</v>
      </c>
      <c r="F394" s="5">
        <v>44223.625</v>
      </c>
      <c r="G394" s="19" t="str">
        <f t="shared" si="20"/>
        <v/>
      </c>
      <c r="J394" s="28">
        <f t="shared" si="21"/>
        <v>-5.9113300492610876E-2</v>
      </c>
    </row>
    <row r="395" spans="1:10">
      <c r="A395" s="3">
        <v>435</v>
      </c>
      <c r="B395" t="s">
        <v>418</v>
      </c>
      <c r="C395" t="s">
        <v>8</v>
      </c>
      <c r="E395" s="3">
        <f t="shared" si="19"/>
        <v>4</v>
      </c>
      <c r="F395" s="5">
        <v>44224.625</v>
      </c>
      <c r="G395" s="19" t="str">
        <f t="shared" si="20"/>
        <v/>
      </c>
      <c r="J395" s="28">
        <f t="shared" si="21"/>
        <v>0.15384615384615374</v>
      </c>
    </row>
    <row r="396" spans="1:10">
      <c r="A396" s="3">
        <v>378</v>
      </c>
      <c r="B396" t="s">
        <v>419</v>
      </c>
      <c r="C396" t="s">
        <v>8</v>
      </c>
      <c r="E396" s="3">
        <f t="shared" si="19"/>
        <v>5</v>
      </c>
      <c r="F396" s="5">
        <v>44225.625</v>
      </c>
      <c r="G396" s="19" t="str">
        <f t="shared" si="20"/>
        <v/>
      </c>
      <c r="J396" s="28">
        <f t="shared" si="21"/>
        <v>4.7091412742382266E-2</v>
      </c>
    </row>
    <row r="397" spans="1:10">
      <c r="A397" s="3">
        <v>232</v>
      </c>
      <c r="B397" t="s">
        <v>421</v>
      </c>
      <c r="C397" t="s">
        <v>8</v>
      </c>
      <c r="E397" s="3">
        <f t="shared" si="19"/>
        <v>6</v>
      </c>
      <c r="F397" s="5">
        <v>44226.625</v>
      </c>
      <c r="G397" s="19" t="str">
        <f t="shared" si="20"/>
        <v/>
      </c>
      <c r="J397" s="28">
        <f t="shared" si="21"/>
        <v>0.38095238095238093</v>
      </c>
    </row>
    <row r="398" spans="1:10">
      <c r="A398" s="3">
        <v>273</v>
      </c>
      <c r="B398" t="s">
        <v>422</v>
      </c>
      <c r="C398" t="s">
        <v>8</v>
      </c>
      <c r="E398" s="3">
        <f t="shared" si="19"/>
        <v>7</v>
      </c>
      <c r="F398" s="5">
        <v>44227.625</v>
      </c>
      <c r="G398" s="19" t="str">
        <f t="shared" si="20"/>
        <v/>
      </c>
      <c r="J398" s="28">
        <f t="shared" si="21"/>
        <v>0.10526315789473695</v>
      </c>
    </row>
    <row r="399" spans="1:10">
      <c r="A399" s="3">
        <v>534</v>
      </c>
      <c r="B399" t="s">
        <v>423</v>
      </c>
      <c r="C399" t="s">
        <v>8</v>
      </c>
      <c r="E399" s="3">
        <f t="shared" si="19"/>
        <v>1</v>
      </c>
      <c r="F399" s="5">
        <v>44228.625</v>
      </c>
      <c r="G399" s="19" t="str">
        <f t="shared" si="20"/>
        <v>2021-W05</v>
      </c>
      <c r="H399">
        <f>SUM(A399:A405)</f>
        <v>2613</v>
      </c>
      <c r="I399" s="28">
        <f>H399/H392-1</f>
        <v>-3.2938564026646966E-2</v>
      </c>
      <c r="J399" s="28">
        <f t="shared" si="21"/>
        <v>-0.11735537190082646</v>
      </c>
    </row>
    <row r="400" spans="1:10">
      <c r="A400" s="3">
        <v>396</v>
      </c>
      <c r="B400" t="s">
        <v>424</v>
      </c>
      <c r="C400" t="s">
        <v>8</v>
      </c>
      <c r="E400" s="3">
        <f t="shared" si="19"/>
        <v>2</v>
      </c>
      <c r="F400" s="5">
        <v>44229.625</v>
      </c>
      <c r="G400" s="19" t="str">
        <f t="shared" si="20"/>
        <v/>
      </c>
      <c r="J400" s="28">
        <f t="shared" si="21"/>
        <v>-2.5188916876573986E-3</v>
      </c>
    </row>
    <row r="401" spans="1:10">
      <c r="A401" s="3">
        <v>441</v>
      </c>
      <c r="B401" t="s">
        <v>425</v>
      </c>
      <c r="C401" t="s">
        <v>8</v>
      </c>
      <c r="E401" s="3">
        <f t="shared" si="19"/>
        <v>3</v>
      </c>
      <c r="F401" s="5">
        <v>44230.625</v>
      </c>
      <c r="G401" s="19" t="str">
        <f t="shared" si="20"/>
        <v/>
      </c>
      <c r="J401" s="28">
        <f t="shared" si="21"/>
        <v>0.15445026178010468</v>
      </c>
    </row>
    <row r="402" spans="1:10">
      <c r="A402" s="3">
        <v>373</v>
      </c>
      <c r="B402" t="s">
        <v>426</v>
      </c>
      <c r="C402" t="s">
        <v>8</v>
      </c>
      <c r="E402" s="3">
        <f t="shared" si="19"/>
        <v>4</v>
      </c>
      <c r="F402" s="5">
        <v>44231.625</v>
      </c>
      <c r="G402" s="19" t="str">
        <f t="shared" si="20"/>
        <v/>
      </c>
      <c r="J402" s="28">
        <f t="shared" si="21"/>
        <v>-0.14252873563218393</v>
      </c>
    </row>
    <row r="403" spans="1:10">
      <c r="A403" s="3">
        <v>367</v>
      </c>
      <c r="B403" t="s">
        <v>427</v>
      </c>
      <c r="C403" t="s">
        <v>8</v>
      </c>
      <c r="E403" s="3">
        <f t="shared" si="19"/>
        <v>5</v>
      </c>
      <c r="F403" s="5">
        <v>44232.625</v>
      </c>
      <c r="G403" s="19" t="str">
        <f t="shared" si="20"/>
        <v/>
      </c>
      <c r="J403" s="28">
        <f t="shared" si="21"/>
        <v>-2.9100529100529071E-2</v>
      </c>
    </row>
    <row r="404" spans="1:10">
      <c r="A404" s="3">
        <v>238</v>
      </c>
      <c r="B404" t="s">
        <v>428</v>
      </c>
      <c r="C404" t="s">
        <v>8</v>
      </c>
      <c r="E404" s="3">
        <f t="shared" si="19"/>
        <v>6</v>
      </c>
      <c r="F404" s="5">
        <v>44233.625</v>
      </c>
      <c r="G404" s="19" t="str">
        <f t="shared" si="20"/>
        <v/>
      </c>
      <c r="J404" s="28">
        <f t="shared" si="21"/>
        <v>2.5862068965517349E-2</v>
      </c>
    </row>
    <row r="405" spans="1:10">
      <c r="A405" s="3">
        <v>264</v>
      </c>
      <c r="B405" t="s">
        <v>429</v>
      </c>
      <c r="C405" t="s">
        <v>8</v>
      </c>
      <c r="E405" s="3">
        <f t="shared" si="19"/>
        <v>7</v>
      </c>
      <c r="F405" s="5">
        <v>44234.625</v>
      </c>
      <c r="G405" s="19" t="str">
        <f t="shared" si="20"/>
        <v/>
      </c>
      <c r="J405" s="28">
        <f t="shared" si="21"/>
        <v>-3.2967032967032961E-2</v>
      </c>
    </row>
    <row r="406" spans="1:10">
      <c r="A406" s="3">
        <v>461</v>
      </c>
      <c r="B406" t="s">
        <v>437</v>
      </c>
      <c r="C406" t="s">
        <v>8</v>
      </c>
      <c r="E406" s="3">
        <f t="shared" si="19"/>
        <v>1</v>
      </c>
      <c r="F406" s="5">
        <v>44235.625</v>
      </c>
      <c r="G406" s="19" t="str">
        <f t="shared" si="20"/>
        <v>2021-W06</v>
      </c>
      <c r="H406">
        <f>SUM(A406:A412)</f>
        <v>2557</v>
      </c>
      <c r="I406" s="28">
        <f>H406/H399-1</f>
        <v>-2.1431305013394519E-2</v>
      </c>
      <c r="J406" s="28">
        <f t="shared" si="21"/>
        <v>-0.13670411985018727</v>
      </c>
    </row>
    <row r="407" spans="1:10">
      <c r="A407" s="3">
        <v>372</v>
      </c>
      <c r="B407" t="s">
        <v>438</v>
      </c>
      <c r="C407" t="s">
        <v>8</v>
      </c>
      <c r="E407" s="3">
        <f t="shared" si="19"/>
        <v>2</v>
      </c>
      <c r="F407" s="5">
        <v>44236.625</v>
      </c>
      <c r="G407" s="19" t="str">
        <f t="shared" si="20"/>
        <v/>
      </c>
      <c r="J407" s="28">
        <f t="shared" si="21"/>
        <v>-6.0606060606060552E-2</v>
      </c>
    </row>
    <row r="408" spans="1:10">
      <c r="A408" s="3">
        <v>383</v>
      </c>
      <c r="B408" t="s">
        <v>439</v>
      </c>
      <c r="C408" t="s">
        <v>8</v>
      </c>
      <c r="E408" s="3">
        <f t="shared" si="19"/>
        <v>3</v>
      </c>
      <c r="F408" s="5">
        <v>44237.625</v>
      </c>
      <c r="G408" s="19" t="str">
        <f t="shared" si="20"/>
        <v/>
      </c>
      <c r="J408" s="28">
        <f t="shared" si="21"/>
        <v>-0.13151927437641719</v>
      </c>
    </row>
    <row r="409" spans="1:10">
      <c r="A409" s="3">
        <v>361</v>
      </c>
      <c r="B409" t="s">
        <v>440</v>
      </c>
      <c r="C409" t="s">
        <v>8</v>
      </c>
      <c r="E409" s="3">
        <f t="shared" si="19"/>
        <v>4</v>
      </c>
      <c r="F409" s="5">
        <v>44238.625</v>
      </c>
      <c r="G409" s="19" t="str">
        <f t="shared" si="20"/>
        <v/>
      </c>
      <c r="J409" s="28">
        <f t="shared" si="21"/>
        <v>-3.2171581769437019E-2</v>
      </c>
    </row>
    <row r="410" spans="1:10">
      <c r="A410" s="3">
        <v>419</v>
      </c>
      <c r="B410" t="s">
        <v>441</v>
      </c>
      <c r="C410" t="s">
        <v>8</v>
      </c>
      <c r="E410" s="3">
        <f t="shared" si="19"/>
        <v>5</v>
      </c>
      <c r="F410" s="5">
        <v>44239.625</v>
      </c>
      <c r="G410" s="19" t="str">
        <f t="shared" si="20"/>
        <v/>
      </c>
      <c r="J410" s="28">
        <f t="shared" si="21"/>
        <v>0.14168937329700282</v>
      </c>
    </row>
    <row r="411" spans="1:10">
      <c r="A411" s="3">
        <v>279</v>
      </c>
      <c r="B411" t="s">
        <v>442</v>
      </c>
      <c r="C411" t="s">
        <v>8</v>
      </c>
      <c r="E411" s="3">
        <f t="shared" si="19"/>
        <v>6</v>
      </c>
      <c r="F411" s="5">
        <v>44240.625</v>
      </c>
      <c r="G411" s="19" t="str">
        <f t="shared" si="20"/>
        <v/>
      </c>
      <c r="J411" s="28">
        <f t="shared" si="21"/>
        <v>0.17226890756302526</v>
      </c>
    </row>
    <row r="412" spans="1:10">
      <c r="A412" s="3">
        <v>282</v>
      </c>
      <c r="B412" t="s">
        <v>443</v>
      </c>
      <c r="C412" t="s">
        <v>8</v>
      </c>
      <c r="E412" s="3">
        <f t="shared" si="19"/>
        <v>7</v>
      </c>
      <c r="F412" s="5">
        <v>44241.625</v>
      </c>
      <c r="G412" s="19" t="str">
        <f t="shared" si="20"/>
        <v/>
      </c>
      <c r="J412" s="28">
        <f t="shared" si="21"/>
        <v>6.8181818181818121E-2</v>
      </c>
    </row>
    <row r="413" spans="1:10" s="10" customFormat="1">
      <c r="A413" s="14">
        <v>616</v>
      </c>
      <c r="B413" s="10" t="s">
        <v>444</v>
      </c>
      <c r="C413" s="10" t="s">
        <v>8</v>
      </c>
      <c r="E413" s="14">
        <f t="shared" si="19"/>
        <v>1</v>
      </c>
      <c r="F413" s="18">
        <v>44242.625</v>
      </c>
      <c r="G413" s="19" t="str">
        <f t="shared" si="20"/>
        <v>2021-W07</v>
      </c>
      <c r="H413" s="10">
        <f>SUM(A413:A419)</f>
        <v>3541</v>
      </c>
      <c r="I413" s="34">
        <f>H413/H406-1</f>
        <v>0.38482596793116941</v>
      </c>
      <c r="J413" s="28">
        <f t="shared" si="21"/>
        <v>0.33622559652928419</v>
      </c>
    </row>
    <row r="414" spans="1:10">
      <c r="A414" s="3">
        <v>514</v>
      </c>
      <c r="B414" t="s">
        <v>445</v>
      </c>
      <c r="C414" t="s">
        <v>8</v>
      </c>
      <c r="E414" s="3">
        <f t="shared" si="19"/>
        <v>2</v>
      </c>
      <c r="F414" s="5">
        <v>44243.625</v>
      </c>
      <c r="G414" s="19" t="str">
        <f t="shared" si="20"/>
        <v/>
      </c>
      <c r="J414" s="28">
        <f t="shared" si="21"/>
        <v>0.38172043010752699</v>
      </c>
    </row>
    <row r="415" spans="1:10">
      <c r="A415" s="3">
        <v>553</v>
      </c>
      <c r="B415" t="s">
        <v>446</v>
      </c>
      <c r="C415" t="s">
        <v>8</v>
      </c>
      <c r="E415" s="3">
        <f t="shared" si="19"/>
        <v>3</v>
      </c>
      <c r="F415" s="5">
        <v>44244.625</v>
      </c>
      <c r="G415" s="19" t="str">
        <f t="shared" si="20"/>
        <v/>
      </c>
      <c r="J415" s="28">
        <f t="shared" si="21"/>
        <v>0.44386422976501305</v>
      </c>
    </row>
    <row r="416" spans="1:10">
      <c r="A416" s="3">
        <v>611</v>
      </c>
      <c r="B416" t="s">
        <v>447</v>
      </c>
      <c r="C416" t="s">
        <v>8</v>
      </c>
      <c r="E416" s="3">
        <f t="shared" si="19"/>
        <v>4</v>
      </c>
      <c r="F416" s="5">
        <v>44245.625</v>
      </c>
      <c r="G416" s="19" t="str">
        <f t="shared" si="20"/>
        <v/>
      </c>
      <c r="J416" s="28">
        <f t="shared" si="21"/>
        <v>0.69252077562326875</v>
      </c>
    </row>
    <row r="417" spans="1:10">
      <c r="A417" s="3">
        <v>573</v>
      </c>
      <c r="B417" t="s">
        <v>448</v>
      </c>
      <c r="C417" t="s">
        <v>8</v>
      </c>
      <c r="E417" s="3">
        <f t="shared" si="19"/>
        <v>5</v>
      </c>
      <c r="F417" s="5">
        <v>44246.625</v>
      </c>
      <c r="G417" s="19" t="str">
        <f t="shared" si="20"/>
        <v/>
      </c>
      <c r="J417" s="28">
        <f t="shared" si="21"/>
        <v>0.36754176610978528</v>
      </c>
    </row>
    <row r="418" spans="1:10">
      <c r="A418" s="3">
        <v>318</v>
      </c>
      <c r="B418" t="s">
        <v>450</v>
      </c>
      <c r="C418" t="s">
        <v>8</v>
      </c>
      <c r="E418" s="3">
        <f t="shared" si="19"/>
        <v>6</v>
      </c>
      <c r="F418" s="5">
        <v>44247.625</v>
      </c>
      <c r="G418" s="19" t="str">
        <f t="shared" si="20"/>
        <v/>
      </c>
      <c r="J418" s="28">
        <f t="shared" si="21"/>
        <v>0.13978494623655924</v>
      </c>
    </row>
    <row r="419" spans="1:10">
      <c r="A419" s="3">
        <v>356</v>
      </c>
      <c r="B419" t="s">
        <v>451</v>
      </c>
      <c r="C419" t="s">
        <v>8</v>
      </c>
      <c r="E419" s="3">
        <f t="shared" si="19"/>
        <v>7</v>
      </c>
      <c r="F419" s="5">
        <v>44248.625</v>
      </c>
      <c r="G419" s="19" t="str">
        <f t="shared" si="20"/>
        <v/>
      </c>
      <c r="J419" s="28">
        <f t="shared" si="21"/>
        <v>0.26241134751773054</v>
      </c>
    </row>
    <row r="420" spans="1:10">
      <c r="A420" s="3">
        <v>623</v>
      </c>
      <c r="B420" t="s">
        <v>452</v>
      </c>
      <c r="C420" t="s">
        <v>8</v>
      </c>
      <c r="E420" s="3">
        <f t="shared" si="19"/>
        <v>1</v>
      </c>
      <c r="F420" s="5">
        <v>44249.625</v>
      </c>
      <c r="G420" s="19" t="str">
        <f t="shared" si="20"/>
        <v>2021-W08</v>
      </c>
      <c r="H420">
        <f>SUM(A420:A426)</f>
        <v>3985</v>
      </c>
      <c r="I420" s="28">
        <f>H420/H413-1</f>
        <v>0.12538830838746118</v>
      </c>
      <c r="J420" s="28">
        <f t="shared" si="21"/>
        <v>1.1363636363636465E-2</v>
      </c>
    </row>
    <row r="421" spans="1:10">
      <c r="A421" s="3">
        <v>626</v>
      </c>
      <c r="B421" t="s">
        <v>455</v>
      </c>
      <c r="C421" t="s">
        <v>8</v>
      </c>
      <c r="E421" s="3">
        <f t="shared" si="19"/>
        <v>2</v>
      </c>
      <c r="F421" s="5">
        <v>44250.625</v>
      </c>
      <c r="G421" s="19" t="str">
        <f t="shared" si="20"/>
        <v/>
      </c>
      <c r="J421" s="28">
        <f t="shared" si="21"/>
        <v>0.21789883268482479</v>
      </c>
    </row>
    <row r="422" spans="1:10">
      <c r="A422" s="3">
        <v>598</v>
      </c>
      <c r="B422" t="s">
        <v>461</v>
      </c>
      <c r="C422" t="s">
        <v>8</v>
      </c>
      <c r="E422" s="3">
        <f t="shared" si="19"/>
        <v>3</v>
      </c>
      <c r="F422" s="5">
        <v>44251.625</v>
      </c>
      <c r="G422" s="19" t="str">
        <f t="shared" si="20"/>
        <v/>
      </c>
      <c r="J422" s="28">
        <f t="shared" si="21"/>
        <v>8.1374321880651079E-2</v>
      </c>
    </row>
    <row r="423" spans="1:10">
      <c r="A423" s="3">
        <v>629</v>
      </c>
      <c r="B423" t="s">
        <v>463</v>
      </c>
      <c r="C423" t="s">
        <v>8</v>
      </c>
      <c r="E423" s="3">
        <f t="shared" si="19"/>
        <v>4</v>
      </c>
      <c r="F423" s="5">
        <v>44252.625</v>
      </c>
      <c r="G423" s="19" t="str">
        <f t="shared" si="20"/>
        <v/>
      </c>
      <c r="J423" s="28">
        <f t="shared" si="21"/>
        <v>2.9459901800327426E-2</v>
      </c>
    </row>
    <row r="424" spans="1:10">
      <c r="A424" s="3">
        <v>686</v>
      </c>
      <c r="B424" t="s">
        <v>464</v>
      </c>
      <c r="C424" t="s">
        <v>8</v>
      </c>
      <c r="E424" s="3">
        <f t="shared" si="19"/>
        <v>5</v>
      </c>
      <c r="F424" s="5">
        <v>44253.625</v>
      </c>
      <c r="G424" s="19" t="str">
        <f t="shared" si="20"/>
        <v/>
      </c>
      <c r="J424" s="28">
        <f t="shared" si="21"/>
        <v>0.19720767888307145</v>
      </c>
    </row>
    <row r="425" spans="1:10">
      <c r="A425" s="3">
        <v>401</v>
      </c>
      <c r="B425" t="s">
        <v>469</v>
      </c>
      <c r="C425" t="s">
        <v>8</v>
      </c>
      <c r="E425" s="3">
        <f t="shared" si="19"/>
        <v>6</v>
      </c>
      <c r="F425" s="5">
        <v>44254.625</v>
      </c>
      <c r="G425" s="19" t="str">
        <f t="shared" si="20"/>
        <v/>
      </c>
      <c r="J425" s="28">
        <f t="shared" si="21"/>
        <v>0.26100628930817615</v>
      </c>
    </row>
    <row r="426" spans="1:10">
      <c r="A426" s="3">
        <v>422</v>
      </c>
      <c r="B426" t="s">
        <v>470</v>
      </c>
      <c r="C426" t="s">
        <v>8</v>
      </c>
      <c r="E426" s="3">
        <f t="shared" si="19"/>
        <v>7</v>
      </c>
      <c r="F426" s="5">
        <v>44255.625</v>
      </c>
      <c r="G426" s="19" t="str">
        <f t="shared" si="20"/>
        <v/>
      </c>
      <c r="J426" s="28">
        <f t="shared" si="21"/>
        <v>0.18539325842696619</v>
      </c>
    </row>
    <row r="427" spans="1:10">
      <c r="A427" s="3">
        <v>875</v>
      </c>
      <c r="B427" t="s">
        <v>471</v>
      </c>
      <c r="C427" t="s">
        <v>8</v>
      </c>
      <c r="E427" s="3">
        <f t="shared" si="19"/>
        <v>1</v>
      </c>
      <c r="F427" s="5">
        <v>44256.625</v>
      </c>
      <c r="G427" s="19" t="str">
        <f t="shared" si="20"/>
        <v>2021-W09</v>
      </c>
      <c r="H427">
        <f>SUM(A427:A433)</f>
        <v>4463</v>
      </c>
      <c r="I427" s="28">
        <f>H427/H420-1</f>
        <v>0.11994981179422837</v>
      </c>
      <c r="J427" s="28">
        <f t="shared" si="21"/>
        <v>0.40449438202247201</v>
      </c>
    </row>
    <row r="428" spans="1:10">
      <c r="A428" s="3">
        <v>758</v>
      </c>
      <c r="B428" t="s">
        <v>472</v>
      </c>
      <c r="C428" t="s">
        <v>8</v>
      </c>
      <c r="E428" s="3">
        <f t="shared" si="19"/>
        <v>2</v>
      </c>
      <c r="F428" s="5">
        <v>44257.625</v>
      </c>
      <c r="G428" s="19" t="str">
        <f t="shared" si="20"/>
        <v/>
      </c>
      <c r="J428" s="28">
        <f t="shared" si="21"/>
        <v>0.21086261980830678</v>
      </c>
    </row>
    <row r="429" spans="1:10">
      <c r="A429" s="3">
        <v>732</v>
      </c>
      <c r="B429" t="s">
        <v>473</v>
      </c>
      <c r="C429" t="s">
        <v>8</v>
      </c>
      <c r="E429" s="3">
        <f t="shared" si="19"/>
        <v>3</v>
      </c>
      <c r="F429" s="5">
        <v>44258.625</v>
      </c>
      <c r="G429" s="19" t="str">
        <f t="shared" si="20"/>
        <v/>
      </c>
      <c r="J429" s="28">
        <f t="shared" si="21"/>
        <v>0.2240802675585285</v>
      </c>
    </row>
    <row r="430" spans="1:10">
      <c r="A430" s="3">
        <v>640</v>
      </c>
      <c r="B430" t="s">
        <v>474</v>
      </c>
      <c r="C430" t="s">
        <v>8</v>
      </c>
      <c r="E430" s="3">
        <f t="shared" si="19"/>
        <v>4</v>
      </c>
      <c r="F430" s="5">
        <v>44259.625</v>
      </c>
      <c r="G430" s="19" t="str">
        <f t="shared" si="20"/>
        <v/>
      </c>
      <c r="J430" s="28">
        <f t="shared" si="21"/>
        <v>1.7488076311605649E-2</v>
      </c>
    </row>
    <row r="431" spans="1:10">
      <c r="A431" s="3">
        <v>630</v>
      </c>
      <c r="B431" t="s">
        <v>475</v>
      </c>
      <c r="C431" t="s">
        <v>8</v>
      </c>
      <c r="E431" s="3">
        <f t="shared" si="19"/>
        <v>5</v>
      </c>
      <c r="F431" s="5">
        <v>44260.625</v>
      </c>
      <c r="G431" s="19" t="str">
        <f t="shared" si="20"/>
        <v/>
      </c>
      <c r="J431" s="28">
        <f t="shared" si="21"/>
        <v>-8.1632653061224469E-2</v>
      </c>
    </row>
    <row r="432" spans="1:10">
      <c r="A432" s="3">
        <v>433</v>
      </c>
      <c r="B432" t="s">
        <v>476</v>
      </c>
      <c r="C432" t="s">
        <v>8</v>
      </c>
      <c r="E432" s="3">
        <f t="shared" si="19"/>
        <v>6</v>
      </c>
      <c r="F432" s="5">
        <v>44261.625</v>
      </c>
      <c r="G432" s="19" t="str">
        <f t="shared" si="20"/>
        <v/>
      </c>
      <c r="J432" s="28">
        <f t="shared" si="21"/>
        <v>7.9800498753117122E-2</v>
      </c>
    </row>
    <row r="433" spans="1:10">
      <c r="A433" s="3">
        <v>395</v>
      </c>
      <c r="B433" t="s">
        <v>477</v>
      </c>
      <c r="C433" t="s">
        <v>8</v>
      </c>
      <c r="E433" s="3">
        <f t="shared" si="19"/>
        <v>7</v>
      </c>
      <c r="F433" s="5">
        <v>44262.625</v>
      </c>
      <c r="G433" s="19" t="str">
        <f t="shared" si="20"/>
        <v/>
      </c>
      <c r="J433" s="28">
        <f t="shared" si="21"/>
        <v>-6.3981042654028486E-2</v>
      </c>
    </row>
    <row r="434" spans="1:10">
      <c r="A434" s="3">
        <v>834</v>
      </c>
      <c r="B434" t="s">
        <v>478</v>
      </c>
      <c r="C434" t="s">
        <v>8</v>
      </c>
      <c r="E434" s="3">
        <f t="shared" si="19"/>
        <v>1</v>
      </c>
      <c r="F434" s="5">
        <v>44263.625</v>
      </c>
      <c r="G434" s="19" t="str">
        <f t="shared" si="20"/>
        <v>2021-W10</v>
      </c>
      <c r="H434">
        <f>SUM(A434:A440)</f>
        <v>4941</v>
      </c>
      <c r="I434" s="28">
        <f>H434/H427-1</f>
        <v>0.10710284561953842</v>
      </c>
      <c r="J434" s="28">
        <f t="shared" si="21"/>
        <v>-4.6857142857142819E-2</v>
      </c>
    </row>
    <row r="435" spans="1:10">
      <c r="A435" s="3">
        <v>773</v>
      </c>
      <c r="B435" t="s">
        <v>479</v>
      </c>
      <c r="C435" t="s">
        <v>8</v>
      </c>
      <c r="E435" s="3">
        <f t="shared" si="19"/>
        <v>2</v>
      </c>
      <c r="F435" s="5">
        <v>44264.625</v>
      </c>
      <c r="G435" s="19" t="str">
        <f t="shared" si="20"/>
        <v/>
      </c>
      <c r="J435" s="28">
        <f t="shared" si="21"/>
        <v>1.978891820580464E-2</v>
      </c>
    </row>
    <row r="436" spans="1:10">
      <c r="A436" s="3">
        <v>822</v>
      </c>
      <c r="B436" t="s">
        <v>480</v>
      </c>
      <c r="C436" t="s">
        <v>8</v>
      </c>
      <c r="E436" s="3">
        <f t="shared" si="19"/>
        <v>3</v>
      </c>
      <c r="F436" s="5">
        <v>44265.625</v>
      </c>
      <c r="G436" s="19" t="str">
        <f t="shared" si="20"/>
        <v/>
      </c>
      <c r="J436" s="28">
        <f t="shared" si="21"/>
        <v>0.12295081967213117</v>
      </c>
    </row>
    <row r="437" spans="1:10">
      <c r="A437" s="3">
        <v>779</v>
      </c>
      <c r="B437" t="s">
        <v>481</v>
      </c>
      <c r="C437" t="s">
        <v>8</v>
      </c>
      <c r="E437" s="3">
        <f t="shared" si="19"/>
        <v>4</v>
      </c>
      <c r="F437" s="5">
        <v>44266.625</v>
      </c>
      <c r="G437" s="19" t="str">
        <f t="shared" si="20"/>
        <v/>
      </c>
      <c r="J437" s="28">
        <f t="shared" si="21"/>
        <v>0.21718750000000009</v>
      </c>
    </row>
    <row r="438" spans="1:10">
      <c r="A438" s="3">
        <v>808</v>
      </c>
      <c r="B438" t="s">
        <v>482</v>
      </c>
      <c r="C438" t="s">
        <v>8</v>
      </c>
      <c r="E438" s="3">
        <f t="shared" si="19"/>
        <v>5</v>
      </c>
      <c r="F438" s="5">
        <v>44267.625</v>
      </c>
      <c r="G438" s="19" t="str">
        <f t="shared" si="20"/>
        <v/>
      </c>
      <c r="J438" s="28">
        <f t="shared" si="21"/>
        <v>0.28253968253968265</v>
      </c>
    </row>
    <row r="439" spans="1:10">
      <c r="A439" s="3">
        <v>491</v>
      </c>
      <c r="B439" t="s">
        <v>483</v>
      </c>
      <c r="C439" t="s">
        <v>8</v>
      </c>
      <c r="E439" s="3">
        <f t="shared" si="19"/>
        <v>6</v>
      </c>
      <c r="F439" s="5">
        <v>44268.625</v>
      </c>
      <c r="G439" s="19" t="str">
        <f t="shared" si="20"/>
        <v/>
      </c>
      <c r="J439" s="28">
        <f t="shared" si="21"/>
        <v>0.13394919168591235</v>
      </c>
    </row>
    <row r="440" spans="1:10">
      <c r="A440" s="3">
        <v>434</v>
      </c>
      <c r="B440" t="s">
        <v>484</v>
      </c>
      <c r="C440" t="s">
        <v>8</v>
      </c>
      <c r="E440" s="3">
        <f t="shared" si="19"/>
        <v>7</v>
      </c>
      <c r="F440" s="5">
        <v>44269.625</v>
      </c>
      <c r="G440" s="19" t="str">
        <f t="shared" si="20"/>
        <v/>
      </c>
      <c r="J440" s="28">
        <f t="shared" si="21"/>
        <v>9.8734177215189955E-2</v>
      </c>
    </row>
    <row r="441" spans="1:10">
      <c r="A441" s="3">
        <v>892</v>
      </c>
      <c r="B441" t="s">
        <v>485</v>
      </c>
      <c r="C441" t="s">
        <v>8</v>
      </c>
      <c r="E441" s="3">
        <f t="shared" si="19"/>
        <v>1</v>
      </c>
      <c r="F441" s="5">
        <v>44270.625</v>
      </c>
      <c r="G441" s="19" t="str">
        <f t="shared" si="20"/>
        <v>2021-W11</v>
      </c>
      <c r="H441">
        <f>SUM(A441:A447)</f>
        <v>4706</v>
      </c>
      <c r="I441" s="28">
        <f>H441/H434-1</f>
        <v>-4.7561222424610361E-2</v>
      </c>
      <c r="J441" s="28">
        <f t="shared" si="21"/>
        <v>6.9544364508393297E-2</v>
      </c>
    </row>
    <row r="442" spans="1:10">
      <c r="A442" s="3">
        <v>767</v>
      </c>
      <c r="B442" t="s">
        <v>486</v>
      </c>
      <c r="C442" t="s">
        <v>8</v>
      </c>
      <c r="E442" s="3">
        <f t="shared" si="19"/>
        <v>2</v>
      </c>
      <c r="F442" s="5">
        <v>44271.625</v>
      </c>
      <c r="G442" s="19" t="str">
        <f t="shared" si="20"/>
        <v/>
      </c>
      <c r="J442" s="28">
        <f t="shared" si="21"/>
        <v>-7.7619663648124115E-3</v>
      </c>
    </row>
    <row r="443" spans="1:10">
      <c r="A443" s="3">
        <v>743</v>
      </c>
      <c r="B443" t="s">
        <v>487</v>
      </c>
      <c r="C443" t="s">
        <v>8</v>
      </c>
      <c r="E443" s="3">
        <f t="shared" si="19"/>
        <v>3</v>
      </c>
      <c r="F443" s="5">
        <v>44272.625</v>
      </c>
      <c r="G443" s="19" t="str">
        <f t="shared" si="20"/>
        <v/>
      </c>
      <c r="J443" s="28">
        <f t="shared" si="21"/>
        <v>-9.6107055961070609E-2</v>
      </c>
    </row>
    <row r="444" spans="1:10">
      <c r="A444" s="3">
        <v>735</v>
      </c>
      <c r="B444" t="s">
        <v>488</v>
      </c>
      <c r="C444" t="s">
        <v>8</v>
      </c>
      <c r="E444" s="3">
        <f t="shared" si="19"/>
        <v>4</v>
      </c>
      <c r="F444" s="5">
        <v>44273.625</v>
      </c>
      <c r="G444" s="19" t="str">
        <f t="shared" si="20"/>
        <v/>
      </c>
      <c r="J444" s="28">
        <f t="shared" si="21"/>
        <v>-5.6482670089858744E-2</v>
      </c>
    </row>
    <row r="445" spans="1:10">
      <c r="A445" s="3">
        <v>745</v>
      </c>
      <c r="B445" t="s">
        <v>489</v>
      </c>
      <c r="C445" t="s">
        <v>8</v>
      </c>
      <c r="E445" s="3">
        <f t="shared" si="19"/>
        <v>5</v>
      </c>
      <c r="F445" s="5">
        <v>44274.625</v>
      </c>
      <c r="G445" s="19" t="str">
        <f t="shared" si="20"/>
        <v/>
      </c>
      <c r="J445" s="28">
        <f t="shared" si="21"/>
        <v>-7.7970297029702929E-2</v>
      </c>
    </row>
    <row r="446" spans="1:10">
      <c r="A446" s="3">
        <v>404</v>
      </c>
      <c r="B446" t="s">
        <v>490</v>
      </c>
      <c r="C446" t="s">
        <v>8</v>
      </c>
      <c r="E446" s="3">
        <f t="shared" si="19"/>
        <v>6</v>
      </c>
      <c r="F446" s="5">
        <v>44275.625</v>
      </c>
      <c r="G446" s="19" t="str">
        <f t="shared" si="20"/>
        <v/>
      </c>
      <c r="J446" s="28">
        <f t="shared" si="21"/>
        <v>-0.17718940936863548</v>
      </c>
    </row>
    <row r="447" spans="1:10">
      <c r="A447" s="3">
        <v>420</v>
      </c>
      <c r="B447" t="s">
        <v>491</v>
      </c>
      <c r="C447" t="s">
        <v>8</v>
      </c>
      <c r="E447" s="3">
        <f t="shared" ref="E447:E510" si="22">WEEKDAY(F447,2)</f>
        <v>7</v>
      </c>
      <c r="F447" s="5">
        <v>44276.625</v>
      </c>
      <c r="G447" s="19" t="str">
        <f t="shared" si="20"/>
        <v/>
      </c>
      <c r="J447" s="28">
        <f t="shared" si="21"/>
        <v>-3.2258064516129004E-2</v>
      </c>
    </row>
    <row r="448" spans="1:10">
      <c r="A448" s="3">
        <v>769</v>
      </c>
      <c r="B448" t="s">
        <v>492</v>
      </c>
      <c r="C448" t="s">
        <v>8</v>
      </c>
      <c r="E448" s="3">
        <f t="shared" si="22"/>
        <v>1</v>
      </c>
      <c r="F448" s="5">
        <v>44277.625</v>
      </c>
      <c r="G448" s="19" t="str">
        <f t="shared" si="20"/>
        <v>2021-W12</v>
      </c>
      <c r="H448">
        <f>SUM(A448:A454)</f>
        <v>4184</v>
      </c>
      <c r="I448" s="28">
        <f>H448/H441-1</f>
        <v>-0.11092222694432641</v>
      </c>
      <c r="J448" s="28">
        <f t="shared" si="21"/>
        <v>-0.13789237668161436</v>
      </c>
    </row>
    <row r="449" spans="1:10">
      <c r="A449" s="3">
        <v>703</v>
      </c>
      <c r="B449" t="s">
        <v>493</v>
      </c>
      <c r="C449" t="s">
        <v>8</v>
      </c>
      <c r="E449" s="3">
        <f t="shared" si="22"/>
        <v>2</v>
      </c>
      <c r="F449" s="5">
        <v>44278.625</v>
      </c>
      <c r="G449" s="19" t="str">
        <f t="shared" si="20"/>
        <v/>
      </c>
      <c r="J449" s="28">
        <f t="shared" si="21"/>
        <v>-8.3441981747066518E-2</v>
      </c>
    </row>
    <row r="450" spans="1:10">
      <c r="A450" s="3">
        <v>695</v>
      </c>
      <c r="B450" t="s">
        <v>494</v>
      </c>
      <c r="C450" t="s">
        <v>8</v>
      </c>
      <c r="E450" s="3">
        <f t="shared" si="22"/>
        <v>3</v>
      </c>
      <c r="F450" s="5">
        <v>44279.625</v>
      </c>
      <c r="G450" s="19" t="str">
        <f t="shared" si="20"/>
        <v/>
      </c>
      <c r="J450" s="28">
        <f t="shared" si="21"/>
        <v>-6.4602960969044387E-2</v>
      </c>
    </row>
    <row r="451" spans="1:10">
      <c r="A451" s="3">
        <v>606</v>
      </c>
      <c r="B451" t="s">
        <v>495</v>
      </c>
      <c r="C451" t="s">
        <v>8</v>
      </c>
      <c r="E451" s="3">
        <f t="shared" si="22"/>
        <v>4</v>
      </c>
      <c r="F451" s="5">
        <v>44280.625</v>
      </c>
      <c r="G451" s="19" t="str">
        <f t="shared" ref="G451:G514" si="23">IF(WEEKDAY(F451,2)=1,YEAR(F451)&amp;"-W"&amp;TEXT(WEEKNUM(F451,14),"00"),"")</f>
        <v/>
      </c>
      <c r="J451" s="28">
        <f t="shared" si="21"/>
        <v>-0.17551020408163265</v>
      </c>
    </row>
    <row r="452" spans="1:10">
      <c r="A452" s="3">
        <v>688</v>
      </c>
      <c r="B452" t="s">
        <v>496</v>
      </c>
      <c r="C452" t="s">
        <v>8</v>
      </c>
      <c r="E452" s="3">
        <f t="shared" si="22"/>
        <v>5</v>
      </c>
      <c r="F452" s="5">
        <v>44281.625</v>
      </c>
      <c r="G452" s="19" t="str">
        <f t="shared" si="23"/>
        <v/>
      </c>
      <c r="J452" s="28">
        <f t="shared" si="21"/>
        <v>-7.6510067114093916E-2</v>
      </c>
    </row>
    <row r="453" spans="1:10">
      <c r="A453" s="3">
        <v>351</v>
      </c>
      <c r="B453" t="s">
        <v>497</v>
      </c>
      <c r="C453" t="s">
        <v>8</v>
      </c>
      <c r="E453" s="3">
        <f t="shared" si="22"/>
        <v>6</v>
      </c>
      <c r="F453" s="5">
        <v>44282.625</v>
      </c>
      <c r="G453" s="19" t="str">
        <f t="shared" si="23"/>
        <v/>
      </c>
      <c r="J453" s="28">
        <f t="shared" si="21"/>
        <v>-0.13118811881188119</v>
      </c>
    </row>
    <row r="454" spans="1:10">
      <c r="A454" s="3">
        <v>372</v>
      </c>
      <c r="B454" t="s">
        <v>498</v>
      </c>
      <c r="C454" t="s">
        <v>8</v>
      </c>
      <c r="E454" s="3">
        <f t="shared" si="22"/>
        <v>7</v>
      </c>
      <c r="F454" s="5">
        <v>44283.625</v>
      </c>
      <c r="G454" s="19" t="str">
        <f t="shared" si="23"/>
        <v/>
      </c>
      <c r="J454" s="28">
        <f t="shared" si="21"/>
        <v>-0.11428571428571432</v>
      </c>
    </row>
    <row r="455" spans="1:10">
      <c r="A455" s="3">
        <v>654</v>
      </c>
      <c r="B455" t="s">
        <v>499</v>
      </c>
      <c r="C455" t="s">
        <v>8</v>
      </c>
      <c r="E455" s="3">
        <f t="shared" si="22"/>
        <v>1</v>
      </c>
      <c r="F455" s="5">
        <v>44284.625</v>
      </c>
      <c r="G455" s="19" t="str">
        <f t="shared" si="23"/>
        <v>2021-W13</v>
      </c>
      <c r="H455">
        <f>SUM(A455:A461)</f>
        <v>3263</v>
      </c>
      <c r="I455" s="28">
        <f>H455/H448-1</f>
        <v>-0.22012428298279163</v>
      </c>
      <c r="J455" s="28">
        <f t="shared" si="21"/>
        <v>-0.14954486345903772</v>
      </c>
    </row>
    <row r="456" spans="1:10">
      <c r="A456" s="3">
        <v>570</v>
      </c>
      <c r="B456" t="s">
        <v>500</v>
      </c>
      <c r="C456" t="s">
        <v>8</v>
      </c>
      <c r="E456" s="3">
        <f t="shared" si="22"/>
        <v>2</v>
      </c>
      <c r="F456" s="5">
        <v>44285.625</v>
      </c>
      <c r="G456" s="19" t="str">
        <f t="shared" si="23"/>
        <v/>
      </c>
      <c r="J456" s="28">
        <f t="shared" si="21"/>
        <v>-0.18918918918918914</v>
      </c>
    </row>
    <row r="457" spans="1:10">
      <c r="A457" s="3">
        <v>550</v>
      </c>
      <c r="B457" t="s">
        <v>501</v>
      </c>
      <c r="C457" t="s">
        <v>8</v>
      </c>
      <c r="E457" s="3">
        <f t="shared" si="22"/>
        <v>3</v>
      </c>
      <c r="F457" s="5">
        <v>44286.625</v>
      </c>
      <c r="G457" s="19" t="str">
        <f t="shared" si="23"/>
        <v/>
      </c>
      <c r="J457" s="28">
        <f t="shared" ref="J457:J520" si="24">A457/A450-1</f>
        <v>-0.20863309352517989</v>
      </c>
    </row>
    <row r="458" spans="1:10">
      <c r="A458" s="3">
        <v>486</v>
      </c>
      <c r="B458" t="s">
        <v>502</v>
      </c>
      <c r="C458" t="s">
        <v>8</v>
      </c>
      <c r="E458" s="3">
        <f t="shared" si="22"/>
        <v>4</v>
      </c>
      <c r="F458" s="5">
        <v>44287.625</v>
      </c>
      <c r="G458" s="19" t="str">
        <f t="shared" si="23"/>
        <v/>
      </c>
      <c r="J458" s="28">
        <f t="shared" si="24"/>
        <v>-0.19801980198019797</v>
      </c>
    </row>
    <row r="459" spans="1:10">
      <c r="A459" s="3">
        <v>361</v>
      </c>
      <c r="B459" t="s">
        <v>503</v>
      </c>
      <c r="C459" t="s">
        <v>8</v>
      </c>
      <c r="E459" s="3">
        <f t="shared" si="22"/>
        <v>5</v>
      </c>
      <c r="F459" s="5">
        <v>44288.625</v>
      </c>
      <c r="G459" s="19" t="str">
        <f t="shared" si="23"/>
        <v/>
      </c>
      <c r="J459" s="28">
        <f t="shared" si="24"/>
        <v>-0.47529069767441856</v>
      </c>
    </row>
    <row r="460" spans="1:10">
      <c r="A460" s="3">
        <v>320</v>
      </c>
      <c r="B460" t="s">
        <v>504</v>
      </c>
      <c r="C460" t="s">
        <v>8</v>
      </c>
      <c r="E460" s="3">
        <f t="shared" si="22"/>
        <v>6</v>
      </c>
      <c r="F460" s="5">
        <v>44289.625</v>
      </c>
      <c r="G460" s="19" t="str">
        <f t="shared" si="23"/>
        <v/>
      </c>
      <c r="J460" s="28">
        <f t="shared" si="24"/>
        <v>-8.8319088319088301E-2</v>
      </c>
    </row>
    <row r="461" spans="1:10">
      <c r="A461" s="3">
        <v>322</v>
      </c>
      <c r="B461" t="s">
        <v>505</v>
      </c>
      <c r="C461" t="s">
        <v>8</v>
      </c>
      <c r="E461" s="3">
        <f t="shared" si="22"/>
        <v>7</v>
      </c>
      <c r="F461" s="5">
        <v>44290.625</v>
      </c>
      <c r="G461" s="19" t="str">
        <f t="shared" si="23"/>
        <v/>
      </c>
      <c r="J461" s="28">
        <f t="shared" si="24"/>
        <v>-0.13440860215053763</v>
      </c>
    </row>
    <row r="462" spans="1:10">
      <c r="A462" s="3">
        <v>359</v>
      </c>
      <c r="B462" t="s">
        <v>506</v>
      </c>
      <c r="C462" t="s">
        <v>8</v>
      </c>
      <c r="E462" s="3">
        <f t="shared" si="22"/>
        <v>1</v>
      </c>
      <c r="F462" s="5">
        <v>44291.625</v>
      </c>
      <c r="G462" s="19" t="str">
        <f t="shared" si="23"/>
        <v>2021-W14</v>
      </c>
      <c r="H462">
        <f>SUM(A462:A468)</f>
        <v>2553</v>
      </c>
      <c r="I462" s="28">
        <f>H462/H455-1</f>
        <v>-0.21759117376647252</v>
      </c>
      <c r="J462" s="28">
        <f t="shared" si="24"/>
        <v>-0.45107033639143734</v>
      </c>
    </row>
    <row r="463" spans="1:10">
      <c r="A463" s="3">
        <v>545</v>
      </c>
      <c r="B463" t="s">
        <v>507</v>
      </c>
      <c r="C463" t="s">
        <v>8</v>
      </c>
      <c r="E463" s="3">
        <f t="shared" si="22"/>
        <v>2</v>
      </c>
      <c r="F463" s="5">
        <v>44292.625</v>
      </c>
      <c r="G463" s="19" t="str">
        <f t="shared" si="23"/>
        <v/>
      </c>
      <c r="J463" s="28">
        <f t="shared" si="24"/>
        <v>-4.3859649122807043E-2</v>
      </c>
    </row>
    <row r="464" spans="1:10">
      <c r="A464" s="3">
        <v>426</v>
      </c>
      <c r="B464" t="s">
        <v>508</v>
      </c>
      <c r="C464" t="s">
        <v>8</v>
      </c>
      <c r="E464" s="3">
        <f t="shared" si="22"/>
        <v>3</v>
      </c>
      <c r="F464" s="5">
        <v>44293.625</v>
      </c>
      <c r="G464" s="19" t="str">
        <f t="shared" si="23"/>
        <v/>
      </c>
      <c r="J464" s="28">
        <f t="shared" si="24"/>
        <v>-0.22545454545454546</v>
      </c>
    </row>
    <row r="465" spans="1:10">
      <c r="A465" s="3">
        <v>407</v>
      </c>
      <c r="B465" t="s">
        <v>509</v>
      </c>
      <c r="C465" t="s">
        <v>8</v>
      </c>
      <c r="E465" s="3">
        <f t="shared" si="22"/>
        <v>4</v>
      </c>
      <c r="F465" s="5">
        <v>44294.625</v>
      </c>
      <c r="G465" s="19" t="str">
        <f t="shared" si="23"/>
        <v/>
      </c>
      <c r="J465" s="28">
        <f t="shared" si="24"/>
        <v>-0.16255144032921809</v>
      </c>
    </row>
    <row r="466" spans="1:10">
      <c r="A466" s="3">
        <v>351</v>
      </c>
      <c r="B466" t="s">
        <v>510</v>
      </c>
      <c r="C466" t="s">
        <v>8</v>
      </c>
      <c r="E466" s="3">
        <f t="shared" si="22"/>
        <v>5</v>
      </c>
      <c r="F466" s="5">
        <v>44295.625</v>
      </c>
      <c r="G466" s="19" t="str">
        <f t="shared" si="23"/>
        <v/>
      </c>
      <c r="J466" s="28">
        <f t="shared" si="24"/>
        <v>-2.7700831024930705E-2</v>
      </c>
    </row>
    <row r="467" spans="1:10">
      <c r="A467" s="3">
        <v>226</v>
      </c>
      <c r="B467" t="s">
        <v>511</v>
      </c>
      <c r="C467" t="s">
        <v>8</v>
      </c>
      <c r="E467" s="3">
        <f t="shared" si="22"/>
        <v>6</v>
      </c>
      <c r="F467" s="5">
        <v>44296.625</v>
      </c>
      <c r="G467" s="19" t="str">
        <f t="shared" si="23"/>
        <v/>
      </c>
      <c r="J467" s="28">
        <f t="shared" si="24"/>
        <v>-0.29374999999999996</v>
      </c>
    </row>
    <row r="468" spans="1:10">
      <c r="A468" s="3">
        <v>239</v>
      </c>
      <c r="B468" t="s">
        <v>512</v>
      </c>
      <c r="C468" t="s">
        <v>8</v>
      </c>
      <c r="E468" s="3">
        <f t="shared" si="22"/>
        <v>7</v>
      </c>
      <c r="F468" s="5">
        <v>44297.625</v>
      </c>
      <c r="G468" s="19" t="str">
        <f t="shared" si="23"/>
        <v/>
      </c>
      <c r="J468" s="28">
        <f t="shared" si="24"/>
        <v>-0.25776397515527949</v>
      </c>
    </row>
    <row r="469" spans="1:10">
      <c r="A469" s="3">
        <v>398</v>
      </c>
      <c r="B469" t="s">
        <v>513</v>
      </c>
      <c r="C469" t="s">
        <v>8</v>
      </c>
      <c r="E469" s="3">
        <f t="shared" si="22"/>
        <v>1</v>
      </c>
      <c r="F469" s="5">
        <v>44298.625</v>
      </c>
      <c r="G469" s="19" t="str">
        <f t="shared" si="23"/>
        <v>2021-W15</v>
      </c>
      <c r="H469">
        <f>SUM(A469:A475)</f>
        <v>1933</v>
      </c>
      <c r="I469" s="28">
        <f>H469/H462-1</f>
        <v>-0.2428515471993733</v>
      </c>
      <c r="J469" s="28">
        <f t="shared" si="24"/>
        <v>0.10863509749303613</v>
      </c>
    </row>
    <row r="470" spans="1:10">
      <c r="A470" s="3">
        <v>325</v>
      </c>
      <c r="B470" t="s">
        <v>514</v>
      </c>
      <c r="C470" t="s">
        <v>8</v>
      </c>
      <c r="E470" s="3">
        <f t="shared" si="22"/>
        <v>2</v>
      </c>
      <c r="F470" s="5">
        <v>44299.625</v>
      </c>
      <c r="G470" s="19" t="str">
        <f t="shared" si="23"/>
        <v/>
      </c>
      <c r="J470" s="28">
        <f t="shared" si="24"/>
        <v>-0.40366972477064222</v>
      </c>
    </row>
    <row r="471" spans="1:10">
      <c r="A471" s="3">
        <v>345</v>
      </c>
      <c r="B471" t="s">
        <v>515</v>
      </c>
      <c r="C471" t="s">
        <v>8</v>
      </c>
      <c r="E471" s="3">
        <f t="shared" si="22"/>
        <v>3</v>
      </c>
      <c r="F471" s="5">
        <v>44300.625</v>
      </c>
      <c r="G471" s="19" t="str">
        <f t="shared" si="23"/>
        <v/>
      </c>
      <c r="J471" s="28">
        <f t="shared" si="24"/>
        <v>-0.1901408450704225</v>
      </c>
    </row>
    <row r="472" spans="1:10">
      <c r="A472" s="3">
        <v>274</v>
      </c>
      <c r="B472" t="s">
        <v>516</v>
      </c>
      <c r="C472" t="s">
        <v>8</v>
      </c>
      <c r="E472" s="3">
        <f t="shared" si="22"/>
        <v>4</v>
      </c>
      <c r="F472" s="5">
        <v>44301.625</v>
      </c>
      <c r="G472" s="19" t="str">
        <f t="shared" si="23"/>
        <v/>
      </c>
      <c r="J472" s="28">
        <f t="shared" si="24"/>
        <v>-0.32678132678132676</v>
      </c>
    </row>
    <row r="473" spans="1:10">
      <c r="A473" s="3">
        <v>264</v>
      </c>
      <c r="B473" t="s">
        <v>517</v>
      </c>
      <c r="C473" t="s">
        <v>8</v>
      </c>
      <c r="E473" s="3">
        <f t="shared" si="22"/>
        <v>5</v>
      </c>
      <c r="F473" s="5">
        <v>44302.625</v>
      </c>
      <c r="G473" s="19" t="str">
        <f t="shared" si="23"/>
        <v/>
      </c>
      <c r="J473" s="28">
        <f t="shared" si="24"/>
        <v>-0.24786324786324787</v>
      </c>
    </row>
    <row r="474" spans="1:10">
      <c r="A474" s="3">
        <v>171</v>
      </c>
      <c r="B474" t="s">
        <v>518</v>
      </c>
      <c r="C474" t="s">
        <v>8</v>
      </c>
      <c r="E474" s="3">
        <f t="shared" si="22"/>
        <v>6</v>
      </c>
      <c r="F474" s="5">
        <v>44303.625</v>
      </c>
      <c r="G474" s="19" t="str">
        <f t="shared" si="23"/>
        <v/>
      </c>
      <c r="J474" s="28">
        <f t="shared" si="24"/>
        <v>-0.24336283185840712</v>
      </c>
    </row>
    <row r="475" spans="1:10">
      <c r="A475" s="3">
        <v>156</v>
      </c>
      <c r="B475" t="s">
        <v>519</v>
      </c>
      <c r="C475" t="s">
        <v>8</v>
      </c>
      <c r="E475" s="3">
        <f t="shared" si="22"/>
        <v>7</v>
      </c>
      <c r="F475" s="5">
        <v>44304.625</v>
      </c>
      <c r="G475" s="19" t="str">
        <f t="shared" si="23"/>
        <v/>
      </c>
      <c r="J475" s="28">
        <f t="shared" si="24"/>
        <v>-0.34728033472803344</v>
      </c>
    </row>
    <row r="476" spans="1:10">
      <c r="A476" s="3">
        <v>284</v>
      </c>
      <c r="B476" t="s">
        <v>520</v>
      </c>
      <c r="C476" t="s">
        <v>8</v>
      </c>
      <c r="E476" s="3">
        <f t="shared" si="22"/>
        <v>1</v>
      </c>
      <c r="F476" s="5">
        <v>44305.625</v>
      </c>
      <c r="G476" s="19" t="str">
        <f t="shared" si="23"/>
        <v>2021-W16</v>
      </c>
      <c r="H476">
        <f>SUM(A476:A482)</f>
        <v>1610</v>
      </c>
      <c r="I476" s="28">
        <f>H476/H469-1</f>
        <v>-0.16709777547853077</v>
      </c>
      <c r="J476" s="28">
        <f t="shared" si="24"/>
        <v>-0.28643216080402012</v>
      </c>
    </row>
    <row r="477" spans="1:10">
      <c r="A477" s="3">
        <v>285</v>
      </c>
      <c r="B477" t="s">
        <v>521</v>
      </c>
      <c r="C477" t="s">
        <v>8</v>
      </c>
      <c r="E477" s="3">
        <f t="shared" si="22"/>
        <v>2</v>
      </c>
      <c r="F477" s="5">
        <v>44306.625</v>
      </c>
      <c r="G477" s="19" t="str">
        <f t="shared" si="23"/>
        <v/>
      </c>
      <c r="J477" s="28">
        <f t="shared" si="24"/>
        <v>-0.12307692307692308</v>
      </c>
    </row>
    <row r="478" spans="1:10">
      <c r="A478" s="3">
        <v>233</v>
      </c>
      <c r="B478" t="s">
        <v>522</v>
      </c>
      <c r="C478" t="s">
        <v>8</v>
      </c>
      <c r="E478" s="3">
        <f t="shared" si="22"/>
        <v>3</v>
      </c>
      <c r="F478" s="5">
        <v>44307.625</v>
      </c>
      <c r="G478" s="19" t="str">
        <f t="shared" si="23"/>
        <v/>
      </c>
      <c r="J478" s="28">
        <f t="shared" si="24"/>
        <v>-0.32463768115942027</v>
      </c>
    </row>
    <row r="479" spans="1:10">
      <c r="A479" s="3">
        <v>258</v>
      </c>
      <c r="B479" t="s">
        <v>524</v>
      </c>
      <c r="C479" t="s">
        <v>8</v>
      </c>
      <c r="E479" s="3">
        <f t="shared" si="22"/>
        <v>4</v>
      </c>
      <c r="F479" s="5">
        <v>44308.625</v>
      </c>
      <c r="G479" s="19" t="str">
        <f t="shared" si="23"/>
        <v/>
      </c>
      <c r="J479" s="28">
        <f t="shared" si="24"/>
        <v>-5.8394160583941646E-2</v>
      </c>
    </row>
    <row r="480" spans="1:10">
      <c r="A480" s="3">
        <v>255</v>
      </c>
      <c r="B480" t="s">
        <v>525</v>
      </c>
      <c r="C480" t="s">
        <v>8</v>
      </c>
      <c r="E480" s="3">
        <f t="shared" si="22"/>
        <v>5</v>
      </c>
      <c r="F480" s="5">
        <v>44309.625</v>
      </c>
      <c r="G480" s="19" t="str">
        <f t="shared" si="23"/>
        <v/>
      </c>
      <c r="J480" s="28">
        <f t="shared" si="24"/>
        <v>-3.4090909090909061E-2</v>
      </c>
    </row>
    <row r="481" spans="1:10">
      <c r="A481" s="3">
        <v>155</v>
      </c>
      <c r="B481" t="s">
        <v>526</v>
      </c>
      <c r="C481" t="s">
        <v>8</v>
      </c>
      <c r="E481" s="3">
        <f t="shared" si="22"/>
        <v>6</v>
      </c>
      <c r="F481" s="5">
        <v>44310.625</v>
      </c>
      <c r="G481" s="19" t="str">
        <f t="shared" si="23"/>
        <v/>
      </c>
      <c r="J481" s="28">
        <f t="shared" si="24"/>
        <v>-9.3567251461988299E-2</v>
      </c>
    </row>
    <row r="482" spans="1:10">
      <c r="A482" s="3">
        <v>140</v>
      </c>
      <c r="B482" t="s">
        <v>527</v>
      </c>
      <c r="C482" t="s">
        <v>8</v>
      </c>
      <c r="E482" s="3">
        <f t="shared" si="22"/>
        <v>7</v>
      </c>
      <c r="F482" s="5">
        <v>44311.625</v>
      </c>
      <c r="G482" s="19" t="str">
        <f t="shared" si="23"/>
        <v/>
      </c>
      <c r="J482" s="28">
        <f t="shared" si="24"/>
        <v>-0.10256410256410253</v>
      </c>
    </row>
    <row r="483" spans="1:10">
      <c r="A483" s="3">
        <v>243</v>
      </c>
      <c r="B483" t="s">
        <v>528</v>
      </c>
      <c r="C483" t="s">
        <v>8</v>
      </c>
      <c r="E483" s="3">
        <f t="shared" si="22"/>
        <v>1</v>
      </c>
      <c r="F483" s="5">
        <v>44312.625</v>
      </c>
      <c r="G483" s="19" t="str">
        <f t="shared" si="23"/>
        <v>2021-W17</v>
      </c>
      <c r="H483">
        <f>SUM(A483:A489)</f>
        <v>1386</v>
      </c>
      <c r="I483" s="28">
        <f>H483/H476-1</f>
        <v>-0.13913043478260867</v>
      </c>
      <c r="J483" s="28">
        <f t="shared" si="24"/>
        <v>-0.14436619718309862</v>
      </c>
    </row>
    <row r="484" spans="1:10">
      <c r="A484" s="3">
        <v>228</v>
      </c>
      <c r="B484" t="s">
        <v>529</v>
      </c>
      <c r="C484" t="s">
        <v>8</v>
      </c>
      <c r="E484" s="3">
        <f t="shared" si="22"/>
        <v>2</v>
      </c>
      <c r="F484" s="5">
        <v>44313.625</v>
      </c>
      <c r="G484" s="19" t="str">
        <f t="shared" si="23"/>
        <v/>
      </c>
      <c r="J484" s="28">
        <f t="shared" si="24"/>
        <v>-0.19999999999999996</v>
      </c>
    </row>
    <row r="485" spans="1:10">
      <c r="A485" s="3">
        <v>274</v>
      </c>
      <c r="B485" t="s">
        <v>530</v>
      </c>
      <c r="C485" t="s">
        <v>8</v>
      </c>
      <c r="E485" s="3">
        <f t="shared" si="22"/>
        <v>3</v>
      </c>
      <c r="F485" s="5">
        <v>44314.625</v>
      </c>
      <c r="G485" s="19" t="str">
        <f t="shared" si="23"/>
        <v/>
      </c>
      <c r="J485" s="28">
        <f t="shared" si="24"/>
        <v>0.17596566523605151</v>
      </c>
    </row>
    <row r="486" spans="1:10">
      <c r="A486" s="3">
        <v>201</v>
      </c>
      <c r="B486" t="s">
        <v>531</v>
      </c>
      <c r="C486" t="s">
        <v>8</v>
      </c>
      <c r="E486" s="3">
        <f t="shared" si="22"/>
        <v>4</v>
      </c>
      <c r="F486" s="5">
        <v>44315.625</v>
      </c>
      <c r="G486" s="19" t="str">
        <f t="shared" si="23"/>
        <v/>
      </c>
      <c r="J486" s="28">
        <f t="shared" si="24"/>
        <v>-0.22093023255813948</v>
      </c>
    </row>
    <row r="487" spans="1:10">
      <c r="A487" s="3">
        <v>197</v>
      </c>
      <c r="B487" t="s">
        <v>532</v>
      </c>
      <c r="C487" t="s">
        <v>8</v>
      </c>
      <c r="E487" s="3">
        <f t="shared" si="22"/>
        <v>5</v>
      </c>
      <c r="F487" s="5">
        <v>44316.625</v>
      </c>
      <c r="G487" s="19" t="str">
        <f t="shared" si="23"/>
        <v/>
      </c>
      <c r="J487" s="28">
        <f t="shared" si="24"/>
        <v>-0.22745098039215683</v>
      </c>
    </row>
    <row r="488" spans="1:10">
      <c r="A488" s="3">
        <v>108</v>
      </c>
      <c r="B488" t="s">
        <v>533</v>
      </c>
      <c r="C488" t="s">
        <v>8</v>
      </c>
      <c r="E488" s="3">
        <f t="shared" si="22"/>
        <v>6</v>
      </c>
      <c r="F488" s="5">
        <v>44317.625</v>
      </c>
      <c r="G488" s="19" t="str">
        <f t="shared" si="23"/>
        <v/>
      </c>
      <c r="J488" s="28">
        <f t="shared" si="24"/>
        <v>-0.3032258064516129</v>
      </c>
    </row>
    <row r="489" spans="1:10">
      <c r="A489" s="3">
        <v>135</v>
      </c>
      <c r="B489" t="s">
        <v>534</v>
      </c>
      <c r="C489" t="s">
        <v>8</v>
      </c>
      <c r="E489" s="3">
        <f t="shared" si="22"/>
        <v>7</v>
      </c>
      <c r="F489" s="5">
        <v>44318.625</v>
      </c>
      <c r="G489" s="19" t="str">
        <f t="shared" si="23"/>
        <v/>
      </c>
      <c r="J489" s="28">
        <f t="shared" si="24"/>
        <v>-3.5714285714285698E-2</v>
      </c>
    </row>
    <row r="490" spans="1:10">
      <c r="A490" s="3">
        <v>318</v>
      </c>
      <c r="B490" t="s">
        <v>535</v>
      </c>
      <c r="C490" t="s">
        <v>8</v>
      </c>
      <c r="E490" s="3">
        <f t="shared" si="22"/>
        <v>1</v>
      </c>
      <c r="F490" s="5">
        <v>44319.625</v>
      </c>
      <c r="G490" s="19" t="str">
        <f t="shared" si="23"/>
        <v>2021-W18</v>
      </c>
      <c r="H490">
        <f>SUM(A490:A496)</f>
        <v>1503</v>
      </c>
      <c r="I490" s="28">
        <f>H490/H483-1</f>
        <v>8.4415584415584499E-2</v>
      </c>
      <c r="J490" s="28">
        <f t="shared" si="24"/>
        <v>0.30864197530864201</v>
      </c>
    </row>
    <row r="491" spans="1:10">
      <c r="A491" s="3">
        <v>205</v>
      </c>
      <c r="B491" t="s">
        <v>536</v>
      </c>
      <c r="C491" t="s">
        <v>8</v>
      </c>
      <c r="E491" s="3">
        <f t="shared" si="22"/>
        <v>2</v>
      </c>
      <c r="F491" s="5">
        <v>44320.625</v>
      </c>
      <c r="G491" s="19" t="str">
        <f t="shared" si="23"/>
        <v/>
      </c>
      <c r="J491" s="28">
        <f t="shared" si="24"/>
        <v>-0.10087719298245612</v>
      </c>
    </row>
    <row r="492" spans="1:10">
      <c r="A492" s="3">
        <v>266</v>
      </c>
      <c r="B492" t="s">
        <v>537</v>
      </c>
      <c r="C492" t="s">
        <v>8</v>
      </c>
      <c r="E492" s="3">
        <f t="shared" si="22"/>
        <v>3</v>
      </c>
      <c r="F492" s="5">
        <v>44321.625</v>
      </c>
      <c r="G492" s="19" t="str">
        <f t="shared" si="23"/>
        <v/>
      </c>
      <c r="J492" s="28">
        <f t="shared" si="24"/>
        <v>-2.9197080291970767E-2</v>
      </c>
    </row>
    <row r="493" spans="1:10">
      <c r="A493" s="3">
        <v>239</v>
      </c>
      <c r="B493" t="s">
        <v>539</v>
      </c>
      <c r="C493" t="s">
        <v>8</v>
      </c>
      <c r="E493" s="3">
        <f t="shared" si="22"/>
        <v>4</v>
      </c>
      <c r="F493" s="5">
        <v>44322.625</v>
      </c>
      <c r="G493" s="19" t="str">
        <f t="shared" si="23"/>
        <v/>
      </c>
      <c r="J493" s="28">
        <f t="shared" si="24"/>
        <v>0.18905472636815923</v>
      </c>
    </row>
    <row r="494" spans="1:10">
      <c r="A494" s="3">
        <v>214</v>
      </c>
      <c r="B494" t="s">
        <v>540</v>
      </c>
      <c r="C494" t="s">
        <v>8</v>
      </c>
      <c r="E494" s="3">
        <f t="shared" si="22"/>
        <v>5</v>
      </c>
      <c r="F494" s="5">
        <v>44323.625</v>
      </c>
      <c r="G494" s="19" t="str">
        <f t="shared" si="23"/>
        <v/>
      </c>
      <c r="J494" s="28">
        <f t="shared" si="24"/>
        <v>8.6294416243654748E-2</v>
      </c>
    </row>
    <row r="495" spans="1:10">
      <c r="A495" s="3">
        <v>131</v>
      </c>
      <c r="B495" t="s">
        <v>541</v>
      </c>
      <c r="C495" t="s">
        <v>8</v>
      </c>
      <c r="E495" s="3">
        <f t="shared" si="22"/>
        <v>6</v>
      </c>
      <c r="F495" s="5">
        <v>44324.625</v>
      </c>
      <c r="G495" s="19" t="str">
        <f t="shared" si="23"/>
        <v/>
      </c>
      <c r="J495" s="28">
        <f t="shared" si="24"/>
        <v>0.21296296296296302</v>
      </c>
    </row>
    <row r="496" spans="1:10">
      <c r="A496" s="3">
        <v>130</v>
      </c>
      <c r="B496" t="s">
        <v>542</v>
      </c>
      <c r="C496" t="s">
        <v>8</v>
      </c>
      <c r="E496" s="3">
        <f t="shared" si="22"/>
        <v>7</v>
      </c>
      <c r="F496" s="5">
        <v>44325.625</v>
      </c>
      <c r="G496" s="19" t="str">
        <f t="shared" si="23"/>
        <v/>
      </c>
      <c r="J496" s="28">
        <f t="shared" si="24"/>
        <v>-3.703703703703709E-2</v>
      </c>
    </row>
    <row r="497" spans="1:10">
      <c r="A497" s="3">
        <v>257</v>
      </c>
      <c r="B497" t="s">
        <v>543</v>
      </c>
      <c r="C497" t="s">
        <v>8</v>
      </c>
      <c r="E497" s="3">
        <f t="shared" si="22"/>
        <v>1</v>
      </c>
      <c r="F497" s="5">
        <v>44326.625</v>
      </c>
      <c r="G497" s="19" t="str">
        <f t="shared" si="23"/>
        <v>2021-W19</v>
      </c>
      <c r="H497">
        <f>SUM(A497:A503)</f>
        <v>1423</v>
      </c>
      <c r="I497" s="28">
        <f>H497/H490-1</f>
        <v>-5.3226879574184927E-2</v>
      </c>
      <c r="J497" s="28">
        <f t="shared" si="24"/>
        <v>-0.19182389937106914</v>
      </c>
    </row>
    <row r="498" spans="1:10">
      <c r="A498" s="3">
        <v>216</v>
      </c>
      <c r="B498" t="s">
        <v>544</v>
      </c>
      <c r="C498" t="s">
        <v>8</v>
      </c>
      <c r="E498" s="3">
        <f t="shared" si="22"/>
        <v>2</v>
      </c>
      <c r="F498" s="5">
        <v>44327.625</v>
      </c>
      <c r="G498" s="19" t="str">
        <f t="shared" si="23"/>
        <v/>
      </c>
      <c r="J498" s="28">
        <f t="shared" si="24"/>
        <v>5.3658536585365901E-2</v>
      </c>
    </row>
    <row r="499" spans="1:10">
      <c r="A499" s="3">
        <v>256</v>
      </c>
      <c r="B499" t="s">
        <v>545</v>
      </c>
      <c r="C499" t="s">
        <v>8</v>
      </c>
      <c r="E499" s="3">
        <f t="shared" si="22"/>
        <v>3</v>
      </c>
      <c r="F499" s="5">
        <v>44328.625</v>
      </c>
      <c r="G499" s="19" t="str">
        <f t="shared" si="23"/>
        <v/>
      </c>
      <c r="J499" s="28">
        <f t="shared" si="24"/>
        <v>-3.7593984962406068E-2</v>
      </c>
    </row>
    <row r="500" spans="1:10">
      <c r="A500" s="3">
        <v>156</v>
      </c>
      <c r="B500" t="s">
        <v>546</v>
      </c>
      <c r="C500" t="s">
        <v>8</v>
      </c>
      <c r="E500" s="3">
        <f t="shared" si="22"/>
        <v>4</v>
      </c>
      <c r="F500" s="5">
        <v>44329.625</v>
      </c>
      <c r="G500" s="19" t="str">
        <f t="shared" si="23"/>
        <v/>
      </c>
      <c r="J500" s="28">
        <f t="shared" si="24"/>
        <v>-0.34728033472803344</v>
      </c>
    </row>
    <row r="501" spans="1:10">
      <c r="A501" s="3">
        <v>245</v>
      </c>
      <c r="B501" t="s">
        <v>547</v>
      </c>
      <c r="C501" t="s">
        <v>8</v>
      </c>
      <c r="E501" s="3">
        <f t="shared" si="22"/>
        <v>5</v>
      </c>
      <c r="F501" s="5">
        <v>44330.625</v>
      </c>
      <c r="G501" s="19" t="str">
        <f t="shared" si="23"/>
        <v/>
      </c>
      <c r="J501" s="28">
        <f t="shared" si="24"/>
        <v>0.14485981308411211</v>
      </c>
    </row>
    <row r="502" spans="1:10">
      <c r="A502" s="3">
        <v>160</v>
      </c>
      <c r="B502" t="s">
        <v>548</v>
      </c>
      <c r="C502" t="s">
        <v>8</v>
      </c>
      <c r="E502" s="3">
        <f t="shared" si="22"/>
        <v>6</v>
      </c>
      <c r="F502" s="5">
        <v>44331.625</v>
      </c>
      <c r="G502" s="19" t="str">
        <f t="shared" si="23"/>
        <v/>
      </c>
      <c r="J502" s="28">
        <f t="shared" si="24"/>
        <v>0.22137404580152675</v>
      </c>
    </row>
    <row r="503" spans="1:10">
      <c r="A503" s="3">
        <v>133</v>
      </c>
      <c r="B503" t="s">
        <v>549</v>
      </c>
      <c r="C503" t="s">
        <v>8</v>
      </c>
      <c r="E503" s="3">
        <f t="shared" si="22"/>
        <v>7</v>
      </c>
      <c r="F503" s="5">
        <v>44332.625</v>
      </c>
      <c r="G503" s="19" t="str">
        <f t="shared" si="23"/>
        <v/>
      </c>
      <c r="J503" s="28">
        <f t="shared" si="24"/>
        <v>2.3076923076922995E-2</v>
      </c>
    </row>
    <row r="504" spans="1:10">
      <c r="A504" s="3">
        <v>284</v>
      </c>
      <c r="B504" t="s">
        <v>550</v>
      </c>
      <c r="C504" t="s">
        <v>8</v>
      </c>
      <c r="E504" s="3">
        <f t="shared" si="22"/>
        <v>1</v>
      </c>
      <c r="F504" s="5">
        <v>44333.625</v>
      </c>
      <c r="G504" s="19" t="str">
        <f t="shared" si="23"/>
        <v>2021-W20</v>
      </c>
      <c r="H504">
        <f>SUM(A504:A510)</f>
        <v>1315</v>
      </c>
      <c r="I504" s="28">
        <f>H504/H497-1</f>
        <v>-7.5895994378074483E-2</v>
      </c>
      <c r="J504" s="28">
        <f t="shared" si="24"/>
        <v>0.10505836575875493</v>
      </c>
    </row>
    <row r="505" spans="1:10">
      <c r="A505" s="3">
        <v>217</v>
      </c>
      <c r="B505" t="s">
        <v>551</v>
      </c>
      <c r="C505" t="s">
        <v>8</v>
      </c>
      <c r="E505" s="3">
        <f t="shared" si="22"/>
        <v>2</v>
      </c>
      <c r="F505" s="5">
        <v>44334.625</v>
      </c>
      <c r="G505" s="19" t="str">
        <f t="shared" si="23"/>
        <v/>
      </c>
      <c r="J505" s="28">
        <f t="shared" si="24"/>
        <v>4.6296296296295392E-3</v>
      </c>
    </row>
    <row r="506" spans="1:10">
      <c r="A506" s="3">
        <v>230</v>
      </c>
      <c r="B506" t="s">
        <v>552</v>
      </c>
      <c r="C506" t="s">
        <v>8</v>
      </c>
      <c r="E506" s="3">
        <f t="shared" si="22"/>
        <v>3</v>
      </c>
      <c r="F506" s="5">
        <v>44335.625</v>
      </c>
      <c r="G506" s="19" t="str">
        <f t="shared" si="23"/>
        <v/>
      </c>
      <c r="J506" s="28">
        <f t="shared" si="24"/>
        <v>-0.1015625</v>
      </c>
    </row>
    <row r="507" spans="1:10">
      <c r="A507" s="3">
        <v>215</v>
      </c>
      <c r="B507" t="s">
        <v>553</v>
      </c>
      <c r="C507" t="s">
        <v>8</v>
      </c>
      <c r="E507" s="3">
        <f t="shared" si="22"/>
        <v>4</v>
      </c>
      <c r="F507" s="5">
        <v>44336.625</v>
      </c>
      <c r="G507" s="19" t="str">
        <f t="shared" si="23"/>
        <v/>
      </c>
      <c r="J507" s="28">
        <f t="shared" si="24"/>
        <v>0.37820512820512819</v>
      </c>
    </row>
    <row r="508" spans="1:10">
      <c r="A508" s="3">
        <v>168</v>
      </c>
      <c r="B508" t="s">
        <v>554</v>
      </c>
      <c r="C508" t="s">
        <v>8</v>
      </c>
      <c r="E508" s="3">
        <f t="shared" si="22"/>
        <v>5</v>
      </c>
      <c r="F508" s="5">
        <v>44337.625</v>
      </c>
      <c r="G508" s="19" t="str">
        <f t="shared" si="23"/>
        <v/>
      </c>
      <c r="J508" s="28">
        <f t="shared" si="24"/>
        <v>-0.31428571428571428</v>
      </c>
    </row>
    <row r="509" spans="1:10">
      <c r="A509" s="3">
        <v>108</v>
      </c>
      <c r="B509" t="s">
        <v>555</v>
      </c>
      <c r="C509" t="s">
        <v>8</v>
      </c>
      <c r="E509" s="3">
        <f t="shared" si="22"/>
        <v>6</v>
      </c>
      <c r="F509" s="5">
        <v>44338.625</v>
      </c>
      <c r="G509" s="19" t="str">
        <f t="shared" si="23"/>
        <v/>
      </c>
      <c r="J509" s="28">
        <f t="shared" si="24"/>
        <v>-0.32499999999999996</v>
      </c>
    </row>
    <row r="510" spans="1:10">
      <c r="A510" s="3">
        <v>93</v>
      </c>
      <c r="B510" t="s">
        <v>556</v>
      </c>
      <c r="C510" t="s">
        <v>8</v>
      </c>
      <c r="E510" s="3">
        <f t="shared" si="22"/>
        <v>7</v>
      </c>
      <c r="F510" s="5">
        <v>44339.625</v>
      </c>
      <c r="G510" s="19" t="str">
        <f t="shared" si="23"/>
        <v/>
      </c>
      <c r="J510" s="28">
        <f t="shared" si="24"/>
        <v>-0.3007518796992481</v>
      </c>
    </row>
    <row r="511" spans="1:10" s="41" customFormat="1">
      <c r="A511" s="40">
        <v>188</v>
      </c>
      <c r="B511" s="41" t="s">
        <v>557</v>
      </c>
      <c r="C511" s="41" t="s">
        <v>8</v>
      </c>
      <c r="E511" s="40">
        <f t="shared" ref="E511:E574" si="25">WEEKDAY(F511,2)</f>
        <v>1</v>
      </c>
      <c r="F511" s="42">
        <v>44340.625</v>
      </c>
      <c r="G511" s="43" t="str">
        <f t="shared" si="23"/>
        <v>2021-W21</v>
      </c>
      <c r="H511" s="41">
        <f>SUM(A511:A517)</f>
        <v>888</v>
      </c>
      <c r="I511" s="44">
        <f>H511/H504-1</f>
        <v>-0.32471482889733838</v>
      </c>
      <c r="J511" s="44">
        <f t="shared" si="24"/>
        <v>-0.3380281690140845</v>
      </c>
    </row>
    <row r="512" spans="1:10">
      <c r="A512" s="3">
        <v>152</v>
      </c>
      <c r="B512" t="s">
        <v>558</v>
      </c>
      <c r="C512" t="s">
        <v>8</v>
      </c>
      <c r="E512" s="3">
        <f t="shared" si="25"/>
        <v>2</v>
      </c>
      <c r="F512" s="5">
        <v>44341.625</v>
      </c>
      <c r="G512" s="19" t="str">
        <f t="shared" si="23"/>
        <v/>
      </c>
      <c r="J512" s="28">
        <f t="shared" si="24"/>
        <v>-0.29953917050691248</v>
      </c>
    </row>
    <row r="513" spans="1:10">
      <c r="A513" s="3">
        <v>142</v>
      </c>
      <c r="B513" t="s">
        <v>559</v>
      </c>
      <c r="C513" t="s">
        <v>8</v>
      </c>
      <c r="E513" s="3">
        <f t="shared" si="25"/>
        <v>3</v>
      </c>
      <c r="F513" s="5">
        <v>44342.625</v>
      </c>
      <c r="G513" s="19" t="str">
        <f t="shared" si="23"/>
        <v/>
      </c>
      <c r="J513" s="28">
        <f t="shared" si="24"/>
        <v>-0.38260869565217392</v>
      </c>
    </row>
    <row r="514" spans="1:10">
      <c r="A514" s="3">
        <v>127</v>
      </c>
      <c r="B514" t="s">
        <v>560</v>
      </c>
      <c r="C514" t="s">
        <v>8</v>
      </c>
      <c r="E514" s="3">
        <f t="shared" si="25"/>
        <v>4</v>
      </c>
      <c r="F514" s="5">
        <v>44343.625</v>
      </c>
      <c r="G514" s="19" t="str">
        <f t="shared" si="23"/>
        <v/>
      </c>
      <c r="J514" s="28">
        <f t="shared" si="24"/>
        <v>-0.40930232558139534</v>
      </c>
    </row>
    <row r="515" spans="1:10">
      <c r="A515" s="3">
        <v>136</v>
      </c>
      <c r="B515" t="s">
        <v>561</v>
      </c>
      <c r="C515" t="s">
        <v>8</v>
      </c>
      <c r="E515" s="3">
        <f t="shared" si="25"/>
        <v>5</v>
      </c>
      <c r="F515" s="5">
        <v>44344.625</v>
      </c>
      <c r="G515" s="19" t="str">
        <f t="shared" ref="G515:G578" si="26">IF(WEEKDAY(F515,2)=1,YEAR(F515)&amp;"-W"&amp;TEXT(WEEKNUM(F515,14),"00"),"")</f>
        <v/>
      </c>
      <c r="J515" s="28">
        <f t="shared" si="24"/>
        <v>-0.19047619047619047</v>
      </c>
    </row>
    <row r="516" spans="1:10">
      <c r="A516" s="3">
        <v>64</v>
      </c>
      <c r="B516" t="s">
        <v>562</v>
      </c>
      <c r="C516" t="s">
        <v>8</v>
      </c>
      <c r="E516" s="3">
        <f t="shared" si="25"/>
        <v>6</v>
      </c>
      <c r="F516" s="5">
        <v>44345.625</v>
      </c>
      <c r="G516" s="19" t="str">
        <f t="shared" si="26"/>
        <v/>
      </c>
      <c r="J516" s="28">
        <f t="shared" si="24"/>
        <v>-0.40740740740740744</v>
      </c>
    </row>
    <row r="517" spans="1:10">
      <c r="A517" s="3">
        <v>79</v>
      </c>
      <c r="B517" t="s">
        <v>563</v>
      </c>
      <c r="C517" t="s">
        <v>8</v>
      </c>
      <c r="E517" s="3">
        <f t="shared" si="25"/>
        <v>7</v>
      </c>
      <c r="F517" s="5">
        <v>44346.625</v>
      </c>
      <c r="G517" s="19" t="str">
        <f t="shared" si="26"/>
        <v/>
      </c>
      <c r="J517" s="28">
        <f t="shared" si="24"/>
        <v>-0.15053763440860213</v>
      </c>
    </row>
    <row r="518" spans="1:10">
      <c r="A518" s="3">
        <v>145</v>
      </c>
      <c r="B518" t="s">
        <v>564</v>
      </c>
      <c r="C518" t="s">
        <v>8</v>
      </c>
      <c r="E518" s="3">
        <f t="shared" si="25"/>
        <v>1</v>
      </c>
      <c r="F518" s="5">
        <v>44347.625</v>
      </c>
      <c r="G518" s="19" t="str">
        <f t="shared" si="26"/>
        <v>2021-W22</v>
      </c>
      <c r="H518">
        <f>SUM(A518:A524)</f>
        <v>720</v>
      </c>
      <c r="I518" s="28">
        <f>H518/H511-1</f>
        <v>-0.18918918918918914</v>
      </c>
      <c r="J518" s="28">
        <f t="shared" si="24"/>
        <v>-0.22872340425531912</v>
      </c>
    </row>
    <row r="519" spans="1:10">
      <c r="A519" s="3">
        <v>121</v>
      </c>
      <c r="B519" t="s">
        <v>565</v>
      </c>
      <c r="C519" t="s">
        <v>8</v>
      </c>
      <c r="E519" s="3">
        <f t="shared" si="25"/>
        <v>2</v>
      </c>
      <c r="F519" s="5">
        <v>44348.625</v>
      </c>
      <c r="G519" s="19" t="str">
        <f t="shared" si="26"/>
        <v/>
      </c>
      <c r="J519" s="28">
        <f t="shared" si="24"/>
        <v>-0.20394736842105265</v>
      </c>
    </row>
    <row r="520" spans="1:10">
      <c r="A520" s="3">
        <v>118</v>
      </c>
      <c r="B520" t="s">
        <v>566</v>
      </c>
      <c r="C520" t="s">
        <v>8</v>
      </c>
      <c r="E520" s="3">
        <f t="shared" si="25"/>
        <v>3</v>
      </c>
      <c r="F520" s="5">
        <v>44349.625</v>
      </c>
      <c r="G520" s="19" t="str">
        <f t="shared" si="26"/>
        <v/>
      </c>
      <c r="J520" s="28">
        <f t="shared" si="24"/>
        <v>-0.16901408450704225</v>
      </c>
    </row>
    <row r="521" spans="1:10">
      <c r="A521" s="3">
        <v>111</v>
      </c>
      <c r="B521" t="s">
        <v>567</v>
      </c>
      <c r="C521" t="s">
        <v>8</v>
      </c>
      <c r="E521" s="3">
        <f t="shared" si="25"/>
        <v>4</v>
      </c>
      <c r="F521" s="5">
        <v>44350.625</v>
      </c>
      <c r="G521" s="19" t="str">
        <f t="shared" si="26"/>
        <v/>
      </c>
      <c r="J521" s="28">
        <f t="shared" ref="J521:J584" si="27">A521/A514-1</f>
        <v>-0.12598425196850394</v>
      </c>
    </row>
    <row r="522" spans="1:10">
      <c r="A522" s="3">
        <v>101</v>
      </c>
      <c r="B522" t="s">
        <v>568</v>
      </c>
      <c r="C522" t="s">
        <v>8</v>
      </c>
      <c r="E522" s="3">
        <f t="shared" si="25"/>
        <v>5</v>
      </c>
      <c r="F522" s="5">
        <v>44351.625</v>
      </c>
      <c r="G522" s="19" t="str">
        <f t="shared" si="26"/>
        <v/>
      </c>
      <c r="J522" s="28">
        <f t="shared" si="27"/>
        <v>-0.25735294117647056</v>
      </c>
    </row>
    <row r="523" spans="1:10">
      <c r="A523" s="3">
        <v>65</v>
      </c>
      <c r="B523" t="s">
        <v>569</v>
      </c>
      <c r="C523" t="s">
        <v>8</v>
      </c>
      <c r="E523" s="3">
        <f t="shared" si="25"/>
        <v>6</v>
      </c>
      <c r="F523" s="5">
        <v>44352.625</v>
      </c>
      <c r="G523" s="19" t="str">
        <f t="shared" si="26"/>
        <v/>
      </c>
      <c r="J523" s="28">
        <f t="shared" si="27"/>
        <v>1.5625E-2</v>
      </c>
    </row>
    <row r="524" spans="1:10">
      <c r="A524" s="3">
        <v>59</v>
      </c>
      <c r="B524" t="s">
        <v>570</v>
      </c>
      <c r="C524" t="s">
        <v>8</v>
      </c>
      <c r="E524" s="3">
        <f t="shared" si="25"/>
        <v>7</v>
      </c>
      <c r="F524" s="5">
        <v>44353.625</v>
      </c>
      <c r="G524" s="19" t="str">
        <f t="shared" si="26"/>
        <v/>
      </c>
      <c r="J524" s="28">
        <f t="shared" si="27"/>
        <v>-0.25316455696202533</v>
      </c>
    </row>
    <row r="525" spans="1:10">
      <c r="A525" s="3">
        <v>136</v>
      </c>
      <c r="B525" t="s">
        <v>571</v>
      </c>
      <c r="C525" t="s">
        <v>8</v>
      </c>
      <c r="E525" s="3">
        <f t="shared" si="25"/>
        <v>1</v>
      </c>
      <c r="F525" s="5">
        <v>44354.625</v>
      </c>
      <c r="G525" s="19" t="str">
        <f t="shared" si="26"/>
        <v>2021-W23</v>
      </c>
      <c r="H525">
        <f>SUM(A525:A531)</f>
        <v>557</v>
      </c>
      <c r="I525" s="28">
        <f>H525/H518-1</f>
        <v>-0.22638888888888886</v>
      </c>
      <c r="J525" s="28">
        <f t="shared" si="27"/>
        <v>-6.2068965517241392E-2</v>
      </c>
    </row>
    <row r="526" spans="1:10">
      <c r="A526" s="3">
        <v>101</v>
      </c>
      <c r="B526" t="s">
        <v>572</v>
      </c>
      <c r="C526" t="s">
        <v>8</v>
      </c>
      <c r="E526" s="3">
        <f t="shared" si="25"/>
        <v>2</v>
      </c>
      <c r="F526" s="5">
        <v>44355.625</v>
      </c>
      <c r="G526" s="19" t="str">
        <f t="shared" si="26"/>
        <v/>
      </c>
      <c r="J526" s="28">
        <f t="shared" si="27"/>
        <v>-0.16528925619834711</v>
      </c>
    </row>
    <row r="527" spans="1:10">
      <c r="A527" s="3">
        <v>82</v>
      </c>
      <c r="B527" t="s">
        <v>573</v>
      </c>
      <c r="C527" t="s">
        <v>8</v>
      </c>
      <c r="E527" s="3">
        <f t="shared" si="25"/>
        <v>3</v>
      </c>
      <c r="F527" s="5">
        <v>44356.625</v>
      </c>
      <c r="G527" s="19" t="str">
        <f t="shared" si="26"/>
        <v/>
      </c>
      <c r="J527" s="28">
        <f t="shared" si="27"/>
        <v>-0.30508474576271183</v>
      </c>
    </row>
    <row r="528" spans="1:10">
      <c r="A528" s="3">
        <v>76</v>
      </c>
      <c r="B528" t="s">
        <v>574</v>
      </c>
      <c r="C528" t="s">
        <v>8</v>
      </c>
      <c r="E528" s="3">
        <f t="shared" si="25"/>
        <v>4</v>
      </c>
      <c r="F528" s="5">
        <v>44357.625</v>
      </c>
      <c r="G528" s="19" t="str">
        <f t="shared" si="26"/>
        <v/>
      </c>
      <c r="J528" s="28">
        <f t="shared" si="27"/>
        <v>-0.31531531531531531</v>
      </c>
    </row>
    <row r="529" spans="1:10">
      <c r="A529" s="3">
        <v>70</v>
      </c>
      <c r="B529" t="s">
        <v>575</v>
      </c>
      <c r="C529" t="s">
        <v>8</v>
      </c>
      <c r="E529" s="3">
        <f t="shared" si="25"/>
        <v>5</v>
      </c>
      <c r="F529" s="5">
        <v>44358.625</v>
      </c>
      <c r="G529" s="19" t="str">
        <f t="shared" si="26"/>
        <v/>
      </c>
      <c r="J529" s="28">
        <f t="shared" si="27"/>
        <v>-0.30693069306930698</v>
      </c>
    </row>
    <row r="530" spans="1:10">
      <c r="A530" s="3">
        <v>45</v>
      </c>
      <c r="B530" t="s">
        <v>576</v>
      </c>
      <c r="C530" t="s">
        <v>8</v>
      </c>
      <c r="E530" s="3">
        <f t="shared" si="25"/>
        <v>6</v>
      </c>
      <c r="F530" s="5">
        <v>44359.625</v>
      </c>
      <c r="G530" s="19" t="str">
        <f t="shared" si="26"/>
        <v/>
      </c>
      <c r="J530" s="28">
        <f t="shared" si="27"/>
        <v>-0.30769230769230771</v>
      </c>
    </row>
    <row r="531" spans="1:10">
      <c r="A531" s="3">
        <v>47</v>
      </c>
      <c r="B531" t="s">
        <v>577</v>
      </c>
      <c r="C531" t="s">
        <v>8</v>
      </c>
      <c r="E531" s="3">
        <f t="shared" si="25"/>
        <v>7</v>
      </c>
      <c r="F531" s="5">
        <v>44360.625</v>
      </c>
      <c r="G531" s="19" t="str">
        <f t="shared" si="26"/>
        <v/>
      </c>
      <c r="J531" s="28">
        <f t="shared" si="27"/>
        <v>-0.20338983050847459</v>
      </c>
    </row>
    <row r="532" spans="1:10">
      <c r="A532" s="3">
        <v>88</v>
      </c>
      <c r="B532" t="s">
        <v>578</v>
      </c>
      <c r="C532" t="s">
        <v>8</v>
      </c>
      <c r="E532" s="3">
        <f t="shared" si="25"/>
        <v>1</v>
      </c>
      <c r="F532" s="5">
        <v>44361.625</v>
      </c>
      <c r="G532" s="19" t="str">
        <f t="shared" si="26"/>
        <v>2021-W24</v>
      </c>
      <c r="H532">
        <f>SUM(A532:A538)</f>
        <v>325</v>
      </c>
      <c r="I532" s="28">
        <f>H532/H525-1</f>
        <v>-0.41651705565529618</v>
      </c>
      <c r="J532" s="28">
        <f t="shared" si="27"/>
        <v>-0.3529411764705882</v>
      </c>
    </row>
    <row r="533" spans="1:10">
      <c r="A533" s="3">
        <v>77</v>
      </c>
      <c r="B533" t="s">
        <v>579</v>
      </c>
      <c r="C533" t="s">
        <v>8</v>
      </c>
      <c r="E533" s="3">
        <f t="shared" si="25"/>
        <v>2</v>
      </c>
      <c r="F533" s="5">
        <v>44362.625</v>
      </c>
      <c r="G533" s="19" t="str">
        <f t="shared" si="26"/>
        <v/>
      </c>
      <c r="J533" s="28">
        <f t="shared" si="27"/>
        <v>-0.23762376237623761</v>
      </c>
    </row>
    <row r="534" spans="1:10">
      <c r="A534" s="3">
        <v>60</v>
      </c>
      <c r="B534" t="s">
        <v>580</v>
      </c>
      <c r="C534" t="s">
        <v>8</v>
      </c>
      <c r="E534" s="3">
        <f t="shared" si="25"/>
        <v>3</v>
      </c>
      <c r="F534" s="5">
        <v>44363.625</v>
      </c>
      <c r="G534" s="19" t="str">
        <f t="shared" si="26"/>
        <v/>
      </c>
      <c r="J534" s="28">
        <f t="shared" si="27"/>
        <v>-0.26829268292682928</v>
      </c>
    </row>
    <row r="535" spans="1:10">
      <c r="A535" s="3">
        <v>66</v>
      </c>
      <c r="B535" t="s">
        <v>581</v>
      </c>
      <c r="C535" t="s">
        <v>8</v>
      </c>
      <c r="E535" s="3">
        <f t="shared" si="25"/>
        <v>4</v>
      </c>
      <c r="F535" s="5">
        <v>44364.625</v>
      </c>
      <c r="G535" s="19" t="str">
        <f t="shared" si="26"/>
        <v/>
      </c>
      <c r="J535" s="28">
        <f t="shared" si="27"/>
        <v>-0.13157894736842102</v>
      </c>
    </row>
    <row r="536" spans="1:10">
      <c r="A536" s="3">
        <v>34</v>
      </c>
      <c r="B536" t="s">
        <v>582</v>
      </c>
      <c r="C536" t="s">
        <v>8</v>
      </c>
      <c r="E536" s="3">
        <f t="shared" si="25"/>
        <v>5</v>
      </c>
      <c r="F536" s="5">
        <v>44365.625</v>
      </c>
      <c r="G536" s="19" t="str">
        <f t="shared" si="26"/>
        <v/>
      </c>
      <c r="J536" s="28">
        <f t="shared" si="27"/>
        <v>-0.51428571428571423</v>
      </c>
    </row>
    <row r="537" spans="1:10">
      <c r="A537" s="3">
        <v>0</v>
      </c>
      <c r="B537" t="s">
        <v>583</v>
      </c>
      <c r="C537" t="s">
        <v>8</v>
      </c>
      <c r="E537" s="3">
        <f t="shared" si="25"/>
        <v>6</v>
      </c>
      <c r="F537" s="5">
        <v>44366.358773148146</v>
      </c>
      <c r="G537" s="19" t="str">
        <f t="shared" si="26"/>
        <v/>
      </c>
      <c r="J537" s="28">
        <f t="shared" si="27"/>
        <v>-1</v>
      </c>
    </row>
    <row r="538" spans="1:10">
      <c r="E538" s="3">
        <f t="shared" si="25"/>
        <v>6</v>
      </c>
      <c r="G538" s="19" t="str">
        <f t="shared" si="26"/>
        <v/>
      </c>
      <c r="J538" s="28">
        <f t="shared" si="27"/>
        <v>-1</v>
      </c>
    </row>
    <row r="539" spans="1:10">
      <c r="E539" s="3">
        <f t="shared" si="25"/>
        <v>6</v>
      </c>
      <c r="G539" s="19" t="str">
        <f t="shared" si="26"/>
        <v/>
      </c>
      <c r="H539">
        <f>SUM(A539:A545)</f>
        <v>0</v>
      </c>
      <c r="I539" s="28">
        <f>H539/H532-1</f>
        <v>-1</v>
      </c>
      <c r="J539" s="28">
        <f t="shared" si="27"/>
        <v>-1</v>
      </c>
    </row>
    <row r="540" spans="1:10">
      <c r="E540" s="3">
        <f t="shared" si="25"/>
        <v>6</v>
      </c>
      <c r="G540" s="19" t="str">
        <f t="shared" si="26"/>
        <v/>
      </c>
      <c r="J540" s="28">
        <f t="shared" si="27"/>
        <v>-1</v>
      </c>
    </row>
    <row r="541" spans="1:10">
      <c r="E541" s="3">
        <f t="shared" si="25"/>
        <v>6</v>
      </c>
      <c r="G541" s="19" t="str">
        <f t="shared" si="26"/>
        <v/>
      </c>
      <c r="J541" s="28">
        <f t="shared" si="27"/>
        <v>-1</v>
      </c>
    </row>
    <row r="542" spans="1:10">
      <c r="E542" s="3">
        <f t="shared" si="25"/>
        <v>6</v>
      </c>
      <c r="G542" s="19" t="str">
        <f t="shared" si="26"/>
        <v/>
      </c>
      <c r="J542" s="28">
        <f t="shared" si="27"/>
        <v>-1</v>
      </c>
    </row>
    <row r="543" spans="1:10">
      <c r="E543" s="3">
        <f t="shared" si="25"/>
        <v>6</v>
      </c>
      <c r="G543" s="19" t="str">
        <f t="shared" si="26"/>
        <v/>
      </c>
      <c r="J543" s="28">
        <f t="shared" si="27"/>
        <v>-1</v>
      </c>
    </row>
    <row r="544" spans="1:10">
      <c r="E544" s="3">
        <f t="shared" si="25"/>
        <v>6</v>
      </c>
      <c r="G544" s="19" t="str">
        <f t="shared" si="26"/>
        <v/>
      </c>
      <c r="J544" s="28" t="e">
        <f t="shared" si="27"/>
        <v>#DIV/0!</v>
      </c>
    </row>
    <row r="545" spans="5:10">
      <c r="E545" s="3">
        <f t="shared" si="25"/>
        <v>6</v>
      </c>
      <c r="G545" s="19" t="str">
        <f t="shared" si="26"/>
        <v/>
      </c>
      <c r="J545" s="28" t="e">
        <f t="shared" si="27"/>
        <v>#DIV/0!</v>
      </c>
    </row>
    <row r="546" spans="5:10">
      <c r="E546" s="3">
        <f t="shared" si="25"/>
        <v>6</v>
      </c>
      <c r="G546" s="19" t="str">
        <f t="shared" si="26"/>
        <v/>
      </c>
      <c r="H546">
        <f>SUM(A546:A552)</f>
        <v>0</v>
      </c>
      <c r="I546" s="28" t="e">
        <f>H546/H539-1</f>
        <v>#DIV/0!</v>
      </c>
      <c r="J546" s="28" t="e">
        <f t="shared" si="27"/>
        <v>#DIV/0!</v>
      </c>
    </row>
    <row r="547" spans="5:10">
      <c r="E547" s="3">
        <f t="shared" si="25"/>
        <v>6</v>
      </c>
      <c r="G547" s="19" t="str">
        <f t="shared" si="26"/>
        <v/>
      </c>
      <c r="J547" s="28" t="e">
        <f t="shared" si="27"/>
        <v>#DIV/0!</v>
      </c>
    </row>
    <row r="548" spans="5:10">
      <c r="E548" s="3">
        <f t="shared" si="25"/>
        <v>6</v>
      </c>
      <c r="G548" s="19" t="str">
        <f t="shared" si="26"/>
        <v/>
      </c>
      <c r="J548" s="28" t="e">
        <f t="shared" si="27"/>
        <v>#DIV/0!</v>
      </c>
    </row>
    <row r="549" spans="5:10">
      <c r="E549" s="3">
        <f t="shared" si="25"/>
        <v>6</v>
      </c>
      <c r="G549" s="19" t="str">
        <f t="shared" si="26"/>
        <v/>
      </c>
      <c r="J549" s="28" t="e">
        <f t="shared" si="27"/>
        <v>#DIV/0!</v>
      </c>
    </row>
    <row r="550" spans="5:10">
      <c r="E550" s="3">
        <f t="shared" si="25"/>
        <v>6</v>
      </c>
      <c r="G550" s="19" t="str">
        <f t="shared" si="26"/>
        <v/>
      </c>
      <c r="J550" s="28" t="e">
        <f t="shared" si="27"/>
        <v>#DIV/0!</v>
      </c>
    </row>
    <row r="551" spans="5:10">
      <c r="E551" s="3">
        <f t="shared" si="25"/>
        <v>6</v>
      </c>
      <c r="G551" s="19" t="str">
        <f t="shared" si="26"/>
        <v/>
      </c>
      <c r="J551" s="28" t="e">
        <f t="shared" si="27"/>
        <v>#DIV/0!</v>
      </c>
    </row>
    <row r="552" spans="5:10">
      <c r="E552" s="3">
        <f t="shared" si="25"/>
        <v>6</v>
      </c>
      <c r="G552" s="19" t="str">
        <f t="shared" si="26"/>
        <v/>
      </c>
      <c r="J552" s="28" t="e">
        <f t="shared" si="27"/>
        <v>#DIV/0!</v>
      </c>
    </row>
    <row r="553" spans="5:10">
      <c r="E553" s="3">
        <f t="shared" si="25"/>
        <v>6</v>
      </c>
      <c r="G553" s="19" t="str">
        <f t="shared" si="26"/>
        <v/>
      </c>
      <c r="H553">
        <f>SUM(A553:A559)</f>
        <v>0</v>
      </c>
      <c r="I553" s="28" t="e">
        <f>H553/H546-1</f>
        <v>#DIV/0!</v>
      </c>
      <c r="J553" s="28" t="e">
        <f t="shared" si="27"/>
        <v>#DIV/0!</v>
      </c>
    </row>
    <row r="554" spans="5:10">
      <c r="E554" s="3">
        <f t="shared" si="25"/>
        <v>6</v>
      </c>
      <c r="G554" s="19" t="str">
        <f t="shared" si="26"/>
        <v/>
      </c>
      <c r="J554" s="28" t="e">
        <f t="shared" si="27"/>
        <v>#DIV/0!</v>
      </c>
    </row>
    <row r="555" spans="5:10">
      <c r="E555" s="3">
        <f t="shared" si="25"/>
        <v>6</v>
      </c>
      <c r="G555" s="19" t="str">
        <f t="shared" si="26"/>
        <v/>
      </c>
      <c r="J555" s="28" t="e">
        <f t="shared" si="27"/>
        <v>#DIV/0!</v>
      </c>
    </row>
    <row r="556" spans="5:10">
      <c r="E556" s="3">
        <f t="shared" si="25"/>
        <v>6</v>
      </c>
      <c r="G556" s="19" t="str">
        <f t="shared" si="26"/>
        <v/>
      </c>
      <c r="J556" s="28" t="e">
        <f t="shared" si="27"/>
        <v>#DIV/0!</v>
      </c>
    </row>
    <row r="557" spans="5:10">
      <c r="E557" s="3">
        <f t="shared" si="25"/>
        <v>6</v>
      </c>
      <c r="G557" s="19" t="str">
        <f t="shared" si="26"/>
        <v/>
      </c>
      <c r="J557" s="28" t="e">
        <f t="shared" si="27"/>
        <v>#DIV/0!</v>
      </c>
    </row>
    <row r="558" spans="5:10">
      <c r="E558" s="3">
        <f t="shared" si="25"/>
        <v>6</v>
      </c>
      <c r="G558" s="19" t="str">
        <f t="shared" si="26"/>
        <v/>
      </c>
      <c r="J558" s="28" t="e">
        <f t="shared" si="27"/>
        <v>#DIV/0!</v>
      </c>
    </row>
    <row r="559" spans="5:10">
      <c r="E559" s="3">
        <f t="shared" si="25"/>
        <v>6</v>
      </c>
      <c r="G559" s="19" t="str">
        <f t="shared" si="26"/>
        <v/>
      </c>
      <c r="J559" s="28" t="e">
        <f t="shared" si="27"/>
        <v>#DIV/0!</v>
      </c>
    </row>
    <row r="560" spans="5:10">
      <c r="E560" s="3">
        <f t="shared" si="25"/>
        <v>6</v>
      </c>
      <c r="G560" s="19" t="str">
        <f t="shared" si="26"/>
        <v/>
      </c>
      <c r="H560">
        <f>SUM(A560:A566)</f>
        <v>0</v>
      </c>
      <c r="I560" s="28" t="e">
        <f>H560/H553-1</f>
        <v>#DIV/0!</v>
      </c>
      <c r="J560" s="28" t="e">
        <f t="shared" si="27"/>
        <v>#DIV/0!</v>
      </c>
    </row>
    <row r="561" spans="5:10">
      <c r="E561" s="3">
        <f t="shared" si="25"/>
        <v>6</v>
      </c>
      <c r="G561" s="19" t="str">
        <f t="shared" si="26"/>
        <v/>
      </c>
      <c r="J561" s="28" t="e">
        <f t="shared" si="27"/>
        <v>#DIV/0!</v>
      </c>
    </row>
    <row r="562" spans="5:10">
      <c r="E562" s="3">
        <f t="shared" si="25"/>
        <v>6</v>
      </c>
      <c r="G562" s="19" t="str">
        <f t="shared" si="26"/>
        <v/>
      </c>
      <c r="J562" s="28" t="e">
        <f t="shared" si="27"/>
        <v>#DIV/0!</v>
      </c>
    </row>
    <row r="563" spans="5:10">
      <c r="E563" s="3">
        <f t="shared" si="25"/>
        <v>6</v>
      </c>
      <c r="G563" s="19" t="str">
        <f t="shared" si="26"/>
        <v/>
      </c>
      <c r="J563" s="28" t="e">
        <f t="shared" si="27"/>
        <v>#DIV/0!</v>
      </c>
    </row>
    <row r="564" spans="5:10">
      <c r="E564" s="3">
        <f t="shared" si="25"/>
        <v>6</v>
      </c>
      <c r="G564" s="19" t="str">
        <f t="shared" si="26"/>
        <v/>
      </c>
      <c r="J564" s="28" t="e">
        <f t="shared" si="27"/>
        <v>#DIV/0!</v>
      </c>
    </row>
    <row r="565" spans="5:10">
      <c r="E565" s="3">
        <f t="shared" si="25"/>
        <v>6</v>
      </c>
      <c r="G565" s="19" t="str">
        <f t="shared" si="26"/>
        <v/>
      </c>
      <c r="J565" s="28" t="e">
        <f t="shared" si="27"/>
        <v>#DIV/0!</v>
      </c>
    </row>
    <row r="566" spans="5:10">
      <c r="E566" s="3">
        <f t="shared" si="25"/>
        <v>6</v>
      </c>
      <c r="G566" s="19" t="str">
        <f t="shared" si="26"/>
        <v/>
      </c>
      <c r="J566" s="28" t="e">
        <f t="shared" si="27"/>
        <v>#DIV/0!</v>
      </c>
    </row>
    <row r="567" spans="5:10">
      <c r="E567" s="3">
        <f t="shared" si="25"/>
        <v>6</v>
      </c>
      <c r="G567" s="19" t="str">
        <f t="shared" si="26"/>
        <v/>
      </c>
      <c r="H567">
        <f>SUM(A567:A573)</f>
        <v>0</v>
      </c>
      <c r="I567" s="28" t="e">
        <f>H567/H560-1</f>
        <v>#DIV/0!</v>
      </c>
      <c r="J567" s="28" t="e">
        <f t="shared" si="27"/>
        <v>#DIV/0!</v>
      </c>
    </row>
    <row r="568" spans="5:10">
      <c r="E568" s="3">
        <f t="shared" si="25"/>
        <v>6</v>
      </c>
      <c r="G568" s="19" t="str">
        <f t="shared" si="26"/>
        <v/>
      </c>
      <c r="J568" s="28" t="e">
        <f t="shared" si="27"/>
        <v>#DIV/0!</v>
      </c>
    </row>
    <row r="569" spans="5:10">
      <c r="E569" s="3">
        <f t="shared" si="25"/>
        <v>6</v>
      </c>
      <c r="G569" s="19" t="str">
        <f t="shared" si="26"/>
        <v/>
      </c>
      <c r="J569" s="28" t="e">
        <f t="shared" si="27"/>
        <v>#DIV/0!</v>
      </c>
    </row>
    <row r="570" spans="5:10">
      <c r="E570" s="3">
        <f t="shared" si="25"/>
        <v>6</v>
      </c>
      <c r="G570" s="19" t="str">
        <f t="shared" si="26"/>
        <v/>
      </c>
      <c r="J570" s="28" t="e">
        <f t="shared" si="27"/>
        <v>#DIV/0!</v>
      </c>
    </row>
    <row r="571" spans="5:10">
      <c r="E571" s="3">
        <f t="shared" si="25"/>
        <v>6</v>
      </c>
      <c r="G571" s="19" t="str">
        <f t="shared" si="26"/>
        <v/>
      </c>
      <c r="J571" s="28" t="e">
        <f t="shared" si="27"/>
        <v>#DIV/0!</v>
      </c>
    </row>
    <row r="572" spans="5:10">
      <c r="E572" s="3">
        <f t="shared" si="25"/>
        <v>6</v>
      </c>
      <c r="G572" s="19" t="str">
        <f t="shared" si="26"/>
        <v/>
      </c>
      <c r="J572" s="28" t="e">
        <f t="shared" si="27"/>
        <v>#DIV/0!</v>
      </c>
    </row>
    <row r="573" spans="5:10">
      <c r="E573" s="3">
        <f t="shared" si="25"/>
        <v>6</v>
      </c>
      <c r="G573" s="19" t="str">
        <f t="shared" si="26"/>
        <v/>
      </c>
      <c r="J573" s="28" t="e">
        <f t="shared" si="27"/>
        <v>#DIV/0!</v>
      </c>
    </row>
    <row r="574" spans="5:10">
      <c r="E574" s="3">
        <f t="shared" si="25"/>
        <v>6</v>
      </c>
      <c r="G574" s="19" t="str">
        <f t="shared" si="26"/>
        <v/>
      </c>
      <c r="H574">
        <f>SUM(A574:A580)</f>
        <v>0</v>
      </c>
      <c r="I574" s="28" t="e">
        <f>H574/H567-1</f>
        <v>#DIV/0!</v>
      </c>
      <c r="J574" s="28" t="e">
        <f t="shared" si="27"/>
        <v>#DIV/0!</v>
      </c>
    </row>
    <row r="575" spans="5:10">
      <c r="E575" s="3">
        <f t="shared" ref="E575:E638" si="28">WEEKDAY(F575,2)</f>
        <v>6</v>
      </c>
      <c r="G575" s="19" t="str">
        <f t="shared" si="26"/>
        <v/>
      </c>
      <c r="J575" s="28" t="e">
        <f t="shared" si="27"/>
        <v>#DIV/0!</v>
      </c>
    </row>
    <row r="576" spans="5:10">
      <c r="E576" s="3">
        <f t="shared" si="28"/>
        <v>6</v>
      </c>
      <c r="G576" s="19" t="str">
        <f t="shared" si="26"/>
        <v/>
      </c>
      <c r="J576" s="28" t="e">
        <f t="shared" si="27"/>
        <v>#DIV/0!</v>
      </c>
    </row>
    <row r="577" spans="5:10">
      <c r="E577" s="3">
        <f t="shared" si="28"/>
        <v>6</v>
      </c>
      <c r="G577" s="19" t="str">
        <f t="shared" si="26"/>
        <v/>
      </c>
      <c r="J577" s="28" t="e">
        <f t="shared" si="27"/>
        <v>#DIV/0!</v>
      </c>
    </row>
    <row r="578" spans="5:10">
      <c r="E578" s="3">
        <f t="shared" si="28"/>
        <v>6</v>
      </c>
      <c r="G578" s="19" t="str">
        <f t="shared" si="26"/>
        <v/>
      </c>
      <c r="J578" s="28" t="e">
        <f t="shared" si="27"/>
        <v>#DIV/0!</v>
      </c>
    </row>
    <row r="579" spans="5:10">
      <c r="E579" s="3">
        <f t="shared" si="28"/>
        <v>6</v>
      </c>
      <c r="G579" s="19" t="str">
        <f t="shared" ref="G579:G642" si="29">IF(WEEKDAY(F579,2)=1,YEAR(F579)&amp;"-W"&amp;TEXT(WEEKNUM(F579,14),"00"),"")</f>
        <v/>
      </c>
      <c r="J579" s="28" t="e">
        <f t="shared" si="27"/>
        <v>#DIV/0!</v>
      </c>
    </row>
    <row r="580" spans="5:10">
      <c r="E580" s="3">
        <f t="shared" si="28"/>
        <v>6</v>
      </c>
      <c r="G580" s="19" t="str">
        <f t="shared" si="29"/>
        <v/>
      </c>
      <c r="J580" s="28" t="e">
        <f t="shared" si="27"/>
        <v>#DIV/0!</v>
      </c>
    </row>
    <row r="581" spans="5:10">
      <c r="E581" s="3">
        <f t="shared" si="28"/>
        <v>6</v>
      </c>
      <c r="G581" s="19" t="str">
        <f t="shared" si="29"/>
        <v/>
      </c>
      <c r="H581">
        <f>SUM(A581:A587)</f>
        <v>0</v>
      </c>
      <c r="I581" s="28" t="e">
        <f>H581/H574-1</f>
        <v>#DIV/0!</v>
      </c>
      <c r="J581" s="28" t="e">
        <f t="shared" si="27"/>
        <v>#DIV/0!</v>
      </c>
    </row>
    <row r="582" spans="5:10">
      <c r="E582" s="3">
        <f t="shared" si="28"/>
        <v>6</v>
      </c>
      <c r="G582" s="19" t="str">
        <f t="shared" si="29"/>
        <v/>
      </c>
      <c r="J582" s="28" t="e">
        <f t="shared" si="27"/>
        <v>#DIV/0!</v>
      </c>
    </row>
    <row r="583" spans="5:10">
      <c r="E583" s="3">
        <f t="shared" si="28"/>
        <v>6</v>
      </c>
      <c r="G583" s="19" t="str">
        <f t="shared" si="29"/>
        <v/>
      </c>
      <c r="J583" s="28" t="e">
        <f t="shared" si="27"/>
        <v>#DIV/0!</v>
      </c>
    </row>
    <row r="584" spans="5:10">
      <c r="E584" s="3">
        <f t="shared" si="28"/>
        <v>6</v>
      </c>
      <c r="G584" s="19" t="str">
        <f t="shared" si="29"/>
        <v/>
      </c>
      <c r="J584" s="28" t="e">
        <f t="shared" si="27"/>
        <v>#DIV/0!</v>
      </c>
    </row>
    <row r="585" spans="5:10">
      <c r="E585" s="3">
        <f t="shared" si="28"/>
        <v>6</v>
      </c>
      <c r="G585" s="19" t="str">
        <f t="shared" si="29"/>
        <v/>
      </c>
      <c r="J585" s="28" t="e">
        <f t="shared" ref="J585:J641" si="30">A585/A578-1</f>
        <v>#DIV/0!</v>
      </c>
    </row>
    <row r="586" spans="5:10">
      <c r="E586" s="3">
        <f t="shared" si="28"/>
        <v>6</v>
      </c>
      <c r="G586" s="19" t="str">
        <f t="shared" si="29"/>
        <v/>
      </c>
      <c r="J586" s="28" t="e">
        <f t="shared" si="30"/>
        <v>#DIV/0!</v>
      </c>
    </row>
    <row r="587" spans="5:10">
      <c r="E587" s="3">
        <f t="shared" si="28"/>
        <v>6</v>
      </c>
      <c r="G587" s="19" t="str">
        <f t="shared" si="29"/>
        <v/>
      </c>
      <c r="J587" s="28" t="e">
        <f t="shared" si="30"/>
        <v>#DIV/0!</v>
      </c>
    </row>
    <row r="588" spans="5:10">
      <c r="E588" s="3">
        <f t="shared" si="28"/>
        <v>6</v>
      </c>
      <c r="G588" s="19" t="str">
        <f t="shared" si="29"/>
        <v/>
      </c>
      <c r="H588">
        <f>SUM(A588:A594)</f>
        <v>0</v>
      </c>
      <c r="I588" s="28" t="e">
        <f>H588/H581-1</f>
        <v>#DIV/0!</v>
      </c>
      <c r="J588" s="28" t="e">
        <f t="shared" si="30"/>
        <v>#DIV/0!</v>
      </c>
    </row>
    <row r="589" spans="5:10">
      <c r="E589" s="3">
        <f t="shared" si="28"/>
        <v>6</v>
      </c>
      <c r="G589" s="19" t="str">
        <f t="shared" si="29"/>
        <v/>
      </c>
      <c r="J589" s="28" t="e">
        <f t="shared" si="30"/>
        <v>#DIV/0!</v>
      </c>
    </row>
    <row r="590" spans="5:10">
      <c r="E590" s="3">
        <f t="shared" si="28"/>
        <v>6</v>
      </c>
      <c r="G590" s="19" t="str">
        <f t="shared" si="29"/>
        <v/>
      </c>
      <c r="J590" s="28" t="e">
        <f t="shared" si="30"/>
        <v>#DIV/0!</v>
      </c>
    </row>
    <row r="591" spans="5:10">
      <c r="E591" s="3">
        <f t="shared" si="28"/>
        <v>6</v>
      </c>
      <c r="G591" s="19" t="str">
        <f t="shared" si="29"/>
        <v/>
      </c>
      <c r="J591" s="28" t="e">
        <f t="shared" si="30"/>
        <v>#DIV/0!</v>
      </c>
    </row>
    <row r="592" spans="5:10">
      <c r="E592" s="3">
        <f t="shared" si="28"/>
        <v>6</v>
      </c>
      <c r="G592" s="19" t="str">
        <f t="shared" si="29"/>
        <v/>
      </c>
      <c r="J592" s="28" t="e">
        <f t="shared" si="30"/>
        <v>#DIV/0!</v>
      </c>
    </row>
    <row r="593" spans="5:10">
      <c r="E593" s="3">
        <f t="shared" si="28"/>
        <v>6</v>
      </c>
      <c r="G593" s="19" t="str">
        <f t="shared" si="29"/>
        <v/>
      </c>
      <c r="J593" s="28" t="e">
        <f t="shared" si="30"/>
        <v>#DIV/0!</v>
      </c>
    </row>
    <row r="594" spans="5:10">
      <c r="E594" s="3">
        <f t="shared" si="28"/>
        <v>6</v>
      </c>
      <c r="G594" s="19" t="str">
        <f t="shared" si="29"/>
        <v/>
      </c>
      <c r="J594" s="28" t="e">
        <f t="shared" si="30"/>
        <v>#DIV/0!</v>
      </c>
    </row>
    <row r="595" spans="5:10">
      <c r="E595" s="3">
        <f t="shared" si="28"/>
        <v>6</v>
      </c>
      <c r="G595" s="19" t="str">
        <f t="shared" si="29"/>
        <v/>
      </c>
      <c r="H595">
        <f>SUM(A595:A601)</f>
        <v>0</v>
      </c>
      <c r="I595" s="28" t="e">
        <f>H595/H588-1</f>
        <v>#DIV/0!</v>
      </c>
      <c r="J595" s="28" t="e">
        <f t="shared" si="30"/>
        <v>#DIV/0!</v>
      </c>
    </row>
    <row r="596" spans="5:10">
      <c r="E596" s="3">
        <f t="shared" si="28"/>
        <v>6</v>
      </c>
      <c r="G596" s="19" t="str">
        <f t="shared" si="29"/>
        <v/>
      </c>
      <c r="J596" s="28" t="e">
        <f t="shared" si="30"/>
        <v>#DIV/0!</v>
      </c>
    </row>
    <row r="597" spans="5:10">
      <c r="E597" s="3">
        <f t="shared" si="28"/>
        <v>6</v>
      </c>
      <c r="G597" s="19" t="str">
        <f t="shared" si="29"/>
        <v/>
      </c>
      <c r="J597" s="28" t="e">
        <f t="shared" si="30"/>
        <v>#DIV/0!</v>
      </c>
    </row>
    <row r="598" spans="5:10">
      <c r="E598" s="3">
        <f t="shared" si="28"/>
        <v>6</v>
      </c>
      <c r="G598" s="19" t="str">
        <f t="shared" si="29"/>
        <v/>
      </c>
      <c r="J598" s="28" t="e">
        <f t="shared" si="30"/>
        <v>#DIV/0!</v>
      </c>
    </row>
    <row r="599" spans="5:10">
      <c r="E599" s="3">
        <f t="shared" si="28"/>
        <v>6</v>
      </c>
      <c r="G599" s="19" t="str">
        <f t="shared" si="29"/>
        <v/>
      </c>
      <c r="J599" s="28" t="e">
        <f t="shared" si="30"/>
        <v>#DIV/0!</v>
      </c>
    </row>
    <row r="600" spans="5:10">
      <c r="E600" s="3">
        <f t="shared" si="28"/>
        <v>6</v>
      </c>
      <c r="G600" s="19" t="str">
        <f t="shared" si="29"/>
        <v/>
      </c>
      <c r="J600" s="28" t="e">
        <f t="shared" si="30"/>
        <v>#DIV/0!</v>
      </c>
    </row>
    <row r="601" spans="5:10">
      <c r="E601" s="3">
        <f t="shared" si="28"/>
        <v>6</v>
      </c>
      <c r="G601" s="19" t="str">
        <f t="shared" si="29"/>
        <v/>
      </c>
      <c r="J601" s="28" t="e">
        <f t="shared" si="30"/>
        <v>#DIV/0!</v>
      </c>
    </row>
    <row r="602" spans="5:10">
      <c r="E602" s="3">
        <f t="shared" si="28"/>
        <v>6</v>
      </c>
      <c r="G602" s="19" t="str">
        <f t="shared" si="29"/>
        <v/>
      </c>
      <c r="H602">
        <f>SUM(A602:A608)</f>
        <v>0</v>
      </c>
      <c r="I602" s="28" t="e">
        <f>H602/H595-1</f>
        <v>#DIV/0!</v>
      </c>
      <c r="J602" s="28" t="e">
        <f t="shared" si="30"/>
        <v>#DIV/0!</v>
      </c>
    </row>
    <row r="603" spans="5:10">
      <c r="E603" s="3">
        <f t="shared" si="28"/>
        <v>6</v>
      </c>
      <c r="G603" s="19" t="str">
        <f t="shared" si="29"/>
        <v/>
      </c>
      <c r="J603" s="28" t="e">
        <f t="shared" si="30"/>
        <v>#DIV/0!</v>
      </c>
    </row>
    <row r="604" spans="5:10">
      <c r="E604" s="3">
        <f t="shared" si="28"/>
        <v>6</v>
      </c>
      <c r="G604" s="19" t="str">
        <f t="shared" si="29"/>
        <v/>
      </c>
      <c r="J604" s="28" t="e">
        <f t="shared" si="30"/>
        <v>#DIV/0!</v>
      </c>
    </row>
    <row r="605" spans="5:10">
      <c r="E605" s="3">
        <f t="shared" si="28"/>
        <v>6</v>
      </c>
      <c r="G605" s="19" t="str">
        <f t="shared" si="29"/>
        <v/>
      </c>
      <c r="J605" s="28" t="e">
        <f t="shared" si="30"/>
        <v>#DIV/0!</v>
      </c>
    </row>
    <row r="606" spans="5:10">
      <c r="E606" s="3">
        <f t="shared" si="28"/>
        <v>6</v>
      </c>
      <c r="G606" s="19" t="str">
        <f t="shared" si="29"/>
        <v/>
      </c>
      <c r="J606" s="28" t="e">
        <f t="shared" si="30"/>
        <v>#DIV/0!</v>
      </c>
    </row>
    <row r="607" spans="5:10">
      <c r="E607" s="3">
        <f t="shared" si="28"/>
        <v>6</v>
      </c>
      <c r="G607" s="19" t="str">
        <f t="shared" si="29"/>
        <v/>
      </c>
      <c r="J607" s="28" t="e">
        <f t="shared" si="30"/>
        <v>#DIV/0!</v>
      </c>
    </row>
    <row r="608" spans="5:10">
      <c r="E608" s="3">
        <f t="shared" si="28"/>
        <v>6</v>
      </c>
      <c r="G608" s="19" t="str">
        <f t="shared" si="29"/>
        <v/>
      </c>
      <c r="J608" s="28" t="e">
        <f t="shared" si="30"/>
        <v>#DIV/0!</v>
      </c>
    </row>
    <row r="609" spans="5:10">
      <c r="E609" s="3">
        <f t="shared" si="28"/>
        <v>6</v>
      </c>
      <c r="G609" s="19" t="str">
        <f t="shared" si="29"/>
        <v/>
      </c>
      <c r="H609">
        <f>SUM(A609:A615)</f>
        <v>0</v>
      </c>
      <c r="I609" s="28" t="e">
        <f>H609/H602-1</f>
        <v>#DIV/0!</v>
      </c>
      <c r="J609" s="28" t="e">
        <f t="shared" si="30"/>
        <v>#DIV/0!</v>
      </c>
    </row>
    <row r="610" spans="5:10">
      <c r="E610" s="3">
        <f t="shared" si="28"/>
        <v>6</v>
      </c>
      <c r="G610" s="19" t="str">
        <f t="shared" si="29"/>
        <v/>
      </c>
      <c r="J610" s="28" t="e">
        <f t="shared" si="30"/>
        <v>#DIV/0!</v>
      </c>
    </row>
    <row r="611" spans="5:10">
      <c r="E611" s="3">
        <f t="shared" si="28"/>
        <v>6</v>
      </c>
      <c r="G611" s="19" t="str">
        <f t="shared" si="29"/>
        <v/>
      </c>
      <c r="J611" s="28" t="e">
        <f t="shared" si="30"/>
        <v>#DIV/0!</v>
      </c>
    </row>
    <row r="612" spans="5:10">
      <c r="E612" s="3">
        <f t="shared" si="28"/>
        <v>6</v>
      </c>
      <c r="G612" s="19" t="str">
        <f t="shared" si="29"/>
        <v/>
      </c>
      <c r="J612" s="28" t="e">
        <f t="shared" si="30"/>
        <v>#DIV/0!</v>
      </c>
    </row>
    <row r="613" spans="5:10">
      <c r="E613" s="3">
        <f t="shared" si="28"/>
        <v>6</v>
      </c>
      <c r="G613" s="19" t="str">
        <f t="shared" si="29"/>
        <v/>
      </c>
      <c r="J613" s="28" t="e">
        <f t="shared" si="30"/>
        <v>#DIV/0!</v>
      </c>
    </row>
    <row r="614" spans="5:10">
      <c r="E614" s="3">
        <f t="shared" si="28"/>
        <v>6</v>
      </c>
      <c r="G614" s="19" t="str">
        <f t="shared" si="29"/>
        <v/>
      </c>
      <c r="J614" s="28" t="e">
        <f t="shared" si="30"/>
        <v>#DIV/0!</v>
      </c>
    </row>
    <row r="615" spans="5:10">
      <c r="E615" s="3">
        <f t="shared" si="28"/>
        <v>6</v>
      </c>
      <c r="G615" s="19" t="str">
        <f t="shared" si="29"/>
        <v/>
      </c>
      <c r="J615" s="28" t="e">
        <f t="shared" si="30"/>
        <v>#DIV/0!</v>
      </c>
    </row>
    <row r="616" spans="5:10">
      <c r="E616" s="3">
        <f t="shared" si="28"/>
        <v>6</v>
      </c>
      <c r="G616" s="19" t="str">
        <f t="shared" si="29"/>
        <v/>
      </c>
      <c r="H616">
        <f>SUM(A616:A622)</f>
        <v>0</v>
      </c>
      <c r="I616" s="28" t="e">
        <f>H616/H609-1</f>
        <v>#DIV/0!</v>
      </c>
      <c r="J616" s="28" t="e">
        <f t="shared" si="30"/>
        <v>#DIV/0!</v>
      </c>
    </row>
    <row r="617" spans="5:10">
      <c r="E617" s="3">
        <f t="shared" si="28"/>
        <v>6</v>
      </c>
      <c r="G617" s="19" t="str">
        <f t="shared" si="29"/>
        <v/>
      </c>
      <c r="J617" s="28" t="e">
        <f t="shared" si="30"/>
        <v>#DIV/0!</v>
      </c>
    </row>
    <row r="618" spans="5:10">
      <c r="E618" s="3">
        <f t="shared" si="28"/>
        <v>6</v>
      </c>
      <c r="G618" s="19" t="str">
        <f t="shared" si="29"/>
        <v/>
      </c>
      <c r="J618" s="28" t="e">
        <f t="shared" si="30"/>
        <v>#DIV/0!</v>
      </c>
    </row>
    <row r="619" spans="5:10">
      <c r="E619" s="3">
        <f t="shared" si="28"/>
        <v>6</v>
      </c>
      <c r="G619" s="19" t="str">
        <f t="shared" si="29"/>
        <v/>
      </c>
      <c r="J619" s="28" t="e">
        <f t="shared" si="30"/>
        <v>#DIV/0!</v>
      </c>
    </row>
    <row r="620" spans="5:10">
      <c r="E620" s="3">
        <f t="shared" si="28"/>
        <v>6</v>
      </c>
      <c r="G620" s="19" t="str">
        <f t="shared" si="29"/>
        <v/>
      </c>
      <c r="J620" s="28" t="e">
        <f t="shared" si="30"/>
        <v>#DIV/0!</v>
      </c>
    </row>
    <row r="621" spans="5:10">
      <c r="E621" s="3">
        <f t="shared" si="28"/>
        <v>6</v>
      </c>
      <c r="G621" s="19" t="str">
        <f t="shared" si="29"/>
        <v/>
      </c>
      <c r="J621" s="28" t="e">
        <f t="shared" si="30"/>
        <v>#DIV/0!</v>
      </c>
    </row>
    <row r="622" spans="5:10">
      <c r="E622" s="3">
        <f t="shared" si="28"/>
        <v>6</v>
      </c>
      <c r="G622" s="19" t="str">
        <f t="shared" si="29"/>
        <v/>
      </c>
      <c r="J622" s="28" t="e">
        <f t="shared" si="30"/>
        <v>#DIV/0!</v>
      </c>
    </row>
    <row r="623" spans="5:10">
      <c r="E623" s="3">
        <f t="shared" si="28"/>
        <v>6</v>
      </c>
      <c r="G623" s="19" t="str">
        <f t="shared" si="29"/>
        <v/>
      </c>
      <c r="H623">
        <f>SUM(A623:A629)</f>
        <v>0</v>
      </c>
      <c r="I623" s="28" t="e">
        <f>H623/H616-1</f>
        <v>#DIV/0!</v>
      </c>
      <c r="J623" s="28" t="e">
        <f t="shared" si="30"/>
        <v>#DIV/0!</v>
      </c>
    </row>
    <row r="624" spans="5:10">
      <c r="E624" s="3">
        <f t="shared" si="28"/>
        <v>6</v>
      </c>
      <c r="G624" s="19" t="str">
        <f t="shared" si="29"/>
        <v/>
      </c>
      <c r="J624" s="28" t="e">
        <f t="shared" si="30"/>
        <v>#DIV/0!</v>
      </c>
    </row>
    <row r="625" spans="5:10">
      <c r="E625" s="3">
        <f t="shared" si="28"/>
        <v>6</v>
      </c>
      <c r="G625" s="19" t="str">
        <f t="shared" si="29"/>
        <v/>
      </c>
      <c r="J625" s="28" t="e">
        <f t="shared" si="30"/>
        <v>#DIV/0!</v>
      </c>
    </row>
    <row r="626" spans="5:10">
      <c r="E626" s="3">
        <f t="shared" si="28"/>
        <v>6</v>
      </c>
      <c r="G626" s="19" t="str">
        <f t="shared" si="29"/>
        <v/>
      </c>
      <c r="J626" s="28" t="e">
        <f t="shared" si="30"/>
        <v>#DIV/0!</v>
      </c>
    </row>
    <row r="627" spans="5:10">
      <c r="E627" s="3">
        <f t="shared" si="28"/>
        <v>6</v>
      </c>
      <c r="G627" s="19" t="str">
        <f t="shared" si="29"/>
        <v/>
      </c>
      <c r="J627" s="28" t="e">
        <f t="shared" si="30"/>
        <v>#DIV/0!</v>
      </c>
    </row>
    <row r="628" spans="5:10">
      <c r="E628" s="3">
        <f t="shared" si="28"/>
        <v>6</v>
      </c>
      <c r="G628" s="19" t="str">
        <f t="shared" si="29"/>
        <v/>
      </c>
      <c r="J628" s="28" t="e">
        <f t="shared" si="30"/>
        <v>#DIV/0!</v>
      </c>
    </row>
    <row r="629" spans="5:10">
      <c r="E629" s="3">
        <f t="shared" si="28"/>
        <v>6</v>
      </c>
      <c r="G629" s="19" t="str">
        <f t="shared" si="29"/>
        <v/>
      </c>
      <c r="J629" s="28" t="e">
        <f t="shared" si="30"/>
        <v>#DIV/0!</v>
      </c>
    </row>
    <row r="630" spans="5:10">
      <c r="E630" s="3">
        <f t="shared" si="28"/>
        <v>6</v>
      </c>
      <c r="G630" s="19" t="str">
        <f t="shared" si="29"/>
        <v/>
      </c>
      <c r="H630">
        <f>SUM(A630:A636)</f>
        <v>0</v>
      </c>
      <c r="I630" s="28" t="e">
        <f>H630/H623-1</f>
        <v>#DIV/0!</v>
      </c>
      <c r="J630" s="28" t="e">
        <f t="shared" si="30"/>
        <v>#DIV/0!</v>
      </c>
    </row>
    <row r="631" spans="5:10">
      <c r="E631" s="3">
        <f t="shared" si="28"/>
        <v>6</v>
      </c>
      <c r="G631" s="19" t="str">
        <f t="shared" si="29"/>
        <v/>
      </c>
      <c r="J631" s="28" t="e">
        <f t="shared" si="30"/>
        <v>#DIV/0!</v>
      </c>
    </row>
    <row r="632" spans="5:10">
      <c r="E632" s="3">
        <f t="shared" si="28"/>
        <v>6</v>
      </c>
      <c r="G632" s="19" t="str">
        <f t="shared" si="29"/>
        <v/>
      </c>
      <c r="J632" s="28" t="e">
        <f t="shared" si="30"/>
        <v>#DIV/0!</v>
      </c>
    </row>
    <row r="633" spans="5:10">
      <c r="E633" s="3">
        <f t="shared" si="28"/>
        <v>6</v>
      </c>
      <c r="G633" s="19" t="str">
        <f t="shared" si="29"/>
        <v/>
      </c>
      <c r="J633" s="28" t="e">
        <f t="shared" si="30"/>
        <v>#DIV/0!</v>
      </c>
    </row>
    <row r="634" spans="5:10">
      <c r="E634" s="3">
        <f t="shared" si="28"/>
        <v>6</v>
      </c>
      <c r="G634" s="19" t="str">
        <f t="shared" si="29"/>
        <v/>
      </c>
      <c r="J634" s="28" t="e">
        <f t="shared" si="30"/>
        <v>#DIV/0!</v>
      </c>
    </row>
    <row r="635" spans="5:10">
      <c r="E635" s="3">
        <f t="shared" si="28"/>
        <v>6</v>
      </c>
      <c r="G635" s="19" t="str">
        <f t="shared" si="29"/>
        <v/>
      </c>
      <c r="J635" s="28" t="e">
        <f t="shared" si="30"/>
        <v>#DIV/0!</v>
      </c>
    </row>
    <row r="636" spans="5:10">
      <c r="E636" s="3">
        <f t="shared" si="28"/>
        <v>6</v>
      </c>
      <c r="G636" s="19" t="str">
        <f t="shared" si="29"/>
        <v/>
      </c>
      <c r="J636" s="28" t="e">
        <f t="shared" si="30"/>
        <v>#DIV/0!</v>
      </c>
    </row>
    <row r="637" spans="5:10">
      <c r="E637" s="3">
        <f t="shared" si="28"/>
        <v>6</v>
      </c>
      <c r="G637" s="19" t="str">
        <f t="shared" si="29"/>
        <v/>
      </c>
      <c r="H637">
        <f>SUM(A637:A643)</f>
        <v>0</v>
      </c>
      <c r="I637" s="28" t="e">
        <f>H637/H630-1</f>
        <v>#DIV/0!</v>
      </c>
      <c r="J637" s="28" t="e">
        <f t="shared" si="30"/>
        <v>#DIV/0!</v>
      </c>
    </row>
    <row r="638" spans="5:10">
      <c r="E638" s="3">
        <f t="shared" si="28"/>
        <v>6</v>
      </c>
      <c r="G638" s="19" t="str">
        <f t="shared" si="29"/>
        <v/>
      </c>
      <c r="J638" s="28" t="e">
        <f t="shared" si="30"/>
        <v>#DIV/0!</v>
      </c>
    </row>
    <row r="639" spans="5:10">
      <c r="E639" s="3">
        <f t="shared" ref="E639:E702" si="31">WEEKDAY(F639,2)</f>
        <v>6</v>
      </c>
      <c r="G639" s="19" t="str">
        <f t="shared" si="29"/>
        <v/>
      </c>
      <c r="J639" s="28" t="e">
        <f t="shared" si="30"/>
        <v>#DIV/0!</v>
      </c>
    </row>
    <row r="640" spans="5:10">
      <c r="E640" s="3">
        <f t="shared" si="31"/>
        <v>6</v>
      </c>
      <c r="G640" s="19" t="str">
        <f t="shared" si="29"/>
        <v/>
      </c>
      <c r="J640" s="28" t="e">
        <f t="shared" si="30"/>
        <v>#DIV/0!</v>
      </c>
    </row>
    <row r="641" spans="5:10">
      <c r="E641" s="3">
        <f t="shared" si="31"/>
        <v>6</v>
      </c>
      <c r="G641" s="19" t="str">
        <f t="shared" si="29"/>
        <v/>
      </c>
      <c r="J641" s="28" t="e">
        <f t="shared" si="30"/>
        <v>#DIV/0!</v>
      </c>
    </row>
    <row r="642" spans="5:10">
      <c r="E642" s="3">
        <f t="shared" si="31"/>
        <v>6</v>
      </c>
      <c r="G642" s="19" t="str">
        <f t="shared" si="29"/>
        <v/>
      </c>
    </row>
    <row r="643" spans="5:10">
      <c r="E643" s="3">
        <f t="shared" si="31"/>
        <v>6</v>
      </c>
      <c r="G643" s="19" t="str">
        <f t="shared" ref="G643:G706" si="32">IF(WEEKDAY(F643,2)=1,YEAR(F643)&amp;"-W"&amp;TEXT(WEEKNUM(F643,14),"00"),"")</f>
        <v/>
      </c>
    </row>
    <row r="644" spans="5:10">
      <c r="E644" s="3">
        <f t="shared" si="31"/>
        <v>6</v>
      </c>
      <c r="G644" s="19" t="str">
        <f t="shared" si="32"/>
        <v/>
      </c>
      <c r="H644">
        <f>SUM(A644:A650)</f>
        <v>0</v>
      </c>
      <c r="I644" s="28" t="e">
        <f>H644/H637-1</f>
        <v>#DIV/0!</v>
      </c>
      <c r="J644" s="28" t="e">
        <f>A644/A637-1</f>
        <v>#DIV/0!</v>
      </c>
    </row>
    <row r="645" spans="5:10">
      <c r="E645" s="3">
        <f t="shared" si="31"/>
        <v>6</v>
      </c>
      <c r="G645" s="19" t="str">
        <f t="shared" si="32"/>
        <v/>
      </c>
    </row>
    <row r="646" spans="5:10">
      <c r="E646" s="3">
        <f t="shared" si="31"/>
        <v>6</v>
      </c>
      <c r="G646" s="19" t="str">
        <f t="shared" si="32"/>
        <v/>
      </c>
    </row>
    <row r="647" spans="5:10">
      <c r="E647" s="3">
        <f t="shared" si="31"/>
        <v>6</v>
      </c>
      <c r="G647" s="19" t="str">
        <f t="shared" si="32"/>
        <v/>
      </c>
    </row>
    <row r="648" spans="5:10">
      <c r="E648" s="3">
        <f t="shared" si="31"/>
        <v>6</v>
      </c>
      <c r="G648" s="19" t="str">
        <f t="shared" si="32"/>
        <v/>
      </c>
    </row>
    <row r="649" spans="5:10">
      <c r="E649" s="3">
        <f t="shared" si="31"/>
        <v>6</v>
      </c>
      <c r="G649" s="19" t="str">
        <f t="shared" si="32"/>
        <v/>
      </c>
    </row>
    <row r="650" spans="5:10">
      <c r="E650" s="3">
        <f t="shared" si="31"/>
        <v>6</v>
      </c>
      <c r="G650" s="19" t="str">
        <f t="shared" si="32"/>
        <v/>
      </c>
    </row>
    <row r="651" spans="5:10">
      <c r="E651" s="3">
        <f t="shared" si="31"/>
        <v>6</v>
      </c>
      <c r="G651" s="19" t="str">
        <f t="shared" si="32"/>
        <v/>
      </c>
      <c r="H651">
        <f>SUM(A651:A657)</f>
        <v>0</v>
      </c>
      <c r="I651" s="28" t="e">
        <f>H651/H644-1</f>
        <v>#DIV/0!</v>
      </c>
      <c r="J651" s="28" t="e">
        <f>A651/A644-1</f>
        <v>#DIV/0!</v>
      </c>
    </row>
    <row r="652" spans="5:10">
      <c r="E652" s="3">
        <f t="shared" si="31"/>
        <v>6</v>
      </c>
      <c r="G652" s="19" t="str">
        <f t="shared" si="32"/>
        <v/>
      </c>
    </row>
    <row r="653" spans="5:10">
      <c r="E653" s="3">
        <f t="shared" si="31"/>
        <v>6</v>
      </c>
      <c r="G653" s="19" t="str">
        <f t="shared" si="32"/>
        <v/>
      </c>
    </row>
    <row r="654" spans="5:10">
      <c r="E654" s="3">
        <f t="shared" si="31"/>
        <v>6</v>
      </c>
      <c r="G654" s="19" t="str">
        <f t="shared" si="32"/>
        <v/>
      </c>
    </row>
    <row r="655" spans="5:10">
      <c r="E655" s="3">
        <f t="shared" si="31"/>
        <v>6</v>
      </c>
      <c r="G655" s="19" t="str">
        <f t="shared" si="32"/>
        <v/>
      </c>
    </row>
    <row r="656" spans="5:10">
      <c r="E656" s="3">
        <f t="shared" si="31"/>
        <v>6</v>
      </c>
      <c r="G656" s="19" t="str">
        <f t="shared" si="32"/>
        <v/>
      </c>
    </row>
    <row r="657" spans="5:10">
      <c r="E657" s="3">
        <f t="shared" si="31"/>
        <v>6</v>
      </c>
      <c r="G657" s="19" t="str">
        <f t="shared" si="32"/>
        <v/>
      </c>
    </row>
    <row r="658" spans="5:10">
      <c r="E658" s="3">
        <f t="shared" si="31"/>
        <v>6</v>
      </c>
      <c r="G658" s="19" t="str">
        <f t="shared" si="32"/>
        <v/>
      </c>
      <c r="H658">
        <f>SUM(A658:A664)</f>
        <v>0</v>
      </c>
      <c r="I658" s="28" t="e">
        <f>H658/H651-1</f>
        <v>#DIV/0!</v>
      </c>
      <c r="J658" s="28" t="e">
        <f>A658/A651-1</f>
        <v>#DIV/0!</v>
      </c>
    </row>
    <row r="659" spans="5:10">
      <c r="E659" s="3">
        <f t="shared" si="31"/>
        <v>6</v>
      </c>
      <c r="G659" s="19" t="str">
        <f t="shared" si="32"/>
        <v/>
      </c>
    </row>
    <row r="660" spans="5:10">
      <c r="E660" s="3">
        <f t="shared" si="31"/>
        <v>6</v>
      </c>
      <c r="G660" s="19" t="str">
        <f t="shared" si="32"/>
        <v/>
      </c>
    </row>
    <row r="661" spans="5:10">
      <c r="E661" s="3">
        <f t="shared" si="31"/>
        <v>6</v>
      </c>
      <c r="G661" s="19" t="str">
        <f t="shared" si="32"/>
        <v/>
      </c>
    </row>
    <row r="662" spans="5:10">
      <c r="E662" s="3">
        <f t="shared" si="31"/>
        <v>6</v>
      </c>
      <c r="G662" s="19" t="str">
        <f t="shared" si="32"/>
        <v/>
      </c>
    </row>
    <row r="663" spans="5:10">
      <c r="E663" s="3">
        <f t="shared" si="31"/>
        <v>6</v>
      </c>
      <c r="G663" s="19" t="str">
        <f t="shared" si="32"/>
        <v/>
      </c>
    </row>
    <row r="664" spans="5:10">
      <c r="E664" s="3">
        <f t="shared" si="31"/>
        <v>6</v>
      </c>
      <c r="G664" s="19" t="str">
        <f t="shared" si="32"/>
        <v/>
      </c>
    </row>
    <row r="665" spans="5:10">
      <c r="E665" s="3">
        <f t="shared" si="31"/>
        <v>6</v>
      </c>
      <c r="G665" s="19" t="str">
        <f t="shared" si="32"/>
        <v/>
      </c>
      <c r="H665">
        <f>SUM(A665:A671)</f>
        <v>0</v>
      </c>
      <c r="I665" s="28" t="e">
        <f>H665/H658-1</f>
        <v>#DIV/0!</v>
      </c>
      <c r="J665" s="28" t="e">
        <f>A665/A658-1</f>
        <v>#DIV/0!</v>
      </c>
    </row>
    <row r="666" spans="5:10">
      <c r="E666" s="3">
        <f t="shared" si="31"/>
        <v>6</v>
      </c>
      <c r="G666" s="19" t="str">
        <f t="shared" si="32"/>
        <v/>
      </c>
    </row>
    <row r="667" spans="5:10">
      <c r="E667" s="3">
        <f t="shared" si="31"/>
        <v>6</v>
      </c>
      <c r="G667" s="19" t="str">
        <f t="shared" si="32"/>
        <v/>
      </c>
    </row>
    <row r="668" spans="5:10">
      <c r="E668" s="3">
        <f t="shared" si="31"/>
        <v>6</v>
      </c>
      <c r="G668" s="19" t="str">
        <f t="shared" si="32"/>
        <v/>
      </c>
    </row>
    <row r="669" spans="5:10">
      <c r="E669" s="3">
        <f t="shared" si="31"/>
        <v>6</v>
      </c>
      <c r="G669" s="19" t="str">
        <f t="shared" si="32"/>
        <v/>
      </c>
    </row>
    <row r="670" spans="5:10">
      <c r="E670" s="3">
        <f t="shared" si="31"/>
        <v>6</v>
      </c>
      <c r="G670" s="19" t="str">
        <f t="shared" si="32"/>
        <v/>
      </c>
    </row>
    <row r="671" spans="5:10">
      <c r="E671" s="3">
        <f t="shared" si="31"/>
        <v>6</v>
      </c>
      <c r="G671" s="19" t="str">
        <f t="shared" si="32"/>
        <v/>
      </c>
    </row>
    <row r="672" spans="5:10">
      <c r="E672" s="3">
        <f t="shared" si="31"/>
        <v>6</v>
      </c>
      <c r="G672" s="19" t="str">
        <f t="shared" si="32"/>
        <v/>
      </c>
      <c r="H672">
        <f>SUM(A672:A678)</f>
        <v>0</v>
      </c>
      <c r="I672" s="28" t="e">
        <f>H672/H665-1</f>
        <v>#DIV/0!</v>
      </c>
      <c r="J672" s="28" t="e">
        <f>A672/A665-1</f>
        <v>#DIV/0!</v>
      </c>
    </row>
    <row r="673" spans="5:10">
      <c r="E673" s="3">
        <f t="shared" si="31"/>
        <v>6</v>
      </c>
      <c r="G673" s="19" t="str">
        <f t="shared" si="32"/>
        <v/>
      </c>
    </row>
    <row r="674" spans="5:10">
      <c r="E674" s="3">
        <f t="shared" si="31"/>
        <v>6</v>
      </c>
      <c r="G674" s="19" t="str">
        <f t="shared" si="32"/>
        <v/>
      </c>
    </row>
    <row r="675" spans="5:10">
      <c r="E675" s="3">
        <f t="shared" si="31"/>
        <v>6</v>
      </c>
      <c r="G675" s="19" t="str">
        <f t="shared" si="32"/>
        <v/>
      </c>
    </row>
    <row r="676" spans="5:10">
      <c r="E676" s="3">
        <f t="shared" si="31"/>
        <v>6</v>
      </c>
      <c r="G676" s="19" t="str">
        <f t="shared" si="32"/>
        <v/>
      </c>
    </row>
    <row r="677" spans="5:10">
      <c r="E677" s="3">
        <f t="shared" si="31"/>
        <v>6</v>
      </c>
      <c r="G677" s="19" t="str">
        <f t="shared" si="32"/>
        <v/>
      </c>
    </row>
    <row r="678" spans="5:10">
      <c r="E678" s="3">
        <f t="shared" si="31"/>
        <v>6</v>
      </c>
      <c r="G678" s="19" t="str">
        <f t="shared" si="32"/>
        <v/>
      </c>
    </row>
    <row r="679" spans="5:10">
      <c r="E679" s="3">
        <f t="shared" si="31"/>
        <v>6</v>
      </c>
      <c r="G679" s="19" t="str">
        <f t="shared" si="32"/>
        <v/>
      </c>
      <c r="H679">
        <f>SUM(A679:A685)</f>
        <v>0</v>
      </c>
      <c r="I679" s="28" t="e">
        <f>H679/H672-1</f>
        <v>#DIV/0!</v>
      </c>
      <c r="J679" s="28" t="e">
        <f>A679/A672-1</f>
        <v>#DIV/0!</v>
      </c>
    </row>
    <row r="680" spans="5:10">
      <c r="E680" s="3">
        <f t="shared" si="31"/>
        <v>6</v>
      </c>
      <c r="G680" s="19" t="str">
        <f t="shared" si="32"/>
        <v/>
      </c>
    </row>
    <row r="681" spans="5:10">
      <c r="E681" s="3">
        <f t="shared" si="31"/>
        <v>6</v>
      </c>
      <c r="G681" s="19" t="str">
        <f t="shared" si="32"/>
        <v/>
      </c>
    </row>
    <row r="682" spans="5:10">
      <c r="E682" s="3">
        <f t="shared" si="31"/>
        <v>6</v>
      </c>
      <c r="G682" s="19" t="str">
        <f t="shared" si="32"/>
        <v/>
      </c>
    </row>
    <row r="683" spans="5:10">
      <c r="E683" s="3">
        <f t="shared" si="31"/>
        <v>6</v>
      </c>
      <c r="G683" s="19" t="str">
        <f t="shared" si="32"/>
        <v/>
      </c>
    </row>
    <row r="684" spans="5:10">
      <c r="E684" s="3">
        <f t="shared" si="31"/>
        <v>6</v>
      </c>
      <c r="G684" s="19" t="str">
        <f t="shared" si="32"/>
        <v/>
      </c>
    </row>
    <row r="685" spans="5:10">
      <c r="E685" s="3">
        <f t="shared" si="31"/>
        <v>6</v>
      </c>
      <c r="G685" s="19" t="str">
        <f t="shared" si="32"/>
        <v/>
      </c>
    </row>
    <row r="686" spans="5:10">
      <c r="E686" s="3">
        <f t="shared" si="31"/>
        <v>6</v>
      </c>
      <c r="G686" s="19" t="str">
        <f t="shared" si="32"/>
        <v/>
      </c>
      <c r="H686">
        <f>SUM(A686:A692)</f>
        <v>0</v>
      </c>
      <c r="I686" s="28" t="e">
        <f>H686/H679-1</f>
        <v>#DIV/0!</v>
      </c>
      <c r="J686" s="28" t="e">
        <f>A686/A679-1</f>
        <v>#DIV/0!</v>
      </c>
    </row>
    <row r="687" spans="5:10">
      <c r="E687" s="3">
        <f t="shared" si="31"/>
        <v>6</v>
      </c>
      <c r="G687" s="19" t="str">
        <f t="shared" si="32"/>
        <v/>
      </c>
    </row>
    <row r="688" spans="5:10">
      <c r="E688" s="3">
        <f t="shared" si="31"/>
        <v>6</v>
      </c>
      <c r="G688" s="19" t="str">
        <f t="shared" si="32"/>
        <v/>
      </c>
    </row>
    <row r="689" spans="5:10">
      <c r="E689" s="3">
        <f t="shared" si="31"/>
        <v>6</v>
      </c>
      <c r="G689" s="19" t="str">
        <f t="shared" si="32"/>
        <v/>
      </c>
    </row>
    <row r="690" spans="5:10">
      <c r="E690" s="3">
        <f t="shared" si="31"/>
        <v>6</v>
      </c>
      <c r="G690" s="19" t="str">
        <f t="shared" si="32"/>
        <v/>
      </c>
    </row>
    <row r="691" spans="5:10">
      <c r="E691" s="3">
        <f t="shared" si="31"/>
        <v>6</v>
      </c>
      <c r="G691" s="19" t="str">
        <f t="shared" si="32"/>
        <v/>
      </c>
    </row>
    <row r="692" spans="5:10">
      <c r="E692" s="3">
        <f t="shared" si="31"/>
        <v>6</v>
      </c>
      <c r="G692" s="19" t="str">
        <f t="shared" si="32"/>
        <v/>
      </c>
    </row>
    <row r="693" spans="5:10">
      <c r="E693" s="3">
        <f t="shared" si="31"/>
        <v>6</v>
      </c>
      <c r="G693" s="19" t="str">
        <f t="shared" si="32"/>
        <v/>
      </c>
      <c r="H693">
        <f>SUM(A693:A699)</f>
        <v>0</v>
      </c>
      <c r="I693" s="28" t="e">
        <f>H693/H686-1</f>
        <v>#DIV/0!</v>
      </c>
      <c r="J693" s="28" t="e">
        <f>A693/A686-1</f>
        <v>#DIV/0!</v>
      </c>
    </row>
    <row r="694" spans="5:10">
      <c r="E694" s="3">
        <f t="shared" si="31"/>
        <v>6</v>
      </c>
      <c r="G694" s="19" t="str">
        <f t="shared" si="32"/>
        <v/>
      </c>
    </row>
    <row r="695" spans="5:10">
      <c r="E695" s="3">
        <f t="shared" si="31"/>
        <v>6</v>
      </c>
      <c r="G695" s="19" t="str">
        <f t="shared" si="32"/>
        <v/>
      </c>
    </row>
    <row r="696" spans="5:10">
      <c r="E696" s="3">
        <f t="shared" si="31"/>
        <v>6</v>
      </c>
      <c r="G696" s="19" t="str">
        <f t="shared" si="32"/>
        <v/>
      </c>
    </row>
    <row r="697" spans="5:10">
      <c r="E697" s="3">
        <f t="shared" si="31"/>
        <v>6</v>
      </c>
      <c r="G697" s="19" t="str">
        <f t="shared" si="32"/>
        <v/>
      </c>
    </row>
    <row r="698" spans="5:10">
      <c r="E698" s="3">
        <f t="shared" si="31"/>
        <v>6</v>
      </c>
      <c r="G698" s="19" t="str">
        <f t="shared" si="32"/>
        <v/>
      </c>
    </row>
    <row r="699" spans="5:10">
      <c r="E699" s="3">
        <f t="shared" si="31"/>
        <v>6</v>
      </c>
      <c r="G699" s="19" t="str">
        <f t="shared" si="32"/>
        <v/>
      </c>
    </row>
    <row r="700" spans="5:10">
      <c r="E700" s="3">
        <f t="shared" si="31"/>
        <v>6</v>
      </c>
      <c r="G700" s="19" t="str">
        <f t="shared" si="32"/>
        <v/>
      </c>
      <c r="H700">
        <f>SUM(A700:A706)</f>
        <v>0</v>
      </c>
      <c r="I700" s="28" t="e">
        <f>H700/H693-1</f>
        <v>#DIV/0!</v>
      </c>
      <c r="J700" s="28" t="e">
        <f>A700/A693-1</f>
        <v>#DIV/0!</v>
      </c>
    </row>
    <row r="701" spans="5:10">
      <c r="E701" s="3">
        <f t="shared" si="31"/>
        <v>6</v>
      </c>
      <c r="G701" s="19" t="str">
        <f t="shared" si="32"/>
        <v/>
      </c>
    </row>
    <row r="702" spans="5:10">
      <c r="E702" s="3">
        <f t="shared" si="31"/>
        <v>6</v>
      </c>
      <c r="G702" s="19" t="str">
        <f t="shared" si="32"/>
        <v/>
      </c>
    </row>
    <row r="703" spans="5:10">
      <c r="E703" s="3">
        <f t="shared" ref="E703:E766" si="33">WEEKDAY(F703,2)</f>
        <v>6</v>
      </c>
      <c r="G703" s="19" t="str">
        <f t="shared" si="32"/>
        <v/>
      </c>
    </row>
    <row r="704" spans="5:10">
      <c r="E704" s="3">
        <f t="shared" si="33"/>
        <v>6</v>
      </c>
      <c r="G704" s="19" t="str">
        <f t="shared" si="32"/>
        <v/>
      </c>
    </row>
    <row r="705" spans="5:10">
      <c r="E705" s="3">
        <f t="shared" si="33"/>
        <v>6</v>
      </c>
      <c r="G705" s="19" t="str">
        <f t="shared" si="32"/>
        <v/>
      </c>
    </row>
    <row r="706" spans="5:10">
      <c r="E706" s="3">
        <f t="shared" si="33"/>
        <v>6</v>
      </c>
      <c r="G706" s="19" t="str">
        <f t="shared" si="32"/>
        <v/>
      </c>
    </row>
    <row r="707" spans="5:10">
      <c r="E707" s="3">
        <f t="shared" si="33"/>
        <v>6</v>
      </c>
      <c r="G707" s="19" t="str">
        <f t="shared" ref="G707:G770" si="34">IF(WEEKDAY(F707,2)=1,YEAR(F707)&amp;"-W"&amp;TEXT(WEEKNUM(F707,14),"00"),"")</f>
        <v/>
      </c>
      <c r="H707">
        <f>SUM(A707:A713)</f>
        <v>0</v>
      </c>
      <c r="I707" s="28" t="e">
        <f>H707/H700-1</f>
        <v>#DIV/0!</v>
      </c>
      <c r="J707" s="28" t="e">
        <f>A707/A700-1</f>
        <v>#DIV/0!</v>
      </c>
    </row>
    <row r="708" spans="5:10">
      <c r="E708" s="3">
        <f t="shared" si="33"/>
        <v>6</v>
      </c>
      <c r="G708" s="19" t="str">
        <f t="shared" si="34"/>
        <v/>
      </c>
    </row>
    <row r="709" spans="5:10">
      <c r="E709" s="3">
        <f t="shared" si="33"/>
        <v>6</v>
      </c>
      <c r="G709" s="19" t="str">
        <f t="shared" si="34"/>
        <v/>
      </c>
    </row>
    <row r="710" spans="5:10">
      <c r="E710" s="3">
        <f t="shared" si="33"/>
        <v>6</v>
      </c>
      <c r="G710" s="19" t="str">
        <f t="shared" si="34"/>
        <v/>
      </c>
    </row>
    <row r="711" spans="5:10">
      <c r="E711" s="3">
        <f t="shared" si="33"/>
        <v>6</v>
      </c>
      <c r="G711" s="19" t="str">
        <f t="shared" si="34"/>
        <v/>
      </c>
    </row>
    <row r="712" spans="5:10">
      <c r="E712" s="3">
        <f t="shared" si="33"/>
        <v>6</v>
      </c>
      <c r="G712" s="19" t="str">
        <f t="shared" si="34"/>
        <v/>
      </c>
    </row>
    <row r="713" spans="5:10">
      <c r="E713" s="3">
        <f t="shared" si="33"/>
        <v>6</v>
      </c>
      <c r="G713" s="19" t="str">
        <f t="shared" si="34"/>
        <v/>
      </c>
    </row>
    <row r="714" spans="5:10">
      <c r="E714" s="3">
        <f t="shared" si="33"/>
        <v>6</v>
      </c>
      <c r="G714" s="19" t="str">
        <f t="shared" si="34"/>
        <v/>
      </c>
      <c r="H714">
        <f>SUM(A714:A720)</f>
        <v>0</v>
      </c>
      <c r="I714" s="28" t="e">
        <f>H714/H707-1</f>
        <v>#DIV/0!</v>
      </c>
      <c r="J714" s="28" t="e">
        <f>A714/A707-1</f>
        <v>#DIV/0!</v>
      </c>
    </row>
    <row r="715" spans="5:10">
      <c r="E715" s="3">
        <f t="shared" si="33"/>
        <v>6</v>
      </c>
      <c r="G715" s="19" t="str">
        <f t="shared" si="34"/>
        <v/>
      </c>
    </row>
    <row r="716" spans="5:10">
      <c r="E716" s="3">
        <f t="shared" si="33"/>
        <v>6</v>
      </c>
      <c r="G716" s="19" t="str">
        <f t="shared" si="34"/>
        <v/>
      </c>
    </row>
    <row r="717" spans="5:10">
      <c r="E717" s="3">
        <f t="shared" si="33"/>
        <v>6</v>
      </c>
      <c r="G717" s="19" t="str">
        <f t="shared" si="34"/>
        <v/>
      </c>
    </row>
    <row r="718" spans="5:10">
      <c r="E718" s="3">
        <f t="shared" si="33"/>
        <v>6</v>
      </c>
      <c r="G718" s="19" t="str">
        <f t="shared" si="34"/>
        <v/>
      </c>
    </row>
    <row r="719" spans="5:10">
      <c r="E719" s="3">
        <f t="shared" si="33"/>
        <v>6</v>
      </c>
      <c r="G719" s="19" t="str">
        <f t="shared" si="34"/>
        <v/>
      </c>
    </row>
    <row r="720" spans="5:10">
      <c r="E720" s="3">
        <f t="shared" si="33"/>
        <v>6</v>
      </c>
      <c r="G720" s="19" t="str">
        <f t="shared" si="34"/>
        <v/>
      </c>
    </row>
    <row r="721" spans="5:10">
      <c r="E721" s="3">
        <f t="shared" si="33"/>
        <v>6</v>
      </c>
      <c r="G721" s="19" t="str">
        <f t="shared" si="34"/>
        <v/>
      </c>
      <c r="H721">
        <f>SUM(A721:A727)</f>
        <v>0</v>
      </c>
      <c r="I721" s="28" t="e">
        <f>H721/H714-1</f>
        <v>#DIV/0!</v>
      </c>
      <c r="J721" s="28" t="e">
        <f>A721/A714-1</f>
        <v>#DIV/0!</v>
      </c>
    </row>
    <row r="722" spans="5:10">
      <c r="E722" s="3">
        <f t="shared" si="33"/>
        <v>6</v>
      </c>
      <c r="G722" s="19" t="str">
        <f t="shared" si="34"/>
        <v/>
      </c>
    </row>
    <row r="723" spans="5:10">
      <c r="E723" s="3">
        <f t="shared" si="33"/>
        <v>6</v>
      </c>
      <c r="G723" s="19" t="str">
        <f t="shared" si="34"/>
        <v/>
      </c>
    </row>
    <row r="724" spans="5:10">
      <c r="E724" s="3">
        <f t="shared" si="33"/>
        <v>6</v>
      </c>
      <c r="G724" s="19" t="str">
        <f t="shared" si="34"/>
        <v/>
      </c>
    </row>
    <row r="725" spans="5:10">
      <c r="E725" s="3">
        <f t="shared" si="33"/>
        <v>6</v>
      </c>
      <c r="G725" s="19" t="str">
        <f t="shared" si="34"/>
        <v/>
      </c>
    </row>
    <row r="726" spans="5:10">
      <c r="E726" s="3">
        <f t="shared" si="33"/>
        <v>6</v>
      </c>
      <c r="G726" s="19" t="str">
        <f t="shared" si="34"/>
        <v/>
      </c>
    </row>
    <row r="727" spans="5:10">
      <c r="E727" s="3">
        <f t="shared" si="33"/>
        <v>6</v>
      </c>
      <c r="G727" s="19" t="str">
        <f t="shared" si="34"/>
        <v/>
      </c>
    </row>
    <row r="728" spans="5:10">
      <c r="E728" s="3">
        <f t="shared" si="33"/>
        <v>6</v>
      </c>
      <c r="G728" s="19" t="str">
        <f t="shared" si="34"/>
        <v/>
      </c>
      <c r="H728">
        <f>SUM(A728:A734)</f>
        <v>0</v>
      </c>
      <c r="I728" s="28" t="e">
        <f>H728/H721-1</f>
        <v>#DIV/0!</v>
      </c>
      <c r="J728" s="28" t="e">
        <f>A728/A721-1</f>
        <v>#DIV/0!</v>
      </c>
    </row>
    <row r="729" spans="5:10">
      <c r="E729" s="3">
        <f t="shared" si="33"/>
        <v>6</v>
      </c>
      <c r="G729" s="19" t="str">
        <f t="shared" si="34"/>
        <v/>
      </c>
    </row>
    <row r="730" spans="5:10">
      <c r="E730" s="3">
        <f t="shared" si="33"/>
        <v>6</v>
      </c>
      <c r="G730" s="19" t="str">
        <f t="shared" si="34"/>
        <v/>
      </c>
    </row>
    <row r="731" spans="5:10">
      <c r="E731" s="3">
        <f t="shared" si="33"/>
        <v>6</v>
      </c>
      <c r="G731" s="19" t="str">
        <f t="shared" si="34"/>
        <v/>
      </c>
    </row>
    <row r="732" spans="5:10">
      <c r="E732" s="3">
        <f t="shared" si="33"/>
        <v>6</v>
      </c>
      <c r="G732" s="19" t="str">
        <f t="shared" si="34"/>
        <v/>
      </c>
    </row>
    <row r="733" spans="5:10">
      <c r="E733" s="3">
        <f t="shared" si="33"/>
        <v>6</v>
      </c>
      <c r="G733" s="19" t="str">
        <f t="shared" si="34"/>
        <v/>
      </c>
    </row>
    <row r="734" spans="5:10">
      <c r="E734" s="3">
        <f t="shared" si="33"/>
        <v>6</v>
      </c>
      <c r="G734" s="19" t="str">
        <f t="shared" si="34"/>
        <v/>
      </c>
    </row>
    <row r="735" spans="5:10">
      <c r="E735" s="3">
        <f t="shared" si="33"/>
        <v>6</v>
      </c>
      <c r="G735" s="19" t="str">
        <f t="shared" si="34"/>
        <v/>
      </c>
      <c r="H735">
        <f>SUM(A735:A741)</f>
        <v>0</v>
      </c>
      <c r="I735" s="28" t="e">
        <f>H735/H728-1</f>
        <v>#DIV/0!</v>
      </c>
      <c r="J735" s="28" t="e">
        <f>A735/A728-1</f>
        <v>#DIV/0!</v>
      </c>
    </row>
    <row r="736" spans="5:10">
      <c r="E736" s="3">
        <f t="shared" si="33"/>
        <v>6</v>
      </c>
      <c r="G736" s="19" t="str">
        <f t="shared" si="34"/>
        <v/>
      </c>
    </row>
    <row r="737" spans="5:10">
      <c r="E737" s="3">
        <f t="shared" si="33"/>
        <v>6</v>
      </c>
      <c r="G737" s="19" t="str">
        <f t="shared" si="34"/>
        <v/>
      </c>
    </row>
    <row r="738" spans="5:10">
      <c r="E738" s="3">
        <f t="shared" si="33"/>
        <v>6</v>
      </c>
      <c r="G738" s="19" t="str">
        <f t="shared" si="34"/>
        <v/>
      </c>
    </row>
    <row r="739" spans="5:10">
      <c r="E739" s="3">
        <f t="shared" si="33"/>
        <v>6</v>
      </c>
      <c r="G739" s="19" t="str">
        <f t="shared" si="34"/>
        <v/>
      </c>
    </row>
    <row r="740" spans="5:10">
      <c r="E740" s="3">
        <f t="shared" si="33"/>
        <v>6</v>
      </c>
      <c r="G740" s="19" t="str">
        <f t="shared" si="34"/>
        <v/>
      </c>
    </row>
    <row r="741" spans="5:10">
      <c r="E741" s="3">
        <f t="shared" si="33"/>
        <v>6</v>
      </c>
      <c r="G741" s="19" t="str">
        <f t="shared" si="34"/>
        <v/>
      </c>
    </row>
    <row r="742" spans="5:10">
      <c r="E742" s="3">
        <f t="shared" si="33"/>
        <v>6</v>
      </c>
      <c r="G742" s="19" t="str">
        <f t="shared" si="34"/>
        <v/>
      </c>
      <c r="H742">
        <f>SUM(A742:A748)</f>
        <v>0</v>
      </c>
      <c r="I742" s="28" t="e">
        <f>H742/H735-1</f>
        <v>#DIV/0!</v>
      </c>
      <c r="J742" s="28" t="e">
        <f>A742/A735-1</f>
        <v>#DIV/0!</v>
      </c>
    </row>
    <row r="743" spans="5:10">
      <c r="E743" s="3">
        <f t="shared" si="33"/>
        <v>6</v>
      </c>
      <c r="G743" s="19" t="str">
        <f t="shared" si="34"/>
        <v/>
      </c>
    </row>
    <row r="744" spans="5:10">
      <c r="E744" s="3">
        <f t="shared" si="33"/>
        <v>6</v>
      </c>
      <c r="G744" s="19" t="str">
        <f t="shared" si="34"/>
        <v/>
      </c>
    </row>
    <row r="745" spans="5:10">
      <c r="E745" s="3">
        <f t="shared" si="33"/>
        <v>6</v>
      </c>
      <c r="G745" s="19" t="str">
        <f t="shared" si="34"/>
        <v/>
      </c>
    </row>
    <row r="746" spans="5:10">
      <c r="E746" s="3">
        <f t="shared" si="33"/>
        <v>6</v>
      </c>
      <c r="G746" s="19" t="str">
        <f t="shared" si="34"/>
        <v/>
      </c>
    </row>
    <row r="747" spans="5:10">
      <c r="E747" s="3">
        <f t="shared" si="33"/>
        <v>6</v>
      </c>
      <c r="G747" s="19" t="str">
        <f t="shared" si="34"/>
        <v/>
      </c>
    </row>
    <row r="748" spans="5:10">
      <c r="E748" s="3">
        <f t="shared" si="33"/>
        <v>6</v>
      </c>
      <c r="G748" s="19" t="str">
        <f t="shared" si="34"/>
        <v/>
      </c>
    </row>
    <row r="749" spans="5:10">
      <c r="E749" s="3">
        <f t="shared" si="33"/>
        <v>6</v>
      </c>
      <c r="G749" s="19" t="str">
        <f t="shared" si="34"/>
        <v/>
      </c>
      <c r="H749">
        <f>SUM(A749:A755)</f>
        <v>0</v>
      </c>
      <c r="I749" s="28" t="e">
        <f>H749/H742-1</f>
        <v>#DIV/0!</v>
      </c>
      <c r="J749" s="28" t="e">
        <f>A749/A742-1</f>
        <v>#DIV/0!</v>
      </c>
    </row>
    <row r="750" spans="5:10">
      <c r="E750" s="3">
        <f t="shared" si="33"/>
        <v>6</v>
      </c>
      <c r="G750" s="19" t="str">
        <f t="shared" si="34"/>
        <v/>
      </c>
    </row>
    <row r="751" spans="5:10">
      <c r="E751" s="3">
        <f t="shared" si="33"/>
        <v>6</v>
      </c>
      <c r="G751" s="19" t="str">
        <f t="shared" si="34"/>
        <v/>
      </c>
    </row>
    <row r="752" spans="5:10">
      <c r="E752" s="3">
        <f t="shared" si="33"/>
        <v>6</v>
      </c>
      <c r="G752" s="19" t="str">
        <f t="shared" si="34"/>
        <v/>
      </c>
    </row>
    <row r="753" spans="5:10">
      <c r="E753" s="3">
        <f t="shared" si="33"/>
        <v>6</v>
      </c>
      <c r="G753" s="19" t="str">
        <f t="shared" si="34"/>
        <v/>
      </c>
    </row>
    <row r="754" spans="5:10">
      <c r="E754" s="3">
        <f t="shared" si="33"/>
        <v>6</v>
      </c>
      <c r="G754" s="19" t="str">
        <f t="shared" si="34"/>
        <v/>
      </c>
    </row>
    <row r="755" spans="5:10">
      <c r="E755" s="3">
        <f t="shared" si="33"/>
        <v>6</v>
      </c>
      <c r="G755" s="19" t="str">
        <f t="shared" si="34"/>
        <v/>
      </c>
    </row>
    <row r="756" spans="5:10">
      <c r="E756" s="3">
        <f t="shared" si="33"/>
        <v>6</v>
      </c>
      <c r="G756" s="19" t="str">
        <f t="shared" si="34"/>
        <v/>
      </c>
      <c r="H756">
        <f>SUM(A756:A762)</f>
        <v>0</v>
      </c>
      <c r="I756" s="28" t="e">
        <f>H756/H749-1</f>
        <v>#DIV/0!</v>
      </c>
      <c r="J756" s="28" t="e">
        <f>A756/A749-1</f>
        <v>#DIV/0!</v>
      </c>
    </row>
    <row r="757" spans="5:10">
      <c r="E757" s="3">
        <f t="shared" si="33"/>
        <v>6</v>
      </c>
      <c r="G757" s="19" t="str">
        <f t="shared" si="34"/>
        <v/>
      </c>
    </row>
    <row r="758" spans="5:10">
      <c r="E758" s="3">
        <f t="shared" si="33"/>
        <v>6</v>
      </c>
      <c r="G758" s="19" t="str">
        <f t="shared" si="34"/>
        <v/>
      </c>
    </row>
    <row r="759" spans="5:10">
      <c r="E759" s="3">
        <f t="shared" si="33"/>
        <v>6</v>
      </c>
      <c r="G759" s="19" t="str">
        <f t="shared" si="34"/>
        <v/>
      </c>
    </row>
    <row r="760" spans="5:10">
      <c r="E760" s="3">
        <f t="shared" si="33"/>
        <v>6</v>
      </c>
      <c r="G760" s="19" t="str">
        <f t="shared" si="34"/>
        <v/>
      </c>
    </row>
    <row r="761" spans="5:10">
      <c r="E761" s="3">
        <f t="shared" si="33"/>
        <v>6</v>
      </c>
      <c r="G761" s="19" t="str">
        <f t="shared" si="34"/>
        <v/>
      </c>
    </row>
    <row r="762" spans="5:10">
      <c r="E762" s="3">
        <f t="shared" si="33"/>
        <v>6</v>
      </c>
      <c r="G762" s="19" t="str">
        <f t="shared" si="34"/>
        <v/>
      </c>
    </row>
    <row r="763" spans="5:10">
      <c r="E763" s="3">
        <f t="shared" si="33"/>
        <v>6</v>
      </c>
      <c r="G763" s="19" t="str">
        <f t="shared" si="34"/>
        <v/>
      </c>
      <c r="H763">
        <f>SUM(A763:A769)</f>
        <v>0</v>
      </c>
      <c r="I763" s="28" t="e">
        <f>H763/H756-1</f>
        <v>#DIV/0!</v>
      </c>
      <c r="J763" s="28" t="e">
        <f>A763/A756-1</f>
        <v>#DIV/0!</v>
      </c>
    </row>
    <row r="764" spans="5:10">
      <c r="E764" s="3">
        <f t="shared" si="33"/>
        <v>6</v>
      </c>
      <c r="G764" s="19" t="str">
        <f t="shared" si="34"/>
        <v/>
      </c>
    </row>
    <row r="765" spans="5:10">
      <c r="E765" s="3">
        <f t="shared" si="33"/>
        <v>6</v>
      </c>
      <c r="G765" s="19" t="str">
        <f t="shared" si="34"/>
        <v/>
      </c>
    </row>
    <row r="766" spans="5:10">
      <c r="E766" s="3">
        <f t="shared" si="33"/>
        <v>6</v>
      </c>
      <c r="G766" s="19" t="str">
        <f t="shared" si="34"/>
        <v/>
      </c>
    </row>
    <row r="767" spans="5:10">
      <c r="E767" s="3">
        <f t="shared" ref="E767:E805" si="35">WEEKDAY(F767,2)</f>
        <v>6</v>
      </c>
      <c r="G767" s="19" t="str">
        <f t="shared" si="34"/>
        <v/>
      </c>
    </row>
    <row r="768" spans="5:10">
      <c r="E768" s="3">
        <f t="shared" si="35"/>
        <v>6</v>
      </c>
      <c r="G768" s="19" t="str">
        <f t="shared" si="34"/>
        <v/>
      </c>
    </row>
    <row r="769" spans="5:10">
      <c r="E769" s="3">
        <f t="shared" si="35"/>
        <v>6</v>
      </c>
      <c r="G769" s="19" t="str">
        <f t="shared" si="34"/>
        <v/>
      </c>
    </row>
    <row r="770" spans="5:10">
      <c r="E770" s="3">
        <f t="shared" si="35"/>
        <v>6</v>
      </c>
      <c r="G770" s="19" t="str">
        <f t="shared" si="34"/>
        <v/>
      </c>
      <c r="H770">
        <f>SUM(A770:A776)</f>
        <v>0</v>
      </c>
      <c r="I770" s="28" t="e">
        <f>H770/H763-1</f>
        <v>#DIV/0!</v>
      </c>
      <c r="J770" s="28" t="e">
        <f>A770/A763-1</f>
        <v>#DIV/0!</v>
      </c>
    </row>
    <row r="771" spans="5:10">
      <c r="E771" s="3">
        <f t="shared" si="35"/>
        <v>6</v>
      </c>
      <c r="G771" s="19" t="str">
        <f t="shared" ref="G771:G805" si="36">IF(WEEKDAY(F771,2)=1,YEAR(F771)&amp;"-W"&amp;TEXT(WEEKNUM(F771,14),"00"),"")</f>
        <v/>
      </c>
    </row>
    <row r="772" spans="5:10">
      <c r="E772" s="3">
        <f t="shared" si="35"/>
        <v>6</v>
      </c>
      <c r="G772" s="19" t="str">
        <f t="shared" si="36"/>
        <v/>
      </c>
    </row>
    <row r="773" spans="5:10">
      <c r="E773" s="3">
        <f t="shared" si="35"/>
        <v>6</v>
      </c>
      <c r="G773" s="19" t="str">
        <f t="shared" si="36"/>
        <v/>
      </c>
    </row>
    <row r="774" spans="5:10">
      <c r="E774" s="3">
        <f t="shared" si="35"/>
        <v>6</v>
      </c>
      <c r="G774" s="19" t="str">
        <f t="shared" si="36"/>
        <v/>
      </c>
    </row>
    <row r="775" spans="5:10">
      <c r="E775" s="3">
        <f t="shared" si="35"/>
        <v>6</v>
      </c>
      <c r="G775" s="19" t="str">
        <f t="shared" si="36"/>
        <v/>
      </c>
    </row>
    <row r="776" spans="5:10">
      <c r="E776" s="3">
        <f t="shared" si="35"/>
        <v>6</v>
      </c>
      <c r="G776" s="19" t="str">
        <f t="shared" si="36"/>
        <v/>
      </c>
    </row>
    <row r="777" spans="5:10">
      <c r="E777" s="3">
        <f t="shared" si="35"/>
        <v>6</v>
      </c>
      <c r="G777" s="19" t="str">
        <f t="shared" si="36"/>
        <v/>
      </c>
      <c r="H777">
        <f>SUM(A777:A783)</f>
        <v>0</v>
      </c>
      <c r="I777" s="28" t="e">
        <f>H777/H770-1</f>
        <v>#DIV/0!</v>
      </c>
      <c r="J777" s="28" t="e">
        <f>A777/A770-1</f>
        <v>#DIV/0!</v>
      </c>
    </row>
    <row r="778" spans="5:10">
      <c r="E778" s="3">
        <f t="shared" si="35"/>
        <v>6</v>
      </c>
      <c r="G778" s="19" t="str">
        <f t="shared" si="36"/>
        <v/>
      </c>
    </row>
    <row r="779" spans="5:10">
      <c r="E779" s="3">
        <f t="shared" si="35"/>
        <v>6</v>
      </c>
      <c r="G779" s="19" t="str">
        <f t="shared" si="36"/>
        <v/>
      </c>
    </row>
    <row r="780" spans="5:10">
      <c r="E780" s="3">
        <f t="shared" si="35"/>
        <v>6</v>
      </c>
      <c r="G780" s="19" t="str">
        <f t="shared" si="36"/>
        <v/>
      </c>
    </row>
    <row r="781" spans="5:10">
      <c r="E781" s="3">
        <f t="shared" si="35"/>
        <v>6</v>
      </c>
      <c r="G781" s="19" t="str">
        <f t="shared" si="36"/>
        <v/>
      </c>
    </row>
    <row r="782" spans="5:10">
      <c r="E782" s="3">
        <f t="shared" si="35"/>
        <v>6</v>
      </c>
      <c r="G782" s="19" t="str">
        <f t="shared" si="36"/>
        <v/>
      </c>
    </row>
    <row r="783" spans="5:10">
      <c r="E783" s="3">
        <f t="shared" si="35"/>
        <v>6</v>
      </c>
      <c r="G783" s="19" t="str">
        <f t="shared" si="36"/>
        <v/>
      </c>
    </row>
    <row r="784" spans="5:10">
      <c r="E784" s="3">
        <f t="shared" si="35"/>
        <v>6</v>
      </c>
      <c r="G784" s="19" t="str">
        <f t="shared" si="36"/>
        <v/>
      </c>
      <c r="H784">
        <f>SUM(A784:A790)</f>
        <v>0</v>
      </c>
      <c r="I784" s="28" t="e">
        <f>H784/H777-1</f>
        <v>#DIV/0!</v>
      </c>
      <c r="J784" s="28" t="e">
        <f>A784/A777-1</f>
        <v>#DIV/0!</v>
      </c>
    </row>
    <row r="785" spans="5:10">
      <c r="E785" s="3">
        <f t="shared" si="35"/>
        <v>6</v>
      </c>
      <c r="G785" s="19" t="str">
        <f t="shared" si="36"/>
        <v/>
      </c>
    </row>
    <row r="786" spans="5:10">
      <c r="E786" s="3">
        <f t="shared" si="35"/>
        <v>6</v>
      </c>
      <c r="G786" s="19" t="str">
        <f t="shared" si="36"/>
        <v/>
      </c>
    </row>
    <row r="787" spans="5:10">
      <c r="E787" s="3">
        <f t="shared" si="35"/>
        <v>6</v>
      </c>
      <c r="G787" s="19" t="str">
        <f t="shared" si="36"/>
        <v/>
      </c>
    </row>
    <row r="788" spans="5:10">
      <c r="E788" s="3">
        <f t="shared" si="35"/>
        <v>6</v>
      </c>
      <c r="G788" s="19" t="str">
        <f t="shared" si="36"/>
        <v/>
      </c>
    </row>
    <row r="789" spans="5:10">
      <c r="E789" s="3">
        <f t="shared" si="35"/>
        <v>6</v>
      </c>
      <c r="G789" s="19" t="str">
        <f t="shared" si="36"/>
        <v/>
      </c>
    </row>
    <row r="790" spans="5:10">
      <c r="E790" s="3">
        <f t="shared" si="35"/>
        <v>6</v>
      </c>
      <c r="G790" s="19" t="str">
        <f t="shared" si="36"/>
        <v/>
      </c>
    </row>
    <row r="791" spans="5:10">
      <c r="E791" s="3">
        <f t="shared" si="35"/>
        <v>6</v>
      </c>
      <c r="G791" s="19" t="str">
        <f t="shared" si="36"/>
        <v/>
      </c>
      <c r="H791">
        <f>SUM(A791:A797)</f>
        <v>0</v>
      </c>
      <c r="I791" s="28" t="e">
        <f>H791/H784-1</f>
        <v>#DIV/0!</v>
      </c>
      <c r="J791" s="28" t="e">
        <f>A791/A784-1</f>
        <v>#DIV/0!</v>
      </c>
    </row>
    <row r="792" spans="5:10">
      <c r="E792" s="3">
        <f t="shared" si="35"/>
        <v>6</v>
      </c>
      <c r="G792" s="19" t="str">
        <f t="shared" si="36"/>
        <v/>
      </c>
    </row>
    <row r="793" spans="5:10">
      <c r="E793" s="3">
        <f t="shared" si="35"/>
        <v>6</v>
      </c>
      <c r="G793" s="19" t="str">
        <f t="shared" si="36"/>
        <v/>
      </c>
    </row>
    <row r="794" spans="5:10">
      <c r="E794" s="3">
        <f t="shared" si="35"/>
        <v>6</v>
      </c>
      <c r="G794" s="19" t="str">
        <f t="shared" si="36"/>
        <v/>
      </c>
    </row>
    <row r="795" spans="5:10">
      <c r="E795" s="3">
        <f t="shared" si="35"/>
        <v>6</v>
      </c>
      <c r="G795" s="19" t="str">
        <f t="shared" si="36"/>
        <v/>
      </c>
    </row>
    <row r="796" spans="5:10">
      <c r="E796" s="3">
        <f t="shared" si="35"/>
        <v>6</v>
      </c>
      <c r="G796" s="19" t="str">
        <f t="shared" si="36"/>
        <v/>
      </c>
    </row>
    <row r="797" spans="5:10">
      <c r="E797" s="3">
        <f t="shared" si="35"/>
        <v>6</v>
      </c>
      <c r="G797" s="19" t="str">
        <f t="shared" si="36"/>
        <v/>
      </c>
    </row>
    <row r="798" spans="5:10">
      <c r="E798" s="3">
        <f t="shared" si="35"/>
        <v>6</v>
      </c>
      <c r="G798" s="19" t="str">
        <f t="shared" si="36"/>
        <v/>
      </c>
      <c r="H798">
        <f>SUM(A798:A804)</f>
        <v>0</v>
      </c>
      <c r="I798" s="28" t="e">
        <f>H798/H791-1</f>
        <v>#DIV/0!</v>
      </c>
      <c r="J798" s="28" t="e">
        <f>A798/A791-1</f>
        <v>#DIV/0!</v>
      </c>
    </row>
    <row r="799" spans="5:10">
      <c r="E799" s="3">
        <f t="shared" si="35"/>
        <v>6</v>
      </c>
      <c r="G799" s="19" t="str">
        <f t="shared" si="36"/>
        <v/>
      </c>
    </row>
    <row r="800" spans="5:10">
      <c r="E800" s="3">
        <f t="shared" si="35"/>
        <v>6</v>
      </c>
      <c r="G800" s="19" t="str">
        <f t="shared" si="36"/>
        <v/>
      </c>
    </row>
    <row r="801" spans="5:10">
      <c r="E801" s="3">
        <f t="shared" si="35"/>
        <v>6</v>
      </c>
      <c r="G801" s="19" t="str">
        <f t="shared" si="36"/>
        <v/>
      </c>
    </row>
    <row r="802" spans="5:10">
      <c r="E802" s="3">
        <f t="shared" si="35"/>
        <v>6</v>
      </c>
      <c r="G802" s="19" t="str">
        <f t="shared" si="36"/>
        <v/>
      </c>
    </row>
    <row r="803" spans="5:10">
      <c r="E803" s="3">
        <f t="shared" si="35"/>
        <v>6</v>
      </c>
      <c r="G803" s="19" t="str">
        <f t="shared" si="36"/>
        <v/>
      </c>
    </row>
    <row r="804" spans="5:10">
      <c r="E804" s="3">
        <f t="shared" si="35"/>
        <v>6</v>
      </c>
      <c r="G804" s="19" t="str">
        <f t="shared" si="36"/>
        <v/>
      </c>
    </row>
    <row r="805" spans="5:10">
      <c r="E805" s="3">
        <f t="shared" si="35"/>
        <v>6</v>
      </c>
      <c r="G805" s="19" t="str">
        <f t="shared" si="36"/>
        <v/>
      </c>
      <c r="H805">
        <f>SUM(A805:A811)</f>
        <v>0</v>
      </c>
      <c r="I805" s="28" t="e">
        <f>H805/H798-1</f>
        <v>#DIV/0!</v>
      </c>
      <c r="J805" s="28" t="e">
        <f>A805/A798-1</f>
        <v>#DIV/0!</v>
      </c>
    </row>
  </sheetData>
  <autoFilter ref="A1:K805" xr:uid="{00000000-0009-0000-0000-000002000000}"/>
  <pageMargins left="0.7" right="0.7" top="0.75" bottom="0.75" header="0.3" footer="0.3"/>
  <pageSetup paperSize="9" orientation="portrait" horizontalDpi="300" verticalDpi="300" r:id="rId1"/>
  <ignoredErrors>
    <ignoredError sqref="H371 H252 H413 H63 H70 H77 H84"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352425</xdr:colOff>
                    <xdr:row>0</xdr:row>
                    <xdr:rowOff>66675</xdr:rowOff>
                  </from>
                  <to>
                    <xdr:col>1</xdr:col>
                    <xdr:colOff>1362075</xdr:colOff>
                    <xdr:row>0</xdr:row>
                    <xdr:rowOff>447675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805"/>
  <sheetViews>
    <sheetView workbookViewId="0">
      <pane ySplit="1" topLeftCell="A505" activePane="bottomLeft" state="frozen"/>
      <selection pane="bottomLeft" activeCell="A526" sqref="A526"/>
    </sheetView>
  </sheetViews>
  <sheetFormatPr defaultRowHeight="15"/>
  <cols>
    <col min="1" max="1" width="8.85546875" style="3"/>
    <col min="2" max="2" width="22.85546875" bestFit="1" customWidth="1"/>
    <col min="3" max="3" width="17.140625" bestFit="1" customWidth="1"/>
    <col min="4" max="4" width="6.140625" customWidth="1"/>
    <col min="5" max="5" width="15.140625" style="3" bestFit="1" customWidth="1"/>
    <col min="6" max="6" width="14" style="5" bestFit="1" customWidth="1"/>
    <col min="7" max="7" width="9.85546875" style="4" bestFit="1" customWidth="1"/>
    <col min="8" max="8" width="16.85546875" customWidth="1"/>
    <col min="9" max="9" width="14.140625" bestFit="1" customWidth="1"/>
    <col min="10" max="10" width="12.140625" customWidth="1"/>
    <col min="11" max="11" width="14" bestFit="1" customWidth="1"/>
    <col min="13" max="13" width="14.140625" bestFit="1" customWidth="1"/>
  </cols>
  <sheetData>
    <row r="1" spans="1:14" s="7" customFormat="1" ht="39.950000000000003" customHeight="1">
      <c r="A1" s="31" t="s">
        <v>290</v>
      </c>
      <c r="B1" s="1" t="s">
        <v>1</v>
      </c>
      <c r="C1" s="1" t="s">
        <v>9</v>
      </c>
      <c r="D1" s="1" t="s">
        <v>291</v>
      </c>
      <c r="E1" s="1" t="s">
        <v>299</v>
      </c>
      <c r="F1" s="6" t="s">
        <v>7</v>
      </c>
      <c r="G1" s="7" t="s">
        <v>465</v>
      </c>
      <c r="H1" s="7" t="s">
        <v>467</v>
      </c>
      <c r="I1" s="7">
        <f>SUM(A:A)</f>
        <v>54577</v>
      </c>
      <c r="J1" s="7">
        <f>MAX(A:A)</f>
        <v>517</v>
      </c>
      <c r="K1" s="15">
        <f>VLOOKUP(J1,A:F,6,FALSE)</f>
        <v>44267.625</v>
      </c>
      <c r="L1" s="7">
        <f>COUNT(DataN)-5</f>
        <v>531</v>
      </c>
      <c r="N1" s="7" t="str">
        <f>"HUS COVID-19 tapauksia vuoden 2020 alusta lähtien "&amp;TEXT(MAX(HUS!F:F)-4,"[$-40B]p.k.vvvv")&amp;" saakka. Suurin arvo "&amp;HUS!J1&amp;", joka "&amp;TEXT(HUS!K1,"[$-40B]p.k.vvvv")&amp;". Uusimpien 4 päivien arvot tulevat viiveellä, joten ne jätetty pois kuvaajasta."</f>
        <v>HUS COVID-19 tapauksia vuoden 2020 alusta lähtien 15.6.2021 saakka. Suurin arvo 517, joka 12.3.2021. Uusimpien 4 päivien arvot tulevat viiveellä, joten ne jätetty pois kuvaajasta.</v>
      </c>
    </row>
    <row r="2" spans="1:14">
      <c r="A2" s="3">
        <v>0</v>
      </c>
      <c r="B2" t="s">
        <v>234</v>
      </c>
      <c r="C2" t="s">
        <v>456</v>
      </c>
      <c r="E2" s="3">
        <f>WEEKDAY(F2,2)</f>
        <v>3</v>
      </c>
      <c r="F2" s="5">
        <v>43831.625</v>
      </c>
      <c r="G2" s="19" t="str">
        <f>IF(WEEKDAY(F2,2)=1,YEAR(F2)&amp;"-W"&amp;TEXT(WEEKNUM(F2,14),"00"),"")</f>
        <v/>
      </c>
      <c r="J2" s="28"/>
    </row>
    <row r="3" spans="1:14">
      <c r="A3" s="3">
        <v>0</v>
      </c>
      <c r="B3" t="s">
        <v>235</v>
      </c>
      <c r="C3" t="s">
        <v>456</v>
      </c>
      <c r="E3" s="3">
        <f t="shared" ref="E3:E66" si="0">WEEKDAY(F3,2)</f>
        <v>4</v>
      </c>
      <c r="F3" s="5">
        <v>43832.625</v>
      </c>
      <c r="G3" s="19" t="str">
        <f t="shared" ref="G3:G66" si="1">IF(WEEKDAY(F3,2)=1,YEAR(F3)&amp;"-W"&amp;TEXT(WEEKNUM(F3,14),"00"),"")</f>
        <v/>
      </c>
      <c r="J3" s="28"/>
    </row>
    <row r="4" spans="1:14">
      <c r="A4" s="3">
        <v>0</v>
      </c>
      <c r="B4" t="s">
        <v>236</v>
      </c>
      <c r="C4" t="s">
        <v>456</v>
      </c>
      <c r="E4" s="3">
        <f t="shared" si="0"/>
        <v>5</v>
      </c>
      <c r="F4" s="5">
        <v>43833.625</v>
      </c>
      <c r="G4" s="19" t="str">
        <f t="shared" si="1"/>
        <v/>
      </c>
      <c r="J4" s="28"/>
    </row>
    <row r="5" spans="1:14">
      <c r="A5" s="3">
        <v>0</v>
      </c>
      <c r="B5" t="s">
        <v>237</v>
      </c>
      <c r="C5" t="s">
        <v>456</v>
      </c>
      <c r="E5" s="3">
        <f t="shared" si="0"/>
        <v>6</v>
      </c>
      <c r="F5" s="5">
        <v>43834.625</v>
      </c>
      <c r="G5" s="19" t="str">
        <f t="shared" si="1"/>
        <v/>
      </c>
      <c r="J5" s="28"/>
    </row>
    <row r="6" spans="1:14">
      <c r="A6" s="3">
        <v>0</v>
      </c>
      <c r="B6" t="s">
        <v>238</v>
      </c>
      <c r="C6" t="s">
        <v>456</v>
      </c>
      <c r="E6" s="3">
        <f t="shared" si="0"/>
        <v>7</v>
      </c>
      <c r="F6" s="5">
        <v>43835.625</v>
      </c>
      <c r="G6" s="19" t="str">
        <f t="shared" si="1"/>
        <v/>
      </c>
      <c r="J6" s="28"/>
    </row>
    <row r="7" spans="1:14">
      <c r="A7" s="3">
        <v>0</v>
      </c>
      <c r="B7" t="s">
        <v>239</v>
      </c>
      <c r="C7" t="s">
        <v>456</v>
      </c>
      <c r="E7" s="3">
        <f t="shared" si="0"/>
        <v>1</v>
      </c>
      <c r="F7" s="5">
        <v>43836.625</v>
      </c>
      <c r="G7" s="19" t="str">
        <f t="shared" si="1"/>
        <v>2020-W02</v>
      </c>
      <c r="H7">
        <f>SUM(A7:A13)</f>
        <v>0</v>
      </c>
      <c r="I7" s="28"/>
      <c r="J7" s="28"/>
    </row>
    <row r="8" spans="1:14">
      <c r="A8" s="3">
        <v>0</v>
      </c>
      <c r="B8" t="s">
        <v>240</v>
      </c>
      <c r="C8" t="s">
        <v>456</v>
      </c>
      <c r="E8" s="3">
        <f t="shared" si="0"/>
        <v>2</v>
      </c>
      <c r="F8" s="5">
        <v>43837.625</v>
      </c>
      <c r="G8" s="19" t="str">
        <f t="shared" si="1"/>
        <v/>
      </c>
      <c r="J8" s="28"/>
    </row>
    <row r="9" spans="1:14">
      <c r="A9" s="3">
        <v>0</v>
      </c>
      <c r="B9" t="s">
        <v>241</v>
      </c>
      <c r="C9" t="s">
        <v>456</v>
      </c>
      <c r="E9" s="3">
        <f t="shared" si="0"/>
        <v>3</v>
      </c>
      <c r="F9" s="5">
        <v>43838.625</v>
      </c>
      <c r="G9" s="19" t="str">
        <f t="shared" si="1"/>
        <v/>
      </c>
      <c r="J9" s="28" t="e">
        <f t="shared" ref="J9:J72" si="2">A9/A2-1</f>
        <v>#DIV/0!</v>
      </c>
    </row>
    <row r="10" spans="1:14">
      <c r="A10" s="3">
        <v>0</v>
      </c>
      <c r="B10" t="s">
        <v>242</v>
      </c>
      <c r="C10" t="s">
        <v>456</v>
      </c>
      <c r="E10" s="3">
        <f t="shared" si="0"/>
        <v>4</v>
      </c>
      <c r="F10" s="5">
        <v>43839.625</v>
      </c>
      <c r="G10" s="19" t="str">
        <f t="shared" si="1"/>
        <v/>
      </c>
      <c r="J10" s="28" t="e">
        <f t="shared" si="2"/>
        <v>#DIV/0!</v>
      </c>
    </row>
    <row r="11" spans="1:14">
      <c r="A11" s="3">
        <v>0</v>
      </c>
      <c r="B11" t="s">
        <v>243</v>
      </c>
      <c r="C11" t="s">
        <v>456</v>
      </c>
      <c r="E11" s="3">
        <f t="shared" si="0"/>
        <v>5</v>
      </c>
      <c r="F11" s="5">
        <v>43840.625</v>
      </c>
      <c r="G11" s="19" t="str">
        <f t="shared" si="1"/>
        <v/>
      </c>
      <c r="J11" s="28" t="e">
        <f t="shared" si="2"/>
        <v>#DIV/0!</v>
      </c>
    </row>
    <row r="12" spans="1:14">
      <c r="A12" s="3">
        <v>0</v>
      </c>
      <c r="B12" t="s">
        <v>244</v>
      </c>
      <c r="C12" t="s">
        <v>456</v>
      </c>
      <c r="E12" s="3">
        <f t="shared" si="0"/>
        <v>6</v>
      </c>
      <c r="F12" s="5">
        <v>43841.625</v>
      </c>
      <c r="G12" s="19" t="str">
        <f t="shared" si="1"/>
        <v/>
      </c>
      <c r="J12" s="28" t="e">
        <f t="shared" si="2"/>
        <v>#DIV/0!</v>
      </c>
    </row>
    <row r="13" spans="1:14">
      <c r="A13" s="3">
        <v>0</v>
      </c>
      <c r="B13" t="s">
        <v>245</v>
      </c>
      <c r="C13" t="s">
        <v>456</v>
      </c>
      <c r="E13" s="3">
        <f t="shared" si="0"/>
        <v>7</v>
      </c>
      <c r="F13" s="5">
        <v>43842.625</v>
      </c>
      <c r="G13" s="19" t="str">
        <f t="shared" si="1"/>
        <v/>
      </c>
      <c r="J13" s="28" t="e">
        <f t="shared" si="2"/>
        <v>#DIV/0!</v>
      </c>
    </row>
    <row r="14" spans="1:14">
      <c r="A14" s="3">
        <v>0</v>
      </c>
      <c r="B14" t="s">
        <v>246</v>
      </c>
      <c r="C14" t="s">
        <v>456</v>
      </c>
      <c r="E14" s="3">
        <f t="shared" si="0"/>
        <v>1</v>
      </c>
      <c r="F14" s="5">
        <v>43843.625</v>
      </c>
      <c r="G14" s="19" t="str">
        <f t="shared" si="1"/>
        <v>2020-W03</v>
      </c>
      <c r="H14">
        <f>SUM(A14:A20)</f>
        <v>0</v>
      </c>
      <c r="I14" s="28" t="e">
        <f>H14/H7-1</f>
        <v>#DIV/0!</v>
      </c>
      <c r="J14" s="28" t="e">
        <f t="shared" si="2"/>
        <v>#DIV/0!</v>
      </c>
    </row>
    <row r="15" spans="1:14">
      <c r="A15" s="3">
        <v>0</v>
      </c>
      <c r="B15" t="s">
        <v>247</v>
      </c>
      <c r="C15" t="s">
        <v>456</v>
      </c>
      <c r="E15" s="3">
        <f t="shared" si="0"/>
        <v>2</v>
      </c>
      <c r="F15" s="5">
        <v>43844.625</v>
      </c>
      <c r="G15" s="19" t="str">
        <f t="shared" si="1"/>
        <v/>
      </c>
      <c r="J15" s="28" t="e">
        <f t="shared" si="2"/>
        <v>#DIV/0!</v>
      </c>
    </row>
    <row r="16" spans="1:14">
      <c r="A16" s="3">
        <v>0</v>
      </c>
      <c r="B16" t="s">
        <v>248</v>
      </c>
      <c r="C16" t="s">
        <v>456</v>
      </c>
      <c r="E16" s="3">
        <f t="shared" si="0"/>
        <v>3</v>
      </c>
      <c r="F16" s="5">
        <v>43845.625</v>
      </c>
      <c r="G16" s="19" t="str">
        <f t="shared" si="1"/>
        <v/>
      </c>
      <c r="J16" s="28" t="e">
        <f t="shared" si="2"/>
        <v>#DIV/0!</v>
      </c>
    </row>
    <row r="17" spans="1:10">
      <c r="A17" s="3">
        <v>0</v>
      </c>
      <c r="B17" t="s">
        <v>249</v>
      </c>
      <c r="C17" t="s">
        <v>456</v>
      </c>
      <c r="E17" s="3">
        <f t="shared" si="0"/>
        <v>4</v>
      </c>
      <c r="F17" s="5">
        <v>43846.625</v>
      </c>
      <c r="G17" s="19" t="str">
        <f t="shared" si="1"/>
        <v/>
      </c>
      <c r="J17" s="28" t="e">
        <f t="shared" si="2"/>
        <v>#DIV/0!</v>
      </c>
    </row>
    <row r="18" spans="1:10">
      <c r="A18" s="3">
        <v>0</v>
      </c>
      <c r="B18" t="s">
        <v>250</v>
      </c>
      <c r="C18" t="s">
        <v>456</v>
      </c>
      <c r="E18" s="3">
        <f t="shared" si="0"/>
        <v>5</v>
      </c>
      <c r="F18" s="5">
        <v>43847.625</v>
      </c>
      <c r="G18" s="19" t="str">
        <f t="shared" si="1"/>
        <v/>
      </c>
      <c r="J18" s="28" t="e">
        <f t="shared" si="2"/>
        <v>#DIV/0!</v>
      </c>
    </row>
    <row r="19" spans="1:10">
      <c r="A19" s="3">
        <v>0</v>
      </c>
      <c r="B19" t="s">
        <v>251</v>
      </c>
      <c r="C19" t="s">
        <v>456</v>
      </c>
      <c r="E19" s="3">
        <f t="shared" si="0"/>
        <v>6</v>
      </c>
      <c r="F19" s="5">
        <v>43848.625</v>
      </c>
      <c r="G19" s="19" t="str">
        <f t="shared" si="1"/>
        <v/>
      </c>
      <c r="J19" s="28" t="e">
        <f t="shared" si="2"/>
        <v>#DIV/0!</v>
      </c>
    </row>
    <row r="20" spans="1:10">
      <c r="A20" s="3">
        <v>0</v>
      </c>
      <c r="B20" t="s">
        <v>252</v>
      </c>
      <c r="C20" t="s">
        <v>456</v>
      </c>
      <c r="E20" s="3">
        <f t="shared" si="0"/>
        <v>7</v>
      </c>
      <c r="F20" s="5">
        <v>43849.625</v>
      </c>
      <c r="G20" s="19" t="str">
        <f t="shared" si="1"/>
        <v/>
      </c>
      <c r="J20" s="28" t="e">
        <f t="shared" si="2"/>
        <v>#DIV/0!</v>
      </c>
    </row>
    <row r="21" spans="1:10">
      <c r="A21" s="3">
        <v>0</v>
      </c>
      <c r="B21" t="s">
        <v>253</v>
      </c>
      <c r="C21" t="s">
        <v>456</v>
      </c>
      <c r="E21" s="3">
        <f t="shared" si="0"/>
        <v>1</v>
      </c>
      <c r="F21" s="5">
        <v>43850.625</v>
      </c>
      <c r="G21" s="19" t="str">
        <f t="shared" si="1"/>
        <v>2020-W04</v>
      </c>
      <c r="H21">
        <f>SUM(A21:A27)</f>
        <v>0</v>
      </c>
      <c r="I21" s="28" t="e">
        <f>H21/H14-1</f>
        <v>#DIV/0!</v>
      </c>
      <c r="J21" s="28" t="e">
        <f t="shared" si="2"/>
        <v>#DIV/0!</v>
      </c>
    </row>
    <row r="22" spans="1:10">
      <c r="A22" s="3">
        <v>0</v>
      </c>
      <c r="B22" t="s">
        <v>254</v>
      </c>
      <c r="C22" t="s">
        <v>456</v>
      </c>
      <c r="E22" s="3">
        <f t="shared" si="0"/>
        <v>2</v>
      </c>
      <c r="F22" s="5">
        <v>43851.625</v>
      </c>
      <c r="G22" s="19" t="str">
        <f t="shared" si="1"/>
        <v/>
      </c>
      <c r="J22" s="28" t="e">
        <f t="shared" si="2"/>
        <v>#DIV/0!</v>
      </c>
    </row>
    <row r="23" spans="1:10">
      <c r="A23" s="3">
        <v>0</v>
      </c>
      <c r="B23" t="s">
        <v>255</v>
      </c>
      <c r="C23" t="s">
        <v>456</v>
      </c>
      <c r="E23" s="3">
        <f t="shared" si="0"/>
        <v>3</v>
      </c>
      <c r="F23" s="5">
        <v>43852.625</v>
      </c>
      <c r="G23" s="19" t="str">
        <f t="shared" si="1"/>
        <v/>
      </c>
      <c r="J23" s="28" t="e">
        <f t="shared" si="2"/>
        <v>#DIV/0!</v>
      </c>
    </row>
    <row r="24" spans="1:10">
      <c r="A24" s="3">
        <v>0</v>
      </c>
      <c r="B24" t="s">
        <v>256</v>
      </c>
      <c r="C24" t="s">
        <v>456</v>
      </c>
      <c r="E24" s="3">
        <f t="shared" si="0"/>
        <v>4</v>
      </c>
      <c r="F24" s="5">
        <v>43853.625</v>
      </c>
      <c r="G24" s="19" t="str">
        <f t="shared" si="1"/>
        <v/>
      </c>
      <c r="J24" s="28" t="e">
        <f t="shared" si="2"/>
        <v>#DIV/0!</v>
      </c>
    </row>
    <row r="25" spans="1:10">
      <c r="A25" s="3">
        <v>0</v>
      </c>
      <c r="B25" t="s">
        <v>257</v>
      </c>
      <c r="C25" t="s">
        <v>456</v>
      </c>
      <c r="E25" s="3">
        <f t="shared" si="0"/>
        <v>5</v>
      </c>
      <c r="F25" s="5">
        <v>43854.625</v>
      </c>
      <c r="G25" s="19" t="str">
        <f t="shared" si="1"/>
        <v/>
      </c>
      <c r="J25" s="28" t="e">
        <f t="shared" si="2"/>
        <v>#DIV/0!</v>
      </c>
    </row>
    <row r="26" spans="1:10">
      <c r="A26" s="3">
        <v>0</v>
      </c>
      <c r="B26" t="s">
        <v>258</v>
      </c>
      <c r="C26" t="s">
        <v>456</v>
      </c>
      <c r="E26" s="3">
        <f t="shared" si="0"/>
        <v>6</v>
      </c>
      <c r="F26" s="5">
        <v>43855.625</v>
      </c>
      <c r="G26" s="19" t="str">
        <f t="shared" si="1"/>
        <v/>
      </c>
      <c r="J26" s="28" t="e">
        <f t="shared" si="2"/>
        <v>#DIV/0!</v>
      </c>
    </row>
    <row r="27" spans="1:10">
      <c r="A27" s="3">
        <v>0</v>
      </c>
      <c r="B27" t="s">
        <v>259</v>
      </c>
      <c r="C27" t="s">
        <v>456</v>
      </c>
      <c r="E27" s="3">
        <f t="shared" si="0"/>
        <v>7</v>
      </c>
      <c r="F27" s="5">
        <v>43856.625</v>
      </c>
      <c r="G27" s="19" t="str">
        <f t="shared" si="1"/>
        <v/>
      </c>
      <c r="J27" s="28" t="e">
        <f t="shared" si="2"/>
        <v>#DIV/0!</v>
      </c>
    </row>
    <row r="28" spans="1:10">
      <c r="A28" s="3">
        <v>0</v>
      </c>
      <c r="B28" t="s">
        <v>260</v>
      </c>
      <c r="C28" t="s">
        <v>456</v>
      </c>
      <c r="E28" s="3">
        <f t="shared" si="0"/>
        <v>1</v>
      </c>
      <c r="F28" s="5">
        <v>43857.625</v>
      </c>
      <c r="G28" s="19" t="str">
        <f t="shared" si="1"/>
        <v>2020-W05</v>
      </c>
      <c r="H28">
        <f>SUM(A28:A34)</f>
        <v>0</v>
      </c>
      <c r="I28" s="28" t="e">
        <f>H28/H21-1</f>
        <v>#DIV/0!</v>
      </c>
      <c r="J28" s="28" t="e">
        <f t="shared" si="2"/>
        <v>#DIV/0!</v>
      </c>
    </row>
    <row r="29" spans="1:10">
      <c r="A29" s="3">
        <v>0</v>
      </c>
      <c r="B29" t="s">
        <v>10</v>
      </c>
      <c r="C29" t="s">
        <v>456</v>
      </c>
      <c r="E29" s="3">
        <f t="shared" si="0"/>
        <v>2</v>
      </c>
      <c r="F29" s="5">
        <v>43858.625</v>
      </c>
      <c r="G29" s="19" t="str">
        <f t="shared" si="1"/>
        <v/>
      </c>
      <c r="J29" s="28" t="e">
        <f t="shared" si="2"/>
        <v>#DIV/0!</v>
      </c>
    </row>
    <row r="30" spans="1:10">
      <c r="A30" s="3">
        <v>0</v>
      </c>
      <c r="B30" t="s">
        <v>261</v>
      </c>
      <c r="C30" t="s">
        <v>456</v>
      </c>
      <c r="E30" s="3">
        <f t="shared" si="0"/>
        <v>3</v>
      </c>
      <c r="F30" s="5">
        <v>43859.625</v>
      </c>
      <c r="G30" s="19" t="str">
        <f t="shared" si="1"/>
        <v/>
      </c>
      <c r="J30" s="28" t="e">
        <f t="shared" si="2"/>
        <v>#DIV/0!</v>
      </c>
    </row>
    <row r="31" spans="1:10">
      <c r="A31" s="3">
        <v>0</v>
      </c>
      <c r="B31" t="s">
        <v>262</v>
      </c>
      <c r="C31" t="s">
        <v>456</v>
      </c>
      <c r="E31" s="3">
        <f t="shared" si="0"/>
        <v>4</v>
      </c>
      <c r="F31" s="5">
        <v>43860.625</v>
      </c>
      <c r="G31" s="19" t="str">
        <f t="shared" si="1"/>
        <v/>
      </c>
      <c r="J31" s="28" t="e">
        <f t="shared" si="2"/>
        <v>#DIV/0!</v>
      </c>
    </row>
    <row r="32" spans="1:10">
      <c r="A32" s="3">
        <v>0</v>
      </c>
      <c r="B32" t="s">
        <v>263</v>
      </c>
      <c r="C32" t="s">
        <v>456</v>
      </c>
      <c r="E32" s="3">
        <f t="shared" si="0"/>
        <v>5</v>
      </c>
      <c r="F32" s="5">
        <v>43861.625</v>
      </c>
      <c r="G32" s="19" t="str">
        <f t="shared" si="1"/>
        <v/>
      </c>
      <c r="J32" s="28" t="e">
        <f t="shared" si="2"/>
        <v>#DIV/0!</v>
      </c>
    </row>
    <row r="33" spans="1:10">
      <c r="A33" s="3">
        <v>0</v>
      </c>
      <c r="B33" t="s">
        <v>264</v>
      </c>
      <c r="C33" t="s">
        <v>456</v>
      </c>
      <c r="E33" s="3">
        <f t="shared" si="0"/>
        <v>6</v>
      </c>
      <c r="F33" s="5">
        <v>43862.625</v>
      </c>
      <c r="G33" s="19" t="str">
        <f t="shared" si="1"/>
        <v/>
      </c>
      <c r="J33" s="28" t="e">
        <f t="shared" si="2"/>
        <v>#DIV/0!</v>
      </c>
    </row>
    <row r="34" spans="1:10">
      <c r="A34" s="3">
        <v>0</v>
      </c>
      <c r="B34" t="s">
        <v>265</v>
      </c>
      <c r="C34" t="s">
        <v>456</v>
      </c>
      <c r="E34" s="3">
        <f t="shared" si="0"/>
        <v>7</v>
      </c>
      <c r="F34" s="5">
        <v>43863.625</v>
      </c>
      <c r="G34" s="19" t="str">
        <f t="shared" si="1"/>
        <v/>
      </c>
      <c r="J34" s="28" t="e">
        <f t="shared" si="2"/>
        <v>#DIV/0!</v>
      </c>
    </row>
    <row r="35" spans="1:10">
      <c r="A35" s="3">
        <v>0</v>
      </c>
      <c r="B35" t="s">
        <v>266</v>
      </c>
      <c r="C35" t="s">
        <v>456</v>
      </c>
      <c r="E35" s="3">
        <f t="shared" si="0"/>
        <v>1</v>
      </c>
      <c r="F35" s="5">
        <v>43864.625</v>
      </c>
      <c r="G35" s="19" t="str">
        <f t="shared" si="1"/>
        <v>2020-W06</v>
      </c>
      <c r="H35">
        <f>SUM(A35:A41)</f>
        <v>0</v>
      </c>
      <c r="I35" s="28" t="e">
        <f>H35/H28-1</f>
        <v>#DIV/0!</v>
      </c>
      <c r="J35" s="28" t="e">
        <f t="shared" si="2"/>
        <v>#DIV/0!</v>
      </c>
    </row>
    <row r="36" spans="1:10">
      <c r="A36" s="3">
        <v>0</v>
      </c>
      <c r="B36" t="s">
        <v>267</v>
      </c>
      <c r="C36" t="s">
        <v>456</v>
      </c>
      <c r="E36" s="3">
        <f t="shared" si="0"/>
        <v>2</v>
      </c>
      <c r="F36" s="5">
        <v>43865.625</v>
      </c>
      <c r="G36" s="19" t="str">
        <f t="shared" si="1"/>
        <v/>
      </c>
      <c r="J36" s="28" t="e">
        <f t="shared" si="2"/>
        <v>#DIV/0!</v>
      </c>
    </row>
    <row r="37" spans="1:10">
      <c r="A37" s="3">
        <v>0</v>
      </c>
      <c r="B37" t="s">
        <v>268</v>
      </c>
      <c r="C37" t="s">
        <v>456</v>
      </c>
      <c r="E37" s="3">
        <f t="shared" si="0"/>
        <v>3</v>
      </c>
      <c r="F37" s="5">
        <v>43866.625</v>
      </c>
      <c r="G37" s="19" t="str">
        <f t="shared" si="1"/>
        <v/>
      </c>
      <c r="J37" s="28" t="e">
        <f t="shared" si="2"/>
        <v>#DIV/0!</v>
      </c>
    </row>
    <row r="38" spans="1:10">
      <c r="A38" s="3">
        <v>0</v>
      </c>
      <c r="B38" t="s">
        <v>269</v>
      </c>
      <c r="C38" t="s">
        <v>456</v>
      </c>
      <c r="E38" s="3">
        <f t="shared" si="0"/>
        <v>4</v>
      </c>
      <c r="F38" s="5">
        <v>43867.625</v>
      </c>
      <c r="G38" s="19" t="str">
        <f t="shared" si="1"/>
        <v/>
      </c>
      <c r="J38" s="28" t="e">
        <f t="shared" si="2"/>
        <v>#DIV/0!</v>
      </c>
    </row>
    <row r="39" spans="1:10">
      <c r="A39" s="3">
        <v>0</v>
      </c>
      <c r="B39" t="s">
        <v>270</v>
      </c>
      <c r="C39" t="s">
        <v>456</v>
      </c>
      <c r="E39" s="3">
        <f t="shared" si="0"/>
        <v>5</v>
      </c>
      <c r="F39" s="5">
        <v>43868.625</v>
      </c>
      <c r="G39" s="19" t="str">
        <f t="shared" si="1"/>
        <v/>
      </c>
      <c r="J39" s="28" t="e">
        <f t="shared" si="2"/>
        <v>#DIV/0!</v>
      </c>
    </row>
    <row r="40" spans="1:10">
      <c r="A40" s="3">
        <v>0</v>
      </c>
      <c r="B40" t="s">
        <v>271</v>
      </c>
      <c r="C40" t="s">
        <v>456</v>
      </c>
      <c r="E40" s="3">
        <f t="shared" si="0"/>
        <v>6</v>
      </c>
      <c r="F40" s="5">
        <v>43869.625</v>
      </c>
      <c r="G40" s="19" t="str">
        <f t="shared" si="1"/>
        <v/>
      </c>
      <c r="J40" s="28" t="e">
        <f t="shared" si="2"/>
        <v>#DIV/0!</v>
      </c>
    </row>
    <row r="41" spans="1:10">
      <c r="A41" s="3">
        <v>0</v>
      </c>
      <c r="B41" t="s">
        <v>272</v>
      </c>
      <c r="C41" t="s">
        <v>456</v>
      </c>
      <c r="E41" s="3">
        <f t="shared" si="0"/>
        <v>7</v>
      </c>
      <c r="F41" s="5">
        <v>43870.625</v>
      </c>
      <c r="G41" s="19" t="str">
        <f t="shared" si="1"/>
        <v/>
      </c>
      <c r="J41" s="28" t="e">
        <f t="shared" si="2"/>
        <v>#DIV/0!</v>
      </c>
    </row>
    <row r="42" spans="1:10">
      <c r="A42" s="3">
        <v>1</v>
      </c>
      <c r="B42" t="s">
        <v>11</v>
      </c>
      <c r="C42" t="s">
        <v>456</v>
      </c>
      <c r="E42" s="3">
        <f t="shared" si="0"/>
        <v>1</v>
      </c>
      <c r="F42" s="5">
        <v>43871.625</v>
      </c>
      <c r="G42" s="19" t="str">
        <f t="shared" si="1"/>
        <v>2020-W07</v>
      </c>
      <c r="H42">
        <f>SUM(A42:A48)</f>
        <v>1</v>
      </c>
      <c r="I42" s="28" t="e">
        <f>H42/H35-1</f>
        <v>#DIV/0!</v>
      </c>
      <c r="J42" s="28" t="e">
        <f t="shared" si="2"/>
        <v>#DIV/0!</v>
      </c>
    </row>
    <row r="43" spans="1:10">
      <c r="A43" s="3">
        <v>0</v>
      </c>
      <c r="B43" t="s">
        <v>273</v>
      </c>
      <c r="C43" t="s">
        <v>456</v>
      </c>
      <c r="E43" s="3">
        <f t="shared" si="0"/>
        <v>2</v>
      </c>
      <c r="F43" s="5">
        <v>43872.625</v>
      </c>
      <c r="G43" s="19" t="str">
        <f t="shared" si="1"/>
        <v/>
      </c>
      <c r="J43" s="28" t="e">
        <f t="shared" si="2"/>
        <v>#DIV/0!</v>
      </c>
    </row>
    <row r="44" spans="1:10">
      <c r="A44" s="3">
        <v>0</v>
      </c>
      <c r="B44" t="s">
        <v>274</v>
      </c>
      <c r="C44" t="s">
        <v>456</v>
      </c>
      <c r="E44" s="3">
        <f t="shared" si="0"/>
        <v>3</v>
      </c>
      <c r="F44" s="5">
        <v>43873.625</v>
      </c>
      <c r="G44" s="19" t="str">
        <f t="shared" si="1"/>
        <v/>
      </c>
      <c r="J44" s="28" t="e">
        <f t="shared" si="2"/>
        <v>#DIV/0!</v>
      </c>
    </row>
    <row r="45" spans="1:10">
      <c r="A45" s="3">
        <v>0</v>
      </c>
      <c r="B45" t="s">
        <v>275</v>
      </c>
      <c r="C45" t="s">
        <v>456</v>
      </c>
      <c r="E45" s="3">
        <f t="shared" si="0"/>
        <v>4</v>
      </c>
      <c r="F45" s="5">
        <v>43874.625</v>
      </c>
      <c r="G45" s="19" t="str">
        <f t="shared" si="1"/>
        <v/>
      </c>
      <c r="J45" s="28" t="e">
        <f t="shared" si="2"/>
        <v>#DIV/0!</v>
      </c>
    </row>
    <row r="46" spans="1:10">
      <c r="A46" s="3">
        <v>0</v>
      </c>
      <c r="B46" t="s">
        <v>276</v>
      </c>
      <c r="C46" t="s">
        <v>456</v>
      </c>
      <c r="E46" s="3">
        <f t="shared" si="0"/>
        <v>5</v>
      </c>
      <c r="F46" s="5">
        <v>43875.625</v>
      </c>
      <c r="G46" s="19" t="str">
        <f t="shared" si="1"/>
        <v/>
      </c>
      <c r="J46" s="28" t="e">
        <f t="shared" si="2"/>
        <v>#DIV/0!</v>
      </c>
    </row>
    <row r="47" spans="1:10">
      <c r="A47" s="3">
        <v>0</v>
      </c>
      <c r="B47" t="s">
        <v>277</v>
      </c>
      <c r="C47" t="s">
        <v>456</v>
      </c>
      <c r="E47" s="3">
        <f t="shared" si="0"/>
        <v>6</v>
      </c>
      <c r="F47" s="5">
        <v>43876.625</v>
      </c>
      <c r="G47" s="19" t="str">
        <f t="shared" si="1"/>
        <v/>
      </c>
      <c r="J47" s="28" t="e">
        <f t="shared" si="2"/>
        <v>#DIV/0!</v>
      </c>
    </row>
    <row r="48" spans="1:10">
      <c r="A48" s="3">
        <v>0</v>
      </c>
      <c r="B48" t="s">
        <v>278</v>
      </c>
      <c r="C48" t="s">
        <v>456</v>
      </c>
      <c r="E48" s="3">
        <f t="shared" si="0"/>
        <v>7</v>
      </c>
      <c r="F48" s="5">
        <v>43877.625</v>
      </c>
      <c r="G48" s="19" t="str">
        <f t="shared" si="1"/>
        <v/>
      </c>
      <c r="J48" s="28" t="e">
        <f t="shared" si="2"/>
        <v>#DIV/0!</v>
      </c>
    </row>
    <row r="49" spans="1:10">
      <c r="A49" s="3">
        <v>0</v>
      </c>
      <c r="B49" t="s">
        <v>279</v>
      </c>
      <c r="C49" t="s">
        <v>456</v>
      </c>
      <c r="E49" s="3">
        <f t="shared" si="0"/>
        <v>1</v>
      </c>
      <c r="F49" s="5">
        <v>43878.625</v>
      </c>
      <c r="G49" s="19" t="str">
        <f t="shared" si="1"/>
        <v>2020-W08</v>
      </c>
      <c r="H49">
        <f>SUM(A49:A55)</f>
        <v>1</v>
      </c>
      <c r="I49" s="28">
        <f>H49/H42-1</f>
        <v>0</v>
      </c>
      <c r="J49" s="28">
        <f t="shared" si="2"/>
        <v>-1</v>
      </c>
    </row>
    <row r="50" spans="1:10">
      <c r="A50" s="3">
        <v>0</v>
      </c>
      <c r="B50" t="s">
        <v>280</v>
      </c>
      <c r="C50" t="s">
        <v>456</v>
      </c>
      <c r="E50" s="3">
        <f t="shared" si="0"/>
        <v>2</v>
      </c>
      <c r="F50" s="5">
        <v>43879.625</v>
      </c>
      <c r="G50" s="19" t="str">
        <f t="shared" si="1"/>
        <v/>
      </c>
      <c r="J50" s="28" t="e">
        <f t="shared" si="2"/>
        <v>#DIV/0!</v>
      </c>
    </row>
    <row r="51" spans="1:10">
      <c r="A51" s="3">
        <v>0</v>
      </c>
      <c r="B51" t="s">
        <v>281</v>
      </c>
      <c r="C51" t="s">
        <v>456</v>
      </c>
      <c r="E51" s="3">
        <f t="shared" si="0"/>
        <v>3</v>
      </c>
      <c r="F51" s="5">
        <v>43880.625</v>
      </c>
      <c r="G51" s="19" t="str">
        <f t="shared" si="1"/>
        <v/>
      </c>
      <c r="J51" s="28" t="e">
        <f t="shared" si="2"/>
        <v>#DIV/0!</v>
      </c>
    </row>
    <row r="52" spans="1:10">
      <c r="A52" s="3">
        <v>0</v>
      </c>
      <c r="B52" t="s">
        <v>282</v>
      </c>
      <c r="C52" t="s">
        <v>456</v>
      </c>
      <c r="E52" s="3">
        <f t="shared" si="0"/>
        <v>4</v>
      </c>
      <c r="F52" s="5">
        <v>43881.625</v>
      </c>
      <c r="G52" s="19" t="str">
        <f t="shared" si="1"/>
        <v/>
      </c>
      <c r="J52" s="28" t="e">
        <f t="shared" si="2"/>
        <v>#DIV/0!</v>
      </c>
    </row>
    <row r="53" spans="1:10">
      <c r="A53" s="3">
        <v>0</v>
      </c>
      <c r="B53" t="s">
        <v>283</v>
      </c>
      <c r="C53" t="s">
        <v>456</v>
      </c>
      <c r="E53" s="3">
        <f t="shared" si="0"/>
        <v>5</v>
      </c>
      <c r="F53" s="5">
        <v>43882.625</v>
      </c>
      <c r="G53" s="19" t="str">
        <f t="shared" si="1"/>
        <v/>
      </c>
      <c r="J53" s="28" t="e">
        <f t="shared" si="2"/>
        <v>#DIV/0!</v>
      </c>
    </row>
    <row r="54" spans="1:10">
      <c r="A54" s="3">
        <v>1</v>
      </c>
      <c r="B54" t="s">
        <v>12</v>
      </c>
      <c r="C54" t="s">
        <v>456</v>
      </c>
      <c r="E54" s="3">
        <f t="shared" si="0"/>
        <v>6</v>
      </c>
      <c r="F54" s="5">
        <v>43883.625</v>
      </c>
      <c r="G54" s="19" t="str">
        <f t="shared" si="1"/>
        <v/>
      </c>
      <c r="J54" s="28" t="e">
        <f t="shared" si="2"/>
        <v>#DIV/0!</v>
      </c>
    </row>
    <row r="55" spans="1:10">
      <c r="A55" s="3">
        <v>0</v>
      </c>
      <c r="B55" t="s">
        <v>284</v>
      </c>
      <c r="C55" t="s">
        <v>456</v>
      </c>
      <c r="E55" s="3">
        <f t="shared" si="0"/>
        <v>7</v>
      </c>
      <c r="F55" s="5">
        <v>43884.625</v>
      </c>
      <c r="G55" s="19" t="str">
        <f t="shared" si="1"/>
        <v/>
      </c>
      <c r="J55" s="28" t="e">
        <f t="shared" si="2"/>
        <v>#DIV/0!</v>
      </c>
    </row>
    <row r="56" spans="1:10">
      <c r="A56" s="3">
        <v>0</v>
      </c>
      <c r="B56" t="s">
        <v>285</v>
      </c>
      <c r="C56" t="s">
        <v>456</v>
      </c>
      <c r="E56" s="3">
        <f t="shared" si="0"/>
        <v>1</v>
      </c>
      <c r="F56" s="5">
        <v>43885.625</v>
      </c>
      <c r="G56" s="19" t="str">
        <f t="shared" si="1"/>
        <v>2020-W09</v>
      </c>
      <c r="H56">
        <f>SUM(A56:A62)</f>
        <v>6</v>
      </c>
      <c r="I56" s="28">
        <f>H56/H49-1</f>
        <v>5</v>
      </c>
      <c r="J56" s="28" t="e">
        <f t="shared" si="2"/>
        <v>#DIV/0!</v>
      </c>
    </row>
    <row r="57" spans="1:10">
      <c r="A57" s="3">
        <v>0</v>
      </c>
      <c r="B57" t="s">
        <v>13</v>
      </c>
      <c r="C57" t="s">
        <v>456</v>
      </c>
      <c r="E57" s="3">
        <f t="shared" si="0"/>
        <v>2</v>
      </c>
      <c r="F57" s="5">
        <v>43886.625</v>
      </c>
      <c r="G57" s="19" t="str">
        <f t="shared" si="1"/>
        <v/>
      </c>
      <c r="J57" s="28" t="e">
        <f t="shared" si="2"/>
        <v>#DIV/0!</v>
      </c>
    </row>
    <row r="58" spans="1:10">
      <c r="A58" s="3">
        <v>0</v>
      </c>
      <c r="B58" t="s">
        <v>286</v>
      </c>
      <c r="C58" t="s">
        <v>456</v>
      </c>
      <c r="E58" s="3">
        <f t="shared" si="0"/>
        <v>3</v>
      </c>
      <c r="F58" s="5">
        <v>43887.625</v>
      </c>
      <c r="G58" s="19" t="str">
        <f t="shared" si="1"/>
        <v/>
      </c>
      <c r="J58" s="28" t="e">
        <f t="shared" si="2"/>
        <v>#DIV/0!</v>
      </c>
    </row>
    <row r="59" spans="1:10">
      <c r="A59" s="3">
        <v>1</v>
      </c>
      <c r="B59" t="s">
        <v>14</v>
      </c>
      <c r="C59" t="s">
        <v>456</v>
      </c>
      <c r="E59" s="3">
        <f t="shared" si="0"/>
        <v>4</v>
      </c>
      <c r="F59" s="5">
        <v>43888.625</v>
      </c>
      <c r="G59" s="19" t="str">
        <f t="shared" si="1"/>
        <v/>
      </c>
      <c r="J59" s="28" t="e">
        <f t="shared" si="2"/>
        <v>#DIV/0!</v>
      </c>
    </row>
    <row r="60" spans="1:10">
      <c r="A60" s="3">
        <v>3</v>
      </c>
      <c r="B60" t="s">
        <v>15</v>
      </c>
      <c r="C60" t="s">
        <v>456</v>
      </c>
      <c r="E60" s="3">
        <f t="shared" si="0"/>
        <v>5</v>
      </c>
      <c r="F60" s="5">
        <v>43889.625</v>
      </c>
      <c r="G60" s="19" t="str">
        <f t="shared" si="1"/>
        <v/>
      </c>
      <c r="J60" s="28" t="e">
        <f t="shared" si="2"/>
        <v>#DIV/0!</v>
      </c>
    </row>
    <row r="61" spans="1:10">
      <c r="A61" s="3">
        <v>1</v>
      </c>
      <c r="B61" t="s">
        <v>16</v>
      </c>
      <c r="C61" t="s">
        <v>456</v>
      </c>
      <c r="E61" s="3">
        <f t="shared" si="0"/>
        <v>6</v>
      </c>
      <c r="F61" s="5">
        <v>43890.625</v>
      </c>
      <c r="G61" s="19" t="str">
        <f t="shared" si="1"/>
        <v/>
      </c>
      <c r="J61" s="28">
        <f t="shared" si="2"/>
        <v>0</v>
      </c>
    </row>
    <row r="62" spans="1:10">
      <c r="A62" s="3">
        <v>1</v>
      </c>
      <c r="B62" t="s">
        <v>17</v>
      </c>
      <c r="C62" t="s">
        <v>456</v>
      </c>
      <c r="E62" s="3">
        <f t="shared" si="0"/>
        <v>7</v>
      </c>
      <c r="F62" s="5">
        <v>43891.625</v>
      </c>
      <c r="G62" s="19" t="str">
        <f t="shared" si="1"/>
        <v/>
      </c>
      <c r="J62" s="28" t="e">
        <f t="shared" si="2"/>
        <v>#DIV/0!</v>
      </c>
    </row>
    <row r="63" spans="1:10">
      <c r="A63" s="3">
        <v>0</v>
      </c>
      <c r="B63" t="s">
        <v>287</v>
      </c>
      <c r="C63" t="s">
        <v>456</v>
      </c>
      <c r="E63" s="3">
        <f t="shared" si="0"/>
        <v>1</v>
      </c>
      <c r="F63" s="5">
        <v>43892.625</v>
      </c>
      <c r="G63" s="19" t="str">
        <f t="shared" si="1"/>
        <v>2020-W10</v>
      </c>
      <c r="H63">
        <f>SUM(A63:A69)</f>
        <v>16</v>
      </c>
      <c r="I63" s="28">
        <f>H63/H56-1</f>
        <v>1.6666666666666665</v>
      </c>
      <c r="J63" s="28" t="e">
        <f t="shared" si="2"/>
        <v>#DIV/0!</v>
      </c>
    </row>
    <row r="64" spans="1:10">
      <c r="A64" s="3">
        <v>3</v>
      </c>
      <c r="B64" t="s">
        <v>18</v>
      </c>
      <c r="C64" t="s">
        <v>456</v>
      </c>
      <c r="E64" s="3">
        <f t="shared" si="0"/>
        <v>2</v>
      </c>
      <c r="F64" s="5">
        <v>43893.625</v>
      </c>
      <c r="G64" s="19" t="str">
        <f t="shared" si="1"/>
        <v/>
      </c>
      <c r="J64" s="28" t="e">
        <f t="shared" si="2"/>
        <v>#DIV/0!</v>
      </c>
    </row>
    <row r="65" spans="1:10">
      <c r="A65" s="3">
        <v>2</v>
      </c>
      <c r="B65" t="s">
        <v>19</v>
      </c>
      <c r="C65" t="s">
        <v>456</v>
      </c>
      <c r="E65" s="3">
        <f t="shared" si="0"/>
        <v>3</v>
      </c>
      <c r="F65" s="5">
        <v>43894.625</v>
      </c>
      <c r="G65" s="19" t="str">
        <f t="shared" si="1"/>
        <v/>
      </c>
      <c r="J65" s="28" t="e">
        <f t="shared" si="2"/>
        <v>#DIV/0!</v>
      </c>
    </row>
    <row r="66" spans="1:10">
      <c r="A66" s="3">
        <v>1</v>
      </c>
      <c r="B66" t="s">
        <v>20</v>
      </c>
      <c r="C66" t="s">
        <v>456</v>
      </c>
      <c r="E66" s="3">
        <f t="shared" si="0"/>
        <v>4</v>
      </c>
      <c r="F66" s="5">
        <v>43895.625</v>
      </c>
      <c r="G66" s="19" t="str">
        <f t="shared" si="1"/>
        <v/>
      </c>
      <c r="J66" s="28">
        <f t="shared" si="2"/>
        <v>0</v>
      </c>
    </row>
    <row r="67" spans="1:10">
      <c r="A67" s="3">
        <v>4</v>
      </c>
      <c r="B67" t="s">
        <v>21</v>
      </c>
      <c r="C67" t="s">
        <v>456</v>
      </c>
      <c r="E67" s="3">
        <f t="shared" ref="E67:E130" si="3">WEEKDAY(F67,2)</f>
        <v>5</v>
      </c>
      <c r="F67" s="5">
        <v>43896.625</v>
      </c>
      <c r="G67" s="19" t="str">
        <f t="shared" ref="G67:G130" si="4">IF(WEEKDAY(F67,2)=1,YEAR(F67)&amp;"-W"&amp;TEXT(WEEKNUM(F67,14),"00"),"")</f>
        <v/>
      </c>
      <c r="J67" s="28">
        <f t="shared" si="2"/>
        <v>0.33333333333333326</v>
      </c>
    </row>
    <row r="68" spans="1:10">
      <c r="A68" s="3">
        <v>4</v>
      </c>
      <c r="B68" t="s">
        <v>22</v>
      </c>
      <c r="C68" t="s">
        <v>456</v>
      </c>
      <c r="E68" s="3">
        <f t="shared" si="3"/>
        <v>6</v>
      </c>
      <c r="F68" s="5">
        <v>43897.625</v>
      </c>
      <c r="G68" s="19" t="str">
        <f t="shared" si="4"/>
        <v/>
      </c>
      <c r="J68" s="28">
        <f t="shared" si="2"/>
        <v>3</v>
      </c>
    </row>
    <row r="69" spans="1:10">
      <c r="A69" s="3">
        <v>2</v>
      </c>
      <c r="B69" t="s">
        <v>23</v>
      </c>
      <c r="C69" t="s">
        <v>456</v>
      </c>
      <c r="E69" s="3">
        <f t="shared" si="3"/>
        <v>7</v>
      </c>
      <c r="F69" s="5">
        <v>43898.625</v>
      </c>
      <c r="G69" s="19" t="str">
        <f t="shared" si="4"/>
        <v/>
      </c>
      <c r="J69" s="28">
        <f t="shared" si="2"/>
        <v>1</v>
      </c>
    </row>
    <row r="70" spans="1:10">
      <c r="A70" s="3">
        <v>10</v>
      </c>
      <c r="B70" t="s">
        <v>24</v>
      </c>
      <c r="C70" t="s">
        <v>456</v>
      </c>
      <c r="E70" s="3">
        <f t="shared" si="3"/>
        <v>1</v>
      </c>
      <c r="F70" s="5">
        <v>43899.625</v>
      </c>
      <c r="G70" s="19" t="str">
        <f t="shared" si="4"/>
        <v>2020-W11</v>
      </c>
      <c r="H70">
        <f>SUM(A70:A76)</f>
        <v>196</v>
      </c>
      <c r="I70" s="28">
        <f>H70/H63-1</f>
        <v>11.25</v>
      </c>
      <c r="J70" s="28" t="e">
        <f t="shared" si="2"/>
        <v>#DIV/0!</v>
      </c>
    </row>
    <row r="71" spans="1:10">
      <c r="A71" s="3">
        <v>25</v>
      </c>
      <c r="B71" t="s">
        <v>25</v>
      </c>
      <c r="C71" t="s">
        <v>456</v>
      </c>
      <c r="E71" s="3">
        <f t="shared" si="3"/>
        <v>2</v>
      </c>
      <c r="F71" s="5">
        <v>43900.625</v>
      </c>
      <c r="G71" s="19" t="str">
        <f t="shared" si="4"/>
        <v/>
      </c>
      <c r="J71" s="28">
        <f t="shared" si="2"/>
        <v>7.3333333333333339</v>
      </c>
    </row>
    <row r="72" spans="1:10">
      <c r="A72" s="3">
        <v>44</v>
      </c>
      <c r="B72" t="s">
        <v>26</v>
      </c>
      <c r="C72" t="s">
        <v>456</v>
      </c>
      <c r="E72" s="3">
        <f t="shared" si="3"/>
        <v>3</v>
      </c>
      <c r="F72" s="5">
        <v>43901.625</v>
      </c>
      <c r="G72" s="19" t="str">
        <f t="shared" si="4"/>
        <v/>
      </c>
      <c r="J72" s="28">
        <f t="shared" si="2"/>
        <v>21</v>
      </c>
    </row>
    <row r="73" spans="1:10">
      <c r="A73" s="3">
        <v>35</v>
      </c>
      <c r="B73" t="s">
        <v>27</v>
      </c>
      <c r="C73" t="s">
        <v>456</v>
      </c>
      <c r="E73" s="3">
        <f t="shared" si="3"/>
        <v>4</v>
      </c>
      <c r="F73" s="5">
        <v>43902.625</v>
      </c>
      <c r="G73" s="19" t="str">
        <f t="shared" si="4"/>
        <v/>
      </c>
      <c r="J73" s="28">
        <f t="shared" ref="J73:J136" si="5">A73/A66-1</f>
        <v>34</v>
      </c>
    </row>
    <row r="74" spans="1:10">
      <c r="A74" s="3">
        <v>19</v>
      </c>
      <c r="B74" t="s">
        <v>28</v>
      </c>
      <c r="C74" t="s">
        <v>456</v>
      </c>
      <c r="E74" s="3">
        <f t="shared" si="3"/>
        <v>5</v>
      </c>
      <c r="F74" s="5">
        <v>43903.625</v>
      </c>
      <c r="G74" s="19" t="str">
        <f t="shared" si="4"/>
        <v/>
      </c>
      <c r="J74" s="28">
        <f t="shared" si="5"/>
        <v>3.75</v>
      </c>
    </row>
    <row r="75" spans="1:10">
      <c r="A75" s="3">
        <v>15</v>
      </c>
      <c r="B75" t="s">
        <v>29</v>
      </c>
      <c r="C75" t="s">
        <v>456</v>
      </c>
      <c r="E75" s="3">
        <f t="shared" si="3"/>
        <v>6</v>
      </c>
      <c r="F75" s="5">
        <v>43904.625</v>
      </c>
      <c r="G75" s="19" t="str">
        <f t="shared" si="4"/>
        <v/>
      </c>
      <c r="J75" s="28">
        <f t="shared" si="5"/>
        <v>2.75</v>
      </c>
    </row>
    <row r="76" spans="1:10">
      <c r="A76" s="3">
        <v>48</v>
      </c>
      <c r="B76" t="s">
        <v>30</v>
      </c>
      <c r="C76" t="s">
        <v>456</v>
      </c>
      <c r="E76" s="3">
        <f t="shared" si="3"/>
        <v>7</v>
      </c>
      <c r="F76" s="5">
        <v>43905.625</v>
      </c>
      <c r="G76" s="19" t="str">
        <f t="shared" si="4"/>
        <v/>
      </c>
      <c r="J76" s="28">
        <f t="shared" si="5"/>
        <v>23</v>
      </c>
    </row>
    <row r="77" spans="1:10">
      <c r="A77" s="3">
        <v>41</v>
      </c>
      <c r="B77" t="s">
        <v>31</v>
      </c>
      <c r="C77" t="s">
        <v>456</v>
      </c>
      <c r="E77" s="3">
        <f t="shared" si="3"/>
        <v>1</v>
      </c>
      <c r="F77" s="5">
        <v>43906.625</v>
      </c>
      <c r="G77" s="19" t="str">
        <f t="shared" si="4"/>
        <v>2020-W12</v>
      </c>
      <c r="H77">
        <f>SUM(A77:A83)</f>
        <v>391</v>
      </c>
      <c r="I77" s="28">
        <f>H77/H70-1</f>
        <v>0.99489795918367352</v>
      </c>
      <c r="J77" s="28">
        <f t="shared" si="5"/>
        <v>3.0999999999999996</v>
      </c>
    </row>
    <row r="78" spans="1:10">
      <c r="A78" s="3">
        <v>31</v>
      </c>
      <c r="B78" t="s">
        <v>32</v>
      </c>
      <c r="C78" t="s">
        <v>456</v>
      </c>
      <c r="E78" s="3">
        <f t="shared" si="3"/>
        <v>2</v>
      </c>
      <c r="F78" s="5">
        <v>43907.625</v>
      </c>
      <c r="G78" s="19" t="str">
        <f t="shared" si="4"/>
        <v/>
      </c>
      <c r="J78" s="28">
        <f t="shared" si="5"/>
        <v>0.24</v>
      </c>
    </row>
    <row r="79" spans="1:10">
      <c r="A79" s="3">
        <v>65</v>
      </c>
      <c r="B79" t="s">
        <v>33</v>
      </c>
      <c r="C79" t="s">
        <v>456</v>
      </c>
      <c r="E79" s="3">
        <f t="shared" si="3"/>
        <v>3</v>
      </c>
      <c r="F79" s="5">
        <v>43908.625</v>
      </c>
      <c r="G79" s="19" t="str">
        <f t="shared" si="4"/>
        <v/>
      </c>
      <c r="J79" s="28">
        <f t="shared" si="5"/>
        <v>0.47727272727272729</v>
      </c>
    </row>
    <row r="80" spans="1:10">
      <c r="A80" s="3">
        <v>74</v>
      </c>
      <c r="B80" t="s">
        <v>34</v>
      </c>
      <c r="C80" t="s">
        <v>456</v>
      </c>
      <c r="E80" s="3">
        <f t="shared" si="3"/>
        <v>4</v>
      </c>
      <c r="F80" s="5">
        <v>43909.625</v>
      </c>
      <c r="G80" s="19" t="str">
        <f t="shared" si="4"/>
        <v/>
      </c>
      <c r="J80" s="28">
        <f t="shared" si="5"/>
        <v>1.1142857142857143</v>
      </c>
    </row>
    <row r="81" spans="1:10">
      <c r="A81" s="3">
        <v>53</v>
      </c>
      <c r="B81" t="s">
        <v>35</v>
      </c>
      <c r="C81" t="s">
        <v>456</v>
      </c>
      <c r="E81" s="3">
        <f t="shared" si="3"/>
        <v>5</v>
      </c>
      <c r="F81" s="5">
        <v>43910.625</v>
      </c>
      <c r="G81" s="19" t="str">
        <f t="shared" si="4"/>
        <v/>
      </c>
      <c r="J81" s="28">
        <f t="shared" si="5"/>
        <v>1.7894736842105261</v>
      </c>
    </row>
    <row r="82" spans="1:10">
      <c r="A82" s="3">
        <v>67</v>
      </c>
      <c r="B82" t="s">
        <v>36</v>
      </c>
      <c r="C82" t="s">
        <v>456</v>
      </c>
      <c r="E82" s="3">
        <f t="shared" si="3"/>
        <v>6</v>
      </c>
      <c r="F82" s="5">
        <v>43911.625</v>
      </c>
      <c r="G82" s="19" t="str">
        <f t="shared" si="4"/>
        <v/>
      </c>
      <c r="J82" s="28">
        <f t="shared" si="5"/>
        <v>3.4666666666666668</v>
      </c>
    </row>
    <row r="83" spans="1:10">
      <c r="A83" s="3">
        <v>60</v>
      </c>
      <c r="B83" t="s">
        <v>37</v>
      </c>
      <c r="C83" t="s">
        <v>456</v>
      </c>
      <c r="E83" s="3">
        <f t="shared" si="3"/>
        <v>7</v>
      </c>
      <c r="F83" s="5">
        <v>43912.625</v>
      </c>
      <c r="G83" s="19" t="str">
        <f t="shared" si="4"/>
        <v/>
      </c>
      <c r="J83" s="28">
        <f t="shared" si="5"/>
        <v>0.25</v>
      </c>
    </row>
    <row r="84" spans="1:10">
      <c r="A84" s="3">
        <v>41</v>
      </c>
      <c r="B84" t="s">
        <v>38</v>
      </c>
      <c r="C84" t="s">
        <v>456</v>
      </c>
      <c r="E84" s="3">
        <f t="shared" si="3"/>
        <v>1</v>
      </c>
      <c r="F84" s="5">
        <v>43913.625</v>
      </c>
      <c r="G84" s="19" t="str">
        <f t="shared" si="4"/>
        <v>2020-W13</v>
      </c>
      <c r="H84">
        <f>SUM(A84:A90)</f>
        <v>354</v>
      </c>
      <c r="I84" s="28">
        <f>H84/H77-1</f>
        <v>-9.4629156010230142E-2</v>
      </c>
      <c r="J84" s="28">
        <f t="shared" si="5"/>
        <v>0</v>
      </c>
    </row>
    <row r="85" spans="1:10">
      <c r="A85" s="3">
        <v>53</v>
      </c>
      <c r="B85" t="s">
        <v>39</v>
      </c>
      <c r="C85" t="s">
        <v>456</v>
      </c>
      <c r="E85" s="3">
        <f t="shared" si="3"/>
        <v>2</v>
      </c>
      <c r="F85" s="5">
        <v>43914.625</v>
      </c>
      <c r="G85" s="19" t="str">
        <f t="shared" si="4"/>
        <v/>
      </c>
      <c r="J85" s="28">
        <f t="shared" si="5"/>
        <v>0.70967741935483875</v>
      </c>
    </row>
    <row r="86" spans="1:10">
      <c r="A86" s="3">
        <v>53</v>
      </c>
      <c r="B86" t="s">
        <v>40</v>
      </c>
      <c r="C86" t="s">
        <v>456</v>
      </c>
      <c r="E86" s="3">
        <f t="shared" si="3"/>
        <v>3</v>
      </c>
      <c r="F86" s="5">
        <v>43915.625</v>
      </c>
      <c r="G86" s="19" t="str">
        <f t="shared" si="4"/>
        <v/>
      </c>
      <c r="J86" s="28">
        <f t="shared" si="5"/>
        <v>-0.18461538461538463</v>
      </c>
    </row>
    <row r="87" spans="1:10">
      <c r="A87" s="3">
        <v>58</v>
      </c>
      <c r="B87" t="s">
        <v>41</v>
      </c>
      <c r="C87" t="s">
        <v>456</v>
      </c>
      <c r="E87" s="3">
        <f t="shared" si="3"/>
        <v>4</v>
      </c>
      <c r="F87" s="5">
        <v>43916.625</v>
      </c>
      <c r="G87" s="19" t="str">
        <f t="shared" si="4"/>
        <v/>
      </c>
      <c r="J87" s="28">
        <f t="shared" si="5"/>
        <v>-0.21621621621621623</v>
      </c>
    </row>
    <row r="88" spans="1:10">
      <c r="A88" s="3">
        <v>49</v>
      </c>
      <c r="B88" t="s">
        <v>42</v>
      </c>
      <c r="C88" t="s">
        <v>456</v>
      </c>
      <c r="E88" s="3">
        <f t="shared" si="3"/>
        <v>5</v>
      </c>
      <c r="F88" s="5">
        <v>43917.625</v>
      </c>
      <c r="G88" s="19" t="str">
        <f t="shared" si="4"/>
        <v/>
      </c>
      <c r="J88" s="28">
        <f t="shared" si="5"/>
        <v>-7.547169811320753E-2</v>
      </c>
    </row>
    <row r="89" spans="1:10">
      <c r="A89" s="3">
        <v>53</v>
      </c>
      <c r="B89" t="s">
        <v>43</v>
      </c>
      <c r="C89" t="s">
        <v>456</v>
      </c>
      <c r="E89" s="3">
        <f t="shared" si="3"/>
        <v>6</v>
      </c>
      <c r="F89" s="5">
        <v>43918.625</v>
      </c>
      <c r="G89" s="19" t="str">
        <f t="shared" si="4"/>
        <v/>
      </c>
      <c r="J89" s="28">
        <f t="shared" si="5"/>
        <v>-0.20895522388059706</v>
      </c>
    </row>
    <row r="90" spans="1:10">
      <c r="A90" s="3">
        <v>47</v>
      </c>
      <c r="B90" t="s">
        <v>44</v>
      </c>
      <c r="C90" t="s">
        <v>456</v>
      </c>
      <c r="E90" s="3">
        <f t="shared" si="3"/>
        <v>7</v>
      </c>
      <c r="F90" s="5">
        <v>43919.625</v>
      </c>
      <c r="G90" s="19" t="str">
        <f t="shared" si="4"/>
        <v/>
      </c>
      <c r="J90" s="28">
        <f t="shared" si="5"/>
        <v>-0.21666666666666667</v>
      </c>
    </row>
    <row r="91" spans="1:10">
      <c r="A91" s="3">
        <v>61</v>
      </c>
      <c r="B91" t="s">
        <v>45</v>
      </c>
      <c r="C91" t="s">
        <v>456</v>
      </c>
      <c r="E91" s="3">
        <f t="shared" si="3"/>
        <v>1</v>
      </c>
      <c r="F91" s="5">
        <v>43920.625</v>
      </c>
      <c r="G91" s="19" t="str">
        <f t="shared" si="4"/>
        <v>2020-W14</v>
      </c>
      <c r="H91">
        <f>SUM(A91:A97)</f>
        <v>613</v>
      </c>
      <c r="I91" s="28">
        <f>H91/H84-1</f>
        <v>0.73163841807909602</v>
      </c>
      <c r="J91" s="28">
        <f t="shared" si="5"/>
        <v>0.48780487804878048</v>
      </c>
    </row>
    <row r="92" spans="1:10">
      <c r="A92" s="3">
        <v>72</v>
      </c>
      <c r="B92" t="s">
        <v>46</v>
      </c>
      <c r="C92" t="s">
        <v>456</v>
      </c>
      <c r="E92" s="3">
        <f t="shared" si="3"/>
        <v>2</v>
      </c>
      <c r="F92" s="5">
        <v>43921.625</v>
      </c>
      <c r="G92" s="19" t="str">
        <f t="shared" si="4"/>
        <v/>
      </c>
      <c r="J92" s="28">
        <f t="shared" si="5"/>
        <v>0.35849056603773577</v>
      </c>
    </row>
    <row r="93" spans="1:10">
      <c r="A93" s="3">
        <v>99</v>
      </c>
      <c r="B93" t="s">
        <v>47</v>
      </c>
      <c r="C93" t="s">
        <v>456</v>
      </c>
      <c r="E93" s="3">
        <f t="shared" si="3"/>
        <v>3</v>
      </c>
      <c r="F93" s="5">
        <v>43922.625</v>
      </c>
      <c r="G93" s="19" t="str">
        <f t="shared" si="4"/>
        <v/>
      </c>
      <c r="J93" s="28">
        <f t="shared" si="5"/>
        <v>0.86792452830188682</v>
      </c>
    </row>
    <row r="94" spans="1:10">
      <c r="A94" s="3">
        <v>104</v>
      </c>
      <c r="B94" t="s">
        <v>48</v>
      </c>
      <c r="C94" t="s">
        <v>456</v>
      </c>
      <c r="E94" s="3">
        <f t="shared" si="3"/>
        <v>4</v>
      </c>
      <c r="F94" s="5">
        <v>43923.625</v>
      </c>
      <c r="G94" s="19" t="str">
        <f t="shared" si="4"/>
        <v/>
      </c>
      <c r="J94" s="28">
        <f t="shared" si="5"/>
        <v>0.7931034482758621</v>
      </c>
    </row>
    <row r="95" spans="1:10">
      <c r="A95" s="3">
        <v>133</v>
      </c>
      <c r="B95" t="s">
        <v>49</v>
      </c>
      <c r="C95" t="s">
        <v>456</v>
      </c>
      <c r="E95" s="3">
        <f t="shared" si="3"/>
        <v>5</v>
      </c>
      <c r="F95" s="5">
        <v>43924.625</v>
      </c>
      <c r="G95" s="19" t="str">
        <f t="shared" si="4"/>
        <v/>
      </c>
      <c r="J95" s="28">
        <f t="shared" si="5"/>
        <v>1.7142857142857144</v>
      </c>
    </row>
    <row r="96" spans="1:10">
      <c r="A96" s="3">
        <v>57</v>
      </c>
      <c r="B96" t="s">
        <v>50</v>
      </c>
      <c r="C96" t="s">
        <v>456</v>
      </c>
      <c r="E96" s="3">
        <f t="shared" si="3"/>
        <v>6</v>
      </c>
      <c r="F96" s="5">
        <v>43925.625</v>
      </c>
      <c r="G96" s="19" t="str">
        <f t="shared" si="4"/>
        <v/>
      </c>
      <c r="J96" s="28">
        <f t="shared" si="5"/>
        <v>7.547169811320753E-2</v>
      </c>
    </row>
    <row r="97" spans="1:10">
      <c r="A97" s="3">
        <v>87</v>
      </c>
      <c r="B97" s="1" t="s">
        <v>51</v>
      </c>
      <c r="C97" t="s">
        <v>456</v>
      </c>
      <c r="D97" s="1"/>
      <c r="E97" s="3">
        <f t="shared" si="3"/>
        <v>7</v>
      </c>
      <c r="F97" s="6">
        <v>43926.625</v>
      </c>
      <c r="G97" s="19" t="str">
        <f t="shared" si="4"/>
        <v/>
      </c>
      <c r="J97" s="28">
        <f t="shared" si="5"/>
        <v>0.85106382978723394</v>
      </c>
    </row>
    <row r="98" spans="1:10">
      <c r="A98" s="3">
        <v>146</v>
      </c>
      <c r="B98" t="s">
        <v>52</v>
      </c>
      <c r="C98" t="s">
        <v>456</v>
      </c>
      <c r="E98" s="3">
        <f t="shared" si="3"/>
        <v>1</v>
      </c>
      <c r="F98" s="5">
        <v>43927.625</v>
      </c>
      <c r="G98" s="19" t="str">
        <f t="shared" si="4"/>
        <v>2020-W15</v>
      </c>
      <c r="H98">
        <f>SUM(A98:A104)</f>
        <v>634</v>
      </c>
      <c r="I98" s="28">
        <f>H98/H91-1</f>
        <v>3.4257748776509001E-2</v>
      </c>
      <c r="J98" s="28">
        <f t="shared" si="5"/>
        <v>1.3934426229508197</v>
      </c>
    </row>
    <row r="99" spans="1:10">
      <c r="A99" s="3">
        <v>129</v>
      </c>
      <c r="B99" t="s">
        <v>53</v>
      </c>
      <c r="C99" t="s">
        <v>456</v>
      </c>
      <c r="E99" s="3">
        <f t="shared" si="3"/>
        <v>2</v>
      </c>
      <c r="F99" s="5">
        <v>43928.625</v>
      </c>
      <c r="G99" s="19" t="str">
        <f t="shared" si="4"/>
        <v/>
      </c>
      <c r="J99" s="28">
        <f t="shared" si="5"/>
        <v>0.79166666666666674</v>
      </c>
    </row>
    <row r="100" spans="1:10">
      <c r="A100" s="3">
        <v>96</v>
      </c>
      <c r="B100" t="s">
        <v>54</v>
      </c>
      <c r="C100" t="s">
        <v>456</v>
      </c>
      <c r="E100" s="3">
        <f t="shared" si="3"/>
        <v>3</v>
      </c>
      <c r="F100" s="5">
        <v>43929.625</v>
      </c>
      <c r="G100" s="19" t="str">
        <f t="shared" si="4"/>
        <v/>
      </c>
      <c r="J100" s="28">
        <f t="shared" si="5"/>
        <v>-3.0303030303030276E-2</v>
      </c>
    </row>
    <row r="101" spans="1:10">
      <c r="A101" s="3">
        <v>104</v>
      </c>
      <c r="B101" t="s">
        <v>55</v>
      </c>
      <c r="C101" t="s">
        <v>456</v>
      </c>
      <c r="E101" s="3">
        <f t="shared" si="3"/>
        <v>4</v>
      </c>
      <c r="F101" s="5">
        <v>43930.625</v>
      </c>
      <c r="G101" s="19" t="str">
        <f t="shared" si="4"/>
        <v/>
      </c>
      <c r="J101" s="28">
        <f t="shared" si="5"/>
        <v>0</v>
      </c>
    </row>
    <row r="102" spans="1:10">
      <c r="A102" s="3">
        <v>58</v>
      </c>
      <c r="B102" t="s">
        <v>56</v>
      </c>
      <c r="C102" t="s">
        <v>456</v>
      </c>
      <c r="E102" s="3">
        <f t="shared" si="3"/>
        <v>5</v>
      </c>
      <c r="F102" s="5">
        <v>43931.625</v>
      </c>
      <c r="G102" s="19" t="str">
        <f t="shared" si="4"/>
        <v/>
      </c>
      <c r="J102" s="28">
        <f t="shared" si="5"/>
        <v>-0.56390977443609025</v>
      </c>
    </row>
    <row r="103" spans="1:10">
      <c r="A103" s="3">
        <v>43</v>
      </c>
      <c r="B103" t="s">
        <v>57</v>
      </c>
      <c r="C103" t="s">
        <v>456</v>
      </c>
      <c r="E103" s="3">
        <f t="shared" si="3"/>
        <v>6</v>
      </c>
      <c r="F103" s="5">
        <v>43932.625</v>
      </c>
      <c r="G103" s="19" t="str">
        <f t="shared" si="4"/>
        <v/>
      </c>
      <c r="J103" s="28">
        <f t="shared" si="5"/>
        <v>-0.24561403508771928</v>
      </c>
    </row>
    <row r="104" spans="1:10">
      <c r="A104" s="3">
        <v>58</v>
      </c>
      <c r="B104" t="s">
        <v>58</v>
      </c>
      <c r="C104" t="s">
        <v>456</v>
      </c>
      <c r="E104" s="3">
        <f t="shared" si="3"/>
        <v>7</v>
      </c>
      <c r="F104" s="5">
        <v>43933.625</v>
      </c>
      <c r="G104" s="19" t="str">
        <f t="shared" si="4"/>
        <v/>
      </c>
      <c r="J104" s="28">
        <f t="shared" si="5"/>
        <v>-0.33333333333333337</v>
      </c>
    </row>
    <row r="105" spans="1:10">
      <c r="A105" s="3">
        <v>93</v>
      </c>
      <c r="B105" t="s">
        <v>59</v>
      </c>
      <c r="C105" t="s">
        <v>456</v>
      </c>
      <c r="E105" s="3">
        <f t="shared" si="3"/>
        <v>1</v>
      </c>
      <c r="F105" s="5">
        <v>43934.625</v>
      </c>
      <c r="G105" s="19" t="str">
        <f t="shared" si="4"/>
        <v>2020-W16</v>
      </c>
      <c r="H105">
        <f>SUM(A105:A111)</f>
        <v>613</v>
      </c>
      <c r="I105" s="28">
        <f>H105/H98-1</f>
        <v>-3.3123028391167209E-2</v>
      </c>
      <c r="J105" s="28">
        <f t="shared" si="5"/>
        <v>-0.36301369863013699</v>
      </c>
    </row>
    <row r="106" spans="1:10">
      <c r="A106" s="3">
        <v>126</v>
      </c>
      <c r="B106" t="s">
        <v>60</v>
      </c>
      <c r="C106" t="s">
        <v>456</v>
      </c>
      <c r="E106" s="3">
        <f t="shared" si="3"/>
        <v>2</v>
      </c>
      <c r="F106" s="5">
        <v>43935.625</v>
      </c>
      <c r="G106" s="19" t="str">
        <f t="shared" si="4"/>
        <v/>
      </c>
      <c r="J106" s="28">
        <f t="shared" si="5"/>
        <v>-2.3255813953488413E-2</v>
      </c>
    </row>
    <row r="107" spans="1:10">
      <c r="A107" s="3">
        <v>103</v>
      </c>
      <c r="B107" t="s">
        <v>61</v>
      </c>
      <c r="C107" t="s">
        <v>456</v>
      </c>
      <c r="E107" s="3">
        <f t="shared" si="3"/>
        <v>3</v>
      </c>
      <c r="F107" s="5">
        <v>43936.625</v>
      </c>
      <c r="G107" s="19" t="str">
        <f t="shared" si="4"/>
        <v/>
      </c>
      <c r="J107" s="28">
        <f t="shared" si="5"/>
        <v>7.2916666666666741E-2</v>
      </c>
    </row>
    <row r="108" spans="1:10">
      <c r="A108" s="3">
        <v>90</v>
      </c>
      <c r="B108" t="s">
        <v>62</v>
      </c>
      <c r="C108" t="s">
        <v>456</v>
      </c>
      <c r="E108" s="3">
        <f t="shared" si="3"/>
        <v>4</v>
      </c>
      <c r="F108" s="5">
        <v>43937.625</v>
      </c>
      <c r="G108" s="19" t="str">
        <f t="shared" si="4"/>
        <v/>
      </c>
      <c r="J108" s="28">
        <f t="shared" si="5"/>
        <v>-0.13461538461538458</v>
      </c>
    </row>
    <row r="109" spans="1:10">
      <c r="A109" s="3">
        <v>97</v>
      </c>
      <c r="B109" t="s">
        <v>63</v>
      </c>
      <c r="C109" t="s">
        <v>456</v>
      </c>
      <c r="E109" s="3">
        <f t="shared" si="3"/>
        <v>5</v>
      </c>
      <c r="F109" s="5">
        <v>43938.625</v>
      </c>
      <c r="G109" s="19" t="str">
        <f t="shared" si="4"/>
        <v/>
      </c>
      <c r="J109" s="28">
        <f t="shared" si="5"/>
        <v>0.67241379310344818</v>
      </c>
    </row>
    <row r="110" spans="1:10">
      <c r="A110" s="3">
        <v>51</v>
      </c>
      <c r="B110" t="s">
        <v>64</v>
      </c>
      <c r="C110" t="s">
        <v>456</v>
      </c>
      <c r="E110" s="3">
        <f t="shared" si="3"/>
        <v>6</v>
      </c>
      <c r="F110" s="5">
        <v>43939.625</v>
      </c>
      <c r="G110" s="19" t="str">
        <f t="shared" si="4"/>
        <v/>
      </c>
      <c r="J110" s="28">
        <f t="shared" si="5"/>
        <v>0.18604651162790709</v>
      </c>
    </row>
    <row r="111" spans="1:10">
      <c r="A111" s="3">
        <v>53</v>
      </c>
      <c r="B111" t="s">
        <v>65</v>
      </c>
      <c r="C111" t="s">
        <v>456</v>
      </c>
      <c r="E111" s="3">
        <f t="shared" si="3"/>
        <v>7</v>
      </c>
      <c r="F111" s="5">
        <v>43940.625</v>
      </c>
      <c r="G111" s="19" t="str">
        <f t="shared" si="4"/>
        <v/>
      </c>
      <c r="J111" s="28">
        <f t="shared" si="5"/>
        <v>-8.6206896551724088E-2</v>
      </c>
    </row>
    <row r="112" spans="1:10">
      <c r="A112" s="3">
        <v>115</v>
      </c>
      <c r="B112" t="s">
        <v>66</v>
      </c>
      <c r="C112" t="s">
        <v>456</v>
      </c>
      <c r="E112" s="3">
        <f t="shared" si="3"/>
        <v>1</v>
      </c>
      <c r="F112" s="5">
        <v>43941.625</v>
      </c>
      <c r="G112" s="19" t="str">
        <f t="shared" si="4"/>
        <v>2020-W17</v>
      </c>
      <c r="H112">
        <f>SUM(A112:A118)</f>
        <v>611</v>
      </c>
      <c r="I112" s="28">
        <f>H112/H105-1</f>
        <v>-3.2626427406199365E-3</v>
      </c>
      <c r="J112" s="28">
        <f t="shared" si="5"/>
        <v>0.23655913978494625</v>
      </c>
    </row>
    <row r="113" spans="1:10">
      <c r="A113" s="3">
        <v>93</v>
      </c>
      <c r="B113" t="s">
        <v>67</v>
      </c>
      <c r="C113" t="s">
        <v>456</v>
      </c>
      <c r="E113" s="3">
        <f t="shared" si="3"/>
        <v>2</v>
      </c>
      <c r="F113" s="5">
        <v>43942.625</v>
      </c>
      <c r="G113" s="19" t="str">
        <f t="shared" si="4"/>
        <v/>
      </c>
      <c r="J113" s="28">
        <f t="shared" si="5"/>
        <v>-0.26190476190476186</v>
      </c>
    </row>
    <row r="114" spans="1:10">
      <c r="A114" s="3">
        <v>104</v>
      </c>
      <c r="B114" t="s">
        <v>68</v>
      </c>
      <c r="C114" t="s">
        <v>456</v>
      </c>
      <c r="E114" s="3">
        <f t="shared" si="3"/>
        <v>3</v>
      </c>
      <c r="F114" s="5">
        <v>43943.625</v>
      </c>
      <c r="G114" s="19" t="str">
        <f t="shared" si="4"/>
        <v/>
      </c>
      <c r="J114" s="28">
        <f t="shared" si="5"/>
        <v>9.7087378640776656E-3</v>
      </c>
    </row>
    <row r="115" spans="1:10">
      <c r="A115" s="3">
        <v>100</v>
      </c>
      <c r="B115" t="s">
        <v>69</v>
      </c>
      <c r="C115" t="s">
        <v>456</v>
      </c>
      <c r="E115" s="3">
        <f t="shared" si="3"/>
        <v>4</v>
      </c>
      <c r="F115" s="5">
        <v>43944.625</v>
      </c>
      <c r="G115" s="19" t="str">
        <f t="shared" si="4"/>
        <v/>
      </c>
      <c r="J115" s="28">
        <f t="shared" si="5"/>
        <v>0.11111111111111116</v>
      </c>
    </row>
    <row r="116" spans="1:10">
      <c r="A116" s="3">
        <v>71</v>
      </c>
      <c r="B116" t="s">
        <v>70</v>
      </c>
      <c r="C116" t="s">
        <v>456</v>
      </c>
      <c r="E116" s="3">
        <f t="shared" si="3"/>
        <v>5</v>
      </c>
      <c r="F116" s="5">
        <v>43945.625</v>
      </c>
      <c r="G116" s="19" t="str">
        <f t="shared" si="4"/>
        <v/>
      </c>
      <c r="J116" s="28">
        <f t="shared" si="5"/>
        <v>-0.26804123711340211</v>
      </c>
    </row>
    <row r="117" spans="1:10">
      <c r="A117" s="3">
        <v>71</v>
      </c>
      <c r="B117" t="s">
        <v>71</v>
      </c>
      <c r="C117" t="s">
        <v>456</v>
      </c>
      <c r="E117" s="3">
        <f t="shared" si="3"/>
        <v>6</v>
      </c>
      <c r="F117" s="5">
        <v>43946.625</v>
      </c>
      <c r="G117" s="19" t="str">
        <f t="shared" si="4"/>
        <v/>
      </c>
      <c r="J117" s="28">
        <f t="shared" si="5"/>
        <v>0.39215686274509798</v>
      </c>
    </row>
    <row r="118" spans="1:10">
      <c r="A118" s="3">
        <v>57</v>
      </c>
      <c r="B118" t="s">
        <v>72</v>
      </c>
      <c r="C118" t="s">
        <v>456</v>
      </c>
      <c r="E118" s="3">
        <f t="shared" si="3"/>
        <v>7</v>
      </c>
      <c r="F118" s="5">
        <v>43947.625</v>
      </c>
      <c r="G118" s="19" t="str">
        <f t="shared" si="4"/>
        <v/>
      </c>
      <c r="J118" s="28">
        <f t="shared" si="5"/>
        <v>7.547169811320753E-2</v>
      </c>
    </row>
    <row r="119" spans="1:10">
      <c r="A119" s="3">
        <v>98</v>
      </c>
      <c r="B119" t="s">
        <v>73</v>
      </c>
      <c r="C119" t="s">
        <v>456</v>
      </c>
      <c r="E119" s="3">
        <f t="shared" si="3"/>
        <v>1</v>
      </c>
      <c r="F119" s="5">
        <v>43948.625</v>
      </c>
      <c r="G119" s="19" t="str">
        <f t="shared" si="4"/>
        <v>2020-W18</v>
      </c>
      <c r="H119">
        <f>SUM(A119:A125)</f>
        <v>529</v>
      </c>
      <c r="I119" s="28">
        <f>H119/H112-1</f>
        <v>-0.13420621931260224</v>
      </c>
      <c r="J119" s="28">
        <f t="shared" si="5"/>
        <v>-0.14782608695652177</v>
      </c>
    </row>
    <row r="120" spans="1:10">
      <c r="A120" s="3">
        <v>121</v>
      </c>
      <c r="B120" t="s">
        <v>74</v>
      </c>
      <c r="C120" t="s">
        <v>456</v>
      </c>
      <c r="E120" s="3">
        <f t="shared" si="3"/>
        <v>2</v>
      </c>
      <c r="F120" s="5">
        <v>43949.625</v>
      </c>
      <c r="G120" s="19" t="str">
        <f t="shared" si="4"/>
        <v/>
      </c>
      <c r="J120" s="28">
        <f t="shared" si="5"/>
        <v>0.30107526881720426</v>
      </c>
    </row>
    <row r="121" spans="1:10">
      <c r="A121" s="3">
        <v>97</v>
      </c>
      <c r="B121" t="s">
        <v>75</v>
      </c>
      <c r="C121" t="s">
        <v>456</v>
      </c>
      <c r="E121" s="3">
        <f t="shared" si="3"/>
        <v>3</v>
      </c>
      <c r="F121" s="5">
        <v>43950.625</v>
      </c>
      <c r="G121" s="19" t="str">
        <f t="shared" si="4"/>
        <v/>
      </c>
      <c r="J121" s="28">
        <f t="shared" si="5"/>
        <v>-6.7307692307692291E-2</v>
      </c>
    </row>
    <row r="122" spans="1:10">
      <c r="A122" s="3">
        <v>68</v>
      </c>
      <c r="B122" t="s">
        <v>76</v>
      </c>
      <c r="C122" t="s">
        <v>456</v>
      </c>
      <c r="E122" s="3">
        <f t="shared" si="3"/>
        <v>4</v>
      </c>
      <c r="F122" s="5">
        <v>43951.625</v>
      </c>
      <c r="G122" s="19" t="str">
        <f t="shared" si="4"/>
        <v/>
      </c>
      <c r="J122" s="28">
        <f t="shared" si="5"/>
        <v>-0.31999999999999995</v>
      </c>
    </row>
    <row r="123" spans="1:10" s="41" customFormat="1">
      <c r="A123" s="40">
        <v>39</v>
      </c>
      <c r="B123" s="41" t="s">
        <v>77</v>
      </c>
      <c r="C123" s="41" t="s">
        <v>456</v>
      </c>
      <c r="E123" s="40">
        <f t="shared" si="3"/>
        <v>5</v>
      </c>
      <c r="F123" s="42">
        <v>43952.625</v>
      </c>
      <c r="G123" s="43" t="str">
        <f t="shared" si="4"/>
        <v/>
      </c>
      <c r="J123" s="44">
        <f t="shared" si="5"/>
        <v>-0.45070422535211263</v>
      </c>
    </row>
    <row r="124" spans="1:10">
      <c r="A124" s="3">
        <v>50</v>
      </c>
      <c r="B124" t="s">
        <v>78</v>
      </c>
      <c r="C124" t="s">
        <v>456</v>
      </c>
      <c r="E124" s="3">
        <f t="shared" si="3"/>
        <v>6</v>
      </c>
      <c r="F124" s="5">
        <v>43953.625</v>
      </c>
      <c r="G124" s="19" t="str">
        <f t="shared" si="4"/>
        <v/>
      </c>
      <c r="J124" s="28">
        <f t="shared" si="5"/>
        <v>-0.29577464788732399</v>
      </c>
    </row>
    <row r="125" spans="1:10">
      <c r="A125" s="3">
        <v>56</v>
      </c>
      <c r="B125" t="s">
        <v>79</v>
      </c>
      <c r="C125" t="s">
        <v>456</v>
      </c>
      <c r="E125" s="3">
        <f t="shared" si="3"/>
        <v>7</v>
      </c>
      <c r="F125" s="5">
        <v>43954.625</v>
      </c>
      <c r="G125" s="19" t="str">
        <f t="shared" si="4"/>
        <v/>
      </c>
      <c r="J125" s="28">
        <f t="shared" si="5"/>
        <v>-1.7543859649122862E-2</v>
      </c>
    </row>
    <row r="126" spans="1:10">
      <c r="A126" s="3">
        <v>106</v>
      </c>
      <c r="B126" t="s">
        <v>80</v>
      </c>
      <c r="C126" t="s">
        <v>456</v>
      </c>
      <c r="E126" s="3">
        <f t="shared" si="3"/>
        <v>1</v>
      </c>
      <c r="F126" s="5">
        <v>43955.625</v>
      </c>
      <c r="G126" s="19" t="str">
        <f t="shared" si="4"/>
        <v>2020-W19</v>
      </c>
      <c r="H126">
        <f>SUM(A126:A132)</f>
        <v>501</v>
      </c>
      <c r="I126" s="28">
        <f>H126/H119-1</f>
        <v>-5.2930056710774998E-2</v>
      </c>
      <c r="J126" s="28">
        <f t="shared" si="5"/>
        <v>8.163265306122458E-2</v>
      </c>
    </row>
    <row r="127" spans="1:10">
      <c r="A127" s="3">
        <v>103</v>
      </c>
      <c r="B127" t="s">
        <v>81</v>
      </c>
      <c r="C127" t="s">
        <v>456</v>
      </c>
      <c r="E127" s="3">
        <f t="shared" si="3"/>
        <v>2</v>
      </c>
      <c r="F127" s="5">
        <v>43956.625</v>
      </c>
      <c r="G127" s="19" t="str">
        <f t="shared" si="4"/>
        <v/>
      </c>
      <c r="J127" s="28">
        <f t="shared" si="5"/>
        <v>-0.14876033057851235</v>
      </c>
    </row>
    <row r="128" spans="1:10">
      <c r="A128" s="3">
        <v>77</v>
      </c>
      <c r="B128" t="s">
        <v>82</v>
      </c>
      <c r="C128" t="s">
        <v>456</v>
      </c>
      <c r="E128" s="3">
        <f t="shared" si="3"/>
        <v>3</v>
      </c>
      <c r="F128" s="5">
        <v>43957.625</v>
      </c>
      <c r="G128" s="19" t="str">
        <f t="shared" si="4"/>
        <v/>
      </c>
      <c r="J128" s="28">
        <f t="shared" si="5"/>
        <v>-0.20618556701030932</v>
      </c>
    </row>
    <row r="129" spans="1:10">
      <c r="A129" s="3">
        <v>85</v>
      </c>
      <c r="B129" t="s">
        <v>83</v>
      </c>
      <c r="C129" t="s">
        <v>456</v>
      </c>
      <c r="E129" s="3">
        <f t="shared" si="3"/>
        <v>4</v>
      </c>
      <c r="F129" s="5">
        <v>43958.625</v>
      </c>
      <c r="G129" s="19" t="str">
        <f t="shared" si="4"/>
        <v/>
      </c>
      <c r="J129" s="28">
        <f t="shared" si="5"/>
        <v>0.25</v>
      </c>
    </row>
    <row r="130" spans="1:10">
      <c r="A130" s="3">
        <v>68</v>
      </c>
      <c r="B130" t="s">
        <v>84</v>
      </c>
      <c r="C130" t="s">
        <v>456</v>
      </c>
      <c r="E130" s="3">
        <f t="shared" si="3"/>
        <v>5</v>
      </c>
      <c r="F130" s="5">
        <v>43959.625</v>
      </c>
      <c r="G130" s="19" t="str">
        <f t="shared" si="4"/>
        <v/>
      </c>
      <c r="J130" s="28">
        <f t="shared" si="5"/>
        <v>0.74358974358974361</v>
      </c>
    </row>
    <row r="131" spans="1:10">
      <c r="A131" s="3">
        <v>43</v>
      </c>
      <c r="B131" t="s">
        <v>85</v>
      </c>
      <c r="C131" t="s">
        <v>456</v>
      </c>
      <c r="E131" s="3">
        <f t="shared" ref="E131:E194" si="6">WEEKDAY(F131,2)</f>
        <v>6</v>
      </c>
      <c r="F131" s="5">
        <v>43960.625</v>
      </c>
      <c r="G131" s="19" t="str">
        <f t="shared" ref="G131:G194" si="7">IF(WEEKDAY(F131,2)=1,YEAR(F131)&amp;"-W"&amp;TEXT(WEEKNUM(F131,14),"00"),"")</f>
        <v/>
      </c>
      <c r="J131" s="28">
        <f t="shared" si="5"/>
        <v>-0.14000000000000001</v>
      </c>
    </row>
    <row r="132" spans="1:10">
      <c r="A132" s="3">
        <v>19</v>
      </c>
      <c r="B132" t="s">
        <v>86</v>
      </c>
      <c r="C132" t="s">
        <v>456</v>
      </c>
      <c r="E132" s="3">
        <f t="shared" si="6"/>
        <v>7</v>
      </c>
      <c r="F132" s="5">
        <v>43961.625</v>
      </c>
      <c r="G132" s="19" t="str">
        <f t="shared" si="7"/>
        <v/>
      </c>
      <c r="J132" s="28">
        <f t="shared" si="5"/>
        <v>-0.6607142857142857</v>
      </c>
    </row>
    <row r="133" spans="1:10">
      <c r="A133" s="3">
        <v>72</v>
      </c>
      <c r="B133" t="s">
        <v>87</v>
      </c>
      <c r="C133" t="s">
        <v>456</v>
      </c>
      <c r="E133" s="3">
        <f t="shared" si="6"/>
        <v>1</v>
      </c>
      <c r="F133" s="5">
        <v>43962.625</v>
      </c>
      <c r="G133" s="19" t="str">
        <f t="shared" si="7"/>
        <v>2020-W20</v>
      </c>
      <c r="H133">
        <f>SUM(A133:A139)</f>
        <v>338</v>
      </c>
      <c r="I133" s="28">
        <f>H133/H126-1</f>
        <v>-0.32534930139720564</v>
      </c>
      <c r="J133" s="28">
        <f t="shared" si="5"/>
        <v>-0.32075471698113212</v>
      </c>
    </row>
    <row r="134" spans="1:10">
      <c r="A134" s="3">
        <v>60</v>
      </c>
      <c r="B134" t="s">
        <v>88</v>
      </c>
      <c r="C134" t="s">
        <v>456</v>
      </c>
      <c r="E134" s="3">
        <f t="shared" si="6"/>
        <v>2</v>
      </c>
      <c r="F134" s="5">
        <v>43963.625</v>
      </c>
      <c r="G134" s="19" t="str">
        <f t="shared" si="7"/>
        <v/>
      </c>
      <c r="J134" s="28">
        <f t="shared" si="5"/>
        <v>-0.41747572815533984</v>
      </c>
    </row>
    <row r="135" spans="1:10">
      <c r="A135" s="3">
        <v>64</v>
      </c>
      <c r="B135" t="s">
        <v>89</v>
      </c>
      <c r="C135" t="s">
        <v>456</v>
      </c>
      <c r="E135" s="3">
        <f t="shared" si="6"/>
        <v>3</v>
      </c>
      <c r="F135" s="5">
        <v>43964.625</v>
      </c>
      <c r="G135" s="19" t="str">
        <f t="shared" si="7"/>
        <v/>
      </c>
      <c r="J135" s="28">
        <f t="shared" si="5"/>
        <v>-0.16883116883116878</v>
      </c>
    </row>
    <row r="136" spans="1:10">
      <c r="A136" s="3">
        <v>44</v>
      </c>
      <c r="B136" t="s">
        <v>90</v>
      </c>
      <c r="C136" t="s">
        <v>456</v>
      </c>
      <c r="E136" s="3">
        <f t="shared" si="6"/>
        <v>4</v>
      </c>
      <c r="F136" s="5">
        <v>43965.625</v>
      </c>
      <c r="G136" s="19" t="str">
        <f t="shared" si="7"/>
        <v/>
      </c>
      <c r="J136" s="28">
        <f t="shared" si="5"/>
        <v>-0.48235294117647054</v>
      </c>
    </row>
    <row r="137" spans="1:10">
      <c r="A137" s="3">
        <v>47</v>
      </c>
      <c r="B137" t="s">
        <v>91</v>
      </c>
      <c r="C137" t="s">
        <v>456</v>
      </c>
      <c r="E137" s="3">
        <f t="shared" si="6"/>
        <v>5</v>
      </c>
      <c r="F137" s="5">
        <v>43966.625</v>
      </c>
      <c r="G137" s="19" t="str">
        <f t="shared" si="7"/>
        <v/>
      </c>
      <c r="J137" s="28">
        <f t="shared" ref="J137:J200" si="8">A137/A130-1</f>
        <v>-0.30882352941176472</v>
      </c>
    </row>
    <row r="138" spans="1:10">
      <c r="A138" s="3">
        <v>25</v>
      </c>
      <c r="B138" t="s">
        <v>92</v>
      </c>
      <c r="C138" t="s">
        <v>456</v>
      </c>
      <c r="E138" s="3">
        <f t="shared" si="6"/>
        <v>6</v>
      </c>
      <c r="F138" s="5">
        <v>43967.625</v>
      </c>
      <c r="G138" s="19" t="str">
        <f t="shared" si="7"/>
        <v/>
      </c>
      <c r="J138" s="28">
        <f t="shared" si="8"/>
        <v>-0.41860465116279066</v>
      </c>
    </row>
    <row r="139" spans="1:10">
      <c r="A139" s="3">
        <v>26</v>
      </c>
      <c r="B139" t="s">
        <v>93</v>
      </c>
      <c r="C139" t="s">
        <v>456</v>
      </c>
      <c r="E139" s="3">
        <f t="shared" si="6"/>
        <v>7</v>
      </c>
      <c r="F139" s="5">
        <v>43968.625</v>
      </c>
      <c r="G139" s="19" t="str">
        <f t="shared" si="7"/>
        <v/>
      </c>
      <c r="J139" s="28">
        <f t="shared" si="8"/>
        <v>0.36842105263157898</v>
      </c>
    </row>
    <row r="140" spans="1:10">
      <c r="A140" s="3">
        <v>38</v>
      </c>
      <c r="B140" t="s">
        <v>94</v>
      </c>
      <c r="C140" t="s">
        <v>456</v>
      </c>
      <c r="E140" s="3">
        <f t="shared" si="6"/>
        <v>1</v>
      </c>
      <c r="F140" s="5">
        <v>43969.625</v>
      </c>
      <c r="G140" s="19" t="str">
        <f t="shared" si="7"/>
        <v>2020-W21</v>
      </c>
      <c r="H140">
        <f>SUM(A140:A146)</f>
        <v>183</v>
      </c>
      <c r="I140" s="28">
        <f>H140/H133-1</f>
        <v>-0.45857988165680474</v>
      </c>
      <c r="J140" s="28">
        <f t="shared" si="8"/>
        <v>-0.47222222222222221</v>
      </c>
    </row>
    <row r="141" spans="1:10">
      <c r="A141" s="3">
        <v>36</v>
      </c>
      <c r="B141" t="s">
        <v>95</v>
      </c>
      <c r="C141" t="s">
        <v>456</v>
      </c>
      <c r="E141" s="3">
        <f t="shared" si="6"/>
        <v>2</v>
      </c>
      <c r="F141" s="5">
        <v>43970.625</v>
      </c>
      <c r="G141" s="19" t="str">
        <f t="shared" si="7"/>
        <v/>
      </c>
      <c r="J141" s="28">
        <f t="shared" si="8"/>
        <v>-0.4</v>
      </c>
    </row>
    <row r="142" spans="1:10">
      <c r="A142" s="3">
        <v>37</v>
      </c>
      <c r="B142" t="s">
        <v>96</v>
      </c>
      <c r="C142" t="s">
        <v>456</v>
      </c>
      <c r="E142" s="3">
        <f t="shared" si="6"/>
        <v>3</v>
      </c>
      <c r="F142" s="5">
        <v>43971.625</v>
      </c>
      <c r="G142" s="19" t="str">
        <f t="shared" si="7"/>
        <v/>
      </c>
      <c r="J142" s="28">
        <f t="shared" si="8"/>
        <v>-0.421875</v>
      </c>
    </row>
    <row r="143" spans="1:10">
      <c r="A143" s="3">
        <v>16</v>
      </c>
      <c r="B143" t="s">
        <v>97</v>
      </c>
      <c r="C143" t="s">
        <v>456</v>
      </c>
      <c r="E143" s="3">
        <f t="shared" si="6"/>
        <v>4</v>
      </c>
      <c r="F143" s="5">
        <v>43972.625</v>
      </c>
      <c r="G143" s="19" t="str">
        <f t="shared" si="7"/>
        <v/>
      </c>
      <c r="J143" s="28">
        <f t="shared" si="8"/>
        <v>-0.63636363636363635</v>
      </c>
    </row>
    <row r="144" spans="1:10">
      <c r="A144" s="3">
        <v>28</v>
      </c>
      <c r="B144" t="s">
        <v>98</v>
      </c>
      <c r="C144" t="s">
        <v>456</v>
      </c>
      <c r="E144" s="3">
        <f t="shared" si="6"/>
        <v>5</v>
      </c>
      <c r="F144" s="5">
        <v>43973.625</v>
      </c>
      <c r="G144" s="19" t="str">
        <f t="shared" si="7"/>
        <v/>
      </c>
      <c r="J144" s="28">
        <f t="shared" si="8"/>
        <v>-0.4042553191489362</v>
      </c>
    </row>
    <row r="145" spans="1:10">
      <c r="A145" s="3">
        <v>12</v>
      </c>
      <c r="B145" t="s">
        <v>99</v>
      </c>
      <c r="C145" t="s">
        <v>456</v>
      </c>
      <c r="E145" s="3">
        <f t="shared" si="6"/>
        <v>6</v>
      </c>
      <c r="F145" s="5">
        <v>43974.625</v>
      </c>
      <c r="G145" s="19" t="str">
        <f t="shared" si="7"/>
        <v/>
      </c>
      <c r="J145" s="28">
        <f t="shared" si="8"/>
        <v>-0.52</v>
      </c>
    </row>
    <row r="146" spans="1:10">
      <c r="A146" s="3">
        <v>16</v>
      </c>
      <c r="B146" t="s">
        <v>100</v>
      </c>
      <c r="C146" t="s">
        <v>456</v>
      </c>
      <c r="E146" s="3">
        <f t="shared" si="6"/>
        <v>7</v>
      </c>
      <c r="F146" s="5">
        <v>43975.625</v>
      </c>
      <c r="G146" s="19" t="str">
        <f t="shared" si="7"/>
        <v/>
      </c>
      <c r="J146" s="28">
        <f t="shared" si="8"/>
        <v>-0.38461538461538458</v>
      </c>
    </row>
    <row r="147" spans="1:10">
      <c r="A147" s="3">
        <v>34</v>
      </c>
      <c r="B147" t="s">
        <v>101</v>
      </c>
      <c r="C147" t="s">
        <v>456</v>
      </c>
      <c r="E147" s="3">
        <f t="shared" si="6"/>
        <v>1</v>
      </c>
      <c r="F147" s="5">
        <v>43976.625</v>
      </c>
      <c r="G147" s="19" t="str">
        <f t="shared" si="7"/>
        <v>2020-W22</v>
      </c>
      <c r="H147">
        <f>SUM(A147:A153)</f>
        <v>131</v>
      </c>
      <c r="I147" s="28">
        <f>H147/H140-1</f>
        <v>-0.28415300546448086</v>
      </c>
      <c r="J147" s="28">
        <f t="shared" si="8"/>
        <v>-0.10526315789473684</v>
      </c>
    </row>
    <row r="148" spans="1:10">
      <c r="A148" s="3">
        <v>29</v>
      </c>
      <c r="B148" t="s">
        <v>102</v>
      </c>
      <c r="C148" t="s">
        <v>456</v>
      </c>
      <c r="E148" s="3">
        <f t="shared" si="6"/>
        <v>2</v>
      </c>
      <c r="F148" s="5">
        <v>43977.625</v>
      </c>
      <c r="G148" s="19" t="str">
        <f t="shared" si="7"/>
        <v/>
      </c>
      <c r="J148" s="28">
        <f t="shared" si="8"/>
        <v>-0.19444444444444442</v>
      </c>
    </row>
    <row r="149" spans="1:10">
      <c r="A149" s="3">
        <v>9</v>
      </c>
      <c r="B149" t="s">
        <v>103</v>
      </c>
      <c r="C149" t="s">
        <v>456</v>
      </c>
      <c r="E149" s="3">
        <f t="shared" si="6"/>
        <v>3</v>
      </c>
      <c r="F149" s="5">
        <v>43978.625</v>
      </c>
      <c r="G149" s="19" t="str">
        <f t="shared" si="7"/>
        <v/>
      </c>
      <c r="J149" s="28">
        <f t="shared" si="8"/>
        <v>-0.7567567567567568</v>
      </c>
    </row>
    <row r="150" spans="1:10">
      <c r="A150" s="3">
        <v>23</v>
      </c>
      <c r="B150" t="s">
        <v>104</v>
      </c>
      <c r="C150" t="s">
        <v>456</v>
      </c>
      <c r="E150" s="3">
        <f t="shared" si="6"/>
        <v>4</v>
      </c>
      <c r="F150" s="5">
        <v>43979.625</v>
      </c>
      <c r="G150" s="19" t="str">
        <f t="shared" si="7"/>
        <v/>
      </c>
      <c r="J150" s="28">
        <f t="shared" si="8"/>
        <v>0.4375</v>
      </c>
    </row>
    <row r="151" spans="1:10">
      <c r="A151" s="3">
        <v>18</v>
      </c>
      <c r="B151" t="s">
        <v>105</v>
      </c>
      <c r="C151" t="s">
        <v>456</v>
      </c>
      <c r="E151" s="3">
        <f t="shared" si="6"/>
        <v>5</v>
      </c>
      <c r="F151" s="5">
        <v>43980.625</v>
      </c>
      <c r="G151" s="19" t="str">
        <f t="shared" si="7"/>
        <v/>
      </c>
      <c r="J151" s="28">
        <f t="shared" si="8"/>
        <v>-0.3571428571428571</v>
      </c>
    </row>
    <row r="152" spans="1:10">
      <c r="A152" s="3">
        <v>10</v>
      </c>
      <c r="B152" t="s">
        <v>106</v>
      </c>
      <c r="C152" t="s">
        <v>456</v>
      </c>
      <c r="E152" s="3">
        <f t="shared" si="6"/>
        <v>6</v>
      </c>
      <c r="F152" s="5">
        <v>43981.625</v>
      </c>
      <c r="G152" s="19" t="str">
        <f t="shared" si="7"/>
        <v/>
      </c>
      <c r="J152" s="28">
        <f t="shared" si="8"/>
        <v>-0.16666666666666663</v>
      </c>
    </row>
    <row r="153" spans="1:10">
      <c r="A153" s="3">
        <v>8</v>
      </c>
      <c r="B153" t="s">
        <v>107</v>
      </c>
      <c r="C153" t="s">
        <v>456</v>
      </c>
      <c r="E153" s="3">
        <f t="shared" si="6"/>
        <v>7</v>
      </c>
      <c r="F153" s="5">
        <v>43982.625</v>
      </c>
      <c r="G153" s="19" t="str">
        <f t="shared" si="7"/>
        <v/>
      </c>
      <c r="J153" s="28">
        <f t="shared" si="8"/>
        <v>-0.5</v>
      </c>
    </row>
    <row r="154" spans="1:10">
      <c r="A154" s="3">
        <v>12</v>
      </c>
      <c r="B154" t="s">
        <v>108</v>
      </c>
      <c r="C154" t="s">
        <v>456</v>
      </c>
      <c r="E154" s="3">
        <f t="shared" si="6"/>
        <v>1</v>
      </c>
      <c r="F154" s="5">
        <v>43983.625</v>
      </c>
      <c r="G154" s="19" t="str">
        <f t="shared" si="7"/>
        <v>2020-W23</v>
      </c>
      <c r="H154">
        <f>SUM(A154:A160)</f>
        <v>82</v>
      </c>
      <c r="I154" s="28">
        <f>H154/H147-1</f>
        <v>-0.37404580152671751</v>
      </c>
      <c r="J154" s="28">
        <f t="shared" si="8"/>
        <v>-0.64705882352941169</v>
      </c>
    </row>
    <row r="155" spans="1:10">
      <c r="A155" s="3">
        <v>12</v>
      </c>
      <c r="B155" t="s">
        <v>109</v>
      </c>
      <c r="C155" t="s">
        <v>456</v>
      </c>
      <c r="E155" s="3">
        <f t="shared" si="6"/>
        <v>2</v>
      </c>
      <c r="F155" s="5">
        <v>43984.625</v>
      </c>
      <c r="G155" s="19" t="str">
        <f t="shared" si="7"/>
        <v/>
      </c>
      <c r="J155" s="28">
        <f t="shared" si="8"/>
        <v>-0.5862068965517242</v>
      </c>
    </row>
    <row r="156" spans="1:10">
      <c r="A156" s="3">
        <v>22</v>
      </c>
      <c r="B156" t="s">
        <v>110</v>
      </c>
      <c r="C156" t="s">
        <v>456</v>
      </c>
      <c r="E156" s="3">
        <f t="shared" si="6"/>
        <v>3</v>
      </c>
      <c r="F156" s="5">
        <v>43985.625</v>
      </c>
      <c r="G156" s="19" t="str">
        <f t="shared" si="7"/>
        <v/>
      </c>
      <c r="J156" s="28">
        <f t="shared" si="8"/>
        <v>1.4444444444444446</v>
      </c>
    </row>
    <row r="157" spans="1:10">
      <c r="A157" s="3">
        <v>11</v>
      </c>
      <c r="B157" t="s">
        <v>111</v>
      </c>
      <c r="C157" t="s">
        <v>456</v>
      </c>
      <c r="E157" s="3">
        <f t="shared" si="6"/>
        <v>4</v>
      </c>
      <c r="F157" s="5">
        <v>43986.625</v>
      </c>
      <c r="G157" s="19" t="str">
        <f t="shared" si="7"/>
        <v/>
      </c>
      <c r="J157" s="28">
        <f t="shared" si="8"/>
        <v>-0.52173913043478259</v>
      </c>
    </row>
    <row r="158" spans="1:10">
      <c r="A158" s="3">
        <v>12</v>
      </c>
      <c r="B158" t="s">
        <v>112</v>
      </c>
      <c r="C158" t="s">
        <v>456</v>
      </c>
      <c r="E158" s="3">
        <f t="shared" si="6"/>
        <v>5</v>
      </c>
      <c r="F158" s="5">
        <v>43987.625</v>
      </c>
      <c r="G158" s="19" t="str">
        <f t="shared" si="7"/>
        <v/>
      </c>
      <c r="J158" s="28">
        <f t="shared" si="8"/>
        <v>-0.33333333333333337</v>
      </c>
    </row>
    <row r="159" spans="1:10">
      <c r="A159" s="3">
        <v>10</v>
      </c>
      <c r="B159" t="s">
        <v>113</v>
      </c>
      <c r="C159" t="s">
        <v>456</v>
      </c>
      <c r="E159" s="3">
        <f t="shared" si="6"/>
        <v>6</v>
      </c>
      <c r="F159" s="5">
        <v>43988.625</v>
      </c>
      <c r="G159" s="19" t="str">
        <f t="shared" si="7"/>
        <v/>
      </c>
      <c r="J159" s="28">
        <f t="shared" si="8"/>
        <v>0</v>
      </c>
    </row>
    <row r="160" spans="1:10">
      <c r="A160" s="3">
        <v>3</v>
      </c>
      <c r="B160" t="s">
        <v>114</v>
      </c>
      <c r="C160" t="s">
        <v>456</v>
      </c>
      <c r="E160" s="3">
        <f t="shared" si="6"/>
        <v>7</v>
      </c>
      <c r="F160" s="5">
        <v>43989.625</v>
      </c>
      <c r="G160" s="19" t="str">
        <f t="shared" si="7"/>
        <v/>
      </c>
      <c r="J160" s="28">
        <f t="shared" si="8"/>
        <v>-0.625</v>
      </c>
    </row>
    <row r="161" spans="1:10">
      <c r="A161" s="3">
        <v>8</v>
      </c>
      <c r="B161" t="s">
        <v>115</v>
      </c>
      <c r="C161" t="s">
        <v>456</v>
      </c>
      <c r="E161" s="3">
        <f t="shared" si="6"/>
        <v>1</v>
      </c>
      <c r="F161" s="5">
        <v>43990.625</v>
      </c>
      <c r="G161" s="19" t="str">
        <f t="shared" si="7"/>
        <v>2020-W24</v>
      </c>
      <c r="H161">
        <f>SUM(A161:A167)</f>
        <v>40</v>
      </c>
      <c r="I161" s="28">
        <f>H161/H154-1</f>
        <v>-0.51219512195121952</v>
      </c>
      <c r="J161" s="28">
        <f t="shared" si="8"/>
        <v>-0.33333333333333337</v>
      </c>
    </row>
    <row r="162" spans="1:10">
      <c r="A162" s="3">
        <v>5</v>
      </c>
      <c r="B162" t="s">
        <v>116</v>
      </c>
      <c r="C162" t="s">
        <v>456</v>
      </c>
      <c r="E162" s="3">
        <f t="shared" si="6"/>
        <v>2</v>
      </c>
      <c r="F162" s="5">
        <v>43991.625</v>
      </c>
      <c r="G162" s="19" t="str">
        <f t="shared" si="7"/>
        <v/>
      </c>
      <c r="J162" s="28">
        <f t="shared" si="8"/>
        <v>-0.58333333333333326</v>
      </c>
    </row>
    <row r="163" spans="1:10">
      <c r="A163" s="3">
        <v>3</v>
      </c>
      <c r="B163" t="s">
        <v>117</v>
      </c>
      <c r="C163" t="s">
        <v>456</v>
      </c>
      <c r="E163" s="3">
        <f t="shared" si="6"/>
        <v>3</v>
      </c>
      <c r="F163" s="5">
        <v>43992.625</v>
      </c>
      <c r="G163" s="19" t="str">
        <f t="shared" si="7"/>
        <v/>
      </c>
      <c r="J163" s="28">
        <f t="shared" si="8"/>
        <v>-0.86363636363636365</v>
      </c>
    </row>
    <row r="164" spans="1:10">
      <c r="A164" s="3">
        <v>7</v>
      </c>
      <c r="B164" t="s">
        <v>118</v>
      </c>
      <c r="C164" t="s">
        <v>456</v>
      </c>
      <c r="E164" s="3">
        <f t="shared" si="6"/>
        <v>4</v>
      </c>
      <c r="F164" s="5">
        <v>43993.625</v>
      </c>
      <c r="G164" s="19" t="str">
        <f t="shared" si="7"/>
        <v/>
      </c>
      <c r="J164" s="28">
        <f t="shared" si="8"/>
        <v>-0.36363636363636365</v>
      </c>
    </row>
    <row r="165" spans="1:10">
      <c r="A165" s="3">
        <v>10</v>
      </c>
      <c r="B165" t="s">
        <v>119</v>
      </c>
      <c r="C165" t="s">
        <v>456</v>
      </c>
      <c r="E165" s="3">
        <f t="shared" si="6"/>
        <v>5</v>
      </c>
      <c r="F165" s="5">
        <v>43994.625</v>
      </c>
      <c r="G165" s="19" t="str">
        <f t="shared" si="7"/>
        <v/>
      </c>
      <c r="J165" s="28">
        <f t="shared" si="8"/>
        <v>-0.16666666666666663</v>
      </c>
    </row>
    <row r="166" spans="1:10">
      <c r="A166" s="3">
        <v>2</v>
      </c>
      <c r="B166" t="s">
        <v>120</v>
      </c>
      <c r="C166" t="s">
        <v>456</v>
      </c>
      <c r="E166" s="3">
        <f t="shared" si="6"/>
        <v>6</v>
      </c>
      <c r="F166" s="5">
        <v>43995.625</v>
      </c>
      <c r="G166" s="19" t="str">
        <f t="shared" si="7"/>
        <v/>
      </c>
      <c r="J166" s="28">
        <f t="shared" si="8"/>
        <v>-0.8</v>
      </c>
    </row>
    <row r="167" spans="1:10">
      <c r="A167" s="3">
        <v>5</v>
      </c>
      <c r="B167" t="s">
        <v>121</v>
      </c>
      <c r="C167" t="s">
        <v>456</v>
      </c>
      <c r="E167" s="3">
        <f t="shared" si="6"/>
        <v>7</v>
      </c>
      <c r="F167" s="5">
        <v>43996.625</v>
      </c>
      <c r="G167" s="19" t="str">
        <f t="shared" si="7"/>
        <v/>
      </c>
      <c r="J167" s="28">
        <f t="shared" si="8"/>
        <v>0.66666666666666674</v>
      </c>
    </row>
    <row r="168" spans="1:10">
      <c r="A168" s="3">
        <v>13</v>
      </c>
      <c r="B168" t="s">
        <v>122</v>
      </c>
      <c r="C168" t="s">
        <v>456</v>
      </c>
      <c r="E168" s="3">
        <f t="shared" si="6"/>
        <v>1</v>
      </c>
      <c r="F168" s="5">
        <v>43997.625</v>
      </c>
      <c r="G168" s="19" t="str">
        <f t="shared" si="7"/>
        <v>2020-W25</v>
      </c>
      <c r="H168">
        <f>SUM(A168:A174)</f>
        <v>39</v>
      </c>
      <c r="I168" s="28">
        <f>H168/H161-1</f>
        <v>-2.5000000000000022E-2</v>
      </c>
      <c r="J168" s="28">
        <f t="shared" si="8"/>
        <v>0.625</v>
      </c>
    </row>
    <row r="169" spans="1:10">
      <c r="A169" s="3">
        <v>5</v>
      </c>
      <c r="B169" t="s">
        <v>123</v>
      </c>
      <c r="C169" t="s">
        <v>456</v>
      </c>
      <c r="E169" s="3">
        <f t="shared" si="6"/>
        <v>2</v>
      </c>
      <c r="F169" s="5">
        <v>43998.625</v>
      </c>
      <c r="G169" s="19" t="str">
        <f t="shared" si="7"/>
        <v/>
      </c>
      <c r="J169" s="28">
        <f t="shared" si="8"/>
        <v>0</v>
      </c>
    </row>
    <row r="170" spans="1:10">
      <c r="A170" s="3">
        <v>3</v>
      </c>
      <c r="B170" t="s">
        <v>124</v>
      </c>
      <c r="C170" t="s">
        <v>456</v>
      </c>
      <c r="E170" s="3">
        <f t="shared" si="6"/>
        <v>3</v>
      </c>
      <c r="F170" s="5">
        <v>43999.625</v>
      </c>
      <c r="G170" s="19" t="str">
        <f t="shared" si="7"/>
        <v/>
      </c>
      <c r="J170" s="28">
        <f t="shared" si="8"/>
        <v>0</v>
      </c>
    </row>
    <row r="171" spans="1:10">
      <c r="A171" s="3">
        <v>6</v>
      </c>
      <c r="B171" t="s">
        <v>125</v>
      </c>
      <c r="C171" t="s">
        <v>456</v>
      </c>
      <c r="E171" s="3">
        <f t="shared" si="6"/>
        <v>4</v>
      </c>
      <c r="F171" s="5">
        <v>44000.625</v>
      </c>
      <c r="G171" s="19" t="str">
        <f t="shared" si="7"/>
        <v/>
      </c>
      <c r="J171" s="28">
        <f t="shared" si="8"/>
        <v>-0.1428571428571429</v>
      </c>
    </row>
    <row r="172" spans="1:10">
      <c r="A172" s="3">
        <v>0</v>
      </c>
      <c r="B172" t="s">
        <v>288</v>
      </c>
      <c r="C172" t="s">
        <v>456</v>
      </c>
      <c r="E172" s="3">
        <f t="shared" si="6"/>
        <v>5</v>
      </c>
      <c r="F172" s="5">
        <v>44001.625</v>
      </c>
      <c r="G172" s="19" t="str">
        <f t="shared" si="7"/>
        <v/>
      </c>
      <c r="J172" s="28">
        <f t="shared" si="8"/>
        <v>-1</v>
      </c>
    </row>
    <row r="173" spans="1:10">
      <c r="A173" s="3">
        <v>2</v>
      </c>
      <c r="B173" t="s">
        <v>126</v>
      </c>
      <c r="C173" t="s">
        <v>456</v>
      </c>
      <c r="E173" s="3">
        <f t="shared" si="6"/>
        <v>6</v>
      </c>
      <c r="F173" s="5">
        <v>44002.625</v>
      </c>
      <c r="G173" s="19" t="str">
        <f t="shared" si="7"/>
        <v/>
      </c>
      <c r="J173" s="28">
        <f t="shared" si="8"/>
        <v>0</v>
      </c>
    </row>
    <row r="174" spans="1:10">
      <c r="A174" s="3">
        <v>10</v>
      </c>
      <c r="B174" t="s">
        <v>127</v>
      </c>
      <c r="C174" t="s">
        <v>456</v>
      </c>
      <c r="E174" s="3">
        <f t="shared" si="6"/>
        <v>7</v>
      </c>
      <c r="F174" s="5">
        <v>44003.625</v>
      </c>
      <c r="G174" s="19" t="str">
        <f t="shared" si="7"/>
        <v/>
      </c>
      <c r="J174" s="28">
        <f t="shared" si="8"/>
        <v>1</v>
      </c>
    </row>
    <row r="175" spans="1:10">
      <c r="A175" s="3">
        <v>4</v>
      </c>
      <c r="B175" t="s">
        <v>128</v>
      </c>
      <c r="C175" t="s">
        <v>456</v>
      </c>
      <c r="E175" s="3">
        <f t="shared" si="6"/>
        <v>1</v>
      </c>
      <c r="F175" s="5">
        <v>44004.625</v>
      </c>
      <c r="G175" s="19" t="str">
        <f t="shared" si="7"/>
        <v>2020-W26</v>
      </c>
      <c r="H175">
        <f>SUM(A175:A181)</f>
        <v>36</v>
      </c>
      <c r="I175" s="28">
        <f>H175/H168-1</f>
        <v>-7.6923076923076872E-2</v>
      </c>
      <c r="J175" s="28">
        <f t="shared" si="8"/>
        <v>-0.69230769230769229</v>
      </c>
    </row>
    <row r="176" spans="1:10">
      <c r="A176" s="3">
        <v>3</v>
      </c>
      <c r="B176" t="s">
        <v>129</v>
      </c>
      <c r="C176" t="s">
        <v>456</v>
      </c>
      <c r="E176" s="3">
        <f t="shared" si="6"/>
        <v>2</v>
      </c>
      <c r="F176" s="5">
        <v>44005.625</v>
      </c>
      <c r="G176" s="19" t="str">
        <f t="shared" si="7"/>
        <v/>
      </c>
      <c r="J176" s="28">
        <f t="shared" si="8"/>
        <v>-0.4</v>
      </c>
    </row>
    <row r="177" spans="1:10">
      <c r="A177" s="3">
        <v>11</v>
      </c>
      <c r="B177" t="s">
        <v>130</v>
      </c>
      <c r="C177" t="s">
        <v>456</v>
      </c>
      <c r="E177" s="3">
        <f t="shared" si="6"/>
        <v>3</v>
      </c>
      <c r="F177" s="5">
        <v>44006.625</v>
      </c>
      <c r="G177" s="19" t="str">
        <f t="shared" si="7"/>
        <v/>
      </c>
      <c r="J177" s="28">
        <f t="shared" si="8"/>
        <v>2.6666666666666665</v>
      </c>
    </row>
    <row r="178" spans="1:10">
      <c r="A178" s="3">
        <v>6</v>
      </c>
      <c r="B178" t="s">
        <v>131</v>
      </c>
      <c r="C178" t="s">
        <v>456</v>
      </c>
      <c r="E178" s="3">
        <f t="shared" si="6"/>
        <v>4</v>
      </c>
      <c r="F178" s="5">
        <v>44007.625</v>
      </c>
      <c r="G178" s="19" t="str">
        <f t="shared" si="7"/>
        <v/>
      </c>
      <c r="J178" s="28">
        <f t="shared" si="8"/>
        <v>0</v>
      </c>
    </row>
    <row r="179" spans="1:10">
      <c r="A179" s="3">
        <v>3</v>
      </c>
      <c r="B179" t="s">
        <v>132</v>
      </c>
      <c r="C179" t="s">
        <v>456</v>
      </c>
      <c r="E179" s="3">
        <f t="shared" si="6"/>
        <v>5</v>
      </c>
      <c r="F179" s="5">
        <v>44008.625</v>
      </c>
      <c r="G179" s="19" t="str">
        <f t="shared" si="7"/>
        <v/>
      </c>
      <c r="J179" s="28" t="e">
        <f t="shared" si="8"/>
        <v>#DIV/0!</v>
      </c>
    </row>
    <row r="180" spans="1:10">
      <c r="A180" s="3">
        <v>2</v>
      </c>
      <c r="B180" t="s">
        <v>133</v>
      </c>
      <c r="C180" t="s">
        <v>456</v>
      </c>
      <c r="E180" s="3">
        <f t="shared" si="6"/>
        <v>6</v>
      </c>
      <c r="F180" s="5">
        <v>44009.625</v>
      </c>
      <c r="G180" s="19" t="str">
        <f t="shared" si="7"/>
        <v/>
      </c>
      <c r="J180" s="28">
        <f t="shared" si="8"/>
        <v>0</v>
      </c>
    </row>
    <row r="181" spans="1:10">
      <c r="A181" s="3">
        <v>7</v>
      </c>
      <c r="B181" t="s">
        <v>134</v>
      </c>
      <c r="C181" t="s">
        <v>456</v>
      </c>
      <c r="E181" s="3">
        <f t="shared" si="6"/>
        <v>7</v>
      </c>
      <c r="F181" s="5">
        <v>44010.625</v>
      </c>
      <c r="G181" s="19" t="str">
        <f t="shared" si="7"/>
        <v/>
      </c>
      <c r="J181" s="28">
        <f t="shared" si="8"/>
        <v>-0.30000000000000004</v>
      </c>
    </row>
    <row r="182" spans="1:10">
      <c r="A182" s="3">
        <v>12</v>
      </c>
      <c r="B182" t="s">
        <v>135</v>
      </c>
      <c r="C182" t="s">
        <v>456</v>
      </c>
      <c r="E182" s="3">
        <f t="shared" si="6"/>
        <v>1</v>
      </c>
      <c r="F182" s="5">
        <v>44011.625</v>
      </c>
      <c r="G182" s="19" t="str">
        <f t="shared" si="7"/>
        <v>2020-W27</v>
      </c>
      <c r="H182">
        <f>SUM(A182:A188)</f>
        <v>34</v>
      </c>
      <c r="I182" s="28">
        <f>H182/H175-1</f>
        <v>-5.555555555555558E-2</v>
      </c>
      <c r="J182" s="28">
        <f t="shared" si="8"/>
        <v>2</v>
      </c>
    </row>
    <row r="183" spans="1:10">
      <c r="A183" s="3">
        <v>7</v>
      </c>
      <c r="B183" t="s">
        <v>136</v>
      </c>
      <c r="C183" t="s">
        <v>456</v>
      </c>
      <c r="E183" s="3">
        <f t="shared" si="6"/>
        <v>2</v>
      </c>
      <c r="F183" s="5">
        <v>44012.625</v>
      </c>
      <c r="G183" s="19" t="str">
        <f t="shared" si="7"/>
        <v/>
      </c>
      <c r="J183" s="28">
        <f t="shared" si="8"/>
        <v>1.3333333333333335</v>
      </c>
    </row>
    <row r="184" spans="1:10">
      <c r="A184" s="3">
        <v>2</v>
      </c>
      <c r="B184" t="s">
        <v>137</v>
      </c>
      <c r="C184" t="s">
        <v>456</v>
      </c>
      <c r="E184" s="3">
        <f t="shared" si="6"/>
        <v>3</v>
      </c>
      <c r="F184" s="5">
        <v>44013.625</v>
      </c>
      <c r="G184" s="19" t="str">
        <f t="shared" si="7"/>
        <v/>
      </c>
      <c r="J184" s="28">
        <f t="shared" si="8"/>
        <v>-0.81818181818181812</v>
      </c>
    </row>
    <row r="185" spans="1:10">
      <c r="A185" s="3">
        <v>7</v>
      </c>
      <c r="B185" t="s">
        <v>138</v>
      </c>
      <c r="C185" t="s">
        <v>456</v>
      </c>
      <c r="E185" s="3">
        <f t="shared" si="6"/>
        <v>4</v>
      </c>
      <c r="F185" s="5">
        <v>44014.625</v>
      </c>
      <c r="G185" s="19" t="str">
        <f t="shared" si="7"/>
        <v/>
      </c>
      <c r="J185" s="28">
        <f t="shared" si="8"/>
        <v>0.16666666666666674</v>
      </c>
    </row>
    <row r="186" spans="1:10">
      <c r="A186" s="3">
        <v>2</v>
      </c>
      <c r="B186" t="s">
        <v>139</v>
      </c>
      <c r="C186" t="s">
        <v>456</v>
      </c>
      <c r="E186" s="3">
        <f t="shared" si="6"/>
        <v>5</v>
      </c>
      <c r="F186" s="5">
        <v>44015.625</v>
      </c>
      <c r="G186" s="19" t="str">
        <f t="shared" si="7"/>
        <v/>
      </c>
      <c r="J186" s="28">
        <f t="shared" si="8"/>
        <v>-0.33333333333333337</v>
      </c>
    </row>
    <row r="187" spans="1:10">
      <c r="A187" s="3">
        <v>2</v>
      </c>
      <c r="B187" t="s">
        <v>140</v>
      </c>
      <c r="C187" t="s">
        <v>456</v>
      </c>
      <c r="E187" s="3">
        <f t="shared" si="6"/>
        <v>6</v>
      </c>
      <c r="F187" s="5">
        <v>44016.625</v>
      </c>
      <c r="G187" s="19" t="str">
        <f t="shared" si="7"/>
        <v/>
      </c>
      <c r="J187" s="28">
        <f t="shared" si="8"/>
        <v>0</v>
      </c>
    </row>
    <row r="188" spans="1:10">
      <c r="A188" s="3">
        <v>2</v>
      </c>
      <c r="B188" t="s">
        <v>141</v>
      </c>
      <c r="C188" t="s">
        <v>456</v>
      </c>
      <c r="E188" s="3">
        <f t="shared" si="6"/>
        <v>7</v>
      </c>
      <c r="F188" s="5">
        <v>44017.625</v>
      </c>
      <c r="G188" s="19" t="str">
        <f t="shared" si="7"/>
        <v/>
      </c>
      <c r="J188" s="28">
        <f t="shared" si="8"/>
        <v>-0.7142857142857143</v>
      </c>
    </row>
    <row r="189" spans="1:10">
      <c r="A189" s="3">
        <v>2</v>
      </c>
      <c r="B189" t="s">
        <v>142</v>
      </c>
      <c r="C189" t="s">
        <v>456</v>
      </c>
      <c r="E189" s="3">
        <f t="shared" si="6"/>
        <v>1</v>
      </c>
      <c r="F189" s="5">
        <v>44018.625</v>
      </c>
      <c r="G189" s="19" t="str">
        <f t="shared" si="7"/>
        <v>2020-W28</v>
      </c>
      <c r="H189">
        <f>SUM(A189:A195)</f>
        <v>9</v>
      </c>
      <c r="I189" s="28">
        <f>H189/H182-1</f>
        <v>-0.73529411764705888</v>
      </c>
      <c r="J189" s="28">
        <f t="shared" si="8"/>
        <v>-0.83333333333333337</v>
      </c>
    </row>
    <row r="190" spans="1:10">
      <c r="A190" s="3">
        <v>0</v>
      </c>
      <c r="B190" t="s">
        <v>143</v>
      </c>
      <c r="C190" t="s">
        <v>456</v>
      </c>
      <c r="E190" s="3">
        <f t="shared" si="6"/>
        <v>2</v>
      </c>
      <c r="F190" s="5">
        <v>44019.625</v>
      </c>
      <c r="G190" s="19" t="str">
        <f t="shared" si="7"/>
        <v/>
      </c>
      <c r="J190" s="28">
        <f t="shared" si="8"/>
        <v>-1</v>
      </c>
    </row>
    <row r="191" spans="1:10">
      <c r="A191" s="3">
        <v>0</v>
      </c>
      <c r="B191" t="s">
        <v>144</v>
      </c>
      <c r="C191" t="s">
        <v>456</v>
      </c>
      <c r="E191" s="3">
        <f t="shared" si="6"/>
        <v>3</v>
      </c>
      <c r="F191" s="5">
        <v>44020.625</v>
      </c>
      <c r="G191" s="19" t="str">
        <f t="shared" si="7"/>
        <v/>
      </c>
      <c r="J191" s="28">
        <f t="shared" si="8"/>
        <v>-1</v>
      </c>
    </row>
    <row r="192" spans="1:10">
      <c r="A192" s="3">
        <v>3</v>
      </c>
      <c r="B192" t="s">
        <v>145</v>
      </c>
      <c r="C192" t="s">
        <v>456</v>
      </c>
      <c r="E192" s="3">
        <f t="shared" si="6"/>
        <v>4</v>
      </c>
      <c r="F192" s="5">
        <v>44021.625</v>
      </c>
      <c r="G192" s="19" t="str">
        <f t="shared" si="7"/>
        <v/>
      </c>
      <c r="J192" s="28">
        <f t="shared" si="8"/>
        <v>-0.5714285714285714</v>
      </c>
    </row>
    <row r="193" spans="1:10">
      <c r="A193" s="3">
        <v>1</v>
      </c>
      <c r="B193" t="s">
        <v>146</v>
      </c>
      <c r="C193" t="s">
        <v>456</v>
      </c>
      <c r="E193" s="3">
        <f t="shared" si="6"/>
        <v>5</v>
      </c>
      <c r="F193" s="5">
        <v>44022.625</v>
      </c>
      <c r="G193" s="19" t="str">
        <f t="shared" si="7"/>
        <v/>
      </c>
      <c r="J193" s="28">
        <f t="shared" si="8"/>
        <v>-0.5</v>
      </c>
    </row>
    <row r="194" spans="1:10">
      <c r="A194" s="3">
        <v>0</v>
      </c>
      <c r="B194" t="s">
        <v>289</v>
      </c>
      <c r="C194" t="s">
        <v>456</v>
      </c>
      <c r="E194" s="3">
        <f t="shared" si="6"/>
        <v>6</v>
      </c>
      <c r="F194" s="5">
        <v>44023.625</v>
      </c>
      <c r="G194" s="19" t="str">
        <f t="shared" si="7"/>
        <v/>
      </c>
      <c r="J194" s="28">
        <f t="shared" si="8"/>
        <v>-1</v>
      </c>
    </row>
    <row r="195" spans="1:10">
      <c r="A195" s="3">
        <v>3</v>
      </c>
      <c r="B195" t="s">
        <v>147</v>
      </c>
      <c r="C195" t="s">
        <v>456</v>
      </c>
      <c r="E195" s="3">
        <f t="shared" ref="E195:E258" si="9">WEEKDAY(F195,2)</f>
        <v>7</v>
      </c>
      <c r="F195" s="5">
        <v>44024.625</v>
      </c>
      <c r="G195" s="19" t="str">
        <f t="shared" ref="G195:G258" si="10">IF(WEEKDAY(F195,2)=1,YEAR(F195)&amp;"-W"&amp;TEXT(WEEKNUM(F195,14),"00"),"")</f>
        <v/>
      </c>
      <c r="J195" s="28">
        <f t="shared" si="8"/>
        <v>0.5</v>
      </c>
    </row>
    <row r="196" spans="1:10">
      <c r="A196" s="3">
        <v>3</v>
      </c>
      <c r="B196" t="s">
        <v>148</v>
      </c>
      <c r="C196" t="s">
        <v>456</v>
      </c>
      <c r="E196" s="3">
        <f t="shared" si="9"/>
        <v>1</v>
      </c>
      <c r="F196" s="5">
        <v>44025.625</v>
      </c>
      <c r="G196" s="19" t="str">
        <f t="shared" si="10"/>
        <v>2020-W29</v>
      </c>
      <c r="H196">
        <f>SUM(A196:A202)</f>
        <v>27</v>
      </c>
      <c r="I196" s="28">
        <f>H196/H189-1</f>
        <v>2</v>
      </c>
      <c r="J196" s="28">
        <f t="shared" si="8"/>
        <v>0.5</v>
      </c>
    </row>
    <row r="197" spans="1:10">
      <c r="A197" s="3">
        <v>3</v>
      </c>
      <c r="B197" t="s">
        <v>149</v>
      </c>
      <c r="C197" t="s">
        <v>456</v>
      </c>
      <c r="E197" s="3">
        <f t="shared" si="9"/>
        <v>2</v>
      </c>
      <c r="F197" s="5">
        <v>44026.625</v>
      </c>
      <c r="G197" s="19" t="str">
        <f t="shared" si="10"/>
        <v/>
      </c>
      <c r="J197" s="28" t="e">
        <f t="shared" si="8"/>
        <v>#DIV/0!</v>
      </c>
    </row>
    <row r="198" spans="1:10">
      <c r="A198" s="3">
        <v>4</v>
      </c>
      <c r="B198" t="s">
        <v>150</v>
      </c>
      <c r="C198" t="s">
        <v>456</v>
      </c>
      <c r="E198" s="3">
        <f t="shared" si="9"/>
        <v>3</v>
      </c>
      <c r="F198" s="5">
        <v>44027.625</v>
      </c>
      <c r="G198" s="19" t="str">
        <f t="shared" si="10"/>
        <v/>
      </c>
      <c r="J198" s="28" t="e">
        <f t="shared" si="8"/>
        <v>#DIV/0!</v>
      </c>
    </row>
    <row r="199" spans="1:10">
      <c r="A199" s="3">
        <v>5</v>
      </c>
      <c r="B199" t="s">
        <v>151</v>
      </c>
      <c r="C199" t="s">
        <v>456</v>
      </c>
      <c r="E199" s="3">
        <f t="shared" si="9"/>
        <v>4</v>
      </c>
      <c r="F199" s="5">
        <v>44028.625</v>
      </c>
      <c r="G199" s="19" t="str">
        <f t="shared" si="10"/>
        <v/>
      </c>
      <c r="J199" s="28">
        <f t="shared" si="8"/>
        <v>0.66666666666666674</v>
      </c>
    </row>
    <row r="200" spans="1:10">
      <c r="A200" s="3">
        <v>5</v>
      </c>
      <c r="B200" t="s">
        <v>152</v>
      </c>
      <c r="C200" t="s">
        <v>456</v>
      </c>
      <c r="E200" s="3">
        <f t="shared" si="9"/>
        <v>5</v>
      </c>
      <c r="F200" s="5">
        <v>44029.625</v>
      </c>
      <c r="G200" s="19" t="str">
        <f t="shared" si="10"/>
        <v/>
      </c>
      <c r="J200" s="28">
        <f t="shared" si="8"/>
        <v>4</v>
      </c>
    </row>
    <row r="201" spans="1:10">
      <c r="A201" s="3">
        <v>2</v>
      </c>
      <c r="B201" t="s">
        <v>153</v>
      </c>
      <c r="C201" t="s">
        <v>456</v>
      </c>
      <c r="E201" s="3">
        <f t="shared" si="9"/>
        <v>6</v>
      </c>
      <c r="F201" s="5">
        <v>44030.625</v>
      </c>
      <c r="G201" s="19" t="str">
        <f t="shared" si="10"/>
        <v/>
      </c>
      <c r="J201" s="28" t="e">
        <f t="shared" ref="J201:J264" si="11">A201/A194-1</f>
        <v>#DIV/0!</v>
      </c>
    </row>
    <row r="202" spans="1:10">
      <c r="A202" s="3">
        <v>5</v>
      </c>
      <c r="B202" t="s">
        <v>154</v>
      </c>
      <c r="C202" t="s">
        <v>456</v>
      </c>
      <c r="E202" s="3">
        <f t="shared" si="9"/>
        <v>7</v>
      </c>
      <c r="F202" s="5">
        <v>44031.625</v>
      </c>
      <c r="G202" s="19" t="str">
        <f t="shared" si="10"/>
        <v/>
      </c>
      <c r="J202" s="28">
        <f t="shared" si="11"/>
        <v>0.66666666666666674</v>
      </c>
    </row>
    <row r="203" spans="1:10">
      <c r="A203" s="3">
        <v>4</v>
      </c>
      <c r="B203" t="s">
        <v>155</v>
      </c>
      <c r="C203" t="s">
        <v>456</v>
      </c>
      <c r="E203" s="3">
        <f t="shared" si="9"/>
        <v>1</v>
      </c>
      <c r="F203" s="5">
        <v>44032.625</v>
      </c>
      <c r="G203" s="19" t="str">
        <f t="shared" si="10"/>
        <v>2020-W30</v>
      </c>
      <c r="H203">
        <f>SUM(A203:A209)</f>
        <v>34</v>
      </c>
      <c r="I203" s="28">
        <f>H203/H196-1</f>
        <v>0.2592592592592593</v>
      </c>
      <c r="J203" s="28">
        <f t="shared" si="11"/>
        <v>0.33333333333333326</v>
      </c>
    </row>
    <row r="204" spans="1:10">
      <c r="A204" s="3">
        <v>7</v>
      </c>
      <c r="B204" t="s">
        <v>156</v>
      </c>
      <c r="C204" t="s">
        <v>456</v>
      </c>
      <c r="E204" s="3">
        <f t="shared" si="9"/>
        <v>2</v>
      </c>
      <c r="F204" s="5">
        <v>44033.625</v>
      </c>
      <c r="G204" s="19" t="str">
        <f t="shared" si="10"/>
        <v/>
      </c>
      <c r="J204" s="28">
        <f t="shared" si="11"/>
        <v>1.3333333333333335</v>
      </c>
    </row>
    <row r="205" spans="1:10">
      <c r="A205" s="3">
        <v>6</v>
      </c>
      <c r="B205" t="s">
        <v>157</v>
      </c>
      <c r="C205" t="s">
        <v>456</v>
      </c>
      <c r="E205" s="3">
        <f t="shared" si="9"/>
        <v>3</v>
      </c>
      <c r="F205" s="5">
        <v>44034.625</v>
      </c>
      <c r="G205" s="19" t="str">
        <f t="shared" si="10"/>
        <v/>
      </c>
      <c r="J205" s="28">
        <f t="shared" si="11"/>
        <v>0.5</v>
      </c>
    </row>
    <row r="206" spans="1:10">
      <c r="A206" s="3">
        <v>1</v>
      </c>
      <c r="B206" t="s">
        <v>158</v>
      </c>
      <c r="C206" t="s">
        <v>456</v>
      </c>
      <c r="E206" s="3">
        <f t="shared" si="9"/>
        <v>4</v>
      </c>
      <c r="F206" s="5">
        <v>44035.625</v>
      </c>
      <c r="G206" s="19" t="str">
        <f t="shared" si="10"/>
        <v/>
      </c>
      <c r="J206" s="28">
        <f t="shared" si="11"/>
        <v>-0.8</v>
      </c>
    </row>
    <row r="207" spans="1:10">
      <c r="A207" s="3">
        <v>8</v>
      </c>
      <c r="B207" t="s">
        <v>159</v>
      </c>
      <c r="C207" t="s">
        <v>456</v>
      </c>
      <c r="E207" s="3">
        <f t="shared" si="9"/>
        <v>5</v>
      </c>
      <c r="F207" s="5">
        <v>44036.625</v>
      </c>
      <c r="G207" s="19" t="str">
        <f t="shared" si="10"/>
        <v/>
      </c>
      <c r="J207" s="28">
        <f t="shared" si="11"/>
        <v>0.60000000000000009</v>
      </c>
    </row>
    <row r="208" spans="1:10">
      <c r="A208" s="3">
        <v>4</v>
      </c>
      <c r="B208" t="s">
        <v>160</v>
      </c>
      <c r="C208" t="s">
        <v>456</v>
      </c>
      <c r="E208" s="3">
        <f t="shared" si="9"/>
        <v>6</v>
      </c>
      <c r="F208" s="5">
        <v>44037.625</v>
      </c>
      <c r="G208" s="19" t="str">
        <f t="shared" si="10"/>
        <v/>
      </c>
      <c r="J208" s="28">
        <f t="shared" si="11"/>
        <v>1</v>
      </c>
    </row>
    <row r="209" spans="1:10">
      <c r="A209" s="3">
        <v>4</v>
      </c>
      <c r="B209" t="s">
        <v>161</v>
      </c>
      <c r="C209" t="s">
        <v>456</v>
      </c>
      <c r="E209" s="3">
        <f t="shared" si="9"/>
        <v>7</v>
      </c>
      <c r="F209" s="5">
        <v>44038.625</v>
      </c>
      <c r="G209" s="19" t="str">
        <f t="shared" si="10"/>
        <v/>
      </c>
      <c r="J209" s="28">
        <f t="shared" si="11"/>
        <v>-0.19999999999999996</v>
      </c>
    </row>
    <row r="210" spans="1:10">
      <c r="A210" s="3">
        <v>9</v>
      </c>
      <c r="B210" t="s">
        <v>162</v>
      </c>
      <c r="C210" t="s">
        <v>456</v>
      </c>
      <c r="E210" s="3">
        <f t="shared" si="9"/>
        <v>1</v>
      </c>
      <c r="F210" s="5">
        <v>44039.625</v>
      </c>
      <c r="G210" s="19" t="str">
        <f t="shared" si="10"/>
        <v>2020-W31</v>
      </c>
      <c r="H210">
        <f>SUM(A210:A216)</f>
        <v>54</v>
      </c>
      <c r="I210" s="28">
        <f>H210/H203-1</f>
        <v>0.58823529411764697</v>
      </c>
      <c r="J210" s="28">
        <f t="shared" si="11"/>
        <v>1.25</v>
      </c>
    </row>
    <row r="211" spans="1:10">
      <c r="A211" s="3">
        <v>5</v>
      </c>
      <c r="B211" t="s">
        <v>163</v>
      </c>
      <c r="C211" t="s">
        <v>456</v>
      </c>
      <c r="E211" s="3">
        <f t="shared" si="9"/>
        <v>2</v>
      </c>
      <c r="F211" s="5">
        <v>44040.625</v>
      </c>
      <c r="G211" s="19" t="str">
        <f t="shared" si="10"/>
        <v/>
      </c>
      <c r="J211" s="28">
        <f t="shared" si="11"/>
        <v>-0.2857142857142857</v>
      </c>
    </row>
    <row r="212" spans="1:10">
      <c r="A212" s="3">
        <v>8</v>
      </c>
      <c r="B212" t="s">
        <v>164</v>
      </c>
      <c r="C212" t="s">
        <v>456</v>
      </c>
      <c r="E212" s="3">
        <f t="shared" si="9"/>
        <v>3</v>
      </c>
      <c r="F212" s="5">
        <v>44041.625</v>
      </c>
      <c r="G212" s="19" t="str">
        <f t="shared" si="10"/>
        <v/>
      </c>
      <c r="J212" s="28">
        <f t="shared" si="11"/>
        <v>0.33333333333333326</v>
      </c>
    </row>
    <row r="213" spans="1:10">
      <c r="A213" s="3">
        <v>4</v>
      </c>
      <c r="B213" t="s">
        <v>165</v>
      </c>
      <c r="C213" t="s">
        <v>456</v>
      </c>
      <c r="E213" s="3">
        <f t="shared" si="9"/>
        <v>4</v>
      </c>
      <c r="F213" s="5">
        <v>44042.625</v>
      </c>
      <c r="G213" s="19" t="str">
        <f t="shared" si="10"/>
        <v/>
      </c>
      <c r="J213" s="28">
        <f t="shared" si="11"/>
        <v>3</v>
      </c>
    </row>
    <row r="214" spans="1:10">
      <c r="A214" s="3">
        <v>13</v>
      </c>
      <c r="B214" t="s">
        <v>166</v>
      </c>
      <c r="C214" t="s">
        <v>456</v>
      </c>
      <c r="E214" s="3">
        <f t="shared" si="9"/>
        <v>5</v>
      </c>
      <c r="F214" s="5">
        <v>44043.625</v>
      </c>
      <c r="G214" s="19" t="str">
        <f t="shared" si="10"/>
        <v/>
      </c>
      <c r="J214" s="28">
        <f t="shared" si="11"/>
        <v>0.625</v>
      </c>
    </row>
    <row r="215" spans="1:10">
      <c r="A215" s="3">
        <v>8</v>
      </c>
      <c r="B215" t="s">
        <v>167</v>
      </c>
      <c r="C215" t="s">
        <v>456</v>
      </c>
      <c r="E215" s="3">
        <f t="shared" si="9"/>
        <v>6</v>
      </c>
      <c r="F215" s="5">
        <v>44044.625</v>
      </c>
      <c r="G215" s="19" t="str">
        <f t="shared" si="10"/>
        <v/>
      </c>
      <c r="J215" s="28">
        <f t="shared" si="11"/>
        <v>1</v>
      </c>
    </row>
    <row r="216" spans="1:10">
      <c r="A216" s="3">
        <v>7</v>
      </c>
      <c r="B216" t="s">
        <v>168</v>
      </c>
      <c r="C216" t="s">
        <v>456</v>
      </c>
      <c r="E216" s="3">
        <f t="shared" si="9"/>
        <v>7</v>
      </c>
      <c r="F216" s="5">
        <v>44045.625</v>
      </c>
      <c r="G216" s="19" t="str">
        <f t="shared" si="10"/>
        <v/>
      </c>
      <c r="J216" s="28">
        <f t="shared" si="11"/>
        <v>0.75</v>
      </c>
    </row>
    <row r="217" spans="1:10">
      <c r="A217" s="3">
        <v>26</v>
      </c>
      <c r="B217" t="s">
        <v>169</v>
      </c>
      <c r="C217" t="s">
        <v>456</v>
      </c>
      <c r="E217" s="3">
        <f t="shared" si="9"/>
        <v>1</v>
      </c>
      <c r="F217" s="5">
        <v>44046.625</v>
      </c>
      <c r="G217" s="19" t="str">
        <f t="shared" si="10"/>
        <v>2020-W32</v>
      </c>
      <c r="H217">
        <f>SUM(A217:A223)</f>
        <v>118</v>
      </c>
      <c r="I217" s="28">
        <f>H217/H210-1</f>
        <v>1.1851851851851851</v>
      </c>
      <c r="J217" s="28">
        <f t="shared" si="11"/>
        <v>1.8888888888888888</v>
      </c>
    </row>
    <row r="218" spans="1:10">
      <c r="A218" s="3">
        <v>19</v>
      </c>
      <c r="B218" t="s">
        <v>170</v>
      </c>
      <c r="C218" t="s">
        <v>456</v>
      </c>
      <c r="E218" s="3">
        <f t="shared" si="9"/>
        <v>2</v>
      </c>
      <c r="F218" s="5">
        <v>44047.625</v>
      </c>
      <c r="G218" s="19" t="str">
        <f t="shared" si="10"/>
        <v/>
      </c>
      <c r="J218" s="28">
        <f t="shared" si="11"/>
        <v>2.8</v>
      </c>
    </row>
    <row r="219" spans="1:10">
      <c r="A219" s="3">
        <v>18</v>
      </c>
      <c r="B219" t="s">
        <v>171</v>
      </c>
      <c r="C219" t="s">
        <v>456</v>
      </c>
      <c r="E219" s="3">
        <f t="shared" si="9"/>
        <v>3</v>
      </c>
      <c r="F219" s="5">
        <v>44048.625</v>
      </c>
      <c r="G219" s="19" t="str">
        <f t="shared" si="10"/>
        <v/>
      </c>
      <c r="J219" s="28">
        <f t="shared" si="11"/>
        <v>1.25</v>
      </c>
    </row>
    <row r="220" spans="1:10">
      <c r="A220" s="3">
        <v>15</v>
      </c>
      <c r="B220" t="s">
        <v>172</v>
      </c>
      <c r="C220" t="s">
        <v>456</v>
      </c>
      <c r="E220" s="3">
        <f t="shared" si="9"/>
        <v>4</v>
      </c>
      <c r="F220" s="5">
        <v>44049.625</v>
      </c>
      <c r="G220" s="19" t="str">
        <f t="shared" si="10"/>
        <v/>
      </c>
      <c r="J220" s="28">
        <f t="shared" si="11"/>
        <v>2.75</v>
      </c>
    </row>
    <row r="221" spans="1:10">
      <c r="A221" s="3">
        <v>11</v>
      </c>
      <c r="B221" t="s">
        <v>173</v>
      </c>
      <c r="C221" t="s">
        <v>456</v>
      </c>
      <c r="E221" s="3">
        <f t="shared" si="9"/>
        <v>5</v>
      </c>
      <c r="F221" s="5">
        <v>44050.625</v>
      </c>
      <c r="G221" s="19" t="str">
        <f t="shared" si="10"/>
        <v/>
      </c>
      <c r="J221" s="28">
        <f t="shared" si="11"/>
        <v>-0.15384615384615385</v>
      </c>
    </row>
    <row r="222" spans="1:10">
      <c r="A222" s="3">
        <v>6</v>
      </c>
      <c r="B222" t="s">
        <v>174</v>
      </c>
      <c r="C222" t="s">
        <v>456</v>
      </c>
      <c r="E222" s="3">
        <f t="shared" si="9"/>
        <v>6</v>
      </c>
      <c r="F222" s="5">
        <v>44051.625</v>
      </c>
      <c r="G222" s="19" t="str">
        <f t="shared" si="10"/>
        <v/>
      </c>
      <c r="J222" s="28">
        <f t="shared" si="11"/>
        <v>-0.25</v>
      </c>
    </row>
    <row r="223" spans="1:10">
      <c r="A223" s="3">
        <v>23</v>
      </c>
      <c r="B223" t="s">
        <v>175</v>
      </c>
      <c r="C223" t="s">
        <v>456</v>
      </c>
      <c r="E223" s="3">
        <f t="shared" si="9"/>
        <v>7</v>
      </c>
      <c r="F223" s="5">
        <v>44052.625</v>
      </c>
      <c r="G223" s="19" t="str">
        <f t="shared" si="10"/>
        <v/>
      </c>
      <c r="J223" s="28">
        <f t="shared" si="11"/>
        <v>2.2857142857142856</v>
      </c>
    </row>
    <row r="224" spans="1:10">
      <c r="A224" s="3">
        <v>12</v>
      </c>
      <c r="B224" t="s">
        <v>176</v>
      </c>
      <c r="C224" t="s">
        <v>456</v>
      </c>
      <c r="E224" s="3">
        <f t="shared" si="9"/>
        <v>1</v>
      </c>
      <c r="F224" s="5">
        <v>44053.625</v>
      </c>
      <c r="G224" s="19" t="str">
        <f t="shared" si="10"/>
        <v>2020-W33</v>
      </c>
      <c r="H224">
        <f>SUM(A224:A230)</f>
        <v>123</v>
      </c>
      <c r="I224" s="28">
        <f>H224/H217-1</f>
        <v>4.2372881355932313E-2</v>
      </c>
      <c r="J224" s="28">
        <f t="shared" si="11"/>
        <v>-0.53846153846153844</v>
      </c>
    </row>
    <row r="225" spans="1:10">
      <c r="A225" s="3">
        <v>23</v>
      </c>
      <c r="B225" t="s">
        <v>177</v>
      </c>
      <c r="C225" t="s">
        <v>456</v>
      </c>
      <c r="E225" s="3">
        <f t="shared" si="9"/>
        <v>2</v>
      </c>
      <c r="F225" s="5">
        <v>44054.625</v>
      </c>
      <c r="G225" s="19" t="str">
        <f t="shared" si="10"/>
        <v/>
      </c>
      <c r="J225" s="28">
        <f t="shared" si="11"/>
        <v>0.21052631578947367</v>
      </c>
    </row>
    <row r="226" spans="1:10">
      <c r="A226" s="3">
        <v>16</v>
      </c>
      <c r="B226" t="s">
        <v>178</v>
      </c>
      <c r="C226" t="s">
        <v>456</v>
      </c>
      <c r="E226" s="3">
        <f t="shared" si="9"/>
        <v>3</v>
      </c>
      <c r="F226" s="5">
        <v>44055.625</v>
      </c>
      <c r="G226" s="19" t="str">
        <f t="shared" si="10"/>
        <v/>
      </c>
      <c r="J226" s="28">
        <f t="shared" si="11"/>
        <v>-0.11111111111111116</v>
      </c>
    </row>
    <row r="227" spans="1:10">
      <c r="A227" s="3">
        <v>13</v>
      </c>
      <c r="B227" t="s">
        <v>179</v>
      </c>
      <c r="C227" t="s">
        <v>456</v>
      </c>
      <c r="E227" s="3">
        <f t="shared" si="9"/>
        <v>4</v>
      </c>
      <c r="F227" s="5">
        <v>44056.625</v>
      </c>
      <c r="G227" s="19" t="str">
        <f t="shared" si="10"/>
        <v/>
      </c>
      <c r="J227" s="28">
        <f t="shared" si="11"/>
        <v>-0.1333333333333333</v>
      </c>
    </row>
    <row r="228" spans="1:10">
      <c r="A228" s="3">
        <v>17</v>
      </c>
      <c r="B228" t="s">
        <v>180</v>
      </c>
      <c r="C228" t="s">
        <v>456</v>
      </c>
      <c r="E228" s="3">
        <f t="shared" si="9"/>
        <v>5</v>
      </c>
      <c r="F228" s="5">
        <v>44057.625</v>
      </c>
      <c r="G228" s="19" t="str">
        <f t="shared" si="10"/>
        <v/>
      </c>
      <c r="J228" s="28">
        <f t="shared" si="11"/>
        <v>0.54545454545454541</v>
      </c>
    </row>
    <row r="229" spans="1:10">
      <c r="A229" s="3">
        <v>11</v>
      </c>
      <c r="B229" t="s">
        <v>181</v>
      </c>
      <c r="C229" t="s">
        <v>456</v>
      </c>
      <c r="E229" s="3">
        <f t="shared" si="9"/>
        <v>6</v>
      </c>
      <c r="F229" s="5">
        <v>44058.625</v>
      </c>
      <c r="G229" s="19" t="str">
        <f t="shared" si="10"/>
        <v/>
      </c>
      <c r="J229" s="28">
        <f t="shared" si="11"/>
        <v>0.83333333333333326</v>
      </c>
    </row>
    <row r="230" spans="1:10">
      <c r="A230" s="3">
        <v>31</v>
      </c>
      <c r="B230" t="s">
        <v>182</v>
      </c>
      <c r="C230" t="s">
        <v>456</v>
      </c>
      <c r="E230" s="3">
        <f t="shared" si="9"/>
        <v>7</v>
      </c>
      <c r="F230" s="5">
        <v>44059.625</v>
      </c>
      <c r="G230" s="19" t="str">
        <f t="shared" si="10"/>
        <v/>
      </c>
      <c r="J230" s="28">
        <f t="shared" si="11"/>
        <v>0.34782608695652173</v>
      </c>
    </row>
    <row r="231" spans="1:10">
      <c r="A231" s="3">
        <v>20</v>
      </c>
      <c r="B231" t="s">
        <v>183</v>
      </c>
      <c r="C231" t="s">
        <v>456</v>
      </c>
      <c r="E231" s="3">
        <f t="shared" si="9"/>
        <v>1</v>
      </c>
      <c r="F231" s="5">
        <v>44060.625</v>
      </c>
      <c r="G231" s="19" t="str">
        <f t="shared" si="10"/>
        <v>2020-W34</v>
      </c>
      <c r="H231">
        <f>SUM(A231:A237)</f>
        <v>118</v>
      </c>
      <c r="I231" s="28">
        <f>H231/H224-1</f>
        <v>-4.065040650406504E-2</v>
      </c>
      <c r="J231" s="28">
        <f t="shared" si="11"/>
        <v>0.66666666666666674</v>
      </c>
    </row>
    <row r="232" spans="1:10">
      <c r="A232" s="3">
        <v>20</v>
      </c>
      <c r="B232" t="s">
        <v>184</v>
      </c>
      <c r="C232" t="s">
        <v>456</v>
      </c>
      <c r="E232" s="3">
        <f t="shared" si="9"/>
        <v>2</v>
      </c>
      <c r="F232" s="5">
        <v>44061.625</v>
      </c>
      <c r="G232" s="19" t="str">
        <f t="shared" si="10"/>
        <v/>
      </c>
      <c r="J232" s="28">
        <f t="shared" si="11"/>
        <v>-0.13043478260869568</v>
      </c>
    </row>
    <row r="233" spans="1:10">
      <c r="A233" s="3">
        <v>34</v>
      </c>
      <c r="B233" t="s">
        <v>185</v>
      </c>
      <c r="C233" t="s">
        <v>456</v>
      </c>
      <c r="E233" s="3">
        <f t="shared" si="9"/>
        <v>3</v>
      </c>
      <c r="F233" s="5">
        <v>44062.625</v>
      </c>
      <c r="G233" s="19" t="str">
        <f t="shared" si="10"/>
        <v/>
      </c>
      <c r="J233" s="28">
        <f t="shared" si="11"/>
        <v>1.125</v>
      </c>
    </row>
    <row r="234" spans="1:10">
      <c r="A234" s="3">
        <v>17</v>
      </c>
      <c r="B234" t="s">
        <v>186</v>
      </c>
      <c r="C234" t="s">
        <v>456</v>
      </c>
      <c r="E234" s="3">
        <f t="shared" si="9"/>
        <v>4</v>
      </c>
      <c r="F234" s="5">
        <v>44063.625</v>
      </c>
      <c r="G234" s="19" t="str">
        <f t="shared" si="10"/>
        <v/>
      </c>
      <c r="J234" s="28">
        <f t="shared" si="11"/>
        <v>0.30769230769230771</v>
      </c>
    </row>
    <row r="235" spans="1:10">
      <c r="A235" s="3">
        <v>12</v>
      </c>
      <c r="B235" t="s">
        <v>187</v>
      </c>
      <c r="C235" t="s">
        <v>456</v>
      </c>
      <c r="E235" s="3">
        <f t="shared" si="9"/>
        <v>5</v>
      </c>
      <c r="F235" s="5">
        <v>44064.625</v>
      </c>
      <c r="G235" s="19" t="str">
        <f t="shared" si="10"/>
        <v/>
      </c>
      <c r="J235" s="28">
        <f t="shared" si="11"/>
        <v>-0.29411764705882348</v>
      </c>
    </row>
    <row r="236" spans="1:10">
      <c r="A236" s="3">
        <v>8</v>
      </c>
      <c r="B236" t="s">
        <v>188</v>
      </c>
      <c r="C236" t="s">
        <v>456</v>
      </c>
      <c r="E236" s="3">
        <f t="shared" si="9"/>
        <v>6</v>
      </c>
      <c r="F236" s="5">
        <v>44065.625</v>
      </c>
      <c r="G236" s="19" t="str">
        <f t="shared" si="10"/>
        <v/>
      </c>
      <c r="J236" s="28">
        <f t="shared" si="11"/>
        <v>-0.27272727272727271</v>
      </c>
    </row>
    <row r="237" spans="1:10">
      <c r="A237" s="3">
        <v>7</v>
      </c>
      <c r="B237" t="s">
        <v>189</v>
      </c>
      <c r="C237" t="s">
        <v>456</v>
      </c>
      <c r="E237" s="3">
        <f t="shared" si="9"/>
        <v>7</v>
      </c>
      <c r="F237" s="5">
        <v>44066.625</v>
      </c>
      <c r="G237" s="19" t="str">
        <f t="shared" si="10"/>
        <v/>
      </c>
      <c r="J237" s="28">
        <f t="shared" si="11"/>
        <v>-0.77419354838709675</v>
      </c>
    </row>
    <row r="238" spans="1:10">
      <c r="A238" s="3">
        <v>12</v>
      </c>
      <c r="B238" t="s">
        <v>190</v>
      </c>
      <c r="C238" t="s">
        <v>456</v>
      </c>
      <c r="E238" s="3">
        <f t="shared" si="9"/>
        <v>1</v>
      </c>
      <c r="F238" s="5">
        <v>44067.625</v>
      </c>
      <c r="G238" s="19" t="str">
        <f t="shared" si="10"/>
        <v>2020-W35</v>
      </c>
      <c r="H238">
        <f>SUM(A238:A244)</f>
        <v>87</v>
      </c>
      <c r="I238" s="28">
        <f>H238/H231-1</f>
        <v>-0.26271186440677963</v>
      </c>
      <c r="J238" s="28">
        <f t="shared" si="11"/>
        <v>-0.4</v>
      </c>
    </row>
    <row r="239" spans="1:10">
      <c r="A239" s="3">
        <v>9</v>
      </c>
      <c r="B239" t="s">
        <v>191</v>
      </c>
      <c r="C239" t="s">
        <v>456</v>
      </c>
      <c r="E239" s="3">
        <f t="shared" si="9"/>
        <v>2</v>
      </c>
      <c r="F239" s="5">
        <v>44068.625</v>
      </c>
      <c r="G239" s="19" t="str">
        <f t="shared" si="10"/>
        <v/>
      </c>
      <c r="J239" s="28">
        <f t="shared" si="11"/>
        <v>-0.55000000000000004</v>
      </c>
    </row>
    <row r="240" spans="1:10">
      <c r="A240" s="3">
        <v>14</v>
      </c>
      <c r="B240" t="s">
        <v>192</v>
      </c>
      <c r="C240" t="s">
        <v>456</v>
      </c>
      <c r="E240" s="3">
        <f t="shared" si="9"/>
        <v>3</v>
      </c>
      <c r="F240" s="5">
        <v>44069.625</v>
      </c>
      <c r="G240" s="19" t="str">
        <f t="shared" si="10"/>
        <v/>
      </c>
      <c r="J240" s="28">
        <f t="shared" si="11"/>
        <v>-0.58823529411764708</v>
      </c>
    </row>
    <row r="241" spans="1:10">
      <c r="A241" s="3">
        <v>21</v>
      </c>
      <c r="B241" t="s">
        <v>193</v>
      </c>
      <c r="C241" t="s">
        <v>456</v>
      </c>
      <c r="E241" s="3">
        <f t="shared" si="9"/>
        <v>4</v>
      </c>
      <c r="F241" s="5">
        <v>44070.625</v>
      </c>
      <c r="G241" s="19" t="str">
        <f t="shared" si="10"/>
        <v/>
      </c>
      <c r="J241" s="28">
        <f t="shared" si="11"/>
        <v>0.23529411764705888</v>
      </c>
    </row>
    <row r="242" spans="1:10">
      <c r="A242" s="3">
        <v>13</v>
      </c>
      <c r="B242" t="s">
        <v>194</v>
      </c>
      <c r="C242" t="s">
        <v>456</v>
      </c>
      <c r="E242" s="3">
        <f t="shared" si="9"/>
        <v>5</v>
      </c>
      <c r="F242" s="5">
        <v>44071.625</v>
      </c>
      <c r="G242" s="19" t="str">
        <f t="shared" si="10"/>
        <v/>
      </c>
      <c r="J242" s="28">
        <f t="shared" si="11"/>
        <v>8.3333333333333259E-2</v>
      </c>
    </row>
    <row r="243" spans="1:10">
      <c r="A243" s="3">
        <v>7</v>
      </c>
      <c r="B243" t="s">
        <v>195</v>
      </c>
      <c r="C243" t="s">
        <v>456</v>
      </c>
      <c r="E243" s="3">
        <f t="shared" si="9"/>
        <v>6</v>
      </c>
      <c r="F243" s="5">
        <v>44072.625</v>
      </c>
      <c r="G243" s="19" t="str">
        <f t="shared" si="10"/>
        <v/>
      </c>
      <c r="J243" s="28">
        <f t="shared" si="11"/>
        <v>-0.125</v>
      </c>
    </row>
    <row r="244" spans="1:10">
      <c r="A244" s="3">
        <v>11</v>
      </c>
      <c r="B244" t="s">
        <v>196</v>
      </c>
      <c r="C244" t="s">
        <v>456</v>
      </c>
      <c r="E244" s="3">
        <f t="shared" si="9"/>
        <v>7</v>
      </c>
      <c r="F244" s="5">
        <v>44073.625</v>
      </c>
      <c r="G244" s="19" t="str">
        <f t="shared" si="10"/>
        <v/>
      </c>
      <c r="J244" s="28">
        <f t="shared" si="11"/>
        <v>0.5714285714285714</v>
      </c>
    </row>
    <row r="245" spans="1:10">
      <c r="A245" s="3">
        <v>19</v>
      </c>
      <c r="B245" t="s">
        <v>197</v>
      </c>
      <c r="C245" t="s">
        <v>456</v>
      </c>
      <c r="E245" s="3">
        <f t="shared" si="9"/>
        <v>1</v>
      </c>
      <c r="F245" s="5">
        <v>44074.625</v>
      </c>
      <c r="G245" s="19" t="str">
        <f t="shared" si="10"/>
        <v>2020-W36</v>
      </c>
      <c r="H245">
        <f>SUM(A245:A251)</f>
        <v>120</v>
      </c>
      <c r="I245" s="28">
        <f>H245/H238-1</f>
        <v>0.3793103448275863</v>
      </c>
      <c r="J245" s="28">
        <f t="shared" si="11"/>
        <v>0.58333333333333326</v>
      </c>
    </row>
    <row r="246" spans="1:10">
      <c r="A246" s="3">
        <v>17</v>
      </c>
      <c r="B246" t="s">
        <v>198</v>
      </c>
      <c r="C246" t="s">
        <v>456</v>
      </c>
      <c r="E246" s="3">
        <f t="shared" si="9"/>
        <v>2</v>
      </c>
      <c r="F246" s="5">
        <v>44075.625</v>
      </c>
      <c r="G246" s="19" t="str">
        <f t="shared" si="10"/>
        <v/>
      </c>
      <c r="J246" s="28">
        <f t="shared" si="11"/>
        <v>0.88888888888888884</v>
      </c>
    </row>
    <row r="247" spans="1:10">
      <c r="A247" s="3">
        <v>15</v>
      </c>
      <c r="B247" t="s">
        <v>199</v>
      </c>
      <c r="C247" t="s">
        <v>456</v>
      </c>
      <c r="E247" s="3">
        <f t="shared" si="9"/>
        <v>3</v>
      </c>
      <c r="F247" s="5">
        <v>44076.625</v>
      </c>
      <c r="G247" s="19" t="str">
        <f t="shared" si="10"/>
        <v/>
      </c>
      <c r="J247" s="28">
        <f t="shared" si="11"/>
        <v>7.1428571428571397E-2</v>
      </c>
    </row>
    <row r="248" spans="1:10">
      <c r="A248" s="3">
        <v>15</v>
      </c>
      <c r="B248" t="s">
        <v>200</v>
      </c>
      <c r="C248" t="s">
        <v>456</v>
      </c>
      <c r="E248" s="3">
        <f t="shared" si="9"/>
        <v>4</v>
      </c>
      <c r="F248" s="5">
        <v>44077.625</v>
      </c>
      <c r="G248" s="19" t="str">
        <f t="shared" si="10"/>
        <v/>
      </c>
      <c r="J248" s="28">
        <f t="shared" si="11"/>
        <v>-0.2857142857142857</v>
      </c>
    </row>
    <row r="249" spans="1:10">
      <c r="A249" s="3">
        <v>24</v>
      </c>
      <c r="B249" t="s">
        <v>201</v>
      </c>
      <c r="C249" t="s">
        <v>456</v>
      </c>
      <c r="E249" s="3">
        <f t="shared" si="9"/>
        <v>5</v>
      </c>
      <c r="F249" s="5">
        <v>44078.625</v>
      </c>
      <c r="G249" s="19" t="str">
        <f t="shared" si="10"/>
        <v/>
      </c>
      <c r="J249" s="28">
        <f t="shared" si="11"/>
        <v>0.84615384615384626</v>
      </c>
    </row>
    <row r="250" spans="1:10">
      <c r="A250" s="3">
        <v>13</v>
      </c>
      <c r="B250" t="s">
        <v>202</v>
      </c>
      <c r="C250" t="s">
        <v>456</v>
      </c>
      <c r="E250" s="3">
        <f t="shared" si="9"/>
        <v>6</v>
      </c>
      <c r="F250" s="5">
        <v>44079.625</v>
      </c>
      <c r="G250" s="19" t="str">
        <f t="shared" si="10"/>
        <v/>
      </c>
      <c r="J250" s="28">
        <f t="shared" si="11"/>
        <v>0.85714285714285721</v>
      </c>
    </row>
    <row r="251" spans="1:10">
      <c r="A251" s="3">
        <v>17</v>
      </c>
      <c r="B251" t="s">
        <v>203</v>
      </c>
      <c r="C251" t="s">
        <v>456</v>
      </c>
      <c r="E251" s="3">
        <f t="shared" si="9"/>
        <v>7</v>
      </c>
      <c r="F251" s="5">
        <v>44080.625</v>
      </c>
      <c r="G251" s="19" t="str">
        <f t="shared" si="10"/>
        <v/>
      </c>
      <c r="J251" s="28">
        <f t="shared" si="11"/>
        <v>0.54545454545454541</v>
      </c>
    </row>
    <row r="252" spans="1:10">
      <c r="A252" s="3">
        <v>22</v>
      </c>
      <c r="B252" t="s">
        <v>204</v>
      </c>
      <c r="C252" t="s">
        <v>456</v>
      </c>
      <c r="E252" s="3">
        <f t="shared" si="9"/>
        <v>1</v>
      </c>
      <c r="F252" s="5">
        <v>44081.625</v>
      </c>
      <c r="G252" s="19" t="str">
        <f t="shared" si="10"/>
        <v>2020-W37</v>
      </c>
      <c r="H252">
        <f>SUM(A252:A258)</f>
        <v>134</v>
      </c>
      <c r="I252" s="28">
        <f>H252/H245-1</f>
        <v>0.1166666666666667</v>
      </c>
      <c r="J252" s="28">
        <f t="shared" si="11"/>
        <v>0.15789473684210531</v>
      </c>
    </row>
    <row r="253" spans="1:10">
      <c r="A253" s="3">
        <v>19</v>
      </c>
      <c r="B253" t="s">
        <v>205</v>
      </c>
      <c r="C253" t="s">
        <v>456</v>
      </c>
      <c r="E253" s="3">
        <f t="shared" si="9"/>
        <v>2</v>
      </c>
      <c r="F253" s="5">
        <v>44082.625</v>
      </c>
      <c r="G253" s="19" t="str">
        <f t="shared" si="10"/>
        <v/>
      </c>
      <c r="J253" s="28">
        <f t="shared" si="11"/>
        <v>0.11764705882352944</v>
      </c>
    </row>
    <row r="254" spans="1:10">
      <c r="A254" s="3">
        <v>22</v>
      </c>
      <c r="B254" t="s">
        <v>206</v>
      </c>
      <c r="C254" t="s">
        <v>456</v>
      </c>
      <c r="E254" s="3">
        <f t="shared" si="9"/>
        <v>3</v>
      </c>
      <c r="F254" s="5">
        <v>44083.625</v>
      </c>
      <c r="G254" s="19" t="str">
        <f t="shared" si="10"/>
        <v/>
      </c>
      <c r="J254" s="28">
        <f t="shared" si="11"/>
        <v>0.46666666666666656</v>
      </c>
    </row>
    <row r="255" spans="1:10">
      <c r="A255" s="3">
        <v>17</v>
      </c>
      <c r="B255" t="s">
        <v>207</v>
      </c>
      <c r="C255" t="s">
        <v>456</v>
      </c>
      <c r="E255" s="3">
        <f t="shared" si="9"/>
        <v>4</v>
      </c>
      <c r="F255" s="5">
        <v>44084.625</v>
      </c>
      <c r="G255" s="19" t="str">
        <f t="shared" si="10"/>
        <v/>
      </c>
      <c r="J255" s="28">
        <f t="shared" si="11"/>
        <v>0.1333333333333333</v>
      </c>
    </row>
    <row r="256" spans="1:10">
      <c r="A256" s="3">
        <v>25</v>
      </c>
      <c r="B256" t="s">
        <v>208</v>
      </c>
      <c r="C256" t="s">
        <v>456</v>
      </c>
      <c r="E256" s="3">
        <f t="shared" si="9"/>
        <v>5</v>
      </c>
      <c r="F256" s="5">
        <v>44085.625</v>
      </c>
      <c r="G256" s="19" t="str">
        <f t="shared" si="10"/>
        <v/>
      </c>
      <c r="J256" s="28">
        <f t="shared" si="11"/>
        <v>4.1666666666666741E-2</v>
      </c>
    </row>
    <row r="257" spans="1:10">
      <c r="A257" s="3">
        <v>14</v>
      </c>
      <c r="B257" t="s">
        <v>209</v>
      </c>
      <c r="C257" t="s">
        <v>456</v>
      </c>
      <c r="E257" s="3">
        <f t="shared" si="9"/>
        <v>6</v>
      </c>
      <c r="F257" s="5">
        <v>44086.625</v>
      </c>
      <c r="G257" s="19" t="str">
        <f t="shared" si="10"/>
        <v/>
      </c>
      <c r="J257" s="28">
        <f t="shared" si="11"/>
        <v>7.6923076923076872E-2</v>
      </c>
    </row>
    <row r="258" spans="1:10">
      <c r="A258" s="3">
        <v>15</v>
      </c>
      <c r="B258" t="s">
        <v>210</v>
      </c>
      <c r="C258" t="s">
        <v>456</v>
      </c>
      <c r="E258" s="3">
        <f t="shared" si="9"/>
        <v>7</v>
      </c>
      <c r="F258" s="5">
        <v>44087.625</v>
      </c>
      <c r="G258" s="19" t="str">
        <f t="shared" si="10"/>
        <v/>
      </c>
      <c r="J258" s="28">
        <f t="shared" si="11"/>
        <v>-0.11764705882352944</v>
      </c>
    </row>
    <row r="259" spans="1:10">
      <c r="A259" s="3">
        <v>15</v>
      </c>
      <c r="B259" t="s">
        <v>211</v>
      </c>
      <c r="C259" t="s">
        <v>456</v>
      </c>
      <c r="E259" s="3">
        <f t="shared" ref="E259:E324" si="12">WEEKDAY(F259,2)</f>
        <v>1</v>
      </c>
      <c r="F259" s="5">
        <v>44088.625</v>
      </c>
      <c r="G259" s="19" t="str">
        <f t="shared" ref="G259:G322" si="13">IF(WEEKDAY(F259,2)=1,YEAR(F259)&amp;"-W"&amp;TEXT(WEEKNUM(F259,14),"00"),"")</f>
        <v>2020-W38</v>
      </c>
      <c r="H259">
        <f>SUM(A259:A265)</f>
        <v>231</v>
      </c>
      <c r="I259" s="28">
        <f>H259/H252-1</f>
        <v>0.72388059701492535</v>
      </c>
      <c r="J259" s="28">
        <f t="shared" si="11"/>
        <v>-0.31818181818181823</v>
      </c>
    </row>
    <row r="260" spans="1:10">
      <c r="A260" s="3">
        <v>25</v>
      </c>
      <c r="B260" t="s">
        <v>212</v>
      </c>
      <c r="C260" t="s">
        <v>456</v>
      </c>
      <c r="E260" s="3">
        <f t="shared" si="12"/>
        <v>2</v>
      </c>
      <c r="F260" s="5">
        <v>44089.625</v>
      </c>
      <c r="G260" s="19" t="str">
        <f t="shared" si="13"/>
        <v/>
      </c>
      <c r="J260" s="28">
        <f t="shared" si="11"/>
        <v>0.31578947368421062</v>
      </c>
    </row>
    <row r="261" spans="1:10">
      <c r="A261" s="3">
        <v>25</v>
      </c>
      <c r="B261" t="s">
        <v>213</v>
      </c>
      <c r="C261" t="s">
        <v>456</v>
      </c>
      <c r="E261" s="3">
        <f t="shared" si="12"/>
        <v>3</v>
      </c>
      <c r="F261" s="5">
        <v>44090.625</v>
      </c>
      <c r="G261" s="19" t="str">
        <f t="shared" si="13"/>
        <v/>
      </c>
      <c r="J261" s="28">
        <f t="shared" si="11"/>
        <v>0.13636363636363646</v>
      </c>
    </row>
    <row r="262" spans="1:10">
      <c r="A262" s="3">
        <v>42</v>
      </c>
      <c r="B262" t="s">
        <v>214</v>
      </c>
      <c r="C262" t="s">
        <v>456</v>
      </c>
      <c r="E262" s="3">
        <f t="shared" si="12"/>
        <v>4</v>
      </c>
      <c r="F262" s="5">
        <v>44091.625</v>
      </c>
      <c r="G262" s="19" t="str">
        <f t="shared" si="13"/>
        <v/>
      </c>
      <c r="J262" s="28">
        <f t="shared" si="11"/>
        <v>1.4705882352941178</v>
      </c>
    </row>
    <row r="263" spans="1:10">
      <c r="A263" s="3">
        <v>42</v>
      </c>
      <c r="B263" t="s">
        <v>215</v>
      </c>
      <c r="C263" t="s">
        <v>456</v>
      </c>
      <c r="E263" s="3">
        <f t="shared" si="12"/>
        <v>5</v>
      </c>
      <c r="F263" s="5">
        <v>44092.625</v>
      </c>
      <c r="G263" s="19" t="str">
        <f t="shared" si="13"/>
        <v/>
      </c>
      <c r="J263" s="28">
        <f t="shared" si="11"/>
        <v>0.67999999999999994</v>
      </c>
    </row>
    <row r="264" spans="1:10">
      <c r="A264" s="3">
        <v>41</v>
      </c>
      <c r="B264" t="s">
        <v>216</v>
      </c>
      <c r="C264" t="s">
        <v>456</v>
      </c>
      <c r="E264" s="3">
        <f t="shared" si="12"/>
        <v>6</v>
      </c>
      <c r="F264" s="5">
        <v>44093.625</v>
      </c>
      <c r="G264" s="19" t="str">
        <f t="shared" si="13"/>
        <v/>
      </c>
      <c r="J264" s="28">
        <f t="shared" si="11"/>
        <v>1.9285714285714284</v>
      </c>
    </row>
    <row r="265" spans="1:10">
      <c r="A265" s="3">
        <v>41</v>
      </c>
      <c r="B265" t="s">
        <v>217</v>
      </c>
      <c r="C265" t="s">
        <v>456</v>
      </c>
      <c r="E265" s="3">
        <f t="shared" si="12"/>
        <v>7</v>
      </c>
      <c r="F265" s="5">
        <v>44094.625</v>
      </c>
      <c r="G265" s="19" t="str">
        <f t="shared" si="13"/>
        <v/>
      </c>
      <c r="J265" s="28">
        <f t="shared" ref="J265:J328" si="14">A265/A258-1</f>
        <v>1.7333333333333334</v>
      </c>
    </row>
    <row r="266" spans="1:10">
      <c r="A266" s="3">
        <v>66</v>
      </c>
      <c r="B266" t="s">
        <v>218</v>
      </c>
      <c r="C266" t="s">
        <v>456</v>
      </c>
      <c r="E266" s="3">
        <f t="shared" si="12"/>
        <v>1</v>
      </c>
      <c r="F266" s="5">
        <v>44095.625</v>
      </c>
      <c r="G266" s="19" t="str">
        <f t="shared" si="13"/>
        <v>2020-W39</v>
      </c>
      <c r="H266">
        <f>SUM(A266:A272)</f>
        <v>438</v>
      </c>
      <c r="I266" s="28">
        <f>H266/H259-1</f>
        <v>0.89610389610389607</v>
      </c>
      <c r="J266" s="28">
        <f t="shared" si="14"/>
        <v>3.4000000000000004</v>
      </c>
    </row>
    <row r="267" spans="1:10">
      <c r="A267" s="3">
        <v>52</v>
      </c>
      <c r="B267" t="s">
        <v>219</v>
      </c>
      <c r="C267" t="s">
        <v>456</v>
      </c>
      <c r="E267" s="3">
        <f t="shared" si="12"/>
        <v>2</v>
      </c>
      <c r="F267" s="5">
        <v>44096.625</v>
      </c>
      <c r="G267" s="19" t="str">
        <f t="shared" si="13"/>
        <v/>
      </c>
      <c r="J267" s="28">
        <f t="shared" si="14"/>
        <v>1.08</v>
      </c>
    </row>
    <row r="268" spans="1:10">
      <c r="A268" s="3">
        <v>68</v>
      </c>
      <c r="B268" t="s">
        <v>220</v>
      </c>
      <c r="C268" t="s">
        <v>456</v>
      </c>
      <c r="E268" s="3">
        <f t="shared" si="12"/>
        <v>3</v>
      </c>
      <c r="F268" s="5">
        <v>44097.625</v>
      </c>
      <c r="G268" s="19" t="str">
        <f t="shared" si="13"/>
        <v/>
      </c>
      <c r="J268" s="28">
        <f t="shared" si="14"/>
        <v>1.7200000000000002</v>
      </c>
    </row>
    <row r="269" spans="1:10">
      <c r="A269" s="3">
        <v>67</v>
      </c>
      <c r="B269" t="s">
        <v>221</v>
      </c>
      <c r="C269" t="s">
        <v>456</v>
      </c>
      <c r="E269" s="3">
        <f t="shared" si="12"/>
        <v>4</v>
      </c>
      <c r="F269" s="5">
        <v>44098.625</v>
      </c>
      <c r="G269" s="19" t="str">
        <f t="shared" si="13"/>
        <v/>
      </c>
      <c r="J269" s="28">
        <f t="shared" si="14"/>
        <v>0.59523809523809534</v>
      </c>
    </row>
    <row r="270" spans="1:10">
      <c r="A270" s="3">
        <v>85</v>
      </c>
      <c r="B270" t="s">
        <v>222</v>
      </c>
      <c r="C270" t="s">
        <v>456</v>
      </c>
      <c r="E270" s="3">
        <f t="shared" si="12"/>
        <v>5</v>
      </c>
      <c r="F270" s="5">
        <v>44099.625</v>
      </c>
      <c r="G270" s="19" t="str">
        <f t="shared" si="13"/>
        <v/>
      </c>
      <c r="J270" s="28">
        <f t="shared" si="14"/>
        <v>1.0238095238095237</v>
      </c>
    </row>
    <row r="271" spans="1:10">
      <c r="A271" s="3">
        <v>47</v>
      </c>
      <c r="B271" t="s">
        <v>223</v>
      </c>
      <c r="C271" t="s">
        <v>456</v>
      </c>
      <c r="E271" s="3">
        <f t="shared" si="12"/>
        <v>6</v>
      </c>
      <c r="F271" s="5">
        <v>44100.625</v>
      </c>
      <c r="G271" s="19" t="str">
        <f t="shared" si="13"/>
        <v/>
      </c>
      <c r="J271" s="28">
        <f t="shared" si="14"/>
        <v>0.14634146341463405</v>
      </c>
    </row>
    <row r="272" spans="1:10">
      <c r="A272" s="3">
        <v>53</v>
      </c>
      <c r="B272" t="s">
        <v>224</v>
      </c>
      <c r="C272" t="s">
        <v>456</v>
      </c>
      <c r="E272" s="3">
        <f t="shared" si="12"/>
        <v>7</v>
      </c>
      <c r="F272" s="5">
        <v>44101.625</v>
      </c>
      <c r="G272" s="19" t="str">
        <f t="shared" si="13"/>
        <v/>
      </c>
      <c r="J272" s="28">
        <f t="shared" si="14"/>
        <v>0.29268292682926833</v>
      </c>
    </row>
    <row r="273" spans="1:10">
      <c r="A273" s="3">
        <v>85</v>
      </c>
      <c r="B273" t="s">
        <v>225</v>
      </c>
      <c r="C273" t="s">
        <v>456</v>
      </c>
      <c r="E273" s="3">
        <f t="shared" si="12"/>
        <v>1</v>
      </c>
      <c r="F273" s="5">
        <v>44102.625</v>
      </c>
      <c r="G273" s="19" t="str">
        <f t="shared" si="13"/>
        <v>2020-W40</v>
      </c>
      <c r="H273">
        <f>SUM(A273:A279)</f>
        <v>567</v>
      </c>
      <c r="I273" s="28">
        <f>H273/H266-1</f>
        <v>0.29452054794520555</v>
      </c>
      <c r="J273" s="28">
        <f t="shared" si="14"/>
        <v>0.28787878787878785</v>
      </c>
    </row>
    <row r="274" spans="1:10">
      <c r="A274" s="3">
        <v>81</v>
      </c>
      <c r="B274" t="s">
        <v>226</v>
      </c>
      <c r="C274" t="s">
        <v>456</v>
      </c>
      <c r="E274" s="3">
        <f t="shared" si="12"/>
        <v>2</v>
      </c>
      <c r="F274" s="5">
        <v>44103.625</v>
      </c>
      <c r="G274" s="19" t="str">
        <f t="shared" si="13"/>
        <v/>
      </c>
      <c r="J274" s="28">
        <f t="shared" si="14"/>
        <v>0.55769230769230771</v>
      </c>
    </row>
    <row r="275" spans="1:10">
      <c r="A275" s="3">
        <v>93</v>
      </c>
      <c r="B275" t="s">
        <v>228</v>
      </c>
      <c r="C275" t="s">
        <v>456</v>
      </c>
      <c r="E275" s="3">
        <f t="shared" si="12"/>
        <v>3</v>
      </c>
      <c r="F275" s="5">
        <v>44104.625</v>
      </c>
      <c r="G275" s="19" t="str">
        <f t="shared" si="13"/>
        <v/>
      </c>
      <c r="J275" s="28">
        <f t="shared" si="14"/>
        <v>0.36764705882352944</v>
      </c>
    </row>
    <row r="276" spans="1:10">
      <c r="A276" s="3">
        <v>79</v>
      </c>
      <c r="B276" t="s">
        <v>230</v>
      </c>
      <c r="C276" t="s">
        <v>456</v>
      </c>
      <c r="E276" s="3">
        <f t="shared" si="12"/>
        <v>4</v>
      </c>
      <c r="F276" s="5">
        <v>44105.625</v>
      </c>
      <c r="G276" s="19" t="str">
        <f t="shared" si="13"/>
        <v/>
      </c>
      <c r="J276" s="28">
        <f t="shared" si="14"/>
        <v>0.17910447761194037</v>
      </c>
    </row>
    <row r="277" spans="1:10">
      <c r="A277" s="3">
        <v>79</v>
      </c>
      <c r="B277" t="s">
        <v>231</v>
      </c>
      <c r="C277" t="s">
        <v>456</v>
      </c>
      <c r="E277" s="3">
        <f t="shared" si="12"/>
        <v>5</v>
      </c>
      <c r="F277" s="5">
        <v>44106.625</v>
      </c>
      <c r="G277" s="19" t="str">
        <f t="shared" si="13"/>
        <v/>
      </c>
      <c r="J277" s="28">
        <f t="shared" si="14"/>
        <v>-7.0588235294117618E-2</v>
      </c>
    </row>
    <row r="278" spans="1:10">
      <c r="A278" s="3">
        <v>72</v>
      </c>
      <c r="B278" t="s">
        <v>233</v>
      </c>
      <c r="C278" t="s">
        <v>456</v>
      </c>
      <c r="E278" s="3">
        <f t="shared" si="12"/>
        <v>6</v>
      </c>
      <c r="F278" s="5">
        <v>44107.625</v>
      </c>
      <c r="G278" s="19" t="str">
        <f t="shared" si="13"/>
        <v/>
      </c>
      <c r="J278" s="28">
        <f t="shared" si="14"/>
        <v>0.53191489361702127</v>
      </c>
    </row>
    <row r="279" spans="1:10">
      <c r="A279" s="3">
        <v>78</v>
      </c>
      <c r="B279" t="s">
        <v>292</v>
      </c>
      <c r="C279" t="s">
        <v>456</v>
      </c>
      <c r="E279" s="3">
        <f t="shared" si="12"/>
        <v>7</v>
      </c>
      <c r="F279" s="5">
        <v>44108.625</v>
      </c>
      <c r="G279" s="19" t="str">
        <f t="shared" si="13"/>
        <v/>
      </c>
      <c r="J279" s="28">
        <f t="shared" si="14"/>
        <v>0.47169811320754707</v>
      </c>
    </row>
    <row r="280" spans="1:10" s="10" customFormat="1">
      <c r="A280" s="14">
        <v>119</v>
      </c>
      <c r="B280" s="10" t="s">
        <v>293</v>
      </c>
      <c r="C280" s="10" t="s">
        <v>456</v>
      </c>
      <c r="E280" s="14">
        <f t="shared" si="12"/>
        <v>1</v>
      </c>
      <c r="F280" s="18">
        <v>44109.625</v>
      </c>
      <c r="G280" s="19" t="str">
        <f t="shared" si="13"/>
        <v>2020-W41</v>
      </c>
      <c r="H280">
        <f>SUM(A280:A286)</f>
        <v>757</v>
      </c>
      <c r="I280" s="28">
        <f>H280/H273-1</f>
        <v>0.33509700176366852</v>
      </c>
      <c r="J280" s="28">
        <f t="shared" si="14"/>
        <v>0.39999999999999991</v>
      </c>
    </row>
    <row r="281" spans="1:10">
      <c r="A281" s="3">
        <v>129</v>
      </c>
      <c r="B281" t="s">
        <v>294</v>
      </c>
      <c r="C281" t="s">
        <v>456</v>
      </c>
      <c r="E281" s="3">
        <f t="shared" si="12"/>
        <v>2</v>
      </c>
      <c r="F281" s="5">
        <v>44110.625</v>
      </c>
      <c r="G281" s="19" t="str">
        <f t="shared" si="13"/>
        <v/>
      </c>
      <c r="J281" s="28">
        <f t="shared" si="14"/>
        <v>0.59259259259259256</v>
      </c>
    </row>
    <row r="282" spans="1:10">
      <c r="A282" s="3">
        <v>120</v>
      </c>
      <c r="B282" t="s">
        <v>295</v>
      </c>
      <c r="C282" t="s">
        <v>456</v>
      </c>
      <c r="E282" s="3">
        <f t="shared" si="12"/>
        <v>3</v>
      </c>
      <c r="F282" s="5">
        <v>44111.625</v>
      </c>
      <c r="G282" s="19" t="str">
        <f t="shared" si="13"/>
        <v/>
      </c>
      <c r="J282" s="28">
        <f t="shared" si="14"/>
        <v>0.29032258064516125</v>
      </c>
    </row>
    <row r="283" spans="1:10">
      <c r="A283" s="3">
        <v>136</v>
      </c>
      <c r="B283" t="s">
        <v>296</v>
      </c>
      <c r="C283" t="s">
        <v>456</v>
      </c>
      <c r="E283" s="3">
        <f t="shared" si="12"/>
        <v>4</v>
      </c>
      <c r="F283" s="5">
        <v>44112.625</v>
      </c>
      <c r="G283" s="19" t="str">
        <f t="shared" si="13"/>
        <v/>
      </c>
      <c r="J283" s="28">
        <f t="shared" si="14"/>
        <v>0.72151898734177222</v>
      </c>
    </row>
    <row r="284" spans="1:10">
      <c r="A284" s="3">
        <v>126</v>
      </c>
      <c r="B284" t="s">
        <v>297</v>
      </c>
      <c r="C284" t="s">
        <v>456</v>
      </c>
      <c r="E284" s="3">
        <f t="shared" si="12"/>
        <v>5</v>
      </c>
      <c r="F284" s="5">
        <v>44113.625</v>
      </c>
      <c r="G284" s="19" t="str">
        <f t="shared" si="13"/>
        <v/>
      </c>
      <c r="J284" s="28">
        <f t="shared" si="14"/>
        <v>0.59493670886075956</v>
      </c>
    </row>
    <row r="285" spans="1:10">
      <c r="A285" s="3">
        <v>53</v>
      </c>
      <c r="B285" t="s">
        <v>300</v>
      </c>
      <c r="C285" t="s">
        <v>456</v>
      </c>
      <c r="E285" s="3">
        <f t="shared" si="12"/>
        <v>6</v>
      </c>
      <c r="F285" s="5">
        <v>44114.625</v>
      </c>
      <c r="G285" s="19" t="str">
        <f t="shared" si="13"/>
        <v/>
      </c>
      <c r="J285" s="28">
        <f t="shared" si="14"/>
        <v>-0.26388888888888884</v>
      </c>
    </row>
    <row r="286" spans="1:10">
      <c r="A286" s="3">
        <v>74</v>
      </c>
      <c r="B286" t="s">
        <v>301</v>
      </c>
      <c r="C286" t="s">
        <v>456</v>
      </c>
      <c r="E286" s="3">
        <f t="shared" si="12"/>
        <v>7</v>
      </c>
      <c r="F286" s="5">
        <v>44115.625</v>
      </c>
      <c r="G286" s="19" t="str">
        <f t="shared" si="13"/>
        <v/>
      </c>
      <c r="J286" s="28">
        <f t="shared" si="14"/>
        <v>-5.1282051282051322E-2</v>
      </c>
    </row>
    <row r="287" spans="1:10" s="10" customFormat="1">
      <c r="A287" s="14">
        <v>135</v>
      </c>
      <c r="B287" s="10" t="s">
        <v>305</v>
      </c>
      <c r="C287" s="10" t="s">
        <v>456</v>
      </c>
      <c r="E287" s="14">
        <f t="shared" si="12"/>
        <v>1</v>
      </c>
      <c r="F287" s="18">
        <v>44116.625</v>
      </c>
      <c r="G287" s="19" t="str">
        <f t="shared" si="13"/>
        <v>2020-W42</v>
      </c>
      <c r="H287">
        <f>SUM(A287:A293)</f>
        <v>711</v>
      </c>
      <c r="I287" s="28">
        <f>H287/H280-1</f>
        <v>-6.0766182298546911E-2</v>
      </c>
      <c r="J287" s="28">
        <f t="shared" si="14"/>
        <v>0.13445378151260501</v>
      </c>
    </row>
    <row r="288" spans="1:10">
      <c r="A288" s="3">
        <v>118</v>
      </c>
      <c r="B288" t="s">
        <v>306</v>
      </c>
      <c r="C288" t="s">
        <v>456</v>
      </c>
      <c r="E288" s="3">
        <f t="shared" si="12"/>
        <v>2</v>
      </c>
      <c r="F288" s="5">
        <v>44117.625</v>
      </c>
      <c r="G288" s="19" t="str">
        <f t="shared" si="13"/>
        <v/>
      </c>
      <c r="J288" s="28">
        <f t="shared" si="14"/>
        <v>-8.5271317829457405E-2</v>
      </c>
    </row>
    <row r="289" spans="1:10">
      <c r="A289" s="3">
        <v>87</v>
      </c>
      <c r="B289" t="s">
        <v>307</v>
      </c>
      <c r="C289" t="s">
        <v>456</v>
      </c>
      <c r="E289" s="3">
        <f t="shared" si="12"/>
        <v>3</v>
      </c>
      <c r="F289" s="5">
        <v>44118.625</v>
      </c>
      <c r="G289" s="19" t="str">
        <f t="shared" si="13"/>
        <v/>
      </c>
      <c r="J289" s="28">
        <f t="shared" si="14"/>
        <v>-0.27500000000000002</v>
      </c>
    </row>
    <row r="290" spans="1:10">
      <c r="A290" s="3">
        <v>116</v>
      </c>
      <c r="B290" t="s">
        <v>308</v>
      </c>
      <c r="C290" t="s">
        <v>456</v>
      </c>
      <c r="E290" s="3">
        <f t="shared" si="12"/>
        <v>4</v>
      </c>
      <c r="F290" s="5">
        <v>44119.625</v>
      </c>
      <c r="G290" s="19" t="str">
        <f t="shared" si="13"/>
        <v/>
      </c>
      <c r="J290" s="28">
        <f t="shared" si="14"/>
        <v>-0.1470588235294118</v>
      </c>
    </row>
    <row r="291" spans="1:10">
      <c r="A291" s="3">
        <v>119</v>
      </c>
      <c r="B291" t="s">
        <v>309</v>
      </c>
      <c r="C291" t="s">
        <v>456</v>
      </c>
      <c r="E291" s="3">
        <f t="shared" si="12"/>
        <v>5</v>
      </c>
      <c r="F291" s="5">
        <v>44120.625</v>
      </c>
      <c r="G291" s="19" t="str">
        <f t="shared" si="13"/>
        <v/>
      </c>
      <c r="J291" s="28">
        <f t="shared" si="14"/>
        <v>-5.555555555555558E-2</v>
      </c>
    </row>
    <row r="292" spans="1:10">
      <c r="A292" s="3">
        <v>51</v>
      </c>
      <c r="B292" t="s">
        <v>310</v>
      </c>
      <c r="C292" t="s">
        <v>456</v>
      </c>
      <c r="E292" s="3">
        <f t="shared" si="12"/>
        <v>6</v>
      </c>
      <c r="F292" s="5">
        <v>44121.625</v>
      </c>
      <c r="G292" s="19" t="str">
        <f t="shared" si="13"/>
        <v/>
      </c>
      <c r="J292" s="28">
        <f t="shared" si="14"/>
        <v>-3.7735849056603765E-2</v>
      </c>
    </row>
    <row r="293" spans="1:10">
      <c r="A293" s="3">
        <v>85</v>
      </c>
      <c r="B293" t="s">
        <v>311</v>
      </c>
      <c r="C293" t="s">
        <v>456</v>
      </c>
      <c r="E293" s="3">
        <f t="shared" si="12"/>
        <v>7</v>
      </c>
      <c r="F293" s="5">
        <v>44122.625</v>
      </c>
      <c r="G293" s="19" t="str">
        <f t="shared" si="13"/>
        <v/>
      </c>
      <c r="J293" s="28">
        <f t="shared" si="14"/>
        <v>0.14864864864864868</v>
      </c>
    </row>
    <row r="294" spans="1:10" s="10" customFormat="1">
      <c r="A294" s="14">
        <v>127</v>
      </c>
      <c r="B294" s="10" t="s">
        <v>312</v>
      </c>
      <c r="C294" s="10" t="s">
        <v>456</v>
      </c>
      <c r="E294" s="14">
        <f t="shared" si="12"/>
        <v>1</v>
      </c>
      <c r="F294" s="18">
        <v>44123.625</v>
      </c>
      <c r="G294" s="19" t="str">
        <f t="shared" si="13"/>
        <v>2020-W43</v>
      </c>
      <c r="H294">
        <f>SUM(A294:A300)</f>
        <v>673</v>
      </c>
      <c r="I294" s="28">
        <f>H294/H287-1</f>
        <v>-5.3445850914205395E-2</v>
      </c>
      <c r="J294" s="28">
        <f t="shared" si="14"/>
        <v>-5.9259259259259234E-2</v>
      </c>
    </row>
    <row r="295" spans="1:10">
      <c r="A295" s="3">
        <v>90</v>
      </c>
      <c r="B295" t="s">
        <v>313</v>
      </c>
      <c r="C295" t="s">
        <v>456</v>
      </c>
      <c r="E295" s="3">
        <f t="shared" si="12"/>
        <v>2</v>
      </c>
      <c r="F295" s="5">
        <v>44124.625</v>
      </c>
      <c r="G295" s="19" t="str">
        <f t="shared" si="13"/>
        <v/>
      </c>
      <c r="J295" s="28">
        <f t="shared" si="14"/>
        <v>-0.23728813559322037</v>
      </c>
    </row>
    <row r="296" spans="1:10">
      <c r="A296" s="3">
        <v>105</v>
      </c>
      <c r="B296" t="s">
        <v>314</v>
      </c>
      <c r="C296" t="s">
        <v>456</v>
      </c>
      <c r="E296" s="3">
        <f t="shared" si="12"/>
        <v>3</v>
      </c>
      <c r="F296" s="5">
        <v>44125.625</v>
      </c>
      <c r="G296" s="19" t="str">
        <f t="shared" si="13"/>
        <v/>
      </c>
      <c r="J296" s="28">
        <f t="shared" si="14"/>
        <v>0.2068965517241379</v>
      </c>
    </row>
    <row r="297" spans="1:10">
      <c r="A297" s="3">
        <v>111</v>
      </c>
      <c r="B297" t="s">
        <v>315</v>
      </c>
      <c r="C297" t="s">
        <v>456</v>
      </c>
      <c r="E297" s="3">
        <f t="shared" si="12"/>
        <v>4</v>
      </c>
      <c r="F297" s="5">
        <v>44126.625</v>
      </c>
      <c r="G297" s="19" t="str">
        <f t="shared" si="13"/>
        <v/>
      </c>
      <c r="J297" s="28">
        <f t="shared" si="14"/>
        <v>-4.31034482758621E-2</v>
      </c>
    </row>
    <row r="298" spans="1:10">
      <c r="A298" s="3">
        <v>103</v>
      </c>
      <c r="B298" t="s">
        <v>316</v>
      </c>
      <c r="C298" t="s">
        <v>456</v>
      </c>
      <c r="E298" s="3">
        <f t="shared" si="12"/>
        <v>5</v>
      </c>
      <c r="F298" s="5">
        <v>44127.625</v>
      </c>
      <c r="G298" s="19" t="str">
        <f t="shared" si="13"/>
        <v/>
      </c>
      <c r="J298" s="28">
        <f t="shared" si="14"/>
        <v>-0.13445378151260501</v>
      </c>
    </row>
    <row r="299" spans="1:10">
      <c r="A299" s="3">
        <v>66</v>
      </c>
      <c r="B299" t="s">
        <v>317</v>
      </c>
      <c r="C299" t="s">
        <v>456</v>
      </c>
      <c r="E299" s="3">
        <f t="shared" si="12"/>
        <v>6</v>
      </c>
      <c r="F299" s="5">
        <v>44128.625</v>
      </c>
      <c r="G299" s="19" t="str">
        <f t="shared" si="13"/>
        <v/>
      </c>
      <c r="J299" s="28">
        <f t="shared" si="14"/>
        <v>0.29411764705882359</v>
      </c>
    </row>
    <row r="300" spans="1:10">
      <c r="A300" s="3">
        <v>71</v>
      </c>
      <c r="B300" t="s">
        <v>318</v>
      </c>
      <c r="C300" t="s">
        <v>456</v>
      </c>
      <c r="E300" s="3">
        <f t="shared" si="12"/>
        <v>7</v>
      </c>
      <c r="F300" s="5">
        <v>44129.625</v>
      </c>
      <c r="G300" s="19" t="str">
        <f t="shared" si="13"/>
        <v/>
      </c>
      <c r="J300" s="28">
        <f t="shared" si="14"/>
        <v>-0.16470588235294115</v>
      </c>
    </row>
    <row r="301" spans="1:10" s="10" customFormat="1">
      <c r="A301" s="14">
        <v>133</v>
      </c>
      <c r="B301" s="10" t="s">
        <v>319</v>
      </c>
      <c r="C301" s="10" t="s">
        <v>456</v>
      </c>
      <c r="E301" s="14">
        <f t="shared" si="12"/>
        <v>1</v>
      </c>
      <c r="F301" s="18">
        <v>44130.625</v>
      </c>
      <c r="G301" s="19" t="str">
        <f t="shared" si="13"/>
        <v>2020-W44</v>
      </c>
      <c r="H301">
        <f>SUM(A301:A307)</f>
        <v>765</v>
      </c>
      <c r="I301" s="28">
        <f>H301/H294-1</f>
        <v>0.13670133729569089</v>
      </c>
      <c r="J301" s="28">
        <f t="shared" si="14"/>
        <v>4.7244094488188892E-2</v>
      </c>
    </row>
    <row r="302" spans="1:10">
      <c r="A302" s="3">
        <v>121</v>
      </c>
      <c r="B302" t="s">
        <v>320</v>
      </c>
      <c r="C302" t="s">
        <v>456</v>
      </c>
      <c r="E302" s="3">
        <f t="shared" si="12"/>
        <v>2</v>
      </c>
      <c r="F302" s="5">
        <v>44131.625</v>
      </c>
      <c r="G302" s="19" t="str">
        <f t="shared" si="13"/>
        <v/>
      </c>
      <c r="J302" s="28">
        <f t="shared" si="14"/>
        <v>0.34444444444444455</v>
      </c>
    </row>
    <row r="303" spans="1:10">
      <c r="A303" s="3">
        <v>121</v>
      </c>
      <c r="B303" t="s">
        <v>321</v>
      </c>
      <c r="C303" t="s">
        <v>456</v>
      </c>
      <c r="E303" s="3">
        <f t="shared" si="12"/>
        <v>3</v>
      </c>
      <c r="F303" s="5">
        <v>44132.625</v>
      </c>
      <c r="G303" s="19" t="str">
        <f t="shared" si="13"/>
        <v/>
      </c>
      <c r="J303" s="28">
        <f t="shared" si="14"/>
        <v>0.15238095238095228</v>
      </c>
    </row>
    <row r="304" spans="1:10">
      <c r="A304" s="3">
        <v>102</v>
      </c>
      <c r="B304" t="s">
        <v>322</v>
      </c>
      <c r="C304" t="s">
        <v>456</v>
      </c>
      <c r="E304" s="3">
        <f t="shared" si="12"/>
        <v>4</v>
      </c>
      <c r="F304" s="5">
        <v>44133.625</v>
      </c>
      <c r="G304" s="19" t="str">
        <f t="shared" si="13"/>
        <v/>
      </c>
      <c r="J304" s="28">
        <f t="shared" si="14"/>
        <v>-8.108108108108103E-2</v>
      </c>
    </row>
    <row r="305" spans="1:10">
      <c r="A305" s="3">
        <v>123</v>
      </c>
      <c r="B305" t="s">
        <v>323</v>
      </c>
      <c r="C305" t="s">
        <v>456</v>
      </c>
      <c r="E305" s="3">
        <f t="shared" si="12"/>
        <v>5</v>
      </c>
      <c r="F305" s="5">
        <v>44134.625</v>
      </c>
      <c r="G305" s="19" t="str">
        <f t="shared" si="13"/>
        <v/>
      </c>
      <c r="J305" s="28">
        <f t="shared" si="14"/>
        <v>0.19417475728155331</v>
      </c>
    </row>
    <row r="306" spans="1:10">
      <c r="A306" s="3">
        <v>72</v>
      </c>
      <c r="B306" t="s">
        <v>324</v>
      </c>
      <c r="C306" t="s">
        <v>456</v>
      </c>
      <c r="E306" s="3">
        <f t="shared" si="12"/>
        <v>6</v>
      </c>
      <c r="F306" s="5">
        <v>44135.625</v>
      </c>
      <c r="G306" s="19" t="str">
        <f t="shared" si="13"/>
        <v/>
      </c>
      <c r="J306" s="28">
        <f t="shared" si="14"/>
        <v>9.0909090909090828E-2</v>
      </c>
    </row>
    <row r="307" spans="1:10">
      <c r="A307" s="3">
        <v>93</v>
      </c>
      <c r="B307" t="s">
        <v>325</v>
      </c>
      <c r="C307" t="s">
        <v>456</v>
      </c>
      <c r="E307" s="3">
        <f t="shared" si="12"/>
        <v>7</v>
      </c>
      <c r="F307" s="5">
        <v>44136.625</v>
      </c>
      <c r="G307" s="19" t="str">
        <f t="shared" si="13"/>
        <v/>
      </c>
      <c r="J307" s="28">
        <f t="shared" si="14"/>
        <v>0.3098591549295775</v>
      </c>
    </row>
    <row r="308" spans="1:10" s="10" customFormat="1">
      <c r="A308" s="14">
        <v>155</v>
      </c>
      <c r="B308" s="10" t="s">
        <v>326</v>
      </c>
      <c r="C308" s="10" t="s">
        <v>456</v>
      </c>
      <c r="E308" s="14">
        <f t="shared" si="12"/>
        <v>1</v>
      </c>
      <c r="F308" s="18">
        <v>44137.625</v>
      </c>
      <c r="G308" s="19" t="str">
        <f t="shared" si="13"/>
        <v>2020-W45</v>
      </c>
      <c r="H308">
        <f>SUM(A308:A314)</f>
        <v>858</v>
      </c>
      <c r="I308" s="28">
        <f>H308/H301-1</f>
        <v>0.1215686274509804</v>
      </c>
      <c r="J308" s="28">
        <f t="shared" si="14"/>
        <v>0.16541353383458657</v>
      </c>
    </row>
    <row r="309" spans="1:10">
      <c r="A309" s="3">
        <v>149</v>
      </c>
      <c r="B309" t="s">
        <v>327</v>
      </c>
      <c r="C309" t="s">
        <v>456</v>
      </c>
      <c r="E309" s="3">
        <f t="shared" si="12"/>
        <v>2</v>
      </c>
      <c r="F309" s="5">
        <v>44138.625</v>
      </c>
      <c r="G309" s="19" t="str">
        <f t="shared" si="13"/>
        <v/>
      </c>
      <c r="J309" s="28">
        <f t="shared" si="14"/>
        <v>0.23140495867768585</v>
      </c>
    </row>
    <row r="310" spans="1:10">
      <c r="A310" s="3">
        <v>126</v>
      </c>
      <c r="B310" t="s">
        <v>328</v>
      </c>
      <c r="C310" t="s">
        <v>456</v>
      </c>
      <c r="E310" s="3">
        <f t="shared" si="12"/>
        <v>3</v>
      </c>
      <c r="F310" s="5">
        <v>44139.625</v>
      </c>
      <c r="G310" s="19" t="str">
        <f t="shared" si="13"/>
        <v/>
      </c>
      <c r="J310" s="28">
        <f t="shared" si="14"/>
        <v>4.1322314049586861E-2</v>
      </c>
    </row>
    <row r="311" spans="1:10">
      <c r="A311" s="3">
        <v>138</v>
      </c>
      <c r="B311" t="s">
        <v>329</v>
      </c>
      <c r="C311" t="s">
        <v>456</v>
      </c>
      <c r="E311" s="3">
        <f t="shared" si="12"/>
        <v>4</v>
      </c>
      <c r="F311" s="5">
        <v>44140.625</v>
      </c>
      <c r="G311" s="19" t="str">
        <f t="shared" si="13"/>
        <v/>
      </c>
      <c r="J311" s="28">
        <f t="shared" si="14"/>
        <v>0.35294117647058831</v>
      </c>
    </row>
    <row r="312" spans="1:10">
      <c r="A312" s="3">
        <v>116</v>
      </c>
      <c r="B312" t="s">
        <v>330</v>
      </c>
      <c r="C312" t="s">
        <v>456</v>
      </c>
      <c r="E312" s="3">
        <f t="shared" si="12"/>
        <v>5</v>
      </c>
      <c r="F312" s="5">
        <v>44141.625</v>
      </c>
      <c r="G312" s="19" t="str">
        <f t="shared" si="13"/>
        <v/>
      </c>
      <c r="J312" s="28">
        <f t="shared" si="14"/>
        <v>-5.6910569105691033E-2</v>
      </c>
    </row>
    <row r="313" spans="1:10">
      <c r="A313" s="3">
        <v>94</v>
      </c>
      <c r="B313" t="s">
        <v>331</v>
      </c>
      <c r="C313" t="s">
        <v>456</v>
      </c>
      <c r="E313" s="3">
        <f t="shared" si="12"/>
        <v>6</v>
      </c>
      <c r="F313" s="5">
        <v>44142.625</v>
      </c>
      <c r="G313" s="19" t="str">
        <f t="shared" si="13"/>
        <v/>
      </c>
      <c r="J313" s="28">
        <f t="shared" si="14"/>
        <v>0.30555555555555558</v>
      </c>
    </row>
    <row r="314" spans="1:10">
      <c r="A314" s="3">
        <v>80</v>
      </c>
      <c r="B314" t="s">
        <v>332</v>
      </c>
      <c r="C314" t="s">
        <v>456</v>
      </c>
      <c r="E314" s="3">
        <f t="shared" si="12"/>
        <v>7</v>
      </c>
      <c r="F314" s="5">
        <v>44143.625</v>
      </c>
      <c r="G314" s="19" t="str">
        <f t="shared" si="13"/>
        <v/>
      </c>
      <c r="J314" s="28">
        <f t="shared" si="14"/>
        <v>-0.13978494623655913</v>
      </c>
    </row>
    <row r="315" spans="1:10">
      <c r="A315" s="3">
        <v>162</v>
      </c>
      <c r="B315" t="s">
        <v>333</v>
      </c>
      <c r="C315" t="s">
        <v>456</v>
      </c>
      <c r="E315" s="3">
        <f t="shared" si="12"/>
        <v>1</v>
      </c>
      <c r="F315" s="5">
        <v>44144.625</v>
      </c>
      <c r="G315" s="19" t="str">
        <f t="shared" si="13"/>
        <v>2020-W46</v>
      </c>
      <c r="H315">
        <f>SUM(A315:A321)</f>
        <v>998</v>
      </c>
      <c r="I315" s="28">
        <f>H315/H308-1</f>
        <v>0.1631701631701632</v>
      </c>
      <c r="J315" s="28">
        <f t="shared" si="14"/>
        <v>4.5161290322580649E-2</v>
      </c>
    </row>
    <row r="316" spans="1:10">
      <c r="A316" s="3">
        <v>127</v>
      </c>
      <c r="B316" t="s">
        <v>334</v>
      </c>
      <c r="C316" t="s">
        <v>456</v>
      </c>
      <c r="E316" s="3">
        <f t="shared" si="12"/>
        <v>2</v>
      </c>
      <c r="F316" s="5">
        <v>44145.625</v>
      </c>
      <c r="G316" s="19" t="str">
        <f t="shared" si="13"/>
        <v/>
      </c>
      <c r="J316" s="28">
        <f t="shared" si="14"/>
        <v>-0.1476510067114094</v>
      </c>
    </row>
    <row r="317" spans="1:10">
      <c r="A317" s="3">
        <v>147</v>
      </c>
      <c r="B317" t="s">
        <v>335</v>
      </c>
      <c r="C317" t="s">
        <v>456</v>
      </c>
      <c r="E317" s="3">
        <f t="shared" si="12"/>
        <v>3</v>
      </c>
      <c r="F317" s="5">
        <v>44146.625</v>
      </c>
      <c r="G317" s="19" t="str">
        <f t="shared" si="13"/>
        <v/>
      </c>
      <c r="J317" s="28">
        <f t="shared" si="14"/>
        <v>0.16666666666666674</v>
      </c>
    </row>
    <row r="318" spans="1:10">
      <c r="A318" s="3">
        <v>194</v>
      </c>
      <c r="B318" t="s">
        <v>336</v>
      </c>
      <c r="C318" t="s">
        <v>456</v>
      </c>
      <c r="E318" s="3">
        <f t="shared" si="12"/>
        <v>4</v>
      </c>
      <c r="F318" s="5">
        <v>44147.625</v>
      </c>
      <c r="G318" s="19" t="str">
        <f t="shared" si="13"/>
        <v/>
      </c>
      <c r="J318" s="28">
        <f t="shared" si="14"/>
        <v>0.40579710144927539</v>
      </c>
    </row>
    <row r="319" spans="1:10">
      <c r="A319" s="3">
        <v>167</v>
      </c>
      <c r="B319" t="s">
        <v>337</v>
      </c>
      <c r="C319" t="s">
        <v>456</v>
      </c>
      <c r="E319" s="3">
        <f t="shared" si="12"/>
        <v>5</v>
      </c>
      <c r="F319" s="5">
        <v>44148.625</v>
      </c>
      <c r="G319" s="19" t="str">
        <f t="shared" si="13"/>
        <v/>
      </c>
      <c r="J319" s="28">
        <f t="shared" si="14"/>
        <v>0.43965517241379315</v>
      </c>
    </row>
    <row r="320" spans="1:10">
      <c r="A320" s="3">
        <v>91</v>
      </c>
      <c r="B320" t="s">
        <v>338</v>
      </c>
      <c r="C320" t="s">
        <v>456</v>
      </c>
      <c r="E320" s="3">
        <f t="shared" si="12"/>
        <v>6</v>
      </c>
      <c r="F320" s="5">
        <v>44149.625</v>
      </c>
      <c r="G320" s="19" t="str">
        <f t="shared" si="13"/>
        <v/>
      </c>
      <c r="J320" s="28">
        <f t="shared" si="14"/>
        <v>-3.1914893617021267E-2</v>
      </c>
    </row>
    <row r="321" spans="1:10">
      <c r="A321" s="3">
        <v>110</v>
      </c>
      <c r="B321" t="s">
        <v>339</v>
      </c>
      <c r="C321" t="s">
        <v>456</v>
      </c>
      <c r="E321" s="3">
        <f t="shared" si="12"/>
        <v>7</v>
      </c>
      <c r="F321" s="5">
        <v>44150.625</v>
      </c>
      <c r="G321" s="19" t="str">
        <f t="shared" si="13"/>
        <v/>
      </c>
      <c r="J321" s="28">
        <f t="shared" si="14"/>
        <v>0.375</v>
      </c>
    </row>
    <row r="322" spans="1:10">
      <c r="A322" s="3">
        <v>241</v>
      </c>
      <c r="B322" t="s">
        <v>340</v>
      </c>
      <c r="C322" t="s">
        <v>456</v>
      </c>
      <c r="E322" s="3">
        <f t="shared" si="12"/>
        <v>1</v>
      </c>
      <c r="F322" s="5">
        <v>44151.625</v>
      </c>
      <c r="G322" s="19" t="str">
        <f t="shared" si="13"/>
        <v>2020-W47</v>
      </c>
      <c r="H322">
        <f>SUM(A322:A328)</f>
        <v>1665</v>
      </c>
      <c r="I322" s="28">
        <f>H322/H315-1</f>
        <v>0.66833667334669333</v>
      </c>
      <c r="J322" s="28">
        <f t="shared" si="14"/>
        <v>0.48765432098765427</v>
      </c>
    </row>
    <row r="323" spans="1:10">
      <c r="A323" s="3">
        <v>258</v>
      </c>
      <c r="B323" t="s">
        <v>341</v>
      </c>
      <c r="C323" t="s">
        <v>456</v>
      </c>
      <c r="E323" s="3">
        <f t="shared" si="12"/>
        <v>2</v>
      </c>
      <c r="F323" s="5">
        <v>44152.625</v>
      </c>
      <c r="G323" s="19" t="str">
        <f t="shared" ref="G323:G386" si="15">IF(WEEKDAY(F323,2)=1,YEAR(F323)&amp;"-W"&amp;TEXT(WEEKNUM(F323,14),"00"),"")</f>
        <v/>
      </c>
      <c r="J323" s="28">
        <f t="shared" si="14"/>
        <v>1.0314960629921259</v>
      </c>
    </row>
    <row r="324" spans="1:10">
      <c r="A324" s="3">
        <v>241</v>
      </c>
      <c r="B324" t="s">
        <v>342</v>
      </c>
      <c r="C324" t="s">
        <v>456</v>
      </c>
      <c r="E324" s="3">
        <f t="shared" si="12"/>
        <v>3</v>
      </c>
      <c r="F324" s="5">
        <v>44153.625</v>
      </c>
      <c r="G324" s="19" t="str">
        <f t="shared" si="15"/>
        <v/>
      </c>
      <c r="J324" s="28">
        <f t="shared" si="14"/>
        <v>0.63945578231292521</v>
      </c>
    </row>
    <row r="325" spans="1:10">
      <c r="A325" s="3">
        <v>320</v>
      </c>
      <c r="B325" t="s">
        <v>343</v>
      </c>
      <c r="C325" t="s">
        <v>456</v>
      </c>
      <c r="E325" s="3">
        <f t="shared" ref="E325:E388" si="16">WEEKDAY(F325,2)</f>
        <v>4</v>
      </c>
      <c r="F325" s="5">
        <v>44154.625</v>
      </c>
      <c r="G325" s="19" t="str">
        <f t="shared" si="15"/>
        <v/>
      </c>
      <c r="J325" s="28">
        <f t="shared" si="14"/>
        <v>0.64948453608247414</v>
      </c>
    </row>
    <row r="326" spans="1:10">
      <c r="A326" s="3">
        <v>264</v>
      </c>
      <c r="B326" t="s">
        <v>344</v>
      </c>
      <c r="C326" t="s">
        <v>456</v>
      </c>
      <c r="E326" s="3">
        <f t="shared" si="16"/>
        <v>5</v>
      </c>
      <c r="F326" s="5">
        <v>44155.625</v>
      </c>
      <c r="G326" s="19" t="str">
        <f t="shared" si="15"/>
        <v/>
      </c>
      <c r="J326" s="28">
        <f t="shared" si="14"/>
        <v>0.58083832335329344</v>
      </c>
    </row>
    <row r="327" spans="1:10">
      <c r="A327" s="3">
        <v>180</v>
      </c>
      <c r="B327" t="s">
        <v>347</v>
      </c>
      <c r="C327" t="s">
        <v>456</v>
      </c>
      <c r="E327" s="3">
        <f t="shared" si="16"/>
        <v>6</v>
      </c>
      <c r="F327" s="5">
        <v>44156.625</v>
      </c>
      <c r="G327" s="19" t="str">
        <f t="shared" si="15"/>
        <v/>
      </c>
      <c r="J327" s="28">
        <f t="shared" si="14"/>
        <v>0.9780219780219781</v>
      </c>
    </row>
    <row r="328" spans="1:10">
      <c r="A328" s="3">
        <v>161</v>
      </c>
      <c r="B328" t="s">
        <v>348</v>
      </c>
      <c r="C328" t="s">
        <v>456</v>
      </c>
      <c r="E328" s="3">
        <f t="shared" si="16"/>
        <v>7</v>
      </c>
      <c r="F328" s="5">
        <v>44157.625</v>
      </c>
      <c r="G328" s="19" t="str">
        <f t="shared" si="15"/>
        <v/>
      </c>
      <c r="J328" s="28">
        <f t="shared" si="14"/>
        <v>0.46363636363636362</v>
      </c>
    </row>
    <row r="329" spans="1:10">
      <c r="A329" s="3">
        <v>261</v>
      </c>
      <c r="B329" t="s">
        <v>349</v>
      </c>
      <c r="C329" t="s">
        <v>456</v>
      </c>
      <c r="E329" s="3">
        <f t="shared" si="16"/>
        <v>1</v>
      </c>
      <c r="F329" s="5">
        <v>44158.625</v>
      </c>
      <c r="G329" s="19" t="str">
        <f t="shared" si="15"/>
        <v>2020-W48</v>
      </c>
      <c r="H329">
        <f>SUM(A329:A335)</f>
        <v>1655</v>
      </c>
      <c r="I329" s="28">
        <f>H329/H322-1</f>
        <v>-6.0060060060059817E-3</v>
      </c>
      <c r="J329" s="28">
        <f t="shared" ref="J329:J392" si="17">A329/A322-1</f>
        <v>8.2987551867219844E-2</v>
      </c>
    </row>
    <row r="330" spans="1:10">
      <c r="A330" s="3">
        <v>283</v>
      </c>
      <c r="B330" t="s">
        <v>350</v>
      </c>
      <c r="C330" t="s">
        <v>456</v>
      </c>
      <c r="E330" s="3">
        <f t="shared" si="16"/>
        <v>2</v>
      </c>
      <c r="F330" s="5">
        <v>44159.625</v>
      </c>
      <c r="G330" s="19" t="str">
        <f t="shared" si="15"/>
        <v/>
      </c>
      <c r="J330" s="28">
        <f t="shared" si="17"/>
        <v>9.68992248062015E-2</v>
      </c>
    </row>
    <row r="331" spans="1:10">
      <c r="A331" s="3">
        <v>299</v>
      </c>
      <c r="B331" t="s">
        <v>351</v>
      </c>
      <c r="C331" t="s">
        <v>456</v>
      </c>
      <c r="E331" s="3">
        <f t="shared" si="16"/>
        <v>3</v>
      </c>
      <c r="F331" s="5">
        <v>44160.625</v>
      </c>
      <c r="G331" s="19" t="str">
        <f t="shared" si="15"/>
        <v/>
      </c>
      <c r="J331" s="28">
        <f t="shared" si="17"/>
        <v>0.24066390041493779</v>
      </c>
    </row>
    <row r="332" spans="1:10">
      <c r="A332" s="3">
        <v>261</v>
      </c>
      <c r="B332" t="s">
        <v>354</v>
      </c>
      <c r="C332" t="s">
        <v>456</v>
      </c>
      <c r="E332" s="3">
        <f t="shared" si="16"/>
        <v>4</v>
      </c>
      <c r="F332" s="5">
        <v>44161.625</v>
      </c>
      <c r="G332" s="19" t="str">
        <f t="shared" si="15"/>
        <v/>
      </c>
      <c r="J332" s="28">
        <f t="shared" si="17"/>
        <v>-0.18437499999999996</v>
      </c>
    </row>
    <row r="333" spans="1:10">
      <c r="A333" s="3">
        <v>242</v>
      </c>
      <c r="B333" t="s">
        <v>355</v>
      </c>
      <c r="C333" t="s">
        <v>456</v>
      </c>
      <c r="E333" s="3">
        <f t="shared" si="16"/>
        <v>5</v>
      </c>
      <c r="F333" s="5">
        <v>44162.625</v>
      </c>
      <c r="G333" s="19" t="str">
        <f t="shared" si="15"/>
        <v/>
      </c>
      <c r="J333" s="28">
        <f t="shared" si="17"/>
        <v>-8.333333333333337E-2</v>
      </c>
    </row>
    <row r="334" spans="1:10">
      <c r="A334" s="3">
        <v>151</v>
      </c>
      <c r="B334" t="s">
        <v>356</v>
      </c>
      <c r="C334" t="s">
        <v>456</v>
      </c>
      <c r="E334" s="3">
        <f t="shared" si="16"/>
        <v>6</v>
      </c>
      <c r="F334" s="5">
        <v>44163.625</v>
      </c>
      <c r="G334" s="19" t="str">
        <f t="shared" si="15"/>
        <v/>
      </c>
      <c r="J334" s="28">
        <f t="shared" si="17"/>
        <v>-0.16111111111111109</v>
      </c>
    </row>
    <row r="335" spans="1:10">
      <c r="A335" s="3">
        <v>158</v>
      </c>
      <c r="B335" t="s">
        <v>357</v>
      </c>
      <c r="C335" t="s">
        <v>456</v>
      </c>
      <c r="E335" s="3">
        <f t="shared" si="16"/>
        <v>7</v>
      </c>
      <c r="F335" s="5">
        <v>44164.625</v>
      </c>
      <c r="G335" s="19" t="str">
        <f t="shared" si="15"/>
        <v/>
      </c>
      <c r="J335" s="28">
        <f t="shared" si="17"/>
        <v>-1.8633540372670843E-2</v>
      </c>
    </row>
    <row r="336" spans="1:10">
      <c r="A336" s="3">
        <v>313</v>
      </c>
      <c r="B336" t="s">
        <v>358</v>
      </c>
      <c r="C336" t="s">
        <v>456</v>
      </c>
      <c r="E336" s="3">
        <f t="shared" si="16"/>
        <v>1</v>
      </c>
      <c r="F336" s="5">
        <v>44165.625</v>
      </c>
      <c r="G336" s="19" t="str">
        <f t="shared" si="15"/>
        <v>2020-W49</v>
      </c>
      <c r="H336">
        <f>SUM(A336:A342)</f>
        <v>1599</v>
      </c>
      <c r="I336" s="28">
        <f>H336/H329-1</f>
        <v>-3.3836858006042303E-2</v>
      </c>
      <c r="J336" s="28">
        <f t="shared" si="17"/>
        <v>0.19923371647509569</v>
      </c>
    </row>
    <row r="337" spans="1:10">
      <c r="A337" s="3">
        <v>221</v>
      </c>
      <c r="B337" t="s">
        <v>360</v>
      </c>
      <c r="C337" t="s">
        <v>456</v>
      </c>
      <c r="E337" s="3">
        <f t="shared" si="16"/>
        <v>2</v>
      </c>
      <c r="F337" s="5">
        <v>44166.625</v>
      </c>
      <c r="G337" s="19" t="str">
        <f t="shared" si="15"/>
        <v/>
      </c>
      <c r="J337" s="28">
        <f t="shared" si="17"/>
        <v>-0.21908127208480566</v>
      </c>
    </row>
    <row r="338" spans="1:10">
      <c r="A338" s="3">
        <v>250</v>
      </c>
      <c r="B338" t="s">
        <v>361</v>
      </c>
      <c r="C338" t="s">
        <v>456</v>
      </c>
      <c r="E338" s="3">
        <f t="shared" si="16"/>
        <v>3</v>
      </c>
      <c r="F338" s="5">
        <v>44167.625</v>
      </c>
      <c r="G338" s="19" t="str">
        <f t="shared" si="15"/>
        <v/>
      </c>
      <c r="J338" s="28">
        <f t="shared" si="17"/>
        <v>-0.16387959866220736</v>
      </c>
    </row>
    <row r="339" spans="1:10">
      <c r="A339" s="3">
        <v>281</v>
      </c>
      <c r="B339" t="s">
        <v>362</v>
      </c>
      <c r="C339" t="s">
        <v>456</v>
      </c>
      <c r="E339" s="3">
        <f t="shared" si="16"/>
        <v>4</v>
      </c>
      <c r="F339" s="5">
        <v>44168.625</v>
      </c>
      <c r="G339" s="19" t="str">
        <f t="shared" si="15"/>
        <v/>
      </c>
      <c r="J339" s="28">
        <f t="shared" si="17"/>
        <v>7.6628352490421436E-2</v>
      </c>
    </row>
    <row r="340" spans="1:10">
      <c r="A340" s="3">
        <v>224</v>
      </c>
      <c r="B340" t="s">
        <v>363</v>
      </c>
      <c r="C340" t="s">
        <v>456</v>
      </c>
      <c r="E340" s="3">
        <f t="shared" si="16"/>
        <v>5</v>
      </c>
      <c r="F340" s="5">
        <v>44169.625</v>
      </c>
      <c r="G340" s="19" t="str">
        <f t="shared" si="15"/>
        <v/>
      </c>
      <c r="J340" s="28">
        <f t="shared" si="17"/>
        <v>-7.4380165289256173E-2</v>
      </c>
    </row>
    <row r="341" spans="1:10">
      <c r="A341" s="3">
        <v>153</v>
      </c>
      <c r="B341" t="s">
        <v>364</v>
      </c>
      <c r="C341" t="s">
        <v>456</v>
      </c>
      <c r="E341" s="3">
        <f t="shared" si="16"/>
        <v>6</v>
      </c>
      <c r="F341" s="5">
        <v>44170.625</v>
      </c>
      <c r="G341" s="19" t="str">
        <f t="shared" si="15"/>
        <v/>
      </c>
      <c r="J341" s="28">
        <f t="shared" si="17"/>
        <v>1.3245033112582849E-2</v>
      </c>
    </row>
    <row r="342" spans="1:10">
      <c r="A342" s="3">
        <v>157</v>
      </c>
      <c r="B342" t="s">
        <v>365</v>
      </c>
      <c r="C342" t="s">
        <v>456</v>
      </c>
      <c r="E342" s="3">
        <f t="shared" si="16"/>
        <v>7</v>
      </c>
      <c r="F342" s="5">
        <v>44171.625</v>
      </c>
      <c r="G342" s="19" t="str">
        <f t="shared" si="15"/>
        <v/>
      </c>
      <c r="J342" s="28">
        <f t="shared" si="17"/>
        <v>-6.3291139240506666E-3</v>
      </c>
    </row>
    <row r="343" spans="1:10">
      <c r="A343" s="3">
        <v>284</v>
      </c>
      <c r="B343" t="s">
        <v>366</v>
      </c>
      <c r="C343" t="s">
        <v>456</v>
      </c>
      <c r="E343" s="3">
        <f t="shared" si="16"/>
        <v>1</v>
      </c>
      <c r="F343" s="5">
        <v>44172.625</v>
      </c>
      <c r="G343" s="19" t="str">
        <f t="shared" si="15"/>
        <v>2020-W50</v>
      </c>
      <c r="H343">
        <f>SUM(A343:A349)</f>
        <v>1578</v>
      </c>
      <c r="I343" s="28">
        <f>H343/H336-1</f>
        <v>-1.3133208255159512E-2</v>
      </c>
      <c r="J343" s="28">
        <f t="shared" si="17"/>
        <v>-9.2651757188498385E-2</v>
      </c>
    </row>
    <row r="344" spans="1:10">
      <c r="A344" s="3">
        <v>253</v>
      </c>
      <c r="B344" t="s">
        <v>367</v>
      </c>
      <c r="C344" t="s">
        <v>456</v>
      </c>
      <c r="E344" s="3">
        <f t="shared" si="16"/>
        <v>2</v>
      </c>
      <c r="F344" s="5">
        <v>44173.625</v>
      </c>
      <c r="G344" s="19" t="str">
        <f t="shared" si="15"/>
        <v/>
      </c>
      <c r="J344" s="28">
        <f t="shared" si="17"/>
        <v>0.14479638009049767</v>
      </c>
    </row>
    <row r="345" spans="1:10">
      <c r="A345" s="3">
        <v>268</v>
      </c>
      <c r="B345" t="s">
        <v>368</v>
      </c>
      <c r="C345" t="s">
        <v>456</v>
      </c>
      <c r="E345" s="3">
        <f t="shared" si="16"/>
        <v>3</v>
      </c>
      <c r="F345" s="5">
        <v>44174.625</v>
      </c>
      <c r="G345" s="19" t="str">
        <f t="shared" si="15"/>
        <v/>
      </c>
      <c r="J345" s="28">
        <f t="shared" si="17"/>
        <v>7.2000000000000064E-2</v>
      </c>
    </row>
    <row r="346" spans="1:10">
      <c r="A346" s="3">
        <v>222</v>
      </c>
      <c r="B346" t="s">
        <v>369</v>
      </c>
      <c r="C346" t="s">
        <v>456</v>
      </c>
      <c r="E346" s="3">
        <f t="shared" si="16"/>
        <v>4</v>
      </c>
      <c r="F346" s="5">
        <v>44175.625</v>
      </c>
      <c r="G346" s="19" t="str">
        <f t="shared" si="15"/>
        <v/>
      </c>
      <c r="J346" s="28">
        <f t="shared" si="17"/>
        <v>-0.20996441281138789</v>
      </c>
    </row>
    <row r="347" spans="1:10">
      <c r="A347" s="3">
        <v>235</v>
      </c>
      <c r="B347" t="s">
        <v>370</v>
      </c>
      <c r="C347" t="s">
        <v>456</v>
      </c>
      <c r="E347" s="3">
        <f t="shared" si="16"/>
        <v>5</v>
      </c>
      <c r="F347" s="5">
        <v>44176.625</v>
      </c>
      <c r="G347" s="19" t="str">
        <f t="shared" si="15"/>
        <v/>
      </c>
      <c r="J347" s="28">
        <f t="shared" si="17"/>
        <v>4.9107142857142794E-2</v>
      </c>
    </row>
    <row r="348" spans="1:10">
      <c r="A348" s="3">
        <v>147</v>
      </c>
      <c r="B348" t="s">
        <v>371</v>
      </c>
      <c r="C348" t="s">
        <v>456</v>
      </c>
      <c r="E348" s="3">
        <f t="shared" si="16"/>
        <v>6</v>
      </c>
      <c r="F348" s="5">
        <v>44177.625</v>
      </c>
      <c r="G348" s="19" t="str">
        <f t="shared" si="15"/>
        <v/>
      </c>
      <c r="J348" s="28">
        <f t="shared" si="17"/>
        <v>-3.9215686274509776E-2</v>
      </c>
    </row>
    <row r="349" spans="1:10">
      <c r="A349" s="3">
        <v>169</v>
      </c>
      <c r="B349" t="s">
        <v>372</v>
      </c>
      <c r="C349" t="s">
        <v>456</v>
      </c>
      <c r="E349" s="3">
        <f t="shared" si="16"/>
        <v>7</v>
      </c>
      <c r="F349" s="5">
        <v>44178.625</v>
      </c>
      <c r="G349" s="19" t="str">
        <f t="shared" si="15"/>
        <v/>
      </c>
      <c r="J349" s="28">
        <f t="shared" si="17"/>
        <v>7.6433121019108263E-2</v>
      </c>
    </row>
    <row r="350" spans="1:10">
      <c r="A350" s="3">
        <v>233</v>
      </c>
      <c r="B350" t="s">
        <v>373</v>
      </c>
      <c r="C350" t="s">
        <v>456</v>
      </c>
      <c r="E350" s="3">
        <f t="shared" si="16"/>
        <v>1</v>
      </c>
      <c r="F350" s="5">
        <v>44179.625</v>
      </c>
      <c r="G350" s="19" t="str">
        <f t="shared" si="15"/>
        <v>2020-W51</v>
      </c>
      <c r="H350">
        <f>SUM(A350:A356)</f>
        <v>1224</v>
      </c>
      <c r="I350" s="28">
        <f>H350/H343-1</f>
        <v>-0.2243346007604563</v>
      </c>
      <c r="J350" s="28">
        <f t="shared" si="17"/>
        <v>-0.17957746478873238</v>
      </c>
    </row>
    <row r="351" spans="1:10">
      <c r="A351" s="3">
        <v>195</v>
      </c>
      <c r="B351" t="s">
        <v>374</v>
      </c>
      <c r="C351" t="s">
        <v>456</v>
      </c>
      <c r="E351" s="3">
        <f t="shared" si="16"/>
        <v>2</v>
      </c>
      <c r="F351" s="5">
        <v>44180.625</v>
      </c>
      <c r="G351" s="19" t="str">
        <f t="shared" si="15"/>
        <v/>
      </c>
      <c r="J351" s="28">
        <f t="shared" si="17"/>
        <v>-0.22924901185770752</v>
      </c>
    </row>
    <row r="352" spans="1:10">
      <c r="A352" s="3">
        <v>192</v>
      </c>
      <c r="B352" t="s">
        <v>375</v>
      </c>
      <c r="C352" t="s">
        <v>456</v>
      </c>
      <c r="E352" s="3">
        <f t="shared" si="16"/>
        <v>3</v>
      </c>
      <c r="F352" s="5">
        <v>44181.625</v>
      </c>
      <c r="G352" s="19" t="str">
        <f t="shared" si="15"/>
        <v/>
      </c>
      <c r="J352" s="28">
        <f t="shared" si="17"/>
        <v>-0.28358208955223885</v>
      </c>
    </row>
    <row r="353" spans="1:10">
      <c r="A353" s="3">
        <v>151</v>
      </c>
      <c r="B353" t="s">
        <v>376</v>
      </c>
      <c r="C353" t="s">
        <v>456</v>
      </c>
      <c r="E353" s="3">
        <f t="shared" si="16"/>
        <v>4</v>
      </c>
      <c r="F353" s="5">
        <v>44182.625</v>
      </c>
      <c r="G353" s="19" t="str">
        <f t="shared" si="15"/>
        <v/>
      </c>
      <c r="J353" s="28">
        <f t="shared" si="17"/>
        <v>-0.31981981981981977</v>
      </c>
    </row>
    <row r="354" spans="1:10">
      <c r="A354" s="3">
        <v>181</v>
      </c>
      <c r="B354" t="s">
        <v>377</v>
      </c>
      <c r="C354" t="s">
        <v>456</v>
      </c>
      <c r="E354" s="3">
        <f t="shared" si="16"/>
        <v>5</v>
      </c>
      <c r="F354" s="5">
        <v>44183.625</v>
      </c>
      <c r="G354" s="19" t="str">
        <f t="shared" si="15"/>
        <v/>
      </c>
      <c r="J354" s="28">
        <f t="shared" si="17"/>
        <v>-0.22978723404255319</v>
      </c>
    </row>
    <row r="355" spans="1:10">
      <c r="A355" s="3">
        <v>125</v>
      </c>
      <c r="B355" t="s">
        <v>378</v>
      </c>
      <c r="C355" t="s">
        <v>456</v>
      </c>
      <c r="E355" s="3">
        <f t="shared" si="16"/>
        <v>6</v>
      </c>
      <c r="F355" s="5">
        <v>44184.625</v>
      </c>
      <c r="G355" s="19" t="str">
        <f t="shared" si="15"/>
        <v/>
      </c>
      <c r="J355" s="28">
        <f t="shared" si="17"/>
        <v>-0.14965986394557829</v>
      </c>
    </row>
    <row r="356" spans="1:10">
      <c r="A356" s="3">
        <v>147</v>
      </c>
      <c r="B356" t="s">
        <v>379</v>
      </c>
      <c r="C356" t="s">
        <v>456</v>
      </c>
      <c r="E356" s="3">
        <f t="shared" si="16"/>
        <v>7</v>
      </c>
      <c r="F356" s="5">
        <v>44185.625</v>
      </c>
      <c r="G356" s="19" t="str">
        <f t="shared" si="15"/>
        <v/>
      </c>
      <c r="J356" s="28">
        <f t="shared" si="17"/>
        <v>-0.13017751479289941</v>
      </c>
    </row>
    <row r="357" spans="1:10">
      <c r="A357" s="3">
        <v>202</v>
      </c>
      <c r="B357" t="s">
        <v>380</v>
      </c>
      <c r="C357" t="s">
        <v>456</v>
      </c>
      <c r="E357" s="3">
        <f t="shared" si="16"/>
        <v>1</v>
      </c>
      <c r="F357" s="5">
        <v>44186.625</v>
      </c>
      <c r="G357" s="19" t="str">
        <f t="shared" si="15"/>
        <v>2020-W52</v>
      </c>
      <c r="H357">
        <f>SUM(A357:A363)</f>
        <v>940</v>
      </c>
      <c r="I357" s="28">
        <f>H357/H350-1</f>
        <v>-0.23202614379084963</v>
      </c>
      <c r="J357" s="28">
        <f t="shared" si="17"/>
        <v>-0.13304721030042921</v>
      </c>
    </row>
    <row r="358" spans="1:10">
      <c r="A358" s="3">
        <v>197</v>
      </c>
      <c r="B358" t="s">
        <v>381</v>
      </c>
      <c r="C358" t="s">
        <v>456</v>
      </c>
      <c r="E358" s="3">
        <f t="shared" si="16"/>
        <v>2</v>
      </c>
      <c r="F358" s="5">
        <v>44187.625</v>
      </c>
      <c r="G358" s="19" t="str">
        <f t="shared" si="15"/>
        <v/>
      </c>
      <c r="J358" s="28">
        <f t="shared" si="17"/>
        <v>1.025641025641022E-2</v>
      </c>
    </row>
    <row r="359" spans="1:10">
      <c r="A359" s="3">
        <v>146</v>
      </c>
      <c r="B359" t="s">
        <v>382</v>
      </c>
      <c r="C359" t="s">
        <v>456</v>
      </c>
      <c r="E359" s="3">
        <f t="shared" si="16"/>
        <v>3</v>
      </c>
      <c r="F359" s="5">
        <v>44188.625</v>
      </c>
      <c r="G359" s="19" t="str">
        <f t="shared" si="15"/>
        <v/>
      </c>
      <c r="J359" s="28">
        <f t="shared" si="17"/>
        <v>-0.23958333333333337</v>
      </c>
    </row>
    <row r="360" spans="1:10">
      <c r="A360" s="3">
        <v>95</v>
      </c>
      <c r="B360" t="s">
        <v>383</v>
      </c>
      <c r="C360" t="s">
        <v>456</v>
      </c>
      <c r="E360" s="3">
        <f t="shared" si="16"/>
        <v>4</v>
      </c>
      <c r="F360" s="5">
        <v>44189.625</v>
      </c>
      <c r="G360" s="19" t="str">
        <f t="shared" si="15"/>
        <v/>
      </c>
      <c r="J360" s="28">
        <f t="shared" si="17"/>
        <v>-0.37086092715231789</v>
      </c>
    </row>
    <row r="361" spans="1:10">
      <c r="A361" s="3">
        <v>96</v>
      </c>
      <c r="B361" t="s">
        <v>384</v>
      </c>
      <c r="C361" t="s">
        <v>456</v>
      </c>
      <c r="E361" s="3">
        <f t="shared" si="16"/>
        <v>5</v>
      </c>
      <c r="F361" s="5">
        <v>44190.625</v>
      </c>
      <c r="G361" s="19" t="str">
        <f t="shared" si="15"/>
        <v/>
      </c>
      <c r="J361" s="28">
        <f t="shared" si="17"/>
        <v>-0.46961325966850831</v>
      </c>
    </row>
    <row r="362" spans="1:10">
      <c r="A362" s="3">
        <v>93</v>
      </c>
      <c r="B362" t="s">
        <v>385</v>
      </c>
      <c r="C362" t="s">
        <v>456</v>
      </c>
      <c r="E362" s="3">
        <f t="shared" si="16"/>
        <v>6</v>
      </c>
      <c r="F362" s="5">
        <v>44191.625</v>
      </c>
      <c r="G362" s="19" t="str">
        <f t="shared" si="15"/>
        <v/>
      </c>
      <c r="J362" s="28">
        <f t="shared" si="17"/>
        <v>-0.25600000000000001</v>
      </c>
    </row>
    <row r="363" spans="1:10">
      <c r="A363" s="3">
        <v>111</v>
      </c>
      <c r="B363" t="s">
        <v>386</v>
      </c>
      <c r="C363" t="s">
        <v>456</v>
      </c>
      <c r="E363" s="3">
        <f t="shared" si="16"/>
        <v>7</v>
      </c>
      <c r="F363" s="5">
        <v>44192.625</v>
      </c>
      <c r="G363" s="19" t="str">
        <f t="shared" si="15"/>
        <v/>
      </c>
      <c r="J363" s="28">
        <f t="shared" si="17"/>
        <v>-0.24489795918367352</v>
      </c>
    </row>
    <row r="364" spans="1:10">
      <c r="A364" s="3">
        <v>223</v>
      </c>
      <c r="B364" t="s">
        <v>387</v>
      </c>
      <c r="C364" t="s">
        <v>456</v>
      </c>
      <c r="E364" s="3">
        <f t="shared" si="16"/>
        <v>1</v>
      </c>
      <c r="F364" s="5">
        <v>44193.625</v>
      </c>
      <c r="G364" s="19" t="str">
        <f t="shared" si="15"/>
        <v>2020-W53</v>
      </c>
      <c r="H364">
        <f>SUM(A364:A370)</f>
        <v>910</v>
      </c>
      <c r="I364" s="28">
        <f>H364/H357-1</f>
        <v>-3.1914893617021267E-2</v>
      </c>
      <c r="J364" s="28">
        <f t="shared" si="17"/>
        <v>0.10396039603960405</v>
      </c>
    </row>
    <row r="365" spans="1:10">
      <c r="A365" s="3">
        <v>164</v>
      </c>
      <c r="B365" t="s">
        <v>388</v>
      </c>
      <c r="C365" t="s">
        <v>456</v>
      </c>
      <c r="E365" s="3">
        <f t="shared" si="16"/>
        <v>2</v>
      </c>
      <c r="F365" s="5">
        <v>44194.625</v>
      </c>
      <c r="G365" s="19" t="str">
        <f t="shared" si="15"/>
        <v/>
      </c>
      <c r="J365" s="28">
        <f t="shared" si="17"/>
        <v>-0.1675126903553299</v>
      </c>
    </row>
    <row r="366" spans="1:10">
      <c r="A366" s="3">
        <v>110</v>
      </c>
      <c r="B366" t="s">
        <v>389</v>
      </c>
      <c r="C366" t="s">
        <v>456</v>
      </c>
      <c r="E366" s="3">
        <f t="shared" si="16"/>
        <v>3</v>
      </c>
      <c r="F366" s="5">
        <v>44195.625</v>
      </c>
      <c r="G366" s="19" t="str">
        <f t="shared" si="15"/>
        <v/>
      </c>
      <c r="J366" s="28">
        <f t="shared" si="17"/>
        <v>-0.24657534246575341</v>
      </c>
    </row>
    <row r="367" spans="1:10">
      <c r="A367" s="3">
        <v>136</v>
      </c>
      <c r="B367" t="s">
        <v>390</v>
      </c>
      <c r="C367" t="s">
        <v>456</v>
      </c>
      <c r="E367" s="3">
        <f t="shared" si="16"/>
        <v>4</v>
      </c>
      <c r="F367" s="5">
        <v>44196.625</v>
      </c>
      <c r="G367" s="19" t="str">
        <f t="shared" si="15"/>
        <v/>
      </c>
      <c r="J367" s="28">
        <f t="shared" si="17"/>
        <v>0.43157894736842106</v>
      </c>
    </row>
    <row r="368" spans="1:10">
      <c r="A368" s="3">
        <v>67</v>
      </c>
      <c r="B368" t="s">
        <v>391</v>
      </c>
      <c r="C368" t="s">
        <v>456</v>
      </c>
      <c r="E368" s="3">
        <f t="shared" si="16"/>
        <v>5</v>
      </c>
      <c r="F368" s="5">
        <v>44197.625</v>
      </c>
      <c r="G368" s="19" t="str">
        <f t="shared" si="15"/>
        <v/>
      </c>
      <c r="J368" s="28">
        <f t="shared" si="17"/>
        <v>-0.30208333333333337</v>
      </c>
    </row>
    <row r="369" spans="1:10">
      <c r="A369" s="3">
        <v>117</v>
      </c>
      <c r="B369" t="s">
        <v>392</v>
      </c>
      <c r="C369" t="s">
        <v>456</v>
      </c>
      <c r="E369" s="3">
        <f t="shared" si="16"/>
        <v>6</v>
      </c>
      <c r="F369" s="5">
        <v>44198.625</v>
      </c>
      <c r="G369" s="19" t="str">
        <f t="shared" si="15"/>
        <v/>
      </c>
      <c r="J369" s="28">
        <f t="shared" si="17"/>
        <v>0.25806451612903225</v>
      </c>
    </row>
    <row r="370" spans="1:10">
      <c r="A370" s="3">
        <v>93</v>
      </c>
      <c r="B370" t="s">
        <v>393</v>
      </c>
      <c r="C370" t="s">
        <v>456</v>
      </c>
      <c r="E370" s="3">
        <f t="shared" si="16"/>
        <v>7</v>
      </c>
      <c r="F370" s="5">
        <v>44199.625</v>
      </c>
      <c r="G370" s="19" t="str">
        <f t="shared" si="15"/>
        <v/>
      </c>
      <c r="J370" s="28">
        <f t="shared" si="17"/>
        <v>-0.16216216216216217</v>
      </c>
    </row>
    <row r="371" spans="1:10">
      <c r="A371" s="3">
        <v>197</v>
      </c>
      <c r="B371" t="s">
        <v>394</v>
      </c>
      <c r="C371" t="s">
        <v>456</v>
      </c>
      <c r="E371" s="3">
        <f t="shared" si="16"/>
        <v>1</v>
      </c>
      <c r="F371" s="5">
        <v>44200.625</v>
      </c>
      <c r="G371" s="19" t="str">
        <f t="shared" si="15"/>
        <v>2021-W01</v>
      </c>
      <c r="H371">
        <f>SUM(A371:A377)</f>
        <v>974</v>
      </c>
      <c r="I371" s="28">
        <f>H371/H364-1</f>
        <v>7.0329670329670302E-2</v>
      </c>
      <c r="J371" s="28">
        <f t="shared" si="17"/>
        <v>-0.11659192825112108</v>
      </c>
    </row>
    <row r="372" spans="1:10">
      <c r="A372" s="3">
        <v>155</v>
      </c>
      <c r="B372" t="s">
        <v>395</v>
      </c>
      <c r="C372" t="s">
        <v>456</v>
      </c>
      <c r="E372" s="3">
        <f t="shared" si="16"/>
        <v>2</v>
      </c>
      <c r="F372" s="5">
        <v>44201.625</v>
      </c>
      <c r="G372" s="19" t="str">
        <f t="shared" si="15"/>
        <v/>
      </c>
      <c r="J372" s="28">
        <f t="shared" si="17"/>
        <v>-5.4878048780487854E-2</v>
      </c>
    </row>
    <row r="373" spans="1:10">
      <c r="A373" s="3">
        <v>95</v>
      </c>
      <c r="B373" t="s">
        <v>396</v>
      </c>
      <c r="C373" t="s">
        <v>456</v>
      </c>
      <c r="E373" s="3">
        <f t="shared" si="16"/>
        <v>3</v>
      </c>
      <c r="F373" s="5">
        <v>44202.625</v>
      </c>
      <c r="G373" s="19" t="str">
        <f t="shared" si="15"/>
        <v/>
      </c>
      <c r="J373" s="28">
        <f t="shared" si="17"/>
        <v>-0.13636363636363635</v>
      </c>
    </row>
    <row r="374" spans="1:10">
      <c r="A374" s="3">
        <v>162</v>
      </c>
      <c r="B374" t="s">
        <v>397</v>
      </c>
      <c r="C374" t="s">
        <v>456</v>
      </c>
      <c r="E374" s="3">
        <f t="shared" si="16"/>
        <v>4</v>
      </c>
      <c r="F374" s="5">
        <v>44203.625</v>
      </c>
      <c r="G374" s="19" t="str">
        <f t="shared" si="15"/>
        <v/>
      </c>
      <c r="J374" s="28">
        <f t="shared" si="17"/>
        <v>0.19117647058823528</v>
      </c>
    </row>
    <row r="375" spans="1:10">
      <c r="A375" s="3">
        <v>146</v>
      </c>
      <c r="B375" t="s">
        <v>398</v>
      </c>
      <c r="C375" t="s">
        <v>456</v>
      </c>
      <c r="E375" s="3">
        <f t="shared" si="16"/>
        <v>5</v>
      </c>
      <c r="F375" s="5">
        <v>44204.625</v>
      </c>
      <c r="G375" s="19" t="str">
        <f t="shared" si="15"/>
        <v/>
      </c>
      <c r="J375" s="28">
        <f t="shared" si="17"/>
        <v>1.1791044776119404</v>
      </c>
    </row>
    <row r="376" spans="1:10">
      <c r="A376" s="3">
        <v>101</v>
      </c>
      <c r="B376" t="s">
        <v>399</v>
      </c>
      <c r="C376" t="s">
        <v>456</v>
      </c>
      <c r="E376" s="3">
        <f t="shared" si="16"/>
        <v>6</v>
      </c>
      <c r="F376" s="5">
        <v>44205.625</v>
      </c>
      <c r="G376" s="19" t="str">
        <f t="shared" si="15"/>
        <v/>
      </c>
      <c r="J376" s="28">
        <f t="shared" si="17"/>
        <v>-0.13675213675213671</v>
      </c>
    </row>
    <row r="377" spans="1:10">
      <c r="A377" s="3">
        <v>118</v>
      </c>
      <c r="B377" t="s">
        <v>400</v>
      </c>
      <c r="C377" t="s">
        <v>456</v>
      </c>
      <c r="E377" s="3">
        <f t="shared" si="16"/>
        <v>7</v>
      </c>
      <c r="F377" s="5">
        <v>44206.625</v>
      </c>
      <c r="G377" s="19" t="str">
        <f t="shared" si="15"/>
        <v/>
      </c>
      <c r="J377" s="28">
        <f t="shared" si="17"/>
        <v>0.26881720430107525</v>
      </c>
    </row>
    <row r="378" spans="1:10">
      <c r="A378" s="3">
        <v>187</v>
      </c>
      <c r="B378" t="s">
        <v>401</v>
      </c>
      <c r="C378" t="s">
        <v>456</v>
      </c>
      <c r="E378" s="3">
        <f t="shared" si="16"/>
        <v>1</v>
      </c>
      <c r="F378" s="5">
        <v>44207.625</v>
      </c>
      <c r="G378" s="19" t="str">
        <f t="shared" si="15"/>
        <v>2021-W02</v>
      </c>
      <c r="H378">
        <f>SUM(A378:A384)</f>
        <v>860</v>
      </c>
      <c r="I378" s="28">
        <f>H378/H371-1</f>
        <v>-0.11704312114989734</v>
      </c>
      <c r="J378" s="28">
        <f t="shared" si="17"/>
        <v>-5.0761421319796995E-2</v>
      </c>
    </row>
    <row r="379" spans="1:10">
      <c r="A379" s="3">
        <v>127</v>
      </c>
      <c r="B379" t="s">
        <v>402</v>
      </c>
      <c r="C379" t="s">
        <v>456</v>
      </c>
      <c r="E379" s="3">
        <f t="shared" si="16"/>
        <v>2</v>
      </c>
      <c r="F379" s="5">
        <v>44208.625</v>
      </c>
      <c r="G379" s="19" t="str">
        <f t="shared" si="15"/>
        <v/>
      </c>
      <c r="J379" s="28">
        <f t="shared" si="17"/>
        <v>-0.1806451612903226</v>
      </c>
    </row>
    <row r="380" spans="1:10">
      <c r="A380" s="3">
        <v>121</v>
      </c>
      <c r="B380" t="s">
        <v>403</v>
      </c>
      <c r="C380" t="s">
        <v>456</v>
      </c>
      <c r="E380" s="3">
        <f t="shared" si="16"/>
        <v>3</v>
      </c>
      <c r="F380" s="5">
        <v>44209.625</v>
      </c>
      <c r="G380" s="19" t="str">
        <f t="shared" si="15"/>
        <v/>
      </c>
      <c r="J380" s="28">
        <f t="shared" si="17"/>
        <v>0.27368421052631575</v>
      </c>
    </row>
    <row r="381" spans="1:10">
      <c r="A381" s="3">
        <v>123</v>
      </c>
      <c r="B381" t="s">
        <v>404</v>
      </c>
      <c r="C381" t="s">
        <v>456</v>
      </c>
      <c r="E381" s="3">
        <f t="shared" si="16"/>
        <v>4</v>
      </c>
      <c r="F381" s="5">
        <v>44210.625</v>
      </c>
      <c r="G381" s="19" t="str">
        <f t="shared" si="15"/>
        <v/>
      </c>
      <c r="J381" s="28">
        <f t="shared" si="17"/>
        <v>-0.2407407407407407</v>
      </c>
    </row>
    <row r="382" spans="1:10">
      <c r="A382" s="3">
        <v>108</v>
      </c>
      <c r="B382" t="s">
        <v>405</v>
      </c>
      <c r="C382" t="s">
        <v>456</v>
      </c>
      <c r="E382" s="3">
        <f t="shared" si="16"/>
        <v>5</v>
      </c>
      <c r="F382" s="5">
        <v>44211.625</v>
      </c>
      <c r="G382" s="19" t="str">
        <f t="shared" si="15"/>
        <v/>
      </c>
      <c r="J382" s="28">
        <f t="shared" si="17"/>
        <v>-0.26027397260273977</v>
      </c>
    </row>
    <row r="383" spans="1:10">
      <c r="A383" s="3">
        <v>97</v>
      </c>
      <c r="B383" t="s">
        <v>406</v>
      </c>
      <c r="C383" t="s">
        <v>456</v>
      </c>
      <c r="E383" s="3">
        <f t="shared" si="16"/>
        <v>6</v>
      </c>
      <c r="F383" s="5">
        <v>44212.625</v>
      </c>
      <c r="G383" s="19" t="str">
        <f t="shared" si="15"/>
        <v/>
      </c>
      <c r="J383" s="28">
        <f t="shared" si="17"/>
        <v>-3.9603960396039639E-2</v>
      </c>
    </row>
    <row r="384" spans="1:10">
      <c r="A384" s="3">
        <v>97</v>
      </c>
      <c r="B384" t="s">
        <v>407</v>
      </c>
      <c r="C384" t="s">
        <v>456</v>
      </c>
      <c r="E384" s="3">
        <f t="shared" si="16"/>
        <v>7</v>
      </c>
      <c r="F384" s="5">
        <v>44213.625</v>
      </c>
      <c r="G384" s="19" t="str">
        <f t="shared" si="15"/>
        <v/>
      </c>
      <c r="J384" s="28">
        <f t="shared" si="17"/>
        <v>-0.17796610169491522</v>
      </c>
    </row>
    <row r="385" spans="1:10">
      <c r="A385" s="3">
        <v>257</v>
      </c>
      <c r="B385" t="s">
        <v>408</v>
      </c>
      <c r="C385" t="s">
        <v>456</v>
      </c>
      <c r="E385" s="3">
        <f t="shared" si="16"/>
        <v>1</v>
      </c>
      <c r="F385" s="5">
        <v>44214.625</v>
      </c>
      <c r="G385" s="19" t="str">
        <f t="shared" si="15"/>
        <v>2021-W03</v>
      </c>
      <c r="H385">
        <f>SUM(A385:A391)</f>
        <v>1275</v>
      </c>
      <c r="I385" s="28">
        <f>H385/H378-1</f>
        <v>0.48255813953488369</v>
      </c>
      <c r="J385" s="28">
        <f t="shared" si="17"/>
        <v>0.37433155080213898</v>
      </c>
    </row>
    <row r="386" spans="1:10">
      <c r="A386" s="3">
        <v>189</v>
      </c>
      <c r="B386" t="s">
        <v>409</v>
      </c>
      <c r="C386" t="s">
        <v>456</v>
      </c>
      <c r="E386" s="3">
        <f t="shared" si="16"/>
        <v>2</v>
      </c>
      <c r="F386" s="5">
        <v>44215.625</v>
      </c>
      <c r="G386" s="19" t="str">
        <f t="shared" si="15"/>
        <v/>
      </c>
      <c r="J386" s="28">
        <f t="shared" si="17"/>
        <v>0.48818897637795278</v>
      </c>
    </row>
    <row r="387" spans="1:10">
      <c r="A387" s="3">
        <v>209</v>
      </c>
      <c r="B387" t="s">
        <v>410</v>
      </c>
      <c r="C387" t="s">
        <v>456</v>
      </c>
      <c r="E387" s="3">
        <f t="shared" si="16"/>
        <v>3</v>
      </c>
      <c r="F387" s="5">
        <v>44216.625</v>
      </c>
      <c r="G387" s="19" t="str">
        <f t="shared" ref="G387:G450" si="18">IF(WEEKDAY(F387,2)=1,YEAR(F387)&amp;"-W"&amp;TEXT(WEEKNUM(F387,14),"00"),"")</f>
        <v/>
      </c>
      <c r="J387" s="28">
        <f t="shared" si="17"/>
        <v>0.72727272727272729</v>
      </c>
    </row>
    <row r="388" spans="1:10">
      <c r="A388" s="3">
        <v>178</v>
      </c>
      <c r="B388" t="s">
        <v>411</v>
      </c>
      <c r="C388" t="s">
        <v>456</v>
      </c>
      <c r="E388" s="3">
        <f t="shared" si="16"/>
        <v>4</v>
      </c>
      <c r="F388" s="5">
        <v>44217.625</v>
      </c>
      <c r="G388" s="19" t="str">
        <f t="shared" si="18"/>
        <v/>
      </c>
      <c r="J388" s="28">
        <f t="shared" si="17"/>
        <v>0.44715447154471555</v>
      </c>
    </row>
    <row r="389" spans="1:10">
      <c r="A389" s="3">
        <v>196</v>
      </c>
      <c r="B389" t="s">
        <v>412</v>
      </c>
      <c r="C389" t="s">
        <v>456</v>
      </c>
      <c r="E389" s="3">
        <f t="shared" ref="E389:E452" si="19">WEEKDAY(F389,2)</f>
        <v>5</v>
      </c>
      <c r="F389" s="5">
        <v>44218.625</v>
      </c>
      <c r="G389" s="19" t="str">
        <f t="shared" si="18"/>
        <v/>
      </c>
      <c r="J389" s="28">
        <f t="shared" si="17"/>
        <v>0.81481481481481488</v>
      </c>
    </row>
    <row r="390" spans="1:10">
      <c r="A390" s="3">
        <v>93</v>
      </c>
      <c r="B390" t="s">
        <v>413</v>
      </c>
      <c r="C390" t="s">
        <v>456</v>
      </c>
      <c r="E390" s="3">
        <f t="shared" si="19"/>
        <v>6</v>
      </c>
      <c r="F390" s="5">
        <v>44219.625</v>
      </c>
      <c r="G390" s="19" t="str">
        <f t="shared" si="18"/>
        <v/>
      </c>
      <c r="J390" s="28">
        <f t="shared" si="17"/>
        <v>-4.123711340206182E-2</v>
      </c>
    </row>
    <row r="391" spans="1:10">
      <c r="A391" s="3">
        <v>153</v>
      </c>
      <c r="B391" t="s">
        <v>414</v>
      </c>
      <c r="C391" t="s">
        <v>456</v>
      </c>
      <c r="E391" s="3">
        <f t="shared" si="19"/>
        <v>7</v>
      </c>
      <c r="F391" s="5">
        <v>44220.625</v>
      </c>
      <c r="G391" s="19" t="str">
        <f t="shared" si="18"/>
        <v/>
      </c>
      <c r="J391" s="28">
        <f t="shared" si="17"/>
        <v>0.57731958762886593</v>
      </c>
    </row>
    <row r="392" spans="1:10">
      <c r="A392" s="3">
        <v>257</v>
      </c>
      <c r="B392" t="s">
        <v>415</v>
      </c>
      <c r="C392" t="s">
        <v>456</v>
      </c>
      <c r="E392" s="3">
        <f t="shared" si="19"/>
        <v>1</v>
      </c>
      <c r="F392" s="5">
        <v>44221.625</v>
      </c>
      <c r="G392" s="19" t="str">
        <f t="shared" si="18"/>
        <v>2021-W04</v>
      </c>
      <c r="H392">
        <f>SUM(A392:A398)</f>
        <v>1376</v>
      </c>
      <c r="I392" s="28">
        <f>H392/H385-1</f>
        <v>7.92156862745097E-2</v>
      </c>
      <c r="J392" s="28">
        <f t="shared" si="17"/>
        <v>0</v>
      </c>
    </row>
    <row r="393" spans="1:10">
      <c r="A393" s="3">
        <v>212</v>
      </c>
      <c r="B393" t="s">
        <v>416</v>
      </c>
      <c r="C393" t="s">
        <v>456</v>
      </c>
      <c r="E393" s="3">
        <f t="shared" si="19"/>
        <v>2</v>
      </c>
      <c r="F393" s="5">
        <v>44222.625</v>
      </c>
      <c r="G393" s="19" t="str">
        <f t="shared" si="18"/>
        <v/>
      </c>
      <c r="J393" s="28">
        <f t="shared" ref="J393:J456" si="20">A393/A386-1</f>
        <v>0.12169312169312163</v>
      </c>
    </row>
    <row r="394" spans="1:10">
      <c r="A394" s="3">
        <v>188</v>
      </c>
      <c r="B394" t="s">
        <v>417</v>
      </c>
      <c r="C394" t="s">
        <v>456</v>
      </c>
      <c r="E394" s="3">
        <f t="shared" si="19"/>
        <v>3</v>
      </c>
      <c r="F394" s="5">
        <v>44223.625</v>
      </c>
      <c r="G394" s="19" t="str">
        <f t="shared" si="18"/>
        <v/>
      </c>
      <c r="J394" s="28">
        <f t="shared" si="20"/>
        <v>-0.1004784688995215</v>
      </c>
    </row>
    <row r="395" spans="1:10">
      <c r="A395" s="3">
        <v>229</v>
      </c>
      <c r="B395" t="s">
        <v>418</v>
      </c>
      <c r="C395" t="s">
        <v>456</v>
      </c>
      <c r="E395" s="3">
        <f t="shared" si="19"/>
        <v>4</v>
      </c>
      <c r="F395" s="5">
        <v>44224.625</v>
      </c>
      <c r="G395" s="19" t="str">
        <f t="shared" si="18"/>
        <v/>
      </c>
      <c r="J395" s="28">
        <f t="shared" si="20"/>
        <v>0.28651685393258419</v>
      </c>
    </row>
    <row r="396" spans="1:10">
      <c r="A396" s="3">
        <v>191</v>
      </c>
      <c r="B396" t="s">
        <v>419</v>
      </c>
      <c r="C396" t="s">
        <v>456</v>
      </c>
      <c r="E396" s="3">
        <f t="shared" si="19"/>
        <v>5</v>
      </c>
      <c r="F396" s="5">
        <v>44225.625</v>
      </c>
      <c r="G396" s="19" t="str">
        <f t="shared" si="18"/>
        <v/>
      </c>
      <c r="J396" s="28">
        <f t="shared" si="20"/>
        <v>-2.5510204081632626E-2</v>
      </c>
    </row>
    <row r="397" spans="1:10">
      <c r="A397" s="3">
        <v>132</v>
      </c>
      <c r="B397" t="s">
        <v>421</v>
      </c>
      <c r="C397" t="s">
        <v>456</v>
      </c>
      <c r="E397" s="3">
        <f t="shared" si="19"/>
        <v>6</v>
      </c>
      <c r="F397" s="5">
        <v>44226.625</v>
      </c>
      <c r="G397" s="19" t="str">
        <f t="shared" si="18"/>
        <v/>
      </c>
      <c r="J397" s="28">
        <f t="shared" si="20"/>
        <v>0.41935483870967749</v>
      </c>
    </row>
    <row r="398" spans="1:10">
      <c r="A398" s="3">
        <v>167</v>
      </c>
      <c r="B398" t="s">
        <v>422</v>
      </c>
      <c r="C398" t="s">
        <v>456</v>
      </c>
      <c r="E398" s="3">
        <f t="shared" si="19"/>
        <v>7</v>
      </c>
      <c r="F398" s="5">
        <v>44227.625</v>
      </c>
      <c r="G398" s="19" t="str">
        <f t="shared" si="18"/>
        <v/>
      </c>
      <c r="J398" s="28">
        <f t="shared" si="20"/>
        <v>9.1503267973856106E-2</v>
      </c>
    </row>
    <row r="399" spans="1:10">
      <c r="A399" s="3">
        <v>296</v>
      </c>
      <c r="B399" t="s">
        <v>423</v>
      </c>
      <c r="C399" t="s">
        <v>456</v>
      </c>
      <c r="E399" s="3">
        <f t="shared" si="19"/>
        <v>1</v>
      </c>
      <c r="F399" s="5">
        <v>44228.625</v>
      </c>
      <c r="G399" s="19" t="str">
        <f t="shared" si="18"/>
        <v>2021-W05</v>
      </c>
      <c r="H399">
        <f>SUM(A399:A405)</f>
        <v>1575</v>
      </c>
      <c r="I399" s="28">
        <f>H399/H392-1</f>
        <v>0.14462209302325579</v>
      </c>
      <c r="J399" s="28">
        <f t="shared" si="20"/>
        <v>0.15175097276264582</v>
      </c>
    </row>
    <row r="400" spans="1:10">
      <c r="A400" s="3">
        <v>250</v>
      </c>
      <c r="B400" t="s">
        <v>424</v>
      </c>
      <c r="C400" t="s">
        <v>456</v>
      </c>
      <c r="E400" s="3">
        <f t="shared" si="19"/>
        <v>2</v>
      </c>
      <c r="F400" s="5">
        <v>44229.625</v>
      </c>
      <c r="G400" s="19" t="str">
        <f t="shared" si="18"/>
        <v/>
      </c>
      <c r="J400" s="28">
        <f t="shared" si="20"/>
        <v>0.179245283018868</v>
      </c>
    </row>
    <row r="401" spans="1:10">
      <c r="A401" s="3">
        <v>263</v>
      </c>
      <c r="B401" t="s">
        <v>425</v>
      </c>
      <c r="C401" t="s">
        <v>456</v>
      </c>
      <c r="E401" s="3">
        <f t="shared" si="19"/>
        <v>3</v>
      </c>
      <c r="F401" s="5">
        <v>44230.625</v>
      </c>
      <c r="G401" s="19" t="str">
        <f t="shared" si="18"/>
        <v/>
      </c>
      <c r="J401" s="28">
        <f t="shared" si="20"/>
        <v>0.39893617021276606</v>
      </c>
    </row>
    <row r="402" spans="1:10">
      <c r="A402" s="3">
        <v>225</v>
      </c>
      <c r="B402" t="s">
        <v>426</v>
      </c>
      <c r="C402" t="s">
        <v>456</v>
      </c>
      <c r="E402" s="3">
        <f t="shared" si="19"/>
        <v>4</v>
      </c>
      <c r="F402" s="5">
        <v>44231.625</v>
      </c>
      <c r="G402" s="19" t="str">
        <f t="shared" si="18"/>
        <v/>
      </c>
      <c r="J402" s="28">
        <f t="shared" si="20"/>
        <v>-1.7467248908296984E-2</v>
      </c>
    </row>
    <row r="403" spans="1:10">
      <c r="A403" s="3">
        <v>216</v>
      </c>
      <c r="B403" t="s">
        <v>427</v>
      </c>
      <c r="C403" t="s">
        <v>456</v>
      </c>
      <c r="E403" s="3">
        <f t="shared" si="19"/>
        <v>5</v>
      </c>
      <c r="F403" s="5">
        <v>44232.625</v>
      </c>
      <c r="G403" s="19" t="str">
        <f t="shared" si="18"/>
        <v/>
      </c>
      <c r="J403" s="28">
        <f t="shared" si="20"/>
        <v>0.13089005235602102</v>
      </c>
    </row>
    <row r="404" spans="1:10">
      <c r="A404" s="3">
        <v>152</v>
      </c>
      <c r="B404" t="s">
        <v>428</v>
      </c>
      <c r="C404" t="s">
        <v>456</v>
      </c>
      <c r="E404" s="3">
        <f t="shared" si="19"/>
        <v>6</v>
      </c>
      <c r="F404" s="5">
        <v>44233.625</v>
      </c>
      <c r="G404" s="19" t="str">
        <f t="shared" si="18"/>
        <v/>
      </c>
      <c r="J404" s="28">
        <f t="shared" si="20"/>
        <v>0.1515151515151516</v>
      </c>
    </row>
    <row r="405" spans="1:10">
      <c r="A405" s="3">
        <v>173</v>
      </c>
      <c r="B405" t="s">
        <v>429</v>
      </c>
      <c r="C405" t="s">
        <v>456</v>
      </c>
      <c r="E405" s="3">
        <f t="shared" si="19"/>
        <v>7</v>
      </c>
      <c r="F405" s="5">
        <v>44234.625</v>
      </c>
      <c r="G405" s="19" t="str">
        <f t="shared" si="18"/>
        <v/>
      </c>
      <c r="J405" s="28">
        <f t="shared" si="20"/>
        <v>3.5928143712574911E-2</v>
      </c>
    </row>
    <row r="406" spans="1:10">
      <c r="A406" s="3">
        <v>295</v>
      </c>
      <c r="B406" t="s">
        <v>437</v>
      </c>
      <c r="C406" t="s">
        <v>456</v>
      </c>
      <c r="E406" s="3">
        <f t="shared" si="19"/>
        <v>1</v>
      </c>
      <c r="F406" s="5">
        <v>44235.625</v>
      </c>
      <c r="G406" s="19" t="str">
        <f t="shared" si="18"/>
        <v>2021-W06</v>
      </c>
      <c r="H406">
        <f>SUM(A406:A412)</f>
        <v>1635</v>
      </c>
      <c r="I406" s="28">
        <f>H406/H399-1</f>
        <v>3.8095238095238182E-2</v>
      </c>
      <c r="J406" s="28">
        <f t="shared" si="20"/>
        <v>-3.3783783783783994E-3</v>
      </c>
    </row>
    <row r="407" spans="1:10">
      <c r="A407" s="3">
        <v>240</v>
      </c>
      <c r="B407" t="s">
        <v>438</v>
      </c>
      <c r="C407" t="s">
        <v>456</v>
      </c>
      <c r="E407" s="3">
        <f t="shared" si="19"/>
        <v>2</v>
      </c>
      <c r="F407" s="5">
        <v>44236.625</v>
      </c>
      <c r="G407" s="19" t="str">
        <f t="shared" si="18"/>
        <v/>
      </c>
      <c r="J407" s="28">
        <f t="shared" si="20"/>
        <v>-4.0000000000000036E-2</v>
      </c>
    </row>
    <row r="408" spans="1:10">
      <c r="A408" s="3">
        <v>230</v>
      </c>
      <c r="B408" t="s">
        <v>439</v>
      </c>
      <c r="C408" t="s">
        <v>456</v>
      </c>
      <c r="E408" s="3">
        <f t="shared" si="19"/>
        <v>3</v>
      </c>
      <c r="F408" s="5">
        <v>44237.625</v>
      </c>
      <c r="G408" s="19" t="str">
        <f t="shared" si="18"/>
        <v/>
      </c>
      <c r="J408" s="28">
        <f t="shared" si="20"/>
        <v>-0.12547528517110262</v>
      </c>
    </row>
    <row r="409" spans="1:10">
      <c r="A409" s="3">
        <v>237</v>
      </c>
      <c r="B409" t="s">
        <v>440</v>
      </c>
      <c r="C409" t="s">
        <v>456</v>
      </c>
      <c r="E409" s="3">
        <f t="shared" si="19"/>
        <v>4</v>
      </c>
      <c r="F409" s="5">
        <v>44238.625</v>
      </c>
      <c r="G409" s="19" t="str">
        <f t="shared" si="18"/>
        <v/>
      </c>
      <c r="J409" s="28">
        <f t="shared" si="20"/>
        <v>5.3333333333333233E-2</v>
      </c>
    </row>
    <row r="410" spans="1:10">
      <c r="A410" s="3">
        <v>261</v>
      </c>
      <c r="B410" t="s">
        <v>441</v>
      </c>
      <c r="C410" t="s">
        <v>456</v>
      </c>
      <c r="E410" s="3">
        <f t="shared" si="19"/>
        <v>5</v>
      </c>
      <c r="F410" s="5">
        <v>44239.625</v>
      </c>
      <c r="G410" s="19" t="str">
        <f t="shared" si="18"/>
        <v/>
      </c>
      <c r="J410" s="28">
        <f t="shared" si="20"/>
        <v>0.20833333333333326</v>
      </c>
    </row>
    <row r="411" spans="1:10">
      <c r="A411" s="3">
        <v>191</v>
      </c>
      <c r="B411" t="s">
        <v>442</v>
      </c>
      <c r="C411" t="s">
        <v>456</v>
      </c>
      <c r="E411" s="3">
        <f t="shared" si="19"/>
        <v>6</v>
      </c>
      <c r="F411" s="5">
        <v>44240.625</v>
      </c>
      <c r="G411" s="19" t="str">
        <f t="shared" si="18"/>
        <v/>
      </c>
      <c r="J411" s="28">
        <f t="shared" si="20"/>
        <v>0.25657894736842102</v>
      </c>
    </row>
    <row r="412" spans="1:10">
      <c r="A412" s="3">
        <v>181</v>
      </c>
      <c r="B412" t="s">
        <v>443</v>
      </c>
      <c r="C412" t="s">
        <v>456</v>
      </c>
      <c r="E412" s="3">
        <f t="shared" si="19"/>
        <v>7</v>
      </c>
      <c r="F412" s="5">
        <v>44241.625</v>
      </c>
      <c r="G412" s="19" t="str">
        <f t="shared" si="18"/>
        <v/>
      </c>
      <c r="J412" s="28">
        <f t="shared" si="20"/>
        <v>4.6242774566473965E-2</v>
      </c>
    </row>
    <row r="413" spans="1:10" s="10" customFormat="1">
      <c r="A413" s="14">
        <v>360</v>
      </c>
      <c r="B413" s="10" t="s">
        <v>444</v>
      </c>
      <c r="C413" s="10" t="s">
        <v>456</v>
      </c>
      <c r="E413" s="14">
        <f t="shared" si="19"/>
        <v>1</v>
      </c>
      <c r="F413" s="18">
        <v>44242.625</v>
      </c>
      <c r="G413" s="19" t="str">
        <f t="shared" si="18"/>
        <v>2021-W07</v>
      </c>
      <c r="H413" s="10">
        <f>SUM(A413:A419)</f>
        <v>2053</v>
      </c>
      <c r="I413" s="34">
        <f>H413/H406-1</f>
        <v>0.25565749235474011</v>
      </c>
      <c r="J413" s="28">
        <f t="shared" si="20"/>
        <v>0.22033898305084754</v>
      </c>
    </row>
    <row r="414" spans="1:10">
      <c r="A414" s="3">
        <v>328</v>
      </c>
      <c r="B414" t="s">
        <v>445</v>
      </c>
      <c r="C414" t="s">
        <v>456</v>
      </c>
      <c r="E414" s="3">
        <f t="shared" si="19"/>
        <v>2</v>
      </c>
      <c r="F414" s="5">
        <v>44243.625</v>
      </c>
      <c r="G414" s="19" t="str">
        <f t="shared" si="18"/>
        <v/>
      </c>
      <c r="J414" s="28">
        <f t="shared" si="20"/>
        <v>0.3666666666666667</v>
      </c>
    </row>
    <row r="415" spans="1:10">
      <c r="A415" s="3">
        <v>329</v>
      </c>
      <c r="B415" t="s">
        <v>446</v>
      </c>
      <c r="C415" t="s">
        <v>456</v>
      </c>
      <c r="E415" s="3">
        <f t="shared" si="19"/>
        <v>3</v>
      </c>
      <c r="F415" s="5">
        <v>44244.625</v>
      </c>
      <c r="G415" s="19" t="str">
        <f t="shared" si="18"/>
        <v/>
      </c>
      <c r="J415" s="28">
        <f t="shared" si="20"/>
        <v>0.43043478260869561</v>
      </c>
    </row>
    <row r="416" spans="1:10">
      <c r="A416" s="3">
        <v>325</v>
      </c>
      <c r="B416" t="s">
        <v>447</v>
      </c>
      <c r="C416" t="s">
        <v>456</v>
      </c>
      <c r="E416" s="3">
        <f t="shared" si="19"/>
        <v>4</v>
      </c>
      <c r="F416" s="5">
        <v>44245.625</v>
      </c>
      <c r="G416" s="19" t="str">
        <f t="shared" si="18"/>
        <v/>
      </c>
      <c r="J416" s="28">
        <f t="shared" si="20"/>
        <v>0.37130801687763704</v>
      </c>
    </row>
    <row r="417" spans="1:10">
      <c r="A417" s="3">
        <v>306</v>
      </c>
      <c r="B417" t="s">
        <v>448</v>
      </c>
      <c r="C417" t="s">
        <v>456</v>
      </c>
      <c r="E417" s="3">
        <f t="shared" si="19"/>
        <v>5</v>
      </c>
      <c r="F417" s="5">
        <v>44246.625</v>
      </c>
      <c r="G417" s="19" t="str">
        <f t="shared" si="18"/>
        <v/>
      </c>
      <c r="J417" s="28">
        <f t="shared" si="20"/>
        <v>0.17241379310344818</v>
      </c>
    </row>
    <row r="418" spans="1:10">
      <c r="A418" s="3">
        <v>185</v>
      </c>
      <c r="B418" t="s">
        <v>450</v>
      </c>
      <c r="C418" t="s">
        <v>456</v>
      </c>
      <c r="E418" s="3">
        <f t="shared" si="19"/>
        <v>6</v>
      </c>
      <c r="F418" s="5">
        <v>44247.625</v>
      </c>
      <c r="G418" s="19" t="str">
        <f t="shared" si="18"/>
        <v/>
      </c>
      <c r="J418" s="28">
        <f t="shared" si="20"/>
        <v>-3.1413612565445059E-2</v>
      </c>
    </row>
    <row r="419" spans="1:10">
      <c r="A419" s="3">
        <v>220</v>
      </c>
      <c r="B419" t="s">
        <v>451</v>
      </c>
      <c r="C419" t="s">
        <v>456</v>
      </c>
      <c r="E419" s="3">
        <f t="shared" si="19"/>
        <v>7</v>
      </c>
      <c r="F419" s="5">
        <v>44248.625</v>
      </c>
      <c r="G419" s="19" t="str">
        <f t="shared" si="18"/>
        <v/>
      </c>
      <c r="J419" s="28">
        <f t="shared" si="20"/>
        <v>0.21546961325966851</v>
      </c>
    </row>
    <row r="420" spans="1:10">
      <c r="A420" s="3">
        <v>388</v>
      </c>
      <c r="B420" t="s">
        <v>452</v>
      </c>
      <c r="C420" t="s">
        <v>456</v>
      </c>
      <c r="E420" s="3">
        <f t="shared" si="19"/>
        <v>1</v>
      </c>
      <c r="F420" s="5">
        <v>44249.625</v>
      </c>
      <c r="G420" s="19" t="str">
        <f t="shared" si="18"/>
        <v>2021-W08</v>
      </c>
      <c r="H420">
        <f>SUM(A420:A426)</f>
        <v>2510</v>
      </c>
      <c r="I420" s="28">
        <f>H420/H413-1</f>
        <v>0.22260107160253284</v>
      </c>
      <c r="J420" s="28">
        <f t="shared" si="20"/>
        <v>7.7777777777777724E-2</v>
      </c>
    </row>
    <row r="421" spans="1:10">
      <c r="A421" s="3">
        <v>383</v>
      </c>
      <c r="B421" t="s">
        <v>455</v>
      </c>
      <c r="C421" t="s">
        <v>456</v>
      </c>
      <c r="E421" s="3">
        <f t="shared" si="19"/>
        <v>2</v>
      </c>
      <c r="F421" s="5">
        <v>44250.625</v>
      </c>
      <c r="G421" s="19" t="str">
        <f t="shared" si="18"/>
        <v/>
      </c>
      <c r="J421" s="28">
        <f t="shared" si="20"/>
        <v>0.16768292682926833</v>
      </c>
    </row>
    <row r="422" spans="1:10">
      <c r="A422" s="3">
        <v>417</v>
      </c>
      <c r="B422" t="s">
        <v>461</v>
      </c>
      <c r="C422" t="s">
        <v>456</v>
      </c>
      <c r="E422" s="3">
        <f t="shared" si="19"/>
        <v>3</v>
      </c>
      <c r="F422" s="5">
        <v>44251.625</v>
      </c>
      <c r="G422" s="19" t="str">
        <f t="shared" si="18"/>
        <v/>
      </c>
      <c r="J422" s="28">
        <f t="shared" si="20"/>
        <v>0.26747720364741645</v>
      </c>
    </row>
    <row r="423" spans="1:10">
      <c r="A423" s="3">
        <v>361</v>
      </c>
      <c r="B423" t="s">
        <v>463</v>
      </c>
      <c r="C423" t="s">
        <v>456</v>
      </c>
      <c r="E423" s="3">
        <f t="shared" si="19"/>
        <v>4</v>
      </c>
      <c r="F423" s="5">
        <v>44252.625</v>
      </c>
      <c r="G423" s="19" t="str">
        <f t="shared" si="18"/>
        <v/>
      </c>
      <c r="J423" s="28">
        <f t="shared" si="20"/>
        <v>0.11076923076923073</v>
      </c>
    </row>
    <row r="424" spans="1:10">
      <c r="A424" s="3">
        <v>429</v>
      </c>
      <c r="B424" t="s">
        <v>464</v>
      </c>
      <c r="C424" t="s">
        <v>456</v>
      </c>
      <c r="E424" s="3">
        <f t="shared" si="19"/>
        <v>5</v>
      </c>
      <c r="F424" s="5">
        <v>44253.625</v>
      </c>
      <c r="G424" s="19" t="str">
        <f t="shared" si="18"/>
        <v/>
      </c>
      <c r="J424" s="28">
        <f t="shared" si="20"/>
        <v>0.40196078431372539</v>
      </c>
    </row>
    <row r="425" spans="1:10">
      <c r="A425" s="3">
        <v>266</v>
      </c>
      <c r="B425" t="s">
        <v>469</v>
      </c>
      <c r="C425" t="s">
        <v>456</v>
      </c>
      <c r="E425" s="3">
        <f t="shared" si="19"/>
        <v>6</v>
      </c>
      <c r="F425" s="5">
        <v>44254.625</v>
      </c>
      <c r="G425" s="19" t="str">
        <f t="shared" si="18"/>
        <v/>
      </c>
      <c r="J425" s="28">
        <f t="shared" si="20"/>
        <v>0.43783783783783781</v>
      </c>
    </row>
    <row r="426" spans="1:10">
      <c r="A426" s="3">
        <v>266</v>
      </c>
      <c r="B426" t="s">
        <v>470</v>
      </c>
      <c r="C426" t="s">
        <v>456</v>
      </c>
      <c r="E426" s="3">
        <f t="shared" si="19"/>
        <v>7</v>
      </c>
      <c r="F426" s="5">
        <v>44255.625</v>
      </c>
      <c r="G426" s="19" t="str">
        <f t="shared" si="18"/>
        <v/>
      </c>
      <c r="J426" s="28">
        <f t="shared" si="20"/>
        <v>0.20909090909090899</v>
      </c>
    </row>
    <row r="427" spans="1:10">
      <c r="A427" s="3">
        <v>483</v>
      </c>
      <c r="B427" t="s">
        <v>471</v>
      </c>
      <c r="C427" t="s">
        <v>456</v>
      </c>
      <c r="E427" s="3">
        <f t="shared" si="19"/>
        <v>1</v>
      </c>
      <c r="F427" s="5">
        <v>44256.625</v>
      </c>
      <c r="G427" s="19" t="str">
        <f t="shared" si="18"/>
        <v>2021-W09</v>
      </c>
      <c r="H427">
        <f>SUM(A427:A433)</f>
        <v>2792</v>
      </c>
      <c r="I427" s="28">
        <f>H427/H420-1</f>
        <v>0.11235059760956179</v>
      </c>
      <c r="J427" s="28">
        <f t="shared" si="20"/>
        <v>0.24484536082474229</v>
      </c>
    </row>
    <row r="428" spans="1:10">
      <c r="A428" s="3">
        <v>492</v>
      </c>
      <c r="B428" t="s">
        <v>472</v>
      </c>
      <c r="C428" t="s">
        <v>456</v>
      </c>
      <c r="E428" s="3">
        <f t="shared" si="19"/>
        <v>2</v>
      </c>
      <c r="F428" s="5">
        <v>44257.625</v>
      </c>
      <c r="G428" s="19" t="str">
        <f t="shared" si="18"/>
        <v/>
      </c>
      <c r="J428" s="28">
        <f t="shared" si="20"/>
        <v>0.28459530026109658</v>
      </c>
    </row>
    <row r="429" spans="1:10">
      <c r="A429" s="3">
        <v>475</v>
      </c>
      <c r="B429" t="s">
        <v>473</v>
      </c>
      <c r="C429" t="s">
        <v>456</v>
      </c>
      <c r="E429" s="3">
        <f t="shared" si="19"/>
        <v>3</v>
      </c>
      <c r="F429" s="5">
        <v>44258.625</v>
      </c>
      <c r="G429" s="19" t="str">
        <f t="shared" si="18"/>
        <v/>
      </c>
      <c r="J429" s="28">
        <f t="shared" si="20"/>
        <v>0.13908872901678659</v>
      </c>
    </row>
    <row r="430" spans="1:10">
      <c r="A430" s="3">
        <v>389</v>
      </c>
      <c r="B430" t="s">
        <v>474</v>
      </c>
      <c r="C430" t="s">
        <v>456</v>
      </c>
      <c r="E430" s="3">
        <f t="shared" si="19"/>
        <v>4</v>
      </c>
      <c r="F430" s="5">
        <v>44259.625</v>
      </c>
      <c r="G430" s="19" t="str">
        <f t="shared" si="18"/>
        <v/>
      </c>
      <c r="J430" s="28">
        <f t="shared" si="20"/>
        <v>7.756232686980602E-2</v>
      </c>
    </row>
    <row r="431" spans="1:10">
      <c r="A431" s="3">
        <v>420</v>
      </c>
      <c r="B431" t="s">
        <v>475</v>
      </c>
      <c r="C431" t="s">
        <v>456</v>
      </c>
      <c r="E431" s="3">
        <f t="shared" si="19"/>
        <v>5</v>
      </c>
      <c r="F431" s="5">
        <v>44260.625</v>
      </c>
      <c r="G431" s="19" t="str">
        <f t="shared" si="18"/>
        <v/>
      </c>
      <c r="J431" s="28">
        <f t="shared" si="20"/>
        <v>-2.0979020979020935E-2</v>
      </c>
    </row>
    <row r="432" spans="1:10">
      <c r="A432" s="3">
        <v>277</v>
      </c>
      <c r="B432" t="s">
        <v>476</v>
      </c>
      <c r="C432" t="s">
        <v>456</v>
      </c>
      <c r="E432" s="3">
        <f t="shared" si="19"/>
        <v>6</v>
      </c>
      <c r="F432" s="5">
        <v>44261.625</v>
      </c>
      <c r="G432" s="19" t="str">
        <f t="shared" si="18"/>
        <v/>
      </c>
      <c r="J432" s="28">
        <f t="shared" si="20"/>
        <v>4.1353383458646586E-2</v>
      </c>
    </row>
    <row r="433" spans="1:10">
      <c r="A433" s="3">
        <v>256</v>
      </c>
      <c r="B433" t="s">
        <v>477</v>
      </c>
      <c r="C433" t="s">
        <v>456</v>
      </c>
      <c r="E433" s="3">
        <f t="shared" si="19"/>
        <v>7</v>
      </c>
      <c r="F433" s="5">
        <v>44262.625</v>
      </c>
      <c r="G433" s="19" t="str">
        <f t="shared" si="18"/>
        <v/>
      </c>
      <c r="J433" s="28">
        <f t="shared" si="20"/>
        <v>-3.7593984962406068E-2</v>
      </c>
    </row>
    <row r="434" spans="1:10">
      <c r="A434" s="3">
        <v>501</v>
      </c>
      <c r="B434" t="s">
        <v>478</v>
      </c>
      <c r="C434" t="s">
        <v>456</v>
      </c>
      <c r="E434" s="3">
        <f t="shared" si="19"/>
        <v>1</v>
      </c>
      <c r="F434" s="5">
        <v>44263.625</v>
      </c>
      <c r="G434" s="19" t="str">
        <f t="shared" si="18"/>
        <v>2021-W10</v>
      </c>
      <c r="H434">
        <f>SUM(A434:A440)</f>
        <v>3095</v>
      </c>
      <c r="I434" s="28">
        <f>H434/H427-1</f>
        <v>0.10852435530085969</v>
      </c>
      <c r="J434" s="28">
        <f t="shared" si="20"/>
        <v>3.7267080745341685E-2</v>
      </c>
    </row>
    <row r="435" spans="1:10">
      <c r="A435" s="3">
        <v>506</v>
      </c>
      <c r="B435" t="s">
        <v>479</v>
      </c>
      <c r="C435" t="s">
        <v>456</v>
      </c>
      <c r="E435" s="3">
        <f t="shared" si="19"/>
        <v>2</v>
      </c>
      <c r="F435" s="5">
        <v>44264.625</v>
      </c>
      <c r="G435" s="19" t="str">
        <f t="shared" si="18"/>
        <v/>
      </c>
      <c r="J435" s="28">
        <f t="shared" si="20"/>
        <v>2.8455284552845628E-2</v>
      </c>
    </row>
    <row r="436" spans="1:10">
      <c r="A436" s="3">
        <v>505</v>
      </c>
      <c r="B436" t="s">
        <v>480</v>
      </c>
      <c r="C436" t="s">
        <v>456</v>
      </c>
      <c r="E436" s="3">
        <f t="shared" si="19"/>
        <v>3</v>
      </c>
      <c r="F436" s="5">
        <v>44265.625</v>
      </c>
      <c r="G436" s="19" t="str">
        <f t="shared" si="18"/>
        <v/>
      </c>
      <c r="J436" s="28">
        <f t="shared" si="20"/>
        <v>6.315789473684208E-2</v>
      </c>
    </row>
    <row r="437" spans="1:10">
      <c r="A437" s="3">
        <v>477</v>
      </c>
      <c r="B437" t="s">
        <v>481</v>
      </c>
      <c r="C437" t="s">
        <v>456</v>
      </c>
      <c r="E437" s="3">
        <f t="shared" si="19"/>
        <v>4</v>
      </c>
      <c r="F437" s="5">
        <v>44266.625</v>
      </c>
      <c r="G437" s="19" t="str">
        <f t="shared" si="18"/>
        <v/>
      </c>
      <c r="J437" s="28">
        <f t="shared" si="20"/>
        <v>0.22622107969151672</v>
      </c>
    </row>
    <row r="438" spans="1:10">
      <c r="A438" s="3">
        <v>517</v>
      </c>
      <c r="B438" t="s">
        <v>482</v>
      </c>
      <c r="C438" t="s">
        <v>456</v>
      </c>
      <c r="E438" s="3">
        <f t="shared" si="19"/>
        <v>5</v>
      </c>
      <c r="F438" s="5">
        <v>44267.625</v>
      </c>
      <c r="G438" s="19" t="str">
        <f t="shared" si="18"/>
        <v/>
      </c>
      <c r="J438" s="28">
        <f t="shared" si="20"/>
        <v>0.23095238095238102</v>
      </c>
    </row>
    <row r="439" spans="1:10">
      <c r="A439" s="3">
        <v>327</v>
      </c>
      <c r="B439" t="s">
        <v>483</v>
      </c>
      <c r="C439" t="s">
        <v>456</v>
      </c>
      <c r="E439" s="3">
        <f t="shared" si="19"/>
        <v>6</v>
      </c>
      <c r="F439" s="5">
        <v>44268.625</v>
      </c>
      <c r="G439" s="19" t="str">
        <f t="shared" si="18"/>
        <v/>
      </c>
      <c r="J439" s="28">
        <f t="shared" si="20"/>
        <v>0.18050541516245477</v>
      </c>
    </row>
    <row r="440" spans="1:10">
      <c r="A440" s="3">
        <v>262</v>
      </c>
      <c r="B440" t="s">
        <v>484</v>
      </c>
      <c r="C440" t="s">
        <v>456</v>
      </c>
      <c r="E440" s="3">
        <f t="shared" si="19"/>
        <v>7</v>
      </c>
      <c r="F440" s="5">
        <v>44269.625</v>
      </c>
      <c r="G440" s="19" t="str">
        <f t="shared" si="18"/>
        <v/>
      </c>
      <c r="J440" s="28">
        <f t="shared" si="20"/>
        <v>2.34375E-2</v>
      </c>
    </row>
    <row r="441" spans="1:10">
      <c r="A441" s="3">
        <v>508</v>
      </c>
      <c r="B441" t="s">
        <v>485</v>
      </c>
      <c r="C441" t="s">
        <v>456</v>
      </c>
      <c r="E441" s="3">
        <f t="shared" si="19"/>
        <v>1</v>
      </c>
      <c r="F441" s="5">
        <v>44270.625</v>
      </c>
      <c r="G441" s="19" t="str">
        <f t="shared" si="18"/>
        <v>2021-W11</v>
      </c>
      <c r="H441">
        <f>SUM(A441:A447)</f>
        <v>2853</v>
      </c>
      <c r="I441" s="28">
        <f>H441/H434-1</f>
        <v>-7.8190630048465271E-2</v>
      </c>
      <c r="J441" s="28">
        <f t="shared" si="20"/>
        <v>1.3972055888223478E-2</v>
      </c>
    </row>
    <row r="442" spans="1:10">
      <c r="A442" s="3">
        <v>454</v>
      </c>
      <c r="B442" t="s">
        <v>486</v>
      </c>
      <c r="C442" t="s">
        <v>456</v>
      </c>
      <c r="E442" s="3">
        <f t="shared" si="19"/>
        <v>2</v>
      </c>
      <c r="F442" s="5">
        <v>44271.625</v>
      </c>
      <c r="G442" s="19" t="str">
        <f t="shared" si="18"/>
        <v/>
      </c>
      <c r="J442" s="28">
        <f t="shared" si="20"/>
        <v>-0.10276679841897229</v>
      </c>
    </row>
    <row r="443" spans="1:10">
      <c r="A443" s="3">
        <v>417</v>
      </c>
      <c r="B443" t="s">
        <v>487</v>
      </c>
      <c r="C443" t="s">
        <v>456</v>
      </c>
      <c r="E443" s="3">
        <f t="shared" si="19"/>
        <v>3</v>
      </c>
      <c r="F443" s="5">
        <v>44272.625</v>
      </c>
      <c r="G443" s="19" t="str">
        <f t="shared" si="18"/>
        <v/>
      </c>
      <c r="J443" s="28">
        <f t="shared" si="20"/>
        <v>-0.1742574257425743</v>
      </c>
    </row>
    <row r="444" spans="1:10">
      <c r="A444" s="3">
        <v>455</v>
      </c>
      <c r="B444" t="s">
        <v>488</v>
      </c>
      <c r="C444" t="s">
        <v>456</v>
      </c>
      <c r="E444" s="3">
        <f t="shared" si="19"/>
        <v>4</v>
      </c>
      <c r="F444" s="5">
        <v>44273.625</v>
      </c>
      <c r="G444" s="19" t="str">
        <f t="shared" si="18"/>
        <v/>
      </c>
      <c r="J444" s="28">
        <f t="shared" si="20"/>
        <v>-4.6121593291404639E-2</v>
      </c>
    </row>
    <row r="445" spans="1:10">
      <c r="A445" s="3">
        <v>444</v>
      </c>
      <c r="B445" t="s">
        <v>489</v>
      </c>
      <c r="C445" t="s">
        <v>456</v>
      </c>
      <c r="E445" s="3">
        <f t="shared" si="19"/>
        <v>5</v>
      </c>
      <c r="F445" s="5">
        <v>44274.625</v>
      </c>
      <c r="G445" s="19" t="str">
        <f t="shared" si="18"/>
        <v/>
      </c>
      <c r="J445" s="28">
        <f t="shared" si="20"/>
        <v>-0.14119922630560933</v>
      </c>
    </row>
    <row r="446" spans="1:10">
      <c r="A446" s="3">
        <v>287</v>
      </c>
      <c r="B446" t="s">
        <v>490</v>
      </c>
      <c r="C446" t="s">
        <v>456</v>
      </c>
      <c r="E446" s="3">
        <f t="shared" si="19"/>
        <v>6</v>
      </c>
      <c r="F446" s="5">
        <v>44275.625</v>
      </c>
      <c r="G446" s="19" t="str">
        <f t="shared" si="18"/>
        <v/>
      </c>
      <c r="J446" s="28">
        <f t="shared" si="20"/>
        <v>-0.1223241590214067</v>
      </c>
    </row>
    <row r="447" spans="1:10">
      <c r="A447" s="3">
        <v>288</v>
      </c>
      <c r="B447" t="s">
        <v>491</v>
      </c>
      <c r="C447" t="s">
        <v>456</v>
      </c>
      <c r="E447" s="3">
        <f t="shared" si="19"/>
        <v>7</v>
      </c>
      <c r="F447" s="5">
        <v>44276.625</v>
      </c>
      <c r="G447" s="19" t="str">
        <f t="shared" si="18"/>
        <v/>
      </c>
      <c r="J447" s="28">
        <f t="shared" si="20"/>
        <v>9.92366412213741E-2</v>
      </c>
    </row>
    <row r="448" spans="1:10">
      <c r="A448" s="3">
        <v>452</v>
      </c>
      <c r="B448" t="s">
        <v>492</v>
      </c>
      <c r="C448" t="s">
        <v>456</v>
      </c>
      <c r="E448" s="3">
        <f t="shared" si="19"/>
        <v>1</v>
      </c>
      <c r="F448" s="5">
        <v>44277.625</v>
      </c>
      <c r="G448" s="19" t="str">
        <f t="shared" si="18"/>
        <v>2021-W12</v>
      </c>
      <c r="H448">
        <f>SUM(A448:A454)</f>
        <v>2507</v>
      </c>
      <c r="I448" s="28">
        <f>H448/H441-1</f>
        <v>-0.12127584998247454</v>
      </c>
      <c r="J448" s="28">
        <f t="shared" si="20"/>
        <v>-0.11023622047244097</v>
      </c>
    </row>
    <row r="449" spans="1:10">
      <c r="A449" s="3">
        <v>452</v>
      </c>
      <c r="B449" t="s">
        <v>493</v>
      </c>
      <c r="C449" t="s">
        <v>456</v>
      </c>
      <c r="E449" s="3">
        <f t="shared" si="19"/>
        <v>2</v>
      </c>
      <c r="F449" s="5">
        <v>44278.625</v>
      </c>
      <c r="G449" s="19" t="str">
        <f t="shared" si="18"/>
        <v/>
      </c>
      <c r="J449" s="28">
        <f t="shared" si="20"/>
        <v>-4.405286343612369E-3</v>
      </c>
    </row>
    <row r="450" spans="1:10">
      <c r="A450" s="3">
        <v>394</v>
      </c>
      <c r="B450" t="s">
        <v>494</v>
      </c>
      <c r="C450" t="s">
        <v>456</v>
      </c>
      <c r="E450" s="3">
        <f t="shared" si="19"/>
        <v>3</v>
      </c>
      <c r="F450" s="5">
        <v>44279.625</v>
      </c>
      <c r="G450" s="19" t="str">
        <f t="shared" si="18"/>
        <v/>
      </c>
      <c r="J450" s="28">
        <f t="shared" si="20"/>
        <v>-5.5155875299760182E-2</v>
      </c>
    </row>
    <row r="451" spans="1:10">
      <c r="A451" s="3">
        <v>355</v>
      </c>
      <c r="B451" t="s">
        <v>495</v>
      </c>
      <c r="C451" t="s">
        <v>456</v>
      </c>
      <c r="E451" s="3">
        <f t="shared" si="19"/>
        <v>4</v>
      </c>
      <c r="F451" s="5">
        <v>44280.625</v>
      </c>
      <c r="G451" s="19" t="str">
        <f t="shared" ref="G451:G514" si="21">IF(WEEKDAY(F451,2)=1,YEAR(F451)&amp;"-W"&amp;TEXT(WEEKNUM(F451,14),"00"),"")</f>
        <v/>
      </c>
      <c r="J451" s="28">
        <f t="shared" si="20"/>
        <v>-0.21978021978021978</v>
      </c>
    </row>
    <row r="452" spans="1:10">
      <c r="A452" s="3">
        <v>407</v>
      </c>
      <c r="B452" t="s">
        <v>496</v>
      </c>
      <c r="C452" t="s">
        <v>456</v>
      </c>
      <c r="E452" s="3">
        <f t="shared" si="19"/>
        <v>5</v>
      </c>
      <c r="F452" s="5">
        <v>44281.625</v>
      </c>
      <c r="G452" s="19" t="str">
        <f t="shared" si="21"/>
        <v/>
      </c>
      <c r="J452" s="28">
        <f t="shared" si="20"/>
        <v>-8.333333333333337E-2</v>
      </c>
    </row>
    <row r="453" spans="1:10">
      <c r="A453" s="3">
        <v>199</v>
      </c>
      <c r="B453" t="s">
        <v>497</v>
      </c>
      <c r="C453" t="s">
        <v>456</v>
      </c>
      <c r="E453" s="3">
        <f t="shared" ref="E453:E516" si="22">WEEKDAY(F453,2)</f>
        <v>6</v>
      </c>
      <c r="F453" s="5">
        <v>44282.625</v>
      </c>
      <c r="G453" s="19" t="str">
        <f t="shared" si="21"/>
        <v/>
      </c>
      <c r="J453" s="28">
        <f t="shared" si="20"/>
        <v>-0.30662020905923348</v>
      </c>
    </row>
    <row r="454" spans="1:10">
      <c r="A454" s="3">
        <v>248</v>
      </c>
      <c r="B454" t="s">
        <v>498</v>
      </c>
      <c r="C454" t="s">
        <v>456</v>
      </c>
      <c r="E454" s="3">
        <f t="shared" si="22"/>
        <v>7</v>
      </c>
      <c r="F454" s="5">
        <v>44283.625</v>
      </c>
      <c r="G454" s="19" t="str">
        <f t="shared" si="21"/>
        <v/>
      </c>
      <c r="J454" s="28">
        <f t="shared" si="20"/>
        <v>-0.13888888888888884</v>
      </c>
    </row>
    <row r="455" spans="1:10">
      <c r="A455" s="3">
        <v>378</v>
      </c>
      <c r="B455" t="s">
        <v>499</v>
      </c>
      <c r="C455" t="s">
        <v>456</v>
      </c>
      <c r="E455" s="3">
        <f t="shared" si="22"/>
        <v>1</v>
      </c>
      <c r="F455" s="5">
        <v>44284.625</v>
      </c>
      <c r="G455" s="19" t="str">
        <f t="shared" si="21"/>
        <v>2021-W13</v>
      </c>
      <c r="H455">
        <f>SUM(A455:A461)</f>
        <v>1900</v>
      </c>
      <c r="I455" s="28">
        <f>H455/H448-1</f>
        <v>-0.24212205823693655</v>
      </c>
      <c r="J455" s="28">
        <f t="shared" si="20"/>
        <v>-0.16371681415929207</v>
      </c>
    </row>
    <row r="456" spans="1:10">
      <c r="A456" s="3">
        <v>322</v>
      </c>
      <c r="B456" t="s">
        <v>500</v>
      </c>
      <c r="C456" t="s">
        <v>456</v>
      </c>
      <c r="E456" s="3">
        <f t="shared" si="22"/>
        <v>2</v>
      </c>
      <c r="F456" s="5">
        <v>44285.625</v>
      </c>
      <c r="G456" s="19" t="str">
        <f t="shared" si="21"/>
        <v/>
      </c>
      <c r="J456" s="28">
        <f t="shared" si="20"/>
        <v>-0.28761061946902655</v>
      </c>
    </row>
    <row r="457" spans="1:10">
      <c r="A457" s="3">
        <v>331</v>
      </c>
      <c r="B457" t="s">
        <v>501</v>
      </c>
      <c r="C457" t="s">
        <v>456</v>
      </c>
      <c r="E457" s="3">
        <f t="shared" si="22"/>
        <v>3</v>
      </c>
      <c r="F457" s="5">
        <v>44286.625</v>
      </c>
      <c r="G457" s="19" t="str">
        <f t="shared" si="21"/>
        <v/>
      </c>
      <c r="J457" s="28">
        <f t="shared" ref="J457:J520" si="23">A457/A450-1</f>
        <v>-0.15989847715736039</v>
      </c>
    </row>
    <row r="458" spans="1:10">
      <c r="A458" s="3">
        <v>252</v>
      </c>
      <c r="B458" t="s">
        <v>502</v>
      </c>
      <c r="C458" t="s">
        <v>456</v>
      </c>
      <c r="E458" s="3">
        <f t="shared" si="22"/>
        <v>4</v>
      </c>
      <c r="F458" s="5">
        <v>44287.625</v>
      </c>
      <c r="G458" s="19" t="str">
        <f t="shared" si="21"/>
        <v/>
      </c>
      <c r="J458" s="28">
        <f t="shared" si="23"/>
        <v>-0.29014084507042248</v>
      </c>
    </row>
    <row r="459" spans="1:10">
      <c r="A459" s="3">
        <v>223</v>
      </c>
      <c r="B459" t="s">
        <v>503</v>
      </c>
      <c r="C459" t="s">
        <v>456</v>
      </c>
      <c r="E459" s="3">
        <f t="shared" si="22"/>
        <v>5</v>
      </c>
      <c r="F459" s="5">
        <v>44288.625</v>
      </c>
      <c r="G459" s="19" t="str">
        <f t="shared" si="21"/>
        <v/>
      </c>
      <c r="J459" s="28">
        <f t="shared" si="23"/>
        <v>-0.45208845208845205</v>
      </c>
    </row>
    <row r="460" spans="1:10">
      <c r="A460" s="3">
        <v>188</v>
      </c>
      <c r="B460" t="s">
        <v>504</v>
      </c>
      <c r="C460" t="s">
        <v>456</v>
      </c>
      <c r="E460" s="3">
        <f t="shared" si="22"/>
        <v>6</v>
      </c>
      <c r="F460" s="5">
        <v>44289.625</v>
      </c>
      <c r="G460" s="19" t="str">
        <f t="shared" si="21"/>
        <v/>
      </c>
      <c r="J460" s="28">
        <f t="shared" si="23"/>
        <v>-5.5276381909547756E-2</v>
      </c>
    </row>
    <row r="461" spans="1:10">
      <c r="A461" s="3">
        <v>206</v>
      </c>
      <c r="B461" t="s">
        <v>505</v>
      </c>
      <c r="C461" t="s">
        <v>456</v>
      </c>
      <c r="E461" s="3">
        <f t="shared" si="22"/>
        <v>7</v>
      </c>
      <c r="F461" s="5">
        <v>44290.625</v>
      </c>
      <c r="G461" s="19" t="str">
        <f t="shared" si="21"/>
        <v/>
      </c>
      <c r="J461" s="28">
        <f t="shared" si="23"/>
        <v>-0.16935483870967738</v>
      </c>
    </row>
    <row r="462" spans="1:10">
      <c r="A462" s="3">
        <v>232</v>
      </c>
      <c r="B462" t="s">
        <v>506</v>
      </c>
      <c r="C462" t="s">
        <v>456</v>
      </c>
      <c r="E462" s="3">
        <f t="shared" si="22"/>
        <v>1</v>
      </c>
      <c r="F462" s="5">
        <v>44291.625</v>
      </c>
      <c r="G462" s="19" t="str">
        <f t="shared" si="21"/>
        <v>2021-W14</v>
      </c>
      <c r="H462">
        <f>SUM(A462:A468)</f>
        <v>1448</v>
      </c>
      <c r="I462" s="28">
        <f>H462/H455-1</f>
        <v>-0.23789473684210527</v>
      </c>
      <c r="J462" s="28">
        <f t="shared" si="23"/>
        <v>-0.38624338624338628</v>
      </c>
    </row>
    <row r="463" spans="1:10">
      <c r="A463" s="3">
        <v>305</v>
      </c>
      <c r="B463" t="s">
        <v>507</v>
      </c>
      <c r="C463" t="s">
        <v>456</v>
      </c>
      <c r="E463" s="3">
        <f t="shared" si="22"/>
        <v>2</v>
      </c>
      <c r="F463" s="5">
        <v>44292.625</v>
      </c>
      <c r="G463" s="19" t="str">
        <f t="shared" si="21"/>
        <v/>
      </c>
      <c r="J463" s="28">
        <f t="shared" si="23"/>
        <v>-5.2795031055900665E-2</v>
      </c>
    </row>
    <row r="464" spans="1:10">
      <c r="A464" s="3">
        <v>246</v>
      </c>
      <c r="B464" t="s">
        <v>508</v>
      </c>
      <c r="C464" t="s">
        <v>456</v>
      </c>
      <c r="E464" s="3">
        <f t="shared" si="22"/>
        <v>3</v>
      </c>
      <c r="F464" s="5">
        <v>44293.625</v>
      </c>
      <c r="G464" s="19" t="str">
        <f t="shared" si="21"/>
        <v/>
      </c>
      <c r="J464" s="28">
        <f t="shared" si="23"/>
        <v>-0.25679758308157097</v>
      </c>
    </row>
    <row r="465" spans="1:10">
      <c r="A465" s="3">
        <v>211</v>
      </c>
      <c r="B465" t="s">
        <v>509</v>
      </c>
      <c r="C465" t="s">
        <v>456</v>
      </c>
      <c r="E465" s="3">
        <f t="shared" si="22"/>
        <v>4</v>
      </c>
      <c r="F465" s="5">
        <v>44294.625</v>
      </c>
      <c r="G465" s="19" t="str">
        <f t="shared" si="21"/>
        <v/>
      </c>
      <c r="J465" s="28">
        <f t="shared" si="23"/>
        <v>-0.16269841269841268</v>
      </c>
    </row>
    <row r="466" spans="1:10">
      <c r="A466" s="3">
        <v>175</v>
      </c>
      <c r="B466" t="s">
        <v>510</v>
      </c>
      <c r="C466" t="s">
        <v>456</v>
      </c>
      <c r="E466" s="3">
        <f t="shared" si="22"/>
        <v>5</v>
      </c>
      <c r="F466" s="5">
        <v>44295.625</v>
      </c>
      <c r="G466" s="19" t="str">
        <f t="shared" si="21"/>
        <v/>
      </c>
      <c r="J466" s="28">
        <f t="shared" si="23"/>
        <v>-0.2152466367713004</v>
      </c>
    </row>
    <row r="467" spans="1:10">
      <c r="A467" s="3">
        <v>137</v>
      </c>
      <c r="B467" t="s">
        <v>511</v>
      </c>
      <c r="C467" t="s">
        <v>456</v>
      </c>
      <c r="E467" s="3">
        <f t="shared" si="22"/>
        <v>6</v>
      </c>
      <c r="F467" s="5">
        <v>44296.625</v>
      </c>
      <c r="G467" s="19" t="str">
        <f t="shared" si="21"/>
        <v/>
      </c>
      <c r="J467" s="28">
        <f t="shared" si="23"/>
        <v>-0.27127659574468088</v>
      </c>
    </row>
    <row r="468" spans="1:10">
      <c r="A468" s="3">
        <v>142</v>
      </c>
      <c r="B468" t="s">
        <v>512</v>
      </c>
      <c r="C468" t="s">
        <v>456</v>
      </c>
      <c r="E468" s="3">
        <f t="shared" si="22"/>
        <v>7</v>
      </c>
      <c r="F468" s="5">
        <v>44297.625</v>
      </c>
      <c r="G468" s="19" t="str">
        <f t="shared" si="21"/>
        <v/>
      </c>
      <c r="J468" s="28">
        <f t="shared" si="23"/>
        <v>-0.31067961165048541</v>
      </c>
    </row>
    <row r="469" spans="1:10">
      <c r="A469" s="3">
        <v>215</v>
      </c>
      <c r="B469" t="s">
        <v>513</v>
      </c>
      <c r="C469" t="s">
        <v>456</v>
      </c>
      <c r="E469" s="3">
        <f t="shared" si="22"/>
        <v>1</v>
      </c>
      <c r="F469" s="5">
        <v>44298.625</v>
      </c>
      <c r="G469" s="19" t="str">
        <f t="shared" si="21"/>
        <v>2021-W15</v>
      </c>
      <c r="H469">
        <f>SUM(A469:A475)</f>
        <v>1010</v>
      </c>
      <c r="I469" s="28">
        <f>H469/H462-1</f>
        <v>-0.3024861878453039</v>
      </c>
      <c r="J469" s="28">
        <f t="shared" si="23"/>
        <v>-7.3275862068965525E-2</v>
      </c>
    </row>
    <row r="470" spans="1:10">
      <c r="A470" s="3">
        <v>155</v>
      </c>
      <c r="B470" t="s">
        <v>514</v>
      </c>
      <c r="C470" t="s">
        <v>456</v>
      </c>
      <c r="E470" s="3">
        <f t="shared" si="22"/>
        <v>2</v>
      </c>
      <c r="F470" s="5">
        <v>44299.625</v>
      </c>
      <c r="G470" s="19" t="str">
        <f t="shared" si="21"/>
        <v/>
      </c>
      <c r="J470" s="28">
        <f t="shared" si="23"/>
        <v>-0.49180327868852458</v>
      </c>
    </row>
    <row r="471" spans="1:10">
      <c r="A471" s="3">
        <v>169</v>
      </c>
      <c r="B471" t="s">
        <v>515</v>
      </c>
      <c r="C471" t="s">
        <v>456</v>
      </c>
      <c r="E471" s="3">
        <f t="shared" si="22"/>
        <v>3</v>
      </c>
      <c r="F471" s="5">
        <v>44300.625</v>
      </c>
      <c r="G471" s="19" t="str">
        <f t="shared" si="21"/>
        <v/>
      </c>
      <c r="J471" s="28">
        <f t="shared" si="23"/>
        <v>-0.31300813008130079</v>
      </c>
    </row>
    <row r="472" spans="1:10">
      <c r="A472" s="3">
        <v>129</v>
      </c>
      <c r="B472" t="s">
        <v>516</v>
      </c>
      <c r="C472" t="s">
        <v>456</v>
      </c>
      <c r="E472" s="3">
        <f t="shared" si="22"/>
        <v>4</v>
      </c>
      <c r="F472" s="5">
        <v>44301.625</v>
      </c>
      <c r="G472" s="19" t="str">
        <f t="shared" si="21"/>
        <v/>
      </c>
      <c r="J472" s="28">
        <f t="shared" si="23"/>
        <v>-0.38862559241706163</v>
      </c>
    </row>
    <row r="473" spans="1:10">
      <c r="A473" s="3">
        <v>130</v>
      </c>
      <c r="B473" t="s">
        <v>517</v>
      </c>
      <c r="C473" t="s">
        <v>456</v>
      </c>
      <c r="E473" s="3">
        <f t="shared" si="22"/>
        <v>5</v>
      </c>
      <c r="F473" s="5">
        <v>44302.625</v>
      </c>
      <c r="G473" s="19" t="str">
        <f t="shared" si="21"/>
        <v/>
      </c>
      <c r="J473" s="28">
        <f t="shared" si="23"/>
        <v>-0.25714285714285712</v>
      </c>
    </row>
    <row r="474" spans="1:10">
      <c r="A474" s="3">
        <v>124</v>
      </c>
      <c r="B474" t="s">
        <v>518</v>
      </c>
      <c r="C474" t="s">
        <v>456</v>
      </c>
      <c r="E474" s="3">
        <f t="shared" si="22"/>
        <v>6</v>
      </c>
      <c r="F474" s="5">
        <v>44303.625</v>
      </c>
      <c r="G474" s="19" t="str">
        <f t="shared" si="21"/>
        <v/>
      </c>
      <c r="J474" s="28">
        <f t="shared" si="23"/>
        <v>-9.4890510948905105E-2</v>
      </c>
    </row>
    <row r="475" spans="1:10">
      <c r="A475" s="3">
        <v>88</v>
      </c>
      <c r="B475" t="s">
        <v>519</v>
      </c>
      <c r="C475" t="s">
        <v>456</v>
      </c>
      <c r="E475" s="3">
        <f t="shared" si="22"/>
        <v>7</v>
      </c>
      <c r="F475" s="5">
        <v>44304.625</v>
      </c>
      <c r="G475" s="19" t="str">
        <f t="shared" si="21"/>
        <v/>
      </c>
      <c r="J475" s="28">
        <f t="shared" si="23"/>
        <v>-0.38028169014084512</v>
      </c>
    </row>
    <row r="476" spans="1:10">
      <c r="A476" s="3">
        <v>136</v>
      </c>
      <c r="B476" t="s">
        <v>520</v>
      </c>
      <c r="C476" t="s">
        <v>456</v>
      </c>
      <c r="E476" s="3">
        <f t="shared" si="22"/>
        <v>1</v>
      </c>
      <c r="F476" s="5">
        <v>44305.625</v>
      </c>
      <c r="G476" s="19" t="str">
        <f t="shared" si="21"/>
        <v>2021-W16</v>
      </c>
      <c r="H476">
        <f>SUM(A476:A482)</f>
        <v>811</v>
      </c>
      <c r="I476" s="28">
        <f>H476/H469-1</f>
        <v>-0.19702970297029698</v>
      </c>
      <c r="J476" s="28">
        <f t="shared" si="23"/>
        <v>-0.36744186046511629</v>
      </c>
    </row>
    <row r="477" spans="1:10">
      <c r="A477" s="3">
        <v>144</v>
      </c>
      <c r="B477" t="s">
        <v>521</v>
      </c>
      <c r="C477" t="s">
        <v>456</v>
      </c>
      <c r="E477" s="3">
        <f t="shared" si="22"/>
        <v>2</v>
      </c>
      <c r="F477" s="5">
        <v>44306.625</v>
      </c>
      <c r="G477" s="19" t="str">
        <f t="shared" si="21"/>
        <v/>
      </c>
      <c r="J477" s="28">
        <f t="shared" si="23"/>
        <v>-7.096774193548383E-2</v>
      </c>
    </row>
    <row r="478" spans="1:10">
      <c r="A478" s="3">
        <v>114</v>
      </c>
      <c r="B478" t="s">
        <v>522</v>
      </c>
      <c r="C478" t="s">
        <v>456</v>
      </c>
      <c r="E478" s="3">
        <f t="shared" si="22"/>
        <v>3</v>
      </c>
      <c r="F478" s="5">
        <v>44307.625</v>
      </c>
      <c r="G478" s="19" t="str">
        <f t="shared" si="21"/>
        <v/>
      </c>
      <c r="J478" s="28">
        <f t="shared" si="23"/>
        <v>-0.32544378698224852</v>
      </c>
    </row>
    <row r="479" spans="1:10">
      <c r="A479" s="3">
        <v>139</v>
      </c>
      <c r="B479" t="s">
        <v>524</v>
      </c>
      <c r="C479" t="s">
        <v>456</v>
      </c>
      <c r="E479" s="3">
        <f t="shared" si="22"/>
        <v>4</v>
      </c>
      <c r="F479" s="5">
        <v>44308.625</v>
      </c>
      <c r="G479" s="19" t="str">
        <f t="shared" si="21"/>
        <v/>
      </c>
      <c r="J479" s="28">
        <f t="shared" si="23"/>
        <v>7.7519379844961156E-2</v>
      </c>
    </row>
    <row r="480" spans="1:10">
      <c r="A480" s="3">
        <v>110</v>
      </c>
      <c r="B480" t="s">
        <v>525</v>
      </c>
      <c r="C480" t="s">
        <v>456</v>
      </c>
      <c r="E480" s="3">
        <f t="shared" si="22"/>
        <v>5</v>
      </c>
      <c r="F480" s="5">
        <v>44309.625</v>
      </c>
      <c r="G480" s="19" t="str">
        <f t="shared" si="21"/>
        <v/>
      </c>
      <c r="J480" s="28">
        <f t="shared" si="23"/>
        <v>-0.15384615384615385</v>
      </c>
    </row>
    <row r="481" spans="1:10">
      <c r="A481" s="3">
        <v>85</v>
      </c>
      <c r="B481" t="s">
        <v>526</v>
      </c>
      <c r="C481" t="s">
        <v>456</v>
      </c>
      <c r="E481" s="3">
        <f t="shared" si="22"/>
        <v>6</v>
      </c>
      <c r="F481" s="5">
        <v>44310.625</v>
      </c>
      <c r="G481" s="19" t="str">
        <f t="shared" si="21"/>
        <v/>
      </c>
      <c r="J481" s="28">
        <f t="shared" si="23"/>
        <v>-0.31451612903225812</v>
      </c>
    </row>
    <row r="482" spans="1:10">
      <c r="A482" s="3">
        <v>83</v>
      </c>
      <c r="B482" t="s">
        <v>527</v>
      </c>
      <c r="C482" t="s">
        <v>456</v>
      </c>
      <c r="E482" s="3">
        <f t="shared" si="22"/>
        <v>7</v>
      </c>
      <c r="F482" s="5">
        <v>44311.625</v>
      </c>
      <c r="G482" s="19" t="str">
        <f t="shared" si="21"/>
        <v/>
      </c>
      <c r="J482" s="28">
        <f t="shared" si="23"/>
        <v>-5.6818181818181768E-2</v>
      </c>
    </row>
    <row r="483" spans="1:10">
      <c r="A483" s="3">
        <v>121</v>
      </c>
      <c r="B483" t="s">
        <v>528</v>
      </c>
      <c r="C483" t="s">
        <v>456</v>
      </c>
      <c r="E483" s="3">
        <f t="shared" si="22"/>
        <v>1</v>
      </c>
      <c r="F483" s="5">
        <v>44312.625</v>
      </c>
      <c r="G483" s="19" t="str">
        <f t="shared" si="21"/>
        <v>2021-W17</v>
      </c>
      <c r="H483">
        <f>SUM(A483:A489)</f>
        <v>702</v>
      </c>
      <c r="I483" s="28">
        <f>H483/H476-1</f>
        <v>-0.13440197287299627</v>
      </c>
      <c r="J483" s="28">
        <f t="shared" si="23"/>
        <v>-0.11029411764705888</v>
      </c>
    </row>
    <row r="484" spans="1:10">
      <c r="A484" s="3">
        <v>109</v>
      </c>
      <c r="B484" t="s">
        <v>529</v>
      </c>
      <c r="C484" t="s">
        <v>456</v>
      </c>
      <c r="E484" s="3">
        <f t="shared" si="22"/>
        <v>2</v>
      </c>
      <c r="F484" s="5">
        <v>44313.625</v>
      </c>
      <c r="G484" s="19" t="str">
        <f t="shared" si="21"/>
        <v/>
      </c>
      <c r="J484" s="28">
        <f t="shared" si="23"/>
        <v>-0.24305555555555558</v>
      </c>
    </row>
    <row r="485" spans="1:10">
      <c r="A485" s="3">
        <v>146</v>
      </c>
      <c r="B485" t="s">
        <v>530</v>
      </c>
      <c r="C485" t="s">
        <v>456</v>
      </c>
      <c r="E485" s="3">
        <f t="shared" si="22"/>
        <v>3</v>
      </c>
      <c r="F485" s="5">
        <v>44314.625</v>
      </c>
      <c r="G485" s="19" t="str">
        <f t="shared" si="21"/>
        <v/>
      </c>
      <c r="J485" s="28">
        <f t="shared" si="23"/>
        <v>0.2807017543859649</v>
      </c>
    </row>
    <row r="486" spans="1:10">
      <c r="A486" s="3">
        <v>94</v>
      </c>
      <c r="B486" t="s">
        <v>531</v>
      </c>
      <c r="C486" t="s">
        <v>456</v>
      </c>
      <c r="E486" s="3">
        <f t="shared" si="22"/>
        <v>4</v>
      </c>
      <c r="F486" s="5">
        <v>44315.625</v>
      </c>
      <c r="G486" s="19" t="str">
        <f t="shared" si="21"/>
        <v/>
      </c>
      <c r="J486" s="28">
        <f t="shared" si="23"/>
        <v>-0.32374100719424459</v>
      </c>
    </row>
    <row r="487" spans="1:10">
      <c r="A487" s="3">
        <v>97</v>
      </c>
      <c r="B487" t="s">
        <v>532</v>
      </c>
      <c r="C487" t="s">
        <v>456</v>
      </c>
      <c r="E487" s="3">
        <f t="shared" si="22"/>
        <v>5</v>
      </c>
      <c r="F487" s="5">
        <v>44316.625</v>
      </c>
      <c r="G487" s="19" t="str">
        <f t="shared" si="21"/>
        <v/>
      </c>
      <c r="J487" s="28">
        <f t="shared" si="23"/>
        <v>-0.11818181818181817</v>
      </c>
    </row>
    <row r="488" spans="1:10">
      <c r="A488" s="3">
        <v>54</v>
      </c>
      <c r="B488" t="s">
        <v>533</v>
      </c>
      <c r="C488" t="s">
        <v>456</v>
      </c>
      <c r="E488" s="3">
        <f t="shared" si="22"/>
        <v>6</v>
      </c>
      <c r="F488" s="5">
        <v>44317.625</v>
      </c>
      <c r="G488" s="19" t="str">
        <f t="shared" si="21"/>
        <v/>
      </c>
      <c r="J488" s="28">
        <f t="shared" si="23"/>
        <v>-0.36470588235294121</v>
      </c>
    </row>
    <row r="489" spans="1:10">
      <c r="A489" s="3">
        <v>81</v>
      </c>
      <c r="B489" t="s">
        <v>534</v>
      </c>
      <c r="C489" t="s">
        <v>456</v>
      </c>
      <c r="E489" s="3">
        <f t="shared" si="22"/>
        <v>7</v>
      </c>
      <c r="F489" s="5">
        <v>44318.625</v>
      </c>
      <c r="G489" s="19" t="str">
        <f t="shared" si="21"/>
        <v/>
      </c>
      <c r="J489" s="28">
        <f t="shared" si="23"/>
        <v>-2.4096385542168641E-2</v>
      </c>
    </row>
    <row r="490" spans="1:10">
      <c r="A490" s="3">
        <v>158</v>
      </c>
      <c r="B490" t="s">
        <v>535</v>
      </c>
      <c r="C490" t="s">
        <v>456</v>
      </c>
      <c r="E490" s="3">
        <f t="shared" si="22"/>
        <v>1</v>
      </c>
      <c r="F490" s="5">
        <v>44319.625</v>
      </c>
      <c r="G490" s="19" t="str">
        <f t="shared" si="21"/>
        <v>2021-W18</v>
      </c>
      <c r="H490">
        <f>SUM(A490:A496)</f>
        <v>742</v>
      </c>
      <c r="I490" s="28">
        <f>H490/H483-1</f>
        <v>5.6980056980056926E-2</v>
      </c>
      <c r="J490" s="28">
        <f t="shared" si="23"/>
        <v>0.30578512396694224</v>
      </c>
    </row>
    <row r="491" spans="1:10">
      <c r="A491" s="3">
        <v>113</v>
      </c>
      <c r="B491" t="s">
        <v>536</v>
      </c>
      <c r="C491" t="s">
        <v>456</v>
      </c>
      <c r="E491" s="3">
        <f t="shared" si="22"/>
        <v>2</v>
      </c>
      <c r="F491" s="5">
        <v>44320.625</v>
      </c>
      <c r="G491" s="19" t="str">
        <f t="shared" si="21"/>
        <v/>
      </c>
      <c r="J491" s="28">
        <f t="shared" si="23"/>
        <v>3.669724770642202E-2</v>
      </c>
    </row>
    <row r="492" spans="1:10">
      <c r="A492" s="3">
        <v>126</v>
      </c>
      <c r="B492" t="s">
        <v>537</v>
      </c>
      <c r="C492" t="s">
        <v>456</v>
      </c>
      <c r="E492" s="3">
        <f t="shared" si="22"/>
        <v>3</v>
      </c>
      <c r="F492" s="5">
        <v>44321.625</v>
      </c>
      <c r="G492" s="19" t="str">
        <f t="shared" si="21"/>
        <v/>
      </c>
      <c r="J492" s="28">
        <f t="shared" si="23"/>
        <v>-0.13698630136986301</v>
      </c>
    </row>
    <row r="493" spans="1:10">
      <c r="A493" s="3">
        <v>113</v>
      </c>
      <c r="B493" t="s">
        <v>539</v>
      </c>
      <c r="C493" t="s">
        <v>456</v>
      </c>
      <c r="E493" s="3">
        <f t="shared" si="22"/>
        <v>4</v>
      </c>
      <c r="F493" s="5">
        <v>44322.625</v>
      </c>
      <c r="G493" s="19" t="str">
        <f t="shared" si="21"/>
        <v/>
      </c>
      <c r="J493" s="28">
        <f t="shared" si="23"/>
        <v>0.2021276595744681</v>
      </c>
    </row>
    <row r="494" spans="1:10">
      <c r="A494" s="3">
        <v>94</v>
      </c>
      <c r="B494" t="s">
        <v>540</v>
      </c>
      <c r="C494" t="s">
        <v>456</v>
      </c>
      <c r="E494" s="3">
        <f t="shared" si="22"/>
        <v>5</v>
      </c>
      <c r="F494" s="5">
        <v>44323.625</v>
      </c>
      <c r="G494" s="19" t="str">
        <f t="shared" si="21"/>
        <v/>
      </c>
      <c r="J494" s="28">
        <f t="shared" si="23"/>
        <v>-3.0927835051546393E-2</v>
      </c>
    </row>
    <row r="495" spans="1:10">
      <c r="A495" s="3">
        <v>69</v>
      </c>
      <c r="B495" t="s">
        <v>541</v>
      </c>
      <c r="C495" t="s">
        <v>456</v>
      </c>
      <c r="E495" s="3">
        <f t="shared" si="22"/>
        <v>6</v>
      </c>
      <c r="F495" s="5">
        <v>44324.625</v>
      </c>
      <c r="G495" s="19" t="str">
        <f t="shared" si="21"/>
        <v/>
      </c>
      <c r="J495" s="28">
        <f t="shared" si="23"/>
        <v>0.27777777777777768</v>
      </c>
    </row>
    <row r="496" spans="1:10">
      <c r="A496" s="3">
        <v>69</v>
      </c>
      <c r="B496" t="s">
        <v>542</v>
      </c>
      <c r="C496" t="s">
        <v>456</v>
      </c>
      <c r="E496" s="3">
        <f t="shared" si="22"/>
        <v>7</v>
      </c>
      <c r="F496" s="5">
        <v>44325.625</v>
      </c>
      <c r="G496" s="19" t="str">
        <f t="shared" si="21"/>
        <v/>
      </c>
      <c r="J496" s="28">
        <f t="shared" si="23"/>
        <v>-0.14814814814814814</v>
      </c>
    </row>
    <row r="497" spans="1:10">
      <c r="A497" s="3">
        <v>138</v>
      </c>
      <c r="B497" t="s">
        <v>543</v>
      </c>
      <c r="C497" t="s">
        <v>456</v>
      </c>
      <c r="E497" s="3">
        <f t="shared" si="22"/>
        <v>1</v>
      </c>
      <c r="F497" s="5">
        <v>44326.625</v>
      </c>
      <c r="G497" s="19" t="str">
        <f t="shared" si="21"/>
        <v>2021-W19</v>
      </c>
      <c r="H497">
        <f>SUM(A497:A503)</f>
        <v>689</v>
      </c>
      <c r="I497" s="28">
        <f>H497/H490-1</f>
        <v>-7.1428571428571397E-2</v>
      </c>
      <c r="J497" s="28">
        <f t="shared" si="23"/>
        <v>-0.12658227848101267</v>
      </c>
    </row>
    <row r="498" spans="1:10">
      <c r="A498" s="3">
        <v>108</v>
      </c>
      <c r="B498" t="s">
        <v>544</v>
      </c>
      <c r="C498" t="s">
        <v>456</v>
      </c>
      <c r="E498" s="3">
        <f t="shared" si="22"/>
        <v>2</v>
      </c>
      <c r="F498" s="5">
        <v>44327.625</v>
      </c>
      <c r="G498" s="19" t="str">
        <f t="shared" si="21"/>
        <v/>
      </c>
      <c r="J498" s="28">
        <f t="shared" si="23"/>
        <v>-4.4247787610619427E-2</v>
      </c>
    </row>
    <row r="499" spans="1:10">
      <c r="A499" s="3">
        <v>146</v>
      </c>
      <c r="B499" t="s">
        <v>545</v>
      </c>
      <c r="C499" t="s">
        <v>456</v>
      </c>
      <c r="E499" s="3">
        <f t="shared" si="22"/>
        <v>3</v>
      </c>
      <c r="F499" s="5">
        <v>44328.625</v>
      </c>
      <c r="G499" s="19" t="str">
        <f t="shared" si="21"/>
        <v/>
      </c>
      <c r="J499" s="28">
        <f t="shared" si="23"/>
        <v>0.15873015873015883</v>
      </c>
    </row>
    <row r="500" spans="1:10">
      <c r="A500" s="3">
        <v>77</v>
      </c>
      <c r="B500" t="s">
        <v>546</v>
      </c>
      <c r="C500" t="s">
        <v>456</v>
      </c>
      <c r="E500" s="3">
        <f t="shared" si="22"/>
        <v>4</v>
      </c>
      <c r="F500" s="5">
        <v>44329.625</v>
      </c>
      <c r="G500" s="19" t="str">
        <f t="shared" si="21"/>
        <v/>
      </c>
      <c r="J500" s="28">
        <f t="shared" si="23"/>
        <v>-0.31858407079646023</v>
      </c>
    </row>
    <row r="501" spans="1:10">
      <c r="A501" s="3">
        <v>85</v>
      </c>
      <c r="B501" t="s">
        <v>547</v>
      </c>
      <c r="C501" t="s">
        <v>456</v>
      </c>
      <c r="E501" s="3">
        <f t="shared" si="22"/>
        <v>5</v>
      </c>
      <c r="F501" s="5">
        <v>44330.625</v>
      </c>
      <c r="G501" s="19" t="str">
        <f t="shared" si="21"/>
        <v/>
      </c>
      <c r="J501" s="28">
        <f t="shared" si="23"/>
        <v>-9.5744680851063801E-2</v>
      </c>
    </row>
    <row r="502" spans="1:10">
      <c r="A502" s="3">
        <v>80</v>
      </c>
      <c r="B502" t="s">
        <v>548</v>
      </c>
      <c r="C502" t="s">
        <v>456</v>
      </c>
      <c r="E502" s="3">
        <f t="shared" si="22"/>
        <v>6</v>
      </c>
      <c r="F502" s="5">
        <v>44331.625</v>
      </c>
      <c r="G502" s="19" t="str">
        <f t="shared" si="21"/>
        <v/>
      </c>
      <c r="J502" s="28">
        <f t="shared" si="23"/>
        <v>0.15942028985507251</v>
      </c>
    </row>
    <row r="503" spans="1:10">
      <c r="A503" s="3">
        <v>55</v>
      </c>
      <c r="B503" t="s">
        <v>549</v>
      </c>
      <c r="C503" t="s">
        <v>456</v>
      </c>
      <c r="E503" s="3">
        <f t="shared" si="22"/>
        <v>7</v>
      </c>
      <c r="F503" s="5">
        <v>44332.625</v>
      </c>
      <c r="G503" s="19" t="str">
        <f t="shared" si="21"/>
        <v/>
      </c>
      <c r="J503" s="28">
        <f t="shared" si="23"/>
        <v>-0.20289855072463769</v>
      </c>
    </row>
    <row r="504" spans="1:10">
      <c r="A504" s="3">
        <v>120</v>
      </c>
      <c r="B504" t="s">
        <v>550</v>
      </c>
      <c r="C504" t="s">
        <v>456</v>
      </c>
      <c r="E504" s="3">
        <f t="shared" si="22"/>
        <v>1</v>
      </c>
      <c r="F504" s="5">
        <v>44333.625</v>
      </c>
      <c r="G504" s="19" t="str">
        <f t="shared" si="21"/>
        <v>2021-W20</v>
      </c>
      <c r="H504">
        <f>SUM(A504:A510)</f>
        <v>640</v>
      </c>
      <c r="I504" s="28">
        <f>H504/H497-1</f>
        <v>-7.1117561683599395E-2</v>
      </c>
      <c r="J504" s="28">
        <f t="shared" si="23"/>
        <v>-0.13043478260869568</v>
      </c>
    </row>
    <row r="505" spans="1:10">
      <c r="A505" s="3">
        <v>109</v>
      </c>
      <c r="B505" t="s">
        <v>551</v>
      </c>
      <c r="C505" t="s">
        <v>456</v>
      </c>
      <c r="E505" s="3">
        <f t="shared" si="22"/>
        <v>2</v>
      </c>
      <c r="F505" s="5">
        <v>44334.625</v>
      </c>
      <c r="G505" s="19" t="str">
        <f t="shared" si="21"/>
        <v/>
      </c>
      <c r="J505" s="28">
        <f t="shared" si="23"/>
        <v>9.2592592592593004E-3</v>
      </c>
    </row>
    <row r="506" spans="1:10">
      <c r="A506" s="3">
        <v>113</v>
      </c>
      <c r="B506" t="s">
        <v>552</v>
      </c>
      <c r="C506" t="s">
        <v>456</v>
      </c>
      <c r="E506" s="3">
        <f t="shared" si="22"/>
        <v>3</v>
      </c>
      <c r="F506" s="5">
        <v>44335.625</v>
      </c>
      <c r="G506" s="19" t="str">
        <f t="shared" si="21"/>
        <v/>
      </c>
      <c r="J506" s="28">
        <f t="shared" si="23"/>
        <v>-0.22602739726027399</v>
      </c>
    </row>
    <row r="507" spans="1:10">
      <c r="A507" s="3">
        <v>103</v>
      </c>
      <c r="B507" t="s">
        <v>553</v>
      </c>
      <c r="C507" t="s">
        <v>456</v>
      </c>
      <c r="E507" s="3">
        <f t="shared" si="22"/>
        <v>4</v>
      </c>
      <c r="F507" s="5">
        <v>44336.625</v>
      </c>
      <c r="G507" s="19" t="str">
        <f t="shared" si="21"/>
        <v/>
      </c>
      <c r="J507" s="28">
        <f t="shared" si="23"/>
        <v>0.33766233766233755</v>
      </c>
    </row>
    <row r="508" spans="1:10">
      <c r="A508" s="3">
        <v>86</v>
      </c>
      <c r="B508" t="s">
        <v>554</v>
      </c>
      <c r="C508" t="s">
        <v>456</v>
      </c>
      <c r="E508" s="3">
        <f t="shared" si="22"/>
        <v>5</v>
      </c>
      <c r="F508" s="5">
        <v>44337.625</v>
      </c>
      <c r="G508" s="19" t="str">
        <f t="shared" si="21"/>
        <v/>
      </c>
      <c r="J508" s="28">
        <f t="shared" si="23"/>
        <v>1.1764705882352899E-2</v>
      </c>
    </row>
    <row r="509" spans="1:10">
      <c r="A509" s="3">
        <v>55</v>
      </c>
      <c r="B509" t="s">
        <v>555</v>
      </c>
      <c r="C509" t="s">
        <v>456</v>
      </c>
      <c r="E509" s="3">
        <f t="shared" si="22"/>
        <v>6</v>
      </c>
      <c r="F509" s="5">
        <v>44338.625</v>
      </c>
      <c r="G509" s="19" t="str">
        <f t="shared" si="21"/>
        <v/>
      </c>
      <c r="J509" s="28">
        <f t="shared" si="23"/>
        <v>-0.3125</v>
      </c>
    </row>
    <row r="510" spans="1:10">
      <c r="A510" s="3">
        <v>54</v>
      </c>
      <c r="B510" t="s">
        <v>556</v>
      </c>
      <c r="C510" t="s">
        <v>456</v>
      </c>
      <c r="E510" s="3">
        <f t="shared" si="22"/>
        <v>7</v>
      </c>
      <c r="F510" s="5">
        <v>44339.625</v>
      </c>
      <c r="G510" s="19" t="str">
        <f t="shared" si="21"/>
        <v/>
      </c>
      <c r="J510" s="28">
        <f t="shared" si="23"/>
        <v>-1.8181818181818188E-2</v>
      </c>
    </row>
    <row r="511" spans="1:10">
      <c r="A511" s="3">
        <v>109</v>
      </c>
      <c r="B511" t="s">
        <v>557</v>
      </c>
      <c r="C511" t="s">
        <v>456</v>
      </c>
      <c r="E511" s="3">
        <f t="shared" si="22"/>
        <v>1</v>
      </c>
      <c r="F511" s="5">
        <v>44340.625</v>
      </c>
      <c r="G511" s="19" t="str">
        <f t="shared" si="21"/>
        <v>2021-W21</v>
      </c>
      <c r="H511">
        <f>SUM(A511:A517)</f>
        <v>467</v>
      </c>
      <c r="I511" s="28">
        <f>H511/H504-1</f>
        <v>-0.27031249999999996</v>
      </c>
      <c r="J511" s="28">
        <f t="shared" si="23"/>
        <v>-9.1666666666666674E-2</v>
      </c>
    </row>
    <row r="512" spans="1:10">
      <c r="A512" s="3">
        <v>85</v>
      </c>
      <c r="B512" t="s">
        <v>558</v>
      </c>
      <c r="C512" t="s">
        <v>456</v>
      </c>
      <c r="E512" s="3">
        <f t="shared" si="22"/>
        <v>2</v>
      </c>
      <c r="F512" s="5">
        <v>44341.625</v>
      </c>
      <c r="G512" s="19" t="str">
        <f t="shared" si="21"/>
        <v/>
      </c>
      <c r="J512" s="28">
        <f t="shared" si="23"/>
        <v>-0.22018348623853212</v>
      </c>
    </row>
    <row r="513" spans="1:10">
      <c r="A513" s="3">
        <v>76</v>
      </c>
      <c r="B513" t="s">
        <v>559</v>
      </c>
      <c r="C513" t="s">
        <v>456</v>
      </c>
      <c r="E513" s="3">
        <f t="shared" si="22"/>
        <v>3</v>
      </c>
      <c r="F513" s="5">
        <v>44342.625</v>
      </c>
      <c r="G513" s="19" t="str">
        <f t="shared" si="21"/>
        <v/>
      </c>
      <c r="J513" s="28">
        <f t="shared" si="23"/>
        <v>-0.32743362831858402</v>
      </c>
    </row>
    <row r="514" spans="1:10">
      <c r="A514" s="3">
        <v>56</v>
      </c>
      <c r="B514" t="s">
        <v>560</v>
      </c>
      <c r="C514" t="s">
        <v>456</v>
      </c>
      <c r="E514" s="3">
        <f t="shared" si="22"/>
        <v>4</v>
      </c>
      <c r="F514" s="5">
        <v>44343.625</v>
      </c>
      <c r="G514" s="19" t="str">
        <f t="shared" si="21"/>
        <v/>
      </c>
      <c r="J514" s="28">
        <f t="shared" si="23"/>
        <v>-0.4563106796116505</v>
      </c>
    </row>
    <row r="515" spans="1:10">
      <c r="A515" s="3">
        <v>64</v>
      </c>
      <c r="B515" t="s">
        <v>561</v>
      </c>
      <c r="C515" t="s">
        <v>456</v>
      </c>
      <c r="E515" s="3">
        <f t="shared" si="22"/>
        <v>5</v>
      </c>
      <c r="F515" s="5">
        <v>44344.625</v>
      </c>
      <c r="G515" s="19" t="str">
        <f t="shared" ref="G515:G578" si="24">IF(WEEKDAY(F515,2)=1,YEAR(F515)&amp;"-W"&amp;TEXT(WEEKNUM(F515,14),"00"),"")</f>
        <v/>
      </c>
      <c r="J515" s="28">
        <f t="shared" si="23"/>
        <v>-0.2558139534883721</v>
      </c>
    </row>
    <row r="516" spans="1:10">
      <c r="A516" s="3">
        <v>28</v>
      </c>
      <c r="B516" t="s">
        <v>562</v>
      </c>
      <c r="C516" t="s">
        <v>456</v>
      </c>
      <c r="E516" s="3">
        <f t="shared" si="22"/>
        <v>6</v>
      </c>
      <c r="F516" s="5">
        <v>44345.625</v>
      </c>
      <c r="G516" s="19" t="str">
        <f t="shared" si="24"/>
        <v/>
      </c>
      <c r="J516" s="28">
        <f t="shared" si="23"/>
        <v>-0.49090909090909096</v>
      </c>
    </row>
    <row r="517" spans="1:10">
      <c r="A517" s="3">
        <v>49</v>
      </c>
      <c r="B517" t="s">
        <v>563</v>
      </c>
      <c r="C517" t="s">
        <v>456</v>
      </c>
      <c r="E517" s="3">
        <f t="shared" ref="E517:E580" si="25">WEEKDAY(F517,2)</f>
        <v>7</v>
      </c>
      <c r="F517" s="5">
        <v>44346.625</v>
      </c>
      <c r="G517" s="19" t="str">
        <f t="shared" si="24"/>
        <v/>
      </c>
      <c r="J517" s="28">
        <f t="shared" si="23"/>
        <v>-9.259259259259256E-2</v>
      </c>
    </row>
    <row r="518" spans="1:10">
      <c r="A518" s="3">
        <v>95</v>
      </c>
      <c r="B518" t="s">
        <v>564</v>
      </c>
      <c r="C518" t="s">
        <v>456</v>
      </c>
      <c r="E518" s="3">
        <f t="shared" si="25"/>
        <v>1</v>
      </c>
      <c r="F518" s="5">
        <v>44347.625</v>
      </c>
      <c r="G518" s="19" t="str">
        <f t="shared" si="24"/>
        <v>2021-W22</v>
      </c>
      <c r="H518">
        <f>SUM(A518:A524)</f>
        <v>452</v>
      </c>
      <c r="I518" s="28">
        <f>H518/H511-1</f>
        <v>-3.2119914346895095E-2</v>
      </c>
      <c r="J518" s="28">
        <f t="shared" si="23"/>
        <v>-0.12844036697247707</v>
      </c>
    </row>
    <row r="519" spans="1:10">
      <c r="A519" s="3">
        <v>77</v>
      </c>
      <c r="B519" t="s">
        <v>565</v>
      </c>
      <c r="C519" t="s">
        <v>456</v>
      </c>
      <c r="E519" s="3">
        <f t="shared" si="25"/>
        <v>2</v>
      </c>
      <c r="F519" s="5">
        <v>44348.625</v>
      </c>
      <c r="G519" s="19" t="str">
        <f t="shared" si="24"/>
        <v/>
      </c>
      <c r="J519" s="28">
        <f t="shared" si="23"/>
        <v>-9.4117647058823528E-2</v>
      </c>
    </row>
    <row r="520" spans="1:10">
      <c r="A520" s="3">
        <v>67</v>
      </c>
      <c r="B520" t="s">
        <v>566</v>
      </c>
      <c r="C520" t="s">
        <v>456</v>
      </c>
      <c r="E520" s="3">
        <f t="shared" si="25"/>
        <v>3</v>
      </c>
      <c r="F520" s="5">
        <v>44349.625</v>
      </c>
      <c r="G520" s="19" t="str">
        <f t="shared" si="24"/>
        <v/>
      </c>
      <c r="J520" s="28">
        <f t="shared" si="23"/>
        <v>-0.11842105263157898</v>
      </c>
    </row>
    <row r="521" spans="1:10">
      <c r="A521" s="3">
        <v>68</v>
      </c>
      <c r="B521" t="s">
        <v>567</v>
      </c>
      <c r="C521" t="s">
        <v>456</v>
      </c>
      <c r="E521" s="3">
        <f t="shared" si="25"/>
        <v>4</v>
      </c>
      <c r="F521" s="5">
        <v>44350.625</v>
      </c>
      <c r="G521" s="19" t="str">
        <f t="shared" si="24"/>
        <v/>
      </c>
      <c r="J521" s="28">
        <f t="shared" ref="J521:J584" si="26">A521/A514-1</f>
        <v>0.21428571428571419</v>
      </c>
    </row>
    <row r="522" spans="1:10">
      <c r="A522" s="3">
        <v>63</v>
      </c>
      <c r="B522" t="s">
        <v>568</v>
      </c>
      <c r="C522" t="s">
        <v>456</v>
      </c>
      <c r="E522" s="3">
        <f t="shared" si="25"/>
        <v>5</v>
      </c>
      <c r="F522" s="5">
        <v>44351.625</v>
      </c>
      <c r="G522" s="19" t="str">
        <f t="shared" si="24"/>
        <v/>
      </c>
      <c r="J522" s="28">
        <f t="shared" si="26"/>
        <v>-1.5625E-2</v>
      </c>
    </row>
    <row r="523" spans="1:10">
      <c r="A523" s="3">
        <v>41</v>
      </c>
      <c r="B523" t="s">
        <v>569</v>
      </c>
      <c r="C523" t="s">
        <v>456</v>
      </c>
      <c r="E523" s="3">
        <f t="shared" si="25"/>
        <v>6</v>
      </c>
      <c r="F523" s="5">
        <v>44352.625</v>
      </c>
      <c r="G523" s="19" t="str">
        <f t="shared" si="24"/>
        <v/>
      </c>
      <c r="J523" s="28">
        <f t="shared" si="26"/>
        <v>0.46428571428571419</v>
      </c>
    </row>
    <row r="524" spans="1:10">
      <c r="A524" s="3">
        <v>41</v>
      </c>
      <c r="B524" t="s">
        <v>570</v>
      </c>
      <c r="C524" t="s">
        <v>456</v>
      </c>
      <c r="E524" s="3">
        <f t="shared" si="25"/>
        <v>7</v>
      </c>
      <c r="F524" s="5">
        <v>44353.625</v>
      </c>
      <c r="G524" s="19" t="str">
        <f t="shared" si="24"/>
        <v/>
      </c>
      <c r="J524" s="28">
        <f t="shared" si="26"/>
        <v>-0.16326530612244894</v>
      </c>
    </row>
    <row r="525" spans="1:10">
      <c r="A525" s="3">
        <v>85</v>
      </c>
      <c r="B525" t="s">
        <v>571</v>
      </c>
      <c r="C525" t="s">
        <v>456</v>
      </c>
      <c r="E525" s="3">
        <f t="shared" si="25"/>
        <v>1</v>
      </c>
      <c r="F525" s="5">
        <v>44354.625</v>
      </c>
      <c r="G525" s="19" t="str">
        <f t="shared" si="24"/>
        <v>2021-W23</v>
      </c>
      <c r="H525">
        <f>SUM(A525:A531)</f>
        <v>306</v>
      </c>
      <c r="I525" s="28">
        <f>H525/H518-1</f>
        <v>-0.32300884955752207</v>
      </c>
      <c r="J525" s="28">
        <f t="shared" si="26"/>
        <v>-0.10526315789473684</v>
      </c>
    </row>
    <row r="526" spans="1:10">
      <c r="A526" s="3">
        <v>53</v>
      </c>
      <c r="B526" t="s">
        <v>572</v>
      </c>
      <c r="C526" t="s">
        <v>456</v>
      </c>
      <c r="E526" s="3">
        <f t="shared" si="25"/>
        <v>2</v>
      </c>
      <c r="F526" s="5">
        <v>44355.625</v>
      </c>
      <c r="G526" s="19" t="str">
        <f t="shared" si="24"/>
        <v/>
      </c>
      <c r="J526" s="28">
        <f t="shared" si="26"/>
        <v>-0.31168831168831168</v>
      </c>
    </row>
    <row r="527" spans="1:10">
      <c r="A527" s="3">
        <v>37</v>
      </c>
      <c r="B527" t="s">
        <v>573</v>
      </c>
      <c r="C527" t="s">
        <v>456</v>
      </c>
      <c r="E527" s="3">
        <f t="shared" si="25"/>
        <v>3</v>
      </c>
      <c r="F527" s="5">
        <v>44356.625</v>
      </c>
      <c r="G527" s="19" t="str">
        <f t="shared" si="24"/>
        <v/>
      </c>
      <c r="J527" s="28">
        <f t="shared" si="26"/>
        <v>-0.44776119402985071</v>
      </c>
    </row>
    <row r="528" spans="1:10">
      <c r="A528" s="3">
        <v>32</v>
      </c>
      <c r="B528" t="s">
        <v>574</v>
      </c>
      <c r="C528" t="s">
        <v>456</v>
      </c>
      <c r="E528" s="3">
        <f t="shared" si="25"/>
        <v>4</v>
      </c>
      <c r="F528" s="5">
        <v>44357.625</v>
      </c>
      <c r="G528" s="19" t="str">
        <f t="shared" si="24"/>
        <v/>
      </c>
      <c r="J528" s="28">
        <f t="shared" si="26"/>
        <v>-0.52941176470588236</v>
      </c>
    </row>
    <row r="529" spans="1:10">
      <c r="A529" s="3">
        <v>33</v>
      </c>
      <c r="B529" t="s">
        <v>575</v>
      </c>
      <c r="C529" t="s">
        <v>456</v>
      </c>
      <c r="E529" s="3">
        <f t="shared" si="25"/>
        <v>5</v>
      </c>
      <c r="F529" s="5">
        <v>44358.625</v>
      </c>
      <c r="G529" s="19" t="str">
        <f t="shared" si="24"/>
        <v/>
      </c>
      <c r="J529" s="28">
        <f t="shared" si="26"/>
        <v>-0.47619047619047616</v>
      </c>
    </row>
    <row r="530" spans="1:10">
      <c r="A530" s="3">
        <v>34</v>
      </c>
      <c r="B530" t="s">
        <v>576</v>
      </c>
      <c r="C530" t="s">
        <v>456</v>
      </c>
      <c r="E530" s="3">
        <f t="shared" si="25"/>
        <v>6</v>
      </c>
      <c r="F530" s="5">
        <v>44359.625</v>
      </c>
      <c r="G530" s="19" t="str">
        <f t="shared" si="24"/>
        <v/>
      </c>
      <c r="J530" s="28">
        <f t="shared" si="26"/>
        <v>-0.17073170731707321</v>
      </c>
    </row>
    <row r="531" spans="1:10">
      <c r="A531" s="3">
        <v>32</v>
      </c>
      <c r="B531" t="s">
        <v>577</v>
      </c>
      <c r="C531" t="s">
        <v>456</v>
      </c>
      <c r="E531" s="3">
        <f t="shared" si="25"/>
        <v>7</v>
      </c>
      <c r="F531" s="5">
        <v>44360.625</v>
      </c>
      <c r="G531" s="19" t="str">
        <f t="shared" si="24"/>
        <v/>
      </c>
      <c r="J531" s="28">
        <f t="shared" si="26"/>
        <v>-0.21951219512195119</v>
      </c>
    </row>
    <row r="532" spans="1:10">
      <c r="A532" s="3">
        <v>33</v>
      </c>
      <c r="B532" t="s">
        <v>578</v>
      </c>
      <c r="C532" t="s">
        <v>456</v>
      </c>
      <c r="E532" s="3">
        <f t="shared" si="25"/>
        <v>1</v>
      </c>
      <c r="F532" s="5">
        <v>44361.625</v>
      </c>
      <c r="G532" s="19" t="str">
        <f t="shared" si="24"/>
        <v>2021-W24</v>
      </c>
      <c r="H532">
        <f>SUM(A532:A538)</f>
        <v>163</v>
      </c>
      <c r="I532" s="28">
        <f>H532/H525-1</f>
        <v>-0.4673202614379085</v>
      </c>
      <c r="J532" s="28">
        <f t="shared" si="26"/>
        <v>-0.61176470588235299</v>
      </c>
    </row>
    <row r="533" spans="1:10">
      <c r="A533" s="3">
        <v>41</v>
      </c>
      <c r="B533" t="s">
        <v>579</v>
      </c>
      <c r="C533" t="s">
        <v>456</v>
      </c>
      <c r="E533" s="3">
        <f t="shared" si="25"/>
        <v>2</v>
      </c>
      <c r="F533" s="5">
        <v>44362.625</v>
      </c>
      <c r="G533" s="19" t="str">
        <f t="shared" si="24"/>
        <v/>
      </c>
      <c r="J533" s="28">
        <f t="shared" si="26"/>
        <v>-0.22641509433962259</v>
      </c>
    </row>
    <row r="534" spans="1:10">
      <c r="A534" s="3">
        <v>34</v>
      </c>
      <c r="B534" t="s">
        <v>580</v>
      </c>
      <c r="C534" t="s">
        <v>456</v>
      </c>
      <c r="E534" s="3">
        <f t="shared" si="25"/>
        <v>3</v>
      </c>
      <c r="F534" s="5">
        <v>44363.625</v>
      </c>
      <c r="G534" s="19" t="str">
        <f t="shared" si="24"/>
        <v/>
      </c>
      <c r="J534" s="28">
        <f t="shared" si="26"/>
        <v>-8.108108108108103E-2</v>
      </c>
    </row>
    <row r="535" spans="1:10">
      <c r="A535" s="3">
        <v>34</v>
      </c>
      <c r="B535" t="s">
        <v>581</v>
      </c>
      <c r="C535" t="s">
        <v>456</v>
      </c>
      <c r="E535" s="3">
        <f t="shared" si="25"/>
        <v>4</v>
      </c>
      <c r="F535" s="5">
        <v>44364.625</v>
      </c>
      <c r="G535" s="19" t="str">
        <f t="shared" si="24"/>
        <v/>
      </c>
      <c r="J535" s="28">
        <f t="shared" si="26"/>
        <v>6.25E-2</v>
      </c>
    </row>
    <row r="536" spans="1:10">
      <c r="A536" s="3">
        <v>21</v>
      </c>
      <c r="B536" t="s">
        <v>582</v>
      </c>
      <c r="C536" t="s">
        <v>456</v>
      </c>
      <c r="E536" s="3">
        <f t="shared" si="25"/>
        <v>5</v>
      </c>
      <c r="F536" s="5">
        <v>44365.625</v>
      </c>
      <c r="G536" s="19" t="str">
        <f t="shared" si="24"/>
        <v/>
      </c>
      <c r="J536" s="28">
        <f t="shared" si="26"/>
        <v>-0.36363636363636365</v>
      </c>
    </row>
    <row r="537" spans="1:10">
      <c r="A537" s="3">
        <v>0</v>
      </c>
      <c r="B537" t="s">
        <v>583</v>
      </c>
      <c r="C537" t="s">
        <v>456</v>
      </c>
      <c r="E537" s="3">
        <f t="shared" si="25"/>
        <v>6</v>
      </c>
      <c r="F537" s="5">
        <v>44366.358773148146</v>
      </c>
      <c r="G537" s="19" t="str">
        <f t="shared" si="24"/>
        <v/>
      </c>
      <c r="J537" s="28">
        <f t="shared" si="26"/>
        <v>-1</v>
      </c>
    </row>
    <row r="538" spans="1:10">
      <c r="E538" s="3">
        <f t="shared" si="25"/>
        <v>6</v>
      </c>
      <c r="G538" s="19" t="str">
        <f t="shared" si="24"/>
        <v/>
      </c>
      <c r="J538" s="28">
        <f t="shared" si="26"/>
        <v>-1</v>
      </c>
    </row>
    <row r="539" spans="1:10">
      <c r="E539" s="3">
        <f t="shared" si="25"/>
        <v>6</v>
      </c>
      <c r="G539" s="19" t="str">
        <f t="shared" si="24"/>
        <v/>
      </c>
      <c r="H539">
        <f>SUM(A539:A545)</f>
        <v>0</v>
      </c>
      <c r="I539" s="28">
        <f>H539/H532-1</f>
        <v>-1</v>
      </c>
      <c r="J539" s="28">
        <f t="shared" si="26"/>
        <v>-1</v>
      </c>
    </row>
    <row r="540" spans="1:10">
      <c r="E540" s="3">
        <f t="shared" si="25"/>
        <v>6</v>
      </c>
      <c r="G540" s="19" t="str">
        <f t="shared" si="24"/>
        <v/>
      </c>
      <c r="J540" s="28">
        <f t="shared" si="26"/>
        <v>-1</v>
      </c>
    </row>
    <row r="541" spans="1:10">
      <c r="E541" s="3">
        <f t="shared" si="25"/>
        <v>6</v>
      </c>
      <c r="G541" s="19" t="str">
        <f t="shared" si="24"/>
        <v/>
      </c>
      <c r="J541" s="28">
        <f t="shared" si="26"/>
        <v>-1</v>
      </c>
    </row>
    <row r="542" spans="1:10">
      <c r="E542" s="3">
        <f t="shared" si="25"/>
        <v>6</v>
      </c>
      <c r="G542" s="19" t="str">
        <f t="shared" si="24"/>
        <v/>
      </c>
      <c r="J542" s="28">
        <f t="shared" si="26"/>
        <v>-1</v>
      </c>
    </row>
    <row r="543" spans="1:10">
      <c r="E543" s="3">
        <f t="shared" si="25"/>
        <v>6</v>
      </c>
      <c r="G543" s="19" t="str">
        <f t="shared" si="24"/>
        <v/>
      </c>
      <c r="J543" s="28">
        <f t="shared" si="26"/>
        <v>-1</v>
      </c>
    </row>
    <row r="544" spans="1:10">
      <c r="E544" s="3">
        <f t="shared" si="25"/>
        <v>6</v>
      </c>
      <c r="G544" s="19" t="str">
        <f t="shared" si="24"/>
        <v/>
      </c>
      <c r="J544" s="28" t="e">
        <f t="shared" si="26"/>
        <v>#DIV/0!</v>
      </c>
    </row>
    <row r="545" spans="5:10">
      <c r="E545" s="3">
        <f t="shared" si="25"/>
        <v>6</v>
      </c>
      <c r="G545" s="19" t="str">
        <f t="shared" si="24"/>
        <v/>
      </c>
      <c r="J545" s="28" t="e">
        <f t="shared" si="26"/>
        <v>#DIV/0!</v>
      </c>
    </row>
    <row r="546" spans="5:10">
      <c r="E546" s="3">
        <f t="shared" si="25"/>
        <v>6</v>
      </c>
      <c r="G546" s="19" t="str">
        <f t="shared" si="24"/>
        <v/>
      </c>
      <c r="H546">
        <f>SUM(A546:A552)</f>
        <v>0</v>
      </c>
      <c r="I546" s="28" t="e">
        <f>H546/H539-1</f>
        <v>#DIV/0!</v>
      </c>
      <c r="J546" s="28" t="e">
        <f t="shared" si="26"/>
        <v>#DIV/0!</v>
      </c>
    </row>
    <row r="547" spans="5:10">
      <c r="E547" s="3">
        <f t="shared" si="25"/>
        <v>6</v>
      </c>
      <c r="G547" s="19" t="str">
        <f t="shared" si="24"/>
        <v/>
      </c>
      <c r="J547" s="28" t="e">
        <f t="shared" si="26"/>
        <v>#DIV/0!</v>
      </c>
    </row>
    <row r="548" spans="5:10">
      <c r="E548" s="3">
        <f t="shared" si="25"/>
        <v>6</v>
      </c>
      <c r="G548" s="19" t="str">
        <f t="shared" si="24"/>
        <v/>
      </c>
      <c r="J548" s="28" t="e">
        <f t="shared" si="26"/>
        <v>#DIV/0!</v>
      </c>
    </row>
    <row r="549" spans="5:10">
      <c r="E549" s="3">
        <f t="shared" si="25"/>
        <v>6</v>
      </c>
      <c r="G549" s="19" t="str">
        <f t="shared" si="24"/>
        <v/>
      </c>
      <c r="J549" s="28" t="e">
        <f t="shared" si="26"/>
        <v>#DIV/0!</v>
      </c>
    </row>
    <row r="550" spans="5:10">
      <c r="E550" s="3">
        <f t="shared" si="25"/>
        <v>6</v>
      </c>
      <c r="G550" s="19" t="str">
        <f t="shared" si="24"/>
        <v/>
      </c>
      <c r="J550" s="28" t="e">
        <f t="shared" si="26"/>
        <v>#DIV/0!</v>
      </c>
    </row>
    <row r="551" spans="5:10">
      <c r="E551" s="3">
        <f t="shared" si="25"/>
        <v>6</v>
      </c>
      <c r="G551" s="19" t="str">
        <f t="shared" si="24"/>
        <v/>
      </c>
      <c r="J551" s="28" t="e">
        <f t="shared" si="26"/>
        <v>#DIV/0!</v>
      </c>
    </row>
    <row r="552" spans="5:10">
      <c r="E552" s="3">
        <f t="shared" si="25"/>
        <v>6</v>
      </c>
      <c r="G552" s="19" t="str">
        <f t="shared" si="24"/>
        <v/>
      </c>
      <c r="J552" s="28" t="e">
        <f t="shared" si="26"/>
        <v>#DIV/0!</v>
      </c>
    </row>
    <row r="553" spans="5:10">
      <c r="E553" s="3">
        <f t="shared" si="25"/>
        <v>6</v>
      </c>
      <c r="G553" s="19" t="str">
        <f t="shared" si="24"/>
        <v/>
      </c>
      <c r="H553">
        <f>SUM(A553:A559)</f>
        <v>0</v>
      </c>
      <c r="I553" s="28" t="e">
        <f>H553/H546-1</f>
        <v>#DIV/0!</v>
      </c>
      <c r="J553" s="28" t="e">
        <f t="shared" si="26"/>
        <v>#DIV/0!</v>
      </c>
    </row>
    <row r="554" spans="5:10">
      <c r="E554" s="3">
        <f t="shared" si="25"/>
        <v>6</v>
      </c>
      <c r="G554" s="19" t="str">
        <f t="shared" si="24"/>
        <v/>
      </c>
      <c r="J554" s="28" t="e">
        <f t="shared" si="26"/>
        <v>#DIV/0!</v>
      </c>
    </row>
    <row r="555" spans="5:10">
      <c r="E555" s="3">
        <f t="shared" si="25"/>
        <v>6</v>
      </c>
      <c r="G555" s="19" t="str">
        <f t="shared" si="24"/>
        <v/>
      </c>
      <c r="J555" s="28" t="e">
        <f t="shared" si="26"/>
        <v>#DIV/0!</v>
      </c>
    </row>
    <row r="556" spans="5:10">
      <c r="E556" s="3">
        <f t="shared" si="25"/>
        <v>6</v>
      </c>
      <c r="G556" s="19" t="str">
        <f t="shared" si="24"/>
        <v/>
      </c>
      <c r="J556" s="28" t="e">
        <f t="shared" si="26"/>
        <v>#DIV/0!</v>
      </c>
    </row>
    <row r="557" spans="5:10">
      <c r="E557" s="3">
        <f t="shared" si="25"/>
        <v>6</v>
      </c>
      <c r="G557" s="19" t="str">
        <f t="shared" si="24"/>
        <v/>
      </c>
      <c r="J557" s="28" t="e">
        <f t="shared" si="26"/>
        <v>#DIV/0!</v>
      </c>
    </row>
    <row r="558" spans="5:10">
      <c r="E558" s="3">
        <f t="shared" si="25"/>
        <v>6</v>
      </c>
      <c r="G558" s="19" t="str">
        <f t="shared" si="24"/>
        <v/>
      </c>
      <c r="J558" s="28" t="e">
        <f t="shared" si="26"/>
        <v>#DIV/0!</v>
      </c>
    </row>
    <row r="559" spans="5:10">
      <c r="E559" s="3">
        <f t="shared" si="25"/>
        <v>6</v>
      </c>
      <c r="G559" s="19" t="str">
        <f t="shared" si="24"/>
        <v/>
      </c>
      <c r="J559" s="28" t="e">
        <f t="shared" si="26"/>
        <v>#DIV/0!</v>
      </c>
    </row>
    <row r="560" spans="5:10">
      <c r="E560" s="3">
        <f t="shared" si="25"/>
        <v>6</v>
      </c>
      <c r="G560" s="19" t="str">
        <f t="shared" si="24"/>
        <v/>
      </c>
      <c r="H560">
        <f>SUM(A560:A566)</f>
        <v>0</v>
      </c>
      <c r="I560" s="28" t="e">
        <f>H560/H553-1</f>
        <v>#DIV/0!</v>
      </c>
      <c r="J560" s="28" t="e">
        <f t="shared" si="26"/>
        <v>#DIV/0!</v>
      </c>
    </row>
    <row r="561" spans="5:10">
      <c r="E561" s="3">
        <f t="shared" si="25"/>
        <v>6</v>
      </c>
      <c r="G561" s="19" t="str">
        <f t="shared" si="24"/>
        <v/>
      </c>
      <c r="J561" s="28" t="e">
        <f t="shared" si="26"/>
        <v>#DIV/0!</v>
      </c>
    </row>
    <row r="562" spans="5:10">
      <c r="E562" s="3">
        <f t="shared" si="25"/>
        <v>6</v>
      </c>
      <c r="G562" s="19" t="str">
        <f t="shared" si="24"/>
        <v/>
      </c>
      <c r="J562" s="28" t="e">
        <f t="shared" si="26"/>
        <v>#DIV/0!</v>
      </c>
    </row>
    <row r="563" spans="5:10">
      <c r="E563" s="3">
        <f t="shared" si="25"/>
        <v>6</v>
      </c>
      <c r="G563" s="19" t="str">
        <f t="shared" si="24"/>
        <v/>
      </c>
      <c r="J563" s="28" t="e">
        <f t="shared" si="26"/>
        <v>#DIV/0!</v>
      </c>
    </row>
    <row r="564" spans="5:10">
      <c r="E564" s="3">
        <f t="shared" si="25"/>
        <v>6</v>
      </c>
      <c r="G564" s="19" t="str">
        <f t="shared" si="24"/>
        <v/>
      </c>
      <c r="J564" s="28" t="e">
        <f t="shared" si="26"/>
        <v>#DIV/0!</v>
      </c>
    </row>
    <row r="565" spans="5:10">
      <c r="E565" s="3">
        <f t="shared" si="25"/>
        <v>6</v>
      </c>
      <c r="G565" s="19" t="str">
        <f t="shared" si="24"/>
        <v/>
      </c>
      <c r="J565" s="28" t="e">
        <f t="shared" si="26"/>
        <v>#DIV/0!</v>
      </c>
    </row>
    <row r="566" spans="5:10">
      <c r="E566" s="3">
        <f t="shared" si="25"/>
        <v>6</v>
      </c>
      <c r="G566" s="19" t="str">
        <f t="shared" si="24"/>
        <v/>
      </c>
      <c r="J566" s="28" t="e">
        <f t="shared" si="26"/>
        <v>#DIV/0!</v>
      </c>
    </row>
    <row r="567" spans="5:10">
      <c r="E567" s="3">
        <f t="shared" si="25"/>
        <v>6</v>
      </c>
      <c r="G567" s="19" t="str">
        <f t="shared" si="24"/>
        <v/>
      </c>
      <c r="H567">
        <f>SUM(A567:A573)</f>
        <v>0</v>
      </c>
      <c r="I567" s="28" t="e">
        <f>H567/H560-1</f>
        <v>#DIV/0!</v>
      </c>
      <c r="J567" s="28" t="e">
        <f t="shared" si="26"/>
        <v>#DIV/0!</v>
      </c>
    </row>
    <row r="568" spans="5:10">
      <c r="E568" s="3">
        <f t="shared" si="25"/>
        <v>6</v>
      </c>
      <c r="G568" s="19" t="str">
        <f t="shared" si="24"/>
        <v/>
      </c>
      <c r="J568" s="28" t="e">
        <f t="shared" si="26"/>
        <v>#DIV/0!</v>
      </c>
    </row>
    <row r="569" spans="5:10">
      <c r="E569" s="3">
        <f t="shared" si="25"/>
        <v>6</v>
      </c>
      <c r="G569" s="19" t="str">
        <f t="shared" si="24"/>
        <v/>
      </c>
      <c r="J569" s="28" t="e">
        <f t="shared" si="26"/>
        <v>#DIV/0!</v>
      </c>
    </row>
    <row r="570" spans="5:10">
      <c r="E570" s="3">
        <f t="shared" si="25"/>
        <v>6</v>
      </c>
      <c r="G570" s="19" t="str">
        <f t="shared" si="24"/>
        <v/>
      </c>
      <c r="J570" s="28" t="e">
        <f t="shared" si="26"/>
        <v>#DIV/0!</v>
      </c>
    </row>
    <row r="571" spans="5:10">
      <c r="E571" s="3">
        <f t="shared" si="25"/>
        <v>6</v>
      </c>
      <c r="G571" s="19" t="str">
        <f t="shared" si="24"/>
        <v/>
      </c>
      <c r="J571" s="28" t="e">
        <f t="shared" si="26"/>
        <v>#DIV/0!</v>
      </c>
    </row>
    <row r="572" spans="5:10">
      <c r="E572" s="3">
        <f t="shared" si="25"/>
        <v>6</v>
      </c>
      <c r="G572" s="19" t="str">
        <f t="shared" si="24"/>
        <v/>
      </c>
      <c r="J572" s="28" t="e">
        <f t="shared" si="26"/>
        <v>#DIV/0!</v>
      </c>
    </row>
    <row r="573" spans="5:10">
      <c r="E573" s="3">
        <f t="shared" si="25"/>
        <v>6</v>
      </c>
      <c r="G573" s="19" t="str">
        <f t="shared" si="24"/>
        <v/>
      </c>
      <c r="J573" s="28" t="e">
        <f t="shared" si="26"/>
        <v>#DIV/0!</v>
      </c>
    </row>
    <row r="574" spans="5:10">
      <c r="E574" s="3">
        <f t="shared" si="25"/>
        <v>6</v>
      </c>
      <c r="G574" s="19" t="str">
        <f t="shared" si="24"/>
        <v/>
      </c>
      <c r="H574">
        <f>SUM(A574:A580)</f>
        <v>0</v>
      </c>
      <c r="I574" s="28" t="e">
        <f>H574/H567-1</f>
        <v>#DIV/0!</v>
      </c>
      <c r="J574" s="28" t="e">
        <f t="shared" si="26"/>
        <v>#DIV/0!</v>
      </c>
    </row>
    <row r="575" spans="5:10">
      <c r="E575" s="3">
        <f t="shared" si="25"/>
        <v>6</v>
      </c>
      <c r="G575" s="19" t="str">
        <f t="shared" si="24"/>
        <v/>
      </c>
      <c r="J575" s="28" t="e">
        <f t="shared" si="26"/>
        <v>#DIV/0!</v>
      </c>
    </row>
    <row r="576" spans="5:10">
      <c r="E576" s="3">
        <f t="shared" si="25"/>
        <v>6</v>
      </c>
      <c r="G576" s="19" t="str">
        <f t="shared" si="24"/>
        <v/>
      </c>
      <c r="J576" s="28" t="e">
        <f t="shared" si="26"/>
        <v>#DIV/0!</v>
      </c>
    </row>
    <row r="577" spans="5:10">
      <c r="E577" s="3">
        <f t="shared" si="25"/>
        <v>6</v>
      </c>
      <c r="G577" s="19" t="str">
        <f t="shared" si="24"/>
        <v/>
      </c>
      <c r="J577" s="28" t="e">
        <f t="shared" si="26"/>
        <v>#DIV/0!</v>
      </c>
    </row>
    <row r="578" spans="5:10">
      <c r="E578" s="3">
        <f t="shared" si="25"/>
        <v>6</v>
      </c>
      <c r="G578" s="19" t="str">
        <f t="shared" si="24"/>
        <v/>
      </c>
      <c r="J578" s="28" t="e">
        <f t="shared" si="26"/>
        <v>#DIV/0!</v>
      </c>
    </row>
    <row r="579" spans="5:10">
      <c r="E579" s="3">
        <f t="shared" si="25"/>
        <v>6</v>
      </c>
      <c r="G579" s="19" t="str">
        <f t="shared" ref="G579:G642" si="27">IF(WEEKDAY(F579,2)=1,YEAR(F579)&amp;"-W"&amp;TEXT(WEEKNUM(F579,14),"00"),"")</f>
        <v/>
      </c>
      <c r="J579" s="28" t="e">
        <f t="shared" si="26"/>
        <v>#DIV/0!</v>
      </c>
    </row>
    <row r="580" spans="5:10">
      <c r="E580" s="3">
        <f t="shared" si="25"/>
        <v>6</v>
      </c>
      <c r="G580" s="19" t="str">
        <f t="shared" si="27"/>
        <v/>
      </c>
      <c r="J580" s="28" t="e">
        <f t="shared" si="26"/>
        <v>#DIV/0!</v>
      </c>
    </row>
    <row r="581" spans="5:10">
      <c r="E581" s="3">
        <f t="shared" ref="E581:E644" si="28">WEEKDAY(F581,2)</f>
        <v>6</v>
      </c>
      <c r="G581" s="19" t="str">
        <f t="shared" si="27"/>
        <v/>
      </c>
      <c r="H581">
        <f>SUM(A581:A587)</f>
        <v>0</v>
      </c>
      <c r="I581" s="28" t="e">
        <f>H581/H574-1</f>
        <v>#DIV/0!</v>
      </c>
      <c r="J581" s="28" t="e">
        <f t="shared" si="26"/>
        <v>#DIV/0!</v>
      </c>
    </row>
    <row r="582" spans="5:10">
      <c r="E582" s="3">
        <f t="shared" si="28"/>
        <v>6</v>
      </c>
      <c r="G582" s="19" t="str">
        <f t="shared" si="27"/>
        <v/>
      </c>
      <c r="J582" s="28" t="e">
        <f t="shared" si="26"/>
        <v>#DIV/0!</v>
      </c>
    </row>
    <row r="583" spans="5:10">
      <c r="E583" s="3">
        <f t="shared" si="28"/>
        <v>6</v>
      </c>
      <c r="G583" s="19" t="str">
        <f t="shared" si="27"/>
        <v/>
      </c>
      <c r="J583" s="28" t="e">
        <f t="shared" si="26"/>
        <v>#DIV/0!</v>
      </c>
    </row>
    <row r="584" spans="5:10">
      <c r="E584" s="3">
        <f t="shared" si="28"/>
        <v>6</v>
      </c>
      <c r="G584" s="19" t="str">
        <f t="shared" si="27"/>
        <v/>
      </c>
      <c r="J584" s="28" t="e">
        <f t="shared" si="26"/>
        <v>#DIV/0!</v>
      </c>
    </row>
    <row r="585" spans="5:10">
      <c r="E585" s="3">
        <f t="shared" si="28"/>
        <v>6</v>
      </c>
      <c r="G585" s="19" t="str">
        <f t="shared" si="27"/>
        <v/>
      </c>
      <c r="J585" s="28" t="e">
        <f t="shared" ref="J585:J641" si="29">A585/A578-1</f>
        <v>#DIV/0!</v>
      </c>
    </row>
    <row r="586" spans="5:10">
      <c r="E586" s="3">
        <f t="shared" si="28"/>
        <v>6</v>
      </c>
      <c r="G586" s="19" t="str">
        <f t="shared" si="27"/>
        <v/>
      </c>
      <c r="J586" s="28" t="e">
        <f t="shared" si="29"/>
        <v>#DIV/0!</v>
      </c>
    </row>
    <row r="587" spans="5:10">
      <c r="E587" s="3">
        <f t="shared" si="28"/>
        <v>6</v>
      </c>
      <c r="G587" s="19" t="str">
        <f t="shared" si="27"/>
        <v/>
      </c>
      <c r="J587" s="28" t="e">
        <f t="shared" si="29"/>
        <v>#DIV/0!</v>
      </c>
    </row>
    <row r="588" spans="5:10">
      <c r="E588" s="3">
        <f t="shared" si="28"/>
        <v>6</v>
      </c>
      <c r="G588" s="19" t="str">
        <f t="shared" si="27"/>
        <v/>
      </c>
      <c r="H588">
        <f>SUM(A588:A594)</f>
        <v>0</v>
      </c>
      <c r="I588" s="28" t="e">
        <f>H588/H581-1</f>
        <v>#DIV/0!</v>
      </c>
      <c r="J588" s="28" t="e">
        <f t="shared" si="29"/>
        <v>#DIV/0!</v>
      </c>
    </row>
    <row r="589" spans="5:10">
      <c r="E589" s="3">
        <f t="shared" si="28"/>
        <v>6</v>
      </c>
      <c r="G589" s="19" t="str">
        <f t="shared" si="27"/>
        <v/>
      </c>
      <c r="J589" s="28" t="e">
        <f t="shared" si="29"/>
        <v>#DIV/0!</v>
      </c>
    </row>
    <row r="590" spans="5:10">
      <c r="E590" s="3">
        <f t="shared" si="28"/>
        <v>6</v>
      </c>
      <c r="G590" s="19" t="str">
        <f t="shared" si="27"/>
        <v/>
      </c>
      <c r="J590" s="28" t="e">
        <f t="shared" si="29"/>
        <v>#DIV/0!</v>
      </c>
    </row>
    <row r="591" spans="5:10">
      <c r="E591" s="3">
        <f t="shared" si="28"/>
        <v>6</v>
      </c>
      <c r="G591" s="19" t="str">
        <f t="shared" si="27"/>
        <v/>
      </c>
      <c r="J591" s="28" t="e">
        <f t="shared" si="29"/>
        <v>#DIV/0!</v>
      </c>
    </row>
    <row r="592" spans="5:10">
      <c r="E592" s="3">
        <f t="shared" si="28"/>
        <v>6</v>
      </c>
      <c r="G592" s="19" t="str">
        <f t="shared" si="27"/>
        <v/>
      </c>
      <c r="J592" s="28" t="e">
        <f t="shared" si="29"/>
        <v>#DIV/0!</v>
      </c>
    </row>
    <row r="593" spans="5:10">
      <c r="E593" s="3">
        <f t="shared" si="28"/>
        <v>6</v>
      </c>
      <c r="G593" s="19" t="str">
        <f t="shared" si="27"/>
        <v/>
      </c>
      <c r="J593" s="28" t="e">
        <f t="shared" si="29"/>
        <v>#DIV/0!</v>
      </c>
    </row>
    <row r="594" spans="5:10">
      <c r="E594" s="3">
        <f t="shared" si="28"/>
        <v>6</v>
      </c>
      <c r="G594" s="19" t="str">
        <f t="shared" si="27"/>
        <v/>
      </c>
      <c r="J594" s="28" t="e">
        <f t="shared" si="29"/>
        <v>#DIV/0!</v>
      </c>
    </row>
    <row r="595" spans="5:10">
      <c r="E595" s="3">
        <f t="shared" si="28"/>
        <v>6</v>
      </c>
      <c r="G595" s="19" t="str">
        <f t="shared" si="27"/>
        <v/>
      </c>
      <c r="H595">
        <f>SUM(A595:A601)</f>
        <v>0</v>
      </c>
      <c r="I595" s="28" t="e">
        <f>H595/H588-1</f>
        <v>#DIV/0!</v>
      </c>
      <c r="J595" s="28" t="e">
        <f t="shared" si="29"/>
        <v>#DIV/0!</v>
      </c>
    </row>
    <row r="596" spans="5:10">
      <c r="E596" s="3">
        <f t="shared" si="28"/>
        <v>6</v>
      </c>
      <c r="G596" s="19" t="str">
        <f t="shared" si="27"/>
        <v/>
      </c>
      <c r="J596" s="28" t="e">
        <f t="shared" si="29"/>
        <v>#DIV/0!</v>
      </c>
    </row>
    <row r="597" spans="5:10">
      <c r="E597" s="3">
        <f t="shared" si="28"/>
        <v>6</v>
      </c>
      <c r="G597" s="19" t="str">
        <f t="shared" si="27"/>
        <v/>
      </c>
      <c r="J597" s="28" t="e">
        <f t="shared" si="29"/>
        <v>#DIV/0!</v>
      </c>
    </row>
    <row r="598" spans="5:10">
      <c r="E598" s="3">
        <f t="shared" si="28"/>
        <v>6</v>
      </c>
      <c r="G598" s="19" t="str">
        <f t="shared" si="27"/>
        <v/>
      </c>
      <c r="J598" s="28" t="e">
        <f t="shared" si="29"/>
        <v>#DIV/0!</v>
      </c>
    </row>
    <row r="599" spans="5:10">
      <c r="E599" s="3">
        <f t="shared" si="28"/>
        <v>6</v>
      </c>
      <c r="G599" s="19" t="str">
        <f t="shared" si="27"/>
        <v/>
      </c>
      <c r="J599" s="28" t="e">
        <f t="shared" si="29"/>
        <v>#DIV/0!</v>
      </c>
    </row>
    <row r="600" spans="5:10">
      <c r="E600" s="3">
        <f t="shared" si="28"/>
        <v>6</v>
      </c>
      <c r="G600" s="19" t="str">
        <f t="shared" si="27"/>
        <v/>
      </c>
      <c r="J600" s="28" t="e">
        <f t="shared" si="29"/>
        <v>#DIV/0!</v>
      </c>
    </row>
    <row r="601" spans="5:10">
      <c r="E601" s="3">
        <f t="shared" si="28"/>
        <v>6</v>
      </c>
      <c r="G601" s="19" t="str">
        <f t="shared" si="27"/>
        <v/>
      </c>
      <c r="J601" s="28" t="e">
        <f t="shared" si="29"/>
        <v>#DIV/0!</v>
      </c>
    </row>
    <row r="602" spans="5:10">
      <c r="E602" s="3">
        <f t="shared" si="28"/>
        <v>6</v>
      </c>
      <c r="G602" s="19" t="str">
        <f t="shared" si="27"/>
        <v/>
      </c>
      <c r="H602">
        <f>SUM(A602:A608)</f>
        <v>0</v>
      </c>
      <c r="I602" s="28" t="e">
        <f>H602/H595-1</f>
        <v>#DIV/0!</v>
      </c>
      <c r="J602" s="28" t="e">
        <f t="shared" si="29"/>
        <v>#DIV/0!</v>
      </c>
    </row>
    <row r="603" spans="5:10">
      <c r="E603" s="3">
        <f t="shared" si="28"/>
        <v>6</v>
      </c>
      <c r="G603" s="19" t="str">
        <f t="shared" si="27"/>
        <v/>
      </c>
      <c r="J603" s="28" t="e">
        <f t="shared" si="29"/>
        <v>#DIV/0!</v>
      </c>
    </row>
    <row r="604" spans="5:10">
      <c r="E604" s="3">
        <f t="shared" si="28"/>
        <v>6</v>
      </c>
      <c r="G604" s="19" t="str">
        <f t="shared" si="27"/>
        <v/>
      </c>
      <c r="J604" s="28" t="e">
        <f t="shared" si="29"/>
        <v>#DIV/0!</v>
      </c>
    </row>
    <row r="605" spans="5:10">
      <c r="E605" s="3">
        <f t="shared" si="28"/>
        <v>6</v>
      </c>
      <c r="G605" s="19" t="str">
        <f t="shared" si="27"/>
        <v/>
      </c>
      <c r="J605" s="28" t="e">
        <f t="shared" si="29"/>
        <v>#DIV/0!</v>
      </c>
    </row>
    <row r="606" spans="5:10">
      <c r="E606" s="3">
        <f t="shared" si="28"/>
        <v>6</v>
      </c>
      <c r="G606" s="19" t="str">
        <f t="shared" si="27"/>
        <v/>
      </c>
      <c r="J606" s="28" t="e">
        <f t="shared" si="29"/>
        <v>#DIV/0!</v>
      </c>
    </row>
    <row r="607" spans="5:10">
      <c r="E607" s="3">
        <f t="shared" si="28"/>
        <v>6</v>
      </c>
      <c r="G607" s="19" t="str">
        <f t="shared" si="27"/>
        <v/>
      </c>
      <c r="J607" s="28" t="e">
        <f t="shared" si="29"/>
        <v>#DIV/0!</v>
      </c>
    </row>
    <row r="608" spans="5:10">
      <c r="E608" s="3">
        <f t="shared" si="28"/>
        <v>6</v>
      </c>
      <c r="G608" s="19" t="str">
        <f t="shared" si="27"/>
        <v/>
      </c>
      <c r="J608" s="28" t="e">
        <f t="shared" si="29"/>
        <v>#DIV/0!</v>
      </c>
    </row>
    <row r="609" spans="5:10">
      <c r="E609" s="3">
        <f t="shared" si="28"/>
        <v>6</v>
      </c>
      <c r="G609" s="19" t="str">
        <f t="shared" si="27"/>
        <v/>
      </c>
      <c r="H609">
        <f>SUM(A609:A615)</f>
        <v>0</v>
      </c>
      <c r="I609" s="28" t="e">
        <f>H609/H602-1</f>
        <v>#DIV/0!</v>
      </c>
      <c r="J609" s="28" t="e">
        <f t="shared" si="29"/>
        <v>#DIV/0!</v>
      </c>
    </row>
    <row r="610" spans="5:10">
      <c r="E610" s="3">
        <f t="shared" si="28"/>
        <v>6</v>
      </c>
      <c r="G610" s="19" t="str">
        <f t="shared" si="27"/>
        <v/>
      </c>
      <c r="J610" s="28" t="e">
        <f t="shared" si="29"/>
        <v>#DIV/0!</v>
      </c>
    </row>
    <row r="611" spans="5:10">
      <c r="E611" s="3">
        <f t="shared" si="28"/>
        <v>6</v>
      </c>
      <c r="G611" s="19" t="str">
        <f t="shared" si="27"/>
        <v/>
      </c>
      <c r="J611" s="28" t="e">
        <f t="shared" si="29"/>
        <v>#DIV/0!</v>
      </c>
    </row>
    <row r="612" spans="5:10">
      <c r="E612" s="3">
        <f t="shared" si="28"/>
        <v>6</v>
      </c>
      <c r="G612" s="19" t="str">
        <f t="shared" si="27"/>
        <v/>
      </c>
      <c r="J612" s="28" t="e">
        <f t="shared" si="29"/>
        <v>#DIV/0!</v>
      </c>
    </row>
    <row r="613" spans="5:10">
      <c r="E613" s="3">
        <f t="shared" si="28"/>
        <v>6</v>
      </c>
      <c r="G613" s="19" t="str">
        <f t="shared" si="27"/>
        <v/>
      </c>
      <c r="J613" s="28" t="e">
        <f t="shared" si="29"/>
        <v>#DIV/0!</v>
      </c>
    </row>
    <row r="614" spans="5:10">
      <c r="E614" s="3">
        <f t="shared" si="28"/>
        <v>6</v>
      </c>
      <c r="G614" s="19" t="str">
        <f t="shared" si="27"/>
        <v/>
      </c>
      <c r="J614" s="28" t="e">
        <f t="shared" si="29"/>
        <v>#DIV/0!</v>
      </c>
    </row>
    <row r="615" spans="5:10">
      <c r="E615" s="3">
        <f t="shared" si="28"/>
        <v>6</v>
      </c>
      <c r="G615" s="19" t="str">
        <f t="shared" si="27"/>
        <v/>
      </c>
      <c r="J615" s="28" t="e">
        <f t="shared" si="29"/>
        <v>#DIV/0!</v>
      </c>
    </row>
    <row r="616" spans="5:10">
      <c r="E616" s="3">
        <f t="shared" si="28"/>
        <v>6</v>
      </c>
      <c r="G616" s="19" t="str">
        <f t="shared" si="27"/>
        <v/>
      </c>
      <c r="H616">
        <f>SUM(A616:A622)</f>
        <v>0</v>
      </c>
      <c r="I616" s="28" t="e">
        <f>H616/H609-1</f>
        <v>#DIV/0!</v>
      </c>
      <c r="J616" s="28" t="e">
        <f t="shared" si="29"/>
        <v>#DIV/0!</v>
      </c>
    </row>
    <row r="617" spans="5:10">
      <c r="E617" s="3">
        <f t="shared" si="28"/>
        <v>6</v>
      </c>
      <c r="G617" s="19" t="str">
        <f t="shared" si="27"/>
        <v/>
      </c>
      <c r="J617" s="28" t="e">
        <f t="shared" si="29"/>
        <v>#DIV/0!</v>
      </c>
    </row>
    <row r="618" spans="5:10">
      <c r="E618" s="3">
        <f t="shared" si="28"/>
        <v>6</v>
      </c>
      <c r="G618" s="19" t="str">
        <f t="shared" si="27"/>
        <v/>
      </c>
      <c r="J618" s="28" t="e">
        <f t="shared" si="29"/>
        <v>#DIV/0!</v>
      </c>
    </row>
    <row r="619" spans="5:10">
      <c r="E619" s="3">
        <f t="shared" si="28"/>
        <v>6</v>
      </c>
      <c r="G619" s="19" t="str">
        <f t="shared" si="27"/>
        <v/>
      </c>
      <c r="J619" s="28" t="e">
        <f t="shared" si="29"/>
        <v>#DIV/0!</v>
      </c>
    </row>
    <row r="620" spans="5:10">
      <c r="E620" s="3">
        <f t="shared" si="28"/>
        <v>6</v>
      </c>
      <c r="G620" s="19" t="str">
        <f t="shared" si="27"/>
        <v/>
      </c>
      <c r="J620" s="28" t="e">
        <f t="shared" si="29"/>
        <v>#DIV/0!</v>
      </c>
    </row>
    <row r="621" spans="5:10">
      <c r="E621" s="3">
        <f t="shared" si="28"/>
        <v>6</v>
      </c>
      <c r="G621" s="19" t="str">
        <f t="shared" si="27"/>
        <v/>
      </c>
      <c r="J621" s="28" t="e">
        <f t="shared" si="29"/>
        <v>#DIV/0!</v>
      </c>
    </row>
    <row r="622" spans="5:10">
      <c r="E622" s="3">
        <f t="shared" si="28"/>
        <v>6</v>
      </c>
      <c r="G622" s="19" t="str">
        <f t="shared" si="27"/>
        <v/>
      </c>
      <c r="J622" s="28" t="e">
        <f t="shared" si="29"/>
        <v>#DIV/0!</v>
      </c>
    </row>
    <row r="623" spans="5:10">
      <c r="E623" s="3">
        <f t="shared" si="28"/>
        <v>6</v>
      </c>
      <c r="G623" s="19" t="str">
        <f t="shared" si="27"/>
        <v/>
      </c>
      <c r="H623">
        <f>SUM(A623:A629)</f>
        <v>0</v>
      </c>
      <c r="I623" s="28" t="e">
        <f>H623/H616-1</f>
        <v>#DIV/0!</v>
      </c>
      <c r="J623" s="28" t="e">
        <f t="shared" si="29"/>
        <v>#DIV/0!</v>
      </c>
    </row>
    <row r="624" spans="5:10">
      <c r="E624" s="3">
        <f t="shared" si="28"/>
        <v>6</v>
      </c>
      <c r="G624" s="19" t="str">
        <f t="shared" si="27"/>
        <v/>
      </c>
      <c r="J624" s="28" t="e">
        <f t="shared" si="29"/>
        <v>#DIV/0!</v>
      </c>
    </row>
    <row r="625" spans="5:10">
      <c r="E625" s="3">
        <f t="shared" si="28"/>
        <v>6</v>
      </c>
      <c r="G625" s="19" t="str">
        <f t="shared" si="27"/>
        <v/>
      </c>
      <c r="J625" s="28" t="e">
        <f t="shared" si="29"/>
        <v>#DIV/0!</v>
      </c>
    </row>
    <row r="626" spans="5:10">
      <c r="E626" s="3">
        <f t="shared" si="28"/>
        <v>6</v>
      </c>
      <c r="G626" s="19" t="str">
        <f t="shared" si="27"/>
        <v/>
      </c>
      <c r="J626" s="28" t="e">
        <f t="shared" si="29"/>
        <v>#DIV/0!</v>
      </c>
    </row>
    <row r="627" spans="5:10">
      <c r="E627" s="3">
        <f t="shared" si="28"/>
        <v>6</v>
      </c>
      <c r="G627" s="19" t="str">
        <f t="shared" si="27"/>
        <v/>
      </c>
      <c r="J627" s="28" t="e">
        <f t="shared" si="29"/>
        <v>#DIV/0!</v>
      </c>
    </row>
    <row r="628" spans="5:10">
      <c r="E628" s="3">
        <f t="shared" si="28"/>
        <v>6</v>
      </c>
      <c r="G628" s="19" t="str">
        <f t="shared" si="27"/>
        <v/>
      </c>
      <c r="J628" s="28" t="e">
        <f t="shared" si="29"/>
        <v>#DIV/0!</v>
      </c>
    </row>
    <row r="629" spans="5:10">
      <c r="E629" s="3">
        <f t="shared" si="28"/>
        <v>6</v>
      </c>
      <c r="G629" s="19" t="str">
        <f t="shared" si="27"/>
        <v/>
      </c>
      <c r="J629" s="28" t="e">
        <f t="shared" si="29"/>
        <v>#DIV/0!</v>
      </c>
    </row>
    <row r="630" spans="5:10">
      <c r="E630" s="3">
        <f t="shared" si="28"/>
        <v>6</v>
      </c>
      <c r="G630" s="19" t="str">
        <f t="shared" si="27"/>
        <v/>
      </c>
      <c r="H630">
        <f>SUM(A630:A636)</f>
        <v>0</v>
      </c>
      <c r="I630" s="28" t="e">
        <f>H630/H623-1</f>
        <v>#DIV/0!</v>
      </c>
      <c r="J630" s="28" t="e">
        <f t="shared" si="29"/>
        <v>#DIV/0!</v>
      </c>
    </row>
    <row r="631" spans="5:10">
      <c r="E631" s="3">
        <f t="shared" si="28"/>
        <v>6</v>
      </c>
      <c r="G631" s="19" t="str">
        <f t="shared" si="27"/>
        <v/>
      </c>
      <c r="J631" s="28" t="e">
        <f t="shared" si="29"/>
        <v>#DIV/0!</v>
      </c>
    </row>
    <row r="632" spans="5:10">
      <c r="E632" s="3">
        <f t="shared" si="28"/>
        <v>6</v>
      </c>
      <c r="G632" s="19" t="str">
        <f t="shared" si="27"/>
        <v/>
      </c>
      <c r="J632" s="28" t="e">
        <f t="shared" si="29"/>
        <v>#DIV/0!</v>
      </c>
    </row>
    <row r="633" spans="5:10">
      <c r="E633" s="3">
        <f t="shared" si="28"/>
        <v>6</v>
      </c>
      <c r="G633" s="19" t="str">
        <f t="shared" si="27"/>
        <v/>
      </c>
      <c r="J633" s="28" t="e">
        <f t="shared" si="29"/>
        <v>#DIV/0!</v>
      </c>
    </row>
    <row r="634" spans="5:10">
      <c r="E634" s="3">
        <f t="shared" si="28"/>
        <v>6</v>
      </c>
      <c r="G634" s="19" t="str">
        <f t="shared" si="27"/>
        <v/>
      </c>
      <c r="J634" s="28" t="e">
        <f t="shared" si="29"/>
        <v>#DIV/0!</v>
      </c>
    </row>
    <row r="635" spans="5:10">
      <c r="E635" s="3">
        <f t="shared" si="28"/>
        <v>6</v>
      </c>
      <c r="G635" s="19" t="str">
        <f t="shared" si="27"/>
        <v/>
      </c>
      <c r="J635" s="28" t="e">
        <f t="shared" si="29"/>
        <v>#DIV/0!</v>
      </c>
    </row>
    <row r="636" spans="5:10">
      <c r="E636" s="3">
        <f t="shared" si="28"/>
        <v>6</v>
      </c>
      <c r="G636" s="19" t="str">
        <f t="shared" si="27"/>
        <v/>
      </c>
      <c r="J636" s="28" t="e">
        <f t="shared" si="29"/>
        <v>#DIV/0!</v>
      </c>
    </row>
    <row r="637" spans="5:10">
      <c r="E637" s="3">
        <f t="shared" si="28"/>
        <v>6</v>
      </c>
      <c r="G637" s="19" t="str">
        <f t="shared" si="27"/>
        <v/>
      </c>
      <c r="H637">
        <f>SUM(A637:A643)</f>
        <v>0</v>
      </c>
      <c r="I637" s="28" t="e">
        <f>H637/H630-1</f>
        <v>#DIV/0!</v>
      </c>
      <c r="J637" s="28" t="e">
        <f t="shared" si="29"/>
        <v>#DIV/0!</v>
      </c>
    </row>
    <row r="638" spans="5:10">
      <c r="E638" s="3">
        <f t="shared" si="28"/>
        <v>6</v>
      </c>
      <c r="G638" s="19" t="str">
        <f t="shared" si="27"/>
        <v/>
      </c>
      <c r="J638" s="28" t="e">
        <f t="shared" si="29"/>
        <v>#DIV/0!</v>
      </c>
    </row>
    <row r="639" spans="5:10">
      <c r="E639" s="3">
        <f t="shared" si="28"/>
        <v>6</v>
      </c>
      <c r="G639" s="19" t="str">
        <f t="shared" si="27"/>
        <v/>
      </c>
      <c r="J639" s="28" t="e">
        <f t="shared" si="29"/>
        <v>#DIV/0!</v>
      </c>
    </row>
    <row r="640" spans="5:10">
      <c r="E640" s="3">
        <f t="shared" si="28"/>
        <v>6</v>
      </c>
      <c r="G640" s="19" t="str">
        <f t="shared" si="27"/>
        <v/>
      </c>
      <c r="J640" s="28" t="e">
        <f t="shared" si="29"/>
        <v>#DIV/0!</v>
      </c>
    </row>
    <row r="641" spans="5:10">
      <c r="E641" s="3">
        <f t="shared" si="28"/>
        <v>6</v>
      </c>
      <c r="G641" s="19" t="str">
        <f t="shared" si="27"/>
        <v/>
      </c>
      <c r="J641" s="28" t="e">
        <f t="shared" si="29"/>
        <v>#DIV/0!</v>
      </c>
    </row>
    <row r="642" spans="5:10">
      <c r="E642" s="3">
        <f t="shared" si="28"/>
        <v>6</v>
      </c>
      <c r="G642" s="19" t="str">
        <f t="shared" si="27"/>
        <v/>
      </c>
    </row>
    <row r="643" spans="5:10">
      <c r="E643" s="3">
        <f t="shared" si="28"/>
        <v>6</v>
      </c>
      <c r="G643" s="19" t="str">
        <f t="shared" ref="G643:G706" si="30">IF(WEEKDAY(F643,2)=1,YEAR(F643)&amp;"-W"&amp;TEXT(WEEKNUM(F643,14),"00"),"")</f>
        <v/>
      </c>
    </row>
    <row r="644" spans="5:10">
      <c r="E644" s="3">
        <f t="shared" si="28"/>
        <v>6</v>
      </c>
      <c r="G644" s="19" t="str">
        <f t="shared" si="30"/>
        <v/>
      </c>
      <c r="H644">
        <f>SUM(A644:A650)</f>
        <v>0</v>
      </c>
      <c r="I644" s="28" t="e">
        <f>H644/H637-1</f>
        <v>#DIV/0!</v>
      </c>
      <c r="J644" s="28" t="e">
        <f>A644/A637-1</f>
        <v>#DIV/0!</v>
      </c>
    </row>
    <row r="645" spans="5:10">
      <c r="E645" s="3">
        <f t="shared" ref="E645:E708" si="31">WEEKDAY(F645,2)</f>
        <v>6</v>
      </c>
      <c r="G645" s="19" t="str">
        <f t="shared" si="30"/>
        <v/>
      </c>
    </row>
    <row r="646" spans="5:10">
      <c r="E646" s="3">
        <f t="shared" si="31"/>
        <v>6</v>
      </c>
      <c r="G646" s="19" t="str">
        <f t="shared" si="30"/>
        <v/>
      </c>
    </row>
    <row r="647" spans="5:10">
      <c r="E647" s="3">
        <f t="shared" si="31"/>
        <v>6</v>
      </c>
      <c r="G647" s="19" t="str">
        <f t="shared" si="30"/>
        <v/>
      </c>
    </row>
    <row r="648" spans="5:10">
      <c r="E648" s="3">
        <f t="shared" si="31"/>
        <v>6</v>
      </c>
      <c r="G648" s="19" t="str">
        <f t="shared" si="30"/>
        <v/>
      </c>
    </row>
    <row r="649" spans="5:10">
      <c r="E649" s="3">
        <f t="shared" si="31"/>
        <v>6</v>
      </c>
      <c r="G649" s="19" t="str">
        <f t="shared" si="30"/>
        <v/>
      </c>
    </row>
    <row r="650" spans="5:10">
      <c r="E650" s="3">
        <f t="shared" si="31"/>
        <v>6</v>
      </c>
      <c r="G650" s="19" t="str">
        <f t="shared" si="30"/>
        <v/>
      </c>
    </row>
    <row r="651" spans="5:10">
      <c r="E651" s="3">
        <f t="shared" si="31"/>
        <v>6</v>
      </c>
      <c r="G651" s="19" t="str">
        <f t="shared" si="30"/>
        <v/>
      </c>
      <c r="H651">
        <f>SUM(A651:A657)</f>
        <v>0</v>
      </c>
      <c r="I651" s="28" t="e">
        <f>H651/H644-1</f>
        <v>#DIV/0!</v>
      </c>
      <c r="J651" s="28" t="e">
        <f>A651/A644-1</f>
        <v>#DIV/0!</v>
      </c>
    </row>
    <row r="652" spans="5:10">
      <c r="E652" s="3">
        <f t="shared" si="31"/>
        <v>6</v>
      </c>
      <c r="G652" s="19" t="str">
        <f t="shared" si="30"/>
        <v/>
      </c>
    </row>
    <row r="653" spans="5:10">
      <c r="E653" s="3">
        <f t="shared" si="31"/>
        <v>6</v>
      </c>
      <c r="G653" s="19" t="str">
        <f t="shared" si="30"/>
        <v/>
      </c>
    </row>
    <row r="654" spans="5:10">
      <c r="E654" s="3">
        <f t="shared" si="31"/>
        <v>6</v>
      </c>
      <c r="G654" s="19" t="str">
        <f t="shared" si="30"/>
        <v/>
      </c>
    </row>
    <row r="655" spans="5:10">
      <c r="E655" s="3">
        <f t="shared" si="31"/>
        <v>6</v>
      </c>
      <c r="G655" s="19" t="str">
        <f t="shared" si="30"/>
        <v/>
      </c>
    </row>
    <row r="656" spans="5:10">
      <c r="E656" s="3">
        <f t="shared" si="31"/>
        <v>6</v>
      </c>
      <c r="G656" s="19" t="str">
        <f t="shared" si="30"/>
        <v/>
      </c>
    </row>
    <row r="657" spans="5:10">
      <c r="E657" s="3">
        <f t="shared" si="31"/>
        <v>6</v>
      </c>
      <c r="G657" s="19" t="str">
        <f t="shared" si="30"/>
        <v/>
      </c>
    </row>
    <row r="658" spans="5:10">
      <c r="E658" s="3">
        <f t="shared" si="31"/>
        <v>6</v>
      </c>
      <c r="G658" s="19" t="str">
        <f t="shared" si="30"/>
        <v/>
      </c>
      <c r="H658">
        <f>SUM(A658:A664)</f>
        <v>0</v>
      </c>
      <c r="I658" s="28" t="e">
        <f>H658/H651-1</f>
        <v>#DIV/0!</v>
      </c>
      <c r="J658" s="28" t="e">
        <f>A658/A651-1</f>
        <v>#DIV/0!</v>
      </c>
    </row>
    <row r="659" spans="5:10">
      <c r="E659" s="3">
        <f t="shared" si="31"/>
        <v>6</v>
      </c>
      <c r="G659" s="19" t="str">
        <f t="shared" si="30"/>
        <v/>
      </c>
    </row>
    <row r="660" spans="5:10">
      <c r="E660" s="3">
        <f t="shared" si="31"/>
        <v>6</v>
      </c>
      <c r="G660" s="19" t="str">
        <f t="shared" si="30"/>
        <v/>
      </c>
    </row>
    <row r="661" spans="5:10">
      <c r="E661" s="3">
        <f t="shared" si="31"/>
        <v>6</v>
      </c>
      <c r="G661" s="19" t="str">
        <f t="shared" si="30"/>
        <v/>
      </c>
    </row>
    <row r="662" spans="5:10">
      <c r="E662" s="3">
        <f t="shared" si="31"/>
        <v>6</v>
      </c>
      <c r="G662" s="19" t="str">
        <f t="shared" si="30"/>
        <v/>
      </c>
    </row>
    <row r="663" spans="5:10">
      <c r="E663" s="3">
        <f t="shared" si="31"/>
        <v>6</v>
      </c>
      <c r="G663" s="19" t="str">
        <f t="shared" si="30"/>
        <v/>
      </c>
    </row>
    <row r="664" spans="5:10">
      <c r="E664" s="3">
        <f t="shared" si="31"/>
        <v>6</v>
      </c>
      <c r="G664" s="19" t="str">
        <f t="shared" si="30"/>
        <v/>
      </c>
    </row>
    <row r="665" spans="5:10">
      <c r="E665" s="3">
        <f t="shared" si="31"/>
        <v>6</v>
      </c>
      <c r="G665" s="19" t="str">
        <f t="shared" si="30"/>
        <v/>
      </c>
      <c r="H665">
        <f>SUM(A665:A671)</f>
        <v>0</v>
      </c>
      <c r="I665" s="28" t="e">
        <f>H665/H658-1</f>
        <v>#DIV/0!</v>
      </c>
      <c r="J665" s="28" t="e">
        <f>A665/A658-1</f>
        <v>#DIV/0!</v>
      </c>
    </row>
    <row r="666" spans="5:10">
      <c r="E666" s="3">
        <f t="shared" si="31"/>
        <v>6</v>
      </c>
      <c r="G666" s="19" t="str">
        <f t="shared" si="30"/>
        <v/>
      </c>
    </row>
    <row r="667" spans="5:10">
      <c r="E667" s="3">
        <f t="shared" si="31"/>
        <v>6</v>
      </c>
      <c r="G667" s="19" t="str">
        <f t="shared" si="30"/>
        <v/>
      </c>
    </row>
    <row r="668" spans="5:10">
      <c r="E668" s="3">
        <f t="shared" si="31"/>
        <v>6</v>
      </c>
      <c r="G668" s="19" t="str">
        <f t="shared" si="30"/>
        <v/>
      </c>
    </row>
    <row r="669" spans="5:10">
      <c r="E669" s="3">
        <f t="shared" si="31"/>
        <v>6</v>
      </c>
      <c r="G669" s="19" t="str">
        <f t="shared" si="30"/>
        <v/>
      </c>
    </row>
    <row r="670" spans="5:10">
      <c r="E670" s="3">
        <f t="shared" si="31"/>
        <v>6</v>
      </c>
      <c r="G670" s="19" t="str">
        <f t="shared" si="30"/>
        <v/>
      </c>
    </row>
    <row r="671" spans="5:10">
      <c r="E671" s="3">
        <f t="shared" si="31"/>
        <v>6</v>
      </c>
      <c r="G671" s="19" t="str">
        <f t="shared" si="30"/>
        <v/>
      </c>
    </row>
    <row r="672" spans="5:10">
      <c r="E672" s="3">
        <f t="shared" si="31"/>
        <v>6</v>
      </c>
      <c r="G672" s="19" t="str">
        <f t="shared" si="30"/>
        <v/>
      </c>
      <c r="H672">
        <f>SUM(A672:A678)</f>
        <v>0</v>
      </c>
      <c r="I672" s="28" t="e">
        <f>H672/H665-1</f>
        <v>#DIV/0!</v>
      </c>
      <c r="J672" s="28" t="e">
        <f>A672/A665-1</f>
        <v>#DIV/0!</v>
      </c>
    </row>
    <row r="673" spans="5:10">
      <c r="E673" s="3">
        <f t="shared" si="31"/>
        <v>6</v>
      </c>
      <c r="G673" s="19" t="str">
        <f t="shared" si="30"/>
        <v/>
      </c>
    </row>
    <row r="674" spans="5:10">
      <c r="E674" s="3">
        <f t="shared" si="31"/>
        <v>6</v>
      </c>
      <c r="G674" s="19" t="str">
        <f t="shared" si="30"/>
        <v/>
      </c>
    </row>
    <row r="675" spans="5:10">
      <c r="E675" s="3">
        <f t="shared" si="31"/>
        <v>6</v>
      </c>
      <c r="G675" s="19" t="str">
        <f t="shared" si="30"/>
        <v/>
      </c>
    </row>
    <row r="676" spans="5:10">
      <c r="E676" s="3">
        <f t="shared" si="31"/>
        <v>6</v>
      </c>
      <c r="G676" s="19" t="str">
        <f t="shared" si="30"/>
        <v/>
      </c>
    </row>
    <row r="677" spans="5:10">
      <c r="E677" s="3">
        <f t="shared" si="31"/>
        <v>6</v>
      </c>
      <c r="G677" s="19" t="str">
        <f t="shared" si="30"/>
        <v/>
      </c>
    </row>
    <row r="678" spans="5:10">
      <c r="E678" s="3">
        <f t="shared" si="31"/>
        <v>6</v>
      </c>
      <c r="G678" s="19" t="str">
        <f t="shared" si="30"/>
        <v/>
      </c>
    </row>
    <row r="679" spans="5:10">
      <c r="E679" s="3">
        <f t="shared" si="31"/>
        <v>6</v>
      </c>
      <c r="G679" s="19" t="str">
        <f t="shared" si="30"/>
        <v/>
      </c>
      <c r="H679">
        <f>SUM(A679:A685)</f>
        <v>0</v>
      </c>
      <c r="I679" s="28" t="e">
        <f>H679/H672-1</f>
        <v>#DIV/0!</v>
      </c>
      <c r="J679" s="28" t="e">
        <f>A679/A672-1</f>
        <v>#DIV/0!</v>
      </c>
    </row>
    <row r="680" spans="5:10">
      <c r="E680" s="3">
        <f t="shared" si="31"/>
        <v>6</v>
      </c>
      <c r="G680" s="19" t="str">
        <f t="shared" si="30"/>
        <v/>
      </c>
    </row>
    <row r="681" spans="5:10">
      <c r="E681" s="3">
        <f t="shared" si="31"/>
        <v>6</v>
      </c>
      <c r="G681" s="19" t="str">
        <f t="shared" si="30"/>
        <v/>
      </c>
    </row>
    <row r="682" spans="5:10">
      <c r="E682" s="3">
        <f t="shared" si="31"/>
        <v>6</v>
      </c>
      <c r="G682" s="19" t="str">
        <f t="shared" si="30"/>
        <v/>
      </c>
    </row>
    <row r="683" spans="5:10">
      <c r="E683" s="3">
        <f t="shared" si="31"/>
        <v>6</v>
      </c>
      <c r="G683" s="19" t="str">
        <f t="shared" si="30"/>
        <v/>
      </c>
    </row>
    <row r="684" spans="5:10">
      <c r="E684" s="3">
        <f t="shared" si="31"/>
        <v>6</v>
      </c>
      <c r="G684" s="19" t="str">
        <f t="shared" si="30"/>
        <v/>
      </c>
    </row>
    <row r="685" spans="5:10">
      <c r="E685" s="3">
        <f t="shared" si="31"/>
        <v>6</v>
      </c>
      <c r="G685" s="19" t="str">
        <f t="shared" si="30"/>
        <v/>
      </c>
    </row>
    <row r="686" spans="5:10">
      <c r="E686" s="3">
        <f t="shared" si="31"/>
        <v>6</v>
      </c>
      <c r="G686" s="19" t="str">
        <f t="shared" si="30"/>
        <v/>
      </c>
      <c r="H686">
        <f>SUM(A686:A692)</f>
        <v>0</v>
      </c>
      <c r="I686" s="28" t="e">
        <f>H686/H679-1</f>
        <v>#DIV/0!</v>
      </c>
      <c r="J686" s="28" t="e">
        <f>A686/A679-1</f>
        <v>#DIV/0!</v>
      </c>
    </row>
    <row r="687" spans="5:10">
      <c r="E687" s="3">
        <f t="shared" si="31"/>
        <v>6</v>
      </c>
      <c r="G687" s="19" t="str">
        <f t="shared" si="30"/>
        <v/>
      </c>
    </row>
    <row r="688" spans="5:10">
      <c r="E688" s="3">
        <f t="shared" si="31"/>
        <v>6</v>
      </c>
      <c r="G688" s="19" t="str">
        <f t="shared" si="30"/>
        <v/>
      </c>
    </row>
    <row r="689" spans="5:10">
      <c r="E689" s="3">
        <f t="shared" si="31"/>
        <v>6</v>
      </c>
      <c r="G689" s="19" t="str">
        <f t="shared" si="30"/>
        <v/>
      </c>
    </row>
    <row r="690" spans="5:10">
      <c r="E690" s="3">
        <f t="shared" si="31"/>
        <v>6</v>
      </c>
      <c r="G690" s="19" t="str">
        <f t="shared" si="30"/>
        <v/>
      </c>
    </row>
    <row r="691" spans="5:10">
      <c r="E691" s="3">
        <f t="shared" si="31"/>
        <v>6</v>
      </c>
      <c r="G691" s="19" t="str">
        <f t="shared" si="30"/>
        <v/>
      </c>
    </row>
    <row r="692" spans="5:10">
      <c r="E692" s="3">
        <f t="shared" si="31"/>
        <v>6</v>
      </c>
      <c r="G692" s="19" t="str">
        <f t="shared" si="30"/>
        <v/>
      </c>
    </row>
    <row r="693" spans="5:10">
      <c r="E693" s="3">
        <f t="shared" si="31"/>
        <v>6</v>
      </c>
      <c r="G693" s="19" t="str">
        <f t="shared" si="30"/>
        <v/>
      </c>
      <c r="H693">
        <f>SUM(A693:A699)</f>
        <v>0</v>
      </c>
      <c r="I693" s="28" t="e">
        <f>H693/H686-1</f>
        <v>#DIV/0!</v>
      </c>
      <c r="J693" s="28" t="e">
        <f>A693/A686-1</f>
        <v>#DIV/0!</v>
      </c>
    </row>
    <row r="694" spans="5:10">
      <c r="E694" s="3">
        <f t="shared" si="31"/>
        <v>6</v>
      </c>
      <c r="G694" s="19" t="str">
        <f t="shared" si="30"/>
        <v/>
      </c>
    </row>
    <row r="695" spans="5:10">
      <c r="E695" s="3">
        <f t="shared" si="31"/>
        <v>6</v>
      </c>
      <c r="G695" s="19" t="str">
        <f t="shared" si="30"/>
        <v/>
      </c>
    </row>
    <row r="696" spans="5:10">
      <c r="E696" s="3">
        <f t="shared" si="31"/>
        <v>6</v>
      </c>
      <c r="G696" s="19" t="str">
        <f t="shared" si="30"/>
        <v/>
      </c>
    </row>
    <row r="697" spans="5:10">
      <c r="E697" s="3">
        <f t="shared" si="31"/>
        <v>6</v>
      </c>
      <c r="G697" s="19" t="str">
        <f t="shared" si="30"/>
        <v/>
      </c>
    </row>
    <row r="698" spans="5:10">
      <c r="E698" s="3">
        <f t="shared" si="31"/>
        <v>6</v>
      </c>
      <c r="G698" s="19" t="str">
        <f t="shared" si="30"/>
        <v/>
      </c>
    </row>
    <row r="699" spans="5:10">
      <c r="E699" s="3">
        <f t="shared" si="31"/>
        <v>6</v>
      </c>
      <c r="G699" s="19" t="str">
        <f t="shared" si="30"/>
        <v/>
      </c>
    </row>
    <row r="700" spans="5:10">
      <c r="E700" s="3">
        <f t="shared" si="31"/>
        <v>6</v>
      </c>
      <c r="G700" s="19" t="str">
        <f t="shared" si="30"/>
        <v/>
      </c>
      <c r="H700">
        <f>SUM(A700:A706)</f>
        <v>0</v>
      </c>
      <c r="I700" s="28" t="e">
        <f>H700/H693-1</f>
        <v>#DIV/0!</v>
      </c>
      <c r="J700" s="28" t="e">
        <f>A700/A693-1</f>
        <v>#DIV/0!</v>
      </c>
    </row>
    <row r="701" spans="5:10">
      <c r="E701" s="3">
        <f t="shared" si="31"/>
        <v>6</v>
      </c>
      <c r="G701" s="19" t="str">
        <f t="shared" si="30"/>
        <v/>
      </c>
    </row>
    <row r="702" spans="5:10">
      <c r="E702" s="3">
        <f t="shared" si="31"/>
        <v>6</v>
      </c>
      <c r="G702" s="19" t="str">
        <f t="shared" si="30"/>
        <v/>
      </c>
    </row>
    <row r="703" spans="5:10">
      <c r="E703" s="3">
        <f t="shared" si="31"/>
        <v>6</v>
      </c>
      <c r="G703" s="19" t="str">
        <f t="shared" si="30"/>
        <v/>
      </c>
    </row>
    <row r="704" spans="5:10">
      <c r="E704" s="3">
        <f t="shared" si="31"/>
        <v>6</v>
      </c>
      <c r="G704" s="19" t="str">
        <f t="shared" si="30"/>
        <v/>
      </c>
    </row>
    <row r="705" spans="5:10">
      <c r="E705" s="3">
        <f t="shared" si="31"/>
        <v>6</v>
      </c>
      <c r="G705" s="19" t="str">
        <f t="shared" si="30"/>
        <v/>
      </c>
    </row>
    <row r="706" spans="5:10">
      <c r="E706" s="3">
        <f t="shared" si="31"/>
        <v>6</v>
      </c>
      <c r="G706" s="19" t="str">
        <f t="shared" si="30"/>
        <v/>
      </c>
    </row>
    <row r="707" spans="5:10">
      <c r="E707" s="3">
        <f t="shared" si="31"/>
        <v>6</v>
      </c>
      <c r="G707" s="19" t="str">
        <f t="shared" ref="G707:G770" si="32">IF(WEEKDAY(F707,2)=1,YEAR(F707)&amp;"-W"&amp;TEXT(WEEKNUM(F707,14),"00"),"")</f>
        <v/>
      </c>
      <c r="H707">
        <f>SUM(A707:A713)</f>
        <v>0</v>
      </c>
      <c r="I707" s="28" t="e">
        <f>H707/H700-1</f>
        <v>#DIV/0!</v>
      </c>
      <c r="J707" s="28" t="e">
        <f>A707/A700-1</f>
        <v>#DIV/0!</v>
      </c>
    </row>
    <row r="708" spans="5:10">
      <c r="E708" s="3">
        <f t="shared" si="31"/>
        <v>6</v>
      </c>
      <c r="G708" s="19" t="str">
        <f t="shared" si="32"/>
        <v/>
      </c>
    </row>
    <row r="709" spans="5:10">
      <c r="E709" s="3">
        <f t="shared" ref="E709:E772" si="33">WEEKDAY(F709,2)</f>
        <v>6</v>
      </c>
      <c r="G709" s="19" t="str">
        <f t="shared" si="32"/>
        <v/>
      </c>
    </row>
    <row r="710" spans="5:10">
      <c r="E710" s="3">
        <f t="shared" si="33"/>
        <v>6</v>
      </c>
      <c r="G710" s="19" t="str">
        <f t="shared" si="32"/>
        <v/>
      </c>
    </row>
    <row r="711" spans="5:10">
      <c r="E711" s="3">
        <f t="shared" si="33"/>
        <v>6</v>
      </c>
      <c r="G711" s="19" t="str">
        <f t="shared" si="32"/>
        <v/>
      </c>
    </row>
    <row r="712" spans="5:10">
      <c r="E712" s="3">
        <f t="shared" si="33"/>
        <v>6</v>
      </c>
      <c r="G712" s="19" t="str">
        <f t="shared" si="32"/>
        <v/>
      </c>
    </row>
    <row r="713" spans="5:10">
      <c r="E713" s="3">
        <f t="shared" si="33"/>
        <v>6</v>
      </c>
      <c r="G713" s="19" t="str">
        <f t="shared" si="32"/>
        <v/>
      </c>
    </row>
    <row r="714" spans="5:10">
      <c r="E714" s="3">
        <f t="shared" si="33"/>
        <v>6</v>
      </c>
      <c r="G714" s="19" t="str">
        <f t="shared" si="32"/>
        <v/>
      </c>
      <c r="H714">
        <f>SUM(A714:A720)</f>
        <v>0</v>
      </c>
      <c r="I714" s="28" t="e">
        <f>H714/H707-1</f>
        <v>#DIV/0!</v>
      </c>
      <c r="J714" s="28" t="e">
        <f>A714/A707-1</f>
        <v>#DIV/0!</v>
      </c>
    </row>
    <row r="715" spans="5:10">
      <c r="E715" s="3">
        <f t="shared" si="33"/>
        <v>6</v>
      </c>
      <c r="G715" s="19" t="str">
        <f t="shared" si="32"/>
        <v/>
      </c>
    </row>
    <row r="716" spans="5:10">
      <c r="E716" s="3">
        <f t="shared" si="33"/>
        <v>6</v>
      </c>
      <c r="G716" s="19" t="str">
        <f t="shared" si="32"/>
        <v/>
      </c>
    </row>
    <row r="717" spans="5:10">
      <c r="E717" s="3">
        <f t="shared" si="33"/>
        <v>6</v>
      </c>
      <c r="G717" s="19" t="str">
        <f t="shared" si="32"/>
        <v/>
      </c>
    </row>
    <row r="718" spans="5:10">
      <c r="E718" s="3">
        <f t="shared" si="33"/>
        <v>6</v>
      </c>
      <c r="G718" s="19" t="str">
        <f t="shared" si="32"/>
        <v/>
      </c>
    </row>
    <row r="719" spans="5:10">
      <c r="E719" s="3">
        <f t="shared" si="33"/>
        <v>6</v>
      </c>
      <c r="G719" s="19" t="str">
        <f t="shared" si="32"/>
        <v/>
      </c>
    </row>
    <row r="720" spans="5:10">
      <c r="E720" s="3">
        <f t="shared" si="33"/>
        <v>6</v>
      </c>
      <c r="G720" s="19" t="str">
        <f t="shared" si="32"/>
        <v/>
      </c>
    </row>
    <row r="721" spans="5:10">
      <c r="E721" s="3">
        <f t="shared" si="33"/>
        <v>6</v>
      </c>
      <c r="G721" s="19" t="str">
        <f t="shared" si="32"/>
        <v/>
      </c>
      <c r="H721">
        <f>SUM(A721:A727)</f>
        <v>0</v>
      </c>
      <c r="I721" s="28" t="e">
        <f>H721/H714-1</f>
        <v>#DIV/0!</v>
      </c>
      <c r="J721" s="28" t="e">
        <f>A721/A714-1</f>
        <v>#DIV/0!</v>
      </c>
    </row>
    <row r="722" spans="5:10">
      <c r="E722" s="3">
        <f t="shared" si="33"/>
        <v>6</v>
      </c>
      <c r="G722" s="19" t="str">
        <f t="shared" si="32"/>
        <v/>
      </c>
    </row>
    <row r="723" spans="5:10">
      <c r="E723" s="3">
        <f t="shared" si="33"/>
        <v>6</v>
      </c>
      <c r="G723" s="19" t="str">
        <f t="shared" si="32"/>
        <v/>
      </c>
    </row>
    <row r="724" spans="5:10">
      <c r="E724" s="3">
        <f t="shared" si="33"/>
        <v>6</v>
      </c>
      <c r="G724" s="19" t="str">
        <f t="shared" si="32"/>
        <v/>
      </c>
    </row>
    <row r="725" spans="5:10">
      <c r="E725" s="3">
        <f t="shared" si="33"/>
        <v>6</v>
      </c>
      <c r="G725" s="19" t="str">
        <f t="shared" si="32"/>
        <v/>
      </c>
    </row>
    <row r="726" spans="5:10">
      <c r="E726" s="3">
        <f t="shared" si="33"/>
        <v>6</v>
      </c>
      <c r="G726" s="19" t="str">
        <f t="shared" si="32"/>
        <v/>
      </c>
    </row>
    <row r="727" spans="5:10">
      <c r="E727" s="3">
        <f t="shared" si="33"/>
        <v>6</v>
      </c>
      <c r="G727" s="19" t="str">
        <f t="shared" si="32"/>
        <v/>
      </c>
    </row>
    <row r="728" spans="5:10">
      <c r="E728" s="3">
        <f t="shared" si="33"/>
        <v>6</v>
      </c>
      <c r="G728" s="19" t="str">
        <f t="shared" si="32"/>
        <v/>
      </c>
      <c r="H728">
        <f>SUM(A728:A734)</f>
        <v>0</v>
      </c>
      <c r="I728" s="28" t="e">
        <f>H728/H721-1</f>
        <v>#DIV/0!</v>
      </c>
      <c r="J728" s="28" t="e">
        <f>A728/A721-1</f>
        <v>#DIV/0!</v>
      </c>
    </row>
    <row r="729" spans="5:10">
      <c r="E729" s="3">
        <f t="shared" si="33"/>
        <v>6</v>
      </c>
      <c r="G729" s="19" t="str">
        <f t="shared" si="32"/>
        <v/>
      </c>
    </row>
    <row r="730" spans="5:10">
      <c r="E730" s="3">
        <f t="shared" si="33"/>
        <v>6</v>
      </c>
      <c r="G730" s="19" t="str">
        <f t="shared" si="32"/>
        <v/>
      </c>
    </row>
    <row r="731" spans="5:10">
      <c r="E731" s="3">
        <f t="shared" si="33"/>
        <v>6</v>
      </c>
      <c r="G731" s="19" t="str">
        <f t="shared" si="32"/>
        <v/>
      </c>
    </row>
    <row r="732" spans="5:10">
      <c r="E732" s="3">
        <f t="shared" si="33"/>
        <v>6</v>
      </c>
      <c r="G732" s="19" t="str">
        <f t="shared" si="32"/>
        <v/>
      </c>
    </row>
    <row r="733" spans="5:10">
      <c r="E733" s="3">
        <f t="shared" si="33"/>
        <v>6</v>
      </c>
      <c r="G733" s="19" t="str">
        <f t="shared" si="32"/>
        <v/>
      </c>
    </row>
    <row r="734" spans="5:10">
      <c r="E734" s="3">
        <f t="shared" si="33"/>
        <v>6</v>
      </c>
      <c r="G734" s="19" t="str">
        <f t="shared" si="32"/>
        <v/>
      </c>
    </row>
    <row r="735" spans="5:10">
      <c r="E735" s="3">
        <f t="shared" si="33"/>
        <v>6</v>
      </c>
      <c r="G735" s="19" t="str">
        <f t="shared" si="32"/>
        <v/>
      </c>
      <c r="H735">
        <f>SUM(A735:A741)</f>
        <v>0</v>
      </c>
      <c r="I735" s="28" t="e">
        <f>H735/H728-1</f>
        <v>#DIV/0!</v>
      </c>
      <c r="J735" s="28" t="e">
        <f>A735/A728-1</f>
        <v>#DIV/0!</v>
      </c>
    </row>
    <row r="736" spans="5:10">
      <c r="E736" s="3">
        <f t="shared" si="33"/>
        <v>6</v>
      </c>
      <c r="G736" s="19" t="str">
        <f t="shared" si="32"/>
        <v/>
      </c>
    </row>
    <row r="737" spans="5:10">
      <c r="E737" s="3">
        <f t="shared" si="33"/>
        <v>6</v>
      </c>
      <c r="G737" s="19" t="str">
        <f t="shared" si="32"/>
        <v/>
      </c>
    </row>
    <row r="738" spans="5:10">
      <c r="E738" s="3">
        <f t="shared" si="33"/>
        <v>6</v>
      </c>
      <c r="G738" s="19" t="str">
        <f t="shared" si="32"/>
        <v/>
      </c>
    </row>
    <row r="739" spans="5:10">
      <c r="E739" s="3">
        <f t="shared" si="33"/>
        <v>6</v>
      </c>
      <c r="G739" s="19" t="str">
        <f t="shared" si="32"/>
        <v/>
      </c>
    </row>
    <row r="740" spans="5:10">
      <c r="E740" s="3">
        <f t="shared" si="33"/>
        <v>6</v>
      </c>
      <c r="G740" s="19" t="str">
        <f t="shared" si="32"/>
        <v/>
      </c>
    </row>
    <row r="741" spans="5:10">
      <c r="E741" s="3">
        <f t="shared" si="33"/>
        <v>6</v>
      </c>
      <c r="G741" s="19" t="str">
        <f t="shared" si="32"/>
        <v/>
      </c>
    </row>
    <row r="742" spans="5:10">
      <c r="E742" s="3">
        <f t="shared" si="33"/>
        <v>6</v>
      </c>
      <c r="G742" s="19" t="str">
        <f t="shared" si="32"/>
        <v/>
      </c>
      <c r="H742">
        <f>SUM(A742:A748)</f>
        <v>0</v>
      </c>
      <c r="I742" s="28" t="e">
        <f>H742/H735-1</f>
        <v>#DIV/0!</v>
      </c>
      <c r="J742" s="28" t="e">
        <f>A742/A735-1</f>
        <v>#DIV/0!</v>
      </c>
    </row>
    <row r="743" spans="5:10">
      <c r="E743" s="3">
        <f t="shared" si="33"/>
        <v>6</v>
      </c>
      <c r="G743" s="19" t="str">
        <f t="shared" si="32"/>
        <v/>
      </c>
    </row>
    <row r="744" spans="5:10">
      <c r="E744" s="3">
        <f t="shared" si="33"/>
        <v>6</v>
      </c>
      <c r="G744" s="19" t="str">
        <f t="shared" si="32"/>
        <v/>
      </c>
    </row>
    <row r="745" spans="5:10">
      <c r="E745" s="3">
        <f t="shared" si="33"/>
        <v>6</v>
      </c>
      <c r="G745" s="19" t="str">
        <f t="shared" si="32"/>
        <v/>
      </c>
    </row>
    <row r="746" spans="5:10">
      <c r="E746" s="3">
        <f t="shared" si="33"/>
        <v>6</v>
      </c>
      <c r="G746" s="19" t="str">
        <f t="shared" si="32"/>
        <v/>
      </c>
    </row>
    <row r="747" spans="5:10">
      <c r="E747" s="3">
        <f t="shared" si="33"/>
        <v>6</v>
      </c>
      <c r="G747" s="19" t="str">
        <f t="shared" si="32"/>
        <v/>
      </c>
    </row>
    <row r="748" spans="5:10">
      <c r="E748" s="3">
        <f t="shared" si="33"/>
        <v>6</v>
      </c>
      <c r="G748" s="19" t="str">
        <f t="shared" si="32"/>
        <v/>
      </c>
    </row>
    <row r="749" spans="5:10">
      <c r="E749" s="3">
        <f t="shared" si="33"/>
        <v>6</v>
      </c>
      <c r="G749" s="19" t="str">
        <f t="shared" si="32"/>
        <v/>
      </c>
      <c r="H749">
        <f>SUM(A749:A755)</f>
        <v>0</v>
      </c>
      <c r="I749" s="28" t="e">
        <f>H749/H742-1</f>
        <v>#DIV/0!</v>
      </c>
      <c r="J749" s="28" t="e">
        <f>A749/A742-1</f>
        <v>#DIV/0!</v>
      </c>
    </row>
    <row r="750" spans="5:10">
      <c r="E750" s="3">
        <f t="shared" si="33"/>
        <v>6</v>
      </c>
      <c r="G750" s="19" t="str">
        <f t="shared" si="32"/>
        <v/>
      </c>
    </row>
    <row r="751" spans="5:10">
      <c r="E751" s="3">
        <f t="shared" si="33"/>
        <v>6</v>
      </c>
      <c r="G751" s="19" t="str">
        <f t="shared" si="32"/>
        <v/>
      </c>
    </row>
    <row r="752" spans="5:10">
      <c r="E752" s="3">
        <f t="shared" si="33"/>
        <v>6</v>
      </c>
      <c r="G752" s="19" t="str">
        <f t="shared" si="32"/>
        <v/>
      </c>
    </row>
    <row r="753" spans="5:10">
      <c r="E753" s="3">
        <f t="shared" si="33"/>
        <v>6</v>
      </c>
      <c r="G753" s="19" t="str">
        <f t="shared" si="32"/>
        <v/>
      </c>
    </row>
    <row r="754" spans="5:10">
      <c r="E754" s="3">
        <f t="shared" si="33"/>
        <v>6</v>
      </c>
      <c r="G754" s="19" t="str">
        <f t="shared" si="32"/>
        <v/>
      </c>
    </row>
    <row r="755" spans="5:10">
      <c r="E755" s="3">
        <f t="shared" si="33"/>
        <v>6</v>
      </c>
      <c r="G755" s="19" t="str">
        <f t="shared" si="32"/>
        <v/>
      </c>
    </row>
    <row r="756" spans="5:10">
      <c r="E756" s="3">
        <f t="shared" si="33"/>
        <v>6</v>
      </c>
      <c r="G756" s="19" t="str">
        <f t="shared" si="32"/>
        <v/>
      </c>
      <c r="H756">
        <f>SUM(A756:A762)</f>
        <v>0</v>
      </c>
      <c r="I756" s="28" t="e">
        <f>H756/H749-1</f>
        <v>#DIV/0!</v>
      </c>
      <c r="J756" s="28" t="e">
        <f>A756/A749-1</f>
        <v>#DIV/0!</v>
      </c>
    </row>
    <row r="757" spans="5:10">
      <c r="E757" s="3">
        <f t="shared" si="33"/>
        <v>6</v>
      </c>
      <c r="G757" s="19" t="str">
        <f t="shared" si="32"/>
        <v/>
      </c>
    </row>
    <row r="758" spans="5:10">
      <c r="E758" s="3">
        <f t="shared" si="33"/>
        <v>6</v>
      </c>
      <c r="G758" s="19" t="str">
        <f t="shared" si="32"/>
        <v/>
      </c>
    </row>
    <row r="759" spans="5:10">
      <c r="E759" s="3">
        <f t="shared" si="33"/>
        <v>6</v>
      </c>
      <c r="G759" s="19" t="str">
        <f t="shared" si="32"/>
        <v/>
      </c>
    </row>
    <row r="760" spans="5:10">
      <c r="E760" s="3">
        <f t="shared" si="33"/>
        <v>6</v>
      </c>
      <c r="G760" s="19" t="str">
        <f t="shared" si="32"/>
        <v/>
      </c>
    </row>
    <row r="761" spans="5:10">
      <c r="E761" s="3">
        <f t="shared" si="33"/>
        <v>6</v>
      </c>
      <c r="G761" s="19" t="str">
        <f t="shared" si="32"/>
        <v/>
      </c>
    </row>
    <row r="762" spans="5:10">
      <c r="E762" s="3">
        <f t="shared" si="33"/>
        <v>6</v>
      </c>
      <c r="G762" s="19" t="str">
        <f t="shared" si="32"/>
        <v/>
      </c>
    </row>
    <row r="763" spans="5:10">
      <c r="E763" s="3">
        <f t="shared" si="33"/>
        <v>6</v>
      </c>
      <c r="G763" s="19" t="str">
        <f t="shared" si="32"/>
        <v/>
      </c>
      <c r="H763">
        <f>SUM(A763:A769)</f>
        <v>0</v>
      </c>
      <c r="I763" s="28" t="e">
        <f>H763/H756-1</f>
        <v>#DIV/0!</v>
      </c>
      <c r="J763" s="28" t="e">
        <f>A763/A756-1</f>
        <v>#DIV/0!</v>
      </c>
    </row>
    <row r="764" spans="5:10">
      <c r="E764" s="3">
        <f t="shared" si="33"/>
        <v>6</v>
      </c>
      <c r="G764" s="19" t="str">
        <f t="shared" si="32"/>
        <v/>
      </c>
    </row>
    <row r="765" spans="5:10">
      <c r="E765" s="3">
        <f t="shared" si="33"/>
        <v>6</v>
      </c>
      <c r="G765" s="19" t="str">
        <f t="shared" si="32"/>
        <v/>
      </c>
    </row>
    <row r="766" spans="5:10">
      <c r="E766" s="3">
        <f t="shared" si="33"/>
        <v>6</v>
      </c>
      <c r="G766" s="19" t="str">
        <f t="shared" si="32"/>
        <v/>
      </c>
    </row>
    <row r="767" spans="5:10">
      <c r="E767" s="3">
        <f t="shared" si="33"/>
        <v>6</v>
      </c>
      <c r="G767" s="19" t="str">
        <f t="shared" si="32"/>
        <v/>
      </c>
    </row>
    <row r="768" spans="5:10">
      <c r="E768" s="3">
        <f t="shared" si="33"/>
        <v>6</v>
      </c>
      <c r="G768" s="19" t="str">
        <f t="shared" si="32"/>
        <v/>
      </c>
    </row>
    <row r="769" spans="5:10">
      <c r="E769" s="3">
        <f t="shared" si="33"/>
        <v>6</v>
      </c>
      <c r="G769" s="19" t="str">
        <f t="shared" si="32"/>
        <v/>
      </c>
    </row>
    <row r="770" spans="5:10">
      <c r="E770" s="3">
        <f t="shared" si="33"/>
        <v>6</v>
      </c>
      <c r="G770" s="19" t="str">
        <f t="shared" si="32"/>
        <v/>
      </c>
      <c r="H770">
        <f>SUM(A770:A776)</f>
        <v>0</v>
      </c>
      <c r="I770" s="28" t="e">
        <f>H770/H763-1</f>
        <v>#DIV/0!</v>
      </c>
      <c r="J770" s="28" t="e">
        <f>A770/A763-1</f>
        <v>#DIV/0!</v>
      </c>
    </row>
    <row r="771" spans="5:10">
      <c r="E771" s="3">
        <f t="shared" si="33"/>
        <v>6</v>
      </c>
      <c r="G771" s="19" t="str">
        <f t="shared" ref="G771:G805" si="34">IF(WEEKDAY(F771,2)=1,YEAR(F771)&amp;"-W"&amp;TEXT(WEEKNUM(F771,14),"00"),"")</f>
        <v/>
      </c>
    </row>
    <row r="772" spans="5:10">
      <c r="E772" s="3">
        <f t="shared" si="33"/>
        <v>6</v>
      </c>
      <c r="G772" s="19" t="str">
        <f t="shared" si="34"/>
        <v/>
      </c>
    </row>
    <row r="773" spans="5:10">
      <c r="E773" s="3">
        <f t="shared" ref="E773:E805" si="35">WEEKDAY(F773,2)</f>
        <v>6</v>
      </c>
      <c r="G773" s="19" t="str">
        <f t="shared" si="34"/>
        <v/>
      </c>
    </row>
    <row r="774" spans="5:10">
      <c r="E774" s="3">
        <f t="shared" si="35"/>
        <v>6</v>
      </c>
      <c r="G774" s="19" t="str">
        <f t="shared" si="34"/>
        <v/>
      </c>
    </row>
    <row r="775" spans="5:10">
      <c r="E775" s="3">
        <f t="shared" si="35"/>
        <v>6</v>
      </c>
      <c r="G775" s="19" t="str">
        <f t="shared" si="34"/>
        <v/>
      </c>
    </row>
    <row r="776" spans="5:10">
      <c r="E776" s="3">
        <f t="shared" si="35"/>
        <v>6</v>
      </c>
      <c r="G776" s="19" t="str">
        <f t="shared" si="34"/>
        <v/>
      </c>
    </row>
    <row r="777" spans="5:10">
      <c r="E777" s="3">
        <f t="shared" si="35"/>
        <v>6</v>
      </c>
      <c r="G777" s="19" t="str">
        <f t="shared" si="34"/>
        <v/>
      </c>
      <c r="H777">
        <f>SUM(A777:A783)</f>
        <v>0</v>
      </c>
      <c r="I777" s="28" t="e">
        <f>H777/H770-1</f>
        <v>#DIV/0!</v>
      </c>
      <c r="J777" s="28" t="e">
        <f>A777/A770-1</f>
        <v>#DIV/0!</v>
      </c>
    </row>
    <row r="778" spans="5:10">
      <c r="E778" s="3">
        <f t="shared" si="35"/>
        <v>6</v>
      </c>
      <c r="G778" s="19" t="str">
        <f t="shared" si="34"/>
        <v/>
      </c>
    </row>
    <row r="779" spans="5:10">
      <c r="E779" s="3">
        <f t="shared" si="35"/>
        <v>6</v>
      </c>
      <c r="G779" s="19" t="str">
        <f t="shared" si="34"/>
        <v/>
      </c>
    </row>
    <row r="780" spans="5:10">
      <c r="E780" s="3">
        <f t="shared" si="35"/>
        <v>6</v>
      </c>
      <c r="G780" s="19" t="str">
        <f t="shared" si="34"/>
        <v/>
      </c>
    </row>
    <row r="781" spans="5:10">
      <c r="E781" s="3">
        <f t="shared" si="35"/>
        <v>6</v>
      </c>
      <c r="G781" s="19" t="str">
        <f t="shared" si="34"/>
        <v/>
      </c>
    </row>
    <row r="782" spans="5:10">
      <c r="E782" s="3">
        <f t="shared" si="35"/>
        <v>6</v>
      </c>
      <c r="G782" s="19" t="str">
        <f t="shared" si="34"/>
        <v/>
      </c>
    </row>
    <row r="783" spans="5:10">
      <c r="E783" s="3">
        <f t="shared" si="35"/>
        <v>6</v>
      </c>
      <c r="G783" s="19" t="str">
        <f t="shared" si="34"/>
        <v/>
      </c>
    </row>
    <row r="784" spans="5:10">
      <c r="E784" s="3">
        <f t="shared" si="35"/>
        <v>6</v>
      </c>
      <c r="G784" s="19" t="str">
        <f t="shared" si="34"/>
        <v/>
      </c>
      <c r="H784">
        <f>SUM(A784:A790)</f>
        <v>0</v>
      </c>
      <c r="I784" s="28" t="e">
        <f>H784/H777-1</f>
        <v>#DIV/0!</v>
      </c>
      <c r="J784" s="28" t="e">
        <f>A784/A777-1</f>
        <v>#DIV/0!</v>
      </c>
    </row>
    <row r="785" spans="5:10">
      <c r="E785" s="3">
        <f t="shared" si="35"/>
        <v>6</v>
      </c>
      <c r="G785" s="19" t="str">
        <f t="shared" si="34"/>
        <v/>
      </c>
    </row>
    <row r="786" spans="5:10">
      <c r="E786" s="3">
        <f t="shared" si="35"/>
        <v>6</v>
      </c>
      <c r="G786" s="19" t="str">
        <f t="shared" si="34"/>
        <v/>
      </c>
    </row>
    <row r="787" spans="5:10">
      <c r="E787" s="3">
        <f t="shared" si="35"/>
        <v>6</v>
      </c>
      <c r="G787" s="19" t="str">
        <f t="shared" si="34"/>
        <v/>
      </c>
    </row>
    <row r="788" spans="5:10">
      <c r="E788" s="3">
        <f t="shared" si="35"/>
        <v>6</v>
      </c>
      <c r="G788" s="19" t="str">
        <f t="shared" si="34"/>
        <v/>
      </c>
    </row>
    <row r="789" spans="5:10">
      <c r="E789" s="3">
        <f t="shared" si="35"/>
        <v>6</v>
      </c>
      <c r="G789" s="19" t="str">
        <f t="shared" si="34"/>
        <v/>
      </c>
    </row>
    <row r="790" spans="5:10">
      <c r="E790" s="3">
        <f t="shared" si="35"/>
        <v>6</v>
      </c>
      <c r="G790" s="19" t="str">
        <f t="shared" si="34"/>
        <v/>
      </c>
    </row>
    <row r="791" spans="5:10">
      <c r="E791" s="3">
        <f t="shared" si="35"/>
        <v>6</v>
      </c>
      <c r="G791" s="19" t="str">
        <f t="shared" si="34"/>
        <v/>
      </c>
      <c r="H791">
        <f>SUM(A791:A797)</f>
        <v>0</v>
      </c>
      <c r="I791" s="28" t="e">
        <f>H791/H784-1</f>
        <v>#DIV/0!</v>
      </c>
      <c r="J791" s="28" t="e">
        <f>A791/A784-1</f>
        <v>#DIV/0!</v>
      </c>
    </row>
    <row r="792" spans="5:10">
      <c r="E792" s="3">
        <f t="shared" si="35"/>
        <v>6</v>
      </c>
      <c r="G792" s="19" t="str">
        <f t="shared" si="34"/>
        <v/>
      </c>
    </row>
    <row r="793" spans="5:10">
      <c r="E793" s="3">
        <f t="shared" si="35"/>
        <v>6</v>
      </c>
      <c r="G793" s="19" t="str">
        <f t="shared" si="34"/>
        <v/>
      </c>
    </row>
    <row r="794" spans="5:10">
      <c r="E794" s="3">
        <f t="shared" si="35"/>
        <v>6</v>
      </c>
      <c r="G794" s="19" t="str">
        <f t="shared" si="34"/>
        <v/>
      </c>
    </row>
    <row r="795" spans="5:10">
      <c r="E795" s="3">
        <f t="shared" si="35"/>
        <v>6</v>
      </c>
      <c r="G795" s="19" t="str">
        <f t="shared" si="34"/>
        <v/>
      </c>
    </row>
    <row r="796" spans="5:10">
      <c r="E796" s="3">
        <f t="shared" si="35"/>
        <v>6</v>
      </c>
      <c r="G796" s="19" t="str">
        <f t="shared" si="34"/>
        <v/>
      </c>
    </row>
    <row r="797" spans="5:10">
      <c r="E797" s="3">
        <f t="shared" si="35"/>
        <v>6</v>
      </c>
      <c r="G797" s="19" t="str">
        <f t="shared" si="34"/>
        <v/>
      </c>
    </row>
    <row r="798" spans="5:10">
      <c r="E798" s="3">
        <f t="shared" si="35"/>
        <v>6</v>
      </c>
      <c r="G798" s="19" t="str">
        <f t="shared" si="34"/>
        <v/>
      </c>
      <c r="H798">
        <f>SUM(A798:A804)</f>
        <v>0</v>
      </c>
      <c r="I798" s="28" t="e">
        <f>H798/H791-1</f>
        <v>#DIV/0!</v>
      </c>
      <c r="J798" s="28" t="e">
        <f>A798/A791-1</f>
        <v>#DIV/0!</v>
      </c>
    </row>
    <row r="799" spans="5:10">
      <c r="E799" s="3">
        <f t="shared" si="35"/>
        <v>6</v>
      </c>
      <c r="G799" s="19" t="str">
        <f t="shared" si="34"/>
        <v/>
      </c>
    </row>
    <row r="800" spans="5:10">
      <c r="E800" s="3">
        <f t="shared" si="35"/>
        <v>6</v>
      </c>
      <c r="G800" s="19" t="str">
        <f t="shared" si="34"/>
        <v/>
      </c>
    </row>
    <row r="801" spans="5:10">
      <c r="E801" s="3">
        <f t="shared" si="35"/>
        <v>6</v>
      </c>
      <c r="G801" s="19" t="str">
        <f t="shared" si="34"/>
        <v/>
      </c>
    </row>
    <row r="802" spans="5:10">
      <c r="E802" s="3">
        <f t="shared" si="35"/>
        <v>6</v>
      </c>
      <c r="G802" s="19" t="str">
        <f t="shared" si="34"/>
        <v/>
      </c>
    </row>
    <row r="803" spans="5:10">
      <c r="E803" s="3">
        <f t="shared" si="35"/>
        <v>6</v>
      </c>
      <c r="G803" s="19" t="str">
        <f t="shared" si="34"/>
        <v/>
      </c>
    </row>
    <row r="804" spans="5:10">
      <c r="E804" s="3">
        <f t="shared" si="35"/>
        <v>6</v>
      </c>
      <c r="G804" s="19" t="str">
        <f t="shared" si="34"/>
        <v/>
      </c>
    </row>
    <row r="805" spans="5:10">
      <c r="E805" s="3">
        <f t="shared" si="35"/>
        <v>6</v>
      </c>
      <c r="G805" s="19" t="str">
        <f t="shared" si="34"/>
        <v/>
      </c>
      <c r="H805">
        <f>SUM(A805:A811)</f>
        <v>0</v>
      </c>
      <c r="I805" s="28" t="e">
        <f>H805/H798-1</f>
        <v>#DIV/0!</v>
      </c>
      <c r="J805" s="28" t="e">
        <f>A805/A798-1</f>
        <v>#DIV/0!</v>
      </c>
    </row>
  </sheetData>
  <autoFilter ref="A1:K805" xr:uid="{00000000-0009-0000-0000-000003000000}"/>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UpdateDialog">
                <anchor moveWithCells="1" sizeWithCells="1">
                  <from>
                    <xdr:col>1</xdr:col>
                    <xdr:colOff>352425</xdr:colOff>
                    <xdr:row>0</xdr:row>
                    <xdr:rowOff>47625</xdr:rowOff>
                  </from>
                  <to>
                    <xdr:col>1</xdr:col>
                    <xdr:colOff>1362075</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ul1"/>
  <dimension ref="A1:G556"/>
  <sheetViews>
    <sheetView topLeftCell="E1" workbookViewId="0">
      <selection activeCell="A16" sqref="A16"/>
    </sheetView>
  </sheetViews>
  <sheetFormatPr defaultRowHeight="15"/>
  <cols>
    <col min="1" max="1" width="12.85546875" bestFit="1" customWidth="1"/>
    <col min="4" max="4" width="10.140625" bestFit="1" customWidth="1"/>
    <col min="5" max="5" width="8.85546875" style="38"/>
  </cols>
  <sheetData>
    <row r="1" spans="1:7">
      <c r="C1" t="s">
        <v>458</v>
      </c>
      <c r="D1" t="s">
        <v>456</v>
      </c>
      <c r="G1" s="7" t="s">
        <v>459</v>
      </c>
    </row>
    <row r="2" spans="1:7">
      <c r="A2" s="30">
        <f>Kaikki!F2</f>
        <v>43831.625</v>
      </c>
      <c r="B2" s="37" t="str">
        <f>Kaikki!G2</f>
        <v/>
      </c>
      <c r="C2">
        <f>Kaikki!A2</f>
        <v>0</v>
      </c>
      <c r="D2">
        <f>HUS!A2</f>
        <v>0</v>
      </c>
      <c r="E2" s="38" t="e">
        <f>D2/C2</f>
        <v>#DIV/0!</v>
      </c>
    </row>
    <row r="3" spans="1:7">
      <c r="A3" s="30">
        <f>Kaikki!F3</f>
        <v>43832.625</v>
      </c>
      <c r="B3" s="37" t="str">
        <f>Kaikki!G3</f>
        <v/>
      </c>
      <c r="C3">
        <f>Kaikki!A3</f>
        <v>0</v>
      </c>
      <c r="D3">
        <f>HUS!A3</f>
        <v>0</v>
      </c>
      <c r="E3" s="38" t="e">
        <f t="shared" ref="E3:E66" si="0">D3/C3</f>
        <v>#DIV/0!</v>
      </c>
    </row>
    <row r="4" spans="1:7">
      <c r="A4" s="30">
        <f>Kaikki!F4</f>
        <v>43833.625</v>
      </c>
      <c r="B4" s="37" t="str">
        <f>Kaikki!G4</f>
        <v/>
      </c>
      <c r="C4">
        <f>Kaikki!A4</f>
        <v>0</v>
      </c>
      <c r="D4">
        <f>HUS!A4</f>
        <v>0</v>
      </c>
      <c r="E4" s="38" t="e">
        <f t="shared" si="0"/>
        <v>#DIV/0!</v>
      </c>
    </row>
    <row r="5" spans="1:7">
      <c r="A5" s="30">
        <f>Kaikki!F5</f>
        <v>43834.625</v>
      </c>
      <c r="B5" s="37" t="str">
        <f>Kaikki!G5</f>
        <v/>
      </c>
      <c r="C5">
        <f>Kaikki!A5</f>
        <v>0</v>
      </c>
      <c r="D5">
        <f>HUS!A5</f>
        <v>0</v>
      </c>
      <c r="E5" s="38" t="e">
        <f t="shared" si="0"/>
        <v>#DIV/0!</v>
      </c>
    </row>
    <row r="6" spans="1:7">
      <c r="A6" s="30">
        <f>Kaikki!F6</f>
        <v>43835.625</v>
      </c>
      <c r="B6" s="37" t="str">
        <f>Kaikki!G6</f>
        <v/>
      </c>
      <c r="C6">
        <f>Kaikki!A6</f>
        <v>0</v>
      </c>
      <c r="D6">
        <f>HUS!A6</f>
        <v>0</v>
      </c>
      <c r="E6" s="38" t="e">
        <f t="shared" si="0"/>
        <v>#DIV/0!</v>
      </c>
    </row>
    <row r="7" spans="1:7">
      <c r="A7" s="30">
        <f>Kaikki!F7</f>
        <v>43836.625</v>
      </c>
      <c r="B7" s="37" t="str">
        <f>Kaikki!G7</f>
        <v>2020-W02</v>
      </c>
      <c r="C7">
        <f>Kaikki!A7</f>
        <v>0</v>
      </c>
      <c r="D7">
        <f>HUS!A7</f>
        <v>0</v>
      </c>
      <c r="E7" s="38" t="e">
        <f t="shared" si="0"/>
        <v>#DIV/0!</v>
      </c>
    </row>
    <row r="8" spans="1:7">
      <c r="A8" s="30">
        <f>Kaikki!F8</f>
        <v>43837.625</v>
      </c>
      <c r="B8" s="37" t="str">
        <f>Kaikki!G8</f>
        <v/>
      </c>
      <c r="C8">
        <f>Kaikki!A8</f>
        <v>0</v>
      </c>
      <c r="D8">
        <f>HUS!A8</f>
        <v>0</v>
      </c>
      <c r="E8" s="38" t="e">
        <f t="shared" si="0"/>
        <v>#DIV/0!</v>
      </c>
    </row>
    <row r="9" spans="1:7">
      <c r="A9" s="30">
        <f>Kaikki!F9</f>
        <v>43838.625</v>
      </c>
      <c r="B9" s="37" t="str">
        <f>Kaikki!G9</f>
        <v/>
      </c>
      <c r="C9">
        <f>Kaikki!A9</f>
        <v>0</v>
      </c>
      <c r="D9">
        <f>HUS!A9</f>
        <v>0</v>
      </c>
      <c r="E9" s="38" t="e">
        <f t="shared" si="0"/>
        <v>#DIV/0!</v>
      </c>
    </row>
    <row r="10" spans="1:7">
      <c r="A10" s="30">
        <f>Kaikki!F10</f>
        <v>43839.625</v>
      </c>
      <c r="B10" s="37" t="str">
        <f>Kaikki!G10</f>
        <v/>
      </c>
      <c r="C10">
        <f>Kaikki!A10</f>
        <v>0</v>
      </c>
      <c r="D10">
        <f>HUS!A10</f>
        <v>0</v>
      </c>
      <c r="E10" s="38" t="e">
        <f t="shared" si="0"/>
        <v>#DIV/0!</v>
      </c>
    </row>
    <row r="11" spans="1:7">
      <c r="A11" s="30">
        <f>Kaikki!F11</f>
        <v>43840.625</v>
      </c>
      <c r="B11" s="37" t="str">
        <f>Kaikki!G11</f>
        <v/>
      </c>
      <c r="C11">
        <f>Kaikki!A11</f>
        <v>0</v>
      </c>
      <c r="D11">
        <f>HUS!A11</f>
        <v>0</v>
      </c>
      <c r="E11" s="38" t="e">
        <f t="shared" si="0"/>
        <v>#DIV/0!</v>
      </c>
    </row>
    <row r="12" spans="1:7">
      <c r="A12" s="30">
        <f>Kaikki!F12</f>
        <v>43841.625</v>
      </c>
      <c r="B12" s="37" t="str">
        <f>Kaikki!G12</f>
        <v/>
      </c>
      <c r="C12">
        <f>Kaikki!A12</f>
        <v>0</v>
      </c>
      <c r="D12">
        <f>HUS!A12</f>
        <v>0</v>
      </c>
      <c r="E12" s="38" t="e">
        <f t="shared" si="0"/>
        <v>#DIV/0!</v>
      </c>
    </row>
    <row r="13" spans="1:7">
      <c r="A13" s="30">
        <f>Kaikki!F13</f>
        <v>43842.625</v>
      </c>
      <c r="B13" s="37" t="str">
        <f>Kaikki!G13</f>
        <v/>
      </c>
      <c r="C13">
        <f>Kaikki!A13</f>
        <v>0</v>
      </c>
      <c r="D13">
        <f>HUS!A13</f>
        <v>0</v>
      </c>
      <c r="E13" s="38" t="e">
        <f t="shared" si="0"/>
        <v>#DIV/0!</v>
      </c>
    </row>
    <row r="14" spans="1:7">
      <c r="A14" s="30">
        <f>Kaikki!F14</f>
        <v>43843.625</v>
      </c>
      <c r="B14" s="37" t="str">
        <f>Kaikki!G14</f>
        <v>2020-W03</v>
      </c>
      <c r="C14">
        <f>Kaikki!A14</f>
        <v>0</v>
      </c>
      <c r="D14">
        <f>HUS!A14</f>
        <v>0</v>
      </c>
      <c r="E14" s="38" t="e">
        <f t="shared" si="0"/>
        <v>#DIV/0!</v>
      </c>
    </row>
    <row r="15" spans="1:7">
      <c r="A15" s="30">
        <f>Kaikki!F15</f>
        <v>43844.625</v>
      </c>
      <c r="B15" s="37" t="str">
        <f>Kaikki!G15</f>
        <v/>
      </c>
      <c r="C15">
        <f>Kaikki!A15</f>
        <v>0</v>
      </c>
      <c r="D15">
        <f>HUS!A15</f>
        <v>0</v>
      </c>
      <c r="E15" s="38" t="e">
        <f t="shared" si="0"/>
        <v>#DIV/0!</v>
      </c>
    </row>
    <row r="16" spans="1:7">
      <c r="A16" s="30">
        <f>Kaikki!F16</f>
        <v>43845.625</v>
      </c>
      <c r="B16" s="37" t="str">
        <f>Kaikki!G16</f>
        <v/>
      </c>
      <c r="C16">
        <f>Kaikki!A16</f>
        <v>0</v>
      </c>
      <c r="D16">
        <f>HUS!A16</f>
        <v>0</v>
      </c>
      <c r="E16" s="38" t="e">
        <f t="shared" si="0"/>
        <v>#DIV/0!</v>
      </c>
    </row>
    <row r="17" spans="1:7">
      <c r="A17" s="30">
        <f>Kaikki!F17</f>
        <v>43846.625</v>
      </c>
      <c r="B17" s="37" t="str">
        <f>Kaikki!G17</f>
        <v/>
      </c>
      <c r="C17">
        <f>Kaikki!A17</f>
        <v>0</v>
      </c>
      <c r="D17">
        <f>HUS!A17</f>
        <v>0</v>
      </c>
      <c r="E17" s="38" t="e">
        <f t="shared" si="0"/>
        <v>#DIV/0!</v>
      </c>
    </row>
    <row r="18" spans="1:7">
      <c r="A18" s="30">
        <f>Kaikki!F18</f>
        <v>43847.625</v>
      </c>
      <c r="B18" s="37" t="str">
        <f>Kaikki!G18</f>
        <v/>
      </c>
      <c r="C18">
        <f>Kaikki!A18</f>
        <v>0</v>
      </c>
      <c r="D18">
        <f>HUS!A18</f>
        <v>0</v>
      </c>
      <c r="E18" s="38" t="e">
        <f t="shared" si="0"/>
        <v>#DIV/0!</v>
      </c>
    </row>
    <row r="19" spans="1:7">
      <c r="A19" s="30">
        <f>Kaikki!F19</f>
        <v>43848.625</v>
      </c>
      <c r="B19" s="37" t="str">
        <f>Kaikki!G19</f>
        <v/>
      </c>
      <c r="C19">
        <f>Kaikki!A19</f>
        <v>0</v>
      </c>
      <c r="D19">
        <f>HUS!A19</f>
        <v>0</v>
      </c>
      <c r="E19" s="38" t="e">
        <f t="shared" si="0"/>
        <v>#DIV/0!</v>
      </c>
    </row>
    <row r="20" spans="1:7">
      <c r="A20" s="30">
        <f>Kaikki!F20</f>
        <v>43849.625</v>
      </c>
      <c r="B20" s="37" t="str">
        <f>Kaikki!G20</f>
        <v/>
      </c>
      <c r="C20">
        <f>Kaikki!A20</f>
        <v>0</v>
      </c>
      <c r="D20">
        <f>HUS!A20</f>
        <v>0</v>
      </c>
      <c r="E20" s="38" t="e">
        <f t="shared" si="0"/>
        <v>#DIV/0!</v>
      </c>
    </row>
    <row r="21" spans="1:7">
      <c r="A21" s="30">
        <f>Kaikki!F21</f>
        <v>43850.625</v>
      </c>
      <c r="B21" s="37" t="str">
        <f>Kaikki!G21</f>
        <v>2020-W04</v>
      </c>
      <c r="C21">
        <f>Kaikki!A21</f>
        <v>0</v>
      </c>
      <c r="D21">
        <f>HUS!A21</f>
        <v>0</v>
      </c>
      <c r="E21" s="38" t="e">
        <f t="shared" si="0"/>
        <v>#DIV/0!</v>
      </c>
    </row>
    <row r="22" spans="1:7">
      <c r="A22" s="30">
        <f>Kaikki!F22</f>
        <v>43851.625</v>
      </c>
      <c r="B22" s="37" t="str">
        <f>Kaikki!G22</f>
        <v/>
      </c>
      <c r="C22">
        <f>Kaikki!A22</f>
        <v>0</v>
      </c>
      <c r="D22">
        <f>HUS!A22</f>
        <v>0</v>
      </c>
      <c r="E22" s="38" t="e">
        <f t="shared" si="0"/>
        <v>#DIV/0!</v>
      </c>
    </row>
    <row r="23" spans="1:7">
      <c r="A23" s="30">
        <f>Kaikki!F23</f>
        <v>43852.625</v>
      </c>
      <c r="B23" s="37" t="str">
        <f>Kaikki!G23</f>
        <v/>
      </c>
      <c r="C23">
        <f>Kaikki!A23</f>
        <v>0</v>
      </c>
      <c r="D23">
        <f>HUS!A23</f>
        <v>0</v>
      </c>
      <c r="E23" s="38" t="e">
        <f t="shared" si="0"/>
        <v>#DIV/0!</v>
      </c>
      <c r="G23" s="7" t="s">
        <v>460</v>
      </c>
    </row>
    <row r="24" spans="1:7">
      <c r="A24" s="30">
        <f>Kaikki!F24</f>
        <v>43853.625</v>
      </c>
      <c r="B24" s="37" t="str">
        <f>Kaikki!G24</f>
        <v/>
      </c>
      <c r="C24">
        <f>Kaikki!A24</f>
        <v>0</v>
      </c>
      <c r="D24">
        <f>HUS!A24</f>
        <v>0</v>
      </c>
      <c r="E24" s="38" t="e">
        <f t="shared" si="0"/>
        <v>#DIV/0!</v>
      </c>
    </row>
    <row r="25" spans="1:7">
      <c r="A25" s="30">
        <f>Kaikki!F25</f>
        <v>43854.625</v>
      </c>
      <c r="B25" s="37" t="str">
        <f>Kaikki!G25</f>
        <v/>
      </c>
      <c r="C25">
        <f>Kaikki!A25</f>
        <v>0</v>
      </c>
      <c r="D25">
        <f>HUS!A25</f>
        <v>0</v>
      </c>
      <c r="E25" s="38" t="e">
        <f t="shared" si="0"/>
        <v>#DIV/0!</v>
      </c>
    </row>
    <row r="26" spans="1:7">
      <c r="A26" s="30">
        <f>Kaikki!F26</f>
        <v>43855.625</v>
      </c>
      <c r="B26" s="37" t="str">
        <f>Kaikki!G26</f>
        <v/>
      </c>
      <c r="C26">
        <f>Kaikki!A26</f>
        <v>0</v>
      </c>
      <c r="D26">
        <f>HUS!A26</f>
        <v>0</v>
      </c>
      <c r="E26" s="38" t="e">
        <f t="shared" si="0"/>
        <v>#DIV/0!</v>
      </c>
    </row>
    <row r="27" spans="1:7">
      <c r="A27" s="30">
        <f>Kaikki!F27</f>
        <v>43856.625</v>
      </c>
      <c r="B27" s="37" t="str">
        <f>Kaikki!G27</f>
        <v/>
      </c>
      <c r="C27">
        <f>Kaikki!A27</f>
        <v>0</v>
      </c>
      <c r="D27">
        <f>HUS!A27</f>
        <v>0</v>
      </c>
      <c r="E27" s="38" t="e">
        <f t="shared" si="0"/>
        <v>#DIV/0!</v>
      </c>
    </row>
    <row r="28" spans="1:7">
      <c r="A28" s="30">
        <f>Kaikki!F28</f>
        <v>43857.625</v>
      </c>
      <c r="B28" s="37" t="str">
        <f>Kaikki!G28</f>
        <v>2020-W05</v>
      </c>
      <c r="C28">
        <f>Kaikki!A28</f>
        <v>0</v>
      </c>
      <c r="D28">
        <f>HUS!A28</f>
        <v>0</v>
      </c>
      <c r="E28" s="38" t="e">
        <f t="shared" si="0"/>
        <v>#DIV/0!</v>
      </c>
    </row>
    <row r="29" spans="1:7">
      <c r="A29" s="30">
        <f>Kaikki!F29</f>
        <v>43858.625</v>
      </c>
      <c r="B29" s="37" t="str">
        <f>Kaikki!G29</f>
        <v/>
      </c>
      <c r="C29">
        <f>Kaikki!A29</f>
        <v>1</v>
      </c>
      <c r="D29">
        <f>HUS!A29</f>
        <v>0</v>
      </c>
      <c r="E29" s="38">
        <f t="shared" si="0"/>
        <v>0</v>
      </c>
    </row>
    <row r="30" spans="1:7">
      <c r="A30" s="30">
        <f>Kaikki!F30</f>
        <v>43859.625</v>
      </c>
      <c r="B30" s="37" t="str">
        <f>Kaikki!G30</f>
        <v/>
      </c>
      <c r="C30">
        <f>Kaikki!A30</f>
        <v>0</v>
      </c>
      <c r="D30">
        <f>HUS!A30</f>
        <v>0</v>
      </c>
      <c r="E30" s="38" t="e">
        <f t="shared" si="0"/>
        <v>#DIV/0!</v>
      </c>
    </row>
    <row r="31" spans="1:7">
      <c r="A31" s="30">
        <f>Kaikki!F31</f>
        <v>43860.625</v>
      </c>
      <c r="B31" s="37" t="str">
        <f>Kaikki!G31</f>
        <v/>
      </c>
      <c r="C31">
        <f>Kaikki!A31</f>
        <v>0</v>
      </c>
      <c r="D31">
        <f>HUS!A31</f>
        <v>0</v>
      </c>
      <c r="E31" s="38" t="e">
        <f t="shared" si="0"/>
        <v>#DIV/0!</v>
      </c>
    </row>
    <row r="32" spans="1:7">
      <c r="A32" s="30">
        <f>Kaikki!F32</f>
        <v>43861.625</v>
      </c>
      <c r="B32" s="37" t="str">
        <f>Kaikki!G32</f>
        <v/>
      </c>
      <c r="C32">
        <f>Kaikki!A32</f>
        <v>0</v>
      </c>
      <c r="D32">
        <f>HUS!A32</f>
        <v>0</v>
      </c>
      <c r="E32" s="38" t="e">
        <f t="shared" si="0"/>
        <v>#DIV/0!</v>
      </c>
    </row>
    <row r="33" spans="1:5">
      <c r="A33" s="30">
        <f>Kaikki!F33</f>
        <v>43862.625</v>
      </c>
      <c r="B33" s="37" t="str">
        <f>Kaikki!G33</f>
        <v/>
      </c>
      <c r="C33">
        <f>Kaikki!A33</f>
        <v>0</v>
      </c>
      <c r="D33">
        <f>HUS!A33</f>
        <v>0</v>
      </c>
      <c r="E33" s="38" t="e">
        <f t="shared" si="0"/>
        <v>#DIV/0!</v>
      </c>
    </row>
    <row r="34" spans="1:5">
      <c r="A34" s="30">
        <f>Kaikki!F34</f>
        <v>43863.625</v>
      </c>
      <c r="B34" s="37" t="str">
        <f>Kaikki!G34</f>
        <v/>
      </c>
      <c r="C34">
        <f>Kaikki!A34</f>
        <v>0</v>
      </c>
      <c r="D34">
        <f>HUS!A34</f>
        <v>0</v>
      </c>
      <c r="E34" s="38" t="e">
        <f t="shared" si="0"/>
        <v>#DIV/0!</v>
      </c>
    </row>
    <row r="35" spans="1:5">
      <c r="A35" s="30">
        <f>Kaikki!F35</f>
        <v>43864.625</v>
      </c>
      <c r="B35" s="37" t="str">
        <f>Kaikki!G35</f>
        <v>2020-W06</v>
      </c>
      <c r="C35">
        <f>Kaikki!A35</f>
        <v>0</v>
      </c>
      <c r="D35">
        <f>HUS!A35</f>
        <v>0</v>
      </c>
      <c r="E35" s="38" t="e">
        <f t="shared" si="0"/>
        <v>#DIV/0!</v>
      </c>
    </row>
    <row r="36" spans="1:5">
      <c r="A36" s="30">
        <f>Kaikki!F36</f>
        <v>43865.625</v>
      </c>
      <c r="B36" s="37" t="str">
        <f>Kaikki!G36</f>
        <v/>
      </c>
      <c r="C36">
        <f>Kaikki!A36</f>
        <v>0</v>
      </c>
      <c r="D36">
        <f>HUS!A36</f>
        <v>0</v>
      </c>
      <c r="E36" s="38" t="e">
        <f t="shared" si="0"/>
        <v>#DIV/0!</v>
      </c>
    </row>
    <row r="37" spans="1:5">
      <c r="A37" s="30">
        <f>Kaikki!F37</f>
        <v>43866.625</v>
      </c>
      <c r="B37" s="37" t="str">
        <f>Kaikki!G37</f>
        <v/>
      </c>
      <c r="C37">
        <f>Kaikki!A37</f>
        <v>0</v>
      </c>
      <c r="D37">
        <f>HUS!A37</f>
        <v>0</v>
      </c>
      <c r="E37" s="38" t="e">
        <f t="shared" si="0"/>
        <v>#DIV/0!</v>
      </c>
    </row>
    <row r="38" spans="1:5">
      <c r="A38" s="30">
        <f>Kaikki!F38</f>
        <v>43867.625</v>
      </c>
      <c r="B38" s="37" t="str">
        <f>Kaikki!G38</f>
        <v/>
      </c>
      <c r="C38">
        <f>Kaikki!A38</f>
        <v>0</v>
      </c>
      <c r="D38">
        <f>HUS!A38</f>
        <v>0</v>
      </c>
      <c r="E38" s="38" t="e">
        <f t="shared" si="0"/>
        <v>#DIV/0!</v>
      </c>
    </row>
    <row r="39" spans="1:5">
      <c r="A39" s="30">
        <f>Kaikki!F39</f>
        <v>43868.625</v>
      </c>
      <c r="B39" s="37" t="str">
        <f>Kaikki!G39</f>
        <v/>
      </c>
      <c r="C39">
        <f>Kaikki!A39</f>
        <v>0</v>
      </c>
      <c r="D39">
        <f>HUS!A39</f>
        <v>0</v>
      </c>
      <c r="E39" s="38" t="e">
        <f t="shared" si="0"/>
        <v>#DIV/0!</v>
      </c>
    </row>
    <row r="40" spans="1:5">
      <c r="A40" s="30">
        <f>Kaikki!F40</f>
        <v>43869.625</v>
      </c>
      <c r="B40" s="37" t="str">
        <f>Kaikki!G40</f>
        <v/>
      </c>
      <c r="C40">
        <f>Kaikki!A40</f>
        <v>0</v>
      </c>
      <c r="D40">
        <f>HUS!A40</f>
        <v>0</v>
      </c>
      <c r="E40" s="38" t="e">
        <f t="shared" si="0"/>
        <v>#DIV/0!</v>
      </c>
    </row>
    <row r="41" spans="1:5">
      <c r="A41" s="30">
        <f>Kaikki!F41</f>
        <v>43870.625</v>
      </c>
      <c r="B41" s="37" t="str">
        <f>Kaikki!G41</f>
        <v/>
      </c>
      <c r="C41">
        <f>Kaikki!A41</f>
        <v>0</v>
      </c>
      <c r="D41">
        <f>HUS!A41</f>
        <v>0</v>
      </c>
      <c r="E41" s="38" t="e">
        <f t="shared" si="0"/>
        <v>#DIV/0!</v>
      </c>
    </row>
    <row r="42" spans="1:5">
      <c r="A42" s="30">
        <f>Kaikki!F42</f>
        <v>43871.625</v>
      </c>
      <c r="B42" s="37" t="str">
        <f>Kaikki!G42</f>
        <v>2020-W07</v>
      </c>
      <c r="C42">
        <f>Kaikki!A42</f>
        <v>1</v>
      </c>
      <c r="D42">
        <f>HUS!A42</f>
        <v>1</v>
      </c>
      <c r="E42" s="38">
        <f t="shared" si="0"/>
        <v>1</v>
      </c>
    </row>
    <row r="43" spans="1:5">
      <c r="A43" s="30">
        <f>Kaikki!F43</f>
        <v>43872.625</v>
      </c>
      <c r="B43" s="37" t="str">
        <f>Kaikki!G43</f>
        <v/>
      </c>
      <c r="C43">
        <f>Kaikki!A43</f>
        <v>0</v>
      </c>
      <c r="D43">
        <f>HUS!A43</f>
        <v>0</v>
      </c>
      <c r="E43" s="38" t="e">
        <f t="shared" si="0"/>
        <v>#DIV/0!</v>
      </c>
    </row>
    <row r="44" spans="1:5">
      <c r="A44" s="30">
        <f>Kaikki!F44</f>
        <v>43873.625</v>
      </c>
      <c r="B44" s="37" t="str">
        <f>Kaikki!G44</f>
        <v/>
      </c>
      <c r="C44">
        <f>Kaikki!A44</f>
        <v>0</v>
      </c>
      <c r="D44">
        <f>HUS!A44</f>
        <v>0</v>
      </c>
      <c r="E44" s="38" t="e">
        <f t="shared" si="0"/>
        <v>#DIV/0!</v>
      </c>
    </row>
    <row r="45" spans="1:5">
      <c r="A45" s="30">
        <f>Kaikki!F45</f>
        <v>43874.625</v>
      </c>
      <c r="B45" s="37" t="str">
        <f>Kaikki!G45</f>
        <v/>
      </c>
      <c r="C45">
        <f>Kaikki!A45</f>
        <v>0</v>
      </c>
      <c r="D45">
        <f>HUS!A45</f>
        <v>0</v>
      </c>
      <c r="E45" s="38" t="e">
        <f t="shared" si="0"/>
        <v>#DIV/0!</v>
      </c>
    </row>
    <row r="46" spans="1:5">
      <c r="A46" s="30">
        <f>Kaikki!F46</f>
        <v>43875.625</v>
      </c>
      <c r="B46" s="37" t="str">
        <f>Kaikki!G46</f>
        <v/>
      </c>
      <c r="C46">
        <f>Kaikki!A46</f>
        <v>0</v>
      </c>
      <c r="D46">
        <f>HUS!A46</f>
        <v>0</v>
      </c>
      <c r="E46" s="38" t="e">
        <f t="shared" si="0"/>
        <v>#DIV/0!</v>
      </c>
    </row>
    <row r="47" spans="1:5">
      <c r="A47" s="30">
        <f>Kaikki!F47</f>
        <v>43876.625</v>
      </c>
      <c r="B47" s="37" t="str">
        <f>Kaikki!G47</f>
        <v/>
      </c>
      <c r="C47">
        <f>Kaikki!A47</f>
        <v>0</v>
      </c>
      <c r="D47">
        <f>HUS!A47</f>
        <v>0</v>
      </c>
      <c r="E47" s="38" t="e">
        <f t="shared" si="0"/>
        <v>#DIV/0!</v>
      </c>
    </row>
    <row r="48" spans="1:5">
      <c r="A48" s="30">
        <f>Kaikki!F48</f>
        <v>43877.625</v>
      </c>
      <c r="B48" s="37" t="str">
        <f>Kaikki!G48</f>
        <v/>
      </c>
      <c r="C48">
        <f>Kaikki!A48</f>
        <v>0</v>
      </c>
      <c r="D48">
        <f>HUS!A48</f>
        <v>0</v>
      </c>
      <c r="E48" s="38" t="e">
        <f t="shared" si="0"/>
        <v>#DIV/0!</v>
      </c>
    </row>
    <row r="49" spans="1:5">
      <c r="A49" s="30">
        <f>Kaikki!F49</f>
        <v>43878.625</v>
      </c>
      <c r="B49" s="37" t="str">
        <f>Kaikki!G49</f>
        <v>2020-W08</v>
      </c>
      <c r="C49">
        <f>Kaikki!A49</f>
        <v>0</v>
      </c>
      <c r="D49">
        <f>HUS!A49</f>
        <v>0</v>
      </c>
      <c r="E49" s="38" t="e">
        <f t="shared" si="0"/>
        <v>#DIV/0!</v>
      </c>
    </row>
    <row r="50" spans="1:5">
      <c r="A50" s="30">
        <f>Kaikki!F50</f>
        <v>43879.625</v>
      </c>
      <c r="B50" s="37" t="str">
        <f>Kaikki!G50</f>
        <v/>
      </c>
      <c r="C50">
        <f>Kaikki!A50</f>
        <v>0</v>
      </c>
      <c r="D50">
        <f>HUS!A50</f>
        <v>0</v>
      </c>
      <c r="E50" s="38" t="e">
        <f t="shared" si="0"/>
        <v>#DIV/0!</v>
      </c>
    </row>
    <row r="51" spans="1:5">
      <c r="A51" s="30">
        <f>Kaikki!F51</f>
        <v>43880.625</v>
      </c>
      <c r="B51" s="37" t="str">
        <f>Kaikki!G51</f>
        <v/>
      </c>
      <c r="C51">
        <f>Kaikki!A51</f>
        <v>0</v>
      </c>
      <c r="D51">
        <f>HUS!A51</f>
        <v>0</v>
      </c>
      <c r="E51" s="38" t="e">
        <f t="shared" si="0"/>
        <v>#DIV/0!</v>
      </c>
    </row>
    <row r="52" spans="1:5">
      <c r="A52" s="30">
        <f>Kaikki!F52</f>
        <v>43881.625</v>
      </c>
      <c r="B52" s="37" t="str">
        <f>Kaikki!G52</f>
        <v/>
      </c>
      <c r="C52">
        <f>Kaikki!A52</f>
        <v>0</v>
      </c>
      <c r="D52">
        <f>HUS!A52</f>
        <v>0</v>
      </c>
      <c r="E52" s="38" t="e">
        <f t="shared" si="0"/>
        <v>#DIV/0!</v>
      </c>
    </row>
    <row r="53" spans="1:5">
      <c r="A53" s="30">
        <f>Kaikki!F53</f>
        <v>43882.625</v>
      </c>
      <c r="B53" s="37" t="str">
        <f>Kaikki!G53</f>
        <v/>
      </c>
      <c r="C53">
        <f>Kaikki!A53</f>
        <v>0</v>
      </c>
      <c r="D53">
        <f>HUS!A53</f>
        <v>0</v>
      </c>
      <c r="E53" s="38" t="e">
        <f t="shared" si="0"/>
        <v>#DIV/0!</v>
      </c>
    </row>
    <row r="54" spans="1:5">
      <c r="A54" s="30">
        <f>Kaikki!F54</f>
        <v>43883.625</v>
      </c>
      <c r="B54" s="37" t="str">
        <f>Kaikki!G54</f>
        <v/>
      </c>
      <c r="C54">
        <f>Kaikki!A54</f>
        <v>1</v>
      </c>
      <c r="D54">
        <f>HUS!A54</f>
        <v>1</v>
      </c>
      <c r="E54" s="38">
        <f t="shared" si="0"/>
        <v>1</v>
      </c>
    </row>
    <row r="55" spans="1:5">
      <c r="A55" s="30">
        <f>Kaikki!F55</f>
        <v>43884.625</v>
      </c>
      <c r="B55" s="37" t="str">
        <f>Kaikki!G55</f>
        <v/>
      </c>
      <c r="C55">
        <f>Kaikki!A55</f>
        <v>0</v>
      </c>
      <c r="D55">
        <f>HUS!A55</f>
        <v>0</v>
      </c>
      <c r="E55" s="38" t="e">
        <f t="shared" si="0"/>
        <v>#DIV/0!</v>
      </c>
    </row>
    <row r="56" spans="1:5">
      <c r="A56" s="30">
        <f>Kaikki!F56</f>
        <v>43885.625</v>
      </c>
      <c r="B56" s="37" t="str">
        <f>Kaikki!G56</f>
        <v>2020-W09</v>
      </c>
      <c r="C56">
        <f>Kaikki!A56</f>
        <v>0</v>
      </c>
      <c r="D56">
        <f>HUS!A56</f>
        <v>0</v>
      </c>
      <c r="E56" s="38" t="e">
        <f t="shared" si="0"/>
        <v>#DIV/0!</v>
      </c>
    </row>
    <row r="57" spans="1:5">
      <c r="A57" s="30">
        <f>Kaikki!F57</f>
        <v>43886.625</v>
      </c>
      <c r="B57" s="37" t="str">
        <f>Kaikki!G57</f>
        <v/>
      </c>
      <c r="C57">
        <f>Kaikki!A57</f>
        <v>1</v>
      </c>
      <c r="D57">
        <f>HUS!A57</f>
        <v>0</v>
      </c>
      <c r="E57" s="38">
        <f t="shared" si="0"/>
        <v>0</v>
      </c>
    </row>
    <row r="58" spans="1:5">
      <c r="A58" s="30">
        <f>Kaikki!F58</f>
        <v>43887.625</v>
      </c>
      <c r="B58" s="37" t="str">
        <f>Kaikki!G58</f>
        <v/>
      </c>
      <c r="C58">
        <f>Kaikki!A58</f>
        <v>0</v>
      </c>
      <c r="D58">
        <f>HUS!A58</f>
        <v>0</v>
      </c>
      <c r="E58" s="38" t="e">
        <f t="shared" si="0"/>
        <v>#DIV/0!</v>
      </c>
    </row>
    <row r="59" spans="1:5">
      <c r="A59" s="30">
        <f>Kaikki!F59</f>
        <v>43888.625</v>
      </c>
      <c r="B59" s="37" t="str">
        <f>Kaikki!G59</f>
        <v/>
      </c>
      <c r="C59">
        <f>Kaikki!A59</f>
        <v>1</v>
      </c>
      <c r="D59">
        <f>HUS!A59</f>
        <v>1</v>
      </c>
      <c r="E59" s="38">
        <f t="shared" si="0"/>
        <v>1</v>
      </c>
    </row>
    <row r="60" spans="1:5">
      <c r="A60" s="30">
        <f>Kaikki!F60</f>
        <v>43889.625</v>
      </c>
      <c r="B60" s="37" t="str">
        <f>Kaikki!G60</f>
        <v/>
      </c>
      <c r="C60">
        <f>Kaikki!A60</f>
        <v>3</v>
      </c>
      <c r="D60">
        <f>HUS!A60</f>
        <v>3</v>
      </c>
      <c r="E60" s="38">
        <f t="shared" si="0"/>
        <v>1</v>
      </c>
    </row>
    <row r="61" spans="1:5">
      <c r="A61" s="30">
        <f>Kaikki!F61</f>
        <v>43890.625</v>
      </c>
      <c r="B61" s="37" t="str">
        <f>Kaikki!G61</f>
        <v/>
      </c>
      <c r="C61">
        <f>Kaikki!A61</f>
        <v>1</v>
      </c>
      <c r="D61">
        <f>HUS!A61</f>
        <v>1</v>
      </c>
      <c r="E61" s="38">
        <f t="shared" si="0"/>
        <v>1</v>
      </c>
    </row>
    <row r="62" spans="1:5">
      <c r="A62" s="30">
        <f>Kaikki!F62</f>
        <v>43891.625</v>
      </c>
      <c r="B62" s="37" t="str">
        <f>Kaikki!G62</f>
        <v/>
      </c>
      <c r="C62">
        <f>Kaikki!A62</f>
        <v>1</v>
      </c>
      <c r="D62">
        <f>HUS!A62</f>
        <v>1</v>
      </c>
      <c r="E62" s="38">
        <f t="shared" si="0"/>
        <v>1</v>
      </c>
    </row>
    <row r="63" spans="1:5">
      <c r="A63" s="30">
        <f>Kaikki!F63</f>
        <v>43892.625</v>
      </c>
      <c r="B63" s="37" t="str">
        <f>Kaikki!G63</f>
        <v>2020-W10</v>
      </c>
      <c r="C63">
        <f>Kaikki!A63</f>
        <v>0</v>
      </c>
      <c r="D63">
        <f>HUS!A63</f>
        <v>0</v>
      </c>
      <c r="E63" s="38" t="e">
        <f t="shared" si="0"/>
        <v>#DIV/0!</v>
      </c>
    </row>
    <row r="64" spans="1:5">
      <c r="A64" s="30">
        <f>Kaikki!F64</f>
        <v>43893.625</v>
      </c>
      <c r="B64" s="37" t="str">
        <f>Kaikki!G64</f>
        <v/>
      </c>
      <c r="C64">
        <f>Kaikki!A64</f>
        <v>4</v>
      </c>
      <c r="D64">
        <f>HUS!A64</f>
        <v>3</v>
      </c>
      <c r="E64" s="38">
        <f t="shared" si="0"/>
        <v>0.75</v>
      </c>
    </row>
    <row r="65" spans="1:5">
      <c r="A65" s="30">
        <f>Kaikki!F65</f>
        <v>43894.625</v>
      </c>
      <c r="B65" s="37" t="str">
        <f>Kaikki!G65</f>
        <v/>
      </c>
      <c r="C65">
        <f>Kaikki!A65</f>
        <v>6</v>
      </c>
      <c r="D65">
        <f>HUS!A65</f>
        <v>2</v>
      </c>
      <c r="E65" s="38">
        <f t="shared" si="0"/>
        <v>0.33333333333333331</v>
      </c>
    </row>
    <row r="66" spans="1:5">
      <c r="A66" s="30">
        <f>Kaikki!F66</f>
        <v>43895.625</v>
      </c>
      <c r="B66" s="37" t="str">
        <f>Kaikki!G66</f>
        <v/>
      </c>
      <c r="C66">
        <f>Kaikki!A66</f>
        <v>1</v>
      </c>
      <c r="D66">
        <f>HUS!A66</f>
        <v>1</v>
      </c>
      <c r="E66" s="38">
        <f t="shared" si="0"/>
        <v>1</v>
      </c>
    </row>
    <row r="67" spans="1:5">
      <c r="A67" s="30">
        <f>Kaikki!F67</f>
        <v>43896.625</v>
      </c>
      <c r="B67" s="37" t="str">
        <f>Kaikki!G67</f>
        <v/>
      </c>
      <c r="C67">
        <f>Kaikki!A67</f>
        <v>7</v>
      </c>
      <c r="D67">
        <f>HUS!A67</f>
        <v>4</v>
      </c>
      <c r="E67" s="38">
        <f t="shared" ref="E67:E130" si="1">D67/C67</f>
        <v>0.5714285714285714</v>
      </c>
    </row>
    <row r="68" spans="1:5">
      <c r="A68" s="30">
        <f>Kaikki!F68</f>
        <v>43897.625</v>
      </c>
      <c r="B68" s="37" t="str">
        <f>Kaikki!G68</f>
        <v/>
      </c>
      <c r="C68">
        <f>Kaikki!A68</f>
        <v>7</v>
      </c>
      <c r="D68">
        <f>HUS!A68</f>
        <v>4</v>
      </c>
      <c r="E68" s="38">
        <f t="shared" si="1"/>
        <v>0.5714285714285714</v>
      </c>
    </row>
    <row r="69" spans="1:5">
      <c r="A69" s="30">
        <f>Kaikki!F69</f>
        <v>43898.625</v>
      </c>
      <c r="B69" s="37" t="str">
        <f>Kaikki!G69</f>
        <v/>
      </c>
      <c r="C69">
        <f>Kaikki!A69</f>
        <v>9</v>
      </c>
      <c r="D69">
        <f>HUS!A69</f>
        <v>2</v>
      </c>
      <c r="E69" s="38">
        <f t="shared" si="1"/>
        <v>0.22222222222222221</v>
      </c>
    </row>
    <row r="70" spans="1:5">
      <c r="A70" s="30">
        <f>Kaikki!F70</f>
        <v>43899.625</v>
      </c>
      <c r="B70" s="37" t="str">
        <f>Kaikki!G70</f>
        <v>2020-W11</v>
      </c>
      <c r="C70">
        <f>Kaikki!A70</f>
        <v>17</v>
      </c>
      <c r="D70">
        <f>HUS!A70</f>
        <v>10</v>
      </c>
      <c r="E70" s="38">
        <f t="shared" si="1"/>
        <v>0.58823529411764708</v>
      </c>
    </row>
    <row r="71" spans="1:5">
      <c r="A71" s="30">
        <f>Kaikki!F71</f>
        <v>43900.625</v>
      </c>
      <c r="B71" s="37" t="str">
        <f>Kaikki!G71</f>
        <v/>
      </c>
      <c r="C71">
        <f>Kaikki!A71</f>
        <v>54</v>
      </c>
      <c r="D71">
        <f>HUS!A71</f>
        <v>25</v>
      </c>
      <c r="E71" s="38">
        <f t="shared" si="1"/>
        <v>0.46296296296296297</v>
      </c>
    </row>
    <row r="72" spans="1:5">
      <c r="A72" s="30">
        <f>Kaikki!F72</f>
        <v>43901.625</v>
      </c>
      <c r="B72" s="37" t="str">
        <f>Kaikki!G72</f>
        <v/>
      </c>
      <c r="C72">
        <f>Kaikki!A72</f>
        <v>76</v>
      </c>
      <c r="D72">
        <f>HUS!A72</f>
        <v>44</v>
      </c>
      <c r="E72" s="38">
        <f t="shared" si="1"/>
        <v>0.57894736842105265</v>
      </c>
    </row>
    <row r="73" spans="1:5">
      <c r="A73" s="30">
        <f>Kaikki!F73</f>
        <v>43902.625</v>
      </c>
      <c r="B73" s="37" t="str">
        <f>Kaikki!G73</f>
        <v/>
      </c>
      <c r="C73">
        <f>Kaikki!A73</f>
        <v>60</v>
      </c>
      <c r="D73">
        <f>HUS!A73</f>
        <v>35</v>
      </c>
      <c r="E73" s="38">
        <f t="shared" si="1"/>
        <v>0.58333333333333337</v>
      </c>
    </row>
    <row r="74" spans="1:5">
      <c r="A74" s="30">
        <f>Kaikki!F74</f>
        <v>43903.625</v>
      </c>
      <c r="B74" s="37" t="str">
        <f>Kaikki!G74</f>
        <v/>
      </c>
      <c r="C74">
        <f>Kaikki!A74</f>
        <v>28</v>
      </c>
      <c r="D74">
        <f>HUS!A74</f>
        <v>19</v>
      </c>
      <c r="E74" s="38">
        <f t="shared" si="1"/>
        <v>0.6785714285714286</v>
      </c>
    </row>
    <row r="75" spans="1:5">
      <c r="A75" s="30">
        <f>Kaikki!F75</f>
        <v>43904.625</v>
      </c>
      <c r="B75" s="37" t="str">
        <f>Kaikki!G75</f>
        <v/>
      </c>
      <c r="C75">
        <f>Kaikki!A75</f>
        <v>29</v>
      </c>
      <c r="D75">
        <f>HUS!A75</f>
        <v>15</v>
      </c>
      <c r="E75" s="38">
        <f t="shared" si="1"/>
        <v>0.51724137931034486</v>
      </c>
    </row>
    <row r="76" spans="1:5">
      <c r="A76" s="30">
        <f>Kaikki!F76</f>
        <v>43905.625</v>
      </c>
      <c r="B76" s="37" t="str">
        <f>Kaikki!G76</f>
        <v/>
      </c>
      <c r="C76">
        <f>Kaikki!A76</f>
        <v>53</v>
      </c>
      <c r="D76">
        <f>HUS!A76</f>
        <v>48</v>
      </c>
      <c r="E76" s="38">
        <f t="shared" si="1"/>
        <v>0.90566037735849059</v>
      </c>
    </row>
    <row r="77" spans="1:5">
      <c r="A77" s="30">
        <f>Kaikki!F77</f>
        <v>43906.625</v>
      </c>
      <c r="B77" s="37" t="str">
        <f>Kaikki!G77</f>
        <v>2020-W12</v>
      </c>
      <c r="C77">
        <f>Kaikki!A77</f>
        <v>52</v>
      </c>
      <c r="D77">
        <f>HUS!A77</f>
        <v>41</v>
      </c>
      <c r="E77" s="38">
        <f t="shared" si="1"/>
        <v>0.78846153846153844</v>
      </c>
    </row>
    <row r="78" spans="1:5">
      <c r="A78" s="30">
        <f>Kaikki!F78</f>
        <v>43907.625</v>
      </c>
      <c r="B78" s="37" t="str">
        <f>Kaikki!G78</f>
        <v/>
      </c>
      <c r="C78">
        <f>Kaikki!A78</f>
        <v>47</v>
      </c>
      <c r="D78">
        <f>HUS!A78</f>
        <v>31</v>
      </c>
      <c r="E78" s="38">
        <f t="shared" si="1"/>
        <v>0.65957446808510634</v>
      </c>
    </row>
    <row r="79" spans="1:5">
      <c r="A79" s="30">
        <f>Kaikki!F79</f>
        <v>43908.625</v>
      </c>
      <c r="B79" s="37" t="str">
        <f>Kaikki!G79</f>
        <v/>
      </c>
      <c r="C79">
        <f>Kaikki!A79</f>
        <v>90</v>
      </c>
      <c r="D79">
        <f>HUS!A79</f>
        <v>65</v>
      </c>
      <c r="E79" s="38">
        <f t="shared" si="1"/>
        <v>0.72222222222222221</v>
      </c>
    </row>
    <row r="80" spans="1:5">
      <c r="A80" s="30">
        <f>Kaikki!F80</f>
        <v>43909.625</v>
      </c>
      <c r="B80" s="37" t="str">
        <f>Kaikki!G80</f>
        <v/>
      </c>
      <c r="C80">
        <f>Kaikki!A80</f>
        <v>99</v>
      </c>
      <c r="D80">
        <f>HUS!A80</f>
        <v>74</v>
      </c>
      <c r="E80" s="38">
        <f t="shared" si="1"/>
        <v>0.74747474747474751</v>
      </c>
    </row>
    <row r="81" spans="1:5">
      <c r="A81" s="30">
        <f>Kaikki!F81</f>
        <v>43910.625</v>
      </c>
      <c r="B81" s="37" t="str">
        <f>Kaikki!G81</f>
        <v/>
      </c>
      <c r="C81">
        <f>Kaikki!A81</f>
        <v>87</v>
      </c>
      <c r="D81">
        <f>HUS!A81</f>
        <v>53</v>
      </c>
      <c r="E81" s="38">
        <f t="shared" si="1"/>
        <v>0.60919540229885061</v>
      </c>
    </row>
    <row r="82" spans="1:5">
      <c r="A82" s="30">
        <f>Kaikki!F82</f>
        <v>43911.625</v>
      </c>
      <c r="B82" s="37" t="str">
        <f>Kaikki!G82</f>
        <v/>
      </c>
      <c r="C82">
        <f>Kaikki!A82</f>
        <v>87</v>
      </c>
      <c r="D82">
        <f>HUS!A82</f>
        <v>67</v>
      </c>
      <c r="E82" s="38">
        <f t="shared" si="1"/>
        <v>0.77011494252873558</v>
      </c>
    </row>
    <row r="83" spans="1:5">
      <c r="A83" s="30">
        <f>Kaikki!F83</f>
        <v>43912.625</v>
      </c>
      <c r="B83" s="37" t="str">
        <f>Kaikki!G83</f>
        <v/>
      </c>
      <c r="C83">
        <f>Kaikki!A83</f>
        <v>78</v>
      </c>
      <c r="D83">
        <f>HUS!A83</f>
        <v>60</v>
      </c>
      <c r="E83" s="38">
        <f t="shared" si="1"/>
        <v>0.76923076923076927</v>
      </c>
    </row>
    <row r="84" spans="1:5">
      <c r="A84" s="30">
        <f>Kaikki!F84</f>
        <v>43913.625</v>
      </c>
      <c r="B84" s="37" t="str">
        <f>Kaikki!G84</f>
        <v>2020-W13</v>
      </c>
      <c r="C84">
        <f>Kaikki!A84</f>
        <v>84</v>
      </c>
      <c r="D84">
        <f>HUS!A84</f>
        <v>41</v>
      </c>
      <c r="E84" s="38">
        <f t="shared" si="1"/>
        <v>0.48809523809523808</v>
      </c>
    </row>
    <row r="85" spans="1:5">
      <c r="A85" s="30">
        <f>Kaikki!F85</f>
        <v>43914.625</v>
      </c>
      <c r="B85" s="37" t="str">
        <f>Kaikki!G85</f>
        <v/>
      </c>
      <c r="C85">
        <f>Kaikki!A85</f>
        <v>99</v>
      </c>
      <c r="D85">
        <f>HUS!A85</f>
        <v>53</v>
      </c>
      <c r="E85" s="38">
        <f t="shared" si="1"/>
        <v>0.53535353535353536</v>
      </c>
    </row>
    <row r="86" spans="1:5">
      <c r="A86" s="30">
        <f>Kaikki!F86</f>
        <v>43915.625</v>
      </c>
      <c r="B86" s="37" t="str">
        <f>Kaikki!G86</f>
        <v/>
      </c>
      <c r="C86">
        <f>Kaikki!A86</f>
        <v>104</v>
      </c>
      <c r="D86">
        <f>HUS!A86</f>
        <v>53</v>
      </c>
      <c r="E86" s="38">
        <f t="shared" si="1"/>
        <v>0.50961538461538458</v>
      </c>
    </row>
    <row r="87" spans="1:5">
      <c r="A87" s="30">
        <f>Kaikki!F87</f>
        <v>43916.625</v>
      </c>
      <c r="B87" s="37" t="str">
        <f>Kaikki!G87</f>
        <v/>
      </c>
      <c r="C87">
        <f>Kaikki!A87</f>
        <v>113</v>
      </c>
      <c r="D87">
        <f>HUS!A87</f>
        <v>58</v>
      </c>
      <c r="E87" s="38">
        <f t="shared" si="1"/>
        <v>0.51327433628318586</v>
      </c>
    </row>
    <row r="88" spans="1:5">
      <c r="A88" s="30">
        <f>Kaikki!F88</f>
        <v>43917.625</v>
      </c>
      <c r="B88" s="37" t="str">
        <f>Kaikki!G88</f>
        <v/>
      </c>
      <c r="C88">
        <f>Kaikki!A88</f>
        <v>95</v>
      </c>
      <c r="D88">
        <f>HUS!A88</f>
        <v>49</v>
      </c>
      <c r="E88" s="38">
        <f t="shared" si="1"/>
        <v>0.51578947368421058</v>
      </c>
    </row>
    <row r="89" spans="1:5">
      <c r="A89" s="30">
        <f>Kaikki!F89</f>
        <v>43918.625</v>
      </c>
      <c r="B89" s="37" t="str">
        <f>Kaikki!G89</f>
        <v/>
      </c>
      <c r="C89">
        <f>Kaikki!A89</f>
        <v>77</v>
      </c>
      <c r="D89">
        <f>HUS!A89</f>
        <v>53</v>
      </c>
      <c r="E89" s="38">
        <f t="shared" si="1"/>
        <v>0.68831168831168832</v>
      </c>
    </row>
    <row r="90" spans="1:5">
      <c r="A90" s="30">
        <f>Kaikki!F90</f>
        <v>43919.625</v>
      </c>
      <c r="B90" s="37" t="str">
        <f>Kaikki!G90</f>
        <v/>
      </c>
      <c r="C90">
        <f>Kaikki!A90</f>
        <v>70</v>
      </c>
      <c r="D90">
        <f>HUS!A90</f>
        <v>47</v>
      </c>
      <c r="E90" s="38">
        <f t="shared" si="1"/>
        <v>0.67142857142857137</v>
      </c>
    </row>
    <row r="91" spans="1:5">
      <c r="A91" s="30">
        <f>Kaikki!F91</f>
        <v>43920.625</v>
      </c>
      <c r="B91" s="37" t="str">
        <f>Kaikki!G91</f>
        <v>2020-W14</v>
      </c>
      <c r="C91">
        <f>Kaikki!A91</f>
        <v>129</v>
      </c>
      <c r="D91">
        <f>HUS!A91</f>
        <v>61</v>
      </c>
      <c r="E91" s="38">
        <f t="shared" si="1"/>
        <v>0.47286821705426357</v>
      </c>
    </row>
    <row r="92" spans="1:5">
      <c r="A92" s="30">
        <f>Kaikki!F92</f>
        <v>43921.625</v>
      </c>
      <c r="B92" s="37" t="str">
        <f>Kaikki!G92</f>
        <v/>
      </c>
      <c r="C92">
        <f>Kaikki!A92</f>
        <v>125</v>
      </c>
      <c r="D92">
        <f>HUS!A92</f>
        <v>72</v>
      </c>
      <c r="E92" s="38">
        <f t="shared" si="1"/>
        <v>0.57599999999999996</v>
      </c>
    </row>
    <row r="93" spans="1:5">
      <c r="A93" s="30">
        <f>Kaikki!F93</f>
        <v>43922.625</v>
      </c>
      <c r="B93" s="37" t="str">
        <f>Kaikki!G93</f>
        <v/>
      </c>
      <c r="C93">
        <f>Kaikki!A93</f>
        <v>149</v>
      </c>
      <c r="D93">
        <f>HUS!A93</f>
        <v>99</v>
      </c>
      <c r="E93" s="38">
        <f t="shared" si="1"/>
        <v>0.66442953020134232</v>
      </c>
    </row>
    <row r="94" spans="1:5">
      <c r="A94" s="30">
        <f>Kaikki!F94</f>
        <v>43923.625</v>
      </c>
      <c r="B94" s="37" t="str">
        <f>Kaikki!G94</f>
        <v/>
      </c>
      <c r="C94">
        <f>Kaikki!A94</f>
        <v>161</v>
      </c>
      <c r="D94">
        <f>HUS!A94</f>
        <v>104</v>
      </c>
      <c r="E94" s="38">
        <f t="shared" si="1"/>
        <v>0.64596273291925466</v>
      </c>
    </row>
    <row r="95" spans="1:5">
      <c r="A95" s="30">
        <f>Kaikki!F95</f>
        <v>43924.625</v>
      </c>
      <c r="B95" s="37" t="str">
        <f>Kaikki!G95</f>
        <v/>
      </c>
      <c r="C95">
        <f>Kaikki!A95</f>
        <v>199</v>
      </c>
      <c r="D95">
        <f>HUS!A95</f>
        <v>133</v>
      </c>
      <c r="E95" s="38">
        <f t="shared" si="1"/>
        <v>0.66834170854271358</v>
      </c>
    </row>
    <row r="96" spans="1:5">
      <c r="A96" s="30">
        <f>Kaikki!F96</f>
        <v>43925.625</v>
      </c>
      <c r="B96" s="37" t="str">
        <f>Kaikki!G96</f>
        <v/>
      </c>
      <c r="C96">
        <f>Kaikki!A96</f>
        <v>81</v>
      </c>
      <c r="D96">
        <f>HUS!A96</f>
        <v>57</v>
      </c>
      <c r="E96" s="38">
        <f t="shared" si="1"/>
        <v>0.70370370370370372</v>
      </c>
    </row>
    <row r="97" spans="1:5">
      <c r="A97" s="30">
        <f>Kaikki!F97</f>
        <v>43926.625</v>
      </c>
      <c r="B97" s="37" t="str">
        <f>Kaikki!G97</f>
        <v/>
      </c>
      <c r="C97">
        <f>Kaikki!A97</f>
        <v>122</v>
      </c>
      <c r="D97">
        <f>HUS!A97</f>
        <v>87</v>
      </c>
      <c r="E97" s="38">
        <f t="shared" si="1"/>
        <v>0.71311475409836067</v>
      </c>
    </row>
    <row r="98" spans="1:5">
      <c r="A98" s="30">
        <f>Kaikki!F98</f>
        <v>43927.625</v>
      </c>
      <c r="B98" s="37" t="str">
        <f>Kaikki!G98</f>
        <v>2020-W15</v>
      </c>
      <c r="C98">
        <f>Kaikki!A98</f>
        <v>209</v>
      </c>
      <c r="D98">
        <f>HUS!A98</f>
        <v>146</v>
      </c>
      <c r="E98" s="38">
        <f t="shared" si="1"/>
        <v>0.69856459330143539</v>
      </c>
    </row>
    <row r="99" spans="1:5">
      <c r="A99" s="30">
        <f>Kaikki!F99</f>
        <v>43928.625</v>
      </c>
      <c r="B99" s="37" t="str">
        <f>Kaikki!G99</f>
        <v/>
      </c>
      <c r="C99">
        <f>Kaikki!A99</f>
        <v>200</v>
      </c>
      <c r="D99">
        <f>HUS!A99</f>
        <v>129</v>
      </c>
      <c r="E99" s="38">
        <f t="shared" si="1"/>
        <v>0.64500000000000002</v>
      </c>
    </row>
    <row r="100" spans="1:5">
      <c r="A100" s="30">
        <f>Kaikki!F100</f>
        <v>43929.625</v>
      </c>
      <c r="B100" s="37" t="str">
        <f>Kaikki!G100</f>
        <v/>
      </c>
      <c r="C100">
        <f>Kaikki!A100</f>
        <v>138</v>
      </c>
      <c r="D100">
        <f>HUS!A100</f>
        <v>96</v>
      </c>
      <c r="E100" s="38">
        <f t="shared" si="1"/>
        <v>0.69565217391304346</v>
      </c>
    </row>
    <row r="101" spans="1:5">
      <c r="A101" s="30">
        <f>Kaikki!F101</f>
        <v>43930.625</v>
      </c>
      <c r="B101" s="37" t="str">
        <f>Kaikki!G101</f>
        <v/>
      </c>
      <c r="C101">
        <f>Kaikki!A101</f>
        <v>158</v>
      </c>
      <c r="D101">
        <f>HUS!A101</f>
        <v>104</v>
      </c>
      <c r="E101" s="38">
        <f t="shared" si="1"/>
        <v>0.65822784810126578</v>
      </c>
    </row>
    <row r="102" spans="1:5">
      <c r="A102" s="30">
        <f>Kaikki!F102</f>
        <v>43931.625</v>
      </c>
      <c r="B102" s="37" t="str">
        <f>Kaikki!G102</f>
        <v/>
      </c>
      <c r="C102">
        <f>Kaikki!A102</f>
        <v>71</v>
      </c>
      <c r="D102">
        <f>HUS!A102</f>
        <v>58</v>
      </c>
      <c r="E102" s="38">
        <f t="shared" si="1"/>
        <v>0.81690140845070425</v>
      </c>
    </row>
    <row r="103" spans="1:5">
      <c r="A103" s="30">
        <f>Kaikki!F103</f>
        <v>43932.625</v>
      </c>
      <c r="B103" s="37" t="str">
        <f>Kaikki!G103</f>
        <v/>
      </c>
      <c r="C103">
        <f>Kaikki!A103</f>
        <v>75</v>
      </c>
      <c r="D103">
        <f>HUS!A103</f>
        <v>43</v>
      </c>
      <c r="E103" s="38">
        <f t="shared" si="1"/>
        <v>0.57333333333333336</v>
      </c>
    </row>
    <row r="104" spans="1:5">
      <c r="A104" s="30">
        <f>Kaikki!F104</f>
        <v>43933.625</v>
      </c>
      <c r="B104" s="37" t="str">
        <f>Kaikki!G104</f>
        <v/>
      </c>
      <c r="C104">
        <f>Kaikki!A104</f>
        <v>80</v>
      </c>
      <c r="D104">
        <f>HUS!A104</f>
        <v>58</v>
      </c>
      <c r="E104" s="38">
        <f t="shared" si="1"/>
        <v>0.72499999999999998</v>
      </c>
    </row>
    <row r="105" spans="1:5">
      <c r="A105" s="30">
        <f>Kaikki!F105</f>
        <v>43934.625</v>
      </c>
      <c r="B105" s="37" t="str">
        <f>Kaikki!G105</f>
        <v>2020-W16</v>
      </c>
      <c r="C105">
        <f>Kaikki!A105</f>
        <v>117</v>
      </c>
      <c r="D105">
        <f>HUS!A105</f>
        <v>93</v>
      </c>
      <c r="E105" s="38">
        <f t="shared" si="1"/>
        <v>0.79487179487179482</v>
      </c>
    </row>
    <row r="106" spans="1:5">
      <c r="A106" s="30">
        <f>Kaikki!F106</f>
        <v>43935.625</v>
      </c>
      <c r="B106" s="37" t="str">
        <f>Kaikki!G106</f>
        <v/>
      </c>
      <c r="C106">
        <f>Kaikki!A106</f>
        <v>175</v>
      </c>
      <c r="D106">
        <f>HUS!A106</f>
        <v>126</v>
      </c>
      <c r="E106" s="38">
        <f t="shared" si="1"/>
        <v>0.72</v>
      </c>
    </row>
    <row r="107" spans="1:5">
      <c r="A107" s="30">
        <f>Kaikki!F107</f>
        <v>43936.625</v>
      </c>
      <c r="B107" s="37" t="str">
        <f>Kaikki!G107</f>
        <v/>
      </c>
      <c r="C107">
        <f>Kaikki!A107</f>
        <v>130</v>
      </c>
      <c r="D107">
        <f>HUS!A107</f>
        <v>103</v>
      </c>
      <c r="E107" s="38">
        <f t="shared" si="1"/>
        <v>0.79230769230769227</v>
      </c>
    </row>
    <row r="108" spans="1:5">
      <c r="A108" s="30">
        <f>Kaikki!F108</f>
        <v>43937.625</v>
      </c>
      <c r="B108" s="37" t="str">
        <f>Kaikki!G108</f>
        <v/>
      </c>
      <c r="C108">
        <f>Kaikki!A108</f>
        <v>120</v>
      </c>
      <c r="D108">
        <f>HUS!A108</f>
        <v>90</v>
      </c>
      <c r="E108" s="38">
        <f t="shared" si="1"/>
        <v>0.75</v>
      </c>
    </row>
    <row r="109" spans="1:5">
      <c r="A109" s="30">
        <f>Kaikki!F109</f>
        <v>43938.625</v>
      </c>
      <c r="B109" s="37" t="str">
        <f>Kaikki!G109</f>
        <v/>
      </c>
      <c r="C109">
        <f>Kaikki!A109</f>
        <v>125</v>
      </c>
      <c r="D109">
        <f>HUS!A109</f>
        <v>97</v>
      </c>
      <c r="E109" s="38">
        <f t="shared" si="1"/>
        <v>0.77600000000000002</v>
      </c>
    </row>
    <row r="110" spans="1:5">
      <c r="A110" s="30">
        <f>Kaikki!F110</f>
        <v>43939.625</v>
      </c>
      <c r="B110" s="37" t="str">
        <f>Kaikki!G110</f>
        <v/>
      </c>
      <c r="C110">
        <f>Kaikki!A110</f>
        <v>56</v>
      </c>
      <c r="D110">
        <f>HUS!A110</f>
        <v>51</v>
      </c>
      <c r="E110" s="38">
        <f t="shared" si="1"/>
        <v>0.9107142857142857</v>
      </c>
    </row>
    <row r="111" spans="1:5">
      <c r="A111" s="30">
        <f>Kaikki!F111</f>
        <v>43940.625</v>
      </c>
      <c r="B111" s="37" t="str">
        <f>Kaikki!G111</f>
        <v/>
      </c>
      <c r="C111">
        <f>Kaikki!A111</f>
        <v>67</v>
      </c>
      <c r="D111">
        <f>HUS!A111</f>
        <v>53</v>
      </c>
      <c r="E111" s="38">
        <f t="shared" si="1"/>
        <v>0.79104477611940294</v>
      </c>
    </row>
    <row r="112" spans="1:5">
      <c r="A112" s="30">
        <f>Kaikki!F112</f>
        <v>43941.625</v>
      </c>
      <c r="B112" s="37" t="str">
        <f>Kaikki!G112</f>
        <v>2020-W17</v>
      </c>
      <c r="C112">
        <f>Kaikki!A112</f>
        <v>143</v>
      </c>
      <c r="D112">
        <f>HUS!A112</f>
        <v>115</v>
      </c>
      <c r="E112" s="38">
        <f t="shared" si="1"/>
        <v>0.80419580419580416</v>
      </c>
    </row>
    <row r="113" spans="1:5">
      <c r="A113" s="30">
        <f>Kaikki!F113</f>
        <v>43942.625</v>
      </c>
      <c r="B113" s="37" t="str">
        <f>Kaikki!G113</f>
        <v/>
      </c>
      <c r="C113">
        <f>Kaikki!A113</f>
        <v>112</v>
      </c>
      <c r="D113">
        <f>HUS!A113</f>
        <v>93</v>
      </c>
      <c r="E113" s="38">
        <f t="shared" si="1"/>
        <v>0.8303571428571429</v>
      </c>
    </row>
    <row r="114" spans="1:5">
      <c r="A114" s="30">
        <f>Kaikki!F114</f>
        <v>43943.625</v>
      </c>
      <c r="B114" s="37" t="str">
        <f>Kaikki!G114</f>
        <v/>
      </c>
      <c r="C114">
        <f>Kaikki!A114</f>
        <v>124</v>
      </c>
      <c r="D114">
        <f>HUS!A114</f>
        <v>104</v>
      </c>
      <c r="E114" s="38">
        <f t="shared" si="1"/>
        <v>0.83870967741935487</v>
      </c>
    </row>
    <row r="115" spans="1:5">
      <c r="A115" s="30">
        <f>Kaikki!F115</f>
        <v>43944.625</v>
      </c>
      <c r="B115" s="37" t="str">
        <f>Kaikki!G115</f>
        <v/>
      </c>
      <c r="C115">
        <f>Kaikki!A115</f>
        <v>116</v>
      </c>
      <c r="D115">
        <f>HUS!A115</f>
        <v>100</v>
      </c>
      <c r="E115" s="38">
        <f t="shared" si="1"/>
        <v>0.86206896551724133</v>
      </c>
    </row>
    <row r="116" spans="1:5">
      <c r="A116" s="30">
        <f>Kaikki!F116</f>
        <v>43945.625</v>
      </c>
      <c r="B116" s="37" t="str">
        <f>Kaikki!G116</f>
        <v/>
      </c>
      <c r="C116">
        <f>Kaikki!A116</f>
        <v>92</v>
      </c>
      <c r="D116">
        <f>HUS!A116</f>
        <v>71</v>
      </c>
      <c r="E116" s="38">
        <f t="shared" si="1"/>
        <v>0.77173913043478259</v>
      </c>
    </row>
    <row r="117" spans="1:5">
      <c r="A117" s="30">
        <f>Kaikki!F117</f>
        <v>43946.625</v>
      </c>
      <c r="B117" s="37" t="str">
        <f>Kaikki!G117</f>
        <v/>
      </c>
      <c r="C117">
        <f>Kaikki!A117</f>
        <v>76</v>
      </c>
      <c r="D117">
        <f>HUS!A117</f>
        <v>71</v>
      </c>
      <c r="E117" s="38">
        <f t="shared" si="1"/>
        <v>0.93421052631578949</v>
      </c>
    </row>
    <row r="118" spans="1:5">
      <c r="A118" s="30">
        <f>Kaikki!F118</f>
        <v>43947.625</v>
      </c>
      <c r="B118" s="37" t="str">
        <f>Kaikki!G118</f>
        <v/>
      </c>
      <c r="C118">
        <f>Kaikki!A118</f>
        <v>73</v>
      </c>
      <c r="D118">
        <f>HUS!A118</f>
        <v>57</v>
      </c>
      <c r="E118" s="38">
        <f t="shared" si="1"/>
        <v>0.78082191780821919</v>
      </c>
    </row>
    <row r="119" spans="1:5">
      <c r="A119" s="30">
        <f>Kaikki!F119</f>
        <v>43948.625</v>
      </c>
      <c r="B119" s="37" t="str">
        <f>Kaikki!G119</f>
        <v>2020-W18</v>
      </c>
      <c r="C119">
        <f>Kaikki!A119</f>
        <v>123</v>
      </c>
      <c r="D119">
        <f>HUS!A119</f>
        <v>98</v>
      </c>
      <c r="E119" s="38">
        <f t="shared" si="1"/>
        <v>0.7967479674796748</v>
      </c>
    </row>
    <row r="120" spans="1:5">
      <c r="A120" s="30">
        <f>Kaikki!F120</f>
        <v>43949.625</v>
      </c>
      <c r="B120" s="37" t="str">
        <f>Kaikki!G120</f>
        <v/>
      </c>
      <c r="C120">
        <f>Kaikki!A120</f>
        <v>139</v>
      </c>
      <c r="D120">
        <f>HUS!A120</f>
        <v>121</v>
      </c>
      <c r="E120" s="38">
        <f t="shared" si="1"/>
        <v>0.87050359712230219</v>
      </c>
    </row>
    <row r="121" spans="1:5">
      <c r="A121" s="30">
        <f>Kaikki!F121</f>
        <v>43950.625</v>
      </c>
      <c r="B121" s="37" t="str">
        <f>Kaikki!G121</f>
        <v/>
      </c>
      <c r="C121">
        <f>Kaikki!A121</f>
        <v>108</v>
      </c>
      <c r="D121">
        <f>HUS!A121</f>
        <v>97</v>
      </c>
      <c r="E121" s="38">
        <f t="shared" si="1"/>
        <v>0.89814814814814814</v>
      </c>
    </row>
    <row r="122" spans="1:5">
      <c r="A122" s="30">
        <f>Kaikki!F122</f>
        <v>43951.625</v>
      </c>
      <c r="B122" s="37" t="str">
        <f>Kaikki!G122</f>
        <v/>
      </c>
      <c r="C122">
        <f>Kaikki!A122</f>
        <v>86</v>
      </c>
      <c r="D122">
        <f>HUS!A122</f>
        <v>68</v>
      </c>
      <c r="E122" s="38">
        <f t="shared" si="1"/>
        <v>0.79069767441860461</v>
      </c>
    </row>
    <row r="123" spans="1:5">
      <c r="A123" s="30">
        <f>Kaikki!F123</f>
        <v>43952.625</v>
      </c>
      <c r="B123" s="37" t="str">
        <f>Kaikki!G123</f>
        <v/>
      </c>
      <c r="C123">
        <f>Kaikki!A123</f>
        <v>48</v>
      </c>
      <c r="D123">
        <f>HUS!A123</f>
        <v>39</v>
      </c>
      <c r="E123" s="38">
        <f t="shared" si="1"/>
        <v>0.8125</v>
      </c>
    </row>
    <row r="124" spans="1:5">
      <c r="A124" s="30">
        <f>Kaikki!F124</f>
        <v>43953.625</v>
      </c>
      <c r="B124" s="37" t="str">
        <f>Kaikki!G124</f>
        <v/>
      </c>
      <c r="C124">
        <f>Kaikki!A124</f>
        <v>58</v>
      </c>
      <c r="D124">
        <f>HUS!A124</f>
        <v>50</v>
      </c>
      <c r="E124" s="38">
        <f t="shared" si="1"/>
        <v>0.86206896551724133</v>
      </c>
    </row>
    <row r="125" spans="1:5">
      <c r="A125" s="30">
        <f>Kaikki!F125</f>
        <v>43954.625</v>
      </c>
      <c r="B125" s="37" t="str">
        <f>Kaikki!G125</f>
        <v/>
      </c>
      <c r="C125">
        <f>Kaikki!A125</f>
        <v>61</v>
      </c>
      <c r="D125">
        <f>HUS!A125</f>
        <v>56</v>
      </c>
      <c r="E125" s="38">
        <f t="shared" si="1"/>
        <v>0.91803278688524592</v>
      </c>
    </row>
    <row r="126" spans="1:5">
      <c r="A126" s="30">
        <f>Kaikki!F126</f>
        <v>43955.625</v>
      </c>
      <c r="B126" s="37" t="str">
        <f>Kaikki!G126</f>
        <v>2020-W19</v>
      </c>
      <c r="C126">
        <f>Kaikki!A126</f>
        <v>133</v>
      </c>
      <c r="D126">
        <f>HUS!A126</f>
        <v>106</v>
      </c>
      <c r="E126" s="38">
        <f t="shared" si="1"/>
        <v>0.79699248120300747</v>
      </c>
    </row>
    <row r="127" spans="1:5">
      <c r="A127" s="30">
        <f>Kaikki!F127</f>
        <v>43956.625</v>
      </c>
      <c r="B127" s="37" t="str">
        <f>Kaikki!G127</f>
        <v/>
      </c>
      <c r="C127">
        <f>Kaikki!A127</f>
        <v>125</v>
      </c>
      <c r="D127">
        <f>HUS!A127</f>
        <v>103</v>
      </c>
      <c r="E127" s="38">
        <f t="shared" si="1"/>
        <v>0.82399999999999995</v>
      </c>
    </row>
    <row r="128" spans="1:5">
      <c r="A128" s="30">
        <f>Kaikki!F128</f>
        <v>43957.625</v>
      </c>
      <c r="B128" s="37" t="str">
        <f>Kaikki!G128</f>
        <v/>
      </c>
      <c r="C128">
        <f>Kaikki!A128</f>
        <v>95</v>
      </c>
      <c r="D128">
        <f>HUS!A128</f>
        <v>77</v>
      </c>
      <c r="E128" s="38">
        <f t="shared" si="1"/>
        <v>0.81052631578947365</v>
      </c>
    </row>
    <row r="129" spans="1:5">
      <c r="A129" s="30">
        <f>Kaikki!F129</f>
        <v>43958.625</v>
      </c>
      <c r="B129" s="37" t="str">
        <f>Kaikki!G129</f>
        <v/>
      </c>
      <c r="C129">
        <f>Kaikki!A129</f>
        <v>108</v>
      </c>
      <c r="D129">
        <f>HUS!A129</f>
        <v>85</v>
      </c>
      <c r="E129" s="38">
        <f t="shared" si="1"/>
        <v>0.78703703703703709</v>
      </c>
    </row>
    <row r="130" spans="1:5">
      <c r="A130" s="30">
        <f>Kaikki!F130</f>
        <v>43959.625</v>
      </c>
      <c r="B130" s="37" t="str">
        <f>Kaikki!G130</f>
        <v/>
      </c>
      <c r="C130">
        <f>Kaikki!A130</f>
        <v>81</v>
      </c>
      <c r="D130">
        <f>HUS!A130</f>
        <v>68</v>
      </c>
      <c r="E130" s="38">
        <f t="shared" si="1"/>
        <v>0.83950617283950613</v>
      </c>
    </row>
    <row r="131" spans="1:5">
      <c r="A131" s="30">
        <f>Kaikki!F131</f>
        <v>43960.625</v>
      </c>
      <c r="B131" s="37" t="str">
        <f>Kaikki!G131</f>
        <v/>
      </c>
      <c r="C131">
        <f>Kaikki!A131</f>
        <v>47</v>
      </c>
      <c r="D131">
        <f>HUS!A131</f>
        <v>43</v>
      </c>
      <c r="E131" s="38">
        <f t="shared" ref="E131:E194" si="2">D131/C131</f>
        <v>0.91489361702127658</v>
      </c>
    </row>
    <row r="132" spans="1:5">
      <c r="A132" s="30">
        <f>Kaikki!F132</f>
        <v>43961.625</v>
      </c>
      <c r="B132" s="37" t="str">
        <f>Kaikki!G132</f>
        <v/>
      </c>
      <c r="C132">
        <f>Kaikki!A132</f>
        <v>28</v>
      </c>
      <c r="D132">
        <f>HUS!A132</f>
        <v>19</v>
      </c>
      <c r="E132" s="38">
        <f t="shared" si="2"/>
        <v>0.6785714285714286</v>
      </c>
    </row>
    <row r="133" spans="1:5">
      <c r="A133" s="30">
        <f>Kaikki!F133</f>
        <v>43962.625</v>
      </c>
      <c r="B133" s="37" t="str">
        <f>Kaikki!G133</f>
        <v>2020-W20</v>
      </c>
      <c r="C133">
        <f>Kaikki!A133</f>
        <v>92</v>
      </c>
      <c r="D133">
        <f>HUS!A133</f>
        <v>72</v>
      </c>
      <c r="E133" s="38">
        <f t="shared" si="2"/>
        <v>0.78260869565217395</v>
      </c>
    </row>
    <row r="134" spans="1:5">
      <c r="A134" s="30">
        <f>Kaikki!F134</f>
        <v>43963.625</v>
      </c>
      <c r="B134" s="37" t="str">
        <f>Kaikki!G134</f>
        <v/>
      </c>
      <c r="C134">
        <f>Kaikki!A134</f>
        <v>67</v>
      </c>
      <c r="D134">
        <f>HUS!A134</f>
        <v>60</v>
      </c>
      <c r="E134" s="38">
        <f t="shared" si="2"/>
        <v>0.89552238805970152</v>
      </c>
    </row>
    <row r="135" spans="1:5">
      <c r="A135" s="30">
        <f>Kaikki!F135</f>
        <v>43964.625</v>
      </c>
      <c r="B135" s="37" t="str">
        <f>Kaikki!G135</f>
        <v/>
      </c>
      <c r="C135">
        <f>Kaikki!A135</f>
        <v>78</v>
      </c>
      <c r="D135">
        <f>HUS!A135</f>
        <v>64</v>
      </c>
      <c r="E135" s="38">
        <f t="shared" si="2"/>
        <v>0.82051282051282048</v>
      </c>
    </row>
    <row r="136" spans="1:5">
      <c r="A136" s="30">
        <f>Kaikki!F136</f>
        <v>43965.625</v>
      </c>
      <c r="B136" s="37" t="str">
        <f>Kaikki!G136</f>
        <v/>
      </c>
      <c r="C136">
        <f>Kaikki!A136</f>
        <v>50</v>
      </c>
      <c r="D136">
        <f>HUS!A136</f>
        <v>44</v>
      </c>
      <c r="E136" s="38">
        <f t="shared" si="2"/>
        <v>0.88</v>
      </c>
    </row>
    <row r="137" spans="1:5">
      <c r="A137" s="30">
        <f>Kaikki!F137</f>
        <v>43966.625</v>
      </c>
      <c r="B137" s="37" t="str">
        <f>Kaikki!G137</f>
        <v/>
      </c>
      <c r="C137">
        <f>Kaikki!A137</f>
        <v>55</v>
      </c>
      <c r="D137">
        <f>HUS!A137</f>
        <v>47</v>
      </c>
      <c r="E137" s="38">
        <f t="shared" si="2"/>
        <v>0.8545454545454545</v>
      </c>
    </row>
    <row r="138" spans="1:5">
      <c r="A138" s="30">
        <f>Kaikki!F138</f>
        <v>43967.625</v>
      </c>
      <c r="B138" s="37" t="str">
        <f>Kaikki!G138</f>
        <v/>
      </c>
      <c r="C138">
        <f>Kaikki!A138</f>
        <v>25</v>
      </c>
      <c r="D138">
        <f>HUS!A138</f>
        <v>25</v>
      </c>
      <c r="E138" s="38">
        <f t="shared" si="2"/>
        <v>1</v>
      </c>
    </row>
    <row r="139" spans="1:5">
      <c r="A139" s="30">
        <f>Kaikki!F139</f>
        <v>43968.625</v>
      </c>
      <c r="B139" s="37" t="str">
        <f>Kaikki!G139</f>
        <v/>
      </c>
      <c r="C139">
        <f>Kaikki!A139</f>
        <v>29</v>
      </c>
      <c r="D139">
        <f>HUS!A139</f>
        <v>26</v>
      </c>
      <c r="E139" s="38">
        <f t="shared" si="2"/>
        <v>0.89655172413793105</v>
      </c>
    </row>
    <row r="140" spans="1:5">
      <c r="A140" s="30">
        <f>Kaikki!F140</f>
        <v>43969.625</v>
      </c>
      <c r="B140" s="37" t="str">
        <f>Kaikki!G140</f>
        <v>2020-W21</v>
      </c>
      <c r="C140">
        <f>Kaikki!A140</f>
        <v>45</v>
      </c>
      <c r="D140">
        <f>HUS!A140</f>
        <v>38</v>
      </c>
      <c r="E140" s="38">
        <f t="shared" si="2"/>
        <v>0.84444444444444444</v>
      </c>
    </row>
    <row r="141" spans="1:5">
      <c r="A141" s="30">
        <f>Kaikki!F141</f>
        <v>43970.625</v>
      </c>
      <c r="B141" s="37" t="str">
        <f>Kaikki!G141</f>
        <v/>
      </c>
      <c r="C141">
        <f>Kaikki!A141</f>
        <v>41</v>
      </c>
      <c r="D141">
        <f>HUS!A141</f>
        <v>36</v>
      </c>
      <c r="E141" s="38">
        <f t="shared" si="2"/>
        <v>0.87804878048780488</v>
      </c>
    </row>
    <row r="142" spans="1:5">
      <c r="A142" s="30">
        <f>Kaikki!F142</f>
        <v>43971.625</v>
      </c>
      <c r="B142" s="37" t="str">
        <f>Kaikki!G142</f>
        <v/>
      </c>
      <c r="C142">
        <f>Kaikki!A142</f>
        <v>43</v>
      </c>
      <c r="D142">
        <f>HUS!A142</f>
        <v>37</v>
      </c>
      <c r="E142" s="38">
        <f t="shared" si="2"/>
        <v>0.86046511627906974</v>
      </c>
    </row>
    <row r="143" spans="1:5">
      <c r="A143" s="30">
        <f>Kaikki!F143</f>
        <v>43972.625</v>
      </c>
      <c r="B143" s="37" t="str">
        <f>Kaikki!G143</f>
        <v/>
      </c>
      <c r="C143">
        <f>Kaikki!A143</f>
        <v>22</v>
      </c>
      <c r="D143">
        <f>HUS!A143</f>
        <v>16</v>
      </c>
      <c r="E143" s="38">
        <f t="shared" si="2"/>
        <v>0.72727272727272729</v>
      </c>
    </row>
    <row r="144" spans="1:5">
      <c r="A144" s="30">
        <f>Kaikki!F144</f>
        <v>43973.625</v>
      </c>
      <c r="B144" s="37" t="str">
        <f>Kaikki!G144</f>
        <v/>
      </c>
      <c r="C144">
        <f>Kaikki!A144</f>
        <v>32</v>
      </c>
      <c r="D144">
        <f>HUS!A144</f>
        <v>28</v>
      </c>
      <c r="E144" s="38">
        <f t="shared" si="2"/>
        <v>0.875</v>
      </c>
    </row>
    <row r="145" spans="1:5">
      <c r="A145" s="30">
        <f>Kaikki!F145</f>
        <v>43974.625</v>
      </c>
      <c r="B145" s="37" t="str">
        <f>Kaikki!G145</f>
        <v/>
      </c>
      <c r="C145">
        <f>Kaikki!A145</f>
        <v>18</v>
      </c>
      <c r="D145">
        <f>HUS!A145</f>
        <v>12</v>
      </c>
      <c r="E145" s="38">
        <f t="shared" si="2"/>
        <v>0.66666666666666663</v>
      </c>
    </row>
    <row r="146" spans="1:5">
      <c r="A146" s="30">
        <f>Kaikki!F146</f>
        <v>43975.625</v>
      </c>
      <c r="B146" s="37" t="str">
        <f>Kaikki!G146</f>
        <v/>
      </c>
      <c r="C146">
        <f>Kaikki!A146</f>
        <v>20</v>
      </c>
      <c r="D146">
        <f>HUS!A146</f>
        <v>16</v>
      </c>
      <c r="E146" s="38">
        <f t="shared" si="2"/>
        <v>0.8</v>
      </c>
    </row>
    <row r="147" spans="1:5">
      <c r="A147" s="30">
        <f>Kaikki!F147</f>
        <v>43976.625</v>
      </c>
      <c r="B147" s="37" t="str">
        <f>Kaikki!G147</f>
        <v>2020-W22</v>
      </c>
      <c r="C147">
        <f>Kaikki!A147</f>
        <v>45</v>
      </c>
      <c r="D147">
        <f>HUS!A147</f>
        <v>34</v>
      </c>
      <c r="E147" s="38">
        <f t="shared" si="2"/>
        <v>0.75555555555555554</v>
      </c>
    </row>
    <row r="148" spans="1:5">
      <c r="A148" s="30">
        <f>Kaikki!F148</f>
        <v>43977.625</v>
      </c>
      <c r="B148" s="37" t="str">
        <f>Kaikki!G148</f>
        <v/>
      </c>
      <c r="C148">
        <f>Kaikki!A148</f>
        <v>33</v>
      </c>
      <c r="D148">
        <f>HUS!A148</f>
        <v>29</v>
      </c>
      <c r="E148" s="38">
        <f t="shared" si="2"/>
        <v>0.87878787878787878</v>
      </c>
    </row>
    <row r="149" spans="1:5">
      <c r="A149" s="30">
        <f>Kaikki!F149</f>
        <v>43978.625</v>
      </c>
      <c r="B149" s="37" t="str">
        <f>Kaikki!G149</f>
        <v/>
      </c>
      <c r="C149">
        <f>Kaikki!A149</f>
        <v>12</v>
      </c>
      <c r="D149">
        <f>HUS!A149</f>
        <v>9</v>
      </c>
      <c r="E149" s="38">
        <f t="shared" si="2"/>
        <v>0.75</v>
      </c>
    </row>
    <row r="150" spans="1:5">
      <c r="A150" s="30">
        <f>Kaikki!F150</f>
        <v>43979.625</v>
      </c>
      <c r="B150" s="37" t="str">
        <f>Kaikki!G150</f>
        <v/>
      </c>
      <c r="C150">
        <f>Kaikki!A150</f>
        <v>30</v>
      </c>
      <c r="D150">
        <f>HUS!A150</f>
        <v>23</v>
      </c>
      <c r="E150" s="38">
        <f t="shared" si="2"/>
        <v>0.76666666666666672</v>
      </c>
    </row>
    <row r="151" spans="1:5">
      <c r="A151" s="30">
        <f>Kaikki!F151</f>
        <v>43980.625</v>
      </c>
      <c r="B151" s="37" t="str">
        <f>Kaikki!G151</f>
        <v/>
      </c>
      <c r="C151">
        <f>Kaikki!A151</f>
        <v>21</v>
      </c>
      <c r="D151">
        <f>HUS!A151</f>
        <v>18</v>
      </c>
      <c r="E151" s="38">
        <f t="shared" si="2"/>
        <v>0.8571428571428571</v>
      </c>
    </row>
    <row r="152" spans="1:5">
      <c r="A152" s="30">
        <f>Kaikki!F152</f>
        <v>43981.625</v>
      </c>
      <c r="B152" s="37" t="str">
        <f>Kaikki!G152</f>
        <v/>
      </c>
      <c r="C152">
        <f>Kaikki!A152</f>
        <v>10</v>
      </c>
      <c r="D152">
        <f>HUS!A152</f>
        <v>10</v>
      </c>
      <c r="E152" s="38">
        <f t="shared" si="2"/>
        <v>1</v>
      </c>
    </row>
    <row r="153" spans="1:5">
      <c r="A153" s="30">
        <f>Kaikki!F153</f>
        <v>43982.625</v>
      </c>
      <c r="B153" s="37" t="str">
        <f>Kaikki!G153</f>
        <v/>
      </c>
      <c r="C153">
        <f>Kaikki!A153</f>
        <v>12</v>
      </c>
      <c r="D153">
        <f>HUS!A153</f>
        <v>8</v>
      </c>
      <c r="E153" s="38">
        <f t="shared" si="2"/>
        <v>0.66666666666666663</v>
      </c>
    </row>
    <row r="154" spans="1:5">
      <c r="A154" s="30">
        <f>Kaikki!F154</f>
        <v>43983.625</v>
      </c>
      <c r="B154" s="37" t="str">
        <f>Kaikki!G154</f>
        <v>2020-W23</v>
      </c>
      <c r="C154">
        <f>Kaikki!A154</f>
        <v>17</v>
      </c>
      <c r="D154">
        <f>HUS!A154</f>
        <v>12</v>
      </c>
      <c r="E154" s="38">
        <f t="shared" si="2"/>
        <v>0.70588235294117652</v>
      </c>
    </row>
    <row r="155" spans="1:5">
      <c r="A155" s="30">
        <f>Kaikki!F155</f>
        <v>43984.625</v>
      </c>
      <c r="B155" s="37" t="str">
        <f>Kaikki!G155</f>
        <v/>
      </c>
      <c r="C155">
        <f>Kaikki!A155</f>
        <v>15</v>
      </c>
      <c r="D155">
        <f>HUS!A155</f>
        <v>12</v>
      </c>
      <c r="E155" s="38">
        <f t="shared" si="2"/>
        <v>0.8</v>
      </c>
    </row>
    <row r="156" spans="1:5">
      <c r="A156" s="30">
        <f>Kaikki!F156</f>
        <v>43985.625</v>
      </c>
      <c r="B156" s="37" t="str">
        <f>Kaikki!G156</f>
        <v/>
      </c>
      <c r="C156">
        <f>Kaikki!A156</f>
        <v>25</v>
      </c>
      <c r="D156">
        <f>HUS!A156</f>
        <v>22</v>
      </c>
      <c r="E156" s="38">
        <f t="shared" si="2"/>
        <v>0.88</v>
      </c>
    </row>
    <row r="157" spans="1:5">
      <c r="A157" s="30">
        <f>Kaikki!F157</f>
        <v>43986.625</v>
      </c>
      <c r="B157" s="37" t="str">
        <f>Kaikki!G157</f>
        <v/>
      </c>
      <c r="C157">
        <f>Kaikki!A157</f>
        <v>12</v>
      </c>
      <c r="D157">
        <f>HUS!A157</f>
        <v>11</v>
      </c>
      <c r="E157" s="38">
        <f t="shared" si="2"/>
        <v>0.91666666666666663</v>
      </c>
    </row>
    <row r="158" spans="1:5">
      <c r="A158" s="30">
        <f>Kaikki!F158</f>
        <v>43987.625</v>
      </c>
      <c r="B158" s="37" t="str">
        <f>Kaikki!G158</f>
        <v/>
      </c>
      <c r="C158">
        <f>Kaikki!A158</f>
        <v>13</v>
      </c>
      <c r="D158">
        <f>HUS!A158</f>
        <v>12</v>
      </c>
      <c r="E158" s="38">
        <f t="shared" si="2"/>
        <v>0.92307692307692313</v>
      </c>
    </row>
    <row r="159" spans="1:5">
      <c r="A159" s="30">
        <f>Kaikki!F159</f>
        <v>43988.625</v>
      </c>
      <c r="B159" s="37" t="str">
        <f>Kaikki!G159</f>
        <v/>
      </c>
      <c r="C159">
        <f>Kaikki!A159</f>
        <v>13</v>
      </c>
      <c r="D159">
        <f>HUS!A159</f>
        <v>10</v>
      </c>
      <c r="E159" s="38">
        <f t="shared" si="2"/>
        <v>0.76923076923076927</v>
      </c>
    </row>
    <row r="160" spans="1:5">
      <c r="A160" s="30">
        <f>Kaikki!F160</f>
        <v>43989.625</v>
      </c>
      <c r="B160" s="37" t="str">
        <f>Kaikki!G160</f>
        <v/>
      </c>
      <c r="C160">
        <f>Kaikki!A160</f>
        <v>4</v>
      </c>
      <c r="D160">
        <f>HUS!A160</f>
        <v>3</v>
      </c>
      <c r="E160" s="38">
        <f t="shared" si="2"/>
        <v>0.75</v>
      </c>
    </row>
    <row r="161" spans="1:5">
      <c r="A161" s="30">
        <f>Kaikki!F161</f>
        <v>43990.625</v>
      </c>
      <c r="B161" s="37" t="str">
        <f>Kaikki!G161</f>
        <v>2020-W24</v>
      </c>
      <c r="C161">
        <f>Kaikki!A161</f>
        <v>10</v>
      </c>
      <c r="D161">
        <f>HUS!A161</f>
        <v>8</v>
      </c>
      <c r="E161" s="38">
        <f t="shared" si="2"/>
        <v>0.8</v>
      </c>
    </row>
    <row r="162" spans="1:5">
      <c r="A162" s="30">
        <f>Kaikki!F162</f>
        <v>43991.625</v>
      </c>
      <c r="B162" s="37" t="str">
        <f>Kaikki!G162</f>
        <v/>
      </c>
      <c r="C162">
        <f>Kaikki!A162</f>
        <v>8</v>
      </c>
      <c r="D162">
        <f>HUS!A162</f>
        <v>5</v>
      </c>
      <c r="E162" s="38">
        <f t="shared" si="2"/>
        <v>0.625</v>
      </c>
    </row>
    <row r="163" spans="1:5">
      <c r="A163" s="30">
        <f>Kaikki!F163</f>
        <v>43992.625</v>
      </c>
      <c r="B163" s="37" t="str">
        <f>Kaikki!G163</f>
        <v/>
      </c>
      <c r="C163">
        <f>Kaikki!A163</f>
        <v>7</v>
      </c>
      <c r="D163">
        <f>HUS!A163</f>
        <v>3</v>
      </c>
      <c r="E163" s="38">
        <f t="shared" si="2"/>
        <v>0.42857142857142855</v>
      </c>
    </row>
    <row r="164" spans="1:5">
      <c r="A164" s="30">
        <f>Kaikki!F164</f>
        <v>43993.625</v>
      </c>
      <c r="B164" s="37" t="str">
        <f>Kaikki!G164</f>
        <v/>
      </c>
      <c r="C164">
        <f>Kaikki!A164</f>
        <v>9</v>
      </c>
      <c r="D164">
        <f>HUS!A164</f>
        <v>7</v>
      </c>
      <c r="E164" s="38">
        <f t="shared" si="2"/>
        <v>0.77777777777777779</v>
      </c>
    </row>
    <row r="165" spans="1:5">
      <c r="A165" s="30">
        <f>Kaikki!F165</f>
        <v>43994.625</v>
      </c>
      <c r="B165" s="37" t="str">
        <f>Kaikki!G165</f>
        <v/>
      </c>
      <c r="C165">
        <f>Kaikki!A165</f>
        <v>13</v>
      </c>
      <c r="D165">
        <f>HUS!A165</f>
        <v>10</v>
      </c>
      <c r="E165" s="38">
        <f t="shared" si="2"/>
        <v>0.76923076923076927</v>
      </c>
    </row>
    <row r="166" spans="1:5">
      <c r="A166" s="30">
        <f>Kaikki!F166</f>
        <v>43995.625</v>
      </c>
      <c r="B166" s="37" t="str">
        <f>Kaikki!G166</f>
        <v/>
      </c>
      <c r="C166">
        <f>Kaikki!A166</f>
        <v>2</v>
      </c>
      <c r="D166">
        <f>HUS!A166</f>
        <v>2</v>
      </c>
      <c r="E166" s="38">
        <f t="shared" si="2"/>
        <v>1</v>
      </c>
    </row>
    <row r="167" spans="1:5">
      <c r="A167" s="30">
        <f>Kaikki!F167</f>
        <v>43996.625</v>
      </c>
      <c r="B167" s="37" t="str">
        <f>Kaikki!G167</f>
        <v/>
      </c>
      <c r="C167">
        <f>Kaikki!A167</f>
        <v>5</v>
      </c>
      <c r="D167">
        <f>HUS!A167</f>
        <v>5</v>
      </c>
      <c r="E167" s="38">
        <f t="shared" si="2"/>
        <v>1</v>
      </c>
    </row>
    <row r="168" spans="1:5">
      <c r="A168" s="30">
        <f>Kaikki!F168</f>
        <v>43997.625</v>
      </c>
      <c r="B168" s="37" t="str">
        <f>Kaikki!G168</f>
        <v>2020-W25</v>
      </c>
      <c r="C168">
        <f>Kaikki!A168</f>
        <v>16</v>
      </c>
      <c r="D168">
        <f>HUS!A168</f>
        <v>13</v>
      </c>
      <c r="E168" s="38">
        <f t="shared" si="2"/>
        <v>0.8125</v>
      </c>
    </row>
    <row r="169" spans="1:5">
      <c r="A169" s="30">
        <f>Kaikki!F169</f>
        <v>43998.625</v>
      </c>
      <c r="B169" s="37" t="str">
        <f>Kaikki!G169</f>
        <v/>
      </c>
      <c r="C169">
        <f>Kaikki!A169</f>
        <v>8</v>
      </c>
      <c r="D169">
        <f>HUS!A169</f>
        <v>5</v>
      </c>
      <c r="E169" s="38">
        <f t="shared" si="2"/>
        <v>0.625</v>
      </c>
    </row>
    <row r="170" spans="1:5">
      <c r="A170" s="30">
        <f>Kaikki!F170</f>
        <v>43999.625</v>
      </c>
      <c r="B170" s="37" t="str">
        <f>Kaikki!G170</f>
        <v/>
      </c>
      <c r="C170">
        <f>Kaikki!A170</f>
        <v>4</v>
      </c>
      <c r="D170">
        <f>HUS!A170</f>
        <v>3</v>
      </c>
      <c r="E170" s="38">
        <f t="shared" si="2"/>
        <v>0.75</v>
      </c>
    </row>
    <row r="171" spans="1:5">
      <c r="A171" s="30">
        <f>Kaikki!F171</f>
        <v>44000.625</v>
      </c>
      <c r="B171" s="37" t="str">
        <f>Kaikki!G171</f>
        <v/>
      </c>
      <c r="C171">
        <f>Kaikki!A171</f>
        <v>8</v>
      </c>
      <c r="D171">
        <f>HUS!A171</f>
        <v>6</v>
      </c>
      <c r="E171" s="38">
        <f t="shared" si="2"/>
        <v>0.75</v>
      </c>
    </row>
    <row r="172" spans="1:5">
      <c r="A172" s="30">
        <f>Kaikki!F172</f>
        <v>44001.625</v>
      </c>
      <c r="B172" s="37" t="str">
        <f>Kaikki!G172</f>
        <v/>
      </c>
      <c r="C172">
        <f>Kaikki!A172</f>
        <v>0</v>
      </c>
      <c r="D172">
        <f>HUS!A172</f>
        <v>0</v>
      </c>
      <c r="E172" s="38" t="e">
        <f t="shared" si="2"/>
        <v>#DIV/0!</v>
      </c>
    </row>
    <row r="173" spans="1:5">
      <c r="A173" s="30">
        <f>Kaikki!F173</f>
        <v>44002.625</v>
      </c>
      <c r="B173" s="37" t="str">
        <f>Kaikki!G173</f>
        <v/>
      </c>
      <c r="C173">
        <f>Kaikki!A173</f>
        <v>2</v>
      </c>
      <c r="D173">
        <f>HUS!A173</f>
        <v>2</v>
      </c>
      <c r="E173" s="38">
        <f t="shared" si="2"/>
        <v>1</v>
      </c>
    </row>
    <row r="174" spans="1:5">
      <c r="A174" s="30">
        <f>Kaikki!F174</f>
        <v>44003.625</v>
      </c>
      <c r="B174" s="37" t="str">
        <f>Kaikki!G174</f>
        <v/>
      </c>
      <c r="C174">
        <f>Kaikki!A174</f>
        <v>13</v>
      </c>
      <c r="D174">
        <f>HUS!A174</f>
        <v>10</v>
      </c>
      <c r="E174" s="38">
        <f t="shared" si="2"/>
        <v>0.76923076923076927</v>
      </c>
    </row>
    <row r="175" spans="1:5">
      <c r="A175" s="30">
        <f>Kaikki!F175</f>
        <v>44004.625</v>
      </c>
      <c r="B175" s="37" t="str">
        <f>Kaikki!G175</f>
        <v>2020-W26</v>
      </c>
      <c r="C175">
        <f>Kaikki!A175</f>
        <v>5</v>
      </c>
      <c r="D175">
        <f>HUS!A175</f>
        <v>4</v>
      </c>
      <c r="E175" s="38">
        <f t="shared" si="2"/>
        <v>0.8</v>
      </c>
    </row>
    <row r="176" spans="1:5">
      <c r="A176" s="30">
        <f>Kaikki!F176</f>
        <v>44005.625</v>
      </c>
      <c r="B176" s="37" t="str">
        <f>Kaikki!G176</f>
        <v/>
      </c>
      <c r="C176">
        <f>Kaikki!A176</f>
        <v>5</v>
      </c>
      <c r="D176">
        <f>HUS!A176</f>
        <v>3</v>
      </c>
      <c r="E176" s="38">
        <f t="shared" si="2"/>
        <v>0.6</v>
      </c>
    </row>
    <row r="177" spans="1:5">
      <c r="A177" s="30">
        <f>Kaikki!F177</f>
        <v>44006.625</v>
      </c>
      <c r="B177" s="37" t="str">
        <f>Kaikki!G177</f>
        <v/>
      </c>
      <c r="C177">
        <f>Kaikki!A177</f>
        <v>17</v>
      </c>
      <c r="D177">
        <f>HUS!A177</f>
        <v>11</v>
      </c>
      <c r="E177" s="38">
        <f t="shared" si="2"/>
        <v>0.6470588235294118</v>
      </c>
    </row>
    <row r="178" spans="1:5">
      <c r="A178" s="30">
        <f>Kaikki!F178</f>
        <v>44007.625</v>
      </c>
      <c r="B178" s="37" t="str">
        <f>Kaikki!G178</f>
        <v/>
      </c>
      <c r="C178">
        <f>Kaikki!A178</f>
        <v>14</v>
      </c>
      <c r="D178">
        <f>HUS!A178</f>
        <v>6</v>
      </c>
      <c r="E178" s="38">
        <f t="shared" si="2"/>
        <v>0.42857142857142855</v>
      </c>
    </row>
    <row r="179" spans="1:5">
      <c r="A179" s="30">
        <f>Kaikki!F179</f>
        <v>44008.625</v>
      </c>
      <c r="B179" s="37" t="str">
        <f>Kaikki!G179</f>
        <v/>
      </c>
      <c r="C179">
        <f>Kaikki!A179</f>
        <v>3</v>
      </c>
      <c r="D179">
        <f>HUS!A179</f>
        <v>3</v>
      </c>
      <c r="E179" s="38">
        <f t="shared" si="2"/>
        <v>1</v>
      </c>
    </row>
    <row r="180" spans="1:5">
      <c r="A180" s="30">
        <f>Kaikki!F180</f>
        <v>44009.625</v>
      </c>
      <c r="B180" s="37" t="str">
        <f>Kaikki!G180</f>
        <v/>
      </c>
      <c r="C180">
        <f>Kaikki!A180</f>
        <v>2</v>
      </c>
      <c r="D180">
        <f>HUS!A180</f>
        <v>2</v>
      </c>
      <c r="E180" s="38">
        <f t="shared" si="2"/>
        <v>1</v>
      </c>
    </row>
    <row r="181" spans="1:5">
      <c r="A181" s="30">
        <f>Kaikki!F181</f>
        <v>44010.625</v>
      </c>
      <c r="B181" s="37" t="str">
        <f>Kaikki!G181</f>
        <v/>
      </c>
      <c r="C181">
        <f>Kaikki!A181</f>
        <v>7</v>
      </c>
      <c r="D181">
        <f>HUS!A181</f>
        <v>7</v>
      </c>
      <c r="E181" s="38">
        <f t="shared" si="2"/>
        <v>1</v>
      </c>
    </row>
    <row r="182" spans="1:5">
      <c r="A182" s="30">
        <f>Kaikki!F182</f>
        <v>44011.625</v>
      </c>
      <c r="B182" s="37" t="str">
        <f>Kaikki!G182</f>
        <v>2020-W27</v>
      </c>
      <c r="C182">
        <f>Kaikki!A182</f>
        <v>16</v>
      </c>
      <c r="D182">
        <f>HUS!A182</f>
        <v>12</v>
      </c>
      <c r="E182" s="38">
        <f t="shared" si="2"/>
        <v>0.75</v>
      </c>
    </row>
    <row r="183" spans="1:5">
      <c r="A183" s="30">
        <f>Kaikki!F183</f>
        <v>44012.625</v>
      </c>
      <c r="B183" s="37" t="str">
        <f>Kaikki!G183</f>
        <v/>
      </c>
      <c r="C183">
        <f>Kaikki!A183</f>
        <v>10</v>
      </c>
      <c r="D183">
        <f>HUS!A183</f>
        <v>7</v>
      </c>
      <c r="E183" s="38">
        <f t="shared" si="2"/>
        <v>0.7</v>
      </c>
    </row>
    <row r="184" spans="1:5">
      <c r="A184" s="30">
        <f>Kaikki!F184</f>
        <v>44013.625</v>
      </c>
      <c r="B184" s="37" t="str">
        <f>Kaikki!G184</f>
        <v/>
      </c>
      <c r="C184">
        <f>Kaikki!A184</f>
        <v>2</v>
      </c>
      <c r="D184">
        <f>HUS!A184</f>
        <v>2</v>
      </c>
      <c r="E184" s="38">
        <f t="shared" si="2"/>
        <v>1</v>
      </c>
    </row>
    <row r="185" spans="1:5">
      <c r="A185" s="30">
        <f>Kaikki!F185</f>
        <v>44014.625</v>
      </c>
      <c r="B185" s="37" t="str">
        <f>Kaikki!G185</f>
        <v/>
      </c>
      <c r="C185">
        <f>Kaikki!A185</f>
        <v>7</v>
      </c>
      <c r="D185">
        <f>HUS!A185</f>
        <v>7</v>
      </c>
      <c r="E185" s="38">
        <f t="shared" si="2"/>
        <v>1</v>
      </c>
    </row>
    <row r="186" spans="1:5">
      <c r="A186" s="30">
        <f>Kaikki!F186</f>
        <v>44015.625</v>
      </c>
      <c r="B186" s="37" t="str">
        <f>Kaikki!G186</f>
        <v/>
      </c>
      <c r="C186">
        <f>Kaikki!A186</f>
        <v>6</v>
      </c>
      <c r="D186">
        <f>HUS!A186</f>
        <v>2</v>
      </c>
      <c r="E186" s="38">
        <f t="shared" si="2"/>
        <v>0.33333333333333331</v>
      </c>
    </row>
    <row r="187" spans="1:5">
      <c r="A187" s="30">
        <f>Kaikki!F187</f>
        <v>44016.625</v>
      </c>
      <c r="B187" s="37" t="str">
        <f>Kaikki!G187</f>
        <v/>
      </c>
      <c r="C187">
        <f>Kaikki!A187</f>
        <v>2</v>
      </c>
      <c r="D187">
        <f>HUS!A187</f>
        <v>2</v>
      </c>
      <c r="E187" s="38">
        <f t="shared" si="2"/>
        <v>1</v>
      </c>
    </row>
    <row r="188" spans="1:5">
      <c r="A188" s="30">
        <f>Kaikki!F188</f>
        <v>44017.625</v>
      </c>
      <c r="B188" s="37" t="str">
        <f>Kaikki!G188</f>
        <v/>
      </c>
      <c r="C188">
        <f>Kaikki!A188</f>
        <v>3</v>
      </c>
      <c r="D188">
        <f>HUS!A188</f>
        <v>2</v>
      </c>
      <c r="E188" s="38">
        <f t="shared" si="2"/>
        <v>0.66666666666666663</v>
      </c>
    </row>
    <row r="189" spans="1:5">
      <c r="A189" s="30">
        <f>Kaikki!F189</f>
        <v>44018.625</v>
      </c>
      <c r="B189" s="37" t="str">
        <f>Kaikki!G189</f>
        <v>2020-W28</v>
      </c>
      <c r="C189">
        <f>Kaikki!A189</f>
        <v>8</v>
      </c>
      <c r="D189">
        <f>HUS!A189</f>
        <v>2</v>
      </c>
      <c r="E189" s="38">
        <f t="shared" si="2"/>
        <v>0.25</v>
      </c>
    </row>
    <row r="190" spans="1:5">
      <c r="A190" s="30">
        <f>Kaikki!F190</f>
        <v>44019.625</v>
      </c>
      <c r="B190" s="37" t="str">
        <f>Kaikki!G190</f>
        <v/>
      </c>
      <c r="C190">
        <f>Kaikki!A190</f>
        <v>3</v>
      </c>
      <c r="D190">
        <f>HUS!A190</f>
        <v>0</v>
      </c>
      <c r="E190" s="38">
        <f t="shared" si="2"/>
        <v>0</v>
      </c>
    </row>
    <row r="191" spans="1:5">
      <c r="A191" s="30">
        <f>Kaikki!F191</f>
        <v>44020.625</v>
      </c>
      <c r="B191" s="37" t="str">
        <f>Kaikki!G191</f>
        <v/>
      </c>
      <c r="C191">
        <f>Kaikki!A191</f>
        <v>9</v>
      </c>
      <c r="D191">
        <f>HUS!A191</f>
        <v>0</v>
      </c>
      <c r="E191" s="38">
        <f t="shared" si="2"/>
        <v>0</v>
      </c>
    </row>
    <row r="192" spans="1:5">
      <c r="A192" s="30">
        <f>Kaikki!F192</f>
        <v>44021.625</v>
      </c>
      <c r="B192" s="37" t="str">
        <f>Kaikki!G192</f>
        <v/>
      </c>
      <c r="C192">
        <f>Kaikki!A192</f>
        <v>8</v>
      </c>
      <c r="D192">
        <f>HUS!A192</f>
        <v>3</v>
      </c>
      <c r="E192" s="38">
        <f t="shared" si="2"/>
        <v>0.375</v>
      </c>
    </row>
    <row r="193" spans="1:5">
      <c r="A193" s="30">
        <f>Kaikki!F193</f>
        <v>44022.625</v>
      </c>
      <c r="B193" s="37" t="str">
        <f>Kaikki!G193</f>
        <v/>
      </c>
      <c r="C193">
        <f>Kaikki!A193</f>
        <v>6</v>
      </c>
      <c r="D193">
        <f>HUS!A193</f>
        <v>1</v>
      </c>
      <c r="E193" s="38">
        <f t="shared" si="2"/>
        <v>0.16666666666666666</v>
      </c>
    </row>
    <row r="194" spans="1:5">
      <c r="A194" s="30">
        <f>Kaikki!F194</f>
        <v>44023.625</v>
      </c>
      <c r="B194" s="37" t="str">
        <f>Kaikki!G194</f>
        <v/>
      </c>
      <c r="C194">
        <f>Kaikki!A194</f>
        <v>0</v>
      </c>
      <c r="D194">
        <f>HUS!A194</f>
        <v>0</v>
      </c>
      <c r="E194" s="38" t="e">
        <f t="shared" si="2"/>
        <v>#DIV/0!</v>
      </c>
    </row>
    <row r="195" spans="1:5">
      <c r="A195" s="30">
        <f>Kaikki!F195</f>
        <v>44024.625</v>
      </c>
      <c r="B195" s="37" t="str">
        <f>Kaikki!G195</f>
        <v/>
      </c>
      <c r="C195">
        <f>Kaikki!A195</f>
        <v>4</v>
      </c>
      <c r="D195">
        <f>HUS!A195</f>
        <v>3</v>
      </c>
      <c r="E195" s="38">
        <f t="shared" ref="E195:E258" si="3">D195/C195</f>
        <v>0.75</v>
      </c>
    </row>
    <row r="196" spans="1:5">
      <c r="A196" s="30">
        <f>Kaikki!F196</f>
        <v>44025.625</v>
      </c>
      <c r="B196" s="37" t="str">
        <f>Kaikki!G196</f>
        <v>2020-W29</v>
      </c>
      <c r="C196">
        <f>Kaikki!A196</f>
        <v>6</v>
      </c>
      <c r="D196">
        <f>HUS!A196</f>
        <v>3</v>
      </c>
      <c r="E196" s="38">
        <f t="shared" si="3"/>
        <v>0.5</v>
      </c>
    </row>
    <row r="197" spans="1:5">
      <c r="A197" s="30">
        <f>Kaikki!F197</f>
        <v>44026.625</v>
      </c>
      <c r="B197" s="37" t="str">
        <f>Kaikki!G197</f>
        <v/>
      </c>
      <c r="C197">
        <f>Kaikki!A197</f>
        <v>5</v>
      </c>
      <c r="D197">
        <f>HUS!A197</f>
        <v>3</v>
      </c>
      <c r="E197" s="38">
        <f t="shared" si="3"/>
        <v>0.6</v>
      </c>
    </row>
    <row r="198" spans="1:5">
      <c r="A198" s="30">
        <f>Kaikki!F198</f>
        <v>44027.625</v>
      </c>
      <c r="B198" s="37" t="str">
        <f>Kaikki!G198</f>
        <v/>
      </c>
      <c r="C198">
        <f>Kaikki!A198</f>
        <v>5</v>
      </c>
      <c r="D198">
        <f>HUS!A198</f>
        <v>4</v>
      </c>
      <c r="E198" s="38">
        <f t="shared" si="3"/>
        <v>0.8</v>
      </c>
    </row>
    <row r="199" spans="1:5">
      <c r="A199" s="30">
        <f>Kaikki!F199</f>
        <v>44028.625</v>
      </c>
      <c r="B199" s="37" t="str">
        <f>Kaikki!G199</f>
        <v/>
      </c>
      <c r="C199">
        <f>Kaikki!A199</f>
        <v>9</v>
      </c>
      <c r="D199">
        <f>HUS!A199</f>
        <v>5</v>
      </c>
      <c r="E199" s="38">
        <f t="shared" si="3"/>
        <v>0.55555555555555558</v>
      </c>
    </row>
    <row r="200" spans="1:5">
      <c r="A200" s="30">
        <f>Kaikki!F200</f>
        <v>44029.625</v>
      </c>
      <c r="B200" s="37" t="str">
        <f>Kaikki!G200</f>
        <v/>
      </c>
      <c r="C200">
        <f>Kaikki!A200</f>
        <v>6</v>
      </c>
      <c r="D200">
        <f>HUS!A200</f>
        <v>5</v>
      </c>
      <c r="E200" s="38">
        <f t="shared" si="3"/>
        <v>0.83333333333333337</v>
      </c>
    </row>
    <row r="201" spans="1:5">
      <c r="A201" s="30">
        <f>Kaikki!F201</f>
        <v>44030.625</v>
      </c>
      <c r="B201" s="37" t="str">
        <f>Kaikki!G201</f>
        <v/>
      </c>
      <c r="C201">
        <f>Kaikki!A201</f>
        <v>7</v>
      </c>
      <c r="D201">
        <f>HUS!A201</f>
        <v>2</v>
      </c>
      <c r="E201" s="38">
        <f t="shared" si="3"/>
        <v>0.2857142857142857</v>
      </c>
    </row>
    <row r="202" spans="1:5">
      <c r="A202" s="30">
        <f>Kaikki!F202</f>
        <v>44031.625</v>
      </c>
      <c r="B202" s="37" t="str">
        <f>Kaikki!G202</f>
        <v/>
      </c>
      <c r="C202">
        <f>Kaikki!A202</f>
        <v>5</v>
      </c>
      <c r="D202">
        <f>HUS!A202</f>
        <v>5</v>
      </c>
      <c r="E202" s="38">
        <f t="shared" si="3"/>
        <v>1</v>
      </c>
    </row>
    <row r="203" spans="1:5">
      <c r="A203" s="30">
        <f>Kaikki!F203</f>
        <v>44032.625</v>
      </c>
      <c r="B203" s="37" t="str">
        <f>Kaikki!G203</f>
        <v>2020-W30</v>
      </c>
      <c r="C203">
        <f>Kaikki!A203</f>
        <v>12</v>
      </c>
      <c r="D203">
        <f>HUS!A203</f>
        <v>4</v>
      </c>
      <c r="E203" s="38">
        <f t="shared" si="3"/>
        <v>0.33333333333333331</v>
      </c>
    </row>
    <row r="204" spans="1:5">
      <c r="A204" s="30">
        <f>Kaikki!F204</f>
        <v>44033.625</v>
      </c>
      <c r="B204" s="37" t="str">
        <f>Kaikki!G204</f>
        <v/>
      </c>
      <c r="C204">
        <f>Kaikki!A204</f>
        <v>8</v>
      </c>
      <c r="D204">
        <f>HUS!A204</f>
        <v>7</v>
      </c>
      <c r="E204" s="38">
        <f t="shared" si="3"/>
        <v>0.875</v>
      </c>
    </row>
    <row r="205" spans="1:5">
      <c r="A205" s="30">
        <f>Kaikki!F205</f>
        <v>44034.625</v>
      </c>
      <c r="B205" s="37" t="str">
        <f>Kaikki!G205</f>
        <v/>
      </c>
      <c r="C205">
        <f>Kaikki!A205</f>
        <v>11</v>
      </c>
      <c r="D205">
        <f>HUS!A205</f>
        <v>6</v>
      </c>
      <c r="E205" s="38">
        <f t="shared" si="3"/>
        <v>0.54545454545454541</v>
      </c>
    </row>
    <row r="206" spans="1:5">
      <c r="A206" s="30">
        <f>Kaikki!F206</f>
        <v>44035.625</v>
      </c>
      <c r="B206" s="37" t="str">
        <f>Kaikki!G206</f>
        <v/>
      </c>
      <c r="C206">
        <f>Kaikki!A206</f>
        <v>3</v>
      </c>
      <c r="D206">
        <f>HUS!A206</f>
        <v>1</v>
      </c>
      <c r="E206" s="38">
        <f t="shared" si="3"/>
        <v>0.33333333333333331</v>
      </c>
    </row>
    <row r="207" spans="1:5">
      <c r="A207" s="30">
        <f>Kaikki!F207</f>
        <v>44036.625</v>
      </c>
      <c r="B207" s="37" t="str">
        <f>Kaikki!G207</f>
        <v/>
      </c>
      <c r="C207">
        <f>Kaikki!A207</f>
        <v>10</v>
      </c>
      <c r="D207">
        <f>HUS!A207</f>
        <v>8</v>
      </c>
      <c r="E207" s="38">
        <f t="shared" si="3"/>
        <v>0.8</v>
      </c>
    </row>
    <row r="208" spans="1:5">
      <c r="A208" s="30">
        <f>Kaikki!F208</f>
        <v>44037.625</v>
      </c>
      <c r="B208" s="37" t="str">
        <f>Kaikki!G208</f>
        <v/>
      </c>
      <c r="C208">
        <f>Kaikki!A208</f>
        <v>4</v>
      </c>
      <c r="D208">
        <f>HUS!A208</f>
        <v>4</v>
      </c>
      <c r="E208" s="38">
        <f t="shared" si="3"/>
        <v>1</v>
      </c>
    </row>
    <row r="209" spans="1:5">
      <c r="A209" s="30">
        <f>Kaikki!F209</f>
        <v>44038.625</v>
      </c>
      <c r="B209" s="37" t="str">
        <f>Kaikki!G209</f>
        <v/>
      </c>
      <c r="C209">
        <f>Kaikki!A209</f>
        <v>8</v>
      </c>
      <c r="D209">
        <f>HUS!A209</f>
        <v>4</v>
      </c>
      <c r="E209" s="38">
        <f t="shared" si="3"/>
        <v>0.5</v>
      </c>
    </row>
    <row r="210" spans="1:5">
      <c r="A210" s="30">
        <f>Kaikki!F210</f>
        <v>44039.625</v>
      </c>
      <c r="B210" s="37" t="str">
        <f>Kaikki!G210</f>
        <v>2020-W31</v>
      </c>
      <c r="C210">
        <f>Kaikki!A210</f>
        <v>12</v>
      </c>
      <c r="D210">
        <f>HUS!A210</f>
        <v>9</v>
      </c>
      <c r="E210" s="38">
        <f t="shared" si="3"/>
        <v>0.75</v>
      </c>
    </row>
    <row r="211" spans="1:5">
      <c r="A211" s="30">
        <f>Kaikki!F211</f>
        <v>44040.625</v>
      </c>
      <c r="B211" s="37" t="str">
        <f>Kaikki!G211</f>
        <v/>
      </c>
      <c r="C211">
        <f>Kaikki!A211</f>
        <v>9</v>
      </c>
      <c r="D211">
        <f>HUS!A211</f>
        <v>5</v>
      </c>
      <c r="E211" s="38">
        <f t="shared" si="3"/>
        <v>0.55555555555555558</v>
      </c>
    </row>
    <row r="212" spans="1:5">
      <c r="A212" s="30">
        <f>Kaikki!F212</f>
        <v>44041.625</v>
      </c>
      <c r="B212" s="37" t="str">
        <f>Kaikki!G212</f>
        <v/>
      </c>
      <c r="C212">
        <f>Kaikki!A212</f>
        <v>12</v>
      </c>
      <c r="D212">
        <f>HUS!A212</f>
        <v>8</v>
      </c>
      <c r="E212" s="38">
        <f t="shared" si="3"/>
        <v>0.66666666666666663</v>
      </c>
    </row>
    <row r="213" spans="1:5">
      <c r="A213" s="30">
        <f>Kaikki!F213</f>
        <v>44042.625</v>
      </c>
      <c r="B213" s="37" t="str">
        <f>Kaikki!G213</f>
        <v/>
      </c>
      <c r="C213">
        <f>Kaikki!A213</f>
        <v>8</v>
      </c>
      <c r="D213">
        <f>HUS!A213</f>
        <v>4</v>
      </c>
      <c r="E213" s="38">
        <f t="shared" si="3"/>
        <v>0.5</v>
      </c>
    </row>
    <row r="214" spans="1:5">
      <c r="A214" s="30">
        <f>Kaikki!F214</f>
        <v>44043.625</v>
      </c>
      <c r="B214" s="37" t="str">
        <f>Kaikki!G214</f>
        <v/>
      </c>
      <c r="C214">
        <f>Kaikki!A214</f>
        <v>18</v>
      </c>
      <c r="D214">
        <f>HUS!A214</f>
        <v>13</v>
      </c>
      <c r="E214" s="38">
        <f t="shared" si="3"/>
        <v>0.72222222222222221</v>
      </c>
    </row>
    <row r="215" spans="1:5">
      <c r="A215" s="30">
        <f>Kaikki!F215</f>
        <v>44044.625</v>
      </c>
      <c r="B215" s="37" t="str">
        <f>Kaikki!G215</f>
        <v/>
      </c>
      <c r="C215">
        <f>Kaikki!A215</f>
        <v>15</v>
      </c>
      <c r="D215">
        <f>HUS!A215</f>
        <v>8</v>
      </c>
      <c r="E215" s="38">
        <f t="shared" si="3"/>
        <v>0.53333333333333333</v>
      </c>
    </row>
    <row r="216" spans="1:5">
      <c r="A216" s="30">
        <f>Kaikki!F216</f>
        <v>44045.625</v>
      </c>
      <c r="B216" s="37" t="str">
        <f>Kaikki!G216</f>
        <v/>
      </c>
      <c r="C216">
        <f>Kaikki!A216</f>
        <v>10</v>
      </c>
      <c r="D216">
        <f>HUS!A216</f>
        <v>7</v>
      </c>
      <c r="E216" s="38">
        <f t="shared" si="3"/>
        <v>0.7</v>
      </c>
    </row>
    <row r="217" spans="1:5">
      <c r="A217" s="30">
        <f>Kaikki!F217</f>
        <v>44046.625</v>
      </c>
      <c r="B217" s="37" t="str">
        <f>Kaikki!G217</f>
        <v>2020-W32</v>
      </c>
      <c r="C217">
        <f>Kaikki!A217</f>
        <v>35</v>
      </c>
      <c r="D217">
        <f>HUS!A217</f>
        <v>26</v>
      </c>
      <c r="E217" s="38">
        <f t="shared" si="3"/>
        <v>0.74285714285714288</v>
      </c>
    </row>
    <row r="218" spans="1:5">
      <c r="A218" s="30">
        <f>Kaikki!F218</f>
        <v>44047.625</v>
      </c>
      <c r="B218" s="37" t="str">
        <f>Kaikki!G218</f>
        <v/>
      </c>
      <c r="C218">
        <f>Kaikki!A218</f>
        <v>22</v>
      </c>
      <c r="D218">
        <f>HUS!A218</f>
        <v>19</v>
      </c>
      <c r="E218" s="38">
        <f t="shared" si="3"/>
        <v>0.86363636363636365</v>
      </c>
    </row>
    <row r="219" spans="1:5">
      <c r="A219" s="30">
        <f>Kaikki!F219</f>
        <v>44048.625</v>
      </c>
      <c r="B219" s="37" t="str">
        <f>Kaikki!G219</f>
        <v/>
      </c>
      <c r="C219">
        <f>Kaikki!A219</f>
        <v>29</v>
      </c>
      <c r="D219">
        <f>HUS!A219</f>
        <v>18</v>
      </c>
      <c r="E219" s="38">
        <f t="shared" si="3"/>
        <v>0.62068965517241381</v>
      </c>
    </row>
    <row r="220" spans="1:5">
      <c r="A220" s="30">
        <f>Kaikki!F220</f>
        <v>44049.625</v>
      </c>
      <c r="B220" s="37" t="str">
        <f>Kaikki!G220</f>
        <v/>
      </c>
      <c r="C220">
        <f>Kaikki!A220</f>
        <v>22</v>
      </c>
      <c r="D220">
        <f>HUS!A220</f>
        <v>15</v>
      </c>
      <c r="E220" s="38">
        <f t="shared" si="3"/>
        <v>0.68181818181818177</v>
      </c>
    </row>
    <row r="221" spans="1:5">
      <c r="A221" s="30">
        <f>Kaikki!F221</f>
        <v>44050.625</v>
      </c>
      <c r="B221" s="37" t="str">
        <f>Kaikki!G221</f>
        <v/>
      </c>
      <c r="C221">
        <f>Kaikki!A221</f>
        <v>17</v>
      </c>
      <c r="D221">
        <f>HUS!A221</f>
        <v>11</v>
      </c>
      <c r="E221" s="38">
        <f t="shared" si="3"/>
        <v>0.6470588235294118</v>
      </c>
    </row>
    <row r="222" spans="1:5">
      <c r="A222" s="30">
        <f>Kaikki!F222</f>
        <v>44051.625</v>
      </c>
      <c r="B222" s="37" t="str">
        <f>Kaikki!G222</f>
        <v/>
      </c>
      <c r="C222">
        <f>Kaikki!A222</f>
        <v>9</v>
      </c>
      <c r="D222">
        <f>HUS!A222</f>
        <v>6</v>
      </c>
      <c r="E222" s="38">
        <f t="shared" si="3"/>
        <v>0.66666666666666663</v>
      </c>
    </row>
    <row r="223" spans="1:5">
      <c r="A223" s="30">
        <f>Kaikki!F223</f>
        <v>44052.625</v>
      </c>
      <c r="B223" s="37" t="str">
        <f>Kaikki!G223</f>
        <v/>
      </c>
      <c r="C223">
        <f>Kaikki!A223</f>
        <v>35</v>
      </c>
      <c r="D223">
        <f>HUS!A223</f>
        <v>23</v>
      </c>
      <c r="E223" s="38">
        <f t="shared" si="3"/>
        <v>0.65714285714285714</v>
      </c>
    </row>
    <row r="224" spans="1:5">
      <c r="A224" s="30">
        <f>Kaikki!F224</f>
        <v>44053.625</v>
      </c>
      <c r="B224" s="37" t="str">
        <f>Kaikki!G224</f>
        <v>2020-W33</v>
      </c>
      <c r="C224">
        <f>Kaikki!A224</f>
        <v>15</v>
      </c>
      <c r="D224">
        <f>HUS!A224</f>
        <v>12</v>
      </c>
      <c r="E224" s="38">
        <f t="shared" si="3"/>
        <v>0.8</v>
      </c>
    </row>
    <row r="225" spans="1:5">
      <c r="A225" s="30">
        <f>Kaikki!F225</f>
        <v>44054.625</v>
      </c>
      <c r="B225" s="37" t="str">
        <f>Kaikki!G225</f>
        <v/>
      </c>
      <c r="C225">
        <f>Kaikki!A225</f>
        <v>28</v>
      </c>
      <c r="D225">
        <f>HUS!A225</f>
        <v>23</v>
      </c>
      <c r="E225" s="38">
        <f t="shared" si="3"/>
        <v>0.8214285714285714</v>
      </c>
    </row>
    <row r="226" spans="1:5">
      <c r="A226" s="30">
        <f>Kaikki!F226</f>
        <v>44055.625</v>
      </c>
      <c r="B226" s="37" t="str">
        <f>Kaikki!G226</f>
        <v/>
      </c>
      <c r="C226">
        <f>Kaikki!A226</f>
        <v>27</v>
      </c>
      <c r="D226">
        <f>HUS!A226</f>
        <v>16</v>
      </c>
      <c r="E226" s="38">
        <f t="shared" si="3"/>
        <v>0.59259259259259256</v>
      </c>
    </row>
    <row r="227" spans="1:5">
      <c r="A227" s="30">
        <f>Kaikki!F227</f>
        <v>44056.625</v>
      </c>
      <c r="B227" s="37" t="str">
        <f>Kaikki!G227</f>
        <v/>
      </c>
      <c r="C227">
        <f>Kaikki!A227</f>
        <v>21</v>
      </c>
      <c r="D227">
        <f>HUS!A227</f>
        <v>13</v>
      </c>
      <c r="E227" s="38">
        <f t="shared" si="3"/>
        <v>0.61904761904761907</v>
      </c>
    </row>
    <row r="228" spans="1:5">
      <c r="A228" s="30">
        <f>Kaikki!F228</f>
        <v>44057.625</v>
      </c>
      <c r="B228" s="37" t="str">
        <f>Kaikki!G228</f>
        <v/>
      </c>
      <c r="C228">
        <f>Kaikki!A228</f>
        <v>27</v>
      </c>
      <c r="D228">
        <f>HUS!A228</f>
        <v>17</v>
      </c>
      <c r="E228" s="38">
        <f t="shared" si="3"/>
        <v>0.62962962962962965</v>
      </c>
    </row>
    <row r="229" spans="1:5">
      <c r="A229" s="30">
        <f>Kaikki!F229</f>
        <v>44058.625</v>
      </c>
      <c r="B229" s="37" t="str">
        <f>Kaikki!G229</f>
        <v/>
      </c>
      <c r="C229">
        <f>Kaikki!A229</f>
        <v>14</v>
      </c>
      <c r="D229">
        <f>HUS!A229</f>
        <v>11</v>
      </c>
      <c r="E229" s="38">
        <f t="shared" si="3"/>
        <v>0.7857142857142857</v>
      </c>
    </row>
    <row r="230" spans="1:5">
      <c r="A230" s="30">
        <f>Kaikki!F230</f>
        <v>44059.625</v>
      </c>
      <c r="B230" s="37" t="str">
        <f>Kaikki!G230</f>
        <v/>
      </c>
      <c r="C230">
        <f>Kaikki!A230</f>
        <v>43</v>
      </c>
      <c r="D230">
        <f>HUS!A230</f>
        <v>31</v>
      </c>
      <c r="E230" s="38">
        <f t="shared" si="3"/>
        <v>0.72093023255813948</v>
      </c>
    </row>
    <row r="231" spans="1:5">
      <c r="A231" s="30">
        <f>Kaikki!F231</f>
        <v>44060.625</v>
      </c>
      <c r="B231" s="37" t="str">
        <f>Kaikki!G231</f>
        <v>2020-W34</v>
      </c>
      <c r="C231">
        <f>Kaikki!A231</f>
        <v>27</v>
      </c>
      <c r="D231">
        <f>HUS!A231</f>
        <v>20</v>
      </c>
      <c r="E231" s="38">
        <f t="shared" si="3"/>
        <v>0.7407407407407407</v>
      </c>
    </row>
    <row r="232" spans="1:5">
      <c r="A232" s="30">
        <f>Kaikki!F232</f>
        <v>44061.625</v>
      </c>
      <c r="B232" s="37" t="str">
        <f>Kaikki!G232</f>
        <v/>
      </c>
      <c r="C232">
        <f>Kaikki!A232</f>
        <v>39</v>
      </c>
      <c r="D232">
        <f>HUS!A232</f>
        <v>20</v>
      </c>
      <c r="E232" s="38">
        <f t="shared" si="3"/>
        <v>0.51282051282051277</v>
      </c>
    </row>
    <row r="233" spans="1:5">
      <c r="A233" s="30">
        <f>Kaikki!F233</f>
        <v>44062.625</v>
      </c>
      <c r="B233" s="37" t="str">
        <f>Kaikki!G233</f>
        <v/>
      </c>
      <c r="C233">
        <f>Kaikki!A233</f>
        <v>47</v>
      </c>
      <c r="D233">
        <f>HUS!A233</f>
        <v>34</v>
      </c>
      <c r="E233" s="38">
        <f t="shared" si="3"/>
        <v>0.72340425531914898</v>
      </c>
    </row>
    <row r="234" spans="1:5">
      <c r="A234" s="30">
        <f>Kaikki!F234</f>
        <v>44063.625</v>
      </c>
      <c r="B234" s="37" t="str">
        <f>Kaikki!G234</f>
        <v/>
      </c>
      <c r="C234">
        <f>Kaikki!A234</f>
        <v>27</v>
      </c>
      <c r="D234">
        <f>HUS!A234</f>
        <v>17</v>
      </c>
      <c r="E234" s="38">
        <f t="shared" si="3"/>
        <v>0.62962962962962965</v>
      </c>
    </row>
    <row r="235" spans="1:5">
      <c r="A235" s="30">
        <f>Kaikki!F235</f>
        <v>44064.625</v>
      </c>
      <c r="B235" s="37" t="str">
        <f>Kaikki!G235</f>
        <v/>
      </c>
      <c r="C235">
        <f>Kaikki!A235</f>
        <v>25</v>
      </c>
      <c r="D235">
        <f>HUS!A235</f>
        <v>12</v>
      </c>
      <c r="E235" s="38">
        <f t="shared" si="3"/>
        <v>0.48</v>
      </c>
    </row>
    <row r="236" spans="1:5">
      <c r="A236" s="30">
        <f>Kaikki!F236</f>
        <v>44065.625</v>
      </c>
      <c r="B236" s="37" t="str">
        <f>Kaikki!G236</f>
        <v/>
      </c>
      <c r="C236">
        <f>Kaikki!A236</f>
        <v>16</v>
      </c>
      <c r="D236">
        <f>HUS!A236</f>
        <v>8</v>
      </c>
      <c r="E236" s="38">
        <f t="shared" si="3"/>
        <v>0.5</v>
      </c>
    </row>
    <row r="237" spans="1:5">
      <c r="A237" s="30">
        <f>Kaikki!F237</f>
        <v>44066.625</v>
      </c>
      <c r="B237" s="37" t="str">
        <f>Kaikki!G237</f>
        <v/>
      </c>
      <c r="C237">
        <f>Kaikki!A237</f>
        <v>11</v>
      </c>
      <c r="D237">
        <f>HUS!A237</f>
        <v>7</v>
      </c>
      <c r="E237" s="38">
        <f t="shared" si="3"/>
        <v>0.63636363636363635</v>
      </c>
    </row>
    <row r="238" spans="1:5">
      <c r="A238" s="30">
        <f>Kaikki!F238</f>
        <v>44067.625</v>
      </c>
      <c r="B238" s="37" t="str">
        <f>Kaikki!G238</f>
        <v>2020-W35</v>
      </c>
      <c r="C238">
        <f>Kaikki!A238</f>
        <v>17</v>
      </c>
      <c r="D238">
        <f>HUS!A238</f>
        <v>12</v>
      </c>
      <c r="E238" s="38">
        <f t="shared" si="3"/>
        <v>0.70588235294117652</v>
      </c>
    </row>
    <row r="239" spans="1:5">
      <c r="A239" s="30">
        <f>Kaikki!F239</f>
        <v>44068.625</v>
      </c>
      <c r="B239" s="37" t="str">
        <f>Kaikki!G239</f>
        <v/>
      </c>
      <c r="C239">
        <f>Kaikki!A239</f>
        <v>15</v>
      </c>
      <c r="D239">
        <f>HUS!A239</f>
        <v>9</v>
      </c>
      <c r="E239" s="38">
        <f t="shared" si="3"/>
        <v>0.6</v>
      </c>
    </row>
    <row r="240" spans="1:5">
      <c r="A240" s="30">
        <f>Kaikki!F240</f>
        <v>44069.625</v>
      </c>
      <c r="B240" s="37" t="str">
        <f>Kaikki!G240</f>
        <v/>
      </c>
      <c r="C240">
        <f>Kaikki!A240</f>
        <v>20</v>
      </c>
      <c r="D240">
        <f>HUS!A240</f>
        <v>14</v>
      </c>
      <c r="E240" s="38">
        <f t="shared" si="3"/>
        <v>0.7</v>
      </c>
    </row>
    <row r="241" spans="1:5">
      <c r="A241" s="30">
        <f>Kaikki!F241</f>
        <v>44070.625</v>
      </c>
      <c r="B241" s="37" t="str">
        <f>Kaikki!G241</f>
        <v/>
      </c>
      <c r="C241">
        <f>Kaikki!A241</f>
        <v>32</v>
      </c>
      <c r="D241">
        <f>HUS!A241</f>
        <v>21</v>
      </c>
      <c r="E241" s="38">
        <f t="shared" si="3"/>
        <v>0.65625</v>
      </c>
    </row>
    <row r="242" spans="1:5">
      <c r="A242" s="30">
        <f>Kaikki!F242</f>
        <v>44071.625</v>
      </c>
      <c r="B242" s="37" t="str">
        <f>Kaikki!G242</f>
        <v/>
      </c>
      <c r="C242">
        <f>Kaikki!A242</f>
        <v>35</v>
      </c>
      <c r="D242">
        <f>HUS!A242</f>
        <v>13</v>
      </c>
      <c r="E242" s="38">
        <f t="shared" si="3"/>
        <v>0.37142857142857144</v>
      </c>
    </row>
    <row r="243" spans="1:5">
      <c r="A243" s="30">
        <f>Kaikki!F243</f>
        <v>44072.625</v>
      </c>
      <c r="B243" s="37" t="str">
        <f>Kaikki!G243</f>
        <v/>
      </c>
      <c r="C243">
        <f>Kaikki!A243</f>
        <v>19</v>
      </c>
      <c r="D243">
        <f>HUS!A243</f>
        <v>7</v>
      </c>
      <c r="E243" s="38">
        <f t="shared" si="3"/>
        <v>0.36842105263157893</v>
      </c>
    </row>
    <row r="244" spans="1:5">
      <c r="A244" s="30">
        <f>Kaikki!F244</f>
        <v>44073.625</v>
      </c>
      <c r="B244" s="37" t="str">
        <f>Kaikki!G244</f>
        <v/>
      </c>
      <c r="C244">
        <f>Kaikki!A244</f>
        <v>18</v>
      </c>
      <c r="D244">
        <f>HUS!A244</f>
        <v>11</v>
      </c>
      <c r="E244" s="38">
        <f t="shared" si="3"/>
        <v>0.61111111111111116</v>
      </c>
    </row>
    <row r="245" spans="1:5">
      <c r="A245" s="30">
        <f>Kaikki!F245</f>
        <v>44074.625</v>
      </c>
      <c r="B245" s="37" t="str">
        <f>Kaikki!G245</f>
        <v>2020-W36</v>
      </c>
      <c r="C245">
        <f>Kaikki!A245</f>
        <v>48</v>
      </c>
      <c r="D245">
        <f>HUS!A245</f>
        <v>19</v>
      </c>
      <c r="E245" s="38">
        <f t="shared" si="3"/>
        <v>0.39583333333333331</v>
      </c>
    </row>
    <row r="246" spans="1:5">
      <c r="A246" s="30">
        <f>Kaikki!F246</f>
        <v>44075.625</v>
      </c>
      <c r="B246" s="37" t="str">
        <f>Kaikki!G246</f>
        <v/>
      </c>
      <c r="C246">
        <f>Kaikki!A246</f>
        <v>29</v>
      </c>
      <c r="D246">
        <f>HUS!A246</f>
        <v>17</v>
      </c>
      <c r="E246" s="38">
        <f t="shared" si="3"/>
        <v>0.58620689655172409</v>
      </c>
    </row>
    <row r="247" spans="1:5">
      <c r="A247" s="30">
        <f>Kaikki!F247</f>
        <v>44076.625</v>
      </c>
      <c r="B247" s="37" t="str">
        <f>Kaikki!G247</f>
        <v/>
      </c>
      <c r="C247">
        <f>Kaikki!A247</f>
        <v>26</v>
      </c>
      <c r="D247">
        <f>HUS!A247</f>
        <v>15</v>
      </c>
      <c r="E247" s="38">
        <f t="shared" si="3"/>
        <v>0.57692307692307687</v>
      </c>
    </row>
    <row r="248" spans="1:5">
      <c r="A248" s="30">
        <f>Kaikki!F248</f>
        <v>44077.625</v>
      </c>
      <c r="B248" s="37" t="str">
        <f>Kaikki!G248</f>
        <v/>
      </c>
      <c r="C248">
        <f>Kaikki!A248</f>
        <v>35</v>
      </c>
      <c r="D248">
        <f>HUS!A248</f>
        <v>15</v>
      </c>
      <c r="E248" s="38">
        <f t="shared" si="3"/>
        <v>0.42857142857142855</v>
      </c>
    </row>
    <row r="249" spans="1:5">
      <c r="A249" s="30">
        <f>Kaikki!F249</f>
        <v>44078.625</v>
      </c>
      <c r="B249" s="37" t="str">
        <f>Kaikki!G249</f>
        <v/>
      </c>
      <c r="C249">
        <f>Kaikki!A249</f>
        <v>42</v>
      </c>
      <c r="D249">
        <f>HUS!A249</f>
        <v>24</v>
      </c>
      <c r="E249" s="38">
        <f t="shared" si="3"/>
        <v>0.5714285714285714</v>
      </c>
    </row>
    <row r="250" spans="1:5">
      <c r="A250" s="30">
        <f>Kaikki!F250</f>
        <v>44079.625</v>
      </c>
      <c r="B250" s="37" t="str">
        <f>Kaikki!G250</f>
        <v/>
      </c>
      <c r="C250">
        <f>Kaikki!A250</f>
        <v>22</v>
      </c>
      <c r="D250">
        <f>HUS!A250</f>
        <v>13</v>
      </c>
      <c r="E250" s="38">
        <f t="shared" si="3"/>
        <v>0.59090909090909094</v>
      </c>
    </row>
    <row r="251" spans="1:5">
      <c r="A251" s="30">
        <f>Kaikki!F251</f>
        <v>44080.625</v>
      </c>
      <c r="B251" s="37" t="str">
        <f>Kaikki!G251</f>
        <v/>
      </c>
      <c r="C251">
        <f>Kaikki!A251</f>
        <v>33</v>
      </c>
      <c r="D251">
        <f>HUS!A251</f>
        <v>17</v>
      </c>
      <c r="E251" s="38">
        <f t="shared" si="3"/>
        <v>0.51515151515151514</v>
      </c>
    </row>
    <row r="252" spans="1:5">
      <c r="A252" s="30">
        <f>Kaikki!F252</f>
        <v>44081.625</v>
      </c>
      <c r="B252" s="37" t="str">
        <f>Kaikki!G252</f>
        <v>2020-W37</v>
      </c>
      <c r="C252">
        <f>Kaikki!A252</f>
        <v>45</v>
      </c>
      <c r="D252">
        <f>HUS!A252</f>
        <v>22</v>
      </c>
      <c r="E252" s="38">
        <f t="shared" si="3"/>
        <v>0.48888888888888887</v>
      </c>
    </row>
    <row r="253" spans="1:5">
      <c r="A253" s="30">
        <f>Kaikki!F253</f>
        <v>44082.625</v>
      </c>
      <c r="B253" s="37" t="str">
        <f>Kaikki!G253</f>
        <v/>
      </c>
      <c r="C253">
        <f>Kaikki!A253</f>
        <v>57</v>
      </c>
      <c r="D253">
        <f>HUS!A253</f>
        <v>19</v>
      </c>
      <c r="E253" s="38">
        <f t="shared" si="3"/>
        <v>0.33333333333333331</v>
      </c>
    </row>
    <row r="254" spans="1:5">
      <c r="A254" s="30">
        <f>Kaikki!F254</f>
        <v>44083.625</v>
      </c>
      <c r="B254" s="37" t="str">
        <f>Kaikki!G254</f>
        <v/>
      </c>
      <c r="C254">
        <f>Kaikki!A254</f>
        <v>55</v>
      </c>
      <c r="D254">
        <f>HUS!A254</f>
        <v>22</v>
      </c>
      <c r="E254" s="38">
        <f t="shared" si="3"/>
        <v>0.4</v>
      </c>
    </row>
    <row r="255" spans="1:5">
      <c r="A255" s="30">
        <f>Kaikki!F255</f>
        <v>44084.625</v>
      </c>
      <c r="B255" s="37" t="str">
        <f>Kaikki!G255</f>
        <v/>
      </c>
      <c r="C255">
        <f>Kaikki!A255</f>
        <v>54</v>
      </c>
      <c r="D255">
        <f>HUS!A255</f>
        <v>17</v>
      </c>
      <c r="E255" s="38">
        <f t="shared" si="3"/>
        <v>0.31481481481481483</v>
      </c>
    </row>
    <row r="256" spans="1:5">
      <c r="A256" s="30">
        <f>Kaikki!F256</f>
        <v>44085.625</v>
      </c>
      <c r="B256" s="37" t="str">
        <f>Kaikki!G256</f>
        <v/>
      </c>
      <c r="C256">
        <f>Kaikki!A256</f>
        <v>58</v>
      </c>
      <c r="D256">
        <f>HUS!A256</f>
        <v>25</v>
      </c>
      <c r="E256" s="38">
        <f t="shared" si="3"/>
        <v>0.43103448275862066</v>
      </c>
    </row>
    <row r="257" spans="1:5">
      <c r="A257" s="30">
        <f>Kaikki!F257</f>
        <v>44086.625</v>
      </c>
      <c r="B257" s="37" t="str">
        <f>Kaikki!G257</f>
        <v/>
      </c>
      <c r="C257">
        <f>Kaikki!A257</f>
        <v>40</v>
      </c>
      <c r="D257">
        <f>HUS!A257</f>
        <v>14</v>
      </c>
      <c r="E257" s="38">
        <f t="shared" si="3"/>
        <v>0.35</v>
      </c>
    </row>
    <row r="258" spans="1:5">
      <c r="A258" s="30">
        <f>Kaikki!F258</f>
        <v>44087.625</v>
      </c>
      <c r="B258" s="37" t="str">
        <f>Kaikki!G258</f>
        <v/>
      </c>
      <c r="C258">
        <f>Kaikki!A258</f>
        <v>46</v>
      </c>
      <c r="D258">
        <f>HUS!A258</f>
        <v>15</v>
      </c>
      <c r="E258" s="38">
        <f t="shared" si="3"/>
        <v>0.32608695652173914</v>
      </c>
    </row>
    <row r="259" spans="1:5">
      <c r="A259" s="30">
        <f>Kaikki!F259</f>
        <v>44088.625</v>
      </c>
      <c r="B259" s="37" t="str">
        <f>Kaikki!G259</f>
        <v>2020-W38</v>
      </c>
      <c r="C259">
        <f>Kaikki!A259</f>
        <v>59</v>
      </c>
      <c r="D259">
        <f>HUS!A259</f>
        <v>15</v>
      </c>
      <c r="E259" s="38">
        <f t="shared" ref="E259:E322" si="4">D259/C259</f>
        <v>0.25423728813559321</v>
      </c>
    </row>
    <row r="260" spans="1:5">
      <c r="A260" s="30">
        <f>Kaikki!F260</f>
        <v>44089.625</v>
      </c>
      <c r="B260" s="37" t="str">
        <f>Kaikki!G260</f>
        <v/>
      </c>
      <c r="C260">
        <f>Kaikki!A260</f>
        <v>53</v>
      </c>
      <c r="D260">
        <f>HUS!A260</f>
        <v>25</v>
      </c>
      <c r="E260" s="38">
        <f t="shared" si="4"/>
        <v>0.47169811320754718</v>
      </c>
    </row>
    <row r="261" spans="1:5">
      <c r="A261" s="30">
        <f>Kaikki!F261</f>
        <v>44090.625</v>
      </c>
      <c r="B261" s="37" t="str">
        <f>Kaikki!G261</f>
        <v/>
      </c>
      <c r="C261">
        <f>Kaikki!A261</f>
        <v>57</v>
      </c>
      <c r="D261">
        <f>HUS!A261</f>
        <v>25</v>
      </c>
      <c r="E261" s="38">
        <f t="shared" si="4"/>
        <v>0.43859649122807015</v>
      </c>
    </row>
    <row r="262" spans="1:5">
      <c r="A262" s="30">
        <f>Kaikki!F262</f>
        <v>44091.625</v>
      </c>
      <c r="B262" s="37" t="str">
        <f>Kaikki!G262</f>
        <v/>
      </c>
      <c r="C262">
        <f>Kaikki!A262</f>
        <v>85</v>
      </c>
      <c r="D262">
        <f>HUS!A262</f>
        <v>42</v>
      </c>
      <c r="E262" s="38">
        <f t="shared" si="4"/>
        <v>0.49411764705882355</v>
      </c>
    </row>
    <row r="263" spans="1:5">
      <c r="A263" s="30">
        <f>Kaikki!F263</f>
        <v>44092.625</v>
      </c>
      <c r="B263" s="37" t="str">
        <f>Kaikki!G263</f>
        <v/>
      </c>
      <c r="C263">
        <f>Kaikki!A263</f>
        <v>77</v>
      </c>
      <c r="D263">
        <f>HUS!A263</f>
        <v>42</v>
      </c>
      <c r="E263" s="38">
        <f t="shared" si="4"/>
        <v>0.54545454545454541</v>
      </c>
    </row>
    <row r="264" spans="1:5">
      <c r="A264" s="30">
        <f>Kaikki!F264</f>
        <v>44093.625</v>
      </c>
      <c r="B264" s="37" t="str">
        <f>Kaikki!G264</f>
        <v/>
      </c>
      <c r="C264">
        <f>Kaikki!A264</f>
        <v>64</v>
      </c>
      <c r="D264">
        <f>HUS!A264</f>
        <v>41</v>
      </c>
      <c r="E264" s="38">
        <f t="shared" si="4"/>
        <v>0.640625</v>
      </c>
    </row>
    <row r="265" spans="1:5">
      <c r="A265" s="30">
        <f>Kaikki!F265</f>
        <v>44094.625</v>
      </c>
      <c r="B265" s="37" t="str">
        <f>Kaikki!G265</f>
        <v/>
      </c>
      <c r="C265">
        <f>Kaikki!A265</f>
        <v>74</v>
      </c>
      <c r="D265">
        <f>HUS!A265</f>
        <v>41</v>
      </c>
      <c r="E265" s="38">
        <f t="shared" si="4"/>
        <v>0.55405405405405406</v>
      </c>
    </row>
    <row r="266" spans="1:5">
      <c r="A266" s="30">
        <f>Kaikki!F266</f>
        <v>44095.625</v>
      </c>
      <c r="B266" s="37" t="str">
        <f>Kaikki!G266</f>
        <v>2020-W39</v>
      </c>
      <c r="C266">
        <f>Kaikki!A266</f>
        <v>120</v>
      </c>
      <c r="D266">
        <f>HUS!A266</f>
        <v>66</v>
      </c>
      <c r="E266" s="38">
        <f t="shared" si="4"/>
        <v>0.55000000000000004</v>
      </c>
    </row>
    <row r="267" spans="1:5">
      <c r="A267" s="30">
        <f>Kaikki!F267</f>
        <v>44096.625</v>
      </c>
      <c r="B267" s="37" t="str">
        <f>Kaikki!G267</f>
        <v/>
      </c>
      <c r="C267">
        <f>Kaikki!A267</f>
        <v>110</v>
      </c>
      <c r="D267">
        <f>HUS!A267</f>
        <v>52</v>
      </c>
      <c r="E267" s="38">
        <f t="shared" si="4"/>
        <v>0.47272727272727272</v>
      </c>
    </row>
    <row r="268" spans="1:5">
      <c r="A268" s="30">
        <f>Kaikki!F268</f>
        <v>44097.625</v>
      </c>
      <c r="B268" s="37" t="str">
        <f>Kaikki!G268</f>
        <v/>
      </c>
      <c r="C268">
        <f>Kaikki!A268</f>
        <v>117</v>
      </c>
      <c r="D268">
        <f>HUS!A268</f>
        <v>68</v>
      </c>
      <c r="E268" s="38">
        <f t="shared" si="4"/>
        <v>0.58119658119658124</v>
      </c>
    </row>
    <row r="269" spans="1:5">
      <c r="A269" s="30">
        <f>Kaikki!F269</f>
        <v>44098.625</v>
      </c>
      <c r="B269" s="37" t="str">
        <f>Kaikki!G269</f>
        <v/>
      </c>
      <c r="C269">
        <f>Kaikki!A269</f>
        <v>98</v>
      </c>
      <c r="D269">
        <f>HUS!A269</f>
        <v>67</v>
      </c>
      <c r="E269" s="38">
        <f t="shared" si="4"/>
        <v>0.68367346938775508</v>
      </c>
    </row>
    <row r="270" spans="1:5">
      <c r="A270" s="30">
        <f>Kaikki!F270</f>
        <v>44099.625</v>
      </c>
      <c r="B270" s="37" t="str">
        <f>Kaikki!G270</f>
        <v/>
      </c>
      <c r="C270">
        <f>Kaikki!A270</f>
        <v>128</v>
      </c>
      <c r="D270">
        <f>HUS!A270</f>
        <v>85</v>
      </c>
      <c r="E270" s="38">
        <f t="shared" si="4"/>
        <v>0.6640625</v>
      </c>
    </row>
    <row r="271" spans="1:5">
      <c r="A271" s="30">
        <f>Kaikki!F271</f>
        <v>44100.625</v>
      </c>
      <c r="B271" s="37" t="str">
        <f>Kaikki!G271</f>
        <v/>
      </c>
      <c r="C271">
        <f>Kaikki!A271</f>
        <v>74</v>
      </c>
      <c r="D271">
        <f>HUS!A271</f>
        <v>47</v>
      </c>
      <c r="E271" s="38">
        <f t="shared" si="4"/>
        <v>0.63513513513513509</v>
      </c>
    </row>
    <row r="272" spans="1:5">
      <c r="A272" s="30">
        <f>Kaikki!F272</f>
        <v>44101.625</v>
      </c>
      <c r="B272" s="37" t="str">
        <f>Kaikki!G272</f>
        <v/>
      </c>
      <c r="C272">
        <f>Kaikki!A272</f>
        <v>70</v>
      </c>
      <c r="D272">
        <f>HUS!A272</f>
        <v>53</v>
      </c>
      <c r="E272" s="38">
        <f t="shared" si="4"/>
        <v>0.75714285714285712</v>
      </c>
    </row>
    <row r="273" spans="1:5">
      <c r="A273" s="30">
        <f>Kaikki!F273</f>
        <v>44102.625</v>
      </c>
      <c r="B273" s="37" t="str">
        <f>Kaikki!G273</f>
        <v>2020-W40</v>
      </c>
      <c r="C273">
        <f>Kaikki!A273</f>
        <v>124</v>
      </c>
      <c r="D273">
        <f>HUS!A273</f>
        <v>85</v>
      </c>
      <c r="E273" s="38">
        <f t="shared" si="4"/>
        <v>0.68548387096774188</v>
      </c>
    </row>
    <row r="274" spans="1:5">
      <c r="A274" s="30">
        <f>Kaikki!F274</f>
        <v>44103.625</v>
      </c>
      <c r="B274" s="37" t="str">
        <f>Kaikki!G274</f>
        <v/>
      </c>
      <c r="C274">
        <f>Kaikki!A274</f>
        <v>134</v>
      </c>
      <c r="D274">
        <f>HUS!A274</f>
        <v>81</v>
      </c>
      <c r="E274" s="38">
        <f t="shared" si="4"/>
        <v>0.60447761194029848</v>
      </c>
    </row>
    <row r="275" spans="1:5">
      <c r="A275" s="30">
        <f>Kaikki!F275</f>
        <v>44104.625</v>
      </c>
      <c r="B275" s="37" t="str">
        <f>Kaikki!G275</f>
        <v/>
      </c>
      <c r="C275">
        <f>Kaikki!A275</f>
        <v>167</v>
      </c>
      <c r="D275">
        <f>HUS!A275</f>
        <v>93</v>
      </c>
      <c r="E275" s="38">
        <f t="shared" si="4"/>
        <v>0.55688622754491013</v>
      </c>
    </row>
    <row r="276" spans="1:5">
      <c r="A276" s="30">
        <f>Kaikki!F276</f>
        <v>44105.625</v>
      </c>
      <c r="B276" s="37" t="str">
        <f>Kaikki!G276</f>
        <v/>
      </c>
      <c r="C276">
        <f>Kaikki!A276</f>
        <v>191</v>
      </c>
      <c r="D276">
        <f>HUS!A276</f>
        <v>79</v>
      </c>
      <c r="E276" s="38">
        <f t="shared" si="4"/>
        <v>0.41361256544502617</v>
      </c>
    </row>
    <row r="277" spans="1:5">
      <c r="A277" s="30">
        <f>Kaikki!F277</f>
        <v>44106.625</v>
      </c>
      <c r="B277" s="37" t="str">
        <f>Kaikki!G277</f>
        <v/>
      </c>
      <c r="C277">
        <f>Kaikki!A277</f>
        <v>187</v>
      </c>
      <c r="D277">
        <f>HUS!A277</f>
        <v>79</v>
      </c>
      <c r="E277" s="38">
        <f t="shared" si="4"/>
        <v>0.42245989304812837</v>
      </c>
    </row>
    <row r="278" spans="1:5">
      <c r="A278" s="30">
        <f>Kaikki!F278</f>
        <v>44107.625</v>
      </c>
      <c r="B278" s="37" t="str">
        <f>Kaikki!G278</f>
        <v/>
      </c>
      <c r="C278">
        <f>Kaikki!A278</f>
        <v>178</v>
      </c>
      <c r="D278">
        <f>HUS!A278</f>
        <v>72</v>
      </c>
      <c r="E278" s="38">
        <f t="shared" si="4"/>
        <v>0.4044943820224719</v>
      </c>
    </row>
    <row r="279" spans="1:5">
      <c r="A279" s="30">
        <f>Kaikki!F279</f>
        <v>44108.625</v>
      </c>
      <c r="B279" s="37" t="str">
        <f>Kaikki!G279</f>
        <v/>
      </c>
      <c r="C279">
        <f>Kaikki!A279</f>
        <v>148</v>
      </c>
      <c r="D279">
        <f>HUS!A279</f>
        <v>78</v>
      </c>
      <c r="E279" s="38">
        <f t="shared" si="4"/>
        <v>0.52702702702702697</v>
      </c>
    </row>
    <row r="280" spans="1:5">
      <c r="A280" s="30">
        <f>Kaikki!F280</f>
        <v>44109.625</v>
      </c>
      <c r="B280" s="37" t="str">
        <f>Kaikki!G280</f>
        <v>2020-W41</v>
      </c>
      <c r="C280">
        <f>Kaikki!A280</f>
        <v>291</v>
      </c>
      <c r="D280">
        <f>HUS!A280</f>
        <v>119</v>
      </c>
      <c r="E280" s="38">
        <f t="shared" si="4"/>
        <v>0.40893470790378006</v>
      </c>
    </row>
    <row r="281" spans="1:5">
      <c r="A281" s="30">
        <f>Kaikki!F281</f>
        <v>44110.625</v>
      </c>
      <c r="B281" s="37" t="str">
        <f>Kaikki!G281</f>
        <v/>
      </c>
      <c r="C281">
        <f>Kaikki!A281</f>
        <v>302</v>
      </c>
      <c r="D281">
        <f>HUS!A281</f>
        <v>129</v>
      </c>
      <c r="E281" s="38">
        <f t="shared" si="4"/>
        <v>0.42715231788079472</v>
      </c>
    </row>
    <row r="282" spans="1:5">
      <c r="A282" s="30">
        <f>Kaikki!F282</f>
        <v>44111.625</v>
      </c>
      <c r="B282" s="37" t="str">
        <f>Kaikki!G282</f>
        <v/>
      </c>
      <c r="C282">
        <f>Kaikki!A282</f>
        <v>306</v>
      </c>
      <c r="D282">
        <f>HUS!A282</f>
        <v>120</v>
      </c>
      <c r="E282" s="38">
        <f t="shared" si="4"/>
        <v>0.39215686274509803</v>
      </c>
    </row>
    <row r="283" spans="1:5">
      <c r="A283" s="30">
        <f>Kaikki!F283</f>
        <v>44112.625</v>
      </c>
      <c r="B283" s="37" t="str">
        <f>Kaikki!G283</f>
        <v/>
      </c>
      <c r="C283">
        <f>Kaikki!A283</f>
        <v>259</v>
      </c>
      <c r="D283">
        <f>HUS!A283</f>
        <v>136</v>
      </c>
      <c r="E283" s="38">
        <f t="shared" si="4"/>
        <v>0.52509652509652505</v>
      </c>
    </row>
    <row r="284" spans="1:5">
      <c r="A284" s="30">
        <f>Kaikki!F284</f>
        <v>44113.625</v>
      </c>
      <c r="B284" s="37" t="str">
        <f>Kaikki!G284</f>
        <v/>
      </c>
      <c r="C284">
        <f>Kaikki!A284</f>
        <v>226</v>
      </c>
      <c r="D284">
        <f>HUS!A284</f>
        <v>126</v>
      </c>
      <c r="E284" s="38">
        <f t="shared" si="4"/>
        <v>0.55752212389380529</v>
      </c>
    </row>
    <row r="285" spans="1:5">
      <c r="A285" s="30">
        <f>Kaikki!F285</f>
        <v>44114.625</v>
      </c>
      <c r="B285" s="37" t="str">
        <f>Kaikki!G285</f>
        <v/>
      </c>
      <c r="C285">
        <f>Kaikki!A285</f>
        <v>110</v>
      </c>
      <c r="D285">
        <f>HUS!A285</f>
        <v>53</v>
      </c>
      <c r="E285" s="38">
        <f t="shared" si="4"/>
        <v>0.48181818181818181</v>
      </c>
    </row>
    <row r="286" spans="1:5">
      <c r="A286" s="30">
        <f>Kaikki!F286</f>
        <v>44115.625</v>
      </c>
      <c r="B286" s="37" t="str">
        <f>Kaikki!G286</f>
        <v/>
      </c>
      <c r="C286">
        <f>Kaikki!A286</f>
        <v>131</v>
      </c>
      <c r="D286">
        <f>HUS!A286</f>
        <v>74</v>
      </c>
      <c r="E286" s="38">
        <f t="shared" si="4"/>
        <v>0.56488549618320616</v>
      </c>
    </row>
    <row r="287" spans="1:5">
      <c r="A287" s="30">
        <f>Kaikki!F287</f>
        <v>44116.625</v>
      </c>
      <c r="B287" s="37" t="str">
        <f>Kaikki!G287</f>
        <v>2020-W42</v>
      </c>
      <c r="C287">
        <f>Kaikki!A287</f>
        <v>256</v>
      </c>
      <c r="D287">
        <f>HUS!A287</f>
        <v>135</v>
      </c>
      <c r="E287" s="38">
        <f t="shared" si="4"/>
        <v>0.52734375</v>
      </c>
    </row>
    <row r="288" spans="1:5">
      <c r="A288" s="30">
        <f>Kaikki!F288</f>
        <v>44117.625</v>
      </c>
      <c r="B288" s="37" t="str">
        <f>Kaikki!G288</f>
        <v/>
      </c>
      <c r="C288">
        <f>Kaikki!A288</f>
        <v>199</v>
      </c>
      <c r="D288">
        <f>HUS!A288</f>
        <v>118</v>
      </c>
      <c r="E288" s="38">
        <f t="shared" si="4"/>
        <v>0.59296482412060303</v>
      </c>
    </row>
    <row r="289" spans="1:5">
      <c r="A289" s="30">
        <f>Kaikki!F289</f>
        <v>44118.625</v>
      </c>
      <c r="B289" s="37" t="str">
        <f>Kaikki!G289</f>
        <v/>
      </c>
      <c r="C289">
        <f>Kaikki!A289</f>
        <v>202</v>
      </c>
      <c r="D289">
        <f>HUS!A289</f>
        <v>87</v>
      </c>
      <c r="E289" s="38">
        <f t="shared" si="4"/>
        <v>0.43069306930693069</v>
      </c>
    </row>
    <row r="290" spans="1:5">
      <c r="A290" s="30">
        <f>Kaikki!F290</f>
        <v>44119.625</v>
      </c>
      <c r="B290" s="37" t="str">
        <f>Kaikki!G290</f>
        <v/>
      </c>
      <c r="C290">
        <f>Kaikki!A290</f>
        <v>190</v>
      </c>
      <c r="D290">
        <f>HUS!A290</f>
        <v>116</v>
      </c>
      <c r="E290" s="38">
        <f t="shared" si="4"/>
        <v>0.61052631578947369</v>
      </c>
    </row>
    <row r="291" spans="1:5">
      <c r="A291" s="30">
        <f>Kaikki!F291</f>
        <v>44120.625</v>
      </c>
      <c r="B291" s="37" t="str">
        <f>Kaikki!G291</f>
        <v/>
      </c>
      <c r="C291">
        <f>Kaikki!A291</f>
        <v>195</v>
      </c>
      <c r="D291">
        <f>HUS!A291</f>
        <v>119</v>
      </c>
      <c r="E291" s="38">
        <f t="shared" si="4"/>
        <v>0.61025641025641031</v>
      </c>
    </row>
    <row r="292" spans="1:5">
      <c r="A292" s="30">
        <f>Kaikki!F292</f>
        <v>44121.625</v>
      </c>
      <c r="B292" s="37" t="str">
        <f>Kaikki!G292</f>
        <v/>
      </c>
      <c r="C292">
        <f>Kaikki!A292</f>
        <v>104</v>
      </c>
      <c r="D292">
        <f>HUS!A292</f>
        <v>51</v>
      </c>
      <c r="E292" s="38">
        <f t="shared" si="4"/>
        <v>0.49038461538461536</v>
      </c>
    </row>
    <row r="293" spans="1:5">
      <c r="A293" s="30">
        <f>Kaikki!F293</f>
        <v>44122.625</v>
      </c>
      <c r="B293" s="37" t="str">
        <f>Kaikki!G293</f>
        <v/>
      </c>
      <c r="C293">
        <f>Kaikki!A293</f>
        <v>129</v>
      </c>
      <c r="D293">
        <f>HUS!A293</f>
        <v>85</v>
      </c>
      <c r="E293" s="38">
        <f t="shared" si="4"/>
        <v>0.65891472868217049</v>
      </c>
    </row>
    <row r="294" spans="1:5">
      <c r="A294" s="30">
        <f>Kaikki!F294</f>
        <v>44123.625</v>
      </c>
      <c r="B294" s="37" t="str">
        <f>Kaikki!G294</f>
        <v>2020-W43</v>
      </c>
      <c r="C294">
        <f>Kaikki!A294</f>
        <v>243</v>
      </c>
      <c r="D294">
        <f>HUS!A294</f>
        <v>127</v>
      </c>
      <c r="E294" s="38">
        <f t="shared" si="4"/>
        <v>0.52263374485596703</v>
      </c>
    </row>
    <row r="295" spans="1:5">
      <c r="A295" s="30">
        <f>Kaikki!F295</f>
        <v>44124.625</v>
      </c>
      <c r="B295" s="37" t="str">
        <f>Kaikki!G295</f>
        <v/>
      </c>
      <c r="C295">
        <f>Kaikki!A295</f>
        <v>167</v>
      </c>
      <c r="D295">
        <f>HUS!A295</f>
        <v>90</v>
      </c>
      <c r="E295" s="38">
        <f t="shared" si="4"/>
        <v>0.53892215568862278</v>
      </c>
    </row>
    <row r="296" spans="1:5">
      <c r="A296" s="30">
        <f>Kaikki!F296</f>
        <v>44125.625</v>
      </c>
      <c r="B296" s="37" t="str">
        <f>Kaikki!G296</f>
        <v/>
      </c>
      <c r="C296">
        <f>Kaikki!A296</f>
        <v>188</v>
      </c>
      <c r="D296">
        <f>HUS!A296</f>
        <v>105</v>
      </c>
      <c r="E296" s="38">
        <f t="shared" si="4"/>
        <v>0.55851063829787229</v>
      </c>
    </row>
    <row r="297" spans="1:5">
      <c r="A297" s="30">
        <f>Kaikki!F297</f>
        <v>44126.625</v>
      </c>
      <c r="B297" s="37" t="str">
        <f>Kaikki!G297</f>
        <v/>
      </c>
      <c r="C297">
        <f>Kaikki!A297</f>
        <v>220</v>
      </c>
      <c r="D297">
        <f>HUS!A297</f>
        <v>111</v>
      </c>
      <c r="E297" s="38">
        <f t="shared" si="4"/>
        <v>0.50454545454545452</v>
      </c>
    </row>
    <row r="298" spans="1:5">
      <c r="A298" s="30">
        <f>Kaikki!F298</f>
        <v>44127.625</v>
      </c>
      <c r="B298" s="37" t="str">
        <f>Kaikki!G298</f>
        <v/>
      </c>
      <c r="C298">
        <f>Kaikki!A298</f>
        <v>193</v>
      </c>
      <c r="D298">
        <f>HUS!A298</f>
        <v>103</v>
      </c>
      <c r="E298" s="38">
        <f t="shared" si="4"/>
        <v>0.53367875647668395</v>
      </c>
    </row>
    <row r="299" spans="1:5">
      <c r="A299" s="30">
        <f>Kaikki!F299</f>
        <v>44128.625</v>
      </c>
      <c r="B299" s="37" t="str">
        <f>Kaikki!G299</f>
        <v/>
      </c>
      <c r="C299">
        <f>Kaikki!A299</f>
        <v>107</v>
      </c>
      <c r="D299">
        <f>HUS!A299</f>
        <v>66</v>
      </c>
      <c r="E299" s="38">
        <f t="shared" si="4"/>
        <v>0.61682242990654201</v>
      </c>
    </row>
    <row r="300" spans="1:5">
      <c r="A300" s="30">
        <f>Kaikki!F300</f>
        <v>44129.625</v>
      </c>
      <c r="B300" s="37" t="str">
        <f>Kaikki!G300</f>
        <v/>
      </c>
      <c r="C300">
        <f>Kaikki!A300</f>
        <v>124</v>
      </c>
      <c r="D300">
        <f>HUS!A300</f>
        <v>71</v>
      </c>
      <c r="E300" s="38">
        <f t="shared" si="4"/>
        <v>0.57258064516129037</v>
      </c>
    </row>
    <row r="301" spans="1:5">
      <c r="A301" s="30">
        <f>Kaikki!F301</f>
        <v>44130.625</v>
      </c>
      <c r="B301" s="37" t="str">
        <f>Kaikki!G301</f>
        <v>2020-W44</v>
      </c>
      <c r="C301">
        <f>Kaikki!A301</f>
        <v>255</v>
      </c>
      <c r="D301">
        <f>HUS!A301</f>
        <v>133</v>
      </c>
      <c r="E301" s="38">
        <f t="shared" si="4"/>
        <v>0.52156862745098043</v>
      </c>
    </row>
    <row r="302" spans="1:5">
      <c r="A302" s="30">
        <f>Kaikki!F302</f>
        <v>44131.625</v>
      </c>
      <c r="B302" s="37" t="str">
        <f>Kaikki!G302</f>
        <v/>
      </c>
      <c r="C302">
        <f>Kaikki!A302</f>
        <v>232</v>
      </c>
      <c r="D302">
        <f>HUS!A302</f>
        <v>121</v>
      </c>
      <c r="E302" s="38">
        <f t="shared" si="4"/>
        <v>0.52155172413793105</v>
      </c>
    </row>
    <row r="303" spans="1:5">
      <c r="A303" s="30">
        <f>Kaikki!F303</f>
        <v>44132.625</v>
      </c>
      <c r="B303" s="37" t="str">
        <f>Kaikki!G303</f>
        <v/>
      </c>
      <c r="C303">
        <f>Kaikki!A303</f>
        <v>240</v>
      </c>
      <c r="D303">
        <f>HUS!A303</f>
        <v>121</v>
      </c>
      <c r="E303" s="38">
        <f t="shared" si="4"/>
        <v>0.50416666666666665</v>
      </c>
    </row>
    <row r="304" spans="1:5">
      <c r="A304" s="30">
        <f>Kaikki!F304</f>
        <v>44133.625</v>
      </c>
      <c r="B304" s="37" t="str">
        <f>Kaikki!G304</f>
        <v/>
      </c>
      <c r="C304">
        <f>Kaikki!A304</f>
        <v>237</v>
      </c>
      <c r="D304">
        <f>HUS!A304</f>
        <v>102</v>
      </c>
      <c r="E304" s="38">
        <f t="shared" si="4"/>
        <v>0.43037974683544306</v>
      </c>
    </row>
    <row r="305" spans="1:5">
      <c r="A305" s="30">
        <f>Kaikki!F305</f>
        <v>44134.625</v>
      </c>
      <c r="B305" s="37" t="str">
        <f>Kaikki!G305</f>
        <v/>
      </c>
      <c r="C305">
        <f>Kaikki!A305</f>
        <v>220</v>
      </c>
      <c r="D305">
        <f>HUS!A305</f>
        <v>123</v>
      </c>
      <c r="E305" s="38">
        <f t="shared" si="4"/>
        <v>0.55909090909090908</v>
      </c>
    </row>
    <row r="306" spans="1:5">
      <c r="A306" s="30">
        <f>Kaikki!F306</f>
        <v>44135.625</v>
      </c>
      <c r="B306" s="37" t="str">
        <f>Kaikki!G306</f>
        <v/>
      </c>
      <c r="C306">
        <f>Kaikki!A306</f>
        <v>121</v>
      </c>
      <c r="D306">
        <f>HUS!A306</f>
        <v>72</v>
      </c>
      <c r="E306" s="38">
        <f t="shared" si="4"/>
        <v>0.5950413223140496</v>
      </c>
    </row>
    <row r="307" spans="1:5">
      <c r="A307" s="30">
        <f>Kaikki!F307</f>
        <v>44136.625</v>
      </c>
      <c r="B307" s="37" t="str">
        <f>Kaikki!G307</f>
        <v/>
      </c>
      <c r="C307">
        <f>Kaikki!A307</f>
        <v>151</v>
      </c>
      <c r="D307">
        <f>HUS!A307</f>
        <v>93</v>
      </c>
      <c r="E307" s="38">
        <f t="shared" si="4"/>
        <v>0.61589403973509937</v>
      </c>
    </row>
    <row r="308" spans="1:5">
      <c r="A308" s="30">
        <f>Kaikki!F308</f>
        <v>44137.625</v>
      </c>
      <c r="B308" s="37" t="str">
        <f>Kaikki!G308</f>
        <v>2020-W45</v>
      </c>
      <c r="C308">
        <f>Kaikki!A308</f>
        <v>287</v>
      </c>
      <c r="D308">
        <f>HUS!A308</f>
        <v>155</v>
      </c>
      <c r="E308" s="38">
        <f t="shared" si="4"/>
        <v>0.54006968641114983</v>
      </c>
    </row>
    <row r="309" spans="1:5">
      <c r="A309" s="30">
        <f>Kaikki!F309</f>
        <v>44138.625</v>
      </c>
      <c r="B309" s="37" t="str">
        <f>Kaikki!G309</f>
        <v/>
      </c>
      <c r="C309">
        <f>Kaikki!A309</f>
        <v>241</v>
      </c>
      <c r="D309">
        <f>HUS!A309</f>
        <v>149</v>
      </c>
      <c r="E309" s="38">
        <f t="shared" si="4"/>
        <v>0.61825726141078841</v>
      </c>
    </row>
    <row r="310" spans="1:5">
      <c r="A310" s="30">
        <f>Kaikki!F310</f>
        <v>44139.625</v>
      </c>
      <c r="B310" s="37" t="str">
        <f>Kaikki!G310</f>
        <v/>
      </c>
      <c r="C310">
        <f>Kaikki!A310</f>
        <v>213</v>
      </c>
      <c r="D310">
        <f>HUS!A310</f>
        <v>126</v>
      </c>
      <c r="E310" s="38">
        <f t="shared" si="4"/>
        <v>0.59154929577464788</v>
      </c>
    </row>
    <row r="311" spans="1:5">
      <c r="A311" s="30">
        <f>Kaikki!F311</f>
        <v>44140.625</v>
      </c>
      <c r="B311" s="37" t="str">
        <f>Kaikki!G311</f>
        <v/>
      </c>
      <c r="C311">
        <f>Kaikki!A311</f>
        <v>219</v>
      </c>
      <c r="D311">
        <f>HUS!A311</f>
        <v>138</v>
      </c>
      <c r="E311" s="38">
        <f t="shared" si="4"/>
        <v>0.63013698630136983</v>
      </c>
    </row>
    <row r="312" spans="1:5">
      <c r="A312" s="30">
        <f>Kaikki!F312</f>
        <v>44141.625</v>
      </c>
      <c r="B312" s="37" t="str">
        <f>Kaikki!G312</f>
        <v/>
      </c>
      <c r="C312">
        <f>Kaikki!A312</f>
        <v>196</v>
      </c>
      <c r="D312">
        <f>HUS!A312</f>
        <v>116</v>
      </c>
      <c r="E312" s="38">
        <f t="shared" si="4"/>
        <v>0.59183673469387754</v>
      </c>
    </row>
    <row r="313" spans="1:5">
      <c r="A313" s="30">
        <f>Kaikki!F313</f>
        <v>44142.625</v>
      </c>
      <c r="B313" s="37" t="str">
        <f>Kaikki!G313</f>
        <v/>
      </c>
      <c r="C313">
        <f>Kaikki!A313</f>
        <v>128</v>
      </c>
      <c r="D313">
        <f>HUS!A313</f>
        <v>94</v>
      </c>
      <c r="E313" s="38">
        <f t="shared" si="4"/>
        <v>0.734375</v>
      </c>
    </row>
    <row r="314" spans="1:5">
      <c r="A314" s="30">
        <f>Kaikki!F314</f>
        <v>44143.625</v>
      </c>
      <c r="B314" s="37" t="str">
        <f>Kaikki!G314</f>
        <v/>
      </c>
      <c r="C314">
        <f>Kaikki!A314</f>
        <v>132</v>
      </c>
      <c r="D314">
        <f>HUS!A314</f>
        <v>80</v>
      </c>
      <c r="E314" s="38">
        <f t="shared" si="4"/>
        <v>0.60606060606060608</v>
      </c>
    </row>
    <row r="315" spans="1:5">
      <c r="A315" s="30">
        <f>Kaikki!F315</f>
        <v>44144.625</v>
      </c>
      <c r="B315" s="37" t="str">
        <f>Kaikki!G315</f>
        <v>2020-W46</v>
      </c>
      <c r="C315">
        <f>Kaikki!A315</f>
        <v>273</v>
      </c>
      <c r="D315">
        <f>HUS!A315</f>
        <v>162</v>
      </c>
      <c r="E315" s="38">
        <f t="shared" si="4"/>
        <v>0.59340659340659341</v>
      </c>
    </row>
    <row r="316" spans="1:5">
      <c r="A316" s="30">
        <f>Kaikki!F316</f>
        <v>44145.625</v>
      </c>
      <c r="B316" s="37" t="str">
        <f>Kaikki!G316</f>
        <v/>
      </c>
      <c r="C316">
        <f>Kaikki!A316</f>
        <v>206</v>
      </c>
      <c r="D316">
        <f>HUS!A316</f>
        <v>127</v>
      </c>
      <c r="E316" s="38">
        <f t="shared" si="4"/>
        <v>0.61650485436893199</v>
      </c>
    </row>
    <row r="317" spans="1:5">
      <c r="A317" s="30">
        <f>Kaikki!F317</f>
        <v>44146.625</v>
      </c>
      <c r="B317" s="37" t="str">
        <f>Kaikki!G317</f>
        <v/>
      </c>
      <c r="C317">
        <f>Kaikki!A317</f>
        <v>294</v>
      </c>
      <c r="D317">
        <f>HUS!A317</f>
        <v>147</v>
      </c>
      <c r="E317" s="38">
        <f t="shared" si="4"/>
        <v>0.5</v>
      </c>
    </row>
    <row r="318" spans="1:5">
      <c r="A318" s="30">
        <f>Kaikki!F318</f>
        <v>44147.625</v>
      </c>
      <c r="B318" s="37" t="str">
        <f>Kaikki!G318</f>
        <v/>
      </c>
      <c r="C318">
        <f>Kaikki!A318</f>
        <v>282</v>
      </c>
      <c r="D318">
        <f>HUS!A318</f>
        <v>194</v>
      </c>
      <c r="E318" s="38">
        <f t="shared" si="4"/>
        <v>0.68794326241134751</v>
      </c>
    </row>
    <row r="319" spans="1:5">
      <c r="A319" s="30">
        <f>Kaikki!F319</f>
        <v>44148.625</v>
      </c>
      <c r="B319" s="37" t="str">
        <f>Kaikki!G319</f>
        <v/>
      </c>
      <c r="C319">
        <f>Kaikki!A319</f>
        <v>268</v>
      </c>
      <c r="D319">
        <f>HUS!A319</f>
        <v>167</v>
      </c>
      <c r="E319" s="38">
        <f t="shared" si="4"/>
        <v>0.62313432835820892</v>
      </c>
    </row>
    <row r="320" spans="1:5">
      <c r="A320" s="30">
        <f>Kaikki!F320</f>
        <v>44149.625</v>
      </c>
      <c r="B320" s="37" t="str">
        <f>Kaikki!G320</f>
        <v/>
      </c>
      <c r="C320">
        <f>Kaikki!A320</f>
        <v>145</v>
      </c>
      <c r="D320">
        <f>HUS!A320</f>
        <v>91</v>
      </c>
      <c r="E320" s="38">
        <f t="shared" si="4"/>
        <v>0.62758620689655176</v>
      </c>
    </row>
    <row r="321" spans="1:5">
      <c r="A321" s="30">
        <f>Kaikki!F321</f>
        <v>44150.625</v>
      </c>
      <c r="B321" s="37" t="str">
        <f>Kaikki!G321</f>
        <v/>
      </c>
      <c r="C321">
        <f>Kaikki!A321</f>
        <v>181</v>
      </c>
      <c r="D321">
        <f>HUS!A321</f>
        <v>110</v>
      </c>
      <c r="E321" s="38">
        <f t="shared" si="4"/>
        <v>0.60773480662983426</v>
      </c>
    </row>
    <row r="322" spans="1:5">
      <c r="A322" s="30">
        <f>Kaikki!F322</f>
        <v>44151.625</v>
      </c>
      <c r="B322" s="37" t="str">
        <f>Kaikki!G322</f>
        <v>2020-W47</v>
      </c>
      <c r="C322">
        <f>Kaikki!A322</f>
        <v>392</v>
      </c>
      <c r="D322">
        <f>HUS!A322</f>
        <v>241</v>
      </c>
      <c r="E322" s="38">
        <f t="shared" si="4"/>
        <v>0.61479591836734693</v>
      </c>
    </row>
    <row r="323" spans="1:5">
      <c r="A323" s="30">
        <f>Kaikki!F323</f>
        <v>44152.625</v>
      </c>
      <c r="B323" s="37" t="str">
        <f>Kaikki!G323</f>
        <v/>
      </c>
      <c r="C323">
        <f>Kaikki!A323</f>
        <v>389</v>
      </c>
      <c r="D323">
        <f>HUS!A323</f>
        <v>258</v>
      </c>
      <c r="E323" s="38">
        <f t="shared" ref="E323:E386" si="5">D323/C323</f>
        <v>0.66323907455012854</v>
      </c>
    </row>
    <row r="324" spans="1:5">
      <c r="A324" s="30">
        <f>Kaikki!F324</f>
        <v>44153.625</v>
      </c>
      <c r="B324" s="37" t="str">
        <f>Kaikki!G324</f>
        <v/>
      </c>
      <c r="C324">
        <f>Kaikki!A324</f>
        <v>376</v>
      </c>
      <c r="D324">
        <f>HUS!A324</f>
        <v>241</v>
      </c>
      <c r="E324" s="38">
        <f t="shared" si="5"/>
        <v>0.64095744680851063</v>
      </c>
    </row>
    <row r="325" spans="1:5">
      <c r="A325" s="30">
        <f>Kaikki!F325</f>
        <v>44154.625</v>
      </c>
      <c r="B325" s="37" t="str">
        <f>Kaikki!G325</f>
        <v/>
      </c>
      <c r="C325">
        <f>Kaikki!A325</f>
        <v>478</v>
      </c>
      <c r="D325">
        <f>HUS!A325</f>
        <v>320</v>
      </c>
      <c r="E325" s="38">
        <f t="shared" si="5"/>
        <v>0.66945606694560666</v>
      </c>
    </row>
    <row r="326" spans="1:5">
      <c r="A326" s="30">
        <f>Kaikki!F326</f>
        <v>44155.625</v>
      </c>
      <c r="B326" s="37" t="str">
        <f>Kaikki!G326</f>
        <v/>
      </c>
      <c r="C326">
        <f>Kaikki!A326</f>
        <v>428</v>
      </c>
      <c r="D326">
        <f>HUS!A326</f>
        <v>264</v>
      </c>
      <c r="E326" s="38">
        <f t="shared" si="5"/>
        <v>0.61682242990654201</v>
      </c>
    </row>
    <row r="327" spans="1:5">
      <c r="A327" s="30">
        <f>Kaikki!F327</f>
        <v>44156.625</v>
      </c>
      <c r="B327" s="37" t="str">
        <f>Kaikki!G327</f>
        <v/>
      </c>
      <c r="C327">
        <f>Kaikki!A327</f>
        <v>270</v>
      </c>
      <c r="D327">
        <f>HUS!A327</f>
        <v>180</v>
      </c>
      <c r="E327" s="38">
        <f t="shared" si="5"/>
        <v>0.66666666666666663</v>
      </c>
    </row>
    <row r="328" spans="1:5">
      <c r="A328" s="30">
        <f>Kaikki!F328</f>
        <v>44157.625</v>
      </c>
      <c r="B328" s="37" t="str">
        <f>Kaikki!G328</f>
        <v/>
      </c>
      <c r="C328">
        <f>Kaikki!A328</f>
        <v>267</v>
      </c>
      <c r="D328">
        <f>HUS!A328</f>
        <v>161</v>
      </c>
      <c r="E328" s="38">
        <f t="shared" si="5"/>
        <v>0.60299625468164797</v>
      </c>
    </row>
    <row r="329" spans="1:5">
      <c r="A329" s="30">
        <f>Kaikki!F329</f>
        <v>44158.625</v>
      </c>
      <c r="B329" s="37" t="str">
        <f>Kaikki!G329</f>
        <v>2020-W48</v>
      </c>
      <c r="C329">
        <f>Kaikki!A329</f>
        <v>504</v>
      </c>
      <c r="D329">
        <f>HUS!A329</f>
        <v>261</v>
      </c>
      <c r="E329" s="38">
        <f t="shared" si="5"/>
        <v>0.5178571428571429</v>
      </c>
    </row>
    <row r="330" spans="1:5">
      <c r="A330" s="30">
        <f>Kaikki!F330</f>
        <v>44159.625</v>
      </c>
      <c r="B330" s="37" t="str">
        <f>Kaikki!G330</f>
        <v/>
      </c>
      <c r="C330">
        <f>Kaikki!A330</f>
        <v>471</v>
      </c>
      <c r="D330">
        <f>HUS!A330</f>
        <v>283</v>
      </c>
      <c r="E330" s="38">
        <f t="shared" si="5"/>
        <v>0.60084925690021229</v>
      </c>
    </row>
    <row r="331" spans="1:5">
      <c r="A331" s="30">
        <f>Kaikki!F331</f>
        <v>44160.625</v>
      </c>
      <c r="B331" s="37" t="str">
        <f>Kaikki!G331</f>
        <v/>
      </c>
      <c r="C331">
        <f>Kaikki!A331</f>
        <v>619</v>
      </c>
      <c r="D331">
        <f>HUS!A331</f>
        <v>299</v>
      </c>
      <c r="E331" s="38">
        <f t="shared" si="5"/>
        <v>0.48303715670436187</v>
      </c>
    </row>
    <row r="332" spans="1:5">
      <c r="A332" s="30">
        <f>Kaikki!F332</f>
        <v>44161.625</v>
      </c>
      <c r="B332" s="37" t="str">
        <f>Kaikki!G332</f>
        <v/>
      </c>
      <c r="C332">
        <f>Kaikki!A332</f>
        <v>509</v>
      </c>
      <c r="D332">
        <f>HUS!A332</f>
        <v>261</v>
      </c>
      <c r="E332" s="38">
        <f t="shared" si="5"/>
        <v>0.51277013752455791</v>
      </c>
    </row>
    <row r="333" spans="1:5">
      <c r="A333" s="30">
        <f>Kaikki!F333</f>
        <v>44162.625</v>
      </c>
      <c r="B333" s="37" t="str">
        <f>Kaikki!G333</f>
        <v/>
      </c>
      <c r="C333">
        <f>Kaikki!A333</f>
        <v>456</v>
      </c>
      <c r="D333">
        <f>HUS!A333</f>
        <v>242</v>
      </c>
      <c r="E333" s="38">
        <f t="shared" si="5"/>
        <v>0.5307017543859649</v>
      </c>
    </row>
    <row r="334" spans="1:5">
      <c r="A334" s="30">
        <f>Kaikki!F334</f>
        <v>44163.625</v>
      </c>
      <c r="B334" s="37" t="str">
        <f>Kaikki!G334</f>
        <v/>
      </c>
      <c r="C334">
        <f>Kaikki!A334</f>
        <v>284</v>
      </c>
      <c r="D334">
        <f>HUS!A334</f>
        <v>151</v>
      </c>
      <c r="E334" s="38">
        <f t="shared" si="5"/>
        <v>0.53169014084507038</v>
      </c>
    </row>
    <row r="335" spans="1:5">
      <c r="A335" s="30">
        <f>Kaikki!F335</f>
        <v>44164.625</v>
      </c>
      <c r="B335" s="37" t="str">
        <f>Kaikki!G335</f>
        <v/>
      </c>
      <c r="C335">
        <f>Kaikki!A335</f>
        <v>293</v>
      </c>
      <c r="D335">
        <f>HUS!A335</f>
        <v>158</v>
      </c>
      <c r="E335" s="38">
        <f t="shared" si="5"/>
        <v>0.53924914675767921</v>
      </c>
    </row>
    <row r="336" spans="1:5">
      <c r="A336" s="30">
        <f>Kaikki!F336</f>
        <v>44165.625</v>
      </c>
      <c r="B336" s="37" t="str">
        <f>Kaikki!G336</f>
        <v>2020-W49</v>
      </c>
      <c r="C336">
        <f>Kaikki!A336</f>
        <v>595</v>
      </c>
      <c r="D336">
        <f>HUS!A336</f>
        <v>313</v>
      </c>
      <c r="E336" s="38">
        <f t="shared" si="5"/>
        <v>0.52605042016806725</v>
      </c>
    </row>
    <row r="337" spans="1:5">
      <c r="A337" s="30">
        <f>Kaikki!F337</f>
        <v>44166.625</v>
      </c>
      <c r="B337" s="37" t="str">
        <f>Kaikki!G337</f>
        <v/>
      </c>
      <c r="C337">
        <f>Kaikki!A337</f>
        <v>440</v>
      </c>
      <c r="D337">
        <f>HUS!A337</f>
        <v>221</v>
      </c>
      <c r="E337" s="38">
        <f t="shared" si="5"/>
        <v>0.50227272727272732</v>
      </c>
    </row>
    <row r="338" spans="1:5">
      <c r="A338" s="30">
        <f>Kaikki!F338</f>
        <v>44167.625</v>
      </c>
      <c r="B338" s="37" t="str">
        <f>Kaikki!G338</f>
        <v/>
      </c>
      <c r="C338">
        <f>Kaikki!A338</f>
        <v>495</v>
      </c>
      <c r="D338">
        <f>HUS!A338</f>
        <v>250</v>
      </c>
      <c r="E338" s="38">
        <f t="shared" si="5"/>
        <v>0.50505050505050508</v>
      </c>
    </row>
    <row r="339" spans="1:5">
      <c r="A339" s="30">
        <f>Kaikki!F339</f>
        <v>44168.625</v>
      </c>
      <c r="B339" s="37" t="str">
        <f>Kaikki!G339</f>
        <v/>
      </c>
      <c r="C339">
        <f>Kaikki!A339</f>
        <v>478</v>
      </c>
      <c r="D339">
        <f>HUS!A339</f>
        <v>281</v>
      </c>
      <c r="E339" s="38">
        <f t="shared" si="5"/>
        <v>0.58786610878661083</v>
      </c>
    </row>
    <row r="340" spans="1:5">
      <c r="A340" s="30">
        <f>Kaikki!F340</f>
        <v>44169.625</v>
      </c>
      <c r="B340" s="37" t="str">
        <f>Kaikki!G340</f>
        <v/>
      </c>
      <c r="C340">
        <f>Kaikki!A340</f>
        <v>473</v>
      </c>
      <c r="D340">
        <f>HUS!A340</f>
        <v>224</v>
      </c>
      <c r="E340" s="38">
        <f t="shared" si="5"/>
        <v>0.47357293868921774</v>
      </c>
    </row>
    <row r="341" spans="1:5">
      <c r="A341" s="30">
        <f>Kaikki!F341</f>
        <v>44170.625</v>
      </c>
      <c r="B341" s="37" t="str">
        <f>Kaikki!G341</f>
        <v/>
      </c>
      <c r="C341">
        <f>Kaikki!A341</f>
        <v>250</v>
      </c>
      <c r="D341">
        <f>HUS!A341</f>
        <v>153</v>
      </c>
      <c r="E341" s="38">
        <f t="shared" si="5"/>
        <v>0.61199999999999999</v>
      </c>
    </row>
    <row r="342" spans="1:5">
      <c r="A342" s="30">
        <f>Kaikki!F342</f>
        <v>44171.625</v>
      </c>
      <c r="B342" s="37" t="str">
        <f>Kaikki!G342</f>
        <v/>
      </c>
      <c r="C342">
        <f>Kaikki!A342</f>
        <v>284</v>
      </c>
      <c r="D342">
        <f>HUS!A342</f>
        <v>157</v>
      </c>
      <c r="E342" s="38">
        <f t="shared" si="5"/>
        <v>0.55281690140845074</v>
      </c>
    </row>
    <row r="343" spans="1:5">
      <c r="A343" s="30">
        <f>Kaikki!F343</f>
        <v>44172.625</v>
      </c>
      <c r="B343" s="37" t="str">
        <f>Kaikki!G343</f>
        <v>2020-W50</v>
      </c>
      <c r="C343">
        <f>Kaikki!A343</f>
        <v>587</v>
      </c>
      <c r="D343">
        <f>HUS!A343</f>
        <v>284</v>
      </c>
      <c r="E343" s="38">
        <f t="shared" si="5"/>
        <v>0.48381601362862009</v>
      </c>
    </row>
    <row r="344" spans="1:5">
      <c r="A344" s="30">
        <f>Kaikki!F344</f>
        <v>44173.625</v>
      </c>
      <c r="B344" s="37" t="str">
        <f>Kaikki!G344</f>
        <v/>
      </c>
      <c r="C344">
        <f>Kaikki!A344</f>
        <v>478</v>
      </c>
      <c r="D344">
        <f>HUS!A344</f>
        <v>253</v>
      </c>
      <c r="E344" s="38">
        <f t="shared" si="5"/>
        <v>0.52928870292887031</v>
      </c>
    </row>
    <row r="345" spans="1:5">
      <c r="A345" s="30">
        <f>Kaikki!F345</f>
        <v>44174.625</v>
      </c>
      <c r="B345" s="37" t="str">
        <f>Kaikki!G345</f>
        <v/>
      </c>
      <c r="C345">
        <f>Kaikki!A345</f>
        <v>462</v>
      </c>
      <c r="D345">
        <f>HUS!A345</f>
        <v>268</v>
      </c>
      <c r="E345" s="38">
        <f t="shared" si="5"/>
        <v>0.58008658008658009</v>
      </c>
    </row>
    <row r="346" spans="1:5">
      <c r="A346" s="30">
        <f>Kaikki!F346</f>
        <v>44175.625</v>
      </c>
      <c r="B346" s="37" t="str">
        <f>Kaikki!G346</f>
        <v/>
      </c>
      <c r="C346">
        <f>Kaikki!A346</f>
        <v>407</v>
      </c>
      <c r="D346">
        <f>HUS!A346</f>
        <v>222</v>
      </c>
      <c r="E346" s="38">
        <f t="shared" si="5"/>
        <v>0.54545454545454541</v>
      </c>
    </row>
    <row r="347" spans="1:5">
      <c r="A347" s="30">
        <f>Kaikki!F347</f>
        <v>44176.625</v>
      </c>
      <c r="B347" s="37" t="str">
        <f>Kaikki!G347</f>
        <v/>
      </c>
      <c r="C347">
        <f>Kaikki!A347</f>
        <v>445</v>
      </c>
      <c r="D347">
        <f>HUS!A347</f>
        <v>235</v>
      </c>
      <c r="E347" s="38">
        <f t="shared" si="5"/>
        <v>0.5280898876404494</v>
      </c>
    </row>
    <row r="348" spans="1:5">
      <c r="A348" s="30">
        <f>Kaikki!F348</f>
        <v>44177.625</v>
      </c>
      <c r="B348" s="37" t="str">
        <f>Kaikki!G348</f>
        <v/>
      </c>
      <c r="C348">
        <f>Kaikki!A348</f>
        <v>249</v>
      </c>
      <c r="D348">
        <f>HUS!A348</f>
        <v>147</v>
      </c>
      <c r="E348" s="38">
        <f t="shared" si="5"/>
        <v>0.59036144578313254</v>
      </c>
    </row>
    <row r="349" spans="1:5">
      <c r="A349" s="30">
        <f>Kaikki!F349</f>
        <v>44178.625</v>
      </c>
      <c r="B349" s="37" t="str">
        <f>Kaikki!G349</f>
        <v/>
      </c>
      <c r="C349">
        <f>Kaikki!A349</f>
        <v>276</v>
      </c>
      <c r="D349">
        <f>HUS!A349</f>
        <v>169</v>
      </c>
      <c r="E349" s="38">
        <f t="shared" si="5"/>
        <v>0.6123188405797102</v>
      </c>
    </row>
    <row r="350" spans="1:5">
      <c r="A350" s="30">
        <f>Kaikki!F350</f>
        <v>44179.625</v>
      </c>
      <c r="B350" s="37" t="str">
        <f>Kaikki!G350</f>
        <v>2020-W51</v>
      </c>
      <c r="C350">
        <f>Kaikki!A350</f>
        <v>463</v>
      </c>
      <c r="D350">
        <f>HUS!A350</f>
        <v>233</v>
      </c>
      <c r="E350" s="38">
        <f t="shared" si="5"/>
        <v>0.5032397408207343</v>
      </c>
    </row>
    <row r="351" spans="1:5">
      <c r="A351" s="30">
        <f>Kaikki!F351</f>
        <v>44180.625</v>
      </c>
      <c r="B351" s="37" t="str">
        <f>Kaikki!G351</f>
        <v/>
      </c>
      <c r="C351">
        <f>Kaikki!A351</f>
        <v>359</v>
      </c>
      <c r="D351">
        <f>HUS!A351</f>
        <v>195</v>
      </c>
      <c r="E351" s="38">
        <f t="shared" si="5"/>
        <v>0.54317548746518107</v>
      </c>
    </row>
    <row r="352" spans="1:5">
      <c r="A352" s="30">
        <f>Kaikki!F352</f>
        <v>44181.625</v>
      </c>
      <c r="B352" s="37" t="str">
        <f>Kaikki!G352</f>
        <v/>
      </c>
      <c r="C352">
        <f>Kaikki!A352</f>
        <v>353</v>
      </c>
      <c r="D352">
        <f>HUS!A352</f>
        <v>192</v>
      </c>
      <c r="E352" s="38">
        <f t="shared" si="5"/>
        <v>0.5439093484419264</v>
      </c>
    </row>
    <row r="353" spans="1:5">
      <c r="A353" s="30">
        <f>Kaikki!F353</f>
        <v>44182.625</v>
      </c>
      <c r="B353" s="37" t="str">
        <f>Kaikki!G353</f>
        <v/>
      </c>
      <c r="C353">
        <f>Kaikki!A353</f>
        <v>323</v>
      </c>
      <c r="D353">
        <f>HUS!A353</f>
        <v>151</v>
      </c>
      <c r="E353" s="38">
        <f t="shared" si="5"/>
        <v>0.46749226006191952</v>
      </c>
    </row>
    <row r="354" spans="1:5">
      <c r="A354" s="30">
        <f>Kaikki!F354</f>
        <v>44183.625</v>
      </c>
      <c r="B354" s="37" t="str">
        <f>Kaikki!G354</f>
        <v/>
      </c>
      <c r="C354">
        <f>Kaikki!A354</f>
        <v>394</v>
      </c>
      <c r="D354">
        <f>HUS!A354</f>
        <v>181</v>
      </c>
      <c r="E354" s="38">
        <f t="shared" si="5"/>
        <v>0.45939086294416243</v>
      </c>
    </row>
    <row r="355" spans="1:5">
      <c r="A355" s="30">
        <f>Kaikki!F355</f>
        <v>44184.625</v>
      </c>
      <c r="B355" s="37" t="str">
        <f>Kaikki!G355</f>
        <v/>
      </c>
      <c r="C355">
        <f>Kaikki!A355</f>
        <v>191</v>
      </c>
      <c r="D355">
        <f>HUS!A355</f>
        <v>125</v>
      </c>
      <c r="E355" s="38">
        <f t="shared" si="5"/>
        <v>0.65445026178010468</v>
      </c>
    </row>
    <row r="356" spans="1:5">
      <c r="A356" s="30">
        <f>Kaikki!F356</f>
        <v>44185.625</v>
      </c>
      <c r="B356" s="37" t="str">
        <f>Kaikki!G356</f>
        <v/>
      </c>
      <c r="C356">
        <f>Kaikki!A356</f>
        <v>244</v>
      </c>
      <c r="D356">
        <f>HUS!A356</f>
        <v>147</v>
      </c>
      <c r="E356" s="38">
        <f t="shared" si="5"/>
        <v>0.60245901639344257</v>
      </c>
    </row>
    <row r="357" spans="1:5">
      <c r="A357" s="30">
        <f>Kaikki!F357</f>
        <v>44186.625</v>
      </c>
      <c r="B357" s="37" t="str">
        <f>Kaikki!G357</f>
        <v>2020-W52</v>
      </c>
      <c r="C357">
        <f>Kaikki!A357</f>
        <v>375</v>
      </c>
      <c r="D357">
        <f>HUS!A357</f>
        <v>202</v>
      </c>
      <c r="E357" s="38">
        <f t="shared" si="5"/>
        <v>0.53866666666666663</v>
      </c>
    </row>
    <row r="358" spans="1:5">
      <c r="A358" s="30">
        <f>Kaikki!F358</f>
        <v>44187.625</v>
      </c>
      <c r="B358" s="37" t="str">
        <f>Kaikki!G358</f>
        <v/>
      </c>
      <c r="C358">
        <f>Kaikki!A358</f>
        <v>332</v>
      </c>
      <c r="D358">
        <f>HUS!A358</f>
        <v>197</v>
      </c>
      <c r="E358" s="38">
        <f t="shared" si="5"/>
        <v>0.59337349397590367</v>
      </c>
    </row>
    <row r="359" spans="1:5">
      <c r="A359" s="30">
        <f>Kaikki!F359</f>
        <v>44188.625</v>
      </c>
      <c r="B359" s="37" t="str">
        <f>Kaikki!G359</f>
        <v/>
      </c>
      <c r="C359">
        <f>Kaikki!A359</f>
        <v>277</v>
      </c>
      <c r="D359">
        <f>HUS!A359</f>
        <v>146</v>
      </c>
      <c r="E359" s="38">
        <f t="shared" si="5"/>
        <v>0.52707581227436828</v>
      </c>
    </row>
    <row r="360" spans="1:5">
      <c r="A360" s="30">
        <f>Kaikki!F360</f>
        <v>44189.625</v>
      </c>
      <c r="B360" s="37" t="str">
        <f>Kaikki!G360</f>
        <v/>
      </c>
      <c r="C360">
        <f>Kaikki!A360</f>
        <v>138</v>
      </c>
      <c r="D360">
        <f>HUS!A360</f>
        <v>95</v>
      </c>
      <c r="E360" s="38">
        <f t="shared" si="5"/>
        <v>0.68840579710144922</v>
      </c>
    </row>
    <row r="361" spans="1:5">
      <c r="A361" s="30">
        <f>Kaikki!F361</f>
        <v>44190.625</v>
      </c>
      <c r="B361" s="37" t="str">
        <f>Kaikki!G361</f>
        <v/>
      </c>
      <c r="C361">
        <f>Kaikki!A361</f>
        <v>157</v>
      </c>
      <c r="D361">
        <f>HUS!A361</f>
        <v>96</v>
      </c>
      <c r="E361" s="38">
        <f t="shared" si="5"/>
        <v>0.61146496815286622</v>
      </c>
    </row>
    <row r="362" spans="1:5">
      <c r="A362" s="30">
        <f>Kaikki!F362</f>
        <v>44191.625</v>
      </c>
      <c r="B362" s="37" t="str">
        <f>Kaikki!G362</f>
        <v/>
      </c>
      <c r="C362">
        <f>Kaikki!A362</f>
        <v>183</v>
      </c>
      <c r="D362">
        <f>HUS!A362</f>
        <v>93</v>
      </c>
      <c r="E362" s="38">
        <f t="shared" si="5"/>
        <v>0.50819672131147542</v>
      </c>
    </row>
    <row r="363" spans="1:5">
      <c r="A363" s="30">
        <f>Kaikki!F363</f>
        <v>44192.625</v>
      </c>
      <c r="B363" s="37" t="str">
        <f>Kaikki!G363</f>
        <v/>
      </c>
      <c r="C363">
        <f>Kaikki!A363</f>
        <v>191</v>
      </c>
      <c r="D363">
        <f>HUS!A363</f>
        <v>111</v>
      </c>
      <c r="E363" s="38">
        <f t="shared" si="5"/>
        <v>0.58115183246073299</v>
      </c>
    </row>
    <row r="364" spans="1:5">
      <c r="A364" s="30">
        <f>Kaikki!F364</f>
        <v>44193.625</v>
      </c>
      <c r="B364" s="37" t="str">
        <f>Kaikki!G364</f>
        <v>2020-W53</v>
      </c>
      <c r="C364">
        <f>Kaikki!A364</f>
        <v>435</v>
      </c>
      <c r="D364">
        <f>HUS!A364</f>
        <v>223</v>
      </c>
      <c r="E364" s="38">
        <f t="shared" si="5"/>
        <v>0.51264367816091949</v>
      </c>
    </row>
    <row r="365" spans="1:5">
      <c r="A365" s="30">
        <f>Kaikki!F365</f>
        <v>44194.625</v>
      </c>
      <c r="B365" s="37" t="str">
        <f>Kaikki!G365</f>
        <v/>
      </c>
      <c r="C365">
        <f>Kaikki!A365</f>
        <v>307</v>
      </c>
      <c r="D365">
        <f>HUS!A365</f>
        <v>164</v>
      </c>
      <c r="E365" s="38">
        <f t="shared" si="5"/>
        <v>0.53420195439739415</v>
      </c>
    </row>
    <row r="366" spans="1:5">
      <c r="A366" s="30">
        <f>Kaikki!F366</f>
        <v>44195.625</v>
      </c>
      <c r="B366" s="37" t="str">
        <f>Kaikki!G366</f>
        <v/>
      </c>
      <c r="C366">
        <f>Kaikki!A366</f>
        <v>255</v>
      </c>
      <c r="D366">
        <f>HUS!A366</f>
        <v>110</v>
      </c>
      <c r="E366" s="38">
        <f t="shared" si="5"/>
        <v>0.43137254901960786</v>
      </c>
    </row>
    <row r="367" spans="1:5">
      <c r="A367" s="30">
        <f>Kaikki!F367</f>
        <v>44196.625</v>
      </c>
      <c r="B367" s="37" t="str">
        <f>Kaikki!G367</f>
        <v/>
      </c>
      <c r="C367">
        <f>Kaikki!A367</f>
        <v>254</v>
      </c>
      <c r="D367">
        <f>HUS!A367</f>
        <v>136</v>
      </c>
      <c r="E367" s="38">
        <f t="shared" si="5"/>
        <v>0.53543307086614178</v>
      </c>
    </row>
    <row r="368" spans="1:5">
      <c r="A368" s="30">
        <f>Kaikki!F368</f>
        <v>44197.625</v>
      </c>
      <c r="B368" s="37" t="str">
        <f>Kaikki!G368</f>
        <v/>
      </c>
      <c r="C368">
        <f>Kaikki!A368</f>
        <v>129</v>
      </c>
      <c r="D368">
        <f>HUS!A368</f>
        <v>67</v>
      </c>
      <c r="E368" s="38">
        <f t="shared" si="5"/>
        <v>0.51937984496124034</v>
      </c>
    </row>
    <row r="369" spans="1:5">
      <c r="A369" s="30">
        <f>Kaikki!F369</f>
        <v>44198.625</v>
      </c>
      <c r="B369" s="37" t="str">
        <f>Kaikki!G369</f>
        <v/>
      </c>
      <c r="C369">
        <f>Kaikki!A369</f>
        <v>206</v>
      </c>
      <c r="D369">
        <f>HUS!A369</f>
        <v>117</v>
      </c>
      <c r="E369" s="38">
        <f t="shared" si="5"/>
        <v>0.56796116504854366</v>
      </c>
    </row>
    <row r="370" spans="1:5">
      <c r="A370" s="30">
        <f>Kaikki!F370</f>
        <v>44199.625</v>
      </c>
      <c r="B370" s="37" t="str">
        <f>Kaikki!G370</f>
        <v/>
      </c>
      <c r="C370">
        <f>Kaikki!A370</f>
        <v>169</v>
      </c>
      <c r="D370">
        <f>HUS!A370</f>
        <v>93</v>
      </c>
      <c r="E370" s="38">
        <f t="shared" si="5"/>
        <v>0.55029585798816572</v>
      </c>
    </row>
    <row r="371" spans="1:5">
      <c r="A371" s="30">
        <f>Kaikki!F371</f>
        <v>44200.625</v>
      </c>
      <c r="B371" s="37" t="str">
        <f>Kaikki!G371</f>
        <v>2021-W01</v>
      </c>
      <c r="C371">
        <f>Kaikki!A371</f>
        <v>398</v>
      </c>
      <c r="D371">
        <f>HUS!A371</f>
        <v>197</v>
      </c>
      <c r="E371" s="38">
        <f t="shared" si="5"/>
        <v>0.49497487437185927</v>
      </c>
    </row>
    <row r="372" spans="1:5">
      <c r="A372" s="30">
        <f>Kaikki!F372</f>
        <v>44201.625</v>
      </c>
      <c r="B372" s="37" t="str">
        <f>Kaikki!G372</f>
        <v/>
      </c>
      <c r="C372">
        <f>Kaikki!A372</f>
        <v>263</v>
      </c>
      <c r="D372">
        <f>HUS!A372</f>
        <v>155</v>
      </c>
      <c r="E372" s="38">
        <f t="shared" si="5"/>
        <v>0.58935361216730042</v>
      </c>
    </row>
    <row r="373" spans="1:5">
      <c r="A373" s="30">
        <f>Kaikki!F373</f>
        <v>44202.625</v>
      </c>
      <c r="B373" s="37" t="str">
        <f>Kaikki!G373</f>
        <v/>
      </c>
      <c r="C373">
        <f>Kaikki!A373</f>
        <v>209</v>
      </c>
      <c r="D373">
        <f>HUS!A373</f>
        <v>95</v>
      </c>
      <c r="E373" s="38">
        <f t="shared" si="5"/>
        <v>0.45454545454545453</v>
      </c>
    </row>
    <row r="374" spans="1:5">
      <c r="A374" s="30">
        <f>Kaikki!F374</f>
        <v>44203.625</v>
      </c>
      <c r="B374" s="37" t="str">
        <f>Kaikki!G374</f>
        <v/>
      </c>
      <c r="C374">
        <f>Kaikki!A374</f>
        <v>332</v>
      </c>
      <c r="D374">
        <f>HUS!A374</f>
        <v>162</v>
      </c>
      <c r="E374" s="38">
        <f t="shared" si="5"/>
        <v>0.48795180722891568</v>
      </c>
    </row>
    <row r="375" spans="1:5">
      <c r="A375" s="30">
        <f>Kaikki!F375</f>
        <v>44204.625</v>
      </c>
      <c r="B375" s="37" t="str">
        <f>Kaikki!G375</f>
        <v/>
      </c>
      <c r="C375">
        <f>Kaikki!A375</f>
        <v>252</v>
      </c>
      <c r="D375">
        <f>HUS!A375</f>
        <v>146</v>
      </c>
      <c r="E375" s="38">
        <f t="shared" si="5"/>
        <v>0.57936507936507942</v>
      </c>
    </row>
    <row r="376" spans="1:5">
      <c r="A376" s="30">
        <f>Kaikki!F376</f>
        <v>44205.625</v>
      </c>
      <c r="B376" s="37" t="str">
        <f>Kaikki!G376</f>
        <v/>
      </c>
      <c r="C376">
        <f>Kaikki!A376</f>
        <v>194</v>
      </c>
      <c r="D376">
        <f>HUS!A376</f>
        <v>101</v>
      </c>
      <c r="E376" s="38">
        <f t="shared" si="5"/>
        <v>0.52061855670103097</v>
      </c>
    </row>
    <row r="377" spans="1:5">
      <c r="A377" s="30">
        <f>Kaikki!F377</f>
        <v>44206.625</v>
      </c>
      <c r="B377" s="37" t="str">
        <f>Kaikki!G377</f>
        <v/>
      </c>
      <c r="C377">
        <f>Kaikki!A377</f>
        <v>186</v>
      </c>
      <c r="D377">
        <f>HUS!A377</f>
        <v>118</v>
      </c>
      <c r="E377" s="38">
        <f t="shared" si="5"/>
        <v>0.63440860215053763</v>
      </c>
    </row>
    <row r="378" spans="1:5">
      <c r="A378" s="30">
        <f>Kaikki!F378</f>
        <v>44207.625</v>
      </c>
      <c r="B378" s="37" t="str">
        <f>Kaikki!G378</f>
        <v>2021-W02</v>
      </c>
      <c r="C378">
        <f>Kaikki!A378</f>
        <v>386</v>
      </c>
      <c r="D378">
        <f>HUS!A378</f>
        <v>187</v>
      </c>
      <c r="E378" s="38">
        <f t="shared" si="5"/>
        <v>0.4844559585492228</v>
      </c>
    </row>
    <row r="379" spans="1:5">
      <c r="A379" s="30">
        <f>Kaikki!F379</f>
        <v>44208.625</v>
      </c>
      <c r="B379" s="37" t="str">
        <f>Kaikki!G379</f>
        <v/>
      </c>
      <c r="C379">
        <f>Kaikki!A379</f>
        <v>229</v>
      </c>
      <c r="D379">
        <f>HUS!A379</f>
        <v>127</v>
      </c>
      <c r="E379" s="38">
        <f t="shared" si="5"/>
        <v>0.55458515283842791</v>
      </c>
    </row>
    <row r="380" spans="1:5">
      <c r="A380" s="30">
        <f>Kaikki!F380</f>
        <v>44209.625</v>
      </c>
      <c r="B380" s="37" t="str">
        <f>Kaikki!G380</f>
        <v/>
      </c>
      <c r="C380">
        <f>Kaikki!A380</f>
        <v>260</v>
      </c>
      <c r="D380">
        <f>HUS!A380</f>
        <v>121</v>
      </c>
      <c r="E380" s="38">
        <f t="shared" si="5"/>
        <v>0.4653846153846154</v>
      </c>
    </row>
    <row r="381" spans="1:5">
      <c r="A381" s="30">
        <f>Kaikki!F381</f>
        <v>44210.625</v>
      </c>
      <c r="B381" s="37" t="str">
        <f>Kaikki!G381</f>
        <v/>
      </c>
      <c r="C381">
        <f>Kaikki!A381</f>
        <v>249</v>
      </c>
      <c r="D381">
        <f>HUS!A381</f>
        <v>123</v>
      </c>
      <c r="E381" s="38">
        <f t="shared" si="5"/>
        <v>0.49397590361445781</v>
      </c>
    </row>
    <row r="382" spans="1:5">
      <c r="A382" s="30">
        <f>Kaikki!F382</f>
        <v>44211.625</v>
      </c>
      <c r="B382" s="37" t="str">
        <f>Kaikki!G382</f>
        <v/>
      </c>
      <c r="C382">
        <f>Kaikki!A382</f>
        <v>266</v>
      </c>
      <c r="D382">
        <f>HUS!A382</f>
        <v>108</v>
      </c>
      <c r="E382" s="38">
        <f t="shared" si="5"/>
        <v>0.40601503759398494</v>
      </c>
    </row>
    <row r="383" spans="1:5">
      <c r="A383" s="30">
        <f>Kaikki!F383</f>
        <v>44212.625</v>
      </c>
      <c r="B383" s="37" t="str">
        <f>Kaikki!G383</f>
        <v/>
      </c>
      <c r="C383">
        <f>Kaikki!A383</f>
        <v>171</v>
      </c>
      <c r="D383">
        <f>HUS!A383</f>
        <v>97</v>
      </c>
      <c r="E383" s="38">
        <f t="shared" si="5"/>
        <v>0.56725146198830412</v>
      </c>
    </row>
    <row r="384" spans="1:5">
      <c r="A384" s="30">
        <f>Kaikki!F384</f>
        <v>44213.625</v>
      </c>
      <c r="B384" s="37" t="str">
        <f>Kaikki!G384</f>
        <v/>
      </c>
      <c r="C384">
        <f>Kaikki!A384</f>
        <v>197</v>
      </c>
      <c r="D384">
        <f>HUS!A384</f>
        <v>97</v>
      </c>
      <c r="E384" s="38">
        <f t="shared" si="5"/>
        <v>0.49238578680203043</v>
      </c>
    </row>
    <row r="385" spans="1:5">
      <c r="A385" s="30">
        <f>Kaikki!F385</f>
        <v>44214.625</v>
      </c>
      <c r="B385" s="37" t="str">
        <f>Kaikki!G385</f>
        <v>2021-W03</v>
      </c>
      <c r="C385">
        <f>Kaikki!A385</f>
        <v>448</v>
      </c>
      <c r="D385">
        <f>HUS!A385</f>
        <v>257</v>
      </c>
      <c r="E385" s="38">
        <f t="shared" si="5"/>
        <v>0.5736607142857143</v>
      </c>
    </row>
    <row r="386" spans="1:5">
      <c r="A386" s="30">
        <f>Kaikki!F386</f>
        <v>44215.625</v>
      </c>
      <c r="B386" s="37" t="str">
        <f>Kaikki!G386</f>
        <v/>
      </c>
      <c r="C386">
        <f>Kaikki!A386</f>
        <v>342</v>
      </c>
      <c r="D386">
        <f>HUS!A386</f>
        <v>189</v>
      </c>
      <c r="E386" s="38">
        <f t="shared" si="5"/>
        <v>0.55263157894736847</v>
      </c>
    </row>
    <row r="387" spans="1:5">
      <c r="A387" s="30">
        <f>Kaikki!F387</f>
        <v>44216.625</v>
      </c>
      <c r="B387" s="37" t="str">
        <f>Kaikki!G387</f>
        <v/>
      </c>
      <c r="C387">
        <f>Kaikki!A387</f>
        <v>406</v>
      </c>
      <c r="D387">
        <f>HUS!A387</f>
        <v>209</v>
      </c>
      <c r="E387" s="38">
        <f t="shared" ref="E387:E450" si="6">D387/C387</f>
        <v>0.51477832512315269</v>
      </c>
    </row>
    <row r="388" spans="1:5">
      <c r="A388" s="30">
        <f>Kaikki!F388</f>
        <v>44217.625</v>
      </c>
      <c r="B388" s="37" t="str">
        <f>Kaikki!G388</f>
        <v/>
      </c>
      <c r="C388">
        <f>Kaikki!A388</f>
        <v>377</v>
      </c>
      <c r="D388">
        <f>HUS!A388</f>
        <v>178</v>
      </c>
      <c r="E388" s="38">
        <f t="shared" si="6"/>
        <v>0.47214854111405835</v>
      </c>
    </row>
    <row r="389" spans="1:5">
      <c r="A389" s="30">
        <f>Kaikki!F389</f>
        <v>44218.625</v>
      </c>
      <c r="B389" s="37" t="str">
        <f>Kaikki!G389</f>
        <v/>
      </c>
      <c r="C389">
        <f>Kaikki!A389</f>
        <v>361</v>
      </c>
      <c r="D389">
        <f>HUS!A389</f>
        <v>196</v>
      </c>
      <c r="E389" s="38">
        <f t="shared" si="6"/>
        <v>0.54293628808864269</v>
      </c>
    </row>
    <row r="390" spans="1:5">
      <c r="A390" s="30">
        <f>Kaikki!F390</f>
        <v>44219.625</v>
      </c>
      <c r="B390" s="37" t="str">
        <f>Kaikki!G390</f>
        <v/>
      </c>
      <c r="C390">
        <f>Kaikki!A390</f>
        <v>168</v>
      </c>
      <c r="D390">
        <f>HUS!A390</f>
        <v>93</v>
      </c>
      <c r="E390" s="38">
        <f t="shared" si="6"/>
        <v>0.5535714285714286</v>
      </c>
    </row>
    <row r="391" spans="1:5">
      <c r="A391" s="30">
        <f>Kaikki!F391</f>
        <v>44220.625</v>
      </c>
      <c r="B391" s="37" t="str">
        <f>Kaikki!G391</f>
        <v/>
      </c>
      <c r="C391">
        <f>Kaikki!A391</f>
        <v>247</v>
      </c>
      <c r="D391">
        <f>HUS!A391</f>
        <v>153</v>
      </c>
      <c r="E391" s="38">
        <f t="shared" si="6"/>
        <v>0.61943319838056676</v>
      </c>
    </row>
    <row r="392" spans="1:5">
      <c r="A392" s="30">
        <f>Kaikki!F392</f>
        <v>44221.625</v>
      </c>
      <c r="B392" s="37" t="str">
        <f>Kaikki!G392</f>
        <v>2021-W04</v>
      </c>
      <c r="C392">
        <f>Kaikki!A392</f>
        <v>605</v>
      </c>
      <c r="D392">
        <f>HUS!A392</f>
        <v>257</v>
      </c>
      <c r="E392" s="38">
        <f t="shared" si="6"/>
        <v>0.42479338842975206</v>
      </c>
    </row>
    <row r="393" spans="1:5">
      <c r="A393" s="30">
        <f>Kaikki!F393</f>
        <v>44222.625</v>
      </c>
      <c r="B393" s="37" t="str">
        <f>Kaikki!G393</f>
        <v/>
      </c>
      <c r="C393">
        <f>Kaikki!A393</f>
        <v>397</v>
      </c>
      <c r="D393">
        <f>HUS!A393</f>
        <v>212</v>
      </c>
      <c r="E393" s="38">
        <f t="shared" si="6"/>
        <v>0.53400503778337527</v>
      </c>
    </row>
    <row r="394" spans="1:5">
      <c r="A394" s="30">
        <f>Kaikki!F394</f>
        <v>44223.625</v>
      </c>
      <c r="B394" s="37" t="str">
        <f>Kaikki!G394</f>
        <v/>
      </c>
      <c r="C394">
        <f>Kaikki!A394</f>
        <v>382</v>
      </c>
      <c r="D394">
        <f>HUS!A394</f>
        <v>188</v>
      </c>
      <c r="E394" s="38">
        <f t="shared" si="6"/>
        <v>0.49214659685863876</v>
      </c>
    </row>
    <row r="395" spans="1:5">
      <c r="A395" s="30">
        <f>Kaikki!F395</f>
        <v>44224.625</v>
      </c>
      <c r="B395" s="37" t="str">
        <f>Kaikki!G395</f>
        <v/>
      </c>
      <c r="C395">
        <f>Kaikki!A395</f>
        <v>435</v>
      </c>
      <c r="D395">
        <f>HUS!A395</f>
        <v>229</v>
      </c>
      <c r="E395" s="38">
        <f t="shared" si="6"/>
        <v>0.52643678160919538</v>
      </c>
    </row>
    <row r="396" spans="1:5">
      <c r="A396" s="30">
        <f>Kaikki!F396</f>
        <v>44225.625</v>
      </c>
      <c r="B396" s="37" t="str">
        <f>Kaikki!G396</f>
        <v/>
      </c>
      <c r="C396">
        <f>Kaikki!A396</f>
        <v>378</v>
      </c>
      <c r="D396">
        <f>HUS!A396</f>
        <v>191</v>
      </c>
      <c r="E396" s="38">
        <f t="shared" si="6"/>
        <v>0.50529100529100535</v>
      </c>
    </row>
    <row r="397" spans="1:5">
      <c r="A397" s="30">
        <f>Kaikki!F397</f>
        <v>44226.625</v>
      </c>
      <c r="B397" s="37" t="str">
        <f>Kaikki!G397</f>
        <v/>
      </c>
      <c r="C397">
        <f>Kaikki!A397</f>
        <v>232</v>
      </c>
      <c r="D397">
        <f>HUS!A397</f>
        <v>132</v>
      </c>
      <c r="E397" s="38">
        <f t="shared" si="6"/>
        <v>0.56896551724137934</v>
      </c>
    </row>
    <row r="398" spans="1:5">
      <c r="A398" s="30">
        <f>Kaikki!F398</f>
        <v>44227.625</v>
      </c>
      <c r="B398" s="37" t="str">
        <f>Kaikki!G398</f>
        <v/>
      </c>
      <c r="C398">
        <f>Kaikki!A398</f>
        <v>273</v>
      </c>
      <c r="D398">
        <f>HUS!A398</f>
        <v>167</v>
      </c>
      <c r="E398" s="38">
        <f t="shared" si="6"/>
        <v>0.61172161172161177</v>
      </c>
    </row>
    <row r="399" spans="1:5">
      <c r="A399" s="30">
        <f>Kaikki!F399</f>
        <v>44228.625</v>
      </c>
      <c r="B399" s="37" t="str">
        <f>Kaikki!G399</f>
        <v>2021-W05</v>
      </c>
      <c r="C399">
        <f>Kaikki!A399</f>
        <v>534</v>
      </c>
      <c r="D399">
        <f>HUS!A399</f>
        <v>296</v>
      </c>
      <c r="E399" s="38">
        <f t="shared" si="6"/>
        <v>0.55430711610486894</v>
      </c>
    </row>
    <row r="400" spans="1:5">
      <c r="A400" s="30">
        <f>Kaikki!F400</f>
        <v>44229.625</v>
      </c>
      <c r="B400" s="37" t="str">
        <f>Kaikki!G400</f>
        <v/>
      </c>
      <c r="C400">
        <f>Kaikki!A400</f>
        <v>396</v>
      </c>
      <c r="D400">
        <f>HUS!A400</f>
        <v>250</v>
      </c>
      <c r="E400" s="38">
        <f t="shared" si="6"/>
        <v>0.63131313131313127</v>
      </c>
    </row>
    <row r="401" spans="1:5">
      <c r="A401" s="30">
        <f>Kaikki!F401</f>
        <v>44230.625</v>
      </c>
      <c r="B401" s="37" t="str">
        <f>Kaikki!G401</f>
        <v/>
      </c>
      <c r="C401">
        <f>Kaikki!A401</f>
        <v>441</v>
      </c>
      <c r="D401">
        <f>HUS!A401</f>
        <v>263</v>
      </c>
      <c r="E401" s="38">
        <f t="shared" si="6"/>
        <v>0.59637188208616776</v>
      </c>
    </row>
    <row r="402" spans="1:5">
      <c r="A402" s="30">
        <f>Kaikki!F402</f>
        <v>44231.625</v>
      </c>
      <c r="B402" s="37" t="str">
        <f>Kaikki!G402</f>
        <v/>
      </c>
      <c r="C402">
        <f>Kaikki!A402</f>
        <v>373</v>
      </c>
      <c r="D402">
        <f>HUS!A402</f>
        <v>225</v>
      </c>
      <c r="E402" s="38">
        <f t="shared" si="6"/>
        <v>0.60321715817694366</v>
      </c>
    </row>
    <row r="403" spans="1:5">
      <c r="A403" s="30">
        <f>Kaikki!F403</f>
        <v>44232.625</v>
      </c>
      <c r="B403" s="37" t="str">
        <f>Kaikki!G403</f>
        <v/>
      </c>
      <c r="C403">
        <f>Kaikki!A403</f>
        <v>367</v>
      </c>
      <c r="D403">
        <f>HUS!A403</f>
        <v>216</v>
      </c>
      <c r="E403" s="38">
        <f t="shared" si="6"/>
        <v>0.58855585831062673</v>
      </c>
    </row>
    <row r="404" spans="1:5">
      <c r="A404" s="30">
        <f>Kaikki!F404</f>
        <v>44233.625</v>
      </c>
      <c r="B404" s="37" t="str">
        <f>Kaikki!G404</f>
        <v/>
      </c>
      <c r="C404">
        <f>Kaikki!A404</f>
        <v>238</v>
      </c>
      <c r="D404">
        <f>HUS!A404</f>
        <v>152</v>
      </c>
      <c r="E404" s="38">
        <f t="shared" si="6"/>
        <v>0.6386554621848739</v>
      </c>
    </row>
    <row r="405" spans="1:5">
      <c r="A405" s="30">
        <f>Kaikki!F405</f>
        <v>44234.625</v>
      </c>
      <c r="B405" s="37" t="str">
        <f>Kaikki!G405</f>
        <v/>
      </c>
      <c r="C405">
        <f>Kaikki!A405</f>
        <v>264</v>
      </c>
      <c r="D405">
        <f>HUS!A405</f>
        <v>173</v>
      </c>
      <c r="E405" s="38">
        <f t="shared" si="6"/>
        <v>0.65530303030303028</v>
      </c>
    </row>
    <row r="406" spans="1:5">
      <c r="A406" s="30">
        <f>Kaikki!F406</f>
        <v>44235.625</v>
      </c>
      <c r="B406" s="37" t="str">
        <f>Kaikki!G406</f>
        <v>2021-W06</v>
      </c>
      <c r="C406">
        <f>Kaikki!A406</f>
        <v>461</v>
      </c>
      <c r="D406">
        <f>HUS!A406</f>
        <v>295</v>
      </c>
      <c r="E406" s="38">
        <f t="shared" si="6"/>
        <v>0.63991323210412143</v>
      </c>
    </row>
    <row r="407" spans="1:5">
      <c r="A407" s="30">
        <f>Kaikki!F407</f>
        <v>44236.625</v>
      </c>
      <c r="B407" s="37" t="str">
        <f>Kaikki!G407</f>
        <v/>
      </c>
      <c r="C407">
        <f>Kaikki!A407</f>
        <v>372</v>
      </c>
      <c r="D407">
        <f>HUS!A407</f>
        <v>240</v>
      </c>
      <c r="E407" s="38">
        <f t="shared" si="6"/>
        <v>0.64516129032258063</v>
      </c>
    </row>
    <row r="408" spans="1:5">
      <c r="A408" s="30">
        <f>Kaikki!F408</f>
        <v>44237.625</v>
      </c>
      <c r="B408" s="37" t="str">
        <f>Kaikki!G408</f>
        <v/>
      </c>
      <c r="C408">
        <f>Kaikki!A408</f>
        <v>383</v>
      </c>
      <c r="D408">
        <f>HUS!A408</f>
        <v>230</v>
      </c>
      <c r="E408" s="38">
        <f t="shared" si="6"/>
        <v>0.60052219321148825</v>
      </c>
    </row>
    <row r="409" spans="1:5">
      <c r="A409" s="30">
        <f>Kaikki!F409</f>
        <v>44238.625</v>
      </c>
      <c r="B409" s="37" t="str">
        <f>Kaikki!G409</f>
        <v/>
      </c>
      <c r="C409">
        <f>Kaikki!A409</f>
        <v>361</v>
      </c>
      <c r="D409">
        <f>HUS!A409</f>
        <v>237</v>
      </c>
      <c r="E409" s="38">
        <f t="shared" si="6"/>
        <v>0.65650969529085867</v>
      </c>
    </row>
    <row r="410" spans="1:5">
      <c r="A410" s="30">
        <f>Kaikki!F410</f>
        <v>44239.625</v>
      </c>
      <c r="B410" s="37" t="str">
        <f>Kaikki!G410</f>
        <v/>
      </c>
      <c r="C410">
        <f>Kaikki!A410</f>
        <v>419</v>
      </c>
      <c r="D410">
        <f>HUS!A410</f>
        <v>261</v>
      </c>
      <c r="E410" s="38">
        <f t="shared" si="6"/>
        <v>0.62291169451073991</v>
      </c>
    </row>
    <row r="411" spans="1:5">
      <c r="A411" s="30">
        <f>Kaikki!F411</f>
        <v>44240.625</v>
      </c>
      <c r="B411" s="37" t="str">
        <f>Kaikki!G411</f>
        <v/>
      </c>
      <c r="C411">
        <f>Kaikki!A411</f>
        <v>279</v>
      </c>
      <c r="D411">
        <f>HUS!A411</f>
        <v>191</v>
      </c>
      <c r="E411" s="38">
        <f t="shared" si="6"/>
        <v>0.68458781362007171</v>
      </c>
    </row>
    <row r="412" spans="1:5">
      <c r="A412" s="30">
        <f>Kaikki!F412</f>
        <v>44241.625</v>
      </c>
      <c r="B412" s="37" t="str">
        <f>Kaikki!G412</f>
        <v/>
      </c>
      <c r="C412">
        <f>Kaikki!A412</f>
        <v>282</v>
      </c>
      <c r="D412">
        <f>HUS!A412</f>
        <v>181</v>
      </c>
      <c r="E412" s="38">
        <f t="shared" si="6"/>
        <v>0.64184397163120566</v>
      </c>
    </row>
    <row r="413" spans="1:5">
      <c r="A413" s="30">
        <f>Kaikki!F413</f>
        <v>44242.625</v>
      </c>
      <c r="B413" s="37" t="str">
        <f>Kaikki!G413</f>
        <v>2021-W07</v>
      </c>
      <c r="C413">
        <f>Kaikki!A413</f>
        <v>616</v>
      </c>
      <c r="D413">
        <f>HUS!A413</f>
        <v>360</v>
      </c>
      <c r="E413" s="38">
        <f t="shared" si="6"/>
        <v>0.58441558441558439</v>
      </c>
    </row>
    <row r="414" spans="1:5">
      <c r="A414" s="30">
        <f>Kaikki!F414</f>
        <v>44243.625</v>
      </c>
      <c r="B414" s="37" t="str">
        <f>Kaikki!G414</f>
        <v/>
      </c>
      <c r="C414">
        <f>Kaikki!A414</f>
        <v>514</v>
      </c>
      <c r="D414">
        <f>HUS!A414</f>
        <v>328</v>
      </c>
      <c r="E414" s="38">
        <f t="shared" si="6"/>
        <v>0.63813229571984431</v>
      </c>
    </row>
    <row r="415" spans="1:5">
      <c r="A415" s="30">
        <f>Kaikki!F415</f>
        <v>44244.625</v>
      </c>
      <c r="B415" s="37" t="str">
        <f>Kaikki!G415</f>
        <v/>
      </c>
      <c r="C415">
        <f>Kaikki!A415</f>
        <v>553</v>
      </c>
      <c r="D415">
        <f>HUS!A415</f>
        <v>329</v>
      </c>
      <c r="E415" s="38">
        <f t="shared" si="6"/>
        <v>0.59493670886075944</v>
      </c>
    </row>
    <row r="416" spans="1:5">
      <c r="A416" s="30">
        <f>Kaikki!F416</f>
        <v>44245.625</v>
      </c>
      <c r="B416" s="37" t="str">
        <f>Kaikki!G416</f>
        <v/>
      </c>
      <c r="C416">
        <f>Kaikki!A416</f>
        <v>611</v>
      </c>
      <c r="D416">
        <f>HUS!A416</f>
        <v>325</v>
      </c>
      <c r="E416" s="38">
        <f t="shared" si="6"/>
        <v>0.53191489361702127</v>
      </c>
    </row>
    <row r="417" spans="1:5">
      <c r="A417" s="30">
        <f>Kaikki!F417</f>
        <v>44246.625</v>
      </c>
      <c r="B417" s="37" t="str">
        <f>Kaikki!G417</f>
        <v/>
      </c>
      <c r="C417">
        <f>Kaikki!A417</f>
        <v>573</v>
      </c>
      <c r="D417">
        <f>HUS!A417</f>
        <v>306</v>
      </c>
      <c r="E417" s="38">
        <f t="shared" si="6"/>
        <v>0.53403141361256545</v>
      </c>
    </row>
    <row r="418" spans="1:5">
      <c r="A418" s="30">
        <f>Kaikki!F418</f>
        <v>44247.625</v>
      </c>
      <c r="B418" s="37" t="str">
        <f>Kaikki!G418</f>
        <v/>
      </c>
      <c r="C418">
        <f>Kaikki!A418</f>
        <v>318</v>
      </c>
      <c r="D418">
        <f>HUS!A418</f>
        <v>185</v>
      </c>
      <c r="E418" s="38">
        <f t="shared" si="6"/>
        <v>0.58176100628930816</v>
      </c>
    </row>
    <row r="419" spans="1:5">
      <c r="A419" s="30">
        <f>Kaikki!F419</f>
        <v>44248.625</v>
      </c>
      <c r="B419" s="37" t="str">
        <f>Kaikki!G419</f>
        <v/>
      </c>
      <c r="C419">
        <f>Kaikki!A419</f>
        <v>356</v>
      </c>
      <c r="D419">
        <f>HUS!A419</f>
        <v>220</v>
      </c>
      <c r="E419" s="38">
        <f t="shared" si="6"/>
        <v>0.6179775280898876</v>
      </c>
    </row>
    <row r="420" spans="1:5">
      <c r="A420" s="30">
        <f>Kaikki!F420</f>
        <v>44249.625</v>
      </c>
      <c r="B420" s="37" t="str">
        <f>Kaikki!G420</f>
        <v>2021-W08</v>
      </c>
      <c r="C420">
        <f>Kaikki!A420</f>
        <v>623</v>
      </c>
      <c r="D420">
        <f>HUS!A420</f>
        <v>388</v>
      </c>
      <c r="E420" s="38">
        <f t="shared" si="6"/>
        <v>0.622792937399679</v>
      </c>
    </row>
    <row r="421" spans="1:5">
      <c r="A421" s="30">
        <f>Kaikki!F421</f>
        <v>44250.625</v>
      </c>
      <c r="B421" s="37" t="str">
        <f>Kaikki!G421</f>
        <v/>
      </c>
      <c r="C421">
        <f>Kaikki!A421</f>
        <v>626</v>
      </c>
      <c r="D421">
        <f>HUS!A421</f>
        <v>383</v>
      </c>
      <c r="E421" s="38">
        <f t="shared" si="6"/>
        <v>0.61182108626198084</v>
      </c>
    </row>
    <row r="422" spans="1:5">
      <c r="A422" s="30">
        <f>Kaikki!F422</f>
        <v>44251.625</v>
      </c>
      <c r="B422" s="37" t="str">
        <f>Kaikki!G422</f>
        <v/>
      </c>
      <c r="C422">
        <f>Kaikki!A422</f>
        <v>598</v>
      </c>
      <c r="D422">
        <f>HUS!A422</f>
        <v>417</v>
      </c>
      <c r="E422" s="38">
        <f t="shared" si="6"/>
        <v>0.69732441471571904</v>
      </c>
    </row>
    <row r="423" spans="1:5">
      <c r="A423" s="30">
        <f>Kaikki!F423</f>
        <v>44252.625</v>
      </c>
      <c r="B423" s="37" t="str">
        <f>Kaikki!G423</f>
        <v/>
      </c>
      <c r="C423">
        <f>Kaikki!A423</f>
        <v>629</v>
      </c>
      <c r="D423">
        <f>HUS!A423</f>
        <v>361</v>
      </c>
      <c r="E423" s="38">
        <f t="shared" si="6"/>
        <v>0.57392686804451509</v>
      </c>
    </row>
    <row r="424" spans="1:5">
      <c r="A424" s="30">
        <f>Kaikki!F424</f>
        <v>44253.625</v>
      </c>
      <c r="B424" s="37" t="str">
        <f>Kaikki!G424</f>
        <v/>
      </c>
      <c r="C424">
        <f>Kaikki!A424</f>
        <v>686</v>
      </c>
      <c r="D424">
        <f>HUS!A424</f>
        <v>429</v>
      </c>
      <c r="E424" s="38">
        <f t="shared" si="6"/>
        <v>0.62536443148688048</v>
      </c>
    </row>
    <row r="425" spans="1:5">
      <c r="A425" s="30">
        <f>Kaikki!F425</f>
        <v>44254.625</v>
      </c>
      <c r="B425" s="37" t="str">
        <f>Kaikki!G425</f>
        <v/>
      </c>
      <c r="C425">
        <f>Kaikki!A425</f>
        <v>401</v>
      </c>
      <c r="D425">
        <f>HUS!A425</f>
        <v>266</v>
      </c>
      <c r="E425" s="38">
        <f t="shared" si="6"/>
        <v>0.66334164588528677</v>
      </c>
    </row>
    <row r="426" spans="1:5">
      <c r="A426" s="30">
        <f>Kaikki!F426</f>
        <v>44255.625</v>
      </c>
      <c r="B426" s="37" t="str">
        <f>Kaikki!G426</f>
        <v/>
      </c>
      <c r="C426">
        <f>Kaikki!A426</f>
        <v>422</v>
      </c>
      <c r="D426">
        <f>HUS!A426</f>
        <v>266</v>
      </c>
      <c r="E426" s="38">
        <f t="shared" si="6"/>
        <v>0.63033175355450233</v>
      </c>
    </row>
    <row r="427" spans="1:5">
      <c r="A427" s="30">
        <f>Kaikki!F427</f>
        <v>44256.625</v>
      </c>
      <c r="B427" s="37" t="str">
        <f>Kaikki!G427</f>
        <v>2021-W09</v>
      </c>
      <c r="C427">
        <f>Kaikki!A427</f>
        <v>875</v>
      </c>
      <c r="D427">
        <f>HUS!A427</f>
        <v>483</v>
      </c>
      <c r="E427" s="38">
        <f t="shared" si="6"/>
        <v>0.55200000000000005</v>
      </c>
    </row>
    <row r="428" spans="1:5">
      <c r="A428" s="30">
        <f>Kaikki!F428</f>
        <v>44257.625</v>
      </c>
      <c r="B428" s="37" t="str">
        <f>Kaikki!G428</f>
        <v/>
      </c>
      <c r="C428">
        <f>Kaikki!A428</f>
        <v>758</v>
      </c>
      <c r="D428">
        <f>HUS!A428</f>
        <v>492</v>
      </c>
      <c r="E428" s="38">
        <f t="shared" si="6"/>
        <v>0.64907651715039583</v>
      </c>
    </row>
    <row r="429" spans="1:5">
      <c r="A429" s="30">
        <f>Kaikki!F429</f>
        <v>44258.625</v>
      </c>
      <c r="B429" s="37" t="str">
        <f>Kaikki!G429</f>
        <v/>
      </c>
      <c r="C429">
        <f>Kaikki!A429</f>
        <v>732</v>
      </c>
      <c r="D429">
        <f>HUS!A429</f>
        <v>475</v>
      </c>
      <c r="E429" s="38">
        <f t="shared" si="6"/>
        <v>0.64890710382513661</v>
      </c>
    </row>
    <row r="430" spans="1:5">
      <c r="A430" s="30">
        <f>Kaikki!F430</f>
        <v>44259.625</v>
      </c>
      <c r="B430" s="37" t="str">
        <f>Kaikki!G430</f>
        <v/>
      </c>
      <c r="C430">
        <f>Kaikki!A430</f>
        <v>640</v>
      </c>
      <c r="D430">
        <f>HUS!A430</f>
        <v>389</v>
      </c>
      <c r="E430" s="38">
        <f t="shared" si="6"/>
        <v>0.60781249999999998</v>
      </c>
    </row>
    <row r="431" spans="1:5">
      <c r="A431" s="30">
        <f>Kaikki!F431</f>
        <v>44260.625</v>
      </c>
      <c r="B431" s="37" t="str">
        <f>Kaikki!G431</f>
        <v/>
      </c>
      <c r="C431">
        <f>Kaikki!A431</f>
        <v>630</v>
      </c>
      <c r="D431">
        <f>HUS!A431</f>
        <v>420</v>
      </c>
      <c r="E431" s="38">
        <f t="shared" si="6"/>
        <v>0.66666666666666663</v>
      </c>
    </row>
    <row r="432" spans="1:5">
      <c r="A432" s="30">
        <f>Kaikki!F432</f>
        <v>44261.625</v>
      </c>
      <c r="B432" s="37" t="str">
        <f>Kaikki!G432</f>
        <v/>
      </c>
      <c r="C432">
        <f>Kaikki!A432</f>
        <v>433</v>
      </c>
      <c r="D432">
        <f>HUS!A432</f>
        <v>277</v>
      </c>
      <c r="E432" s="38">
        <f t="shared" si="6"/>
        <v>0.63972286374133946</v>
      </c>
    </row>
    <row r="433" spans="1:5">
      <c r="A433" s="30">
        <f>Kaikki!F433</f>
        <v>44262.625</v>
      </c>
      <c r="B433" s="37" t="str">
        <f>Kaikki!G433</f>
        <v/>
      </c>
      <c r="C433">
        <f>Kaikki!A433</f>
        <v>395</v>
      </c>
      <c r="D433">
        <f>HUS!A433</f>
        <v>256</v>
      </c>
      <c r="E433" s="38">
        <f t="shared" si="6"/>
        <v>0.64810126582278482</v>
      </c>
    </row>
    <row r="434" spans="1:5">
      <c r="A434" s="30">
        <f>Kaikki!F434</f>
        <v>44263.625</v>
      </c>
      <c r="B434" s="37" t="str">
        <f>Kaikki!G434</f>
        <v>2021-W10</v>
      </c>
      <c r="C434">
        <f>Kaikki!A434</f>
        <v>834</v>
      </c>
      <c r="D434">
        <f>HUS!A434</f>
        <v>501</v>
      </c>
      <c r="E434" s="38">
        <f t="shared" si="6"/>
        <v>0.60071942446043169</v>
      </c>
    </row>
    <row r="435" spans="1:5">
      <c r="A435" s="30">
        <f>Kaikki!F435</f>
        <v>44264.625</v>
      </c>
      <c r="B435" s="37" t="str">
        <f>Kaikki!G435</f>
        <v/>
      </c>
      <c r="C435">
        <f>Kaikki!A435</f>
        <v>773</v>
      </c>
      <c r="D435">
        <f>HUS!A435</f>
        <v>506</v>
      </c>
      <c r="E435" s="38">
        <f t="shared" si="6"/>
        <v>0.6545924967658473</v>
      </c>
    </row>
    <row r="436" spans="1:5">
      <c r="A436" s="30">
        <f>Kaikki!F436</f>
        <v>44265.625</v>
      </c>
      <c r="B436" s="37" t="str">
        <f>Kaikki!G436</f>
        <v/>
      </c>
      <c r="C436">
        <f>Kaikki!A436</f>
        <v>822</v>
      </c>
      <c r="D436">
        <f>HUS!A436</f>
        <v>505</v>
      </c>
      <c r="E436" s="38">
        <f t="shared" si="6"/>
        <v>0.61435523114355228</v>
      </c>
    </row>
    <row r="437" spans="1:5">
      <c r="A437" s="30">
        <f>Kaikki!F437</f>
        <v>44266.625</v>
      </c>
      <c r="B437" s="37" t="str">
        <f>Kaikki!G437</f>
        <v/>
      </c>
      <c r="C437">
        <f>Kaikki!A437</f>
        <v>779</v>
      </c>
      <c r="D437">
        <f>HUS!A437</f>
        <v>477</v>
      </c>
      <c r="E437" s="38">
        <f t="shared" si="6"/>
        <v>0.61232349165596922</v>
      </c>
    </row>
    <row r="438" spans="1:5">
      <c r="A438" s="30">
        <f>Kaikki!F438</f>
        <v>44267.625</v>
      </c>
      <c r="B438" s="37" t="str">
        <f>Kaikki!G438</f>
        <v/>
      </c>
      <c r="C438">
        <f>Kaikki!A438</f>
        <v>808</v>
      </c>
      <c r="D438">
        <f>HUS!A438</f>
        <v>517</v>
      </c>
      <c r="E438" s="38">
        <f t="shared" si="6"/>
        <v>0.63985148514851486</v>
      </c>
    </row>
    <row r="439" spans="1:5">
      <c r="A439" s="30">
        <f>Kaikki!F439</f>
        <v>44268.625</v>
      </c>
      <c r="B439" s="37" t="str">
        <f>Kaikki!G439</f>
        <v/>
      </c>
      <c r="C439">
        <f>Kaikki!A439</f>
        <v>491</v>
      </c>
      <c r="D439">
        <f>HUS!A439</f>
        <v>327</v>
      </c>
      <c r="E439" s="38">
        <f t="shared" si="6"/>
        <v>0.66598778004073322</v>
      </c>
    </row>
    <row r="440" spans="1:5">
      <c r="A440" s="30">
        <f>Kaikki!F440</f>
        <v>44269.625</v>
      </c>
      <c r="B440" s="37" t="str">
        <f>Kaikki!G440</f>
        <v/>
      </c>
      <c r="C440">
        <f>Kaikki!A440</f>
        <v>434</v>
      </c>
      <c r="D440">
        <f>HUS!A440</f>
        <v>262</v>
      </c>
      <c r="E440" s="38">
        <f t="shared" si="6"/>
        <v>0.60368663594470051</v>
      </c>
    </row>
    <row r="441" spans="1:5">
      <c r="A441" s="30">
        <f>Kaikki!F441</f>
        <v>44270.625</v>
      </c>
      <c r="B441" s="37" t="str">
        <f>Kaikki!G441</f>
        <v>2021-W11</v>
      </c>
      <c r="C441">
        <f>Kaikki!A441</f>
        <v>892</v>
      </c>
      <c r="D441">
        <f>HUS!A441</f>
        <v>508</v>
      </c>
      <c r="E441" s="38">
        <f t="shared" si="6"/>
        <v>0.56950672645739908</v>
      </c>
    </row>
    <row r="442" spans="1:5">
      <c r="A442" s="30">
        <f>Kaikki!F442</f>
        <v>44271.625</v>
      </c>
      <c r="B442" s="37" t="str">
        <f>Kaikki!G442</f>
        <v/>
      </c>
      <c r="C442">
        <f>Kaikki!A442</f>
        <v>767</v>
      </c>
      <c r="D442">
        <f>HUS!A442</f>
        <v>454</v>
      </c>
      <c r="E442" s="38">
        <f t="shared" si="6"/>
        <v>0.59191655801825294</v>
      </c>
    </row>
    <row r="443" spans="1:5">
      <c r="A443" s="30">
        <f>Kaikki!F443</f>
        <v>44272.625</v>
      </c>
      <c r="B443" s="37" t="str">
        <f>Kaikki!G443</f>
        <v/>
      </c>
      <c r="C443">
        <f>Kaikki!A443</f>
        <v>743</v>
      </c>
      <c r="D443">
        <f>HUS!A443</f>
        <v>417</v>
      </c>
      <c r="E443" s="38">
        <f t="shared" si="6"/>
        <v>0.56123822341857332</v>
      </c>
    </row>
    <row r="444" spans="1:5">
      <c r="A444" s="30">
        <f>Kaikki!F444</f>
        <v>44273.625</v>
      </c>
      <c r="B444" s="37" t="str">
        <f>Kaikki!G444</f>
        <v/>
      </c>
      <c r="C444">
        <f>Kaikki!A444</f>
        <v>735</v>
      </c>
      <c r="D444">
        <f>HUS!A444</f>
        <v>455</v>
      </c>
      <c r="E444" s="38">
        <f t="shared" si="6"/>
        <v>0.61904761904761907</v>
      </c>
    </row>
    <row r="445" spans="1:5">
      <c r="A445" s="30">
        <f>Kaikki!F445</f>
        <v>44274.625</v>
      </c>
      <c r="B445" s="37" t="str">
        <f>Kaikki!G445</f>
        <v/>
      </c>
      <c r="C445">
        <f>Kaikki!A445</f>
        <v>745</v>
      </c>
      <c r="D445">
        <f>HUS!A445</f>
        <v>444</v>
      </c>
      <c r="E445" s="38">
        <f t="shared" si="6"/>
        <v>0.59597315436241616</v>
      </c>
    </row>
    <row r="446" spans="1:5">
      <c r="A446" s="30">
        <f>Kaikki!F446</f>
        <v>44275.625</v>
      </c>
      <c r="B446" s="37" t="str">
        <f>Kaikki!G446</f>
        <v/>
      </c>
      <c r="C446">
        <f>Kaikki!A446</f>
        <v>404</v>
      </c>
      <c r="D446">
        <f>HUS!A446</f>
        <v>287</v>
      </c>
      <c r="E446" s="38">
        <f t="shared" si="6"/>
        <v>0.71039603960396036</v>
      </c>
    </row>
    <row r="447" spans="1:5">
      <c r="A447" s="30">
        <f>Kaikki!F447</f>
        <v>44276.625</v>
      </c>
      <c r="B447" s="37" t="str">
        <f>Kaikki!G447</f>
        <v/>
      </c>
      <c r="C447">
        <f>Kaikki!A447</f>
        <v>420</v>
      </c>
      <c r="D447">
        <f>HUS!A447</f>
        <v>288</v>
      </c>
      <c r="E447" s="38">
        <f t="shared" si="6"/>
        <v>0.68571428571428572</v>
      </c>
    </row>
    <row r="448" spans="1:5">
      <c r="A448" s="30">
        <f>Kaikki!F448</f>
        <v>44277.625</v>
      </c>
      <c r="B448" s="37" t="str">
        <f>Kaikki!G448</f>
        <v>2021-W12</v>
      </c>
      <c r="C448">
        <f>Kaikki!A448</f>
        <v>769</v>
      </c>
      <c r="D448">
        <f>HUS!A448</f>
        <v>452</v>
      </c>
      <c r="E448" s="38">
        <f t="shared" si="6"/>
        <v>0.58777633289986997</v>
      </c>
    </row>
    <row r="449" spans="1:5">
      <c r="A449" s="30">
        <f>Kaikki!F449</f>
        <v>44278.625</v>
      </c>
      <c r="B449" s="37" t="str">
        <f>Kaikki!G449</f>
        <v/>
      </c>
      <c r="C449">
        <f>Kaikki!A449</f>
        <v>703</v>
      </c>
      <c r="D449">
        <f>HUS!A449</f>
        <v>452</v>
      </c>
      <c r="E449" s="38">
        <f t="shared" si="6"/>
        <v>0.64295874822190613</v>
      </c>
    </row>
    <row r="450" spans="1:5">
      <c r="A450" s="30">
        <f>Kaikki!F450</f>
        <v>44279.625</v>
      </c>
      <c r="B450" s="37" t="str">
        <f>Kaikki!G450</f>
        <v/>
      </c>
      <c r="C450">
        <f>Kaikki!A450</f>
        <v>695</v>
      </c>
      <c r="D450">
        <f>HUS!A450</f>
        <v>394</v>
      </c>
      <c r="E450" s="38">
        <f t="shared" si="6"/>
        <v>0.56690647482014389</v>
      </c>
    </row>
    <row r="451" spans="1:5">
      <c r="A451" s="30">
        <f>Kaikki!F451</f>
        <v>44280.625</v>
      </c>
      <c r="B451" s="37" t="str">
        <f>Kaikki!G451</f>
        <v/>
      </c>
      <c r="C451">
        <f>Kaikki!A451</f>
        <v>606</v>
      </c>
      <c r="D451">
        <f>HUS!A451</f>
        <v>355</v>
      </c>
      <c r="E451" s="38">
        <f t="shared" ref="E451:E514" si="7">D451/C451</f>
        <v>0.58580858085808585</v>
      </c>
    </row>
    <row r="452" spans="1:5">
      <c r="A452" s="30">
        <f>Kaikki!F452</f>
        <v>44281.625</v>
      </c>
      <c r="B452" s="37" t="str">
        <f>Kaikki!G452</f>
        <v/>
      </c>
      <c r="C452">
        <f>Kaikki!A452</f>
        <v>688</v>
      </c>
      <c r="D452">
        <f>HUS!A452</f>
        <v>407</v>
      </c>
      <c r="E452" s="38">
        <f t="shared" si="7"/>
        <v>0.59156976744186052</v>
      </c>
    </row>
    <row r="453" spans="1:5">
      <c r="A453" s="30">
        <f>Kaikki!F453</f>
        <v>44282.625</v>
      </c>
      <c r="B453" s="37" t="str">
        <f>Kaikki!G453</f>
        <v/>
      </c>
      <c r="C453">
        <f>Kaikki!A453</f>
        <v>351</v>
      </c>
      <c r="D453">
        <f>HUS!A453</f>
        <v>199</v>
      </c>
      <c r="E453" s="38">
        <f t="shared" si="7"/>
        <v>0.5669515669515669</v>
      </c>
    </row>
    <row r="454" spans="1:5">
      <c r="A454" s="30">
        <f>Kaikki!F454</f>
        <v>44283.625</v>
      </c>
      <c r="B454" s="37" t="str">
        <f>Kaikki!G454</f>
        <v/>
      </c>
      <c r="C454">
        <f>Kaikki!A454</f>
        <v>372</v>
      </c>
      <c r="D454">
        <f>HUS!A454</f>
        <v>248</v>
      </c>
      <c r="E454" s="38">
        <f t="shared" si="7"/>
        <v>0.66666666666666663</v>
      </c>
    </row>
    <row r="455" spans="1:5">
      <c r="A455" s="30">
        <f>Kaikki!F455</f>
        <v>44284.625</v>
      </c>
      <c r="B455" s="37" t="str">
        <f>Kaikki!G455</f>
        <v>2021-W13</v>
      </c>
      <c r="C455">
        <f>Kaikki!A455</f>
        <v>654</v>
      </c>
      <c r="D455">
        <f>HUS!A455</f>
        <v>378</v>
      </c>
      <c r="E455" s="38">
        <f t="shared" si="7"/>
        <v>0.57798165137614677</v>
      </c>
    </row>
    <row r="456" spans="1:5">
      <c r="A456" s="30">
        <f>Kaikki!F456</f>
        <v>44285.625</v>
      </c>
      <c r="B456" s="37" t="str">
        <f>Kaikki!G456</f>
        <v/>
      </c>
      <c r="C456">
        <f>Kaikki!A456</f>
        <v>570</v>
      </c>
      <c r="D456">
        <f>HUS!A456</f>
        <v>322</v>
      </c>
      <c r="E456" s="38">
        <f t="shared" si="7"/>
        <v>0.56491228070175437</v>
      </c>
    </row>
    <row r="457" spans="1:5">
      <c r="A457" s="30">
        <f>Kaikki!F457</f>
        <v>44286.625</v>
      </c>
      <c r="B457" s="37" t="str">
        <f>Kaikki!G457</f>
        <v/>
      </c>
      <c r="C457">
        <f>Kaikki!A457</f>
        <v>550</v>
      </c>
      <c r="D457">
        <f>HUS!A457</f>
        <v>331</v>
      </c>
      <c r="E457" s="38">
        <f t="shared" si="7"/>
        <v>0.60181818181818181</v>
      </c>
    </row>
    <row r="458" spans="1:5">
      <c r="A458" s="30">
        <f>Kaikki!F458</f>
        <v>44287.625</v>
      </c>
      <c r="B458" s="37" t="str">
        <f>Kaikki!G458</f>
        <v/>
      </c>
      <c r="C458">
        <f>Kaikki!A458</f>
        <v>486</v>
      </c>
      <c r="D458">
        <f>HUS!A458</f>
        <v>252</v>
      </c>
      <c r="E458" s="38">
        <f t="shared" si="7"/>
        <v>0.51851851851851849</v>
      </c>
    </row>
    <row r="459" spans="1:5">
      <c r="A459" s="30">
        <f>Kaikki!F459</f>
        <v>44288.625</v>
      </c>
      <c r="B459" s="37" t="str">
        <f>Kaikki!G459</f>
        <v/>
      </c>
      <c r="C459">
        <f>Kaikki!A459</f>
        <v>361</v>
      </c>
      <c r="D459">
        <f>HUS!A459</f>
        <v>223</v>
      </c>
      <c r="E459" s="38">
        <f t="shared" si="7"/>
        <v>0.61772853185595566</v>
      </c>
    </row>
    <row r="460" spans="1:5">
      <c r="A460" s="30">
        <f>Kaikki!F460</f>
        <v>44289.625</v>
      </c>
      <c r="B460" s="37" t="str">
        <f>Kaikki!G460</f>
        <v/>
      </c>
      <c r="C460">
        <f>Kaikki!A460</f>
        <v>320</v>
      </c>
      <c r="D460">
        <f>HUS!A460</f>
        <v>188</v>
      </c>
      <c r="E460" s="38">
        <f t="shared" si="7"/>
        <v>0.58750000000000002</v>
      </c>
    </row>
    <row r="461" spans="1:5">
      <c r="A461" s="30">
        <f>Kaikki!F461</f>
        <v>44290.625</v>
      </c>
      <c r="B461" s="37" t="str">
        <f>Kaikki!G461</f>
        <v/>
      </c>
      <c r="C461">
        <f>Kaikki!A461</f>
        <v>322</v>
      </c>
      <c r="D461">
        <f>HUS!A461</f>
        <v>206</v>
      </c>
      <c r="E461" s="38">
        <f t="shared" si="7"/>
        <v>0.63975155279503104</v>
      </c>
    </row>
    <row r="462" spans="1:5">
      <c r="A462" s="30">
        <f>Kaikki!F462</f>
        <v>44291.625</v>
      </c>
      <c r="B462" s="37" t="str">
        <f>Kaikki!G462</f>
        <v>2021-W14</v>
      </c>
      <c r="C462">
        <f>Kaikki!A462</f>
        <v>359</v>
      </c>
      <c r="D462">
        <f>HUS!A462</f>
        <v>232</v>
      </c>
      <c r="E462" s="38">
        <f t="shared" si="7"/>
        <v>0.64623955431754876</v>
      </c>
    </row>
    <row r="463" spans="1:5">
      <c r="A463" s="30">
        <f>Kaikki!F463</f>
        <v>44292.625</v>
      </c>
      <c r="B463" s="37" t="str">
        <f>Kaikki!G463</f>
        <v/>
      </c>
      <c r="C463">
        <f>Kaikki!A463</f>
        <v>545</v>
      </c>
      <c r="D463">
        <f>HUS!A463</f>
        <v>305</v>
      </c>
      <c r="E463" s="38">
        <f t="shared" si="7"/>
        <v>0.55963302752293576</v>
      </c>
    </row>
    <row r="464" spans="1:5">
      <c r="A464" s="30">
        <f>Kaikki!F464</f>
        <v>44293.625</v>
      </c>
      <c r="B464" s="37" t="str">
        <f>Kaikki!G464</f>
        <v/>
      </c>
      <c r="C464">
        <f>Kaikki!A464</f>
        <v>426</v>
      </c>
      <c r="D464">
        <f>HUS!A464</f>
        <v>246</v>
      </c>
      <c r="E464" s="38">
        <f t="shared" si="7"/>
        <v>0.57746478873239437</v>
      </c>
    </row>
    <row r="465" spans="1:5">
      <c r="A465" s="30">
        <f>Kaikki!F465</f>
        <v>44294.625</v>
      </c>
      <c r="B465" s="37" t="str">
        <f>Kaikki!G465</f>
        <v/>
      </c>
      <c r="C465">
        <f>Kaikki!A465</f>
        <v>407</v>
      </c>
      <c r="D465">
        <f>HUS!A465</f>
        <v>211</v>
      </c>
      <c r="E465" s="38">
        <f t="shared" si="7"/>
        <v>0.51842751842751844</v>
      </c>
    </row>
    <row r="466" spans="1:5">
      <c r="A466" s="30">
        <f>Kaikki!F466</f>
        <v>44295.625</v>
      </c>
      <c r="B466" s="37" t="str">
        <f>Kaikki!G466</f>
        <v/>
      </c>
      <c r="C466">
        <f>Kaikki!A466</f>
        <v>351</v>
      </c>
      <c r="D466">
        <f>HUS!A466</f>
        <v>175</v>
      </c>
      <c r="E466" s="38">
        <f t="shared" si="7"/>
        <v>0.4985754985754986</v>
      </c>
    </row>
    <row r="467" spans="1:5">
      <c r="A467" s="30">
        <f>Kaikki!F467</f>
        <v>44296.625</v>
      </c>
      <c r="B467" s="37" t="str">
        <f>Kaikki!G467</f>
        <v/>
      </c>
      <c r="C467">
        <f>Kaikki!A467</f>
        <v>226</v>
      </c>
      <c r="D467">
        <f>HUS!A467</f>
        <v>137</v>
      </c>
      <c r="E467" s="38">
        <f t="shared" si="7"/>
        <v>0.60619469026548678</v>
      </c>
    </row>
    <row r="468" spans="1:5">
      <c r="A468" s="30">
        <f>Kaikki!F468</f>
        <v>44297.625</v>
      </c>
      <c r="B468" s="37" t="str">
        <f>Kaikki!G468</f>
        <v/>
      </c>
      <c r="C468">
        <f>Kaikki!A468</f>
        <v>239</v>
      </c>
      <c r="D468">
        <f>HUS!A468</f>
        <v>142</v>
      </c>
      <c r="E468" s="38">
        <f t="shared" si="7"/>
        <v>0.59414225941422594</v>
      </c>
    </row>
    <row r="469" spans="1:5">
      <c r="A469" s="30">
        <f>Kaikki!F469</f>
        <v>44298.625</v>
      </c>
      <c r="B469" s="37" t="str">
        <f>Kaikki!G469</f>
        <v>2021-W15</v>
      </c>
      <c r="C469">
        <f>Kaikki!A469</f>
        <v>398</v>
      </c>
      <c r="D469">
        <f>HUS!A469</f>
        <v>215</v>
      </c>
      <c r="E469" s="38">
        <f t="shared" si="7"/>
        <v>0.54020100502512558</v>
      </c>
    </row>
    <row r="470" spans="1:5">
      <c r="A470" s="30">
        <f>Kaikki!F470</f>
        <v>44299.625</v>
      </c>
      <c r="B470" s="37" t="str">
        <f>Kaikki!G470</f>
        <v/>
      </c>
      <c r="C470">
        <f>Kaikki!A470</f>
        <v>325</v>
      </c>
      <c r="D470">
        <f>HUS!A470</f>
        <v>155</v>
      </c>
      <c r="E470" s="38">
        <f t="shared" si="7"/>
        <v>0.47692307692307695</v>
      </c>
    </row>
    <row r="471" spans="1:5">
      <c r="A471" s="30">
        <f>Kaikki!F471</f>
        <v>44300.625</v>
      </c>
      <c r="B471" s="37" t="str">
        <f>Kaikki!G471</f>
        <v/>
      </c>
      <c r="C471">
        <f>Kaikki!A471</f>
        <v>345</v>
      </c>
      <c r="D471">
        <f>HUS!A471</f>
        <v>169</v>
      </c>
      <c r="E471" s="38">
        <f t="shared" si="7"/>
        <v>0.48985507246376814</v>
      </c>
    </row>
    <row r="472" spans="1:5">
      <c r="A472" s="30">
        <f>Kaikki!F472</f>
        <v>44301.625</v>
      </c>
      <c r="B472" s="37" t="str">
        <f>Kaikki!G472</f>
        <v/>
      </c>
      <c r="C472">
        <f>Kaikki!A472</f>
        <v>274</v>
      </c>
      <c r="D472">
        <f>HUS!A472</f>
        <v>129</v>
      </c>
      <c r="E472" s="38">
        <f t="shared" si="7"/>
        <v>0.47080291970802918</v>
      </c>
    </row>
    <row r="473" spans="1:5">
      <c r="A473" s="30">
        <f>Kaikki!F473</f>
        <v>44302.625</v>
      </c>
      <c r="B473" s="37" t="str">
        <f>Kaikki!G473</f>
        <v/>
      </c>
      <c r="C473">
        <f>Kaikki!A473</f>
        <v>264</v>
      </c>
      <c r="D473">
        <f>HUS!A473</f>
        <v>130</v>
      </c>
      <c r="E473" s="38">
        <f t="shared" si="7"/>
        <v>0.49242424242424243</v>
      </c>
    </row>
    <row r="474" spans="1:5">
      <c r="A474" s="30">
        <f>Kaikki!F474</f>
        <v>44303.625</v>
      </c>
      <c r="B474" s="37" t="str">
        <f>Kaikki!G474</f>
        <v/>
      </c>
      <c r="C474">
        <f>Kaikki!A474</f>
        <v>171</v>
      </c>
      <c r="D474">
        <f>HUS!A474</f>
        <v>124</v>
      </c>
      <c r="E474" s="38">
        <f t="shared" si="7"/>
        <v>0.72514619883040932</v>
      </c>
    </row>
    <row r="475" spans="1:5">
      <c r="A475" s="30">
        <f>Kaikki!F475</f>
        <v>44304.625</v>
      </c>
      <c r="B475" s="37" t="str">
        <f>Kaikki!G475</f>
        <v/>
      </c>
      <c r="C475">
        <f>Kaikki!A475</f>
        <v>156</v>
      </c>
      <c r="D475">
        <f>HUS!A475</f>
        <v>88</v>
      </c>
      <c r="E475" s="38">
        <f t="shared" si="7"/>
        <v>0.5641025641025641</v>
      </c>
    </row>
    <row r="476" spans="1:5">
      <c r="A476" s="30">
        <f>Kaikki!F476</f>
        <v>44305.625</v>
      </c>
      <c r="B476" s="37" t="str">
        <f>Kaikki!G476</f>
        <v>2021-W16</v>
      </c>
      <c r="C476">
        <f>Kaikki!A476</f>
        <v>284</v>
      </c>
      <c r="D476">
        <f>HUS!A476</f>
        <v>136</v>
      </c>
      <c r="E476" s="38">
        <f t="shared" si="7"/>
        <v>0.47887323943661969</v>
      </c>
    </row>
    <row r="477" spans="1:5">
      <c r="A477" s="30">
        <f>Kaikki!F477</f>
        <v>44306.625</v>
      </c>
      <c r="B477" s="37" t="str">
        <f>Kaikki!G477</f>
        <v/>
      </c>
      <c r="C477">
        <f>Kaikki!A477</f>
        <v>285</v>
      </c>
      <c r="D477">
        <f>HUS!A477</f>
        <v>144</v>
      </c>
      <c r="E477" s="38">
        <f t="shared" si="7"/>
        <v>0.50526315789473686</v>
      </c>
    </row>
    <row r="478" spans="1:5">
      <c r="A478" s="30">
        <f>Kaikki!F478</f>
        <v>44307.625</v>
      </c>
      <c r="B478" s="37" t="str">
        <f>Kaikki!G478</f>
        <v/>
      </c>
      <c r="C478">
        <f>Kaikki!A478</f>
        <v>233</v>
      </c>
      <c r="D478">
        <f>HUS!A478</f>
        <v>114</v>
      </c>
      <c r="E478" s="38">
        <f t="shared" si="7"/>
        <v>0.48927038626609443</v>
      </c>
    </row>
    <row r="479" spans="1:5">
      <c r="A479" s="30">
        <f>Kaikki!F479</f>
        <v>44308.625</v>
      </c>
      <c r="B479" s="37" t="str">
        <f>Kaikki!G479</f>
        <v/>
      </c>
      <c r="C479">
        <f>Kaikki!A479</f>
        <v>258</v>
      </c>
      <c r="D479">
        <f>HUS!A479</f>
        <v>139</v>
      </c>
      <c r="E479" s="38">
        <f t="shared" si="7"/>
        <v>0.53875968992248058</v>
      </c>
    </row>
    <row r="480" spans="1:5">
      <c r="A480" s="30">
        <f>Kaikki!F480</f>
        <v>44309.625</v>
      </c>
      <c r="B480" s="37" t="str">
        <f>Kaikki!G480</f>
        <v/>
      </c>
      <c r="C480">
        <f>Kaikki!A480</f>
        <v>255</v>
      </c>
      <c r="D480">
        <f>HUS!A480</f>
        <v>110</v>
      </c>
      <c r="E480" s="38">
        <f t="shared" si="7"/>
        <v>0.43137254901960786</v>
      </c>
    </row>
    <row r="481" spans="1:5">
      <c r="A481" s="30">
        <f>Kaikki!F481</f>
        <v>44310.625</v>
      </c>
      <c r="B481" s="37" t="str">
        <f>Kaikki!G481</f>
        <v/>
      </c>
      <c r="C481">
        <f>Kaikki!A481</f>
        <v>155</v>
      </c>
      <c r="D481">
        <f>HUS!A481</f>
        <v>85</v>
      </c>
      <c r="E481" s="38">
        <f t="shared" si="7"/>
        <v>0.54838709677419351</v>
      </c>
    </row>
    <row r="482" spans="1:5">
      <c r="A482" s="30">
        <f>Kaikki!F482</f>
        <v>44311.625</v>
      </c>
      <c r="B482" s="37" t="str">
        <f>Kaikki!G482</f>
        <v/>
      </c>
      <c r="C482">
        <f>Kaikki!A482</f>
        <v>140</v>
      </c>
      <c r="D482">
        <f>HUS!A482</f>
        <v>83</v>
      </c>
      <c r="E482" s="38">
        <f t="shared" si="7"/>
        <v>0.59285714285714286</v>
      </c>
    </row>
    <row r="483" spans="1:5">
      <c r="A483" s="30">
        <f>Kaikki!F483</f>
        <v>44312.625</v>
      </c>
      <c r="B483" s="37" t="str">
        <f>Kaikki!G483</f>
        <v>2021-W17</v>
      </c>
      <c r="C483">
        <f>Kaikki!A483</f>
        <v>243</v>
      </c>
      <c r="D483">
        <f>HUS!A483</f>
        <v>121</v>
      </c>
      <c r="E483" s="38">
        <f t="shared" si="7"/>
        <v>0.49794238683127573</v>
      </c>
    </row>
    <row r="484" spans="1:5">
      <c r="A484" s="30">
        <f>Kaikki!F484</f>
        <v>44313.625</v>
      </c>
      <c r="B484" s="37" t="str">
        <f>Kaikki!G484</f>
        <v/>
      </c>
      <c r="C484">
        <f>Kaikki!A484</f>
        <v>228</v>
      </c>
      <c r="D484">
        <f>HUS!A484</f>
        <v>109</v>
      </c>
      <c r="E484" s="38">
        <f t="shared" si="7"/>
        <v>0.47807017543859648</v>
      </c>
    </row>
    <row r="485" spans="1:5">
      <c r="A485" s="30">
        <f>Kaikki!F485</f>
        <v>44314.625</v>
      </c>
      <c r="B485" s="37" t="str">
        <f>Kaikki!G485</f>
        <v/>
      </c>
      <c r="C485">
        <f>Kaikki!A485</f>
        <v>274</v>
      </c>
      <c r="D485">
        <f>HUS!A485</f>
        <v>146</v>
      </c>
      <c r="E485" s="38">
        <f t="shared" si="7"/>
        <v>0.53284671532846717</v>
      </c>
    </row>
    <row r="486" spans="1:5">
      <c r="A486" s="30">
        <f>Kaikki!F486</f>
        <v>44315.625</v>
      </c>
      <c r="B486" s="37" t="str">
        <f>Kaikki!G486</f>
        <v/>
      </c>
      <c r="C486">
        <f>Kaikki!A486</f>
        <v>201</v>
      </c>
      <c r="D486">
        <f>HUS!A486</f>
        <v>94</v>
      </c>
      <c r="E486" s="38">
        <f t="shared" si="7"/>
        <v>0.46766169154228854</v>
      </c>
    </row>
    <row r="487" spans="1:5">
      <c r="A487" s="30">
        <f>Kaikki!F487</f>
        <v>44316.625</v>
      </c>
      <c r="B487" s="37" t="str">
        <f>Kaikki!G487</f>
        <v/>
      </c>
      <c r="C487">
        <f>Kaikki!A487</f>
        <v>197</v>
      </c>
      <c r="D487">
        <f>HUS!A487</f>
        <v>97</v>
      </c>
      <c r="E487" s="38">
        <f t="shared" si="7"/>
        <v>0.49238578680203043</v>
      </c>
    </row>
    <row r="488" spans="1:5">
      <c r="A488" s="30">
        <f>Kaikki!F488</f>
        <v>44317.625</v>
      </c>
      <c r="B488" s="37" t="str">
        <f>Kaikki!G488</f>
        <v/>
      </c>
      <c r="C488">
        <f>Kaikki!A488</f>
        <v>108</v>
      </c>
      <c r="D488">
        <f>HUS!A488</f>
        <v>54</v>
      </c>
      <c r="E488" s="38">
        <f t="shared" si="7"/>
        <v>0.5</v>
      </c>
    </row>
    <row r="489" spans="1:5">
      <c r="A489" s="30">
        <f>Kaikki!F489</f>
        <v>44318.625</v>
      </c>
      <c r="B489" s="37" t="str">
        <f>Kaikki!G489</f>
        <v/>
      </c>
      <c r="C489">
        <f>Kaikki!A489</f>
        <v>135</v>
      </c>
      <c r="D489">
        <f>HUS!A489</f>
        <v>81</v>
      </c>
      <c r="E489" s="38">
        <f t="shared" si="7"/>
        <v>0.6</v>
      </c>
    </row>
    <row r="490" spans="1:5">
      <c r="A490" s="30">
        <f>Kaikki!F490</f>
        <v>44319.625</v>
      </c>
      <c r="B490" s="37" t="str">
        <f>Kaikki!G490</f>
        <v>2021-W18</v>
      </c>
      <c r="C490">
        <f>Kaikki!A490</f>
        <v>318</v>
      </c>
      <c r="D490">
        <f>HUS!A490</f>
        <v>158</v>
      </c>
      <c r="E490" s="38">
        <f t="shared" si="7"/>
        <v>0.49685534591194969</v>
      </c>
    </row>
    <row r="491" spans="1:5">
      <c r="A491" s="30">
        <f>Kaikki!F491</f>
        <v>44320.625</v>
      </c>
      <c r="B491" s="37" t="str">
        <f>Kaikki!G491</f>
        <v/>
      </c>
      <c r="C491">
        <f>Kaikki!A491</f>
        <v>205</v>
      </c>
      <c r="D491">
        <f>HUS!A491</f>
        <v>113</v>
      </c>
      <c r="E491" s="38">
        <f t="shared" si="7"/>
        <v>0.551219512195122</v>
      </c>
    </row>
    <row r="492" spans="1:5">
      <c r="A492" s="30">
        <f>Kaikki!F492</f>
        <v>44321.625</v>
      </c>
      <c r="B492" s="37" t="str">
        <f>Kaikki!G492</f>
        <v/>
      </c>
      <c r="C492">
        <f>Kaikki!A492</f>
        <v>266</v>
      </c>
      <c r="D492">
        <f>HUS!A492</f>
        <v>126</v>
      </c>
      <c r="E492" s="38">
        <f t="shared" si="7"/>
        <v>0.47368421052631576</v>
      </c>
    </row>
    <row r="493" spans="1:5">
      <c r="A493" s="30">
        <f>Kaikki!F493</f>
        <v>44322.625</v>
      </c>
      <c r="B493" s="37" t="str">
        <f>Kaikki!G493</f>
        <v/>
      </c>
      <c r="C493">
        <f>Kaikki!A493</f>
        <v>239</v>
      </c>
      <c r="D493">
        <f>HUS!A493</f>
        <v>113</v>
      </c>
      <c r="E493" s="38">
        <f t="shared" si="7"/>
        <v>0.47280334728033474</v>
      </c>
    </row>
    <row r="494" spans="1:5">
      <c r="A494" s="30">
        <f>Kaikki!F494</f>
        <v>44323.625</v>
      </c>
      <c r="B494" s="37" t="str">
        <f>Kaikki!G494</f>
        <v/>
      </c>
      <c r="C494">
        <f>Kaikki!A494</f>
        <v>214</v>
      </c>
      <c r="D494">
        <f>HUS!A494</f>
        <v>94</v>
      </c>
      <c r="E494" s="38">
        <f t="shared" si="7"/>
        <v>0.43925233644859812</v>
      </c>
    </row>
    <row r="495" spans="1:5">
      <c r="A495" s="30">
        <f>Kaikki!F495</f>
        <v>44324.625</v>
      </c>
      <c r="B495" s="37" t="str">
        <f>Kaikki!G495</f>
        <v/>
      </c>
      <c r="C495">
        <f>Kaikki!A495</f>
        <v>131</v>
      </c>
      <c r="D495">
        <f>HUS!A495</f>
        <v>69</v>
      </c>
      <c r="E495" s="38">
        <f t="shared" si="7"/>
        <v>0.52671755725190839</v>
      </c>
    </row>
    <row r="496" spans="1:5">
      <c r="A496" s="30">
        <f>Kaikki!F496</f>
        <v>44325.625</v>
      </c>
      <c r="B496" s="37" t="str">
        <f>Kaikki!G496</f>
        <v/>
      </c>
      <c r="C496">
        <f>Kaikki!A496</f>
        <v>130</v>
      </c>
      <c r="D496">
        <f>HUS!A496</f>
        <v>69</v>
      </c>
      <c r="E496" s="38">
        <f t="shared" si="7"/>
        <v>0.53076923076923077</v>
      </c>
    </row>
    <row r="497" spans="1:5">
      <c r="A497" s="30">
        <f>Kaikki!F497</f>
        <v>44326.625</v>
      </c>
      <c r="B497" s="37" t="str">
        <f>Kaikki!G497</f>
        <v>2021-W19</v>
      </c>
      <c r="C497">
        <f>Kaikki!A497</f>
        <v>257</v>
      </c>
      <c r="D497">
        <f>HUS!A497</f>
        <v>138</v>
      </c>
      <c r="E497" s="38">
        <f t="shared" si="7"/>
        <v>0.53696498054474706</v>
      </c>
    </row>
    <row r="498" spans="1:5">
      <c r="A498" s="30">
        <f>Kaikki!F498</f>
        <v>44327.625</v>
      </c>
      <c r="B498" s="37" t="str">
        <f>Kaikki!G498</f>
        <v/>
      </c>
      <c r="C498">
        <f>Kaikki!A498</f>
        <v>216</v>
      </c>
      <c r="D498">
        <f>HUS!A498</f>
        <v>108</v>
      </c>
      <c r="E498" s="38">
        <f t="shared" si="7"/>
        <v>0.5</v>
      </c>
    </row>
    <row r="499" spans="1:5">
      <c r="A499" s="30">
        <f>Kaikki!F499</f>
        <v>44328.625</v>
      </c>
      <c r="B499" s="37" t="str">
        <f>Kaikki!G499</f>
        <v/>
      </c>
      <c r="C499">
        <f>Kaikki!A499</f>
        <v>256</v>
      </c>
      <c r="D499">
        <f>HUS!A499</f>
        <v>146</v>
      </c>
      <c r="E499" s="38">
        <f t="shared" si="7"/>
        <v>0.5703125</v>
      </c>
    </row>
    <row r="500" spans="1:5">
      <c r="A500" s="30">
        <f>Kaikki!F500</f>
        <v>44329.625</v>
      </c>
      <c r="B500" s="37" t="str">
        <f>Kaikki!G500</f>
        <v/>
      </c>
      <c r="C500">
        <f>Kaikki!A500</f>
        <v>156</v>
      </c>
      <c r="D500">
        <f>HUS!A500</f>
        <v>77</v>
      </c>
      <c r="E500" s="38">
        <f t="shared" si="7"/>
        <v>0.49358974358974361</v>
      </c>
    </row>
    <row r="501" spans="1:5">
      <c r="A501" s="30">
        <f>Kaikki!F501</f>
        <v>44330.625</v>
      </c>
      <c r="B501" s="37" t="str">
        <f>Kaikki!G501</f>
        <v/>
      </c>
      <c r="C501">
        <f>Kaikki!A501</f>
        <v>245</v>
      </c>
      <c r="D501">
        <f>HUS!A501</f>
        <v>85</v>
      </c>
      <c r="E501" s="38">
        <f t="shared" si="7"/>
        <v>0.34693877551020408</v>
      </c>
    </row>
    <row r="502" spans="1:5">
      <c r="A502" s="30">
        <f>Kaikki!F502</f>
        <v>44331.625</v>
      </c>
      <c r="B502" s="37" t="str">
        <f>Kaikki!G502</f>
        <v/>
      </c>
      <c r="C502">
        <f>Kaikki!A502</f>
        <v>160</v>
      </c>
      <c r="D502">
        <f>HUS!A502</f>
        <v>80</v>
      </c>
      <c r="E502" s="38">
        <f t="shared" si="7"/>
        <v>0.5</v>
      </c>
    </row>
    <row r="503" spans="1:5">
      <c r="A503" s="30">
        <f>Kaikki!F503</f>
        <v>44332.625</v>
      </c>
      <c r="B503" s="37" t="str">
        <f>Kaikki!G503</f>
        <v/>
      </c>
      <c r="C503">
        <f>Kaikki!A503</f>
        <v>133</v>
      </c>
      <c r="D503">
        <f>HUS!A503</f>
        <v>55</v>
      </c>
      <c r="E503" s="38">
        <f t="shared" si="7"/>
        <v>0.41353383458646614</v>
      </c>
    </row>
    <row r="504" spans="1:5">
      <c r="A504" s="30">
        <f>Kaikki!F504</f>
        <v>44333.625</v>
      </c>
      <c r="B504" s="37" t="str">
        <f>Kaikki!G504</f>
        <v>2021-W20</v>
      </c>
      <c r="C504">
        <f>Kaikki!A504</f>
        <v>284</v>
      </c>
      <c r="D504">
        <f>HUS!A504</f>
        <v>120</v>
      </c>
      <c r="E504" s="38">
        <f t="shared" si="7"/>
        <v>0.42253521126760563</v>
      </c>
    </row>
    <row r="505" spans="1:5">
      <c r="A505" s="30">
        <f>Kaikki!F505</f>
        <v>44334.625</v>
      </c>
      <c r="B505" s="37" t="str">
        <f>Kaikki!G505</f>
        <v/>
      </c>
      <c r="C505">
        <f>Kaikki!A505</f>
        <v>217</v>
      </c>
      <c r="D505">
        <f>HUS!A505</f>
        <v>109</v>
      </c>
      <c r="E505" s="38">
        <f t="shared" si="7"/>
        <v>0.50230414746543783</v>
      </c>
    </row>
    <row r="506" spans="1:5">
      <c r="A506" s="30">
        <f>Kaikki!F506</f>
        <v>44335.625</v>
      </c>
      <c r="B506" s="37" t="str">
        <f>Kaikki!G506</f>
        <v/>
      </c>
      <c r="C506">
        <f>Kaikki!A506</f>
        <v>230</v>
      </c>
      <c r="D506">
        <f>HUS!A506</f>
        <v>113</v>
      </c>
      <c r="E506" s="38">
        <f t="shared" si="7"/>
        <v>0.49130434782608695</v>
      </c>
    </row>
    <row r="507" spans="1:5">
      <c r="A507" s="30">
        <f>Kaikki!F507</f>
        <v>44336.625</v>
      </c>
      <c r="B507" s="37" t="str">
        <f>Kaikki!G507</f>
        <v/>
      </c>
      <c r="C507">
        <f>Kaikki!A507</f>
        <v>215</v>
      </c>
      <c r="D507">
        <f>HUS!A507</f>
        <v>103</v>
      </c>
      <c r="E507" s="38">
        <f t="shared" si="7"/>
        <v>0.47906976744186047</v>
      </c>
    </row>
    <row r="508" spans="1:5">
      <c r="A508" s="30">
        <f>Kaikki!F508</f>
        <v>44337.625</v>
      </c>
      <c r="B508" s="37" t="str">
        <f>Kaikki!G508</f>
        <v/>
      </c>
      <c r="C508">
        <f>Kaikki!A508</f>
        <v>168</v>
      </c>
      <c r="D508">
        <f>HUS!A508</f>
        <v>86</v>
      </c>
      <c r="E508" s="38">
        <f t="shared" si="7"/>
        <v>0.51190476190476186</v>
      </c>
    </row>
    <row r="509" spans="1:5">
      <c r="A509" s="30">
        <f>Kaikki!F509</f>
        <v>44338.625</v>
      </c>
      <c r="B509" s="37" t="str">
        <f>Kaikki!G509</f>
        <v/>
      </c>
      <c r="C509">
        <f>Kaikki!A509</f>
        <v>108</v>
      </c>
      <c r="D509">
        <f>HUS!A509</f>
        <v>55</v>
      </c>
      <c r="E509" s="38">
        <f t="shared" si="7"/>
        <v>0.5092592592592593</v>
      </c>
    </row>
    <row r="510" spans="1:5">
      <c r="A510" s="30">
        <f>Kaikki!F510</f>
        <v>44339.625</v>
      </c>
      <c r="B510" s="37" t="str">
        <f>Kaikki!G510</f>
        <v/>
      </c>
      <c r="C510">
        <f>Kaikki!A510</f>
        <v>93</v>
      </c>
      <c r="D510">
        <f>HUS!A510</f>
        <v>54</v>
      </c>
      <c r="E510" s="38">
        <f t="shared" si="7"/>
        <v>0.58064516129032262</v>
      </c>
    </row>
    <row r="511" spans="1:5">
      <c r="A511" s="30">
        <f>Kaikki!F511</f>
        <v>44340.625</v>
      </c>
      <c r="B511" s="37" t="str">
        <f>Kaikki!G511</f>
        <v>2021-W21</v>
      </c>
      <c r="C511">
        <f>Kaikki!A511</f>
        <v>188</v>
      </c>
      <c r="D511">
        <f>HUS!A511</f>
        <v>109</v>
      </c>
      <c r="E511" s="38">
        <f t="shared" si="7"/>
        <v>0.57978723404255317</v>
      </c>
    </row>
    <row r="512" spans="1:5">
      <c r="A512" s="30">
        <f>Kaikki!F512</f>
        <v>44341.625</v>
      </c>
      <c r="B512" s="37" t="str">
        <f>Kaikki!G512</f>
        <v/>
      </c>
      <c r="C512">
        <f>Kaikki!A512</f>
        <v>152</v>
      </c>
      <c r="D512">
        <f>HUS!A512</f>
        <v>85</v>
      </c>
      <c r="E512" s="38">
        <f t="shared" si="7"/>
        <v>0.55921052631578949</v>
      </c>
    </row>
    <row r="513" spans="1:5">
      <c r="A513" s="30">
        <f>Kaikki!F513</f>
        <v>44342.625</v>
      </c>
      <c r="B513" s="37" t="str">
        <f>Kaikki!G513</f>
        <v/>
      </c>
      <c r="C513">
        <f>Kaikki!A513</f>
        <v>142</v>
      </c>
      <c r="D513">
        <f>HUS!A513</f>
        <v>76</v>
      </c>
      <c r="E513" s="38">
        <f t="shared" si="7"/>
        <v>0.53521126760563376</v>
      </c>
    </row>
    <row r="514" spans="1:5">
      <c r="A514" s="30">
        <f>Kaikki!F514</f>
        <v>44343.625</v>
      </c>
      <c r="B514" s="37" t="str">
        <f>Kaikki!G514</f>
        <v/>
      </c>
      <c r="C514">
        <f>Kaikki!A514</f>
        <v>127</v>
      </c>
      <c r="D514">
        <f>HUS!A514</f>
        <v>56</v>
      </c>
      <c r="E514" s="38">
        <f t="shared" si="7"/>
        <v>0.44094488188976377</v>
      </c>
    </row>
    <row r="515" spans="1:5">
      <c r="A515" s="30">
        <f>Kaikki!F515</f>
        <v>44344.625</v>
      </c>
      <c r="B515" s="37" t="str">
        <f>Kaikki!G515</f>
        <v/>
      </c>
      <c r="C515">
        <f>Kaikki!A515</f>
        <v>136</v>
      </c>
      <c r="D515">
        <f>HUS!A515</f>
        <v>64</v>
      </c>
      <c r="E515" s="38">
        <f t="shared" ref="E515:E556" si="8">D515/C515</f>
        <v>0.47058823529411764</v>
      </c>
    </row>
    <row r="516" spans="1:5">
      <c r="A516" s="30">
        <f>Kaikki!F516</f>
        <v>44345.625</v>
      </c>
      <c r="B516" s="37" t="str">
        <f>Kaikki!G516</f>
        <v/>
      </c>
      <c r="C516">
        <f>Kaikki!A516</f>
        <v>64</v>
      </c>
      <c r="D516">
        <f>HUS!A516</f>
        <v>28</v>
      </c>
      <c r="E516" s="38">
        <f t="shared" si="8"/>
        <v>0.4375</v>
      </c>
    </row>
    <row r="517" spans="1:5">
      <c r="A517" s="30">
        <f>Kaikki!F517</f>
        <v>44346.625</v>
      </c>
      <c r="B517" s="37" t="str">
        <f>Kaikki!G517</f>
        <v/>
      </c>
      <c r="C517">
        <f>Kaikki!A517</f>
        <v>79</v>
      </c>
      <c r="D517">
        <f>HUS!A517</f>
        <v>49</v>
      </c>
      <c r="E517" s="38">
        <f t="shared" si="8"/>
        <v>0.620253164556962</v>
      </c>
    </row>
    <row r="518" spans="1:5">
      <c r="A518" s="30">
        <f>Kaikki!F518</f>
        <v>44347.625</v>
      </c>
      <c r="B518" s="37" t="str">
        <f>Kaikki!G518</f>
        <v>2021-W22</v>
      </c>
      <c r="C518">
        <f>Kaikki!A518</f>
        <v>145</v>
      </c>
      <c r="D518">
        <f>HUS!A518</f>
        <v>95</v>
      </c>
      <c r="E518" s="38">
        <f t="shared" si="8"/>
        <v>0.65517241379310343</v>
      </c>
    </row>
    <row r="519" spans="1:5">
      <c r="A519" s="30">
        <f>Kaikki!F519</f>
        <v>44348.625</v>
      </c>
      <c r="B519" s="37" t="str">
        <f>Kaikki!G519</f>
        <v/>
      </c>
      <c r="C519">
        <f>Kaikki!A519</f>
        <v>121</v>
      </c>
      <c r="D519">
        <f>HUS!A519</f>
        <v>77</v>
      </c>
      <c r="E519" s="38">
        <f t="shared" si="8"/>
        <v>0.63636363636363635</v>
      </c>
    </row>
    <row r="520" spans="1:5">
      <c r="A520" s="30">
        <f>Kaikki!F520</f>
        <v>44349.625</v>
      </c>
      <c r="B520" s="37" t="str">
        <f>Kaikki!G520</f>
        <v/>
      </c>
      <c r="C520">
        <f>Kaikki!A520</f>
        <v>118</v>
      </c>
      <c r="D520">
        <f>HUS!A520</f>
        <v>67</v>
      </c>
      <c r="E520" s="38">
        <f t="shared" si="8"/>
        <v>0.56779661016949157</v>
      </c>
    </row>
    <row r="521" spans="1:5">
      <c r="A521" s="30">
        <f>Kaikki!F521</f>
        <v>44350.625</v>
      </c>
      <c r="B521" s="37" t="str">
        <f>Kaikki!G521</f>
        <v/>
      </c>
      <c r="C521">
        <f>Kaikki!A521</f>
        <v>111</v>
      </c>
      <c r="D521">
        <f>HUS!A521</f>
        <v>68</v>
      </c>
      <c r="E521" s="38">
        <f t="shared" si="8"/>
        <v>0.61261261261261257</v>
      </c>
    </row>
    <row r="522" spans="1:5">
      <c r="A522" s="30">
        <f>Kaikki!F522</f>
        <v>44351.625</v>
      </c>
      <c r="B522" s="37" t="str">
        <f>Kaikki!G522</f>
        <v/>
      </c>
      <c r="C522">
        <f>Kaikki!A522</f>
        <v>101</v>
      </c>
      <c r="D522">
        <f>HUS!A522</f>
        <v>63</v>
      </c>
      <c r="E522" s="38">
        <f t="shared" si="8"/>
        <v>0.62376237623762376</v>
      </c>
    </row>
    <row r="523" spans="1:5">
      <c r="A523" s="30">
        <f>Kaikki!F523</f>
        <v>44352.625</v>
      </c>
      <c r="B523" s="37" t="str">
        <f>Kaikki!G523</f>
        <v/>
      </c>
      <c r="C523">
        <f>Kaikki!A523</f>
        <v>65</v>
      </c>
      <c r="D523">
        <f>HUS!A523</f>
        <v>41</v>
      </c>
      <c r="E523" s="38">
        <f t="shared" si="8"/>
        <v>0.63076923076923075</v>
      </c>
    </row>
    <row r="524" spans="1:5">
      <c r="A524" s="30">
        <f>Kaikki!F524</f>
        <v>44353.625</v>
      </c>
      <c r="B524" s="37" t="str">
        <f>Kaikki!G524</f>
        <v/>
      </c>
      <c r="C524">
        <f>Kaikki!A524</f>
        <v>59</v>
      </c>
      <c r="D524">
        <f>HUS!A524</f>
        <v>41</v>
      </c>
      <c r="E524" s="38">
        <f t="shared" si="8"/>
        <v>0.69491525423728817</v>
      </c>
    </row>
    <row r="525" spans="1:5">
      <c r="A525" s="30">
        <f>Kaikki!F525</f>
        <v>44354.625</v>
      </c>
      <c r="B525" s="37" t="str">
        <f>Kaikki!G525</f>
        <v>2021-W23</v>
      </c>
      <c r="C525">
        <f>Kaikki!A525</f>
        <v>136</v>
      </c>
      <c r="D525">
        <f>HUS!A525</f>
        <v>85</v>
      </c>
      <c r="E525" s="38">
        <f t="shared" si="8"/>
        <v>0.625</v>
      </c>
    </row>
    <row r="526" spans="1:5">
      <c r="A526" s="30">
        <f>Kaikki!F526</f>
        <v>44355.625</v>
      </c>
      <c r="B526" s="37" t="str">
        <f>Kaikki!G526</f>
        <v/>
      </c>
      <c r="C526">
        <f>Kaikki!A526</f>
        <v>101</v>
      </c>
      <c r="D526">
        <f>HUS!A526</f>
        <v>53</v>
      </c>
      <c r="E526" s="38">
        <f t="shared" si="8"/>
        <v>0.52475247524752477</v>
      </c>
    </row>
    <row r="527" spans="1:5">
      <c r="A527" s="30">
        <f>Kaikki!F527</f>
        <v>44356.625</v>
      </c>
      <c r="B527" s="37" t="str">
        <f>Kaikki!G527</f>
        <v/>
      </c>
      <c r="C527">
        <f>Kaikki!A527</f>
        <v>82</v>
      </c>
      <c r="D527">
        <f>HUS!A527</f>
        <v>37</v>
      </c>
      <c r="E527" s="38">
        <f t="shared" si="8"/>
        <v>0.45121951219512196</v>
      </c>
    </row>
    <row r="528" spans="1:5">
      <c r="A528" s="30">
        <f>Kaikki!F528</f>
        <v>44357.625</v>
      </c>
      <c r="B528" s="37" t="str">
        <f>Kaikki!G528</f>
        <v/>
      </c>
      <c r="C528">
        <f>Kaikki!A528</f>
        <v>76</v>
      </c>
      <c r="D528">
        <f>HUS!A528</f>
        <v>32</v>
      </c>
      <c r="E528" s="38">
        <f t="shared" si="8"/>
        <v>0.42105263157894735</v>
      </c>
    </row>
    <row r="529" spans="1:5">
      <c r="A529" s="30">
        <f>Kaikki!F529</f>
        <v>44358.625</v>
      </c>
      <c r="B529" s="37" t="str">
        <f>Kaikki!G529</f>
        <v/>
      </c>
      <c r="C529">
        <f>Kaikki!A529</f>
        <v>70</v>
      </c>
      <c r="D529">
        <f>HUS!A529</f>
        <v>33</v>
      </c>
      <c r="E529" s="38">
        <f t="shared" si="8"/>
        <v>0.47142857142857142</v>
      </c>
    </row>
    <row r="530" spans="1:5">
      <c r="A530" s="30">
        <f>Kaikki!F530</f>
        <v>44359.625</v>
      </c>
      <c r="B530" s="37" t="str">
        <f>Kaikki!G530</f>
        <v/>
      </c>
      <c r="C530">
        <f>Kaikki!A530</f>
        <v>45</v>
      </c>
      <c r="D530">
        <f>HUS!A530</f>
        <v>34</v>
      </c>
      <c r="E530" s="38">
        <f t="shared" si="8"/>
        <v>0.75555555555555554</v>
      </c>
    </row>
    <row r="531" spans="1:5">
      <c r="A531" s="30">
        <f>Kaikki!F531</f>
        <v>44360.625</v>
      </c>
      <c r="B531" s="37" t="str">
        <f>Kaikki!G531</f>
        <v/>
      </c>
      <c r="C531">
        <f>Kaikki!A531</f>
        <v>47</v>
      </c>
      <c r="D531">
        <f>HUS!A531</f>
        <v>32</v>
      </c>
      <c r="E531" s="38">
        <f t="shared" si="8"/>
        <v>0.68085106382978722</v>
      </c>
    </row>
    <row r="532" spans="1:5">
      <c r="A532" s="30">
        <f>Kaikki!F532</f>
        <v>44361.625</v>
      </c>
      <c r="B532" s="37" t="str">
        <f>Kaikki!G532</f>
        <v>2021-W24</v>
      </c>
      <c r="C532">
        <f>Kaikki!A532</f>
        <v>88</v>
      </c>
      <c r="D532">
        <f>HUS!A532</f>
        <v>33</v>
      </c>
      <c r="E532" s="38">
        <f t="shared" si="8"/>
        <v>0.375</v>
      </c>
    </row>
    <row r="533" spans="1:5">
      <c r="A533" s="30">
        <f>Kaikki!F533</f>
        <v>44362.625</v>
      </c>
      <c r="B533" s="37" t="str">
        <f>Kaikki!G533</f>
        <v/>
      </c>
      <c r="C533">
        <f>Kaikki!A533</f>
        <v>77</v>
      </c>
      <c r="D533">
        <f>HUS!A533</f>
        <v>41</v>
      </c>
      <c r="E533" s="38">
        <f t="shared" si="8"/>
        <v>0.53246753246753242</v>
      </c>
    </row>
    <row r="534" spans="1:5">
      <c r="A534" s="30">
        <f>Kaikki!F534</f>
        <v>44363.625</v>
      </c>
      <c r="B534" s="37" t="str">
        <f>Kaikki!G534</f>
        <v/>
      </c>
      <c r="C534">
        <f>Kaikki!A534</f>
        <v>60</v>
      </c>
      <c r="D534">
        <f>HUS!A534</f>
        <v>34</v>
      </c>
      <c r="E534" s="38">
        <f t="shared" si="8"/>
        <v>0.56666666666666665</v>
      </c>
    </row>
    <row r="535" spans="1:5">
      <c r="A535" s="30">
        <f>Kaikki!F535</f>
        <v>44364.625</v>
      </c>
      <c r="B535" s="37" t="str">
        <f>Kaikki!G535</f>
        <v/>
      </c>
      <c r="C535">
        <f>Kaikki!A535</f>
        <v>66</v>
      </c>
      <c r="D535">
        <f>HUS!A535</f>
        <v>34</v>
      </c>
      <c r="E535" s="38">
        <f t="shared" si="8"/>
        <v>0.51515151515151514</v>
      </c>
    </row>
    <row r="536" spans="1:5">
      <c r="A536" s="30">
        <f>Kaikki!F536</f>
        <v>44365.625</v>
      </c>
      <c r="B536" s="37" t="str">
        <f>Kaikki!G536</f>
        <v/>
      </c>
      <c r="C536">
        <f>Kaikki!A536</f>
        <v>34</v>
      </c>
      <c r="D536">
        <f>HUS!A536</f>
        <v>21</v>
      </c>
      <c r="E536" s="38">
        <f t="shared" si="8"/>
        <v>0.61764705882352944</v>
      </c>
    </row>
    <row r="537" spans="1:5">
      <c r="A537" s="30">
        <f>Kaikki!F537</f>
        <v>44366.358773148146</v>
      </c>
      <c r="B537" s="37" t="str">
        <f>Kaikki!G537</f>
        <v/>
      </c>
      <c r="C537">
        <f>Kaikki!A537</f>
        <v>0</v>
      </c>
      <c r="D537">
        <f>HUS!A537</f>
        <v>0</v>
      </c>
      <c r="E537" s="38" t="e">
        <f t="shared" si="8"/>
        <v>#DIV/0!</v>
      </c>
    </row>
    <row r="538" spans="1:5">
      <c r="A538" s="30">
        <f>Kaikki!F538</f>
        <v>0</v>
      </c>
      <c r="B538" s="37" t="str">
        <f>Kaikki!G538</f>
        <v/>
      </c>
      <c r="C538">
        <f>Kaikki!A538</f>
        <v>0</v>
      </c>
      <c r="D538">
        <f>HUS!A538</f>
        <v>0</v>
      </c>
      <c r="E538" s="38" t="e">
        <f t="shared" si="8"/>
        <v>#DIV/0!</v>
      </c>
    </row>
    <row r="539" spans="1:5">
      <c r="A539" s="30">
        <f>Kaikki!F539</f>
        <v>0</v>
      </c>
      <c r="B539" s="37" t="str">
        <f>Kaikki!G539</f>
        <v/>
      </c>
      <c r="C539">
        <f>Kaikki!A539</f>
        <v>0</v>
      </c>
      <c r="D539">
        <f>HUS!A539</f>
        <v>0</v>
      </c>
      <c r="E539" s="38" t="e">
        <f t="shared" si="8"/>
        <v>#DIV/0!</v>
      </c>
    </row>
    <row r="540" spans="1:5">
      <c r="A540" s="30">
        <f>Kaikki!F540</f>
        <v>0</v>
      </c>
      <c r="B540" s="37" t="str">
        <f>Kaikki!G540</f>
        <v/>
      </c>
      <c r="C540">
        <f>Kaikki!A540</f>
        <v>0</v>
      </c>
      <c r="D540">
        <f>HUS!A540</f>
        <v>0</v>
      </c>
      <c r="E540" s="38" t="e">
        <f t="shared" si="8"/>
        <v>#DIV/0!</v>
      </c>
    </row>
    <row r="541" spans="1:5">
      <c r="A541" s="30">
        <f>Kaikki!F541</f>
        <v>0</v>
      </c>
      <c r="B541" s="37" t="str">
        <f>Kaikki!G541</f>
        <v/>
      </c>
      <c r="C541">
        <f>Kaikki!A541</f>
        <v>0</v>
      </c>
      <c r="D541">
        <f>HUS!A541</f>
        <v>0</v>
      </c>
      <c r="E541" s="38" t="e">
        <f t="shared" si="8"/>
        <v>#DIV/0!</v>
      </c>
    </row>
    <row r="542" spans="1:5">
      <c r="A542" s="30">
        <f>Kaikki!F542</f>
        <v>0</v>
      </c>
      <c r="B542" s="37" t="str">
        <f>Kaikki!G542</f>
        <v/>
      </c>
      <c r="C542">
        <f>Kaikki!A542</f>
        <v>0</v>
      </c>
      <c r="D542">
        <f>HUS!A542</f>
        <v>0</v>
      </c>
      <c r="E542" s="38" t="e">
        <f t="shared" si="8"/>
        <v>#DIV/0!</v>
      </c>
    </row>
    <row r="543" spans="1:5">
      <c r="A543" s="30">
        <f>Kaikki!F543</f>
        <v>0</v>
      </c>
      <c r="B543" s="37" t="str">
        <f>Kaikki!G543</f>
        <v/>
      </c>
      <c r="C543">
        <f>Kaikki!A543</f>
        <v>0</v>
      </c>
      <c r="D543">
        <f>HUS!A543</f>
        <v>0</v>
      </c>
      <c r="E543" s="38" t="e">
        <f t="shared" si="8"/>
        <v>#DIV/0!</v>
      </c>
    </row>
    <row r="544" spans="1:5">
      <c r="A544" s="30">
        <f>Kaikki!F544</f>
        <v>0</v>
      </c>
      <c r="B544" s="37" t="str">
        <f>Kaikki!G544</f>
        <v/>
      </c>
      <c r="C544">
        <f>Kaikki!A544</f>
        <v>0</v>
      </c>
      <c r="D544">
        <f>HUS!A544</f>
        <v>0</v>
      </c>
      <c r="E544" s="38" t="e">
        <f t="shared" si="8"/>
        <v>#DIV/0!</v>
      </c>
    </row>
    <row r="545" spans="1:5">
      <c r="A545" s="30">
        <f>Kaikki!F545</f>
        <v>0</v>
      </c>
      <c r="B545" s="37" t="str">
        <f>Kaikki!G545</f>
        <v/>
      </c>
      <c r="C545">
        <f>Kaikki!A545</f>
        <v>0</v>
      </c>
      <c r="D545">
        <f>HUS!A545</f>
        <v>0</v>
      </c>
      <c r="E545" s="38" t="e">
        <f t="shared" si="8"/>
        <v>#DIV/0!</v>
      </c>
    </row>
    <row r="546" spans="1:5">
      <c r="A546" s="30">
        <f>Kaikki!F546</f>
        <v>0</v>
      </c>
      <c r="B546" s="37" t="str">
        <f>Kaikki!G546</f>
        <v/>
      </c>
      <c r="C546">
        <f>Kaikki!A546</f>
        <v>0</v>
      </c>
      <c r="D546">
        <f>HUS!A546</f>
        <v>0</v>
      </c>
      <c r="E546" s="38" t="e">
        <f t="shared" si="8"/>
        <v>#DIV/0!</v>
      </c>
    </row>
    <row r="547" spans="1:5">
      <c r="A547" s="30">
        <f>Kaikki!F547</f>
        <v>0</v>
      </c>
      <c r="B547" s="37" t="str">
        <f>Kaikki!G547</f>
        <v/>
      </c>
      <c r="C547">
        <f>Kaikki!A547</f>
        <v>0</v>
      </c>
      <c r="D547">
        <f>HUS!A547</f>
        <v>0</v>
      </c>
      <c r="E547" s="38" t="e">
        <f t="shared" si="8"/>
        <v>#DIV/0!</v>
      </c>
    </row>
    <row r="548" spans="1:5">
      <c r="A548" s="30">
        <f>Kaikki!F548</f>
        <v>0</v>
      </c>
      <c r="B548" s="37" t="str">
        <f>Kaikki!G548</f>
        <v/>
      </c>
      <c r="C548">
        <f>Kaikki!A548</f>
        <v>0</v>
      </c>
      <c r="D548">
        <f>HUS!A548</f>
        <v>0</v>
      </c>
      <c r="E548" s="38" t="e">
        <f t="shared" si="8"/>
        <v>#DIV/0!</v>
      </c>
    </row>
    <row r="549" spans="1:5">
      <c r="A549" s="30">
        <f>Kaikki!F549</f>
        <v>0</v>
      </c>
      <c r="B549" s="37" t="str">
        <f>Kaikki!G549</f>
        <v/>
      </c>
      <c r="C549">
        <f>Kaikki!A549</f>
        <v>0</v>
      </c>
      <c r="D549">
        <f>HUS!A549</f>
        <v>0</v>
      </c>
      <c r="E549" s="38" t="e">
        <f t="shared" si="8"/>
        <v>#DIV/0!</v>
      </c>
    </row>
    <row r="550" spans="1:5">
      <c r="A550" s="30">
        <f>Kaikki!F550</f>
        <v>0</v>
      </c>
      <c r="B550" s="37" t="str">
        <f>Kaikki!G550</f>
        <v/>
      </c>
      <c r="C550">
        <f>Kaikki!A550</f>
        <v>0</v>
      </c>
      <c r="D550">
        <f>HUS!A550</f>
        <v>0</v>
      </c>
      <c r="E550" s="38" t="e">
        <f t="shared" si="8"/>
        <v>#DIV/0!</v>
      </c>
    </row>
    <row r="551" spans="1:5">
      <c r="A551" s="30">
        <f>Kaikki!F551</f>
        <v>0</v>
      </c>
      <c r="B551" s="37" t="str">
        <f>Kaikki!G551</f>
        <v/>
      </c>
      <c r="C551">
        <f>Kaikki!A551</f>
        <v>0</v>
      </c>
      <c r="D551">
        <f>HUS!A551</f>
        <v>0</v>
      </c>
      <c r="E551" s="38" t="e">
        <f t="shared" si="8"/>
        <v>#DIV/0!</v>
      </c>
    </row>
    <row r="552" spans="1:5">
      <c r="A552" s="30">
        <f>Kaikki!F552</f>
        <v>0</v>
      </c>
      <c r="B552" s="37" t="str">
        <f>Kaikki!G552</f>
        <v/>
      </c>
      <c r="C552">
        <f>Kaikki!A552</f>
        <v>0</v>
      </c>
      <c r="D552">
        <f>HUS!A552</f>
        <v>0</v>
      </c>
      <c r="E552" s="38" t="e">
        <f t="shared" si="8"/>
        <v>#DIV/0!</v>
      </c>
    </row>
    <row r="553" spans="1:5">
      <c r="A553" s="30">
        <f>Kaikki!F553</f>
        <v>0</v>
      </c>
      <c r="B553" s="37" t="str">
        <f>Kaikki!G553</f>
        <v/>
      </c>
      <c r="C553">
        <f>Kaikki!A553</f>
        <v>0</v>
      </c>
      <c r="D553">
        <f>HUS!A553</f>
        <v>0</v>
      </c>
      <c r="E553" s="38" t="e">
        <f t="shared" si="8"/>
        <v>#DIV/0!</v>
      </c>
    </row>
    <row r="554" spans="1:5">
      <c r="A554" s="30">
        <f>Kaikki!F554</f>
        <v>0</v>
      </c>
      <c r="B554" s="37" t="str">
        <f>Kaikki!G554</f>
        <v/>
      </c>
      <c r="C554">
        <f>Kaikki!A554</f>
        <v>0</v>
      </c>
      <c r="D554">
        <f>HUS!A554</f>
        <v>0</v>
      </c>
      <c r="E554" s="38" t="e">
        <f t="shared" si="8"/>
        <v>#DIV/0!</v>
      </c>
    </row>
    <row r="555" spans="1:5">
      <c r="A555" s="30">
        <f>Kaikki!F555</f>
        <v>0</v>
      </c>
      <c r="B555" s="37" t="str">
        <f>Kaikki!G555</f>
        <v/>
      </c>
      <c r="C555">
        <f>Kaikki!A555</f>
        <v>0</v>
      </c>
      <c r="D555">
        <f>HUS!A555</f>
        <v>0</v>
      </c>
      <c r="E555" s="38" t="e">
        <f t="shared" si="8"/>
        <v>#DIV/0!</v>
      </c>
    </row>
    <row r="556" spans="1:5">
      <c r="A556" s="30">
        <f>Kaikki!F556</f>
        <v>0</v>
      </c>
      <c r="B556" s="37" t="str">
        <f>Kaikki!G556</f>
        <v/>
      </c>
      <c r="C556">
        <f>Kaikki!A556</f>
        <v>0</v>
      </c>
      <c r="D556">
        <f>HUS!A556</f>
        <v>0</v>
      </c>
      <c r="E556" s="38" t="e">
        <f t="shared" si="8"/>
        <v>#DIV/0!</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YW257"/>
  <sheetViews>
    <sheetView topLeftCell="A33" zoomScaleNormal="100" workbookViewId="0">
      <selection activeCell="F34" sqref="F34"/>
    </sheetView>
  </sheetViews>
  <sheetFormatPr defaultRowHeight="15"/>
  <cols>
    <col min="2" max="2" width="10.140625" bestFit="1" customWidth="1"/>
    <col min="3" max="3" width="10.140625" customWidth="1"/>
    <col min="4" max="4" width="10.85546875" bestFit="1" customWidth="1"/>
    <col min="6" max="6" width="9.85546875" bestFit="1" customWidth="1"/>
    <col min="7" max="7" width="11.42578125" customWidth="1"/>
    <col min="10" max="11" width="10.140625" bestFit="1" customWidth="1"/>
    <col min="12" max="12" width="9.140625" style="4"/>
    <col min="14" max="14" width="15.140625" style="16" bestFit="1" customWidth="1"/>
    <col min="15" max="15" width="15" bestFit="1" customWidth="1"/>
    <col min="17" max="17" width="9.85546875" style="16" customWidth="1"/>
    <col min="19" max="19" width="15" bestFit="1" customWidth="1"/>
    <col min="20" max="20" width="15" style="16" bestFit="1" customWidth="1"/>
    <col min="23" max="23" width="15" style="16" bestFit="1" customWidth="1"/>
    <col min="26" max="26" width="12.140625" style="16" customWidth="1"/>
    <col min="27" max="27" width="15" bestFit="1" customWidth="1"/>
    <col min="29" max="29" width="12.140625" style="16" customWidth="1"/>
    <col min="31" max="31" width="15" bestFit="1" customWidth="1"/>
    <col min="32" max="32" width="12.140625" style="16" customWidth="1"/>
    <col min="35" max="35" width="15" style="16" bestFit="1" customWidth="1"/>
    <col min="38" max="38" width="12.140625" style="16" customWidth="1"/>
    <col min="39" max="39" width="15" bestFit="1" customWidth="1"/>
    <col min="41" max="41" width="12.140625" style="16" customWidth="1"/>
    <col min="43" max="43" width="15" bestFit="1" customWidth="1"/>
    <col min="44" max="44" width="9.140625" style="16"/>
    <col min="47" max="47" width="9.140625" style="16"/>
    <col min="50" max="50" width="9.140625" style="16"/>
    <col min="53" max="53" width="9.140625" style="16"/>
    <col min="56" max="56" width="9.140625" style="16"/>
    <col min="59" max="59" width="9.140625" style="16"/>
    <col min="62" max="62" width="9.140625" style="16"/>
    <col min="65" max="65" width="9.140625" style="16"/>
    <col min="68" max="68" width="9.140625" style="16"/>
    <col min="71" max="71" width="9.140625" style="16"/>
    <col min="74" max="74" width="9.140625" style="16"/>
    <col min="77" max="77" width="9.140625" style="16"/>
    <col min="80" max="80" width="9.140625" style="16"/>
    <col min="83" max="83" width="9.140625" style="16"/>
    <col min="86" max="86" width="9.140625" style="16"/>
    <col min="89" max="89" width="9.140625" style="16"/>
  </cols>
  <sheetData>
    <row r="1" spans="1:673">
      <c r="C1" s="4"/>
    </row>
    <row r="2" spans="1:673">
      <c r="C2" s="4"/>
    </row>
    <row r="3" spans="1:673">
      <c r="C3" s="4"/>
    </row>
    <row r="4" spans="1:673">
      <c r="A4" s="3">
        <v>1</v>
      </c>
      <c r="B4" s="3">
        <v>2</v>
      </c>
      <c r="C4" s="3">
        <v>3</v>
      </c>
      <c r="D4" s="3">
        <v>4</v>
      </c>
      <c r="E4" s="3">
        <v>5</v>
      </c>
      <c r="F4" s="3">
        <v>6</v>
      </c>
      <c r="G4" s="3">
        <v>7</v>
      </c>
      <c r="H4" s="3">
        <v>8</v>
      </c>
      <c r="I4" s="3">
        <v>9</v>
      </c>
      <c r="J4" s="3">
        <v>10</v>
      </c>
      <c r="K4" s="3">
        <v>11</v>
      </c>
      <c r="L4" s="3">
        <v>12</v>
      </c>
      <c r="M4" s="3">
        <v>13</v>
      </c>
      <c r="N4" s="3">
        <v>14</v>
      </c>
      <c r="O4" s="3">
        <v>15</v>
      </c>
      <c r="P4" s="3">
        <v>16</v>
      </c>
      <c r="Q4" s="3">
        <v>17</v>
      </c>
      <c r="R4" s="3">
        <v>18</v>
      </c>
      <c r="S4" s="3">
        <v>19</v>
      </c>
    </row>
    <row r="5" spans="1:673">
      <c r="C5" s="4" t="s">
        <v>5</v>
      </c>
      <c r="D5" t="s">
        <v>0</v>
      </c>
      <c r="E5" t="s">
        <v>6</v>
      </c>
      <c r="F5">
        <f ca="1">SUM(F7:F35)</f>
        <v>115</v>
      </c>
      <c r="G5" t="s">
        <v>227</v>
      </c>
      <c r="H5" t="s">
        <v>345</v>
      </c>
      <c r="J5" t="s">
        <v>346</v>
      </c>
      <c r="K5" t="s">
        <v>345</v>
      </c>
      <c r="N5" s="16" t="s">
        <v>302</v>
      </c>
      <c r="Q5" s="16" t="s">
        <v>303</v>
      </c>
      <c r="T5" s="16" t="s">
        <v>304</v>
      </c>
    </row>
    <row r="6" spans="1:673">
      <c r="B6" t="str">
        <f ca="1">IF(WEEKDAY(C6,2)=1,"Ma "&amp;TEXT(C6,"p"),TEXT(C6,"p.k"))</f>
        <v>21.5</v>
      </c>
      <c r="C6" s="4">
        <f t="shared" ref="C6:C34" ca="1" si="0">C7-1</f>
        <v>44337</v>
      </c>
      <c r="D6" s="11">
        <f t="shared" ref="D6:D35" ca="1" si="1">SUMIF(aika,"&lt;"&amp;(C6+1),DataN)</f>
        <v>91578</v>
      </c>
      <c r="P6" s="10">
        <v>244</v>
      </c>
    </row>
    <row r="7" spans="1:673" s="10" customFormat="1">
      <c r="B7" t="str">
        <f t="shared" ref="B7:B35" ca="1" si="2">IF(WEEKDAY(C7,2)=1,"Ma "&amp;TEXT(C7,"p"),TEXT(C7,"p.k"))</f>
        <v>22.5</v>
      </c>
      <c r="C7" s="9">
        <f t="shared" ca="1" si="0"/>
        <v>44338</v>
      </c>
      <c r="D7" s="10">
        <f t="shared" ca="1" si="1"/>
        <v>91686</v>
      </c>
      <c r="E7" s="10">
        <f t="shared" ref="E7:E35" ca="1" si="3">D7-D6</f>
        <v>108</v>
      </c>
      <c r="F7" s="10">
        <f t="shared" ref="F7:F35" ca="1" si="4">_xlfn.IFNA(E7-G7,"")</f>
        <v>0</v>
      </c>
      <c r="G7" s="10">
        <f ca="1">VLOOKUP(C7,Previous,3,FALSE)</f>
        <v>108</v>
      </c>
      <c r="H7" s="10">
        <f ca="1">SUM(E7:E13)</f>
        <v>946</v>
      </c>
      <c r="J7" s="10">
        <f ca="1">SUM(E7:E20)</f>
        <v>1685</v>
      </c>
      <c r="L7" s="14"/>
      <c r="N7" s="17">
        <v>44338</v>
      </c>
      <c r="O7" s="10">
        <v>91686</v>
      </c>
      <c r="P7">
        <v>108</v>
      </c>
      <c r="Q7" s="17">
        <v>44338</v>
      </c>
      <c r="R7" s="10">
        <v>91686</v>
      </c>
      <c r="S7" s="10">
        <v>108</v>
      </c>
      <c r="T7" s="17">
        <v>44085</v>
      </c>
      <c r="U7" s="10">
        <v>8688</v>
      </c>
      <c r="V7" s="10">
        <v>57</v>
      </c>
      <c r="W7" s="17">
        <v>44086</v>
      </c>
      <c r="X7" s="10">
        <v>8730</v>
      </c>
      <c r="Y7" s="10">
        <v>41</v>
      </c>
      <c r="Z7" s="17">
        <v>44087</v>
      </c>
      <c r="AA7" s="10">
        <v>8776</v>
      </c>
      <c r="AB7" s="10">
        <v>46</v>
      </c>
      <c r="AC7" s="17">
        <v>44088</v>
      </c>
      <c r="AD7" s="10">
        <v>8835</v>
      </c>
      <c r="AE7" s="10">
        <v>59</v>
      </c>
      <c r="AF7" s="17">
        <v>44089</v>
      </c>
      <c r="AG7" s="10">
        <v>8888</v>
      </c>
      <c r="AH7" s="10">
        <v>53</v>
      </c>
      <c r="AI7" s="17">
        <v>44090</v>
      </c>
      <c r="AJ7" s="10">
        <v>8946</v>
      </c>
      <c r="AK7" s="10">
        <v>57</v>
      </c>
      <c r="AL7" s="17">
        <v>44091</v>
      </c>
      <c r="AM7" s="10">
        <v>9030</v>
      </c>
      <c r="AN7" s="10">
        <v>85</v>
      </c>
      <c r="AO7" s="17">
        <v>44092</v>
      </c>
      <c r="AP7" s="10">
        <v>9106</v>
      </c>
      <c r="AQ7" s="10">
        <v>76</v>
      </c>
      <c r="AR7" s="17">
        <v>44093</v>
      </c>
      <c r="AS7" s="10">
        <v>9167</v>
      </c>
      <c r="AT7" s="10">
        <v>61</v>
      </c>
      <c r="AU7" s="17">
        <v>44094</v>
      </c>
      <c r="AV7" s="10">
        <v>9240</v>
      </c>
      <c r="AW7" s="10">
        <v>73</v>
      </c>
      <c r="AX7" s="17">
        <v>44095</v>
      </c>
      <c r="AY7" s="10">
        <v>9360</v>
      </c>
      <c r="AZ7" s="10">
        <v>119</v>
      </c>
      <c r="BA7" s="17">
        <v>44096</v>
      </c>
      <c r="BB7" s="10">
        <v>9464</v>
      </c>
      <c r="BC7" s="10">
        <v>104</v>
      </c>
      <c r="BD7" s="17">
        <v>44097</v>
      </c>
      <c r="BE7" s="10">
        <v>9582</v>
      </c>
      <c r="BF7" s="10">
        <v>118</v>
      </c>
      <c r="BG7" s="17">
        <v>44098</v>
      </c>
      <c r="BH7" s="10">
        <v>9677</v>
      </c>
      <c r="BI7" s="10">
        <v>97</v>
      </c>
      <c r="BJ7" s="17">
        <v>44099</v>
      </c>
      <c r="BK7" s="10">
        <v>9806</v>
      </c>
      <c r="BL7" s="10">
        <v>127</v>
      </c>
      <c r="BM7" s="17">
        <v>44100</v>
      </c>
      <c r="BN7" s="10">
        <v>9879</v>
      </c>
      <c r="BO7" s="10">
        <v>73</v>
      </c>
      <c r="BP7" s="17">
        <v>44101</v>
      </c>
      <c r="BQ7" s="10">
        <v>9950</v>
      </c>
      <c r="BR7" s="10">
        <v>71</v>
      </c>
      <c r="BS7" s="17">
        <v>44102</v>
      </c>
      <c r="BT7" s="10">
        <v>10073</v>
      </c>
      <c r="BU7" s="10">
        <v>122</v>
      </c>
      <c r="BV7" s="17">
        <v>44104</v>
      </c>
      <c r="BW7" s="10">
        <v>10371</v>
      </c>
      <c r="BX7" s="10">
        <v>165</v>
      </c>
      <c r="BY7" s="17">
        <v>44105</v>
      </c>
      <c r="BZ7" s="10">
        <v>10560</v>
      </c>
      <c r="CA7" s="10">
        <v>188</v>
      </c>
      <c r="CB7" s="17">
        <v>44106</v>
      </c>
      <c r="CC7" s="10">
        <v>10748</v>
      </c>
      <c r="CD7" s="10">
        <v>188</v>
      </c>
      <c r="CE7" s="17">
        <v>44107</v>
      </c>
      <c r="CF7" s="10">
        <v>10925</v>
      </c>
      <c r="CG7" s="10">
        <v>170</v>
      </c>
      <c r="CH7" s="17">
        <v>44108</v>
      </c>
      <c r="CI7" s="10">
        <v>11073</v>
      </c>
      <c r="CJ7" s="10">
        <v>147</v>
      </c>
      <c r="CK7" s="17">
        <v>44109</v>
      </c>
      <c r="CL7" s="10">
        <v>11363</v>
      </c>
      <c r="CM7" s="10">
        <v>290</v>
      </c>
      <c r="CN7" s="17">
        <v>44110</v>
      </c>
      <c r="CO7" s="10">
        <v>11664</v>
      </c>
      <c r="CP7" s="10">
        <v>301</v>
      </c>
      <c r="CQ7" s="17">
        <v>44111</v>
      </c>
      <c r="CR7" s="10">
        <v>11970</v>
      </c>
      <c r="CS7" s="10">
        <v>306</v>
      </c>
      <c r="CT7" s="17">
        <v>44112</v>
      </c>
      <c r="CU7" s="10">
        <v>12232</v>
      </c>
      <c r="CV7" s="10">
        <v>260</v>
      </c>
      <c r="CW7" s="17">
        <v>44113</v>
      </c>
      <c r="CX7" s="10">
        <v>12459</v>
      </c>
      <c r="CY7" s="10">
        <v>227</v>
      </c>
      <c r="CZ7" s="17">
        <v>44115</v>
      </c>
      <c r="DA7" s="10">
        <v>12696</v>
      </c>
      <c r="DB7" s="10">
        <v>130</v>
      </c>
      <c r="DC7" s="17">
        <v>44116</v>
      </c>
      <c r="DD7" s="10">
        <v>12950</v>
      </c>
      <c r="DE7" s="10">
        <v>254</v>
      </c>
      <c r="DF7" s="17">
        <v>44117</v>
      </c>
      <c r="DG7" s="10">
        <v>13147</v>
      </c>
      <c r="DH7" s="10">
        <v>197</v>
      </c>
      <c r="DI7" s="17">
        <v>44118</v>
      </c>
      <c r="DJ7" s="10">
        <v>13348</v>
      </c>
      <c r="DK7" s="10">
        <v>200</v>
      </c>
      <c r="DL7" s="17">
        <v>44119</v>
      </c>
      <c r="DM7" s="10">
        <v>13542</v>
      </c>
      <c r="DN7" s="10">
        <v>191</v>
      </c>
      <c r="DO7" s="17">
        <v>44120</v>
      </c>
      <c r="DP7" s="10">
        <v>13734</v>
      </c>
      <c r="DQ7" s="10">
        <v>192</v>
      </c>
      <c r="DR7" s="17">
        <v>44121</v>
      </c>
      <c r="DS7" s="10">
        <v>13835</v>
      </c>
      <c r="DT7" s="10">
        <v>100</v>
      </c>
      <c r="DU7" s="17">
        <v>44121</v>
      </c>
      <c r="DV7" s="10">
        <v>13963</v>
      </c>
      <c r="DW7" s="10">
        <v>128</v>
      </c>
      <c r="DX7" s="17">
        <v>44123</v>
      </c>
      <c r="DY7" s="10">
        <v>14207</v>
      </c>
      <c r="DZ7" s="10">
        <v>244</v>
      </c>
      <c r="EA7" s="17">
        <v>44124</v>
      </c>
      <c r="EB7" s="10">
        <v>14370</v>
      </c>
      <c r="EC7" s="10">
        <v>163</v>
      </c>
      <c r="ED7" s="17">
        <v>44125</v>
      </c>
      <c r="EE7" s="10">
        <v>14552</v>
      </c>
      <c r="EF7" s="10">
        <v>190</v>
      </c>
      <c r="EG7" s="17">
        <v>44126</v>
      </c>
      <c r="EH7" s="10">
        <v>14770</v>
      </c>
      <c r="EI7" s="10">
        <v>218</v>
      </c>
      <c r="EJ7" s="17">
        <v>44127</v>
      </c>
      <c r="EK7" s="10">
        <v>14962</v>
      </c>
      <c r="EL7" s="10">
        <v>192</v>
      </c>
      <c r="EM7" s="17">
        <v>44128</v>
      </c>
      <c r="EN7" s="10">
        <v>15070</v>
      </c>
      <c r="EO7" s="10">
        <v>108</v>
      </c>
      <c r="EP7" s="17">
        <v>44129</v>
      </c>
      <c r="EQ7" s="10">
        <v>15193</v>
      </c>
      <c r="ER7" s="10">
        <v>123</v>
      </c>
      <c r="ES7" s="17">
        <v>44130</v>
      </c>
      <c r="ET7" s="10">
        <v>15450</v>
      </c>
      <c r="EU7" s="10">
        <v>256</v>
      </c>
      <c r="EV7" s="17">
        <v>44131</v>
      </c>
      <c r="EW7" s="10">
        <v>15680</v>
      </c>
      <c r="EX7" s="10">
        <v>230</v>
      </c>
      <c r="EY7" s="17">
        <v>44132</v>
      </c>
      <c r="EZ7" s="10">
        <v>15920</v>
      </c>
      <c r="FA7" s="10">
        <v>240</v>
      </c>
      <c r="FB7" s="17">
        <v>44133</v>
      </c>
      <c r="FC7" s="10">
        <v>16156</v>
      </c>
      <c r="FD7" s="10">
        <v>237</v>
      </c>
      <c r="FE7" s="17">
        <v>44134</v>
      </c>
      <c r="FF7" s="10">
        <v>16330</v>
      </c>
      <c r="FG7" s="10">
        <v>219</v>
      </c>
      <c r="FH7" s="17">
        <v>44135</v>
      </c>
      <c r="FI7" s="10">
        <v>16502</v>
      </c>
      <c r="FJ7" s="10">
        <v>121</v>
      </c>
      <c r="FK7" s="17">
        <v>44136</v>
      </c>
      <c r="FL7" s="10">
        <v>16662</v>
      </c>
      <c r="FM7" s="10">
        <v>150</v>
      </c>
      <c r="FN7" s="17">
        <v>44137</v>
      </c>
      <c r="FO7" s="10">
        <v>16943</v>
      </c>
      <c r="FP7" s="10">
        <v>281</v>
      </c>
      <c r="FQ7" s="17">
        <v>44138</v>
      </c>
      <c r="FR7" s="10">
        <v>17184</v>
      </c>
      <c r="FS7" s="10">
        <v>241</v>
      </c>
      <c r="FT7" s="17">
        <v>44139</v>
      </c>
      <c r="FU7" s="10">
        <v>17418</v>
      </c>
      <c r="FV7" s="10">
        <v>213</v>
      </c>
      <c r="FW7" s="17">
        <v>44140</v>
      </c>
      <c r="FX7" s="10">
        <v>17641</v>
      </c>
      <c r="FY7" s="10">
        <v>222</v>
      </c>
      <c r="FZ7" s="17">
        <v>44141</v>
      </c>
      <c r="GA7" s="10">
        <v>17841</v>
      </c>
      <c r="GB7" s="10">
        <v>196</v>
      </c>
      <c r="GC7" s="17">
        <v>44142</v>
      </c>
      <c r="GD7" s="10">
        <v>17969</v>
      </c>
      <c r="GE7" s="10">
        <v>128</v>
      </c>
      <c r="GF7" s="17">
        <v>44143</v>
      </c>
      <c r="GG7" s="10">
        <v>18102</v>
      </c>
      <c r="GH7" s="10">
        <v>133</v>
      </c>
      <c r="GI7" s="17">
        <v>44144</v>
      </c>
      <c r="GJ7" s="10">
        <v>18375</v>
      </c>
      <c r="GK7" s="10">
        <v>273</v>
      </c>
      <c r="GL7" s="17">
        <v>44145</v>
      </c>
      <c r="GM7" s="10">
        <v>18580</v>
      </c>
      <c r="GN7" s="10">
        <v>205</v>
      </c>
      <c r="GO7" s="17">
        <v>44146</v>
      </c>
      <c r="GP7" s="10">
        <v>18872</v>
      </c>
      <c r="GQ7" s="10">
        <v>292</v>
      </c>
      <c r="GR7" s="17">
        <v>44147</v>
      </c>
      <c r="GS7" s="10">
        <v>19155</v>
      </c>
      <c r="GT7" s="10">
        <v>282</v>
      </c>
      <c r="GU7" s="17">
        <v>44148</v>
      </c>
      <c r="GV7" s="10">
        <v>19419</v>
      </c>
      <c r="GW7" s="10">
        <v>265</v>
      </c>
      <c r="GX7" s="17">
        <v>44149</v>
      </c>
      <c r="GY7" s="10">
        <v>19570</v>
      </c>
      <c r="GZ7" s="10">
        <v>145</v>
      </c>
      <c r="HA7" s="17">
        <v>44150</v>
      </c>
      <c r="HB7" s="10">
        <v>19753</v>
      </c>
      <c r="HC7" s="10">
        <v>182</v>
      </c>
      <c r="HD7" s="17">
        <v>44151</v>
      </c>
      <c r="HE7" s="10">
        <v>20144</v>
      </c>
      <c r="HF7" s="10">
        <v>392</v>
      </c>
      <c r="HG7" s="17">
        <v>44152</v>
      </c>
      <c r="HH7" s="10">
        <v>20535</v>
      </c>
      <c r="HI7" s="10">
        <v>391</v>
      </c>
      <c r="HJ7" s="17">
        <v>44153</v>
      </c>
      <c r="HK7" s="10">
        <v>20907</v>
      </c>
      <c r="HL7" s="10">
        <v>371</v>
      </c>
      <c r="HM7" s="17">
        <v>44154</v>
      </c>
      <c r="HN7" s="10">
        <v>21383</v>
      </c>
      <c r="HO7" s="10">
        <v>478</v>
      </c>
      <c r="HP7" s="17">
        <v>44155</v>
      </c>
      <c r="HQ7" s="10">
        <v>21815</v>
      </c>
      <c r="HR7" s="10">
        <v>429</v>
      </c>
      <c r="HS7" s="17">
        <v>44156</v>
      </c>
      <c r="HT7" s="10">
        <v>22082</v>
      </c>
      <c r="HU7" s="10">
        <v>268</v>
      </c>
      <c r="HV7" s="17">
        <v>44157</v>
      </c>
      <c r="HW7" s="10">
        <v>22350</v>
      </c>
      <c r="HX7" s="10">
        <v>267</v>
      </c>
      <c r="HY7" s="17">
        <v>44158</v>
      </c>
      <c r="HZ7" s="10">
        <v>22854</v>
      </c>
      <c r="IA7" s="10">
        <v>504</v>
      </c>
      <c r="IB7" s="17">
        <v>44159</v>
      </c>
      <c r="IC7" s="10">
        <v>23321</v>
      </c>
      <c r="ID7" s="10">
        <v>468</v>
      </c>
      <c r="IE7" s="17">
        <v>44160</v>
      </c>
      <c r="IF7" s="10">
        <v>23935</v>
      </c>
      <c r="IG7" s="10">
        <v>613</v>
      </c>
      <c r="IH7" s="17">
        <v>44161</v>
      </c>
      <c r="II7" s="10">
        <v>24444</v>
      </c>
      <c r="IJ7" s="10">
        <v>509</v>
      </c>
      <c r="IK7" s="17">
        <v>44162</v>
      </c>
      <c r="IL7" s="10">
        <v>24900</v>
      </c>
      <c r="IM7" s="10">
        <v>455</v>
      </c>
      <c r="IN7" s="17">
        <v>44163</v>
      </c>
      <c r="IO7" s="10">
        <v>25185</v>
      </c>
      <c r="IP7" s="10">
        <v>285</v>
      </c>
      <c r="IQ7" s="17">
        <v>44164</v>
      </c>
      <c r="IR7" s="10">
        <v>25478</v>
      </c>
      <c r="IS7" s="10">
        <v>293</v>
      </c>
      <c r="IT7" s="17">
        <v>44165</v>
      </c>
      <c r="IU7" s="10">
        <v>26074</v>
      </c>
      <c r="IV7" s="10">
        <v>596</v>
      </c>
      <c r="IW7" s="17">
        <v>44166</v>
      </c>
      <c r="IX7" s="10">
        <v>26514</v>
      </c>
      <c r="IY7" s="10">
        <v>440</v>
      </c>
      <c r="IZ7" s="17">
        <v>44167</v>
      </c>
      <c r="JA7" s="10">
        <v>27008</v>
      </c>
      <c r="JB7" s="10">
        <v>495</v>
      </c>
      <c r="JC7" s="17">
        <v>44171</v>
      </c>
      <c r="JD7" s="10">
        <v>28496</v>
      </c>
      <c r="JE7" s="10">
        <v>282</v>
      </c>
      <c r="JF7" s="17">
        <v>44175</v>
      </c>
      <c r="JG7" s="10">
        <v>30433</v>
      </c>
      <c r="JH7" s="10">
        <v>408</v>
      </c>
      <c r="JI7" s="17">
        <v>44176</v>
      </c>
      <c r="JJ7" s="10">
        <v>30916</v>
      </c>
      <c r="JK7" s="10">
        <v>444</v>
      </c>
      <c r="JL7" s="17">
        <v>44177</v>
      </c>
      <c r="JM7" s="10">
        <v>31158</v>
      </c>
      <c r="JN7" s="10">
        <v>250</v>
      </c>
      <c r="JO7" s="17">
        <v>44178</v>
      </c>
      <c r="JP7" s="10">
        <v>31426</v>
      </c>
      <c r="JQ7" s="10">
        <v>276</v>
      </c>
      <c r="JR7" s="17">
        <v>44180</v>
      </c>
      <c r="JS7" s="10">
        <v>32252</v>
      </c>
      <c r="JT7" s="10">
        <v>358</v>
      </c>
      <c r="JU7" s="17">
        <v>44180</v>
      </c>
      <c r="JV7" s="10">
        <v>32253</v>
      </c>
      <c r="JW7" s="10">
        <v>358</v>
      </c>
      <c r="JX7" s="17">
        <v>44182</v>
      </c>
      <c r="JY7" s="10">
        <v>32917</v>
      </c>
      <c r="JZ7" s="10">
        <v>319</v>
      </c>
      <c r="KA7" s="17">
        <v>44194</v>
      </c>
      <c r="KB7" s="10">
        <v>36138</v>
      </c>
      <c r="KC7" s="10">
        <v>306</v>
      </c>
      <c r="KD7" s="17">
        <v>44194</v>
      </c>
      <c r="KE7" s="10">
        <v>36146</v>
      </c>
      <c r="KF7" s="10">
        <v>307</v>
      </c>
      <c r="KG7" s="17">
        <v>44195</v>
      </c>
      <c r="KH7" s="10">
        <v>36393</v>
      </c>
      <c r="KI7" s="10">
        <v>255</v>
      </c>
      <c r="KJ7" s="17">
        <v>44197</v>
      </c>
      <c r="KK7" s="10">
        <v>36774</v>
      </c>
      <c r="KL7" s="10">
        <v>129</v>
      </c>
      <c r="KM7" s="17">
        <v>44198</v>
      </c>
      <c r="KN7" s="10">
        <v>36983</v>
      </c>
      <c r="KO7" s="10">
        <v>205</v>
      </c>
      <c r="KP7" s="17">
        <v>44202</v>
      </c>
      <c r="KQ7" s="10">
        <v>38021</v>
      </c>
      <c r="KR7" s="10">
        <v>209</v>
      </c>
      <c r="KS7" s="17">
        <v>44203</v>
      </c>
      <c r="KT7" s="10">
        <v>38356</v>
      </c>
      <c r="KU7" s="10">
        <v>331</v>
      </c>
      <c r="KV7" s="17">
        <v>44204</v>
      </c>
      <c r="KW7" s="10">
        <v>38608</v>
      </c>
      <c r="KX7" s="10">
        <v>252</v>
      </c>
      <c r="KY7" s="17">
        <v>44206</v>
      </c>
      <c r="KZ7" s="10">
        <v>38985</v>
      </c>
      <c r="LA7" s="10">
        <v>184</v>
      </c>
      <c r="LB7" s="17">
        <v>44207</v>
      </c>
      <c r="LC7" s="10">
        <v>39379</v>
      </c>
      <c r="LD7" s="10">
        <v>384</v>
      </c>
      <c r="LE7" s="17">
        <v>44208</v>
      </c>
      <c r="LF7" s="10">
        <v>39605</v>
      </c>
      <c r="LG7" s="10">
        <v>226</v>
      </c>
      <c r="LH7" s="17">
        <v>44210</v>
      </c>
      <c r="LI7" s="10">
        <v>40082</v>
      </c>
      <c r="LJ7" s="10">
        <v>249</v>
      </c>
      <c r="LK7" s="17">
        <v>44210</v>
      </c>
      <c r="LL7" s="10">
        <v>40080</v>
      </c>
      <c r="LM7" s="10">
        <v>249</v>
      </c>
      <c r="LN7" s="17">
        <v>44212</v>
      </c>
      <c r="LO7" s="10">
        <v>40539</v>
      </c>
      <c r="LP7" s="10">
        <v>168</v>
      </c>
      <c r="LQ7" s="17">
        <v>44213</v>
      </c>
      <c r="LR7" s="10">
        <v>40732</v>
      </c>
      <c r="LS7" s="10">
        <v>195</v>
      </c>
      <c r="LT7" s="17">
        <v>44214</v>
      </c>
      <c r="LU7" s="10">
        <v>41180</v>
      </c>
      <c r="LV7" s="10">
        <v>447</v>
      </c>
      <c r="LW7" s="17">
        <v>44215</v>
      </c>
      <c r="LX7" s="10">
        <v>41530</v>
      </c>
      <c r="LY7" s="10">
        <v>342</v>
      </c>
      <c r="LZ7" s="17">
        <v>44216</v>
      </c>
      <c r="MA7" s="10">
        <v>41927</v>
      </c>
      <c r="MB7" s="10">
        <v>406</v>
      </c>
      <c r="MC7" s="17">
        <v>44217</v>
      </c>
      <c r="MD7" s="10">
        <v>42313</v>
      </c>
      <c r="ME7" s="10">
        <v>376</v>
      </c>
      <c r="MF7" s="17">
        <v>44219</v>
      </c>
      <c r="MG7" s="10">
        <v>42843</v>
      </c>
      <c r="MH7" s="10">
        <v>168</v>
      </c>
      <c r="MI7" s="17">
        <v>44219</v>
      </c>
      <c r="MJ7" s="10">
        <v>42843</v>
      </c>
      <c r="MK7" s="10">
        <v>168</v>
      </c>
      <c r="ML7" s="17">
        <v>44220</v>
      </c>
      <c r="MM7" s="10">
        <v>43086</v>
      </c>
      <c r="MN7" s="10">
        <v>244</v>
      </c>
      <c r="MO7" s="17">
        <v>44221</v>
      </c>
      <c r="MP7" s="10">
        <v>43689</v>
      </c>
      <c r="MQ7" s="10">
        <v>604</v>
      </c>
      <c r="MR7" s="17">
        <v>44222</v>
      </c>
      <c r="MS7" s="10">
        <v>44090</v>
      </c>
      <c r="MT7" s="10">
        <v>398</v>
      </c>
      <c r="MU7" s="17">
        <v>44223</v>
      </c>
      <c r="MV7" s="10">
        <v>44471</v>
      </c>
      <c r="MW7" s="10">
        <v>383</v>
      </c>
      <c r="MX7" s="17">
        <v>44224</v>
      </c>
      <c r="MY7" s="10">
        <v>44906</v>
      </c>
      <c r="MZ7" s="10">
        <v>436</v>
      </c>
      <c r="NA7" s="17">
        <v>44224</v>
      </c>
      <c r="NB7" s="10">
        <v>44907</v>
      </c>
      <c r="NC7" s="10">
        <v>436</v>
      </c>
      <c r="ND7" s="17">
        <v>44227</v>
      </c>
      <c r="NE7" s="10">
        <v>45789</v>
      </c>
      <c r="NF7" s="10">
        <v>272</v>
      </c>
      <c r="NG7" s="17">
        <v>44227</v>
      </c>
      <c r="NH7" s="10">
        <v>45788</v>
      </c>
      <c r="NI7" s="10">
        <v>272</v>
      </c>
      <c r="NJ7" s="17">
        <v>44229</v>
      </c>
      <c r="NK7" s="10">
        <v>46714</v>
      </c>
      <c r="NL7" s="10">
        <v>395</v>
      </c>
      <c r="NM7" s="17">
        <v>44229</v>
      </c>
      <c r="NN7" s="10">
        <v>46714</v>
      </c>
      <c r="NO7" s="10">
        <v>395</v>
      </c>
      <c r="NP7" s="17">
        <v>44231</v>
      </c>
      <c r="NQ7" s="10">
        <v>47524</v>
      </c>
      <c r="NR7" s="10">
        <v>369</v>
      </c>
      <c r="NS7" s="17">
        <v>44232</v>
      </c>
      <c r="NT7" s="10">
        <v>47889</v>
      </c>
      <c r="NU7" s="10">
        <v>367</v>
      </c>
      <c r="NV7" s="17">
        <v>44233</v>
      </c>
      <c r="NW7" s="10">
        <v>48126</v>
      </c>
      <c r="NX7" s="10">
        <v>239</v>
      </c>
      <c r="NY7" s="17">
        <v>44234</v>
      </c>
      <c r="NZ7" s="10">
        <v>48390</v>
      </c>
      <c r="OA7" s="10">
        <v>263</v>
      </c>
      <c r="OB7" s="17">
        <v>44235</v>
      </c>
      <c r="OC7" s="10">
        <v>48850</v>
      </c>
      <c r="OD7" s="10">
        <v>459</v>
      </c>
      <c r="OE7" s="17">
        <v>44236</v>
      </c>
      <c r="OF7" s="10">
        <v>49221</v>
      </c>
      <c r="OG7" s="10">
        <v>371</v>
      </c>
      <c r="OH7" s="17">
        <v>44237</v>
      </c>
      <c r="OI7" s="10">
        <v>49603</v>
      </c>
      <c r="OJ7" s="10">
        <v>382</v>
      </c>
      <c r="OK7" s="17">
        <v>44238</v>
      </c>
      <c r="OL7" s="10">
        <v>49960</v>
      </c>
      <c r="OM7" s="10">
        <v>357</v>
      </c>
      <c r="ON7" s="17">
        <v>44239</v>
      </c>
      <c r="OO7" s="10">
        <v>50377</v>
      </c>
      <c r="OP7" s="10">
        <v>418</v>
      </c>
      <c r="OQ7" s="17">
        <v>44240</v>
      </c>
      <c r="OR7" s="10">
        <v>50654</v>
      </c>
      <c r="OS7" s="10">
        <v>277</v>
      </c>
      <c r="OT7" s="17">
        <v>44241</v>
      </c>
      <c r="OU7" s="10">
        <v>50936</v>
      </c>
      <c r="OV7" s="10">
        <v>281</v>
      </c>
      <c r="OW7" s="17">
        <v>44242</v>
      </c>
      <c r="OX7" s="10">
        <v>51551</v>
      </c>
      <c r="OY7" s="10">
        <v>616</v>
      </c>
      <c r="OZ7" s="17">
        <v>44243</v>
      </c>
      <c r="PA7" s="10">
        <v>52066</v>
      </c>
      <c r="PB7" s="10">
        <v>515</v>
      </c>
      <c r="PC7" s="17">
        <v>44244</v>
      </c>
      <c r="PD7" s="10">
        <v>52615</v>
      </c>
      <c r="PE7" s="10">
        <v>550</v>
      </c>
      <c r="PF7" s="17">
        <v>44245</v>
      </c>
      <c r="PG7" s="10">
        <v>53226</v>
      </c>
      <c r="PH7" s="10">
        <v>611</v>
      </c>
      <c r="PI7" s="17">
        <v>44245</v>
      </c>
      <c r="PJ7" s="10">
        <v>53801</v>
      </c>
      <c r="PK7" s="10">
        <v>573</v>
      </c>
      <c r="PL7" s="17">
        <v>44247</v>
      </c>
      <c r="PM7" s="10">
        <v>54119</v>
      </c>
      <c r="PN7" s="10">
        <v>319</v>
      </c>
      <c r="PO7" s="17">
        <v>44248</v>
      </c>
      <c r="PP7" s="10">
        <v>54474</v>
      </c>
      <c r="PQ7" s="10">
        <v>355</v>
      </c>
      <c r="PR7" s="17">
        <v>44249</v>
      </c>
      <c r="PS7" s="10">
        <v>55098</v>
      </c>
      <c r="PT7" s="10">
        <v>624</v>
      </c>
      <c r="PU7" s="17">
        <v>44250</v>
      </c>
      <c r="PV7" s="10">
        <v>55722</v>
      </c>
      <c r="PW7" s="10">
        <v>625</v>
      </c>
      <c r="PX7" s="17">
        <v>44251</v>
      </c>
      <c r="PY7" s="10">
        <v>56320</v>
      </c>
      <c r="PZ7" s="10">
        <v>599</v>
      </c>
      <c r="QA7" s="17">
        <v>44252</v>
      </c>
      <c r="QB7" s="10">
        <v>56940</v>
      </c>
      <c r="QC7" s="10">
        <v>618</v>
      </c>
      <c r="QD7" s="17">
        <v>44253</v>
      </c>
      <c r="QE7" s="10">
        <v>57634</v>
      </c>
      <c r="QF7" s="10">
        <v>690</v>
      </c>
      <c r="QG7" s="17">
        <v>44254</v>
      </c>
      <c r="QH7" s="10">
        <v>58035</v>
      </c>
      <c r="QI7" s="10">
        <v>400</v>
      </c>
      <c r="QJ7" s="17">
        <v>44255</v>
      </c>
      <c r="QK7" s="10">
        <v>58456</v>
      </c>
      <c r="QL7" s="10">
        <v>418</v>
      </c>
      <c r="QM7" s="17">
        <v>44256</v>
      </c>
      <c r="QN7" s="10">
        <v>59326</v>
      </c>
      <c r="QO7" s="10">
        <v>870</v>
      </c>
      <c r="QP7" s="17">
        <v>44257</v>
      </c>
      <c r="QQ7" s="10">
        <v>60083</v>
      </c>
      <c r="QR7" s="10">
        <v>757</v>
      </c>
      <c r="QS7" s="17">
        <v>44258</v>
      </c>
      <c r="QT7" s="10">
        <v>60815</v>
      </c>
      <c r="QU7" s="10">
        <v>732</v>
      </c>
      <c r="QV7" s="17">
        <v>44259</v>
      </c>
      <c r="QW7" s="10">
        <v>61454</v>
      </c>
      <c r="QX7" s="10">
        <v>638</v>
      </c>
      <c r="QY7" s="17">
        <v>44260</v>
      </c>
      <c r="QZ7" s="10">
        <v>62079</v>
      </c>
      <c r="RA7" s="10">
        <v>629</v>
      </c>
      <c r="RB7" s="17">
        <v>44261</v>
      </c>
      <c r="RC7" s="10">
        <v>62511</v>
      </c>
      <c r="RD7" s="10">
        <v>431</v>
      </c>
      <c r="RE7" s="17">
        <v>44262</v>
      </c>
      <c r="RF7" s="10">
        <v>62906</v>
      </c>
      <c r="RG7" s="10">
        <v>396</v>
      </c>
      <c r="RH7" s="17">
        <v>44263</v>
      </c>
      <c r="RI7" s="10">
        <v>63739</v>
      </c>
      <c r="RJ7" s="10">
        <v>833</v>
      </c>
      <c r="RK7" s="17">
        <v>44264</v>
      </c>
      <c r="RL7" s="10">
        <v>64512</v>
      </c>
      <c r="RM7" s="10">
        <v>774</v>
      </c>
      <c r="RN7" s="17">
        <v>44266</v>
      </c>
      <c r="RO7" s="10">
        <v>66106</v>
      </c>
      <c r="RP7" s="10">
        <v>777</v>
      </c>
      <c r="RQ7" s="17">
        <v>44267</v>
      </c>
      <c r="RR7" s="10">
        <v>66915</v>
      </c>
      <c r="RS7" s="10">
        <v>809</v>
      </c>
      <c r="RT7" s="10">
        <v>44268</v>
      </c>
      <c r="RU7" s="10">
        <v>67406</v>
      </c>
      <c r="RV7" s="10">
        <v>491</v>
      </c>
      <c r="RW7" s="10">
        <v>44269</v>
      </c>
      <c r="RX7" s="10">
        <v>67840</v>
      </c>
      <c r="RY7" s="10">
        <v>434</v>
      </c>
      <c r="RZ7" s="10">
        <v>44270</v>
      </c>
      <c r="SA7" s="10">
        <v>68731</v>
      </c>
      <c r="SB7" s="10">
        <v>891</v>
      </c>
      <c r="SC7" s="10">
        <v>44271</v>
      </c>
      <c r="SD7" s="10">
        <v>69494</v>
      </c>
      <c r="SE7" s="10">
        <v>763</v>
      </c>
      <c r="SF7" s="10">
        <v>44272</v>
      </c>
      <c r="SG7" s="10">
        <v>70239</v>
      </c>
      <c r="SH7" s="10">
        <v>743</v>
      </c>
      <c r="SI7" s="10">
        <v>44273</v>
      </c>
      <c r="SJ7" s="10">
        <v>70975</v>
      </c>
      <c r="SK7" s="10">
        <v>736</v>
      </c>
      <c r="SL7" s="10">
        <v>44275</v>
      </c>
      <c r="SM7" s="10">
        <v>72123</v>
      </c>
      <c r="SN7" s="10">
        <v>403</v>
      </c>
      <c r="SO7" s="10">
        <v>44276</v>
      </c>
      <c r="SP7" s="10">
        <v>72558</v>
      </c>
      <c r="SQ7" s="10">
        <v>417</v>
      </c>
      <c r="SR7" s="10">
        <v>44277</v>
      </c>
      <c r="SS7" s="10">
        <v>73327</v>
      </c>
      <c r="ST7" s="10">
        <v>767</v>
      </c>
      <c r="SU7" s="10">
        <v>44278</v>
      </c>
      <c r="SV7" s="10">
        <v>74030</v>
      </c>
      <c r="SW7" s="10">
        <v>703</v>
      </c>
      <c r="SX7" s="10">
        <v>44280</v>
      </c>
      <c r="SY7" s="10">
        <v>75331</v>
      </c>
      <c r="SZ7" s="10">
        <v>606</v>
      </c>
      <c r="TA7" s="10">
        <v>44281</v>
      </c>
      <c r="TB7" s="10">
        <v>76020</v>
      </c>
      <c r="TC7" s="10">
        <v>687</v>
      </c>
      <c r="TD7" s="10">
        <v>44283</v>
      </c>
      <c r="TE7" s="10">
        <v>76740</v>
      </c>
      <c r="TF7" s="10">
        <v>368</v>
      </c>
      <c r="TG7" s="10">
        <v>44284</v>
      </c>
      <c r="TH7" s="10">
        <v>77397</v>
      </c>
      <c r="TI7" s="10">
        <v>653</v>
      </c>
      <c r="TJ7" s="10">
        <v>44285</v>
      </c>
      <c r="TK7" s="10">
        <v>77966</v>
      </c>
      <c r="TL7" s="10">
        <v>568</v>
      </c>
      <c r="TM7" s="10">
        <v>44286</v>
      </c>
      <c r="TN7" s="10">
        <v>78516</v>
      </c>
      <c r="TO7" s="10">
        <v>550</v>
      </c>
      <c r="TP7" s="10">
        <v>44288</v>
      </c>
      <c r="TQ7" s="10">
        <v>79368</v>
      </c>
      <c r="TR7" s="10">
        <v>361</v>
      </c>
      <c r="TS7" s="10">
        <v>44289</v>
      </c>
      <c r="TT7" s="10">
        <v>79690</v>
      </c>
      <c r="TU7" s="10">
        <v>319</v>
      </c>
      <c r="TV7" s="10">
        <v>44289</v>
      </c>
      <c r="TW7" s="10">
        <v>79696</v>
      </c>
      <c r="TX7" s="10">
        <v>319</v>
      </c>
      <c r="TY7" s="10">
        <v>44290</v>
      </c>
      <c r="TZ7" s="10">
        <v>80016</v>
      </c>
      <c r="UA7" s="10">
        <v>320</v>
      </c>
      <c r="UB7" s="10">
        <v>44292</v>
      </c>
      <c r="UC7" s="10">
        <v>80919</v>
      </c>
      <c r="UD7" s="10">
        <v>544</v>
      </c>
      <c r="UE7" s="10">
        <v>44292</v>
      </c>
      <c r="UF7" s="10">
        <v>80919</v>
      </c>
      <c r="UG7" s="10">
        <v>544</v>
      </c>
      <c r="UH7" s="10">
        <v>44293</v>
      </c>
      <c r="UI7" s="10">
        <v>81346</v>
      </c>
      <c r="UJ7" s="10">
        <v>425</v>
      </c>
      <c r="UK7" s="10">
        <v>44294</v>
      </c>
      <c r="UL7" s="10">
        <v>81750</v>
      </c>
      <c r="UM7" s="10">
        <v>403</v>
      </c>
      <c r="UN7" s="10">
        <v>44298</v>
      </c>
      <c r="UO7" s="10">
        <v>82966</v>
      </c>
      <c r="UP7" s="10">
        <v>396</v>
      </c>
      <c r="UQ7" s="10">
        <v>44299</v>
      </c>
      <c r="UR7" s="10">
        <v>83293</v>
      </c>
      <c r="US7" s="10">
        <v>325</v>
      </c>
      <c r="UT7" s="10">
        <v>44300</v>
      </c>
      <c r="UU7" s="10">
        <v>83639</v>
      </c>
      <c r="UV7" s="10">
        <v>345</v>
      </c>
      <c r="UW7" s="10">
        <v>44301</v>
      </c>
      <c r="UX7" s="10">
        <v>83915</v>
      </c>
      <c r="UY7" s="10">
        <v>274</v>
      </c>
      <c r="UZ7" s="10">
        <v>44303</v>
      </c>
      <c r="VA7" s="10">
        <v>84354</v>
      </c>
      <c r="VB7" s="10">
        <v>171</v>
      </c>
      <c r="VC7" s="10">
        <v>44303</v>
      </c>
      <c r="VD7" s="10">
        <v>84352</v>
      </c>
      <c r="VE7" s="10">
        <v>171</v>
      </c>
      <c r="VF7" s="10">
        <v>44304</v>
      </c>
      <c r="VG7" s="10">
        <v>84508</v>
      </c>
      <c r="VH7" s="10">
        <v>156</v>
      </c>
      <c r="VI7" s="10">
        <v>44306</v>
      </c>
      <c r="VJ7" s="10">
        <v>85076</v>
      </c>
      <c r="VK7" s="10">
        <v>285</v>
      </c>
      <c r="VL7" s="10">
        <v>44306</v>
      </c>
      <c r="VM7" s="10">
        <v>85076</v>
      </c>
      <c r="VN7" s="10">
        <v>285</v>
      </c>
      <c r="VO7" s="10">
        <v>44306</v>
      </c>
      <c r="VP7" s="10">
        <v>85309</v>
      </c>
      <c r="VQ7" s="10">
        <v>233</v>
      </c>
      <c r="VR7" s="10">
        <v>44308</v>
      </c>
      <c r="VS7" s="10">
        <v>85566</v>
      </c>
      <c r="VT7" s="10">
        <v>258</v>
      </c>
      <c r="VU7" s="10">
        <v>44310</v>
      </c>
      <c r="VV7" s="10">
        <v>85978</v>
      </c>
      <c r="VW7" s="10">
        <v>155</v>
      </c>
      <c r="VX7" s="10">
        <v>44310</v>
      </c>
      <c r="VY7" s="10">
        <v>85980</v>
      </c>
      <c r="VZ7" s="10">
        <v>155</v>
      </c>
      <c r="WA7" s="10">
        <v>44311</v>
      </c>
      <c r="WB7" s="10">
        <v>86124</v>
      </c>
      <c r="WC7" s="10">
        <v>140</v>
      </c>
      <c r="WD7" s="10">
        <v>44311</v>
      </c>
      <c r="WE7" s="10">
        <v>86367</v>
      </c>
      <c r="WF7" s="10">
        <v>243</v>
      </c>
      <c r="WG7" s="10">
        <v>44313</v>
      </c>
      <c r="WH7" s="10">
        <v>86595</v>
      </c>
      <c r="WI7" s="10">
        <v>228</v>
      </c>
      <c r="WJ7" s="10">
        <v>44315</v>
      </c>
      <c r="WK7" s="10">
        <v>87070</v>
      </c>
      <c r="WL7" s="10">
        <v>201</v>
      </c>
      <c r="WM7" s="10">
        <v>44315</v>
      </c>
      <c r="WN7" s="10">
        <v>87071</v>
      </c>
      <c r="WO7" s="10">
        <v>201</v>
      </c>
      <c r="WP7" s="10">
        <v>44318</v>
      </c>
      <c r="WQ7" s="10">
        <v>87510</v>
      </c>
      <c r="WR7" s="10">
        <v>135</v>
      </c>
      <c r="WS7" s="10">
        <v>44319</v>
      </c>
      <c r="WT7" s="10">
        <v>87828</v>
      </c>
      <c r="WU7" s="10">
        <v>318</v>
      </c>
      <c r="WV7" s="10">
        <v>44320</v>
      </c>
      <c r="WW7" s="10">
        <v>88035</v>
      </c>
      <c r="WX7" s="10">
        <v>205</v>
      </c>
      <c r="WY7" s="10">
        <v>44321</v>
      </c>
      <c r="WZ7" s="10">
        <v>88304</v>
      </c>
      <c r="XA7" s="10">
        <v>266</v>
      </c>
      <c r="XB7" s="10">
        <v>44321</v>
      </c>
      <c r="XC7" s="10">
        <v>88539</v>
      </c>
      <c r="XD7" s="10">
        <v>234</v>
      </c>
      <c r="XE7" s="10">
        <v>44324</v>
      </c>
      <c r="XF7" s="10">
        <v>88884</v>
      </c>
      <c r="XG7" s="10">
        <v>130</v>
      </c>
      <c r="XH7" s="10">
        <v>44324</v>
      </c>
      <c r="XI7" s="10">
        <v>88890</v>
      </c>
      <c r="XJ7" s="10">
        <v>130</v>
      </c>
      <c r="XK7" s="10">
        <v>44325</v>
      </c>
      <c r="XL7" s="10">
        <v>89020</v>
      </c>
      <c r="XM7" s="10">
        <v>130</v>
      </c>
      <c r="XN7" s="10">
        <v>44326</v>
      </c>
      <c r="XO7" s="10">
        <v>89278</v>
      </c>
      <c r="XP7" s="10">
        <v>258</v>
      </c>
      <c r="XQ7" s="10">
        <v>44327</v>
      </c>
      <c r="XR7" s="10">
        <v>89492</v>
      </c>
      <c r="XS7" s="10">
        <v>214</v>
      </c>
      <c r="XT7" s="10">
        <v>44328</v>
      </c>
      <c r="XU7" s="10">
        <v>89751</v>
      </c>
      <c r="XV7" s="10">
        <v>256</v>
      </c>
      <c r="XW7" s="10">
        <v>44329</v>
      </c>
      <c r="XX7" s="10">
        <v>89909</v>
      </c>
      <c r="XY7" s="10">
        <v>155</v>
      </c>
      <c r="XZ7" s="10">
        <v>44330</v>
      </c>
      <c r="YA7" s="10">
        <v>90154</v>
      </c>
      <c r="YB7" s="10">
        <v>244</v>
      </c>
      <c r="YC7" s="10">
        <v>44332</v>
      </c>
      <c r="YD7" s="10">
        <v>90449</v>
      </c>
      <c r="YE7" s="10">
        <v>133</v>
      </c>
      <c r="YF7" s="10">
        <v>44333</v>
      </c>
      <c r="YG7" s="10">
        <v>90735</v>
      </c>
      <c r="YH7" s="10">
        <v>284</v>
      </c>
      <c r="YI7" s="10">
        <v>44334</v>
      </c>
      <c r="YJ7" s="10">
        <v>90951</v>
      </c>
      <c r="YK7" s="10">
        <v>216</v>
      </c>
      <c r="YL7" s="10">
        <v>44334</v>
      </c>
      <c r="YM7" s="10">
        <v>91181</v>
      </c>
      <c r="YN7" s="10">
        <v>230</v>
      </c>
      <c r="YO7" s="10">
        <v>44335</v>
      </c>
      <c r="YP7" s="10">
        <v>91400</v>
      </c>
      <c r="YQ7" s="10">
        <v>215</v>
      </c>
      <c r="YR7" s="10">
        <v>44337</v>
      </c>
      <c r="YS7" s="10">
        <v>91570</v>
      </c>
      <c r="YT7" s="10">
        <v>169</v>
      </c>
      <c r="YU7" s="10">
        <v>44338</v>
      </c>
      <c r="YV7" s="10">
        <v>91686</v>
      </c>
      <c r="YW7" s="10">
        <v>108</v>
      </c>
    </row>
    <row r="8" spans="1:673">
      <c r="B8" t="str">
        <f t="shared" ca="1" si="2"/>
        <v>23.5</v>
      </c>
      <c r="C8" s="4">
        <f t="shared" ca="1" si="0"/>
        <v>44339</v>
      </c>
      <c r="D8" s="11">
        <f t="shared" ca="1" si="1"/>
        <v>91779</v>
      </c>
      <c r="E8">
        <f t="shared" ca="1" si="3"/>
        <v>93</v>
      </c>
      <c r="F8" s="11">
        <f t="shared" ca="1" si="4"/>
        <v>0</v>
      </c>
      <c r="G8" s="11">
        <f t="shared" ref="G8:G35" ca="1" si="5">VLOOKUP(C8,Previous,3,FALSE)</f>
        <v>93</v>
      </c>
      <c r="L8" s="3"/>
      <c r="N8" s="16">
        <v>44339</v>
      </c>
      <c r="O8">
        <v>91779</v>
      </c>
      <c r="P8">
        <v>93</v>
      </c>
      <c r="Q8" s="16">
        <v>44339</v>
      </c>
      <c r="R8">
        <v>91779</v>
      </c>
      <c r="S8">
        <v>93</v>
      </c>
      <c r="T8" s="16">
        <v>44086</v>
      </c>
      <c r="U8">
        <v>8729</v>
      </c>
      <c r="V8">
        <v>41</v>
      </c>
      <c r="W8" s="16">
        <v>44087</v>
      </c>
      <c r="X8">
        <v>8776</v>
      </c>
      <c r="Y8">
        <v>46</v>
      </c>
      <c r="Z8" s="16">
        <v>44088</v>
      </c>
      <c r="AA8">
        <v>8836</v>
      </c>
      <c r="AB8">
        <v>59</v>
      </c>
      <c r="AC8" s="16">
        <v>44089</v>
      </c>
      <c r="AD8">
        <v>8888</v>
      </c>
      <c r="AE8">
        <v>53</v>
      </c>
      <c r="AF8" s="16">
        <v>44090</v>
      </c>
      <c r="AG8">
        <v>8945</v>
      </c>
      <c r="AH8">
        <v>57</v>
      </c>
      <c r="AI8" s="16">
        <v>44091</v>
      </c>
      <c r="AJ8">
        <v>9031</v>
      </c>
      <c r="AK8">
        <v>85</v>
      </c>
      <c r="AL8" s="16">
        <v>44092</v>
      </c>
      <c r="AM8">
        <v>9106</v>
      </c>
      <c r="AN8">
        <v>76</v>
      </c>
      <c r="AO8" s="16">
        <v>44093</v>
      </c>
      <c r="AP8">
        <v>9167</v>
      </c>
      <c r="AQ8">
        <v>61</v>
      </c>
      <c r="AR8" s="16">
        <v>44094</v>
      </c>
      <c r="AS8">
        <v>9240</v>
      </c>
      <c r="AT8">
        <v>73</v>
      </c>
      <c r="AU8" s="16">
        <v>44095</v>
      </c>
      <c r="AV8">
        <v>9359</v>
      </c>
      <c r="AW8">
        <v>119</v>
      </c>
      <c r="AX8" s="16">
        <v>44096</v>
      </c>
      <c r="AY8">
        <v>9464</v>
      </c>
      <c r="AZ8">
        <v>104</v>
      </c>
      <c r="BA8" s="16">
        <v>44097</v>
      </c>
      <c r="BB8">
        <v>9582</v>
      </c>
      <c r="BC8">
        <v>118</v>
      </c>
      <c r="BD8" s="16">
        <v>44098</v>
      </c>
      <c r="BE8">
        <v>9679</v>
      </c>
      <c r="BF8">
        <v>97</v>
      </c>
      <c r="BG8" s="16">
        <v>44099</v>
      </c>
      <c r="BH8">
        <v>9804</v>
      </c>
      <c r="BI8">
        <v>127</v>
      </c>
      <c r="BJ8" s="16">
        <v>44100</v>
      </c>
      <c r="BK8">
        <v>9879</v>
      </c>
      <c r="BL8">
        <v>73</v>
      </c>
      <c r="BM8" s="16">
        <v>44101</v>
      </c>
      <c r="BN8">
        <v>9950</v>
      </c>
      <c r="BO8">
        <v>71</v>
      </c>
      <c r="BP8" s="16">
        <v>44102</v>
      </c>
      <c r="BQ8">
        <v>10072</v>
      </c>
      <c r="BR8">
        <v>122</v>
      </c>
      <c r="BS8" s="16">
        <v>44103</v>
      </c>
      <c r="BT8">
        <v>10206</v>
      </c>
      <c r="BU8">
        <v>133</v>
      </c>
      <c r="BV8" s="16">
        <v>44105</v>
      </c>
      <c r="BW8">
        <v>10559</v>
      </c>
      <c r="BX8">
        <v>188</v>
      </c>
      <c r="BY8" s="16">
        <v>44106</v>
      </c>
      <c r="BZ8">
        <v>10748</v>
      </c>
      <c r="CA8">
        <v>188</v>
      </c>
      <c r="CB8" s="16">
        <v>44107</v>
      </c>
      <c r="CC8">
        <v>10918</v>
      </c>
      <c r="CD8">
        <v>170</v>
      </c>
      <c r="CE8" s="16">
        <v>44108</v>
      </c>
      <c r="CF8">
        <v>11072</v>
      </c>
      <c r="CG8">
        <v>147</v>
      </c>
      <c r="CH8" s="16">
        <v>44109</v>
      </c>
      <c r="CI8">
        <v>11363</v>
      </c>
      <c r="CJ8">
        <v>290</v>
      </c>
      <c r="CK8" s="16">
        <v>44110</v>
      </c>
      <c r="CL8">
        <v>11664</v>
      </c>
      <c r="CM8">
        <v>301</v>
      </c>
      <c r="CN8" s="16">
        <v>44111</v>
      </c>
      <c r="CO8">
        <v>11970</v>
      </c>
      <c r="CP8">
        <v>306</v>
      </c>
      <c r="CQ8" s="16">
        <v>44112</v>
      </c>
      <c r="CR8">
        <v>12230</v>
      </c>
      <c r="CS8">
        <v>260</v>
      </c>
      <c r="CT8" s="16">
        <v>44113</v>
      </c>
      <c r="CU8">
        <v>12458</v>
      </c>
      <c r="CV8">
        <v>226</v>
      </c>
      <c r="CW8" s="16">
        <v>44114</v>
      </c>
      <c r="CX8">
        <v>12568</v>
      </c>
      <c r="CY8">
        <v>109</v>
      </c>
      <c r="CZ8" s="16">
        <v>44116</v>
      </c>
      <c r="DA8">
        <v>12950</v>
      </c>
      <c r="DB8">
        <v>254</v>
      </c>
      <c r="DC8" s="16">
        <v>44117</v>
      </c>
      <c r="DD8">
        <v>13147</v>
      </c>
      <c r="DE8">
        <v>197</v>
      </c>
      <c r="DF8" s="16">
        <v>44118</v>
      </c>
      <c r="DG8">
        <v>13347</v>
      </c>
      <c r="DH8">
        <v>200</v>
      </c>
      <c r="DI8" s="16">
        <v>44119</v>
      </c>
      <c r="DJ8">
        <v>13539</v>
      </c>
      <c r="DK8">
        <v>191</v>
      </c>
      <c r="DL8" s="16">
        <v>44120</v>
      </c>
      <c r="DM8">
        <v>13734</v>
      </c>
      <c r="DN8">
        <v>192</v>
      </c>
      <c r="DO8" s="16">
        <v>44121</v>
      </c>
      <c r="DP8">
        <v>13834</v>
      </c>
      <c r="DQ8">
        <v>100</v>
      </c>
      <c r="DR8" s="16">
        <v>44122</v>
      </c>
      <c r="DS8">
        <v>13963</v>
      </c>
      <c r="DT8">
        <v>128</v>
      </c>
      <c r="DU8" s="16">
        <v>44123</v>
      </c>
      <c r="DV8">
        <v>14207</v>
      </c>
      <c r="DW8">
        <v>244</v>
      </c>
      <c r="DX8" s="16">
        <v>44124</v>
      </c>
      <c r="DY8">
        <v>14370</v>
      </c>
      <c r="DZ8">
        <v>163</v>
      </c>
      <c r="EA8" s="16">
        <v>44125</v>
      </c>
      <c r="EB8">
        <v>14560</v>
      </c>
      <c r="EC8">
        <v>190</v>
      </c>
      <c r="ED8" s="16">
        <v>44126</v>
      </c>
      <c r="EE8">
        <v>14770</v>
      </c>
      <c r="EF8">
        <v>218</v>
      </c>
      <c r="EG8" s="16">
        <v>44127</v>
      </c>
      <c r="EH8">
        <v>14962</v>
      </c>
      <c r="EI8">
        <v>192</v>
      </c>
      <c r="EJ8" s="16">
        <v>44128</v>
      </c>
      <c r="EK8">
        <v>15070</v>
      </c>
      <c r="EL8">
        <v>108</v>
      </c>
      <c r="EM8" s="16">
        <v>44129</v>
      </c>
      <c r="EN8">
        <v>15193</v>
      </c>
      <c r="EO8">
        <v>123</v>
      </c>
      <c r="EP8" s="16">
        <v>44130</v>
      </c>
      <c r="EQ8">
        <v>15449</v>
      </c>
      <c r="ER8">
        <v>256</v>
      </c>
      <c r="ES8" s="16">
        <v>44131</v>
      </c>
      <c r="ET8">
        <v>15680</v>
      </c>
      <c r="EU8">
        <v>230</v>
      </c>
      <c r="EV8" s="16">
        <v>44132</v>
      </c>
      <c r="EW8">
        <v>15920</v>
      </c>
      <c r="EX8">
        <v>240</v>
      </c>
      <c r="EY8" s="16">
        <v>44133</v>
      </c>
      <c r="EZ8">
        <v>16157</v>
      </c>
      <c r="FA8">
        <v>237</v>
      </c>
      <c r="FB8" s="16">
        <v>44134</v>
      </c>
      <c r="FC8">
        <v>16375</v>
      </c>
      <c r="FD8">
        <v>219</v>
      </c>
      <c r="FE8" s="16">
        <v>44135</v>
      </c>
      <c r="FF8">
        <v>16451</v>
      </c>
      <c r="FG8">
        <v>121</v>
      </c>
      <c r="FH8" s="16">
        <v>44136</v>
      </c>
      <c r="FI8">
        <v>16652</v>
      </c>
      <c r="FJ8">
        <v>150</v>
      </c>
      <c r="FK8" s="16">
        <v>44137</v>
      </c>
      <c r="FL8">
        <v>16943</v>
      </c>
      <c r="FM8">
        <v>281</v>
      </c>
      <c r="FN8" s="16">
        <v>44138</v>
      </c>
      <c r="FO8">
        <v>17184</v>
      </c>
      <c r="FP8">
        <v>241</v>
      </c>
      <c r="FQ8" s="16">
        <v>44139</v>
      </c>
      <c r="FR8">
        <v>17395</v>
      </c>
      <c r="FS8">
        <v>211</v>
      </c>
      <c r="FT8" s="16">
        <v>44140</v>
      </c>
      <c r="FU8">
        <v>17640</v>
      </c>
      <c r="FV8">
        <v>222</v>
      </c>
      <c r="FW8" s="16">
        <v>44141</v>
      </c>
      <c r="FX8">
        <v>17837</v>
      </c>
      <c r="FY8">
        <v>196</v>
      </c>
      <c r="FZ8" s="16">
        <v>44142</v>
      </c>
      <c r="GA8">
        <v>17969</v>
      </c>
      <c r="GB8">
        <v>128</v>
      </c>
      <c r="GC8" s="16">
        <v>44143</v>
      </c>
      <c r="GD8">
        <v>18102</v>
      </c>
      <c r="GE8">
        <v>133</v>
      </c>
      <c r="GF8" s="16">
        <v>44144</v>
      </c>
      <c r="GG8">
        <v>18375</v>
      </c>
      <c r="GH8">
        <v>273</v>
      </c>
      <c r="GI8" s="16">
        <v>44145</v>
      </c>
      <c r="GJ8">
        <v>18580</v>
      </c>
      <c r="GK8">
        <v>205</v>
      </c>
      <c r="GL8" s="16">
        <v>44146</v>
      </c>
      <c r="GM8">
        <v>18872</v>
      </c>
      <c r="GN8">
        <v>292</v>
      </c>
      <c r="GO8" s="16">
        <v>44147</v>
      </c>
      <c r="GP8">
        <v>19154</v>
      </c>
      <c r="GQ8">
        <v>282</v>
      </c>
      <c r="GR8" s="16">
        <v>44148</v>
      </c>
      <c r="GS8">
        <v>19420</v>
      </c>
      <c r="GT8">
        <v>265</v>
      </c>
      <c r="GU8" s="16">
        <v>44149</v>
      </c>
      <c r="GV8">
        <v>19564</v>
      </c>
      <c r="GW8">
        <v>145</v>
      </c>
      <c r="GX8" s="16">
        <v>44150</v>
      </c>
      <c r="GY8">
        <v>19752</v>
      </c>
      <c r="GZ8">
        <v>182</v>
      </c>
      <c r="HA8" s="16">
        <v>44151</v>
      </c>
      <c r="HB8">
        <v>20145</v>
      </c>
      <c r="HC8">
        <v>392</v>
      </c>
      <c r="HD8" s="16">
        <v>44152</v>
      </c>
      <c r="HE8">
        <v>20535</v>
      </c>
      <c r="HF8">
        <v>391</v>
      </c>
      <c r="HG8" s="16">
        <v>44153</v>
      </c>
      <c r="HH8">
        <v>20906</v>
      </c>
      <c r="HI8">
        <v>371</v>
      </c>
      <c r="HJ8" s="16">
        <v>44154</v>
      </c>
      <c r="HK8">
        <v>21385</v>
      </c>
      <c r="HL8">
        <v>478</v>
      </c>
      <c r="HM8" s="16">
        <v>44155</v>
      </c>
      <c r="HN8">
        <v>21812</v>
      </c>
      <c r="HO8">
        <v>429</v>
      </c>
      <c r="HP8" s="16">
        <v>44156</v>
      </c>
      <c r="HQ8">
        <v>22083</v>
      </c>
      <c r="HR8">
        <v>268</v>
      </c>
      <c r="HS8" s="16">
        <v>44157</v>
      </c>
      <c r="HT8">
        <v>22349</v>
      </c>
      <c r="HU8">
        <v>267</v>
      </c>
      <c r="HV8" s="16">
        <v>44158</v>
      </c>
      <c r="HW8">
        <v>22854</v>
      </c>
      <c r="HX8">
        <v>504</v>
      </c>
      <c r="HY8" s="16">
        <v>44159</v>
      </c>
      <c r="HZ8">
        <v>23322</v>
      </c>
      <c r="IA8">
        <v>468</v>
      </c>
      <c r="IB8" s="16">
        <v>44160</v>
      </c>
      <c r="IC8">
        <v>23934</v>
      </c>
      <c r="ID8">
        <v>613</v>
      </c>
      <c r="IE8" s="16">
        <v>44161</v>
      </c>
      <c r="IF8">
        <v>24445</v>
      </c>
      <c r="IG8">
        <v>510</v>
      </c>
      <c r="IH8" s="16">
        <v>44162</v>
      </c>
      <c r="II8">
        <v>24899</v>
      </c>
      <c r="IJ8">
        <v>455</v>
      </c>
      <c r="IK8" s="16">
        <v>44163</v>
      </c>
      <c r="IL8">
        <v>25185</v>
      </c>
      <c r="IM8">
        <v>285</v>
      </c>
      <c r="IN8" s="16">
        <v>44164</v>
      </c>
      <c r="IO8">
        <v>25478</v>
      </c>
      <c r="IP8">
        <v>293</v>
      </c>
      <c r="IQ8" s="16">
        <v>44165</v>
      </c>
      <c r="IR8">
        <v>26074</v>
      </c>
      <c r="IS8">
        <v>596</v>
      </c>
      <c r="IT8" s="16">
        <v>44166</v>
      </c>
      <c r="IU8">
        <v>26514</v>
      </c>
      <c r="IV8">
        <v>440</v>
      </c>
      <c r="IW8" s="16">
        <v>44167</v>
      </c>
      <c r="IX8">
        <v>27008</v>
      </c>
      <c r="IY8">
        <v>494</v>
      </c>
      <c r="IZ8" s="16">
        <v>44168</v>
      </c>
      <c r="JA8">
        <v>27485</v>
      </c>
      <c r="JB8">
        <v>477</v>
      </c>
      <c r="JC8" s="16">
        <v>44172</v>
      </c>
      <c r="JD8">
        <v>29084</v>
      </c>
      <c r="JE8">
        <v>588</v>
      </c>
      <c r="JF8" s="16">
        <v>44176</v>
      </c>
      <c r="JG8">
        <v>30877</v>
      </c>
      <c r="JH8">
        <v>444</v>
      </c>
      <c r="JI8" s="16">
        <v>44177</v>
      </c>
      <c r="JJ8">
        <v>31166</v>
      </c>
      <c r="JK8">
        <v>250</v>
      </c>
      <c r="JL8" s="16">
        <v>44178</v>
      </c>
      <c r="JM8">
        <v>31434</v>
      </c>
      <c r="JN8">
        <v>276</v>
      </c>
      <c r="JO8" s="16">
        <v>44179</v>
      </c>
      <c r="JP8">
        <v>31889</v>
      </c>
      <c r="JQ8">
        <v>463</v>
      </c>
      <c r="JR8" s="16">
        <v>44181</v>
      </c>
      <c r="JS8">
        <v>32602</v>
      </c>
      <c r="JT8">
        <v>350</v>
      </c>
      <c r="JU8" s="16">
        <v>44181</v>
      </c>
      <c r="JV8">
        <v>32603</v>
      </c>
      <c r="JW8">
        <v>350</v>
      </c>
      <c r="JX8" s="16">
        <v>44183</v>
      </c>
      <c r="JY8">
        <v>33312</v>
      </c>
      <c r="JZ8">
        <v>395</v>
      </c>
      <c r="KA8" s="16">
        <v>44195</v>
      </c>
      <c r="KB8">
        <v>36393</v>
      </c>
      <c r="KC8">
        <v>255</v>
      </c>
      <c r="KD8" s="16">
        <v>44195</v>
      </c>
      <c r="KE8">
        <v>36401</v>
      </c>
      <c r="KF8">
        <v>255</v>
      </c>
      <c r="KG8" s="16">
        <v>44196</v>
      </c>
      <c r="KH8">
        <v>36646</v>
      </c>
      <c r="KI8">
        <v>253</v>
      </c>
      <c r="KJ8" s="16">
        <v>44198</v>
      </c>
      <c r="KK8">
        <v>36979</v>
      </c>
      <c r="KL8">
        <v>205</v>
      </c>
      <c r="KM8" s="16">
        <v>44199</v>
      </c>
      <c r="KN8">
        <v>37154</v>
      </c>
      <c r="KO8">
        <v>171</v>
      </c>
      <c r="KP8" s="16">
        <v>44203</v>
      </c>
      <c r="KQ8">
        <v>38352</v>
      </c>
      <c r="KR8">
        <v>331</v>
      </c>
      <c r="KS8" s="16">
        <v>44204</v>
      </c>
      <c r="KT8">
        <v>38608</v>
      </c>
      <c r="KU8">
        <v>252</v>
      </c>
      <c r="KV8" s="16">
        <v>44205</v>
      </c>
      <c r="KW8">
        <v>38801</v>
      </c>
      <c r="KX8">
        <v>193</v>
      </c>
      <c r="KY8" s="16">
        <v>44207</v>
      </c>
      <c r="KZ8">
        <v>39371</v>
      </c>
      <c r="LA8">
        <v>386</v>
      </c>
      <c r="LB8" s="16">
        <v>44208</v>
      </c>
      <c r="LC8">
        <v>39605</v>
      </c>
      <c r="LD8">
        <v>226</v>
      </c>
      <c r="LE8" s="16">
        <v>44209</v>
      </c>
      <c r="LF8">
        <v>39863</v>
      </c>
      <c r="LG8">
        <v>258</v>
      </c>
      <c r="LH8" s="16">
        <v>44211</v>
      </c>
      <c r="LI8">
        <v>40347</v>
      </c>
      <c r="LJ8">
        <v>265</v>
      </c>
      <c r="LK8" s="16">
        <v>44211</v>
      </c>
      <c r="LL8">
        <v>40345</v>
      </c>
      <c r="LM8">
        <v>265</v>
      </c>
      <c r="LN8" s="16">
        <v>44213</v>
      </c>
      <c r="LO8">
        <v>40734</v>
      </c>
      <c r="LP8">
        <v>195</v>
      </c>
      <c r="LQ8" s="16">
        <v>44214</v>
      </c>
      <c r="LR8">
        <v>41179</v>
      </c>
      <c r="LS8">
        <v>447</v>
      </c>
      <c r="LT8" s="16">
        <v>44215</v>
      </c>
      <c r="LU8">
        <v>41523</v>
      </c>
      <c r="LV8">
        <v>343</v>
      </c>
      <c r="LW8" s="16">
        <v>44216</v>
      </c>
      <c r="LX8">
        <v>41936</v>
      </c>
      <c r="LY8">
        <v>406</v>
      </c>
      <c r="LZ8" s="16">
        <v>44217</v>
      </c>
      <c r="MA8">
        <v>42303</v>
      </c>
      <c r="MB8">
        <v>376</v>
      </c>
      <c r="MC8" s="16">
        <v>44218</v>
      </c>
      <c r="MD8">
        <v>42673</v>
      </c>
      <c r="ME8">
        <v>360</v>
      </c>
      <c r="MF8" s="16">
        <v>44220</v>
      </c>
      <c r="MG8">
        <v>43087</v>
      </c>
      <c r="MH8">
        <v>244</v>
      </c>
      <c r="MI8" s="16">
        <v>44220</v>
      </c>
      <c r="MJ8">
        <v>43087</v>
      </c>
      <c r="MK8">
        <v>244</v>
      </c>
      <c r="ML8" s="16">
        <v>44221</v>
      </c>
      <c r="MM8">
        <v>43690</v>
      </c>
      <c r="MN8">
        <v>604</v>
      </c>
      <c r="MO8" s="16">
        <v>44222</v>
      </c>
      <c r="MP8">
        <v>44088</v>
      </c>
      <c r="MQ8">
        <v>399</v>
      </c>
      <c r="MR8" s="16">
        <v>44223</v>
      </c>
      <c r="MS8">
        <v>44473</v>
      </c>
      <c r="MT8">
        <v>383</v>
      </c>
      <c r="MU8" s="16">
        <v>44224</v>
      </c>
      <c r="MV8">
        <v>44907</v>
      </c>
      <c r="MW8">
        <v>436</v>
      </c>
      <c r="MX8" s="16">
        <v>44225</v>
      </c>
      <c r="MY8">
        <v>45281</v>
      </c>
      <c r="MZ8">
        <v>375</v>
      </c>
      <c r="NA8" s="16">
        <v>44225</v>
      </c>
      <c r="NB8">
        <v>45282</v>
      </c>
      <c r="NC8">
        <v>375</v>
      </c>
      <c r="ND8" s="16">
        <v>44228</v>
      </c>
      <c r="NE8">
        <v>46320</v>
      </c>
      <c r="NF8">
        <v>531</v>
      </c>
      <c r="NG8" s="16">
        <v>44228</v>
      </c>
      <c r="NH8">
        <v>46319</v>
      </c>
      <c r="NI8">
        <v>531</v>
      </c>
      <c r="NJ8" s="16">
        <v>44230</v>
      </c>
      <c r="NK8">
        <v>47155</v>
      </c>
      <c r="NL8">
        <v>441</v>
      </c>
      <c r="NM8" s="16">
        <v>44230</v>
      </c>
      <c r="NN8">
        <v>47155</v>
      </c>
      <c r="NO8">
        <v>441</v>
      </c>
      <c r="NP8" s="16">
        <v>44232</v>
      </c>
      <c r="NQ8">
        <v>47889</v>
      </c>
      <c r="NR8">
        <v>365</v>
      </c>
      <c r="NS8" s="16">
        <v>44233</v>
      </c>
      <c r="NT8">
        <v>48128</v>
      </c>
      <c r="NU8">
        <v>239</v>
      </c>
      <c r="NV8" s="16">
        <v>44234</v>
      </c>
      <c r="NW8">
        <v>48389</v>
      </c>
      <c r="NX8">
        <v>263</v>
      </c>
      <c r="NY8" s="16">
        <v>44235</v>
      </c>
      <c r="NZ8">
        <v>48849</v>
      </c>
      <c r="OA8">
        <v>459</v>
      </c>
      <c r="OB8" s="16">
        <v>44236</v>
      </c>
      <c r="OC8">
        <v>49221</v>
      </c>
      <c r="OD8">
        <v>371</v>
      </c>
      <c r="OE8" s="16">
        <v>44237</v>
      </c>
      <c r="OF8">
        <v>49603</v>
      </c>
      <c r="OG8">
        <v>382</v>
      </c>
      <c r="OH8" s="16">
        <v>44238</v>
      </c>
      <c r="OI8">
        <v>49960</v>
      </c>
      <c r="OJ8">
        <v>357</v>
      </c>
      <c r="OK8" s="16">
        <v>44239</v>
      </c>
      <c r="OL8">
        <v>50378</v>
      </c>
      <c r="OM8">
        <v>418</v>
      </c>
      <c r="ON8" s="16">
        <v>44240</v>
      </c>
      <c r="OO8">
        <v>50654</v>
      </c>
      <c r="OP8">
        <v>277</v>
      </c>
      <c r="OQ8" s="16">
        <v>44241</v>
      </c>
      <c r="OR8">
        <v>50935</v>
      </c>
      <c r="OS8">
        <v>281</v>
      </c>
      <c r="OT8" s="16">
        <v>44242</v>
      </c>
      <c r="OU8">
        <v>51552</v>
      </c>
      <c r="OV8">
        <v>616</v>
      </c>
      <c r="OW8" s="16">
        <v>44243</v>
      </c>
      <c r="OX8">
        <v>52064</v>
      </c>
      <c r="OY8">
        <v>513</v>
      </c>
      <c r="OZ8" s="16">
        <v>44244</v>
      </c>
      <c r="PA8">
        <v>52616</v>
      </c>
      <c r="PB8">
        <v>550</v>
      </c>
      <c r="PC8" s="16">
        <v>44245</v>
      </c>
      <c r="PD8">
        <v>53226</v>
      </c>
      <c r="PE8">
        <v>611</v>
      </c>
      <c r="PF8" s="16">
        <v>44246</v>
      </c>
      <c r="PG8">
        <v>53799</v>
      </c>
      <c r="PH8">
        <v>573</v>
      </c>
      <c r="PI8" s="16">
        <v>44247</v>
      </c>
      <c r="PJ8">
        <v>54120</v>
      </c>
      <c r="PK8">
        <v>319</v>
      </c>
      <c r="PL8" s="16">
        <v>44248</v>
      </c>
      <c r="PM8">
        <v>54474</v>
      </c>
      <c r="PN8">
        <v>355</v>
      </c>
      <c r="PO8" s="16">
        <v>44249</v>
      </c>
      <c r="PP8">
        <v>55098</v>
      </c>
      <c r="PQ8">
        <v>624</v>
      </c>
      <c r="PR8" s="16">
        <v>44250</v>
      </c>
      <c r="PS8">
        <v>55723</v>
      </c>
      <c r="PT8">
        <v>625</v>
      </c>
      <c r="PU8" s="16">
        <v>44251</v>
      </c>
      <c r="PV8">
        <v>56321</v>
      </c>
      <c r="PW8">
        <v>599</v>
      </c>
      <c r="PX8" s="16">
        <v>44252</v>
      </c>
      <c r="PY8">
        <v>56938</v>
      </c>
      <c r="PZ8">
        <v>618</v>
      </c>
      <c r="QA8" s="16">
        <v>44253</v>
      </c>
      <c r="QB8">
        <v>57631</v>
      </c>
      <c r="QC8">
        <v>691</v>
      </c>
      <c r="QD8" s="16">
        <v>44254</v>
      </c>
      <c r="QE8">
        <v>58034</v>
      </c>
      <c r="QF8">
        <v>400</v>
      </c>
      <c r="QG8" s="16">
        <v>44255</v>
      </c>
      <c r="QH8">
        <v>58453</v>
      </c>
      <c r="QI8">
        <v>418</v>
      </c>
      <c r="QJ8" s="16">
        <v>44256</v>
      </c>
      <c r="QK8">
        <v>59326</v>
      </c>
      <c r="QL8">
        <v>870</v>
      </c>
      <c r="QM8" s="16">
        <v>44257</v>
      </c>
      <c r="QN8">
        <v>60083</v>
      </c>
      <c r="QO8">
        <v>757</v>
      </c>
      <c r="QP8" s="16">
        <v>44258</v>
      </c>
      <c r="QQ8">
        <v>60814</v>
      </c>
      <c r="QR8">
        <v>731</v>
      </c>
      <c r="QS8" s="16">
        <v>44259</v>
      </c>
      <c r="QT8">
        <v>61454</v>
      </c>
      <c r="QU8">
        <v>639</v>
      </c>
      <c r="QV8" s="16">
        <v>44260</v>
      </c>
      <c r="QW8">
        <v>62083</v>
      </c>
      <c r="QX8">
        <v>629</v>
      </c>
      <c r="QY8" s="16">
        <v>44261</v>
      </c>
      <c r="QZ8">
        <v>62510</v>
      </c>
      <c r="RA8">
        <v>431</v>
      </c>
      <c r="RB8" s="16">
        <v>44262</v>
      </c>
      <c r="RC8">
        <v>62907</v>
      </c>
      <c r="RD8">
        <v>396</v>
      </c>
      <c r="RE8" s="16">
        <v>44263</v>
      </c>
      <c r="RF8">
        <v>63739</v>
      </c>
      <c r="RG8">
        <v>833</v>
      </c>
      <c r="RH8" s="16">
        <v>44264</v>
      </c>
      <c r="RI8">
        <v>64513</v>
      </c>
      <c r="RJ8">
        <v>774</v>
      </c>
      <c r="RK8" s="16">
        <v>44265</v>
      </c>
      <c r="RL8">
        <v>65329</v>
      </c>
      <c r="RM8">
        <v>817</v>
      </c>
      <c r="RN8" s="16">
        <v>44267</v>
      </c>
      <c r="RO8">
        <v>66915</v>
      </c>
      <c r="RP8">
        <v>809</v>
      </c>
      <c r="RQ8" s="16">
        <v>44268</v>
      </c>
      <c r="RR8">
        <v>67406</v>
      </c>
      <c r="RS8">
        <v>491</v>
      </c>
      <c r="RT8">
        <v>44269</v>
      </c>
      <c r="RU8">
        <v>67840</v>
      </c>
      <c r="RV8">
        <v>434</v>
      </c>
      <c r="RW8">
        <v>44270</v>
      </c>
      <c r="RX8">
        <v>68731</v>
      </c>
      <c r="RY8">
        <v>891</v>
      </c>
      <c r="RZ8">
        <v>44271</v>
      </c>
      <c r="SA8">
        <v>69494</v>
      </c>
      <c r="SB8">
        <v>763</v>
      </c>
      <c r="SC8">
        <v>44272</v>
      </c>
      <c r="SD8">
        <v>70237</v>
      </c>
      <c r="SE8">
        <v>743</v>
      </c>
      <c r="SF8">
        <v>44273</v>
      </c>
      <c r="SG8">
        <v>70975</v>
      </c>
      <c r="SH8">
        <v>736</v>
      </c>
      <c r="SI8">
        <v>44274</v>
      </c>
      <c r="SJ8">
        <v>71719</v>
      </c>
      <c r="SK8">
        <v>744</v>
      </c>
      <c r="SL8">
        <v>44276</v>
      </c>
      <c r="SM8">
        <v>72540</v>
      </c>
      <c r="SN8">
        <v>417</v>
      </c>
      <c r="SO8">
        <v>44277</v>
      </c>
      <c r="SP8">
        <v>73324</v>
      </c>
      <c r="SQ8">
        <v>766</v>
      </c>
      <c r="SR8">
        <v>44278</v>
      </c>
      <c r="SS8">
        <v>74030</v>
      </c>
      <c r="ST8">
        <v>703</v>
      </c>
      <c r="SU8">
        <v>44279</v>
      </c>
      <c r="SV8">
        <v>74723</v>
      </c>
      <c r="SW8">
        <v>693</v>
      </c>
      <c r="SX8">
        <v>44281</v>
      </c>
      <c r="SY8">
        <v>76018</v>
      </c>
      <c r="SZ8">
        <v>687</v>
      </c>
      <c r="TA8">
        <v>44282</v>
      </c>
      <c r="TB8">
        <v>76371</v>
      </c>
      <c r="TC8">
        <v>351</v>
      </c>
      <c r="TD8">
        <v>44284</v>
      </c>
      <c r="TE8">
        <v>77393</v>
      </c>
      <c r="TF8">
        <v>653</v>
      </c>
      <c r="TG8">
        <v>44285</v>
      </c>
      <c r="TH8">
        <v>77965</v>
      </c>
      <c r="TI8">
        <v>568</v>
      </c>
      <c r="TJ8">
        <v>44286</v>
      </c>
      <c r="TK8">
        <v>78516</v>
      </c>
      <c r="TL8">
        <v>550</v>
      </c>
      <c r="TM8">
        <v>44287</v>
      </c>
      <c r="TN8">
        <v>79003</v>
      </c>
      <c r="TO8">
        <v>487</v>
      </c>
      <c r="TP8">
        <v>44289</v>
      </c>
      <c r="TQ8">
        <v>79687</v>
      </c>
      <c r="TR8">
        <v>319</v>
      </c>
      <c r="TS8">
        <v>44290</v>
      </c>
      <c r="TT8">
        <v>80010</v>
      </c>
      <c r="TU8">
        <v>320</v>
      </c>
      <c r="TV8">
        <v>44290</v>
      </c>
      <c r="TW8">
        <v>80016</v>
      </c>
      <c r="TX8">
        <v>320</v>
      </c>
      <c r="TY8">
        <v>44291</v>
      </c>
      <c r="TZ8">
        <v>80375</v>
      </c>
      <c r="UA8">
        <v>359</v>
      </c>
      <c r="UB8">
        <v>44293</v>
      </c>
      <c r="UC8">
        <v>81344</v>
      </c>
      <c r="UD8">
        <v>425</v>
      </c>
      <c r="UE8">
        <v>44293</v>
      </c>
      <c r="UF8">
        <v>81344</v>
      </c>
      <c r="UG8">
        <v>425</v>
      </c>
      <c r="UH8">
        <v>44294</v>
      </c>
      <c r="UI8">
        <v>81749</v>
      </c>
      <c r="UJ8">
        <v>403</v>
      </c>
      <c r="UK8">
        <v>44295</v>
      </c>
      <c r="UL8">
        <v>82098</v>
      </c>
      <c r="UM8">
        <v>348</v>
      </c>
      <c r="UN8">
        <v>44299</v>
      </c>
      <c r="UO8">
        <v>83291</v>
      </c>
      <c r="UP8">
        <v>325</v>
      </c>
      <c r="UQ8">
        <v>44300</v>
      </c>
      <c r="UR8">
        <v>83638</v>
      </c>
      <c r="US8">
        <v>345</v>
      </c>
      <c r="UT8">
        <v>44301</v>
      </c>
      <c r="UU8">
        <v>83913</v>
      </c>
      <c r="UV8">
        <v>274</v>
      </c>
      <c r="UW8">
        <v>44302</v>
      </c>
      <c r="UX8">
        <v>84179</v>
      </c>
      <c r="UY8">
        <v>264</v>
      </c>
      <c r="UZ8">
        <v>44304</v>
      </c>
      <c r="VA8">
        <v>84509</v>
      </c>
      <c r="VB8">
        <v>155</v>
      </c>
      <c r="VC8">
        <v>44304</v>
      </c>
      <c r="VD8">
        <v>84507</v>
      </c>
      <c r="VE8">
        <v>155</v>
      </c>
      <c r="VF8">
        <v>44305</v>
      </c>
      <c r="VG8">
        <v>84791</v>
      </c>
      <c r="VH8">
        <v>283</v>
      </c>
      <c r="VI8">
        <v>44307</v>
      </c>
      <c r="VJ8">
        <v>85309</v>
      </c>
      <c r="VK8">
        <v>233</v>
      </c>
      <c r="VL8">
        <v>44307</v>
      </c>
      <c r="VM8">
        <v>85309</v>
      </c>
      <c r="VN8">
        <v>233</v>
      </c>
      <c r="VO8">
        <v>44308</v>
      </c>
      <c r="VP8">
        <v>85567</v>
      </c>
      <c r="VQ8">
        <v>258</v>
      </c>
      <c r="VR8">
        <v>44309</v>
      </c>
      <c r="VS8">
        <v>85821</v>
      </c>
      <c r="VT8">
        <v>255</v>
      </c>
      <c r="VU8">
        <v>44311</v>
      </c>
      <c r="VV8">
        <v>86118</v>
      </c>
      <c r="VW8">
        <v>140</v>
      </c>
      <c r="VX8">
        <v>44311</v>
      </c>
      <c r="VY8">
        <v>86120</v>
      </c>
      <c r="VZ8">
        <v>140</v>
      </c>
      <c r="WA8">
        <v>44312</v>
      </c>
      <c r="WB8">
        <v>86367</v>
      </c>
      <c r="WC8">
        <v>243</v>
      </c>
      <c r="WD8">
        <v>44313</v>
      </c>
      <c r="WE8">
        <v>86595</v>
      </c>
      <c r="WF8">
        <v>228</v>
      </c>
      <c r="WG8">
        <v>44314</v>
      </c>
      <c r="WH8">
        <v>86868</v>
      </c>
      <c r="WI8">
        <v>273</v>
      </c>
      <c r="WJ8">
        <v>44316</v>
      </c>
      <c r="WK8">
        <v>87265</v>
      </c>
      <c r="WL8">
        <v>195</v>
      </c>
      <c r="WM8">
        <v>44316</v>
      </c>
      <c r="WN8">
        <v>87266</v>
      </c>
      <c r="WO8">
        <v>195</v>
      </c>
      <c r="WP8">
        <v>44319</v>
      </c>
      <c r="WQ8">
        <v>87828</v>
      </c>
      <c r="WR8">
        <v>318</v>
      </c>
      <c r="WS8">
        <v>44320</v>
      </c>
      <c r="WT8">
        <v>88033</v>
      </c>
      <c r="WU8">
        <v>205</v>
      </c>
      <c r="WV8">
        <v>44321</v>
      </c>
      <c r="WW8">
        <v>88301</v>
      </c>
      <c r="WX8">
        <v>266</v>
      </c>
      <c r="WY8">
        <v>44322</v>
      </c>
      <c r="WZ8">
        <v>88538</v>
      </c>
      <c r="XA8">
        <v>234</v>
      </c>
      <c r="XB8">
        <v>44323</v>
      </c>
      <c r="XC8">
        <v>88753</v>
      </c>
      <c r="XD8">
        <v>214</v>
      </c>
      <c r="XE8">
        <v>44325</v>
      </c>
      <c r="XF8">
        <v>89014</v>
      </c>
      <c r="XG8">
        <v>130</v>
      </c>
      <c r="XH8">
        <v>44325</v>
      </c>
      <c r="XI8">
        <v>89020</v>
      </c>
      <c r="XJ8">
        <v>130</v>
      </c>
      <c r="XK8">
        <v>44326</v>
      </c>
      <c r="XL8">
        <v>89278</v>
      </c>
      <c r="XM8">
        <v>258</v>
      </c>
      <c r="XN8">
        <v>44327</v>
      </c>
      <c r="XO8">
        <v>89492</v>
      </c>
      <c r="XP8">
        <v>214</v>
      </c>
      <c r="XQ8">
        <v>44328</v>
      </c>
      <c r="XR8">
        <v>89748</v>
      </c>
      <c r="XS8">
        <v>256</v>
      </c>
      <c r="XT8">
        <v>44329</v>
      </c>
      <c r="XU8">
        <v>89906</v>
      </c>
      <c r="XV8">
        <v>155</v>
      </c>
      <c r="XW8">
        <v>44330</v>
      </c>
      <c r="XX8">
        <v>90153</v>
      </c>
      <c r="XY8">
        <v>244</v>
      </c>
      <c r="XZ8">
        <v>44331</v>
      </c>
      <c r="YA8">
        <v>90314</v>
      </c>
      <c r="YB8">
        <v>160</v>
      </c>
      <c r="YC8">
        <v>44333</v>
      </c>
      <c r="YD8">
        <v>90733</v>
      </c>
      <c r="YE8">
        <v>284</v>
      </c>
      <c r="YF8">
        <v>44334</v>
      </c>
      <c r="YG8">
        <v>90951</v>
      </c>
      <c r="YH8">
        <v>216</v>
      </c>
      <c r="YI8">
        <v>44335</v>
      </c>
      <c r="YJ8">
        <v>91181</v>
      </c>
      <c r="YK8">
        <v>230</v>
      </c>
      <c r="YL8">
        <v>44336</v>
      </c>
      <c r="YM8">
        <v>91396</v>
      </c>
      <c r="YN8">
        <v>215</v>
      </c>
      <c r="YO8">
        <v>44337</v>
      </c>
      <c r="YP8">
        <v>91570</v>
      </c>
      <c r="YQ8">
        <v>170</v>
      </c>
      <c r="YR8">
        <v>44338</v>
      </c>
      <c r="YS8">
        <v>91678</v>
      </c>
      <c r="YT8">
        <v>108</v>
      </c>
      <c r="YU8">
        <v>44339</v>
      </c>
      <c r="YV8">
        <v>91779</v>
      </c>
      <c r="YW8">
        <v>93</v>
      </c>
    </row>
    <row r="9" spans="1:673">
      <c r="B9" t="str">
        <f t="shared" ca="1" si="2"/>
        <v>Ma 24</v>
      </c>
      <c r="C9" s="4">
        <f t="shared" ca="1" si="0"/>
        <v>44340</v>
      </c>
      <c r="D9" s="11">
        <f t="shared" ca="1" si="1"/>
        <v>91967</v>
      </c>
      <c r="E9">
        <f t="shared" ca="1" si="3"/>
        <v>188</v>
      </c>
      <c r="F9" s="11">
        <f t="shared" ca="1" si="4"/>
        <v>0</v>
      </c>
      <c r="G9" s="11">
        <f t="shared" ca="1" si="5"/>
        <v>188</v>
      </c>
      <c r="L9" s="3"/>
      <c r="N9" s="16">
        <v>44340</v>
      </c>
      <c r="O9">
        <v>91967</v>
      </c>
      <c r="P9">
        <v>188</v>
      </c>
      <c r="Q9" s="16">
        <v>44340</v>
      </c>
      <c r="R9">
        <v>91967</v>
      </c>
      <c r="S9">
        <v>188</v>
      </c>
      <c r="T9" s="16">
        <v>44087</v>
      </c>
      <c r="U9">
        <v>8775</v>
      </c>
      <c r="V9">
        <v>46</v>
      </c>
      <c r="W9" s="16">
        <v>44088</v>
      </c>
      <c r="X9">
        <v>8835</v>
      </c>
      <c r="Y9">
        <v>59</v>
      </c>
      <c r="Z9" s="16">
        <v>44089</v>
      </c>
      <c r="AA9">
        <v>8889</v>
      </c>
      <c r="AB9">
        <v>53</v>
      </c>
      <c r="AC9" s="16">
        <v>44090</v>
      </c>
      <c r="AD9">
        <v>8945</v>
      </c>
      <c r="AE9">
        <v>57</v>
      </c>
      <c r="AF9" s="16">
        <v>44091</v>
      </c>
      <c r="AG9">
        <v>9030</v>
      </c>
      <c r="AH9">
        <v>85</v>
      </c>
      <c r="AI9" s="16">
        <v>44092</v>
      </c>
      <c r="AJ9">
        <v>9107</v>
      </c>
      <c r="AK9">
        <v>76</v>
      </c>
      <c r="AL9" s="16">
        <v>44093</v>
      </c>
      <c r="AM9">
        <v>9167</v>
      </c>
      <c r="AN9">
        <v>61</v>
      </c>
      <c r="AO9" s="16">
        <v>44094</v>
      </c>
      <c r="AP9">
        <v>9240</v>
      </c>
      <c r="AQ9">
        <v>73</v>
      </c>
      <c r="AR9" s="16">
        <v>44095</v>
      </c>
      <c r="AS9">
        <v>9359</v>
      </c>
      <c r="AT9">
        <v>119</v>
      </c>
      <c r="AU9" s="16">
        <v>44096</v>
      </c>
      <c r="AV9">
        <v>9464</v>
      </c>
      <c r="AW9">
        <v>105</v>
      </c>
      <c r="AX9" s="16">
        <v>44097</v>
      </c>
      <c r="AY9">
        <v>9582</v>
      </c>
      <c r="AZ9">
        <v>118</v>
      </c>
      <c r="BA9" s="16">
        <v>44098</v>
      </c>
      <c r="BB9">
        <v>9679</v>
      </c>
      <c r="BC9">
        <v>97</v>
      </c>
      <c r="BD9" s="16">
        <v>44099</v>
      </c>
      <c r="BE9">
        <v>9806</v>
      </c>
      <c r="BF9">
        <v>127</v>
      </c>
      <c r="BG9" s="16">
        <v>44100</v>
      </c>
      <c r="BH9">
        <v>9877</v>
      </c>
      <c r="BI9">
        <v>73</v>
      </c>
      <c r="BJ9" s="16">
        <v>44101</v>
      </c>
      <c r="BK9">
        <v>9950</v>
      </c>
      <c r="BL9">
        <v>71</v>
      </c>
      <c r="BM9" s="16">
        <v>44102</v>
      </c>
      <c r="BN9">
        <v>10072</v>
      </c>
      <c r="BO9">
        <v>122</v>
      </c>
      <c r="BP9" s="16">
        <v>44103</v>
      </c>
      <c r="BQ9">
        <v>10205</v>
      </c>
      <c r="BR9">
        <v>133</v>
      </c>
      <c r="BS9" s="16">
        <v>44104</v>
      </c>
      <c r="BT9">
        <v>10371</v>
      </c>
      <c r="BU9">
        <v>165</v>
      </c>
      <c r="BV9" s="16">
        <v>44106</v>
      </c>
      <c r="BW9">
        <v>10747</v>
      </c>
      <c r="BX9">
        <v>188</v>
      </c>
      <c r="BY9" s="16">
        <v>44107</v>
      </c>
      <c r="BZ9">
        <v>10918</v>
      </c>
      <c r="CA9">
        <v>170</v>
      </c>
      <c r="CB9" s="16">
        <v>44108</v>
      </c>
      <c r="CC9">
        <v>11065</v>
      </c>
      <c r="CD9">
        <v>147</v>
      </c>
      <c r="CE9" s="16">
        <v>44109</v>
      </c>
      <c r="CF9">
        <v>11362</v>
      </c>
      <c r="CG9">
        <v>290</v>
      </c>
      <c r="CH9" s="16">
        <v>44110</v>
      </c>
      <c r="CI9">
        <v>11664</v>
      </c>
      <c r="CJ9">
        <v>301</v>
      </c>
      <c r="CK9" s="16">
        <v>44111</v>
      </c>
      <c r="CL9">
        <v>11970</v>
      </c>
      <c r="CM9">
        <v>306</v>
      </c>
      <c r="CN9" s="16">
        <v>44112</v>
      </c>
      <c r="CO9">
        <v>12230</v>
      </c>
      <c r="CP9">
        <v>260</v>
      </c>
      <c r="CQ9" s="16">
        <v>44113</v>
      </c>
      <c r="CR9">
        <v>12456</v>
      </c>
      <c r="CS9">
        <v>226</v>
      </c>
      <c r="CT9" s="16">
        <v>44114</v>
      </c>
      <c r="CU9">
        <v>12567</v>
      </c>
      <c r="CV9">
        <v>109</v>
      </c>
      <c r="CW9" s="16">
        <v>44115</v>
      </c>
      <c r="CX9">
        <v>12698</v>
      </c>
      <c r="CY9">
        <v>130</v>
      </c>
      <c r="CZ9" s="16">
        <v>44117</v>
      </c>
      <c r="DA9">
        <v>13147</v>
      </c>
      <c r="DB9">
        <v>197</v>
      </c>
      <c r="DC9" s="16">
        <v>44118</v>
      </c>
      <c r="DD9">
        <v>13347</v>
      </c>
      <c r="DE9">
        <v>200</v>
      </c>
      <c r="DF9" s="16">
        <v>44119</v>
      </c>
      <c r="DG9">
        <v>13538</v>
      </c>
      <c r="DH9">
        <v>191</v>
      </c>
      <c r="DI9" s="16">
        <v>44120</v>
      </c>
      <c r="DJ9">
        <v>13732</v>
      </c>
      <c r="DK9">
        <v>193</v>
      </c>
      <c r="DL9" s="16">
        <v>44121</v>
      </c>
      <c r="DM9">
        <v>13834</v>
      </c>
      <c r="DN9">
        <v>100</v>
      </c>
      <c r="DO9" s="16">
        <v>44122</v>
      </c>
      <c r="DP9">
        <v>13962</v>
      </c>
      <c r="DQ9">
        <v>128</v>
      </c>
      <c r="DR9" s="16">
        <v>44123</v>
      </c>
      <c r="DS9">
        <v>14207</v>
      </c>
      <c r="DT9">
        <v>244</v>
      </c>
      <c r="DU9" s="16">
        <v>44124</v>
      </c>
      <c r="DV9">
        <v>14370</v>
      </c>
      <c r="DW9">
        <v>163</v>
      </c>
      <c r="DX9" s="16">
        <v>44125</v>
      </c>
      <c r="DY9">
        <v>14560</v>
      </c>
      <c r="DZ9">
        <v>190</v>
      </c>
      <c r="EA9" s="16">
        <v>44126</v>
      </c>
      <c r="EB9">
        <v>14778</v>
      </c>
      <c r="EC9">
        <v>218</v>
      </c>
      <c r="ED9" s="16">
        <v>44127</v>
      </c>
      <c r="EE9">
        <v>14962</v>
      </c>
      <c r="EF9">
        <v>192</v>
      </c>
      <c r="EG9" s="16">
        <v>44128</v>
      </c>
      <c r="EH9">
        <v>15070</v>
      </c>
      <c r="EI9">
        <v>108</v>
      </c>
      <c r="EJ9" s="16">
        <v>44129</v>
      </c>
      <c r="EK9">
        <v>15193</v>
      </c>
      <c r="EL9">
        <v>123</v>
      </c>
      <c r="EM9" s="16">
        <v>44130</v>
      </c>
      <c r="EN9">
        <v>15449</v>
      </c>
      <c r="EO9">
        <v>256</v>
      </c>
      <c r="EP9" s="16">
        <v>44131</v>
      </c>
      <c r="EQ9">
        <v>15679</v>
      </c>
      <c r="ER9">
        <v>230</v>
      </c>
      <c r="ES9" s="16">
        <v>44132</v>
      </c>
      <c r="ET9">
        <v>15920</v>
      </c>
      <c r="EU9">
        <v>240</v>
      </c>
      <c r="EV9" s="16">
        <v>44133</v>
      </c>
      <c r="EW9">
        <v>16157</v>
      </c>
      <c r="EX9">
        <v>237</v>
      </c>
      <c r="EY9" s="16">
        <v>44134</v>
      </c>
      <c r="EZ9">
        <v>16376</v>
      </c>
      <c r="FA9">
        <v>219</v>
      </c>
      <c r="FB9" s="16">
        <v>44135</v>
      </c>
      <c r="FC9">
        <v>16496</v>
      </c>
      <c r="FD9">
        <v>121</v>
      </c>
      <c r="FE9" s="16">
        <v>44136</v>
      </c>
      <c r="FF9">
        <v>16601</v>
      </c>
      <c r="FG9">
        <v>150</v>
      </c>
      <c r="FH9" s="16">
        <v>44137</v>
      </c>
      <c r="FI9">
        <v>16933</v>
      </c>
      <c r="FJ9">
        <v>281</v>
      </c>
      <c r="FK9" s="16">
        <v>44138</v>
      </c>
      <c r="FL9">
        <v>17184</v>
      </c>
      <c r="FM9">
        <v>241</v>
      </c>
      <c r="FN9" s="16">
        <v>44139</v>
      </c>
      <c r="FO9">
        <v>17395</v>
      </c>
      <c r="FP9">
        <v>211</v>
      </c>
      <c r="FQ9" s="16">
        <v>44140</v>
      </c>
      <c r="FR9">
        <v>17617</v>
      </c>
      <c r="FS9">
        <v>222</v>
      </c>
      <c r="FT9" s="16">
        <v>44141</v>
      </c>
      <c r="FU9">
        <v>17835</v>
      </c>
      <c r="FV9">
        <v>195</v>
      </c>
      <c r="FW9" s="16">
        <v>44142</v>
      </c>
      <c r="FX9">
        <v>17965</v>
      </c>
      <c r="FY9">
        <v>128</v>
      </c>
      <c r="FZ9" s="16">
        <v>44143</v>
      </c>
      <c r="GA9">
        <v>18102</v>
      </c>
      <c r="GB9">
        <v>133</v>
      </c>
      <c r="GC9" s="16">
        <v>44144</v>
      </c>
      <c r="GD9">
        <v>18375</v>
      </c>
      <c r="GE9">
        <v>273</v>
      </c>
      <c r="GF9" s="16">
        <v>44145</v>
      </c>
      <c r="GG9">
        <v>18580</v>
      </c>
      <c r="GH9">
        <v>205</v>
      </c>
      <c r="GI9" s="16">
        <v>44146</v>
      </c>
      <c r="GJ9">
        <v>18872</v>
      </c>
      <c r="GK9">
        <v>292</v>
      </c>
      <c r="GL9" s="16">
        <v>44147</v>
      </c>
      <c r="GM9">
        <v>19154</v>
      </c>
      <c r="GN9">
        <v>282</v>
      </c>
      <c r="GO9" s="16">
        <v>44148</v>
      </c>
      <c r="GP9">
        <v>19419</v>
      </c>
      <c r="GQ9">
        <v>265</v>
      </c>
      <c r="GR9" s="16">
        <v>44149</v>
      </c>
      <c r="GS9">
        <v>19565</v>
      </c>
      <c r="GT9">
        <v>145</v>
      </c>
      <c r="GU9" s="16">
        <v>44150</v>
      </c>
      <c r="GV9">
        <v>19746</v>
      </c>
      <c r="GW9">
        <v>182</v>
      </c>
      <c r="GX9" s="16">
        <v>44151</v>
      </c>
      <c r="GY9">
        <v>20143</v>
      </c>
      <c r="GZ9">
        <v>391</v>
      </c>
      <c r="HA9" s="16">
        <v>44152</v>
      </c>
      <c r="HB9">
        <v>20536</v>
      </c>
      <c r="HC9">
        <v>391</v>
      </c>
      <c r="HD9" s="16">
        <v>44153</v>
      </c>
      <c r="HE9">
        <v>20906</v>
      </c>
      <c r="HF9">
        <v>371</v>
      </c>
      <c r="HG9" s="16">
        <v>44154</v>
      </c>
      <c r="HH9">
        <v>21384</v>
      </c>
      <c r="HI9">
        <v>478</v>
      </c>
      <c r="HJ9" s="16">
        <v>44155</v>
      </c>
      <c r="HK9">
        <v>21814</v>
      </c>
      <c r="HL9">
        <v>429</v>
      </c>
      <c r="HM9" s="16">
        <v>44156</v>
      </c>
      <c r="HN9">
        <v>22080</v>
      </c>
      <c r="HO9">
        <v>268</v>
      </c>
      <c r="HP9" s="16">
        <v>44157</v>
      </c>
      <c r="HQ9">
        <v>22350</v>
      </c>
      <c r="HR9">
        <v>267</v>
      </c>
      <c r="HS9" s="16">
        <v>44158</v>
      </c>
      <c r="HT9">
        <v>22853</v>
      </c>
      <c r="HU9">
        <v>504</v>
      </c>
      <c r="HV9" s="16">
        <v>44159</v>
      </c>
      <c r="HW9">
        <v>23322</v>
      </c>
      <c r="HX9">
        <v>468</v>
      </c>
      <c r="HY9" s="16">
        <v>44160</v>
      </c>
      <c r="HZ9">
        <v>23935</v>
      </c>
      <c r="IA9">
        <v>613</v>
      </c>
      <c r="IB9" s="16">
        <v>44161</v>
      </c>
      <c r="IC9">
        <v>24444</v>
      </c>
      <c r="ID9">
        <v>510</v>
      </c>
      <c r="IE9" s="16">
        <v>44162</v>
      </c>
      <c r="IF9">
        <v>24900</v>
      </c>
      <c r="IG9">
        <v>455</v>
      </c>
      <c r="IH9" s="16">
        <v>44163</v>
      </c>
      <c r="II9">
        <v>25184</v>
      </c>
      <c r="IJ9">
        <v>285</v>
      </c>
      <c r="IK9" s="16">
        <v>44164</v>
      </c>
      <c r="IL9">
        <v>25478</v>
      </c>
      <c r="IM9">
        <v>293</v>
      </c>
      <c r="IN9" s="16">
        <v>44165</v>
      </c>
      <c r="IO9">
        <v>26074</v>
      </c>
      <c r="IP9">
        <v>596</v>
      </c>
      <c r="IQ9" s="16">
        <v>44166</v>
      </c>
      <c r="IR9">
        <v>26514</v>
      </c>
      <c r="IS9">
        <v>440</v>
      </c>
      <c r="IT9" s="16">
        <v>44167</v>
      </c>
      <c r="IU9">
        <v>27008</v>
      </c>
      <c r="IV9">
        <v>494</v>
      </c>
      <c r="IW9" s="16">
        <v>44168</v>
      </c>
      <c r="IX9">
        <v>27485</v>
      </c>
      <c r="IY9">
        <v>477</v>
      </c>
      <c r="IZ9" s="16">
        <v>44169</v>
      </c>
      <c r="JA9">
        <v>27958</v>
      </c>
      <c r="JB9">
        <v>473</v>
      </c>
      <c r="JC9" s="16">
        <v>44173</v>
      </c>
      <c r="JD9">
        <v>29562</v>
      </c>
      <c r="JE9">
        <v>478</v>
      </c>
      <c r="JF9" s="16">
        <v>44177</v>
      </c>
      <c r="JG9">
        <v>31127</v>
      </c>
      <c r="JH9">
        <v>250</v>
      </c>
      <c r="JI9" s="16">
        <v>44178</v>
      </c>
      <c r="JJ9">
        <v>31442</v>
      </c>
      <c r="JK9">
        <v>276</v>
      </c>
      <c r="JL9" s="16">
        <v>44179</v>
      </c>
      <c r="JM9">
        <v>31897</v>
      </c>
      <c r="JN9">
        <v>463</v>
      </c>
      <c r="JO9" s="16">
        <v>44180</v>
      </c>
      <c r="JP9">
        <v>32247</v>
      </c>
      <c r="JQ9">
        <v>358</v>
      </c>
      <c r="JR9" s="16">
        <v>44182</v>
      </c>
      <c r="JS9">
        <v>32921</v>
      </c>
      <c r="JT9">
        <v>319</v>
      </c>
      <c r="JU9" s="16">
        <v>44182</v>
      </c>
      <c r="JV9">
        <v>32922</v>
      </c>
      <c r="JW9">
        <v>319</v>
      </c>
      <c r="JX9" s="16">
        <v>44184</v>
      </c>
      <c r="JY9">
        <v>33502</v>
      </c>
      <c r="JZ9">
        <v>190</v>
      </c>
      <c r="KA9" s="16">
        <v>44196</v>
      </c>
      <c r="KB9">
        <v>36646</v>
      </c>
      <c r="KC9">
        <v>253</v>
      </c>
      <c r="KD9" s="16">
        <v>44196</v>
      </c>
      <c r="KE9">
        <v>36654</v>
      </c>
      <c r="KF9">
        <v>253</v>
      </c>
      <c r="KG9" s="16">
        <v>44197</v>
      </c>
      <c r="KH9">
        <v>36775</v>
      </c>
      <c r="KI9">
        <v>129</v>
      </c>
      <c r="KJ9" s="16">
        <v>44199</v>
      </c>
      <c r="KK9">
        <v>37150</v>
      </c>
      <c r="KL9">
        <v>171</v>
      </c>
      <c r="KM9" s="16">
        <v>44200</v>
      </c>
      <c r="KN9">
        <v>37549</v>
      </c>
      <c r="KO9">
        <v>395</v>
      </c>
      <c r="KP9" s="16">
        <v>44204</v>
      </c>
      <c r="KQ9">
        <v>38604</v>
      </c>
      <c r="KR9">
        <v>252</v>
      </c>
      <c r="KS9" s="16">
        <v>44205</v>
      </c>
      <c r="KT9">
        <v>38801</v>
      </c>
      <c r="KU9">
        <v>193</v>
      </c>
      <c r="KV9" s="16">
        <v>44206</v>
      </c>
      <c r="KW9">
        <v>38985</v>
      </c>
      <c r="KX9">
        <v>184</v>
      </c>
      <c r="KY9" s="16">
        <v>44208</v>
      </c>
      <c r="KZ9">
        <v>39596</v>
      </c>
      <c r="LA9">
        <v>225</v>
      </c>
      <c r="LB9" s="16">
        <v>44209</v>
      </c>
      <c r="LC9">
        <v>39863</v>
      </c>
      <c r="LD9">
        <v>258</v>
      </c>
      <c r="LE9" s="16">
        <v>44210</v>
      </c>
      <c r="LF9">
        <v>40112</v>
      </c>
      <c r="LG9">
        <v>249</v>
      </c>
      <c r="LH9" s="16">
        <v>44212</v>
      </c>
      <c r="LI9">
        <v>40515</v>
      </c>
      <c r="LJ9">
        <v>168</v>
      </c>
      <c r="LK9" s="16">
        <v>44212</v>
      </c>
      <c r="LL9">
        <v>40513</v>
      </c>
      <c r="LM9">
        <v>168</v>
      </c>
      <c r="LN9" s="16">
        <v>44214</v>
      </c>
      <c r="LO9">
        <v>41181</v>
      </c>
      <c r="LP9">
        <v>447</v>
      </c>
      <c r="LQ9" s="16">
        <v>44215</v>
      </c>
      <c r="LR9">
        <v>41522</v>
      </c>
      <c r="LS9">
        <v>343</v>
      </c>
      <c r="LT9" s="16">
        <v>44216</v>
      </c>
      <c r="LU9">
        <v>41929</v>
      </c>
      <c r="LV9">
        <v>406</v>
      </c>
      <c r="LW9" s="16">
        <v>44217</v>
      </c>
      <c r="LX9">
        <v>42312</v>
      </c>
      <c r="LY9">
        <v>376</v>
      </c>
      <c r="LZ9" s="16">
        <v>44218</v>
      </c>
      <c r="MA9">
        <v>42663</v>
      </c>
      <c r="MB9">
        <v>360</v>
      </c>
      <c r="MC9" s="16">
        <v>44219</v>
      </c>
      <c r="MD9">
        <v>42841</v>
      </c>
      <c r="ME9">
        <v>168</v>
      </c>
      <c r="MF9" s="16">
        <v>44221</v>
      </c>
      <c r="MG9">
        <v>43691</v>
      </c>
      <c r="MH9">
        <v>604</v>
      </c>
      <c r="MI9" s="16">
        <v>44221</v>
      </c>
      <c r="MJ9">
        <v>43692</v>
      </c>
      <c r="MK9">
        <v>605</v>
      </c>
      <c r="ML9" s="16">
        <v>44222</v>
      </c>
      <c r="MM9">
        <v>44089</v>
      </c>
      <c r="MN9">
        <v>399</v>
      </c>
      <c r="MO9" s="16">
        <v>44223</v>
      </c>
      <c r="MP9">
        <v>44471</v>
      </c>
      <c r="MQ9">
        <v>383</v>
      </c>
      <c r="MR9" s="16">
        <v>44224</v>
      </c>
      <c r="MS9">
        <v>44909</v>
      </c>
      <c r="MT9">
        <v>436</v>
      </c>
      <c r="MU9" s="16">
        <v>44225</v>
      </c>
      <c r="MV9">
        <v>45282</v>
      </c>
      <c r="MW9">
        <v>375</v>
      </c>
      <c r="MX9" s="16">
        <v>44226</v>
      </c>
      <c r="MY9">
        <v>45513</v>
      </c>
      <c r="MZ9">
        <v>232</v>
      </c>
      <c r="NA9" s="16">
        <v>44226</v>
      </c>
      <c r="NB9">
        <v>45514</v>
      </c>
      <c r="NC9">
        <v>232</v>
      </c>
      <c r="ND9" s="16">
        <v>44229</v>
      </c>
      <c r="NE9">
        <v>46715</v>
      </c>
      <c r="NF9">
        <v>395</v>
      </c>
      <c r="NG9" s="16">
        <v>44229</v>
      </c>
      <c r="NH9">
        <v>46714</v>
      </c>
      <c r="NI9">
        <v>395</v>
      </c>
      <c r="NJ9" s="16">
        <v>44231</v>
      </c>
      <c r="NK9">
        <v>47524</v>
      </c>
      <c r="NL9">
        <v>369</v>
      </c>
      <c r="NM9" s="16">
        <v>44231</v>
      </c>
      <c r="NN9">
        <v>47524</v>
      </c>
      <c r="NO9">
        <v>369</v>
      </c>
      <c r="NP9" s="16">
        <v>44233</v>
      </c>
      <c r="NQ9">
        <v>48128</v>
      </c>
      <c r="NR9">
        <v>239</v>
      </c>
      <c r="NS9" s="16">
        <v>44234</v>
      </c>
      <c r="NT9">
        <v>48391</v>
      </c>
      <c r="NU9">
        <v>263</v>
      </c>
      <c r="NV9" s="16">
        <v>44235</v>
      </c>
      <c r="NW9">
        <v>48848</v>
      </c>
      <c r="NX9">
        <v>459</v>
      </c>
      <c r="NY9" s="16">
        <v>44236</v>
      </c>
      <c r="NZ9">
        <v>49220</v>
      </c>
      <c r="OA9">
        <v>371</v>
      </c>
      <c r="OB9" s="16">
        <v>44237</v>
      </c>
      <c r="OC9">
        <v>49603</v>
      </c>
      <c r="OD9">
        <v>382</v>
      </c>
      <c r="OE9" s="16">
        <v>44238</v>
      </c>
      <c r="OF9">
        <v>49961</v>
      </c>
      <c r="OG9">
        <v>358</v>
      </c>
      <c r="OH9" s="16">
        <v>44239</v>
      </c>
      <c r="OI9">
        <v>50377</v>
      </c>
      <c r="OJ9">
        <v>417</v>
      </c>
      <c r="OK9" s="16">
        <v>44240</v>
      </c>
      <c r="OL9">
        <v>50655</v>
      </c>
      <c r="OM9">
        <v>277</v>
      </c>
      <c r="ON9" s="16">
        <v>44241</v>
      </c>
      <c r="OO9">
        <v>50935</v>
      </c>
      <c r="OP9">
        <v>281</v>
      </c>
      <c r="OQ9" s="16">
        <v>44242</v>
      </c>
      <c r="OR9">
        <v>51551</v>
      </c>
      <c r="OS9">
        <v>616</v>
      </c>
      <c r="OT9" s="16">
        <v>44243</v>
      </c>
      <c r="OU9">
        <v>52065</v>
      </c>
      <c r="OV9">
        <v>513</v>
      </c>
      <c r="OW9" s="16">
        <v>44244</v>
      </c>
      <c r="OX9">
        <v>52614</v>
      </c>
      <c r="OY9">
        <v>550</v>
      </c>
      <c r="OZ9" s="16">
        <v>44245</v>
      </c>
      <c r="PA9">
        <v>53227</v>
      </c>
      <c r="PB9">
        <v>611</v>
      </c>
      <c r="PC9" s="16">
        <v>44246</v>
      </c>
      <c r="PD9">
        <v>53799</v>
      </c>
      <c r="PE9">
        <v>573</v>
      </c>
      <c r="PF9" s="16">
        <v>44247</v>
      </c>
      <c r="PG9">
        <v>54116</v>
      </c>
      <c r="PH9">
        <v>317</v>
      </c>
      <c r="PI9" s="16">
        <v>44248</v>
      </c>
      <c r="PJ9">
        <v>54475</v>
      </c>
      <c r="PK9">
        <v>355</v>
      </c>
      <c r="PL9" s="16">
        <v>44249</v>
      </c>
      <c r="PM9">
        <v>55097</v>
      </c>
      <c r="PN9">
        <v>623</v>
      </c>
      <c r="PO9" s="16">
        <v>44250</v>
      </c>
      <c r="PP9">
        <v>55723</v>
      </c>
      <c r="PQ9">
        <v>625</v>
      </c>
      <c r="PR9" s="16">
        <v>44251</v>
      </c>
      <c r="PS9">
        <v>56322</v>
      </c>
      <c r="PT9">
        <v>599</v>
      </c>
      <c r="PU9" s="16">
        <v>44252</v>
      </c>
      <c r="PV9">
        <v>56939</v>
      </c>
      <c r="PW9">
        <v>618</v>
      </c>
      <c r="PX9" s="16">
        <v>44253</v>
      </c>
      <c r="PY9">
        <v>57629</v>
      </c>
      <c r="PZ9">
        <v>691</v>
      </c>
      <c r="QA9" s="16">
        <v>44254</v>
      </c>
      <c r="QB9">
        <v>58031</v>
      </c>
      <c r="QC9">
        <v>400</v>
      </c>
      <c r="QD9" s="16">
        <v>44255</v>
      </c>
      <c r="QE9">
        <v>58453</v>
      </c>
      <c r="QF9">
        <v>419</v>
      </c>
      <c r="QG9" s="16">
        <v>44256</v>
      </c>
      <c r="QH9">
        <v>59322</v>
      </c>
      <c r="QI9">
        <v>869</v>
      </c>
      <c r="QJ9" s="16">
        <v>44257</v>
      </c>
      <c r="QK9">
        <v>60083</v>
      </c>
      <c r="QL9">
        <v>757</v>
      </c>
      <c r="QM9" s="16">
        <v>44258</v>
      </c>
      <c r="QN9">
        <v>60814</v>
      </c>
      <c r="QO9">
        <v>731</v>
      </c>
      <c r="QP9" s="16">
        <v>44259</v>
      </c>
      <c r="QQ9">
        <v>61453</v>
      </c>
      <c r="QR9">
        <v>639</v>
      </c>
      <c r="QS9" s="16">
        <v>44260</v>
      </c>
      <c r="QT9">
        <v>62083</v>
      </c>
      <c r="QU9">
        <v>629</v>
      </c>
      <c r="QV9" s="16">
        <v>44261</v>
      </c>
      <c r="QW9">
        <v>62514</v>
      </c>
      <c r="QX9">
        <v>431</v>
      </c>
      <c r="QY9" s="16">
        <v>44262</v>
      </c>
      <c r="QZ9">
        <v>62906</v>
      </c>
      <c r="RA9">
        <v>396</v>
      </c>
      <c r="RB9" s="16">
        <v>44263</v>
      </c>
      <c r="RC9">
        <v>63740</v>
      </c>
      <c r="RD9">
        <v>833</v>
      </c>
      <c r="RE9" s="16">
        <v>44264</v>
      </c>
      <c r="RF9">
        <v>64513</v>
      </c>
      <c r="RG9">
        <v>774</v>
      </c>
      <c r="RH9" s="16">
        <v>44265</v>
      </c>
      <c r="RI9">
        <v>65330</v>
      </c>
      <c r="RJ9">
        <v>817</v>
      </c>
      <c r="RK9" s="16">
        <v>44266</v>
      </c>
      <c r="RL9">
        <v>66104</v>
      </c>
      <c r="RM9">
        <v>775</v>
      </c>
      <c r="RN9" s="16">
        <v>44268</v>
      </c>
      <c r="RO9">
        <v>67406</v>
      </c>
      <c r="RP9">
        <v>491</v>
      </c>
      <c r="RQ9" s="16">
        <v>44269</v>
      </c>
      <c r="RR9">
        <v>67840</v>
      </c>
      <c r="RS9">
        <v>434</v>
      </c>
      <c r="RT9">
        <v>44270</v>
      </c>
      <c r="RU9">
        <v>68731</v>
      </c>
      <c r="RV9">
        <v>891</v>
      </c>
      <c r="RW9">
        <v>44271</v>
      </c>
      <c r="RX9">
        <v>69494</v>
      </c>
      <c r="RY9">
        <v>763</v>
      </c>
      <c r="RZ9">
        <v>44272</v>
      </c>
      <c r="SA9">
        <v>70237</v>
      </c>
      <c r="SB9">
        <v>743</v>
      </c>
      <c r="SC9">
        <v>44273</v>
      </c>
      <c r="SD9">
        <v>70973</v>
      </c>
      <c r="SE9">
        <v>736</v>
      </c>
      <c r="SF9">
        <v>44274</v>
      </c>
      <c r="SG9">
        <v>71719</v>
      </c>
      <c r="SH9">
        <v>744</v>
      </c>
      <c r="SI9">
        <v>44275</v>
      </c>
      <c r="SJ9">
        <v>72122</v>
      </c>
      <c r="SK9">
        <v>403</v>
      </c>
      <c r="SL9">
        <v>44277</v>
      </c>
      <c r="SM9">
        <v>73306</v>
      </c>
      <c r="SN9">
        <v>766</v>
      </c>
      <c r="SO9">
        <v>44278</v>
      </c>
      <c r="SP9">
        <v>74027</v>
      </c>
      <c r="SQ9">
        <v>703</v>
      </c>
      <c r="SR9">
        <v>44279</v>
      </c>
      <c r="SS9">
        <v>74723</v>
      </c>
      <c r="ST9">
        <v>693</v>
      </c>
      <c r="SU9">
        <v>44280</v>
      </c>
      <c r="SV9">
        <v>75329</v>
      </c>
      <c r="SW9">
        <v>606</v>
      </c>
      <c r="SX9">
        <v>44282</v>
      </c>
      <c r="SY9">
        <v>76368</v>
      </c>
      <c r="SZ9">
        <v>350</v>
      </c>
      <c r="TA9">
        <v>44283</v>
      </c>
      <c r="TB9">
        <v>76740</v>
      </c>
      <c r="TC9">
        <v>369</v>
      </c>
      <c r="TD9">
        <v>44285</v>
      </c>
      <c r="TE9">
        <v>77961</v>
      </c>
      <c r="TF9">
        <v>568</v>
      </c>
      <c r="TG9">
        <v>44286</v>
      </c>
      <c r="TH9">
        <v>78515</v>
      </c>
      <c r="TI9">
        <v>550</v>
      </c>
      <c r="TJ9">
        <v>44287</v>
      </c>
      <c r="TK9">
        <v>79003</v>
      </c>
      <c r="TL9">
        <v>487</v>
      </c>
      <c r="TM9">
        <v>44288</v>
      </c>
      <c r="TN9">
        <v>79364</v>
      </c>
      <c r="TO9">
        <v>361</v>
      </c>
      <c r="TP9">
        <v>44290</v>
      </c>
      <c r="TQ9">
        <v>80007</v>
      </c>
      <c r="TR9">
        <v>320</v>
      </c>
      <c r="TS9">
        <v>44291</v>
      </c>
      <c r="TT9">
        <v>80369</v>
      </c>
      <c r="TU9">
        <v>359</v>
      </c>
      <c r="TV9">
        <v>44291</v>
      </c>
      <c r="TW9">
        <v>80375</v>
      </c>
      <c r="TX9">
        <v>359</v>
      </c>
      <c r="TY9">
        <v>44292</v>
      </c>
      <c r="TZ9">
        <v>80919</v>
      </c>
      <c r="UA9">
        <v>544</v>
      </c>
      <c r="UB9">
        <v>44294</v>
      </c>
      <c r="UC9">
        <v>81747</v>
      </c>
      <c r="UD9">
        <v>403</v>
      </c>
      <c r="UE9">
        <v>44294</v>
      </c>
      <c r="UF9">
        <v>81747</v>
      </c>
      <c r="UG9">
        <v>403</v>
      </c>
      <c r="UH9">
        <v>44295</v>
      </c>
      <c r="UI9">
        <v>82097</v>
      </c>
      <c r="UJ9">
        <v>348</v>
      </c>
      <c r="UK9">
        <v>44296</v>
      </c>
      <c r="UL9">
        <v>82323</v>
      </c>
      <c r="UM9">
        <v>225</v>
      </c>
      <c r="UN9">
        <v>44300</v>
      </c>
      <c r="UO9">
        <v>83636</v>
      </c>
      <c r="UP9">
        <v>345</v>
      </c>
      <c r="UQ9">
        <v>44301</v>
      </c>
      <c r="UR9">
        <v>83912</v>
      </c>
      <c r="US9">
        <v>274</v>
      </c>
      <c r="UT9">
        <v>44302</v>
      </c>
      <c r="UU9">
        <v>84177</v>
      </c>
      <c r="UV9">
        <v>264</v>
      </c>
      <c r="UW9">
        <v>44303</v>
      </c>
      <c r="UX9">
        <v>84350</v>
      </c>
      <c r="UY9">
        <v>171</v>
      </c>
      <c r="UZ9">
        <v>44305</v>
      </c>
      <c r="VA9">
        <v>84792</v>
      </c>
      <c r="VB9">
        <v>283</v>
      </c>
      <c r="VC9">
        <v>44305</v>
      </c>
      <c r="VD9">
        <v>84790</v>
      </c>
      <c r="VE9">
        <v>283</v>
      </c>
      <c r="VF9">
        <v>44306</v>
      </c>
      <c r="VG9">
        <v>85076</v>
      </c>
      <c r="VH9">
        <v>285</v>
      </c>
      <c r="VI9">
        <v>44308</v>
      </c>
      <c r="VJ9">
        <v>85567</v>
      </c>
      <c r="VK9">
        <v>258</v>
      </c>
      <c r="VL9">
        <v>44308</v>
      </c>
      <c r="VM9">
        <v>85567</v>
      </c>
      <c r="VN9">
        <v>258</v>
      </c>
      <c r="VO9">
        <v>44309</v>
      </c>
      <c r="VP9">
        <v>85822</v>
      </c>
      <c r="VQ9">
        <v>255</v>
      </c>
      <c r="VR9">
        <v>44310</v>
      </c>
      <c r="VS9">
        <v>85976</v>
      </c>
      <c r="VT9">
        <v>155</v>
      </c>
      <c r="VU9">
        <v>44312</v>
      </c>
      <c r="VV9">
        <v>86361</v>
      </c>
      <c r="VW9">
        <v>243</v>
      </c>
      <c r="VX9">
        <v>44312</v>
      </c>
      <c r="VY9">
        <v>86363</v>
      </c>
      <c r="VZ9">
        <v>243</v>
      </c>
      <c r="WA9">
        <v>44313</v>
      </c>
      <c r="WB9">
        <v>86595</v>
      </c>
      <c r="WC9">
        <v>228</v>
      </c>
      <c r="WD9">
        <v>44314</v>
      </c>
      <c r="WE9">
        <v>86868</v>
      </c>
      <c r="WF9">
        <v>273</v>
      </c>
      <c r="WG9">
        <v>44315</v>
      </c>
      <c r="WH9">
        <v>87069</v>
      </c>
      <c r="WI9">
        <v>201</v>
      </c>
      <c r="WJ9">
        <v>44317</v>
      </c>
      <c r="WK9">
        <v>87372</v>
      </c>
      <c r="WL9">
        <v>107</v>
      </c>
      <c r="WM9">
        <v>44317</v>
      </c>
      <c r="WN9">
        <v>87373</v>
      </c>
      <c r="WO9">
        <v>107</v>
      </c>
      <c r="WP9">
        <v>44320</v>
      </c>
      <c r="WQ9">
        <v>88033</v>
      </c>
      <c r="WR9">
        <v>205</v>
      </c>
      <c r="WS9">
        <v>44321</v>
      </c>
      <c r="WT9">
        <v>88299</v>
      </c>
      <c r="WU9">
        <v>266</v>
      </c>
      <c r="WV9">
        <v>44322</v>
      </c>
      <c r="WW9">
        <v>88535</v>
      </c>
      <c r="WX9">
        <v>234</v>
      </c>
      <c r="WY9">
        <v>44323</v>
      </c>
      <c r="WZ9">
        <v>88752</v>
      </c>
      <c r="XA9">
        <v>214</v>
      </c>
      <c r="XB9">
        <v>44324</v>
      </c>
      <c r="XC9">
        <v>88883</v>
      </c>
      <c r="XD9">
        <v>130</v>
      </c>
      <c r="XE9">
        <v>44326</v>
      </c>
      <c r="XF9">
        <v>89272</v>
      </c>
      <c r="XG9">
        <v>258</v>
      </c>
      <c r="XH9">
        <v>44326</v>
      </c>
      <c r="XI9">
        <v>89278</v>
      </c>
      <c r="XJ9">
        <v>258</v>
      </c>
      <c r="XK9">
        <v>44327</v>
      </c>
      <c r="XL9">
        <v>89492</v>
      </c>
      <c r="XM9">
        <v>214</v>
      </c>
      <c r="XN9">
        <v>44328</v>
      </c>
      <c r="XO9">
        <v>89748</v>
      </c>
      <c r="XP9">
        <v>256</v>
      </c>
      <c r="XQ9">
        <v>44329</v>
      </c>
      <c r="XR9">
        <v>89903</v>
      </c>
      <c r="XS9">
        <v>155</v>
      </c>
      <c r="XT9">
        <v>44330</v>
      </c>
      <c r="XU9">
        <v>90150</v>
      </c>
      <c r="XV9">
        <v>244</v>
      </c>
      <c r="XW9">
        <v>44331</v>
      </c>
      <c r="XX9">
        <v>90313</v>
      </c>
      <c r="XY9">
        <v>160</v>
      </c>
      <c r="XZ9">
        <v>44332</v>
      </c>
      <c r="YA9">
        <v>90447</v>
      </c>
      <c r="YB9">
        <v>133</v>
      </c>
      <c r="YC9">
        <v>44334</v>
      </c>
      <c r="YD9">
        <v>90949</v>
      </c>
      <c r="YE9">
        <v>216</v>
      </c>
      <c r="YF9">
        <v>44335</v>
      </c>
      <c r="YG9">
        <v>91181</v>
      </c>
      <c r="YH9">
        <v>230</v>
      </c>
      <c r="YI9">
        <v>44336</v>
      </c>
      <c r="YJ9">
        <v>91396</v>
      </c>
      <c r="YK9">
        <v>215</v>
      </c>
      <c r="YL9">
        <v>44337</v>
      </c>
      <c r="YM9">
        <v>91566</v>
      </c>
      <c r="YN9">
        <v>170</v>
      </c>
      <c r="YO9">
        <v>44338</v>
      </c>
      <c r="YP9">
        <v>91678</v>
      </c>
      <c r="YQ9">
        <v>108</v>
      </c>
      <c r="YR9">
        <v>44339</v>
      </c>
      <c r="YS9">
        <v>91771</v>
      </c>
      <c r="YT9">
        <v>93</v>
      </c>
      <c r="YU9">
        <v>44340</v>
      </c>
      <c r="YV9">
        <v>91967</v>
      </c>
      <c r="YW9">
        <v>188</v>
      </c>
    </row>
    <row r="10" spans="1:673">
      <c r="B10" t="str">
        <f t="shared" ca="1" si="2"/>
        <v>25.5</v>
      </c>
      <c r="C10" s="4">
        <f t="shared" ca="1" si="0"/>
        <v>44341</v>
      </c>
      <c r="D10" s="11">
        <f t="shared" ca="1" si="1"/>
        <v>92119</v>
      </c>
      <c r="E10">
        <f t="shared" ca="1" si="3"/>
        <v>152</v>
      </c>
      <c r="F10" s="11">
        <f t="shared" ca="1" si="4"/>
        <v>0</v>
      </c>
      <c r="G10" s="11">
        <f t="shared" ca="1" si="5"/>
        <v>152</v>
      </c>
      <c r="L10" s="10"/>
      <c r="N10" s="16">
        <v>44341</v>
      </c>
      <c r="O10">
        <v>92119</v>
      </c>
      <c r="P10">
        <v>152</v>
      </c>
      <c r="Q10" s="16">
        <v>44341</v>
      </c>
      <c r="R10">
        <v>92119</v>
      </c>
      <c r="S10">
        <v>152</v>
      </c>
      <c r="T10" s="16">
        <v>44088</v>
      </c>
      <c r="U10">
        <v>8834</v>
      </c>
      <c r="V10">
        <v>59</v>
      </c>
      <c r="W10" s="16">
        <v>44089</v>
      </c>
      <c r="X10">
        <v>8888</v>
      </c>
      <c r="Y10">
        <v>53</v>
      </c>
      <c r="Z10" s="16">
        <v>44090</v>
      </c>
      <c r="AA10">
        <v>8946</v>
      </c>
      <c r="AB10">
        <v>57</v>
      </c>
      <c r="AC10" s="16">
        <v>44091</v>
      </c>
      <c r="AD10">
        <v>9030</v>
      </c>
      <c r="AE10">
        <v>85</v>
      </c>
      <c r="AF10" s="16">
        <v>44092</v>
      </c>
      <c r="AG10">
        <v>9106</v>
      </c>
      <c r="AH10">
        <v>76</v>
      </c>
      <c r="AI10" s="16">
        <v>44093</v>
      </c>
      <c r="AJ10">
        <v>9168</v>
      </c>
      <c r="AK10">
        <v>61</v>
      </c>
      <c r="AL10" s="16">
        <v>44094</v>
      </c>
      <c r="AM10">
        <v>9240</v>
      </c>
      <c r="AN10">
        <v>73</v>
      </c>
      <c r="AO10" s="16">
        <v>44095</v>
      </c>
      <c r="AP10">
        <v>9359</v>
      </c>
      <c r="AQ10">
        <v>119</v>
      </c>
      <c r="AR10" s="16">
        <v>44096</v>
      </c>
      <c r="AS10">
        <v>9464</v>
      </c>
      <c r="AT10">
        <v>105</v>
      </c>
      <c r="AU10" s="16">
        <v>44097</v>
      </c>
      <c r="AV10">
        <v>9582</v>
      </c>
      <c r="AW10">
        <v>118</v>
      </c>
      <c r="AX10" s="16">
        <v>44098</v>
      </c>
      <c r="AY10">
        <v>9679</v>
      </c>
      <c r="AZ10">
        <v>97</v>
      </c>
      <c r="BA10" s="16">
        <v>44099</v>
      </c>
      <c r="BB10">
        <v>9806</v>
      </c>
      <c r="BC10">
        <v>127</v>
      </c>
      <c r="BD10" s="16">
        <v>44100</v>
      </c>
      <c r="BE10">
        <v>9879</v>
      </c>
      <c r="BF10">
        <v>73</v>
      </c>
      <c r="BG10" s="16">
        <v>44101</v>
      </c>
      <c r="BH10">
        <v>9948</v>
      </c>
      <c r="BI10">
        <v>71</v>
      </c>
      <c r="BJ10" s="16">
        <v>44102</v>
      </c>
      <c r="BK10">
        <v>10072</v>
      </c>
      <c r="BL10">
        <v>122</v>
      </c>
      <c r="BM10" s="16">
        <v>44103</v>
      </c>
      <c r="BN10">
        <v>10205</v>
      </c>
      <c r="BO10">
        <v>133</v>
      </c>
      <c r="BP10" s="16">
        <v>44104</v>
      </c>
      <c r="BQ10">
        <v>10370</v>
      </c>
      <c r="BR10">
        <v>165</v>
      </c>
      <c r="BS10" s="16">
        <v>44105</v>
      </c>
      <c r="BT10">
        <v>10559</v>
      </c>
      <c r="BU10">
        <v>188</v>
      </c>
      <c r="BV10" s="16">
        <v>44107</v>
      </c>
      <c r="BW10">
        <v>10916</v>
      </c>
      <c r="BX10">
        <v>169</v>
      </c>
      <c r="BY10" s="16">
        <v>44108</v>
      </c>
      <c r="BZ10">
        <v>11065</v>
      </c>
      <c r="CA10">
        <v>147</v>
      </c>
      <c r="CB10" s="16">
        <v>44109</v>
      </c>
      <c r="CC10">
        <v>11355</v>
      </c>
      <c r="CD10">
        <v>290</v>
      </c>
      <c r="CE10" s="16">
        <v>44110</v>
      </c>
      <c r="CF10">
        <v>11663</v>
      </c>
      <c r="CG10">
        <v>301</v>
      </c>
      <c r="CH10" s="16">
        <v>44111</v>
      </c>
      <c r="CI10">
        <v>11970</v>
      </c>
      <c r="CJ10">
        <v>306</v>
      </c>
      <c r="CK10" s="16">
        <v>44112</v>
      </c>
      <c r="CL10">
        <v>12230</v>
      </c>
      <c r="CM10">
        <v>260</v>
      </c>
      <c r="CN10" s="16">
        <v>44113</v>
      </c>
      <c r="CO10">
        <v>12456</v>
      </c>
      <c r="CP10">
        <v>226</v>
      </c>
      <c r="CQ10" s="16">
        <v>44114</v>
      </c>
      <c r="CR10">
        <v>12565</v>
      </c>
      <c r="CS10">
        <v>109</v>
      </c>
      <c r="CT10" s="16">
        <v>44115</v>
      </c>
      <c r="CU10">
        <v>12697</v>
      </c>
      <c r="CV10">
        <v>130</v>
      </c>
      <c r="CW10" s="16">
        <v>44116</v>
      </c>
      <c r="CX10">
        <v>12952</v>
      </c>
      <c r="CY10">
        <v>254</v>
      </c>
      <c r="CZ10" s="16">
        <v>44118</v>
      </c>
      <c r="DA10">
        <v>13347</v>
      </c>
      <c r="DB10">
        <v>200</v>
      </c>
      <c r="DC10" s="16">
        <v>44119</v>
      </c>
      <c r="DD10">
        <v>13538</v>
      </c>
      <c r="DE10">
        <v>191</v>
      </c>
      <c r="DF10" s="16">
        <v>44120</v>
      </c>
      <c r="DG10">
        <v>13731</v>
      </c>
      <c r="DH10">
        <v>193</v>
      </c>
      <c r="DI10" s="16">
        <v>44121</v>
      </c>
      <c r="DJ10">
        <v>13832</v>
      </c>
      <c r="DK10">
        <v>100</v>
      </c>
      <c r="DL10" s="16">
        <v>44122</v>
      </c>
      <c r="DM10">
        <v>13963</v>
      </c>
      <c r="DN10">
        <v>129</v>
      </c>
      <c r="DO10" s="16">
        <v>44123</v>
      </c>
      <c r="DP10">
        <v>14206</v>
      </c>
      <c r="DQ10">
        <v>244</v>
      </c>
      <c r="DR10" s="16">
        <v>44124</v>
      </c>
      <c r="DS10">
        <v>14370</v>
      </c>
      <c r="DT10">
        <v>163</v>
      </c>
      <c r="DU10" s="16">
        <v>44125</v>
      </c>
      <c r="DV10">
        <v>14560</v>
      </c>
      <c r="DW10">
        <v>190</v>
      </c>
      <c r="DX10" s="16">
        <v>44126</v>
      </c>
      <c r="DY10">
        <v>14778</v>
      </c>
      <c r="DZ10">
        <v>218</v>
      </c>
      <c r="EA10" s="16">
        <v>44127</v>
      </c>
      <c r="EB10">
        <v>14970</v>
      </c>
      <c r="EC10">
        <v>192</v>
      </c>
      <c r="ED10" s="16">
        <v>44128</v>
      </c>
      <c r="EE10">
        <v>15070</v>
      </c>
      <c r="EF10">
        <v>108</v>
      </c>
      <c r="EG10" s="16">
        <v>44129</v>
      </c>
      <c r="EH10">
        <v>15193</v>
      </c>
      <c r="EI10">
        <v>123</v>
      </c>
      <c r="EJ10" s="16">
        <v>44130</v>
      </c>
      <c r="EK10">
        <v>15449</v>
      </c>
      <c r="EL10">
        <v>256</v>
      </c>
      <c r="EM10" s="16">
        <v>44131</v>
      </c>
      <c r="EN10">
        <v>15679</v>
      </c>
      <c r="EO10">
        <v>230</v>
      </c>
      <c r="EP10" s="16">
        <v>44132</v>
      </c>
      <c r="EQ10">
        <v>15919</v>
      </c>
      <c r="ER10">
        <v>240</v>
      </c>
      <c r="ES10" s="16">
        <v>44133</v>
      </c>
      <c r="ET10">
        <v>16157</v>
      </c>
      <c r="EU10">
        <v>237</v>
      </c>
      <c r="EV10" s="16">
        <v>44134</v>
      </c>
      <c r="EW10">
        <v>16376</v>
      </c>
      <c r="EX10">
        <v>219</v>
      </c>
      <c r="EY10" s="16">
        <v>44135</v>
      </c>
      <c r="EZ10">
        <v>16497</v>
      </c>
      <c r="FA10">
        <v>121</v>
      </c>
      <c r="FB10" s="16">
        <v>44136</v>
      </c>
      <c r="FC10">
        <v>16646</v>
      </c>
      <c r="FD10">
        <v>150</v>
      </c>
      <c r="FE10" s="16">
        <v>44137</v>
      </c>
      <c r="FF10">
        <v>16878</v>
      </c>
      <c r="FG10">
        <v>277</v>
      </c>
      <c r="FH10" s="16">
        <v>44138</v>
      </c>
      <c r="FI10">
        <v>17174</v>
      </c>
      <c r="FJ10">
        <v>241</v>
      </c>
      <c r="FK10" s="16">
        <v>44139</v>
      </c>
      <c r="FL10">
        <v>17395</v>
      </c>
      <c r="FM10">
        <v>211</v>
      </c>
      <c r="FN10" s="16">
        <v>44140</v>
      </c>
      <c r="FO10">
        <v>17617</v>
      </c>
      <c r="FP10">
        <v>222</v>
      </c>
      <c r="FQ10" s="16">
        <v>44141</v>
      </c>
      <c r="FR10">
        <v>17812</v>
      </c>
      <c r="FS10">
        <v>195</v>
      </c>
      <c r="FT10" s="16">
        <v>44142</v>
      </c>
      <c r="FU10">
        <v>17963</v>
      </c>
      <c r="FV10">
        <v>128</v>
      </c>
      <c r="FW10" s="16">
        <v>44143</v>
      </c>
      <c r="FX10">
        <v>18098</v>
      </c>
      <c r="FY10">
        <v>133</v>
      </c>
      <c r="FZ10" s="16">
        <v>44144</v>
      </c>
      <c r="GA10">
        <v>18375</v>
      </c>
      <c r="GB10">
        <v>273</v>
      </c>
      <c r="GC10" s="16">
        <v>44145</v>
      </c>
      <c r="GD10">
        <v>18580</v>
      </c>
      <c r="GE10">
        <v>205</v>
      </c>
      <c r="GF10" s="16">
        <v>44146</v>
      </c>
      <c r="GG10">
        <v>18872</v>
      </c>
      <c r="GH10">
        <v>292</v>
      </c>
      <c r="GI10" s="16">
        <v>44147</v>
      </c>
      <c r="GJ10">
        <v>19154</v>
      </c>
      <c r="GK10">
        <v>282</v>
      </c>
      <c r="GL10" s="16">
        <v>44148</v>
      </c>
      <c r="GM10">
        <v>19419</v>
      </c>
      <c r="GN10">
        <v>265</v>
      </c>
      <c r="GO10" s="16">
        <v>44149</v>
      </c>
      <c r="GP10">
        <v>19564</v>
      </c>
      <c r="GQ10">
        <v>145</v>
      </c>
      <c r="GR10" s="16">
        <v>44150</v>
      </c>
      <c r="GS10">
        <v>19747</v>
      </c>
      <c r="GT10">
        <v>182</v>
      </c>
      <c r="GU10" s="16">
        <v>44151</v>
      </c>
      <c r="GV10">
        <v>20138</v>
      </c>
      <c r="GW10">
        <v>392</v>
      </c>
      <c r="GX10" s="16">
        <v>44152</v>
      </c>
      <c r="GY10">
        <v>20534</v>
      </c>
      <c r="GZ10">
        <v>391</v>
      </c>
      <c r="HA10" s="16">
        <v>44153</v>
      </c>
      <c r="HB10">
        <v>20907</v>
      </c>
      <c r="HC10">
        <v>371</v>
      </c>
      <c r="HD10" s="16">
        <v>44154</v>
      </c>
      <c r="HE10">
        <v>21384</v>
      </c>
      <c r="HF10">
        <v>478</v>
      </c>
      <c r="HG10" s="16">
        <v>44155</v>
      </c>
      <c r="HH10">
        <v>21813</v>
      </c>
      <c r="HI10">
        <v>429</v>
      </c>
      <c r="HJ10" s="16">
        <v>44156</v>
      </c>
      <c r="HK10">
        <v>22082</v>
      </c>
      <c r="HL10">
        <v>268</v>
      </c>
      <c r="HM10" s="16">
        <v>44157</v>
      </c>
      <c r="HN10">
        <v>22347</v>
      </c>
      <c r="HO10">
        <v>267</v>
      </c>
      <c r="HP10" s="16">
        <v>44158</v>
      </c>
      <c r="HQ10">
        <v>22854</v>
      </c>
      <c r="HR10">
        <v>504</v>
      </c>
      <c r="HS10" s="16">
        <v>44159</v>
      </c>
      <c r="HT10">
        <v>23321</v>
      </c>
      <c r="HU10">
        <v>468</v>
      </c>
      <c r="HV10" s="16">
        <v>44160</v>
      </c>
      <c r="HW10">
        <v>23935</v>
      </c>
      <c r="HX10">
        <v>613</v>
      </c>
      <c r="HY10" s="16">
        <v>44161</v>
      </c>
      <c r="HZ10">
        <v>24445</v>
      </c>
      <c r="IA10">
        <v>510</v>
      </c>
      <c r="IB10" s="16">
        <v>44162</v>
      </c>
      <c r="IC10">
        <v>24899</v>
      </c>
      <c r="ID10">
        <v>455</v>
      </c>
      <c r="IE10" s="16">
        <v>44163</v>
      </c>
      <c r="IF10">
        <v>25185</v>
      </c>
      <c r="IG10">
        <v>285</v>
      </c>
      <c r="IH10" s="16">
        <v>44164</v>
      </c>
      <c r="II10">
        <v>25477</v>
      </c>
      <c r="IJ10">
        <v>293</v>
      </c>
      <c r="IK10" s="16">
        <v>44165</v>
      </c>
      <c r="IL10">
        <v>26074</v>
      </c>
      <c r="IM10">
        <v>596</v>
      </c>
      <c r="IN10" s="16">
        <v>44166</v>
      </c>
      <c r="IO10">
        <v>26514</v>
      </c>
      <c r="IP10">
        <v>440</v>
      </c>
      <c r="IQ10" s="16">
        <v>44167</v>
      </c>
      <c r="IR10">
        <v>27008</v>
      </c>
      <c r="IS10">
        <v>494</v>
      </c>
      <c r="IT10" s="16">
        <v>44168</v>
      </c>
      <c r="IU10">
        <v>27485</v>
      </c>
      <c r="IV10">
        <v>477</v>
      </c>
      <c r="IW10" s="16">
        <v>44169</v>
      </c>
      <c r="IX10">
        <v>27956</v>
      </c>
      <c r="IY10">
        <v>471</v>
      </c>
      <c r="IZ10" s="16">
        <v>44170</v>
      </c>
      <c r="JA10">
        <v>28208</v>
      </c>
      <c r="JB10">
        <v>250</v>
      </c>
      <c r="JC10" s="16">
        <v>44174</v>
      </c>
      <c r="JD10">
        <v>30025</v>
      </c>
      <c r="JE10">
        <v>463</v>
      </c>
      <c r="JF10" s="16">
        <v>44178</v>
      </c>
      <c r="JG10">
        <v>31403</v>
      </c>
      <c r="JH10">
        <v>276</v>
      </c>
      <c r="JI10" s="16">
        <v>44179</v>
      </c>
      <c r="JJ10">
        <v>31905</v>
      </c>
      <c r="JK10">
        <v>463</v>
      </c>
      <c r="JL10" s="16">
        <v>44180</v>
      </c>
      <c r="JM10">
        <v>32255</v>
      </c>
      <c r="JN10">
        <v>358</v>
      </c>
      <c r="JO10" s="16">
        <v>44181</v>
      </c>
      <c r="JP10">
        <v>32597</v>
      </c>
      <c r="JQ10">
        <v>350</v>
      </c>
      <c r="JR10" s="16">
        <v>44183</v>
      </c>
      <c r="JS10">
        <v>33316</v>
      </c>
      <c r="JT10">
        <v>395</v>
      </c>
      <c r="JU10" s="16">
        <v>44183</v>
      </c>
      <c r="JV10">
        <v>33317</v>
      </c>
      <c r="JW10">
        <v>395</v>
      </c>
      <c r="JX10" s="16">
        <v>44185</v>
      </c>
      <c r="JY10">
        <v>33746</v>
      </c>
      <c r="JZ10">
        <v>244</v>
      </c>
      <c r="KA10" s="16">
        <v>44197</v>
      </c>
      <c r="KB10">
        <v>36775</v>
      </c>
      <c r="KC10">
        <v>129</v>
      </c>
      <c r="KD10" s="16">
        <v>44197</v>
      </c>
      <c r="KE10">
        <v>36783</v>
      </c>
      <c r="KF10">
        <v>129</v>
      </c>
      <c r="KG10" s="16">
        <v>44198</v>
      </c>
      <c r="KH10">
        <v>36980</v>
      </c>
      <c r="KI10">
        <v>205</v>
      </c>
      <c r="KJ10" s="16">
        <v>44200</v>
      </c>
      <c r="KK10">
        <v>37545</v>
      </c>
      <c r="KL10">
        <v>395</v>
      </c>
      <c r="KM10" s="16">
        <v>44201</v>
      </c>
      <c r="KN10">
        <v>37809</v>
      </c>
      <c r="KO10">
        <v>260</v>
      </c>
      <c r="KP10" s="16">
        <v>44205</v>
      </c>
      <c r="KQ10">
        <v>38797</v>
      </c>
      <c r="KR10">
        <v>193</v>
      </c>
      <c r="KS10" s="16">
        <v>44206</v>
      </c>
      <c r="KT10">
        <v>38985</v>
      </c>
      <c r="KU10">
        <v>184</v>
      </c>
      <c r="KV10" s="16">
        <v>44207</v>
      </c>
      <c r="KW10">
        <v>39372</v>
      </c>
      <c r="KX10">
        <v>387</v>
      </c>
      <c r="KY10" s="16">
        <v>44209</v>
      </c>
      <c r="KZ10">
        <v>39853</v>
      </c>
      <c r="LA10">
        <v>257</v>
      </c>
      <c r="LB10" s="16">
        <v>44210</v>
      </c>
      <c r="LC10">
        <v>40112</v>
      </c>
      <c r="LD10">
        <v>249</v>
      </c>
      <c r="LE10" s="16">
        <v>44211</v>
      </c>
      <c r="LF10">
        <v>40378</v>
      </c>
      <c r="LG10">
        <v>266</v>
      </c>
      <c r="LH10" s="16">
        <v>44213</v>
      </c>
      <c r="LI10">
        <v>40708</v>
      </c>
      <c r="LJ10">
        <v>193</v>
      </c>
      <c r="LK10" s="16">
        <v>44213</v>
      </c>
      <c r="LL10">
        <v>40708</v>
      </c>
      <c r="LM10">
        <v>195</v>
      </c>
      <c r="LN10" s="16">
        <v>44215</v>
      </c>
      <c r="LO10">
        <v>41525</v>
      </c>
      <c r="LP10">
        <v>344</v>
      </c>
      <c r="LQ10" s="16">
        <v>44216</v>
      </c>
      <c r="LR10">
        <v>41928</v>
      </c>
      <c r="LS10">
        <v>406</v>
      </c>
      <c r="LT10" s="16">
        <v>44217</v>
      </c>
      <c r="LU10">
        <v>42304</v>
      </c>
      <c r="LV10">
        <v>375</v>
      </c>
      <c r="LW10" s="16">
        <v>44218</v>
      </c>
      <c r="LX10">
        <v>42672</v>
      </c>
      <c r="LY10">
        <v>360</v>
      </c>
      <c r="LZ10" s="16">
        <v>44219</v>
      </c>
      <c r="MA10">
        <v>42831</v>
      </c>
      <c r="MB10">
        <v>168</v>
      </c>
      <c r="MC10" s="16">
        <v>44220</v>
      </c>
      <c r="MD10">
        <v>43085</v>
      </c>
      <c r="ME10">
        <v>244</v>
      </c>
      <c r="MF10" s="16">
        <v>44222</v>
      </c>
      <c r="MG10">
        <v>44090</v>
      </c>
      <c r="MH10">
        <v>399</v>
      </c>
      <c r="MI10" s="16">
        <v>44222</v>
      </c>
      <c r="MJ10">
        <v>44091</v>
      </c>
      <c r="MK10">
        <v>399</v>
      </c>
      <c r="ML10" s="16">
        <v>44223</v>
      </c>
      <c r="MM10">
        <v>44472</v>
      </c>
      <c r="MN10">
        <v>383</v>
      </c>
      <c r="MO10" s="16">
        <v>44224</v>
      </c>
      <c r="MP10">
        <v>44907</v>
      </c>
      <c r="MQ10">
        <v>436</v>
      </c>
      <c r="MR10" s="16">
        <v>44225</v>
      </c>
      <c r="MS10">
        <v>45284</v>
      </c>
      <c r="MT10">
        <v>375</v>
      </c>
      <c r="MU10" s="16">
        <v>44226</v>
      </c>
      <c r="MV10">
        <v>45514</v>
      </c>
      <c r="MW10">
        <v>232</v>
      </c>
      <c r="MX10" s="16">
        <v>44227</v>
      </c>
      <c r="MY10">
        <v>45785</v>
      </c>
      <c r="MZ10">
        <v>272</v>
      </c>
      <c r="NA10" s="16">
        <v>44227</v>
      </c>
      <c r="NB10">
        <v>45786</v>
      </c>
      <c r="NC10">
        <v>272</v>
      </c>
      <c r="ND10" s="16">
        <v>44230</v>
      </c>
      <c r="NE10">
        <v>47156</v>
      </c>
      <c r="NF10">
        <v>441</v>
      </c>
      <c r="NG10" s="16">
        <v>44230</v>
      </c>
      <c r="NH10">
        <v>47155</v>
      </c>
      <c r="NI10">
        <v>441</v>
      </c>
      <c r="NJ10" s="16">
        <v>44232</v>
      </c>
      <c r="NK10">
        <v>47889</v>
      </c>
      <c r="NL10">
        <v>365</v>
      </c>
      <c r="NM10" s="16">
        <v>44232</v>
      </c>
      <c r="NN10">
        <v>47889</v>
      </c>
      <c r="NO10">
        <v>365</v>
      </c>
      <c r="NP10" s="16">
        <v>44234</v>
      </c>
      <c r="NQ10">
        <v>48391</v>
      </c>
      <c r="NR10">
        <v>263</v>
      </c>
      <c r="NS10" s="16">
        <v>44235</v>
      </c>
      <c r="NT10">
        <v>48850</v>
      </c>
      <c r="NU10">
        <v>459</v>
      </c>
      <c r="NV10" s="16">
        <v>44236</v>
      </c>
      <c r="NW10">
        <v>49219</v>
      </c>
      <c r="NX10">
        <v>371</v>
      </c>
      <c r="NY10" s="16">
        <v>44237</v>
      </c>
      <c r="NZ10">
        <v>49602</v>
      </c>
      <c r="OA10">
        <v>382</v>
      </c>
      <c r="OB10" s="16">
        <v>44238</v>
      </c>
      <c r="OC10">
        <v>49961</v>
      </c>
      <c r="OD10">
        <v>358</v>
      </c>
      <c r="OE10" s="16">
        <v>44239</v>
      </c>
      <c r="OF10">
        <v>50378</v>
      </c>
      <c r="OG10">
        <v>417</v>
      </c>
      <c r="OH10" s="16">
        <v>44240</v>
      </c>
      <c r="OI10">
        <v>50654</v>
      </c>
      <c r="OJ10">
        <v>277</v>
      </c>
      <c r="OK10" s="16">
        <v>44241</v>
      </c>
      <c r="OL10">
        <v>50936</v>
      </c>
      <c r="OM10">
        <v>281</v>
      </c>
      <c r="ON10" s="16">
        <v>44242</v>
      </c>
      <c r="OO10">
        <v>51551</v>
      </c>
      <c r="OP10">
        <v>616</v>
      </c>
      <c r="OQ10" s="16">
        <v>44243</v>
      </c>
      <c r="OR10">
        <v>52064</v>
      </c>
      <c r="OS10">
        <v>513</v>
      </c>
      <c r="OT10" s="16">
        <v>44244</v>
      </c>
      <c r="OU10">
        <v>52615</v>
      </c>
      <c r="OV10">
        <v>550</v>
      </c>
      <c r="OW10" s="16">
        <v>44245</v>
      </c>
      <c r="OX10">
        <v>53225</v>
      </c>
      <c r="OY10">
        <v>611</v>
      </c>
      <c r="OZ10" s="16">
        <v>44246</v>
      </c>
      <c r="PA10">
        <v>53798</v>
      </c>
      <c r="PB10">
        <v>571</v>
      </c>
      <c r="PC10" s="16">
        <v>44247</v>
      </c>
      <c r="PD10">
        <v>54116</v>
      </c>
      <c r="PE10">
        <v>317</v>
      </c>
      <c r="PF10" s="16">
        <v>44248</v>
      </c>
      <c r="PG10">
        <v>54471</v>
      </c>
      <c r="PH10">
        <v>355</v>
      </c>
      <c r="PI10" s="16">
        <v>44249</v>
      </c>
      <c r="PJ10">
        <v>55098</v>
      </c>
      <c r="PK10">
        <v>623</v>
      </c>
      <c r="PL10" s="16">
        <v>44250</v>
      </c>
      <c r="PM10">
        <v>55722</v>
      </c>
      <c r="PN10">
        <v>625</v>
      </c>
      <c r="PO10" s="16">
        <v>44251</v>
      </c>
      <c r="PP10">
        <v>56322</v>
      </c>
      <c r="PQ10">
        <v>599</v>
      </c>
      <c r="PR10" s="16">
        <v>44252</v>
      </c>
      <c r="PS10">
        <v>56940</v>
      </c>
      <c r="PT10">
        <v>618</v>
      </c>
      <c r="PU10" s="16">
        <v>44253</v>
      </c>
      <c r="PV10">
        <v>57629</v>
      </c>
      <c r="PW10">
        <v>690</v>
      </c>
      <c r="PX10" s="16">
        <v>44254</v>
      </c>
      <c r="PY10">
        <v>58029</v>
      </c>
      <c r="PZ10">
        <v>400</v>
      </c>
      <c r="QA10" s="16">
        <v>44255</v>
      </c>
      <c r="QB10">
        <v>58450</v>
      </c>
      <c r="QC10">
        <v>419</v>
      </c>
      <c r="QD10" s="16">
        <v>44256</v>
      </c>
      <c r="QE10">
        <v>59322</v>
      </c>
      <c r="QF10">
        <v>869</v>
      </c>
      <c r="QG10" s="16">
        <v>44257</v>
      </c>
      <c r="QH10">
        <v>60080</v>
      </c>
      <c r="QI10">
        <v>758</v>
      </c>
      <c r="QJ10" s="16">
        <v>44258</v>
      </c>
      <c r="QK10">
        <v>60814</v>
      </c>
      <c r="QL10">
        <v>731</v>
      </c>
      <c r="QM10" s="16">
        <v>44259</v>
      </c>
      <c r="QN10">
        <v>61453</v>
      </c>
      <c r="QO10">
        <v>639</v>
      </c>
      <c r="QP10" s="16">
        <v>44260</v>
      </c>
      <c r="QQ10">
        <v>62081</v>
      </c>
      <c r="QR10">
        <v>628</v>
      </c>
      <c r="QS10" s="16">
        <v>44261</v>
      </c>
      <c r="QT10">
        <v>62514</v>
      </c>
      <c r="QU10">
        <v>431</v>
      </c>
      <c r="QV10" s="16">
        <v>44262</v>
      </c>
      <c r="QW10">
        <v>62910</v>
      </c>
      <c r="QX10">
        <v>396</v>
      </c>
      <c r="QY10" s="16">
        <v>44263</v>
      </c>
      <c r="QZ10">
        <v>63737</v>
      </c>
      <c r="RA10">
        <v>831</v>
      </c>
      <c r="RB10" s="16">
        <v>44264</v>
      </c>
      <c r="RC10">
        <v>64514</v>
      </c>
      <c r="RD10">
        <v>774</v>
      </c>
      <c r="RE10" s="16">
        <v>44265</v>
      </c>
      <c r="RF10">
        <v>65330</v>
      </c>
      <c r="RG10">
        <v>817</v>
      </c>
      <c r="RH10" s="16">
        <v>44266</v>
      </c>
      <c r="RI10">
        <v>66105</v>
      </c>
      <c r="RJ10">
        <v>775</v>
      </c>
      <c r="RK10" s="16">
        <v>44267</v>
      </c>
      <c r="RL10">
        <v>66916</v>
      </c>
      <c r="RM10">
        <v>812</v>
      </c>
      <c r="RN10" s="16">
        <v>44269</v>
      </c>
      <c r="RO10">
        <v>67840</v>
      </c>
      <c r="RP10">
        <v>434</v>
      </c>
      <c r="RQ10" s="16">
        <v>44270</v>
      </c>
      <c r="RR10">
        <v>68731</v>
      </c>
      <c r="RS10">
        <v>891</v>
      </c>
      <c r="RT10">
        <v>44271</v>
      </c>
      <c r="RU10">
        <v>69494</v>
      </c>
      <c r="RV10">
        <v>763</v>
      </c>
      <c r="RW10">
        <v>44272</v>
      </c>
      <c r="RX10">
        <v>70237</v>
      </c>
      <c r="RY10">
        <v>743</v>
      </c>
      <c r="RZ10">
        <v>44273</v>
      </c>
      <c r="SA10">
        <v>70973</v>
      </c>
      <c r="SB10">
        <v>736</v>
      </c>
      <c r="SC10">
        <v>44274</v>
      </c>
      <c r="SD10">
        <v>71717</v>
      </c>
      <c r="SE10">
        <v>744</v>
      </c>
      <c r="SF10">
        <v>44275</v>
      </c>
      <c r="SG10">
        <v>72123</v>
      </c>
      <c r="SH10">
        <v>404</v>
      </c>
      <c r="SI10">
        <v>44276</v>
      </c>
      <c r="SJ10">
        <v>72539</v>
      </c>
      <c r="SK10">
        <v>417</v>
      </c>
      <c r="SL10">
        <v>44278</v>
      </c>
      <c r="SM10">
        <v>74009</v>
      </c>
      <c r="SN10">
        <v>703</v>
      </c>
      <c r="SO10">
        <v>44279</v>
      </c>
      <c r="SP10">
        <v>74720</v>
      </c>
      <c r="SQ10">
        <v>693</v>
      </c>
      <c r="SR10">
        <v>44280</v>
      </c>
      <c r="SS10">
        <v>75329</v>
      </c>
      <c r="ST10">
        <v>606</v>
      </c>
      <c r="SU10">
        <v>44281</v>
      </c>
      <c r="SV10">
        <v>76015</v>
      </c>
      <c r="SW10">
        <v>686</v>
      </c>
      <c r="SX10">
        <v>44283</v>
      </c>
      <c r="SY10">
        <v>76737</v>
      </c>
      <c r="SZ10">
        <v>369</v>
      </c>
      <c r="TA10">
        <v>44284</v>
      </c>
      <c r="TB10">
        <v>77393</v>
      </c>
      <c r="TC10">
        <v>653</v>
      </c>
      <c r="TD10">
        <v>44286</v>
      </c>
      <c r="TE10">
        <v>78511</v>
      </c>
      <c r="TF10">
        <v>550</v>
      </c>
      <c r="TG10">
        <v>44287</v>
      </c>
      <c r="TH10">
        <v>79002</v>
      </c>
      <c r="TI10">
        <v>487</v>
      </c>
      <c r="TJ10">
        <v>44288</v>
      </c>
      <c r="TK10">
        <v>79364</v>
      </c>
      <c r="TL10">
        <v>361</v>
      </c>
      <c r="TM10">
        <v>44289</v>
      </c>
      <c r="TN10">
        <v>79683</v>
      </c>
      <c r="TO10">
        <v>319</v>
      </c>
      <c r="TP10">
        <v>44291</v>
      </c>
      <c r="TQ10">
        <v>80366</v>
      </c>
      <c r="TR10">
        <v>359</v>
      </c>
      <c r="TS10">
        <v>44292</v>
      </c>
      <c r="TT10">
        <v>80912</v>
      </c>
      <c r="TU10">
        <v>543</v>
      </c>
      <c r="TV10">
        <v>44292</v>
      </c>
      <c r="TW10">
        <v>80918</v>
      </c>
      <c r="TX10">
        <v>543</v>
      </c>
      <c r="TY10">
        <v>44293</v>
      </c>
      <c r="TZ10">
        <v>81344</v>
      </c>
      <c r="UA10">
        <v>425</v>
      </c>
      <c r="UB10">
        <v>44295</v>
      </c>
      <c r="UC10">
        <v>82095</v>
      </c>
      <c r="UD10">
        <v>348</v>
      </c>
      <c r="UE10">
        <v>44295</v>
      </c>
      <c r="UF10">
        <v>82095</v>
      </c>
      <c r="UG10">
        <v>348</v>
      </c>
      <c r="UH10">
        <v>44296</v>
      </c>
      <c r="UI10">
        <v>82322</v>
      </c>
      <c r="UJ10">
        <v>225</v>
      </c>
      <c r="UK10">
        <v>44297</v>
      </c>
      <c r="UL10">
        <v>82561</v>
      </c>
      <c r="UM10">
        <v>238</v>
      </c>
      <c r="UN10">
        <v>44301</v>
      </c>
      <c r="UO10">
        <v>83911</v>
      </c>
      <c r="UP10">
        <v>275</v>
      </c>
      <c r="UQ10">
        <v>44302</v>
      </c>
      <c r="UR10">
        <v>84176</v>
      </c>
      <c r="US10">
        <v>264</v>
      </c>
      <c r="UT10">
        <v>44303</v>
      </c>
      <c r="UU10">
        <v>84348</v>
      </c>
      <c r="UV10">
        <v>171</v>
      </c>
      <c r="UW10">
        <v>44304</v>
      </c>
      <c r="UX10">
        <v>84505</v>
      </c>
      <c r="UY10">
        <v>155</v>
      </c>
      <c r="UZ10">
        <v>44306</v>
      </c>
      <c r="VA10">
        <v>85077</v>
      </c>
      <c r="VB10">
        <v>285</v>
      </c>
      <c r="VC10">
        <v>44306</v>
      </c>
      <c r="VD10">
        <v>85075</v>
      </c>
      <c r="VE10">
        <v>285</v>
      </c>
      <c r="VF10">
        <v>44307</v>
      </c>
      <c r="VG10">
        <v>85309</v>
      </c>
      <c r="VH10">
        <v>233</v>
      </c>
      <c r="VI10">
        <v>44309</v>
      </c>
      <c r="VJ10">
        <v>85822</v>
      </c>
      <c r="VK10">
        <v>255</v>
      </c>
      <c r="VL10">
        <v>44309</v>
      </c>
      <c r="VM10">
        <v>85822</v>
      </c>
      <c r="VN10">
        <v>255</v>
      </c>
      <c r="VO10">
        <v>44310</v>
      </c>
      <c r="VP10">
        <v>85977</v>
      </c>
      <c r="VQ10">
        <v>155</v>
      </c>
      <c r="VR10">
        <v>44311</v>
      </c>
      <c r="VS10">
        <v>86116</v>
      </c>
      <c r="VT10">
        <v>140</v>
      </c>
      <c r="VU10">
        <v>44313</v>
      </c>
      <c r="VV10">
        <v>86589</v>
      </c>
      <c r="VW10">
        <v>228</v>
      </c>
      <c r="VX10">
        <v>44313</v>
      </c>
      <c r="VY10">
        <v>86591</v>
      </c>
      <c r="VZ10">
        <v>228</v>
      </c>
      <c r="WA10">
        <v>44314</v>
      </c>
      <c r="WB10">
        <v>86868</v>
      </c>
      <c r="WC10">
        <v>273</v>
      </c>
      <c r="WD10">
        <v>44315</v>
      </c>
      <c r="WE10">
        <v>87069</v>
      </c>
      <c r="WF10">
        <v>201</v>
      </c>
      <c r="WG10">
        <v>44316</v>
      </c>
      <c r="WH10">
        <v>87264</v>
      </c>
      <c r="WI10">
        <v>195</v>
      </c>
      <c r="WJ10">
        <v>44318</v>
      </c>
      <c r="WK10">
        <v>87507</v>
      </c>
      <c r="WL10">
        <v>135</v>
      </c>
      <c r="WM10">
        <v>44318</v>
      </c>
      <c r="WN10">
        <v>87508</v>
      </c>
      <c r="WO10">
        <v>135</v>
      </c>
      <c r="WP10">
        <v>44321</v>
      </c>
      <c r="WQ10">
        <v>88299</v>
      </c>
      <c r="WR10">
        <v>266</v>
      </c>
      <c r="WS10">
        <v>44322</v>
      </c>
      <c r="WT10">
        <v>88533</v>
      </c>
      <c r="WU10">
        <v>234</v>
      </c>
      <c r="WV10">
        <v>44323</v>
      </c>
      <c r="WW10">
        <v>88749</v>
      </c>
      <c r="WX10">
        <v>214</v>
      </c>
      <c r="WY10">
        <v>44324</v>
      </c>
      <c r="WZ10">
        <v>88882</v>
      </c>
      <c r="XA10">
        <v>130</v>
      </c>
      <c r="XB10">
        <v>44325</v>
      </c>
      <c r="XC10">
        <v>89013</v>
      </c>
      <c r="XD10">
        <v>130</v>
      </c>
      <c r="XE10">
        <v>44327</v>
      </c>
      <c r="XF10">
        <v>89486</v>
      </c>
      <c r="XG10">
        <v>214</v>
      </c>
      <c r="XH10">
        <v>44327</v>
      </c>
      <c r="XI10">
        <v>89492</v>
      </c>
      <c r="XJ10">
        <v>214</v>
      </c>
      <c r="XK10">
        <v>44328</v>
      </c>
      <c r="XL10">
        <v>89748</v>
      </c>
      <c r="XM10">
        <v>256</v>
      </c>
      <c r="XN10">
        <v>44329</v>
      </c>
      <c r="XO10">
        <v>89903</v>
      </c>
      <c r="XP10">
        <v>155</v>
      </c>
      <c r="XQ10">
        <v>44330</v>
      </c>
      <c r="XR10">
        <v>90147</v>
      </c>
      <c r="XS10">
        <v>244</v>
      </c>
      <c r="XT10">
        <v>44331</v>
      </c>
      <c r="XU10">
        <v>90310</v>
      </c>
      <c r="XV10">
        <v>160</v>
      </c>
      <c r="XW10">
        <v>44332</v>
      </c>
      <c r="XX10">
        <v>90446</v>
      </c>
      <c r="XY10">
        <v>133</v>
      </c>
      <c r="XZ10">
        <v>44333</v>
      </c>
      <c r="YA10">
        <v>90731</v>
      </c>
      <c r="YB10">
        <v>284</v>
      </c>
      <c r="YC10">
        <v>44335</v>
      </c>
      <c r="YD10">
        <v>91179</v>
      </c>
      <c r="YE10">
        <v>230</v>
      </c>
      <c r="YF10">
        <v>44336</v>
      </c>
      <c r="YG10">
        <v>91396</v>
      </c>
      <c r="YH10">
        <v>215</v>
      </c>
      <c r="YI10">
        <v>44337</v>
      </c>
      <c r="YJ10">
        <v>91566</v>
      </c>
      <c r="YK10">
        <v>170</v>
      </c>
      <c r="YL10">
        <v>44338</v>
      </c>
      <c r="YM10">
        <v>91674</v>
      </c>
      <c r="YN10">
        <v>108</v>
      </c>
      <c r="YO10">
        <v>44339</v>
      </c>
      <c r="YP10">
        <v>91771</v>
      </c>
      <c r="YQ10">
        <v>93</v>
      </c>
      <c r="YR10">
        <v>44340</v>
      </c>
      <c r="YS10">
        <v>91959</v>
      </c>
      <c r="YT10">
        <v>188</v>
      </c>
      <c r="YU10">
        <v>44341</v>
      </c>
      <c r="YV10">
        <v>92119</v>
      </c>
      <c r="YW10">
        <v>152</v>
      </c>
    </row>
    <row r="11" spans="1:673">
      <c r="B11" t="str">
        <f t="shared" ca="1" si="2"/>
        <v>26.5</v>
      </c>
      <c r="C11" s="4">
        <f t="shared" ca="1" si="0"/>
        <v>44342</v>
      </c>
      <c r="D11" s="11">
        <f t="shared" ca="1" si="1"/>
        <v>92261</v>
      </c>
      <c r="E11">
        <f t="shared" ca="1" si="3"/>
        <v>142</v>
      </c>
      <c r="F11" s="11">
        <f t="shared" ca="1" si="4"/>
        <v>0</v>
      </c>
      <c r="G11" s="11">
        <f t="shared" ca="1" si="5"/>
        <v>142</v>
      </c>
      <c r="K11" s="10">
        <f ca="1">SUM(E11:E17)</f>
        <v>814</v>
      </c>
      <c r="L11" s="3"/>
      <c r="N11" s="16">
        <v>44342</v>
      </c>
      <c r="O11">
        <v>92261</v>
      </c>
      <c r="P11">
        <v>142</v>
      </c>
      <c r="Q11" s="16">
        <v>44342</v>
      </c>
      <c r="R11">
        <v>92261</v>
      </c>
      <c r="S11">
        <v>142</v>
      </c>
      <c r="T11" s="16">
        <v>44089</v>
      </c>
      <c r="U11">
        <v>8887</v>
      </c>
      <c r="V11">
        <v>53</v>
      </c>
      <c r="W11" s="16">
        <v>44090</v>
      </c>
      <c r="X11">
        <v>8945</v>
      </c>
      <c r="Y11">
        <v>57</v>
      </c>
      <c r="Z11" s="16">
        <v>44091</v>
      </c>
      <c r="AA11">
        <v>9031</v>
      </c>
      <c r="AB11">
        <v>85</v>
      </c>
      <c r="AC11" s="16">
        <v>44092</v>
      </c>
      <c r="AD11">
        <v>9106</v>
      </c>
      <c r="AE11">
        <v>76</v>
      </c>
      <c r="AF11" s="16">
        <v>44093</v>
      </c>
      <c r="AG11">
        <v>9167</v>
      </c>
      <c r="AH11">
        <v>61</v>
      </c>
      <c r="AI11" s="16">
        <v>44094</v>
      </c>
      <c r="AJ11">
        <v>9241</v>
      </c>
      <c r="AK11">
        <v>73</v>
      </c>
      <c r="AL11" s="16">
        <v>44095</v>
      </c>
      <c r="AM11">
        <v>9359</v>
      </c>
      <c r="AN11">
        <v>119</v>
      </c>
      <c r="AO11" s="16">
        <v>44096</v>
      </c>
      <c r="AP11">
        <v>9464</v>
      </c>
      <c r="AQ11">
        <v>105</v>
      </c>
      <c r="AR11" s="16">
        <v>44097</v>
      </c>
      <c r="AS11">
        <v>9582</v>
      </c>
      <c r="AT11">
        <v>118</v>
      </c>
      <c r="AU11" s="16">
        <v>44098</v>
      </c>
      <c r="AV11">
        <v>9679</v>
      </c>
      <c r="AW11">
        <v>97</v>
      </c>
      <c r="AX11" s="16">
        <v>44099</v>
      </c>
      <c r="AY11">
        <v>9806</v>
      </c>
      <c r="AZ11">
        <v>127</v>
      </c>
      <c r="BA11" s="16">
        <v>44100</v>
      </c>
      <c r="BB11">
        <v>9879</v>
      </c>
      <c r="BC11">
        <v>73</v>
      </c>
      <c r="BD11" s="16">
        <v>44101</v>
      </c>
      <c r="BE11">
        <v>9950</v>
      </c>
      <c r="BF11">
        <v>71</v>
      </c>
      <c r="BG11" s="16">
        <v>44102</v>
      </c>
      <c r="BH11">
        <v>10070</v>
      </c>
      <c r="BI11">
        <v>122</v>
      </c>
      <c r="BJ11" s="16">
        <v>44103</v>
      </c>
      <c r="BK11">
        <v>10205</v>
      </c>
      <c r="BL11">
        <v>133</v>
      </c>
      <c r="BM11" s="16">
        <v>44104</v>
      </c>
      <c r="BN11">
        <v>10371</v>
      </c>
      <c r="BO11">
        <v>166</v>
      </c>
      <c r="BP11" s="16">
        <v>44105</v>
      </c>
      <c r="BQ11">
        <v>10558</v>
      </c>
      <c r="BR11">
        <v>188</v>
      </c>
      <c r="BS11" s="16">
        <v>44106</v>
      </c>
      <c r="BT11">
        <v>10747</v>
      </c>
      <c r="BU11">
        <v>188</v>
      </c>
      <c r="BV11" s="16">
        <v>44108</v>
      </c>
      <c r="BW11">
        <v>11063</v>
      </c>
      <c r="BX11">
        <v>147</v>
      </c>
      <c r="BY11" s="16">
        <v>44109</v>
      </c>
      <c r="BZ11">
        <v>11354</v>
      </c>
      <c r="CA11">
        <v>289</v>
      </c>
      <c r="CB11" s="16">
        <v>44110</v>
      </c>
      <c r="CC11">
        <v>11656</v>
      </c>
      <c r="CD11">
        <v>301</v>
      </c>
      <c r="CE11" s="16">
        <v>44111</v>
      </c>
      <c r="CF11">
        <v>11969</v>
      </c>
      <c r="CG11">
        <v>306</v>
      </c>
      <c r="CH11" s="16">
        <v>44112</v>
      </c>
      <c r="CI11">
        <v>12230</v>
      </c>
      <c r="CJ11">
        <v>260</v>
      </c>
      <c r="CK11" s="16">
        <v>44113</v>
      </c>
      <c r="CL11">
        <v>12456</v>
      </c>
      <c r="CM11">
        <v>226</v>
      </c>
      <c r="CN11" s="16">
        <v>44114</v>
      </c>
      <c r="CO11">
        <v>12565</v>
      </c>
      <c r="CP11">
        <v>109</v>
      </c>
      <c r="CQ11" s="16">
        <v>44115</v>
      </c>
      <c r="CR11">
        <v>12695</v>
      </c>
      <c r="CS11">
        <v>130</v>
      </c>
      <c r="CT11" s="16">
        <v>44116</v>
      </c>
      <c r="CU11">
        <v>12951</v>
      </c>
      <c r="CV11">
        <v>254</v>
      </c>
      <c r="CW11" s="16">
        <v>44117</v>
      </c>
      <c r="CX11">
        <v>13149</v>
      </c>
      <c r="CY11">
        <v>197</v>
      </c>
      <c r="CZ11" s="16">
        <v>44119</v>
      </c>
      <c r="DA11">
        <v>13538</v>
      </c>
      <c r="DB11">
        <v>191</v>
      </c>
      <c r="DC11" s="16">
        <v>44120</v>
      </c>
      <c r="DD11">
        <v>13731</v>
      </c>
      <c r="DE11">
        <v>193</v>
      </c>
      <c r="DF11" s="16">
        <v>44121</v>
      </c>
      <c r="DG11">
        <v>13831</v>
      </c>
      <c r="DH11">
        <v>100</v>
      </c>
      <c r="DI11" s="16">
        <v>44122</v>
      </c>
      <c r="DJ11">
        <v>13960</v>
      </c>
      <c r="DK11">
        <v>128</v>
      </c>
      <c r="DL11" s="16">
        <v>44123</v>
      </c>
      <c r="DM11">
        <v>14207</v>
      </c>
      <c r="DN11">
        <v>244</v>
      </c>
      <c r="DO11" s="16">
        <v>44124</v>
      </c>
      <c r="DP11">
        <v>14369</v>
      </c>
      <c r="DQ11">
        <v>163</v>
      </c>
      <c r="DR11" s="16">
        <v>44125</v>
      </c>
      <c r="DS11">
        <v>14560</v>
      </c>
      <c r="DT11">
        <v>190</v>
      </c>
      <c r="DU11" s="16">
        <v>44126</v>
      </c>
      <c r="DV11">
        <v>14778</v>
      </c>
      <c r="DW11">
        <v>218</v>
      </c>
      <c r="DX11" s="16">
        <v>44127</v>
      </c>
      <c r="DY11">
        <v>14970</v>
      </c>
      <c r="DZ11">
        <v>192</v>
      </c>
      <c r="EA11" s="16">
        <v>44128</v>
      </c>
      <c r="EB11">
        <v>15078</v>
      </c>
      <c r="EC11">
        <v>108</v>
      </c>
      <c r="ED11" s="16">
        <v>44129</v>
      </c>
      <c r="EE11">
        <v>15193</v>
      </c>
      <c r="EF11">
        <v>123</v>
      </c>
      <c r="EG11" s="16">
        <v>44130</v>
      </c>
      <c r="EH11">
        <v>15449</v>
      </c>
      <c r="EI11">
        <v>256</v>
      </c>
      <c r="EJ11" s="16">
        <v>44131</v>
      </c>
      <c r="EK11">
        <v>15679</v>
      </c>
      <c r="EL11">
        <v>230</v>
      </c>
      <c r="EM11" s="16">
        <v>44132</v>
      </c>
      <c r="EN11">
        <v>15919</v>
      </c>
      <c r="EO11">
        <v>240</v>
      </c>
      <c r="EP11" s="16">
        <v>44133</v>
      </c>
      <c r="EQ11">
        <v>16156</v>
      </c>
      <c r="ER11">
        <v>237</v>
      </c>
      <c r="ES11" s="16">
        <v>44134</v>
      </c>
      <c r="ET11">
        <v>16376</v>
      </c>
      <c r="EU11">
        <v>219</v>
      </c>
      <c r="EV11" s="16">
        <v>44135</v>
      </c>
      <c r="EW11">
        <v>16497</v>
      </c>
      <c r="EX11">
        <v>121</v>
      </c>
      <c r="EY11" s="16">
        <v>44136</v>
      </c>
      <c r="EZ11">
        <v>16647</v>
      </c>
      <c r="FA11">
        <v>150</v>
      </c>
      <c r="FB11" s="16">
        <v>44137</v>
      </c>
      <c r="FC11">
        <v>16927</v>
      </c>
      <c r="FD11">
        <v>281</v>
      </c>
      <c r="FE11" s="16">
        <v>44138</v>
      </c>
      <c r="FF11">
        <v>17116</v>
      </c>
      <c r="FG11">
        <v>238</v>
      </c>
      <c r="FH11" s="16">
        <v>44139</v>
      </c>
      <c r="FI11">
        <v>17385</v>
      </c>
      <c r="FJ11">
        <v>211</v>
      </c>
      <c r="FK11" s="16">
        <v>44140</v>
      </c>
      <c r="FL11">
        <v>17617</v>
      </c>
      <c r="FM11">
        <v>222</v>
      </c>
      <c r="FN11" s="16">
        <v>44141</v>
      </c>
      <c r="FO11">
        <v>17812</v>
      </c>
      <c r="FP11">
        <v>195</v>
      </c>
      <c r="FQ11" s="16">
        <v>44142</v>
      </c>
      <c r="FR11">
        <v>17940</v>
      </c>
      <c r="FS11">
        <v>128</v>
      </c>
      <c r="FT11" s="16">
        <v>44143</v>
      </c>
      <c r="FU11">
        <v>18096</v>
      </c>
      <c r="FV11">
        <v>133</v>
      </c>
      <c r="FW11" s="16">
        <v>44144</v>
      </c>
      <c r="FX11">
        <v>18371</v>
      </c>
      <c r="FY11">
        <v>273</v>
      </c>
      <c r="FZ11" s="16">
        <v>44145</v>
      </c>
      <c r="GA11">
        <v>18580</v>
      </c>
      <c r="GB11">
        <v>205</v>
      </c>
      <c r="GC11" s="16">
        <v>44146</v>
      </c>
      <c r="GD11">
        <v>18872</v>
      </c>
      <c r="GE11">
        <v>292</v>
      </c>
      <c r="GF11" s="16">
        <v>44147</v>
      </c>
      <c r="GG11">
        <v>19154</v>
      </c>
      <c r="GH11">
        <v>282</v>
      </c>
      <c r="GI11" s="16">
        <v>44148</v>
      </c>
      <c r="GJ11">
        <v>19419</v>
      </c>
      <c r="GK11">
        <v>265</v>
      </c>
      <c r="GL11" s="16">
        <v>44149</v>
      </c>
      <c r="GM11">
        <v>19564</v>
      </c>
      <c r="GN11">
        <v>145</v>
      </c>
      <c r="GO11" s="16">
        <v>44150</v>
      </c>
      <c r="GP11">
        <v>19746</v>
      </c>
      <c r="GQ11">
        <v>182</v>
      </c>
      <c r="GR11" s="16">
        <v>44151</v>
      </c>
      <c r="GS11">
        <v>20139</v>
      </c>
      <c r="GT11">
        <v>392</v>
      </c>
      <c r="GU11" s="16">
        <v>44152</v>
      </c>
      <c r="GV11">
        <v>20529</v>
      </c>
      <c r="GW11">
        <v>391</v>
      </c>
      <c r="GX11" s="16">
        <v>44153</v>
      </c>
      <c r="GY11">
        <v>20905</v>
      </c>
      <c r="GZ11">
        <v>371</v>
      </c>
      <c r="HA11" s="16">
        <v>44154</v>
      </c>
      <c r="HB11">
        <v>21385</v>
      </c>
      <c r="HC11">
        <v>478</v>
      </c>
      <c r="HD11" s="16">
        <v>44155</v>
      </c>
      <c r="HE11">
        <v>21813</v>
      </c>
      <c r="HF11">
        <v>429</v>
      </c>
      <c r="HG11" s="16">
        <v>44156</v>
      </c>
      <c r="HH11">
        <v>22081</v>
      </c>
      <c r="HI11">
        <v>268</v>
      </c>
      <c r="HJ11" s="16">
        <v>44157</v>
      </c>
      <c r="HK11">
        <v>22349</v>
      </c>
      <c r="HL11">
        <v>267</v>
      </c>
      <c r="HM11" s="16">
        <v>44158</v>
      </c>
      <c r="HN11">
        <v>22851</v>
      </c>
      <c r="HO11">
        <v>504</v>
      </c>
      <c r="HP11" s="16">
        <v>44159</v>
      </c>
      <c r="HQ11">
        <v>23322</v>
      </c>
      <c r="HR11">
        <v>468</v>
      </c>
      <c r="HS11" s="16">
        <v>44160</v>
      </c>
      <c r="HT11">
        <v>23934</v>
      </c>
      <c r="HU11">
        <v>613</v>
      </c>
      <c r="HV11" s="16">
        <v>44161</v>
      </c>
      <c r="HW11">
        <v>24445</v>
      </c>
      <c r="HX11">
        <v>510</v>
      </c>
      <c r="HY11" s="16">
        <v>44162</v>
      </c>
      <c r="HZ11">
        <v>24900</v>
      </c>
      <c r="IA11">
        <v>455</v>
      </c>
      <c r="IB11" s="16">
        <v>44163</v>
      </c>
      <c r="IC11">
        <v>25184</v>
      </c>
      <c r="ID11">
        <v>285</v>
      </c>
      <c r="IE11" s="16">
        <v>44164</v>
      </c>
      <c r="IF11">
        <v>25478</v>
      </c>
      <c r="IG11">
        <v>293</v>
      </c>
      <c r="IH11" s="16">
        <v>44165</v>
      </c>
      <c r="II11">
        <v>26073</v>
      </c>
      <c r="IJ11">
        <v>596</v>
      </c>
      <c r="IK11" s="16">
        <v>44166</v>
      </c>
      <c r="IL11">
        <v>26514</v>
      </c>
      <c r="IM11">
        <v>440</v>
      </c>
      <c r="IN11" s="16">
        <v>44167</v>
      </c>
      <c r="IO11">
        <v>27008</v>
      </c>
      <c r="IP11">
        <v>494</v>
      </c>
      <c r="IQ11" s="16">
        <v>44168</v>
      </c>
      <c r="IR11">
        <v>27485</v>
      </c>
      <c r="IS11">
        <v>477</v>
      </c>
      <c r="IT11" s="16">
        <v>44169</v>
      </c>
      <c r="IU11">
        <v>27956</v>
      </c>
      <c r="IV11">
        <v>471</v>
      </c>
      <c r="IW11" s="16">
        <v>44170</v>
      </c>
      <c r="IX11">
        <v>28206</v>
      </c>
      <c r="IY11">
        <v>250</v>
      </c>
      <c r="IZ11" s="16">
        <v>44171</v>
      </c>
      <c r="JA11">
        <v>28490</v>
      </c>
      <c r="JB11">
        <v>282</v>
      </c>
      <c r="JC11" s="16">
        <v>44175</v>
      </c>
      <c r="JD11">
        <v>30433</v>
      </c>
      <c r="JE11">
        <v>408</v>
      </c>
      <c r="JF11" s="16">
        <v>44179</v>
      </c>
      <c r="JG11">
        <v>31866</v>
      </c>
      <c r="JH11">
        <v>463</v>
      </c>
      <c r="JI11" s="16">
        <v>44180</v>
      </c>
      <c r="JJ11">
        <v>32263</v>
      </c>
      <c r="JK11">
        <v>358</v>
      </c>
      <c r="JL11" s="16">
        <v>44181</v>
      </c>
      <c r="JM11">
        <v>32605</v>
      </c>
      <c r="JN11">
        <v>350</v>
      </c>
      <c r="JO11" s="16">
        <v>44182</v>
      </c>
      <c r="JP11">
        <v>32916</v>
      </c>
      <c r="JQ11">
        <v>319</v>
      </c>
      <c r="JR11" s="16">
        <v>44184</v>
      </c>
      <c r="JS11">
        <v>33506</v>
      </c>
      <c r="JT11">
        <v>190</v>
      </c>
      <c r="JU11" s="16">
        <v>44184</v>
      </c>
      <c r="JV11">
        <v>33507</v>
      </c>
      <c r="JW11">
        <v>190</v>
      </c>
      <c r="JX11" s="16">
        <v>44186</v>
      </c>
      <c r="JY11">
        <v>34120</v>
      </c>
      <c r="JZ11">
        <v>374</v>
      </c>
      <c r="KA11" s="16">
        <v>44198</v>
      </c>
      <c r="KB11">
        <v>36980</v>
      </c>
      <c r="KC11">
        <v>205</v>
      </c>
      <c r="KD11" s="16">
        <v>44198</v>
      </c>
      <c r="KE11">
        <v>36988</v>
      </c>
      <c r="KF11">
        <v>205</v>
      </c>
      <c r="KG11" s="16">
        <v>44199</v>
      </c>
      <c r="KH11">
        <v>37151</v>
      </c>
      <c r="KI11">
        <v>171</v>
      </c>
      <c r="KJ11" s="16">
        <v>44201</v>
      </c>
      <c r="KK11">
        <v>37805</v>
      </c>
      <c r="KL11">
        <v>260</v>
      </c>
      <c r="KM11" s="16">
        <v>44202</v>
      </c>
      <c r="KN11">
        <v>38018</v>
      </c>
      <c r="KO11">
        <v>209</v>
      </c>
      <c r="KP11" s="16">
        <v>44206</v>
      </c>
      <c r="KQ11">
        <v>38981</v>
      </c>
      <c r="KR11">
        <v>184</v>
      </c>
      <c r="KS11" s="16">
        <v>44207</v>
      </c>
      <c r="KT11">
        <v>39372</v>
      </c>
      <c r="KU11">
        <v>387</v>
      </c>
      <c r="KV11" s="16">
        <v>44208</v>
      </c>
      <c r="KW11">
        <v>39598</v>
      </c>
      <c r="KX11">
        <v>226</v>
      </c>
      <c r="KY11" s="16">
        <v>44210</v>
      </c>
      <c r="KZ11">
        <v>40102</v>
      </c>
      <c r="LA11">
        <v>249</v>
      </c>
      <c r="LB11" s="16">
        <v>44211</v>
      </c>
      <c r="LC11">
        <v>40378</v>
      </c>
      <c r="LD11">
        <v>266</v>
      </c>
      <c r="LE11" s="16">
        <v>44212</v>
      </c>
      <c r="LF11">
        <v>40546</v>
      </c>
      <c r="LG11">
        <v>168</v>
      </c>
      <c r="LH11" s="16">
        <v>44214</v>
      </c>
      <c r="LI11">
        <v>41155</v>
      </c>
      <c r="LJ11">
        <v>447</v>
      </c>
      <c r="LK11" s="16">
        <v>44214</v>
      </c>
      <c r="LL11">
        <v>41155</v>
      </c>
      <c r="LM11">
        <v>447</v>
      </c>
      <c r="LN11" s="16">
        <v>44216</v>
      </c>
      <c r="LO11">
        <v>41931</v>
      </c>
      <c r="LP11">
        <v>406</v>
      </c>
      <c r="LQ11" s="16">
        <v>44217</v>
      </c>
      <c r="LR11">
        <v>42303</v>
      </c>
      <c r="LS11">
        <v>375</v>
      </c>
      <c r="LT11" s="16">
        <v>44218</v>
      </c>
      <c r="LU11">
        <v>42663</v>
      </c>
      <c r="LV11">
        <v>359</v>
      </c>
      <c r="LW11" s="16">
        <v>44219</v>
      </c>
      <c r="LX11">
        <v>42840</v>
      </c>
      <c r="LY11">
        <v>168</v>
      </c>
      <c r="LZ11" s="16">
        <v>44220</v>
      </c>
      <c r="MA11">
        <v>43075</v>
      </c>
      <c r="MB11">
        <v>244</v>
      </c>
      <c r="MC11" s="16">
        <v>44221</v>
      </c>
      <c r="MD11">
        <v>43689</v>
      </c>
      <c r="ME11">
        <v>604</v>
      </c>
      <c r="MF11" s="16">
        <v>44223</v>
      </c>
      <c r="MG11">
        <v>44473</v>
      </c>
      <c r="MH11">
        <v>383</v>
      </c>
      <c r="MI11" s="16">
        <v>44223</v>
      </c>
      <c r="MJ11">
        <v>44474</v>
      </c>
      <c r="MK11">
        <v>383</v>
      </c>
      <c r="ML11" s="16">
        <v>44224</v>
      </c>
      <c r="MM11">
        <v>44908</v>
      </c>
      <c r="MN11">
        <v>436</v>
      </c>
      <c r="MO11" s="16">
        <v>44225</v>
      </c>
      <c r="MP11">
        <v>45282</v>
      </c>
      <c r="MQ11">
        <v>375</v>
      </c>
      <c r="MR11" s="16">
        <v>44226</v>
      </c>
      <c r="MS11">
        <v>45516</v>
      </c>
      <c r="MT11">
        <v>232</v>
      </c>
      <c r="MU11" s="16">
        <v>44227</v>
      </c>
      <c r="MV11">
        <v>45786</v>
      </c>
      <c r="MW11">
        <v>272</v>
      </c>
      <c r="MX11" s="16">
        <v>44228</v>
      </c>
      <c r="MY11">
        <v>46315</v>
      </c>
      <c r="MZ11">
        <v>530</v>
      </c>
      <c r="NA11" s="16">
        <v>44228</v>
      </c>
      <c r="NB11">
        <v>46316</v>
      </c>
      <c r="NC11">
        <v>530</v>
      </c>
      <c r="ND11" s="16">
        <v>44231</v>
      </c>
      <c r="NE11">
        <v>47525</v>
      </c>
      <c r="NF11">
        <v>369</v>
      </c>
      <c r="NG11" s="16">
        <v>44231</v>
      </c>
      <c r="NH11">
        <v>47524</v>
      </c>
      <c r="NI11">
        <v>369</v>
      </c>
      <c r="NJ11" s="16">
        <v>44233</v>
      </c>
      <c r="NK11">
        <v>48128</v>
      </c>
      <c r="NL11">
        <v>239</v>
      </c>
      <c r="NM11" s="16">
        <v>44233</v>
      </c>
      <c r="NN11">
        <v>48128</v>
      </c>
      <c r="NO11">
        <v>239</v>
      </c>
      <c r="NP11" s="16">
        <v>44235</v>
      </c>
      <c r="NQ11">
        <v>48851</v>
      </c>
      <c r="NR11">
        <v>460</v>
      </c>
      <c r="NS11" s="16">
        <v>44236</v>
      </c>
      <c r="NT11">
        <v>49221</v>
      </c>
      <c r="NU11">
        <v>371</v>
      </c>
      <c r="NV11" s="16">
        <v>44237</v>
      </c>
      <c r="NW11">
        <v>49601</v>
      </c>
      <c r="NX11">
        <v>382</v>
      </c>
      <c r="NY11" s="16">
        <v>44238</v>
      </c>
      <c r="NZ11">
        <v>49960</v>
      </c>
      <c r="OA11">
        <v>358</v>
      </c>
      <c r="OB11" s="16">
        <v>44239</v>
      </c>
      <c r="OC11">
        <v>50378</v>
      </c>
      <c r="OD11">
        <v>417</v>
      </c>
      <c r="OE11" s="16">
        <v>44240</v>
      </c>
      <c r="OF11">
        <v>50654</v>
      </c>
      <c r="OG11">
        <v>276</v>
      </c>
      <c r="OH11" s="16">
        <v>44241</v>
      </c>
      <c r="OI11">
        <v>50935</v>
      </c>
      <c r="OJ11">
        <v>281</v>
      </c>
      <c r="OK11" s="16">
        <v>44242</v>
      </c>
      <c r="OL11">
        <v>51551</v>
      </c>
      <c r="OM11">
        <v>615</v>
      </c>
      <c r="ON11" s="16">
        <v>44243</v>
      </c>
      <c r="OO11">
        <v>52064</v>
      </c>
      <c r="OP11">
        <v>513</v>
      </c>
      <c r="OQ11" s="16">
        <v>44244</v>
      </c>
      <c r="OR11">
        <v>52614</v>
      </c>
      <c r="OS11">
        <v>550</v>
      </c>
      <c r="OT11" s="16">
        <v>44245</v>
      </c>
      <c r="OU11">
        <v>53226</v>
      </c>
      <c r="OV11">
        <v>611</v>
      </c>
      <c r="OW11" s="16">
        <v>44246</v>
      </c>
      <c r="OX11">
        <v>53796</v>
      </c>
      <c r="OY11">
        <v>571</v>
      </c>
      <c r="OZ11" s="16">
        <v>44247</v>
      </c>
      <c r="PA11">
        <v>54115</v>
      </c>
      <c r="PB11">
        <v>317</v>
      </c>
      <c r="PC11" s="16">
        <v>44248</v>
      </c>
      <c r="PD11">
        <v>54471</v>
      </c>
      <c r="PE11">
        <v>355</v>
      </c>
      <c r="PF11" s="16">
        <v>44249</v>
      </c>
      <c r="PG11">
        <v>55094</v>
      </c>
      <c r="PH11">
        <v>623</v>
      </c>
      <c r="PI11" s="16">
        <v>44250</v>
      </c>
      <c r="PJ11">
        <v>55723</v>
      </c>
      <c r="PK11">
        <v>625</v>
      </c>
      <c r="PL11" s="16">
        <v>44251</v>
      </c>
      <c r="PM11">
        <v>56321</v>
      </c>
      <c r="PN11">
        <v>599</v>
      </c>
      <c r="PO11" s="16">
        <v>44252</v>
      </c>
      <c r="PP11">
        <v>56940</v>
      </c>
      <c r="PQ11">
        <v>618</v>
      </c>
      <c r="PR11" s="16">
        <v>44253</v>
      </c>
      <c r="PS11">
        <v>57630</v>
      </c>
      <c r="PT11">
        <v>690</v>
      </c>
      <c r="PU11" s="16">
        <v>44254</v>
      </c>
      <c r="PV11">
        <v>58029</v>
      </c>
      <c r="PW11">
        <v>400</v>
      </c>
      <c r="PX11" s="16">
        <v>44255</v>
      </c>
      <c r="PY11">
        <v>58448</v>
      </c>
      <c r="PZ11">
        <v>419</v>
      </c>
      <c r="QA11" s="16">
        <v>44256</v>
      </c>
      <c r="QB11">
        <v>59320</v>
      </c>
      <c r="QC11">
        <v>870</v>
      </c>
      <c r="QD11" s="16">
        <v>44257</v>
      </c>
      <c r="QE11">
        <v>60080</v>
      </c>
      <c r="QF11">
        <v>758</v>
      </c>
      <c r="QG11" s="16">
        <v>44258</v>
      </c>
      <c r="QH11">
        <v>60811</v>
      </c>
      <c r="QI11">
        <v>731</v>
      </c>
      <c r="QJ11" s="16">
        <v>44259</v>
      </c>
      <c r="QK11">
        <v>61453</v>
      </c>
      <c r="QL11">
        <v>639</v>
      </c>
      <c r="QM11" s="16">
        <v>44260</v>
      </c>
      <c r="QN11">
        <v>62081</v>
      </c>
      <c r="QO11">
        <v>628</v>
      </c>
      <c r="QP11" s="16">
        <v>44261</v>
      </c>
      <c r="QQ11">
        <v>62513</v>
      </c>
      <c r="QR11">
        <v>432</v>
      </c>
      <c r="QS11" s="16">
        <v>44262</v>
      </c>
      <c r="QT11">
        <v>62910</v>
      </c>
      <c r="QU11">
        <v>396</v>
      </c>
      <c r="QV11" s="16">
        <v>44263</v>
      </c>
      <c r="QW11">
        <v>63743</v>
      </c>
      <c r="QX11">
        <v>833</v>
      </c>
      <c r="QY11" s="16">
        <v>44264</v>
      </c>
      <c r="QZ11">
        <v>64511</v>
      </c>
      <c r="RA11">
        <v>774</v>
      </c>
      <c r="RB11" s="16">
        <v>44265</v>
      </c>
      <c r="RC11">
        <v>65331</v>
      </c>
      <c r="RD11">
        <v>817</v>
      </c>
      <c r="RE11" s="16">
        <v>44266</v>
      </c>
      <c r="RF11">
        <v>66105</v>
      </c>
      <c r="RG11">
        <v>775</v>
      </c>
      <c r="RH11" s="16">
        <v>44267</v>
      </c>
      <c r="RI11">
        <v>66917</v>
      </c>
      <c r="RJ11">
        <v>812</v>
      </c>
      <c r="RK11" s="16">
        <v>44268</v>
      </c>
      <c r="RL11">
        <v>67407</v>
      </c>
      <c r="RM11">
        <v>491</v>
      </c>
      <c r="RN11" s="16">
        <v>44270</v>
      </c>
      <c r="RO11">
        <v>68731</v>
      </c>
      <c r="RP11">
        <v>891</v>
      </c>
      <c r="RQ11" s="16">
        <v>44271</v>
      </c>
      <c r="RR11">
        <v>69494</v>
      </c>
      <c r="RS11">
        <v>763</v>
      </c>
      <c r="RT11">
        <v>44272</v>
      </c>
      <c r="RU11">
        <v>70237</v>
      </c>
      <c r="RV11">
        <v>743</v>
      </c>
      <c r="RW11">
        <v>44273</v>
      </c>
      <c r="RX11">
        <v>70973</v>
      </c>
      <c r="RY11">
        <v>736</v>
      </c>
      <c r="RZ11">
        <v>44274</v>
      </c>
      <c r="SA11">
        <v>71717</v>
      </c>
      <c r="SB11">
        <v>744</v>
      </c>
      <c r="SC11">
        <v>44275</v>
      </c>
      <c r="SD11">
        <v>72121</v>
      </c>
      <c r="SE11">
        <v>404</v>
      </c>
      <c r="SF11">
        <v>44276</v>
      </c>
      <c r="SG11">
        <v>72540</v>
      </c>
      <c r="SH11">
        <v>417</v>
      </c>
      <c r="SI11">
        <v>44277</v>
      </c>
      <c r="SJ11">
        <v>73306</v>
      </c>
      <c r="SK11">
        <v>767</v>
      </c>
      <c r="SL11">
        <v>44279</v>
      </c>
      <c r="SM11">
        <v>74702</v>
      </c>
      <c r="SN11">
        <v>693</v>
      </c>
      <c r="SO11">
        <v>44280</v>
      </c>
      <c r="SP11">
        <v>75326</v>
      </c>
      <c r="SQ11">
        <v>606</v>
      </c>
      <c r="SR11">
        <v>44281</v>
      </c>
      <c r="SS11">
        <v>76015</v>
      </c>
      <c r="ST11">
        <v>686</v>
      </c>
      <c r="SU11">
        <v>44282</v>
      </c>
      <c r="SV11">
        <v>76365</v>
      </c>
      <c r="SW11">
        <v>350</v>
      </c>
      <c r="SX11">
        <v>44284</v>
      </c>
      <c r="SY11">
        <v>77392</v>
      </c>
      <c r="SZ11">
        <v>655</v>
      </c>
      <c r="TA11">
        <v>44285</v>
      </c>
      <c r="TB11">
        <v>77961</v>
      </c>
      <c r="TC11">
        <v>568</v>
      </c>
      <c r="TD11">
        <v>44287</v>
      </c>
      <c r="TE11">
        <v>78998</v>
      </c>
      <c r="TF11">
        <v>487</v>
      </c>
      <c r="TG11">
        <v>44288</v>
      </c>
      <c r="TH11">
        <v>79363</v>
      </c>
      <c r="TI11">
        <v>361</v>
      </c>
      <c r="TJ11">
        <v>44289</v>
      </c>
      <c r="TK11">
        <v>79683</v>
      </c>
      <c r="TL11">
        <v>319</v>
      </c>
      <c r="TM11">
        <v>44290</v>
      </c>
      <c r="TN11">
        <v>80003</v>
      </c>
      <c r="TO11">
        <v>320</v>
      </c>
      <c r="TP11">
        <v>44292</v>
      </c>
      <c r="TQ11">
        <v>80909</v>
      </c>
      <c r="TR11">
        <v>543</v>
      </c>
      <c r="TS11">
        <v>44293</v>
      </c>
      <c r="TT11">
        <v>81336</v>
      </c>
      <c r="TU11">
        <v>424</v>
      </c>
      <c r="TV11">
        <v>44293</v>
      </c>
      <c r="TW11">
        <v>81342</v>
      </c>
      <c r="TX11">
        <v>424</v>
      </c>
      <c r="TY11">
        <v>44294</v>
      </c>
      <c r="TZ11">
        <v>81747</v>
      </c>
      <c r="UA11">
        <v>403</v>
      </c>
      <c r="UB11">
        <v>44296</v>
      </c>
      <c r="UC11">
        <v>82319</v>
      </c>
      <c r="UD11">
        <v>224</v>
      </c>
      <c r="UE11">
        <v>44296</v>
      </c>
      <c r="UF11">
        <v>82320</v>
      </c>
      <c r="UG11">
        <v>225</v>
      </c>
      <c r="UH11">
        <v>44297</v>
      </c>
      <c r="UI11">
        <v>82560</v>
      </c>
      <c r="UJ11">
        <v>238</v>
      </c>
      <c r="UK11">
        <v>44298</v>
      </c>
      <c r="UL11">
        <v>82957</v>
      </c>
      <c r="UM11">
        <v>396</v>
      </c>
      <c r="UN11">
        <v>44302</v>
      </c>
      <c r="UO11">
        <v>84175</v>
      </c>
      <c r="UP11">
        <v>264</v>
      </c>
      <c r="UQ11">
        <v>44303</v>
      </c>
      <c r="UR11">
        <v>84347</v>
      </c>
      <c r="US11">
        <v>171</v>
      </c>
      <c r="UT11">
        <v>44304</v>
      </c>
      <c r="UU11">
        <v>84503</v>
      </c>
      <c r="UV11">
        <v>155</v>
      </c>
      <c r="UW11">
        <v>44305</v>
      </c>
      <c r="UX11">
        <v>84788</v>
      </c>
      <c r="UY11">
        <v>283</v>
      </c>
      <c r="UZ11">
        <v>44307</v>
      </c>
      <c r="VA11">
        <v>85310</v>
      </c>
      <c r="VB11">
        <v>233</v>
      </c>
      <c r="VC11">
        <v>44307</v>
      </c>
      <c r="VD11">
        <v>85308</v>
      </c>
      <c r="VE11">
        <v>233</v>
      </c>
      <c r="VF11">
        <v>44308</v>
      </c>
      <c r="VG11">
        <v>85567</v>
      </c>
      <c r="VH11">
        <v>258</v>
      </c>
      <c r="VI11">
        <v>44310</v>
      </c>
      <c r="VJ11">
        <v>85976</v>
      </c>
      <c r="VK11">
        <v>154</v>
      </c>
      <c r="VL11">
        <v>44310</v>
      </c>
      <c r="VM11">
        <v>85976</v>
      </c>
      <c r="VN11">
        <v>154</v>
      </c>
      <c r="VO11">
        <v>44311</v>
      </c>
      <c r="VP11">
        <v>86118</v>
      </c>
      <c r="VQ11">
        <v>141</v>
      </c>
      <c r="VR11">
        <v>44312</v>
      </c>
      <c r="VS11">
        <v>86358</v>
      </c>
      <c r="VT11">
        <v>242</v>
      </c>
      <c r="VU11">
        <v>44314</v>
      </c>
      <c r="VV11">
        <v>86862</v>
      </c>
      <c r="VW11">
        <v>273</v>
      </c>
      <c r="VX11">
        <v>44314</v>
      </c>
      <c r="VY11">
        <v>86864</v>
      </c>
      <c r="VZ11">
        <v>273</v>
      </c>
      <c r="WA11">
        <v>44315</v>
      </c>
      <c r="WB11">
        <v>87069</v>
      </c>
      <c r="WC11">
        <v>201</v>
      </c>
      <c r="WD11">
        <v>44316</v>
      </c>
      <c r="WE11">
        <v>87264</v>
      </c>
      <c r="WF11">
        <v>195</v>
      </c>
      <c r="WG11">
        <v>44317</v>
      </c>
      <c r="WH11">
        <v>87371</v>
      </c>
      <c r="WI11">
        <v>107</v>
      </c>
      <c r="WJ11">
        <v>44319</v>
      </c>
      <c r="WK11">
        <v>87825</v>
      </c>
      <c r="WL11">
        <v>318</v>
      </c>
      <c r="WM11">
        <v>44319</v>
      </c>
      <c r="WN11">
        <v>87826</v>
      </c>
      <c r="WO11">
        <v>318</v>
      </c>
      <c r="WP11">
        <v>44322</v>
      </c>
      <c r="WQ11">
        <v>88533</v>
      </c>
      <c r="WR11">
        <v>234</v>
      </c>
      <c r="WS11">
        <v>44323</v>
      </c>
      <c r="WT11">
        <v>88747</v>
      </c>
      <c r="WU11">
        <v>214</v>
      </c>
      <c r="WV11">
        <v>44324</v>
      </c>
      <c r="WW11">
        <v>88879</v>
      </c>
      <c r="WX11">
        <v>130</v>
      </c>
      <c r="WY11">
        <v>44325</v>
      </c>
      <c r="WZ11">
        <v>89012</v>
      </c>
      <c r="XA11">
        <v>130</v>
      </c>
      <c r="XB11">
        <v>44326</v>
      </c>
      <c r="XC11">
        <v>89271</v>
      </c>
      <c r="XD11">
        <v>258</v>
      </c>
      <c r="XE11">
        <v>44328</v>
      </c>
      <c r="XF11">
        <v>89742</v>
      </c>
      <c r="XG11">
        <v>256</v>
      </c>
      <c r="XH11">
        <v>44328</v>
      </c>
      <c r="XI11">
        <v>89748</v>
      </c>
      <c r="XJ11">
        <v>256</v>
      </c>
      <c r="XK11">
        <v>44329</v>
      </c>
      <c r="XL11">
        <v>89903</v>
      </c>
      <c r="XM11">
        <v>155</v>
      </c>
      <c r="XN11">
        <v>44330</v>
      </c>
      <c r="XO11">
        <v>90147</v>
      </c>
      <c r="XP11">
        <v>244</v>
      </c>
      <c r="XQ11">
        <v>44331</v>
      </c>
      <c r="XR11">
        <v>90307</v>
      </c>
      <c r="XS11">
        <v>160</v>
      </c>
      <c r="XT11">
        <v>44332</v>
      </c>
      <c r="XU11">
        <v>90443</v>
      </c>
      <c r="XV11">
        <v>133</v>
      </c>
      <c r="XW11">
        <v>44333</v>
      </c>
      <c r="XX11">
        <v>90730</v>
      </c>
      <c r="XY11">
        <v>284</v>
      </c>
      <c r="XZ11">
        <v>44334</v>
      </c>
      <c r="YA11">
        <v>90947</v>
      </c>
      <c r="YB11">
        <v>216</v>
      </c>
      <c r="YC11">
        <v>44336</v>
      </c>
      <c r="YD11">
        <v>91394</v>
      </c>
      <c r="YE11">
        <v>215</v>
      </c>
      <c r="YF11">
        <v>44337</v>
      </c>
      <c r="YG11">
        <v>91566</v>
      </c>
      <c r="YH11">
        <v>170</v>
      </c>
      <c r="YI11">
        <v>44338</v>
      </c>
      <c r="YJ11">
        <v>91674</v>
      </c>
      <c r="YK11">
        <v>108</v>
      </c>
      <c r="YL11">
        <v>44339</v>
      </c>
      <c r="YM11">
        <v>91767</v>
      </c>
      <c r="YN11">
        <v>93</v>
      </c>
      <c r="YO11">
        <v>44340</v>
      </c>
      <c r="YP11">
        <v>91959</v>
      </c>
      <c r="YQ11">
        <v>188</v>
      </c>
      <c r="YR11">
        <v>44341</v>
      </c>
      <c r="YS11">
        <v>92111</v>
      </c>
      <c r="YT11">
        <v>152</v>
      </c>
      <c r="YU11">
        <v>44342</v>
      </c>
      <c r="YV11">
        <v>92261</v>
      </c>
      <c r="YW11">
        <v>142</v>
      </c>
    </row>
    <row r="12" spans="1:673">
      <c r="B12" t="str">
        <f t="shared" ca="1" si="2"/>
        <v>27.5</v>
      </c>
      <c r="C12" s="4">
        <f t="shared" ca="1" si="0"/>
        <v>44343</v>
      </c>
      <c r="D12" s="11">
        <f t="shared" ca="1" si="1"/>
        <v>92388</v>
      </c>
      <c r="E12">
        <f t="shared" ca="1" si="3"/>
        <v>127</v>
      </c>
      <c r="F12" s="11">
        <f t="shared" ca="1" si="4"/>
        <v>0</v>
      </c>
      <c r="G12" s="11">
        <f t="shared" ca="1" si="5"/>
        <v>127</v>
      </c>
      <c r="L12" s="3"/>
      <c r="N12" s="16">
        <v>44343</v>
      </c>
      <c r="O12">
        <v>92388</v>
      </c>
      <c r="P12">
        <v>127</v>
      </c>
      <c r="Q12" s="16">
        <v>44343</v>
      </c>
      <c r="R12">
        <v>92388</v>
      </c>
      <c r="S12">
        <v>127</v>
      </c>
      <c r="T12" s="16">
        <v>44090</v>
      </c>
      <c r="U12">
        <v>8944</v>
      </c>
      <c r="V12">
        <v>57</v>
      </c>
      <c r="W12" s="16">
        <v>44091</v>
      </c>
      <c r="X12">
        <v>9030</v>
      </c>
      <c r="Y12">
        <v>85</v>
      </c>
      <c r="Z12" s="16">
        <v>44092</v>
      </c>
      <c r="AA12">
        <v>9107</v>
      </c>
      <c r="AB12">
        <v>76</v>
      </c>
      <c r="AC12" s="16">
        <v>44093</v>
      </c>
      <c r="AD12">
        <v>9167</v>
      </c>
      <c r="AE12">
        <v>61</v>
      </c>
      <c r="AF12" s="16">
        <v>44094</v>
      </c>
      <c r="AG12">
        <v>9240</v>
      </c>
      <c r="AH12">
        <v>73</v>
      </c>
      <c r="AI12" s="16">
        <v>44095</v>
      </c>
      <c r="AJ12">
        <v>9360</v>
      </c>
      <c r="AK12">
        <v>119</v>
      </c>
      <c r="AL12" s="16">
        <v>44096</v>
      </c>
      <c r="AM12">
        <v>9464</v>
      </c>
      <c r="AN12">
        <v>105</v>
      </c>
      <c r="AO12" s="16">
        <v>44097</v>
      </c>
      <c r="AP12">
        <v>9582</v>
      </c>
      <c r="AQ12">
        <v>118</v>
      </c>
      <c r="AR12" s="16">
        <v>44098</v>
      </c>
      <c r="AS12">
        <v>9679</v>
      </c>
      <c r="AT12">
        <v>97</v>
      </c>
      <c r="AU12" s="16">
        <v>44099</v>
      </c>
      <c r="AV12">
        <v>9806</v>
      </c>
      <c r="AW12">
        <v>127</v>
      </c>
      <c r="AX12" s="16">
        <v>44100</v>
      </c>
      <c r="AY12">
        <v>9879</v>
      </c>
      <c r="AZ12">
        <v>73</v>
      </c>
      <c r="BA12" s="16">
        <v>44101</v>
      </c>
      <c r="BB12">
        <v>9950</v>
      </c>
      <c r="BC12">
        <v>71</v>
      </c>
      <c r="BD12" s="16">
        <v>44102</v>
      </c>
      <c r="BE12">
        <v>10072</v>
      </c>
      <c r="BF12">
        <v>122</v>
      </c>
      <c r="BG12" s="16">
        <v>44103</v>
      </c>
      <c r="BH12">
        <v>10203</v>
      </c>
      <c r="BI12">
        <v>133</v>
      </c>
      <c r="BJ12" s="16">
        <v>44104</v>
      </c>
      <c r="BK12">
        <v>10370</v>
      </c>
      <c r="BL12">
        <v>165</v>
      </c>
      <c r="BM12" s="16">
        <v>44105</v>
      </c>
      <c r="BN12">
        <v>10559</v>
      </c>
      <c r="BO12">
        <v>188</v>
      </c>
      <c r="BP12" s="16">
        <v>44106</v>
      </c>
      <c r="BQ12">
        <v>10746</v>
      </c>
      <c r="BR12">
        <v>188</v>
      </c>
      <c r="BS12" s="16">
        <v>44107</v>
      </c>
      <c r="BT12">
        <v>10916</v>
      </c>
      <c r="BU12">
        <v>169</v>
      </c>
      <c r="BV12" s="16">
        <v>44109</v>
      </c>
      <c r="BW12">
        <v>11352</v>
      </c>
      <c r="BX12">
        <v>289</v>
      </c>
      <c r="BY12" s="16">
        <v>44110</v>
      </c>
      <c r="BZ12">
        <v>11653</v>
      </c>
      <c r="CA12">
        <v>299</v>
      </c>
      <c r="CB12" s="16">
        <v>44111</v>
      </c>
      <c r="CC12">
        <v>11962</v>
      </c>
      <c r="CD12">
        <v>306</v>
      </c>
      <c r="CE12" s="16">
        <v>44112</v>
      </c>
      <c r="CF12">
        <v>12229</v>
      </c>
      <c r="CG12">
        <v>260</v>
      </c>
      <c r="CH12" s="16">
        <v>44113</v>
      </c>
      <c r="CI12">
        <v>12456</v>
      </c>
      <c r="CJ12">
        <v>226</v>
      </c>
      <c r="CK12" s="16">
        <v>44114</v>
      </c>
      <c r="CL12">
        <v>12565</v>
      </c>
      <c r="CM12">
        <v>109</v>
      </c>
      <c r="CN12" s="16">
        <v>44115</v>
      </c>
      <c r="CO12">
        <v>12695</v>
      </c>
      <c r="CP12">
        <v>130</v>
      </c>
      <c r="CQ12" s="16">
        <v>44116</v>
      </c>
      <c r="CR12">
        <v>12949</v>
      </c>
      <c r="CS12">
        <v>254</v>
      </c>
      <c r="CT12" s="16">
        <v>44117</v>
      </c>
      <c r="CU12">
        <v>13148</v>
      </c>
      <c r="CV12">
        <v>197</v>
      </c>
      <c r="CW12" s="16">
        <v>44118</v>
      </c>
      <c r="CX12">
        <v>13349</v>
      </c>
      <c r="CY12">
        <v>200</v>
      </c>
      <c r="CZ12" s="16">
        <v>44120</v>
      </c>
      <c r="DA12">
        <v>13731</v>
      </c>
      <c r="DB12">
        <v>193</v>
      </c>
      <c r="DC12" s="16">
        <v>44121</v>
      </c>
      <c r="DD12">
        <v>13831</v>
      </c>
      <c r="DE12">
        <v>100</v>
      </c>
      <c r="DF12" s="16">
        <v>44122</v>
      </c>
      <c r="DG12">
        <v>13959</v>
      </c>
      <c r="DH12">
        <v>128</v>
      </c>
      <c r="DI12" s="16">
        <v>44123</v>
      </c>
      <c r="DJ12">
        <v>14204</v>
      </c>
      <c r="DK12">
        <v>244</v>
      </c>
      <c r="DL12" s="16">
        <v>44124</v>
      </c>
      <c r="DM12">
        <v>14370</v>
      </c>
      <c r="DN12">
        <v>163</v>
      </c>
      <c r="DO12" s="16">
        <v>44125</v>
      </c>
      <c r="DP12">
        <v>14559</v>
      </c>
      <c r="DQ12">
        <v>190</v>
      </c>
      <c r="DR12" s="16">
        <v>44126</v>
      </c>
      <c r="DS12">
        <v>14777</v>
      </c>
      <c r="DT12">
        <v>217</v>
      </c>
      <c r="DU12" s="16">
        <v>44127</v>
      </c>
      <c r="DV12">
        <v>14970</v>
      </c>
      <c r="DW12">
        <v>192</v>
      </c>
      <c r="DX12" s="16">
        <v>44128</v>
      </c>
      <c r="DY12">
        <v>15078</v>
      </c>
      <c r="DZ12">
        <v>108</v>
      </c>
      <c r="EA12" s="16">
        <v>44129</v>
      </c>
      <c r="EB12">
        <v>15201</v>
      </c>
      <c r="EC12">
        <v>123</v>
      </c>
      <c r="ED12" s="16">
        <v>44130</v>
      </c>
      <c r="EE12">
        <v>15449</v>
      </c>
      <c r="EF12">
        <v>256</v>
      </c>
      <c r="EG12" s="16">
        <v>44131</v>
      </c>
      <c r="EH12">
        <v>15679</v>
      </c>
      <c r="EI12">
        <v>230</v>
      </c>
      <c r="EJ12" s="16">
        <v>44132</v>
      </c>
      <c r="EK12">
        <v>15919</v>
      </c>
      <c r="EL12">
        <v>240</v>
      </c>
      <c r="EM12" s="16">
        <v>44133</v>
      </c>
      <c r="EN12">
        <v>16156</v>
      </c>
      <c r="EO12">
        <v>237</v>
      </c>
      <c r="EP12" s="16">
        <v>44134</v>
      </c>
      <c r="EQ12">
        <v>16375</v>
      </c>
      <c r="ER12">
        <v>219</v>
      </c>
      <c r="ES12" s="16">
        <v>44135</v>
      </c>
      <c r="ET12">
        <v>16497</v>
      </c>
      <c r="EU12">
        <v>121</v>
      </c>
      <c r="EV12" s="16">
        <v>44136</v>
      </c>
      <c r="EW12">
        <v>16647</v>
      </c>
      <c r="EX12">
        <v>150</v>
      </c>
      <c r="EY12" s="16">
        <v>44137</v>
      </c>
      <c r="EZ12">
        <v>16928</v>
      </c>
      <c r="FA12">
        <v>281</v>
      </c>
      <c r="FB12" s="16">
        <v>44138</v>
      </c>
      <c r="FC12">
        <v>17168</v>
      </c>
      <c r="FD12">
        <v>241</v>
      </c>
      <c r="FE12" s="16">
        <v>44139</v>
      </c>
      <c r="FF12">
        <v>17325</v>
      </c>
      <c r="FG12">
        <v>209</v>
      </c>
      <c r="FH12" s="16">
        <v>44140</v>
      </c>
      <c r="FI12">
        <v>17606</v>
      </c>
      <c r="FJ12">
        <v>221</v>
      </c>
      <c r="FK12" s="16">
        <v>44141</v>
      </c>
      <c r="FL12">
        <v>17812</v>
      </c>
      <c r="FM12">
        <v>195</v>
      </c>
      <c r="FN12" s="16">
        <v>44142</v>
      </c>
      <c r="FO12">
        <v>17940</v>
      </c>
      <c r="FP12">
        <v>128</v>
      </c>
      <c r="FQ12" s="16">
        <v>44143</v>
      </c>
      <c r="FR12">
        <v>18073</v>
      </c>
      <c r="FS12">
        <v>133</v>
      </c>
      <c r="FT12" s="16">
        <v>44144</v>
      </c>
      <c r="FU12">
        <v>18369</v>
      </c>
      <c r="FV12">
        <v>273</v>
      </c>
      <c r="FW12" s="16">
        <v>44145</v>
      </c>
      <c r="FX12">
        <v>18576</v>
      </c>
      <c r="FY12">
        <v>205</v>
      </c>
      <c r="FZ12" s="16">
        <v>44146</v>
      </c>
      <c r="GA12">
        <v>18872</v>
      </c>
      <c r="GB12">
        <v>292</v>
      </c>
      <c r="GC12" s="16">
        <v>44147</v>
      </c>
      <c r="GD12">
        <v>19154</v>
      </c>
      <c r="GE12">
        <v>282</v>
      </c>
      <c r="GF12" s="16">
        <v>44148</v>
      </c>
      <c r="GG12">
        <v>19419</v>
      </c>
      <c r="GH12">
        <v>265</v>
      </c>
      <c r="GI12" s="16">
        <v>44149</v>
      </c>
      <c r="GJ12">
        <v>19564</v>
      </c>
      <c r="GK12">
        <v>145</v>
      </c>
      <c r="GL12" s="16">
        <v>44150</v>
      </c>
      <c r="GM12">
        <v>19746</v>
      </c>
      <c r="GN12">
        <v>182</v>
      </c>
      <c r="GO12" s="16">
        <v>44151</v>
      </c>
      <c r="GP12">
        <v>20138</v>
      </c>
      <c r="GQ12">
        <v>392</v>
      </c>
      <c r="GR12" s="16">
        <v>44152</v>
      </c>
      <c r="GS12">
        <v>20531</v>
      </c>
      <c r="GT12">
        <v>392</v>
      </c>
      <c r="GU12" s="16">
        <v>44153</v>
      </c>
      <c r="GV12">
        <v>20900</v>
      </c>
      <c r="GW12">
        <v>371</v>
      </c>
      <c r="GX12" s="16">
        <v>44154</v>
      </c>
      <c r="GY12">
        <v>21383</v>
      </c>
      <c r="GZ12">
        <v>478</v>
      </c>
      <c r="HA12" s="16">
        <v>44155</v>
      </c>
      <c r="HB12">
        <v>21814</v>
      </c>
      <c r="HC12">
        <v>429</v>
      </c>
      <c r="HD12" s="16">
        <v>44156</v>
      </c>
      <c r="HE12">
        <v>22081</v>
      </c>
      <c r="HF12">
        <v>268</v>
      </c>
      <c r="HG12" s="16">
        <v>44157</v>
      </c>
      <c r="HH12">
        <v>22348</v>
      </c>
      <c r="HI12">
        <v>267</v>
      </c>
      <c r="HJ12" s="16">
        <v>44158</v>
      </c>
      <c r="HK12">
        <v>22853</v>
      </c>
      <c r="HL12">
        <v>504</v>
      </c>
      <c r="HM12" s="16">
        <v>44159</v>
      </c>
      <c r="HN12">
        <v>23319</v>
      </c>
      <c r="HO12">
        <v>468</v>
      </c>
      <c r="HP12" s="16">
        <v>44160</v>
      </c>
      <c r="HQ12">
        <v>23935</v>
      </c>
      <c r="HR12">
        <v>613</v>
      </c>
      <c r="HS12" s="16">
        <v>44161</v>
      </c>
      <c r="HT12">
        <v>24444</v>
      </c>
      <c r="HU12">
        <v>510</v>
      </c>
      <c r="HV12" s="16">
        <v>44162</v>
      </c>
      <c r="HW12">
        <v>24900</v>
      </c>
      <c r="HX12">
        <v>455</v>
      </c>
      <c r="HY12" s="16">
        <v>44163</v>
      </c>
      <c r="HZ12">
        <v>25185</v>
      </c>
      <c r="IA12">
        <v>285</v>
      </c>
      <c r="IB12" s="16">
        <v>44164</v>
      </c>
      <c r="IC12">
        <v>25476</v>
      </c>
      <c r="ID12">
        <v>292</v>
      </c>
      <c r="IE12" s="16">
        <v>44165</v>
      </c>
      <c r="IF12">
        <v>26074</v>
      </c>
      <c r="IG12">
        <v>596</v>
      </c>
      <c r="IH12" s="16">
        <v>44166</v>
      </c>
      <c r="II12">
        <v>26513</v>
      </c>
      <c r="IJ12">
        <v>440</v>
      </c>
      <c r="IK12" s="16">
        <v>44167</v>
      </c>
      <c r="IL12">
        <v>27008</v>
      </c>
      <c r="IM12">
        <v>494</v>
      </c>
      <c r="IN12" s="16">
        <v>44168</v>
      </c>
      <c r="IO12">
        <v>27485</v>
      </c>
      <c r="IP12">
        <v>477</v>
      </c>
      <c r="IQ12" s="16">
        <v>44169</v>
      </c>
      <c r="IR12">
        <v>27956</v>
      </c>
      <c r="IS12">
        <v>471</v>
      </c>
      <c r="IT12" s="16">
        <v>44170</v>
      </c>
      <c r="IU12">
        <v>28206</v>
      </c>
      <c r="IV12">
        <v>250</v>
      </c>
      <c r="IW12" s="16">
        <v>44171</v>
      </c>
      <c r="IX12">
        <v>28488</v>
      </c>
      <c r="IY12">
        <v>282</v>
      </c>
      <c r="IZ12" s="16">
        <v>44172</v>
      </c>
      <c r="JA12">
        <v>29078</v>
      </c>
      <c r="JB12">
        <v>588</v>
      </c>
      <c r="JC12" s="16">
        <v>44176</v>
      </c>
      <c r="JD12">
        <v>30877</v>
      </c>
      <c r="JE12">
        <v>444</v>
      </c>
      <c r="JF12" s="16">
        <v>44180</v>
      </c>
      <c r="JG12">
        <v>32224</v>
      </c>
      <c r="JH12">
        <v>358</v>
      </c>
      <c r="JI12" s="16">
        <v>44181</v>
      </c>
      <c r="JJ12">
        <v>32613</v>
      </c>
      <c r="JK12">
        <v>350</v>
      </c>
      <c r="JL12" s="16">
        <v>44182</v>
      </c>
      <c r="JM12">
        <v>32924</v>
      </c>
      <c r="JN12">
        <v>319</v>
      </c>
      <c r="JO12" s="16">
        <v>44183</v>
      </c>
      <c r="JP12">
        <v>33311</v>
      </c>
      <c r="JQ12">
        <v>395</v>
      </c>
      <c r="JR12" s="16">
        <v>44185</v>
      </c>
      <c r="JS12">
        <v>33750</v>
      </c>
      <c r="JT12">
        <v>244</v>
      </c>
      <c r="JU12" s="16">
        <v>44185</v>
      </c>
      <c r="JV12">
        <v>33751</v>
      </c>
      <c r="JW12">
        <v>244</v>
      </c>
      <c r="JX12" s="16">
        <v>44187</v>
      </c>
      <c r="JY12">
        <v>34451</v>
      </c>
      <c r="JZ12">
        <v>331</v>
      </c>
      <c r="KA12" s="16">
        <v>44199</v>
      </c>
      <c r="KB12">
        <v>37151</v>
      </c>
      <c r="KC12">
        <v>171</v>
      </c>
      <c r="KD12" s="16">
        <v>44199</v>
      </c>
      <c r="KE12">
        <v>37159</v>
      </c>
      <c r="KF12">
        <v>171</v>
      </c>
      <c r="KG12" s="16">
        <v>44200</v>
      </c>
      <c r="KH12">
        <v>37546</v>
      </c>
      <c r="KI12">
        <v>395</v>
      </c>
      <c r="KJ12" s="16">
        <v>44202</v>
      </c>
      <c r="KK12">
        <v>38014</v>
      </c>
      <c r="KL12">
        <v>209</v>
      </c>
      <c r="KM12" s="16">
        <v>44203</v>
      </c>
      <c r="KN12">
        <v>38351</v>
      </c>
      <c r="KO12">
        <v>333</v>
      </c>
      <c r="KP12" s="16">
        <v>44207</v>
      </c>
      <c r="KQ12">
        <v>39368</v>
      </c>
      <c r="KR12">
        <v>387</v>
      </c>
      <c r="KS12" s="16">
        <v>44208</v>
      </c>
      <c r="KT12">
        <v>39598</v>
      </c>
      <c r="KU12">
        <v>226</v>
      </c>
      <c r="KV12" s="16">
        <v>44209</v>
      </c>
      <c r="KW12">
        <v>39855</v>
      </c>
      <c r="KX12">
        <v>257</v>
      </c>
      <c r="KY12" s="16">
        <v>44211</v>
      </c>
      <c r="KZ12">
        <v>40370</v>
      </c>
      <c r="LA12">
        <v>268</v>
      </c>
      <c r="LB12" s="16">
        <v>44212</v>
      </c>
      <c r="LC12">
        <v>40546</v>
      </c>
      <c r="LD12">
        <v>168</v>
      </c>
      <c r="LE12" s="16">
        <v>44213</v>
      </c>
      <c r="LF12">
        <v>40741</v>
      </c>
      <c r="LG12">
        <v>195</v>
      </c>
      <c r="LH12" s="16">
        <v>44215</v>
      </c>
      <c r="LI12">
        <v>41499</v>
      </c>
      <c r="LJ12">
        <v>344</v>
      </c>
      <c r="LK12" s="16">
        <v>44215</v>
      </c>
      <c r="LL12">
        <v>41499</v>
      </c>
      <c r="LM12">
        <v>344</v>
      </c>
      <c r="LN12" s="16">
        <v>44217</v>
      </c>
      <c r="LO12">
        <v>42307</v>
      </c>
      <c r="LP12">
        <v>376</v>
      </c>
      <c r="LQ12" s="16">
        <v>44218</v>
      </c>
      <c r="LR12">
        <v>42662</v>
      </c>
      <c r="LS12">
        <v>359</v>
      </c>
      <c r="LT12" s="16">
        <v>44219</v>
      </c>
      <c r="LU12">
        <v>42831</v>
      </c>
      <c r="LV12">
        <v>168</v>
      </c>
      <c r="LW12" s="16">
        <v>44220</v>
      </c>
      <c r="LX12">
        <v>43084</v>
      </c>
      <c r="LY12">
        <v>244</v>
      </c>
      <c r="LZ12" s="16">
        <v>44221</v>
      </c>
      <c r="MA12">
        <v>43679</v>
      </c>
      <c r="MB12">
        <v>604</v>
      </c>
      <c r="MC12" s="16">
        <v>44222</v>
      </c>
      <c r="MD12">
        <v>44088</v>
      </c>
      <c r="ME12">
        <v>399</v>
      </c>
      <c r="MF12" s="16">
        <v>44224</v>
      </c>
      <c r="MG12">
        <v>44909</v>
      </c>
      <c r="MH12">
        <v>436</v>
      </c>
      <c r="MI12" s="16">
        <v>44224</v>
      </c>
      <c r="MJ12">
        <v>44910</v>
      </c>
      <c r="MK12">
        <v>436</v>
      </c>
      <c r="ML12" s="16">
        <v>44225</v>
      </c>
      <c r="MM12">
        <v>45283</v>
      </c>
      <c r="MN12">
        <v>375</v>
      </c>
      <c r="MO12" s="16">
        <v>44226</v>
      </c>
      <c r="MP12">
        <v>45514</v>
      </c>
      <c r="MQ12">
        <v>232</v>
      </c>
      <c r="MR12" s="16">
        <v>44227</v>
      </c>
      <c r="MS12">
        <v>45788</v>
      </c>
      <c r="MT12">
        <v>272</v>
      </c>
      <c r="MU12" s="16">
        <v>44228</v>
      </c>
      <c r="MV12">
        <v>46316</v>
      </c>
      <c r="MW12">
        <v>530</v>
      </c>
      <c r="MX12" s="16">
        <v>44229</v>
      </c>
      <c r="MY12">
        <v>46711</v>
      </c>
      <c r="MZ12">
        <v>396</v>
      </c>
      <c r="NA12" s="16">
        <v>44229</v>
      </c>
      <c r="NB12">
        <v>46712</v>
      </c>
      <c r="NC12">
        <v>396</v>
      </c>
      <c r="ND12" s="16">
        <v>44232</v>
      </c>
      <c r="NE12">
        <v>47891</v>
      </c>
      <c r="NF12">
        <v>366</v>
      </c>
      <c r="NG12" s="16">
        <v>44232</v>
      </c>
      <c r="NH12">
        <v>47888</v>
      </c>
      <c r="NI12">
        <v>364</v>
      </c>
      <c r="NJ12" s="16">
        <v>44234</v>
      </c>
      <c r="NK12">
        <v>48391</v>
      </c>
      <c r="NL12">
        <v>263</v>
      </c>
      <c r="NM12" s="16">
        <v>44234</v>
      </c>
      <c r="NN12">
        <v>48391</v>
      </c>
      <c r="NO12">
        <v>263</v>
      </c>
      <c r="NP12" s="16">
        <v>44236</v>
      </c>
      <c r="NQ12">
        <v>49221</v>
      </c>
      <c r="NR12">
        <v>370</v>
      </c>
      <c r="NS12" s="16">
        <v>44237</v>
      </c>
      <c r="NT12">
        <v>49603</v>
      </c>
      <c r="NU12">
        <v>382</v>
      </c>
      <c r="NV12" s="16">
        <v>44238</v>
      </c>
      <c r="NW12">
        <v>49959</v>
      </c>
      <c r="NX12">
        <v>358</v>
      </c>
      <c r="NY12" s="16">
        <v>44239</v>
      </c>
      <c r="NZ12">
        <v>50377</v>
      </c>
      <c r="OA12">
        <v>417</v>
      </c>
      <c r="OB12" s="16">
        <v>44240</v>
      </c>
      <c r="OC12">
        <v>50654</v>
      </c>
      <c r="OD12">
        <v>276</v>
      </c>
      <c r="OE12" s="16">
        <v>44241</v>
      </c>
      <c r="OF12">
        <v>50935</v>
      </c>
      <c r="OG12">
        <v>281</v>
      </c>
      <c r="OH12" s="16">
        <v>44242</v>
      </c>
      <c r="OI12">
        <v>51550</v>
      </c>
      <c r="OJ12">
        <v>615</v>
      </c>
      <c r="OK12" s="16">
        <v>44243</v>
      </c>
      <c r="OL12">
        <v>52065</v>
      </c>
      <c r="OM12">
        <v>514</v>
      </c>
      <c r="ON12" s="16">
        <v>44244</v>
      </c>
      <c r="OO12">
        <v>52613</v>
      </c>
      <c r="OP12">
        <v>549</v>
      </c>
      <c r="OQ12" s="16">
        <v>44245</v>
      </c>
      <c r="OR12">
        <v>53225</v>
      </c>
      <c r="OS12">
        <v>611</v>
      </c>
      <c r="OT12" s="16">
        <v>44246</v>
      </c>
      <c r="OU12">
        <v>53797</v>
      </c>
      <c r="OV12">
        <v>571</v>
      </c>
      <c r="OW12" s="16">
        <v>44247</v>
      </c>
      <c r="OX12">
        <v>54114</v>
      </c>
      <c r="OY12">
        <v>318</v>
      </c>
      <c r="OZ12" s="16">
        <v>44248</v>
      </c>
      <c r="PA12">
        <v>54470</v>
      </c>
      <c r="PB12">
        <v>355</v>
      </c>
      <c r="PC12" s="16">
        <v>44249</v>
      </c>
      <c r="PD12">
        <v>55094</v>
      </c>
      <c r="PE12">
        <v>623</v>
      </c>
      <c r="PF12" s="16">
        <v>44250</v>
      </c>
      <c r="PG12">
        <v>55719</v>
      </c>
      <c r="PH12">
        <v>625</v>
      </c>
      <c r="PI12" s="16">
        <v>44251</v>
      </c>
      <c r="PJ12">
        <v>56322</v>
      </c>
      <c r="PK12">
        <v>599</v>
      </c>
      <c r="PL12" s="16">
        <v>44252</v>
      </c>
      <c r="PM12">
        <v>56939</v>
      </c>
      <c r="PN12">
        <v>618</v>
      </c>
      <c r="PO12" s="16">
        <v>44253</v>
      </c>
      <c r="PP12">
        <v>57630</v>
      </c>
      <c r="PQ12">
        <v>690</v>
      </c>
      <c r="PR12" s="16">
        <v>44254</v>
      </c>
      <c r="PS12">
        <v>58030</v>
      </c>
      <c r="PT12">
        <v>400</v>
      </c>
      <c r="PU12" s="16">
        <v>44255</v>
      </c>
      <c r="PV12">
        <v>58449</v>
      </c>
      <c r="PW12">
        <v>420</v>
      </c>
      <c r="PX12" s="16">
        <v>44256</v>
      </c>
      <c r="PY12">
        <v>59316</v>
      </c>
      <c r="PZ12">
        <v>868</v>
      </c>
      <c r="QA12" s="16">
        <v>44257</v>
      </c>
      <c r="QB12">
        <v>60078</v>
      </c>
      <c r="QC12">
        <v>758</v>
      </c>
      <c r="QD12" s="16">
        <v>44258</v>
      </c>
      <c r="QE12">
        <v>60811</v>
      </c>
      <c r="QF12">
        <v>731</v>
      </c>
      <c r="QG12" s="16">
        <v>44259</v>
      </c>
      <c r="QH12">
        <v>61449</v>
      </c>
      <c r="QI12">
        <v>638</v>
      </c>
      <c r="QJ12" s="16">
        <v>44260</v>
      </c>
      <c r="QK12">
        <v>62081</v>
      </c>
      <c r="QL12">
        <v>628</v>
      </c>
      <c r="QM12" s="16">
        <v>44261</v>
      </c>
      <c r="QN12">
        <v>62513</v>
      </c>
      <c r="QO12">
        <v>432</v>
      </c>
      <c r="QP12" s="16">
        <v>44262</v>
      </c>
      <c r="QQ12">
        <v>62909</v>
      </c>
      <c r="QR12">
        <v>396</v>
      </c>
      <c r="QS12" s="16">
        <v>44263</v>
      </c>
      <c r="QT12">
        <v>63743</v>
      </c>
      <c r="QU12">
        <v>833</v>
      </c>
      <c r="QV12" s="16">
        <v>44264</v>
      </c>
      <c r="QW12">
        <v>64516</v>
      </c>
      <c r="QX12">
        <v>773</v>
      </c>
      <c r="QY12" s="16">
        <v>44265</v>
      </c>
      <c r="QZ12">
        <v>65328</v>
      </c>
      <c r="RA12">
        <v>817</v>
      </c>
      <c r="RB12" s="16">
        <v>44266</v>
      </c>
      <c r="RC12">
        <v>66106</v>
      </c>
      <c r="RD12">
        <v>775</v>
      </c>
      <c r="RE12" s="16">
        <v>44267</v>
      </c>
      <c r="RF12">
        <v>66917</v>
      </c>
      <c r="RG12">
        <v>812</v>
      </c>
      <c r="RH12" s="16">
        <v>44268</v>
      </c>
      <c r="RI12">
        <v>67408</v>
      </c>
      <c r="RJ12">
        <v>491</v>
      </c>
      <c r="RK12" s="16">
        <v>44269</v>
      </c>
      <c r="RL12">
        <v>67841</v>
      </c>
      <c r="RM12">
        <v>434</v>
      </c>
      <c r="RN12" s="16">
        <v>44271</v>
      </c>
      <c r="RO12">
        <v>69494</v>
      </c>
      <c r="RP12">
        <v>763</v>
      </c>
      <c r="RQ12" s="16">
        <v>44272</v>
      </c>
      <c r="RR12">
        <v>70237</v>
      </c>
      <c r="RS12">
        <v>743</v>
      </c>
      <c r="RT12">
        <v>44273</v>
      </c>
      <c r="RU12">
        <v>70973</v>
      </c>
      <c r="RV12">
        <v>736</v>
      </c>
      <c r="RW12">
        <v>44274</v>
      </c>
      <c r="RX12">
        <v>71717</v>
      </c>
      <c r="RY12">
        <v>744</v>
      </c>
      <c r="RZ12">
        <v>44275</v>
      </c>
      <c r="SA12">
        <v>72121</v>
      </c>
      <c r="SB12">
        <v>404</v>
      </c>
      <c r="SC12">
        <v>44276</v>
      </c>
      <c r="SD12">
        <v>72538</v>
      </c>
      <c r="SE12">
        <v>417</v>
      </c>
      <c r="SF12">
        <v>44277</v>
      </c>
      <c r="SG12">
        <v>73306</v>
      </c>
      <c r="SH12">
        <v>766</v>
      </c>
      <c r="SI12">
        <v>44278</v>
      </c>
      <c r="SJ12">
        <v>74009</v>
      </c>
      <c r="SK12">
        <v>703</v>
      </c>
      <c r="SL12">
        <v>44280</v>
      </c>
      <c r="SM12">
        <v>75308</v>
      </c>
      <c r="SN12">
        <v>606</v>
      </c>
      <c r="SO12">
        <v>44281</v>
      </c>
      <c r="SP12">
        <v>76012</v>
      </c>
      <c r="SQ12">
        <v>686</v>
      </c>
      <c r="SR12">
        <v>44282</v>
      </c>
      <c r="SS12">
        <v>76365</v>
      </c>
      <c r="ST12">
        <v>350</v>
      </c>
      <c r="SU12">
        <v>44283</v>
      </c>
      <c r="SV12">
        <v>76734</v>
      </c>
      <c r="SW12">
        <v>369</v>
      </c>
      <c r="SX12">
        <v>44285</v>
      </c>
      <c r="SY12">
        <v>77958</v>
      </c>
      <c r="SZ12">
        <v>566</v>
      </c>
      <c r="TA12">
        <v>44286</v>
      </c>
      <c r="TB12">
        <v>78511</v>
      </c>
      <c r="TC12">
        <v>550</v>
      </c>
      <c r="TD12">
        <v>44288</v>
      </c>
      <c r="TE12">
        <v>79359</v>
      </c>
      <c r="TF12">
        <v>361</v>
      </c>
      <c r="TG12">
        <v>44289</v>
      </c>
      <c r="TH12">
        <v>79682</v>
      </c>
      <c r="TI12">
        <v>319</v>
      </c>
      <c r="TJ12">
        <v>44290</v>
      </c>
      <c r="TK12">
        <v>80002</v>
      </c>
      <c r="TL12">
        <v>319</v>
      </c>
      <c r="TM12">
        <v>44291</v>
      </c>
      <c r="TN12">
        <v>80362</v>
      </c>
      <c r="TO12">
        <v>359</v>
      </c>
      <c r="TP12">
        <v>44293</v>
      </c>
      <c r="TQ12">
        <v>81333</v>
      </c>
      <c r="TR12">
        <v>424</v>
      </c>
      <c r="TS12">
        <v>44294</v>
      </c>
      <c r="TT12">
        <v>81739</v>
      </c>
      <c r="TU12">
        <v>403</v>
      </c>
      <c r="TV12">
        <v>44294</v>
      </c>
      <c r="TW12">
        <v>81745</v>
      </c>
      <c r="TX12">
        <v>403</v>
      </c>
      <c r="TY12">
        <v>44295</v>
      </c>
      <c r="TZ12">
        <v>82095</v>
      </c>
      <c r="UA12">
        <v>348</v>
      </c>
      <c r="UB12">
        <v>44297</v>
      </c>
      <c r="UC12">
        <v>82557</v>
      </c>
      <c r="UD12">
        <v>238</v>
      </c>
      <c r="UE12">
        <v>44297</v>
      </c>
      <c r="UF12">
        <v>82558</v>
      </c>
      <c r="UG12">
        <v>238</v>
      </c>
      <c r="UH12">
        <v>44298</v>
      </c>
      <c r="UI12">
        <v>82956</v>
      </c>
      <c r="UJ12">
        <v>396</v>
      </c>
      <c r="UK12">
        <v>44299</v>
      </c>
      <c r="UL12">
        <v>83282</v>
      </c>
      <c r="UM12">
        <v>325</v>
      </c>
      <c r="UN12">
        <v>44303</v>
      </c>
      <c r="UO12">
        <v>84345</v>
      </c>
      <c r="UP12">
        <v>170</v>
      </c>
      <c r="UQ12">
        <v>44304</v>
      </c>
      <c r="UR12">
        <v>84502</v>
      </c>
      <c r="US12">
        <v>155</v>
      </c>
      <c r="UT12">
        <v>44305</v>
      </c>
      <c r="UU12">
        <v>84786</v>
      </c>
      <c r="UV12">
        <v>283</v>
      </c>
      <c r="UW12">
        <v>44306</v>
      </c>
      <c r="UX12">
        <v>85073</v>
      </c>
      <c r="UY12">
        <v>285</v>
      </c>
      <c r="UZ12">
        <v>44308</v>
      </c>
      <c r="VA12">
        <v>85568</v>
      </c>
      <c r="VB12">
        <v>258</v>
      </c>
      <c r="VC12">
        <v>44308</v>
      </c>
      <c r="VD12">
        <v>85565</v>
      </c>
      <c r="VE12">
        <v>257</v>
      </c>
      <c r="VF12">
        <v>44309</v>
      </c>
      <c r="VG12">
        <v>85822</v>
      </c>
      <c r="VH12">
        <v>255</v>
      </c>
      <c r="VI12">
        <v>44311</v>
      </c>
      <c r="VJ12">
        <v>86117</v>
      </c>
      <c r="VK12">
        <v>141</v>
      </c>
      <c r="VL12">
        <v>44311</v>
      </c>
      <c r="VM12">
        <v>86117</v>
      </c>
      <c r="VN12">
        <v>141</v>
      </c>
      <c r="VO12">
        <v>44312</v>
      </c>
      <c r="VP12">
        <v>86360</v>
      </c>
      <c r="VQ12">
        <v>242</v>
      </c>
      <c r="VR12">
        <v>44313</v>
      </c>
      <c r="VS12">
        <v>86586</v>
      </c>
      <c r="VT12">
        <v>228</v>
      </c>
      <c r="VU12">
        <v>44315</v>
      </c>
      <c r="VV12">
        <v>87064</v>
      </c>
      <c r="VW12">
        <v>202</v>
      </c>
      <c r="VX12">
        <v>44315</v>
      </c>
      <c r="VY12">
        <v>87066</v>
      </c>
      <c r="VZ12">
        <v>202</v>
      </c>
      <c r="WA12">
        <v>44316</v>
      </c>
      <c r="WB12">
        <v>87264</v>
      </c>
      <c r="WC12">
        <v>195</v>
      </c>
      <c r="WD12">
        <v>44317</v>
      </c>
      <c r="WE12">
        <v>87371</v>
      </c>
      <c r="WF12">
        <v>107</v>
      </c>
      <c r="WG12">
        <v>44318</v>
      </c>
      <c r="WH12">
        <v>87506</v>
      </c>
      <c r="WI12">
        <v>135</v>
      </c>
      <c r="WJ12">
        <v>44320</v>
      </c>
      <c r="WK12">
        <v>88030</v>
      </c>
      <c r="WL12">
        <v>205</v>
      </c>
      <c r="WM12">
        <v>44320</v>
      </c>
      <c r="WN12">
        <v>88031</v>
      </c>
      <c r="WO12">
        <v>205</v>
      </c>
      <c r="WP12">
        <v>44323</v>
      </c>
      <c r="WQ12">
        <v>88747</v>
      </c>
      <c r="WR12">
        <v>214</v>
      </c>
      <c r="WS12">
        <v>44324</v>
      </c>
      <c r="WT12">
        <v>88877</v>
      </c>
      <c r="WU12">
        <v>130</v>
      </c>
      <c r="WV12">
        <v>44325</v>
      </c>
      <c r="WW12">
        <v>89009</v>
      </c>
      <c r="WX12">
        <v>130</v>
      </c>
      <c r="WY12">
        <v>44326</v>
      </c>
      <c r="WZ12">
        <v>89270</v>
      </c>
      <c r="XA12">
        <v>258</v>
      </c>
      <c r="XB12">
        <v>44327</v>
      </c>
      <c r="XC12">
        <v>89485</v>
      </c>
      <c r="XD12">
        <v>214</v>
      </c>
      <c r="XE12">
        <v>44329</v>
      </c>
      <c r="XF12">
        <v>89897</v>
      </c>
      <c r="XG12">
        <v>155</v>
      </c>
      <c r="XH12">
        <v>44329</v>
      </c>
      <c r="XI12">
        <v>89903</v>
      </c>
      <c r="XJ12">
        <v>155</v>
      </c>
      <c r="XK12">
        <v>44330</v>
      </c>
      <c r="XL12">
        <v>90147</v>
      </c>
      <c r="XM12">
        <v>244</v>
      </c>
      <c r="XN12">
        <v>44331</v>
      </c>
      <c r="XO12">
        <v>90307</v>
      </c>
      <c r="XP12">
        <v>160</v>
      </c>
      <c r="XQ12">
        <v>44332</v>
      </c>
      <c r="XR12">
        <v>90440</v>
      </c>
      <c r="XS12">
        <v>133</v>
      </c>
      <c r="XT12">
        <v>44333</v>
      </c>
      <c r="XU12">
        <v>90727</v>
      </c>
      <c r="XV12">
        <v>284</v>
      </c>
      <c r="XW12">
        <v>44334</v>
      </c>
      <c r="XX12">
        <v>90946</v>
      </c>
      <c r="XY12">
        <v>216</v>
      </c>
      <c r="XZ12">
        <v>44335</v>
      </c>
      <c r="YA12">
        <v>91177</v>
      </c>
      <c r="YB12">
        <v>230</v>
      </c>
      <c r="YC12">
        <v>44337</v>
      </c>
      <c r="YD12">
        <v>91564</v>
      </c>
      <c r="YE12">
        <v>170</v>
      </c>
      <c r="YF12">
        <v>44338</v>
      </c>
      <c r="YG12">
        <v>91673</v>
      </c>
      <c r="YH12">
        <v>107</v>
      </c>
      <c r="YI12">
        <v>44339</v>
      </c>
      <c r="YJ12">
        <v>91767</v>
      </c>
      <c r="YK12">
        <v>93</v>
      </c>
      <c r="YL12">
        <v>44340</v>
      </c>
      <c r="YM12">
        <v>91955</v>
      </c>
      <c r="YN12">
        <v>188</v>
      </c>
      <c r="YO12">
        <v>44341</v>
      </c>
      <c r="YP12">
        <v>92111</v>
      </c>
      <c r="YQ12">
        <v>152</v>
      </c>
      <c r="YR12">
        <v>44342</v>
      </c>
      <c r="YS12">
        <v>92253</v>
      </c>
      <c r="YT12">
        <v>142</v>
      </c>
      <c r="YU12">
        <v>44343</v>
      </c>
      <c r="YV12">
        <v>92388</v>
      </c>
      <c r="YW12">
        <v>127</v>
      </c>
    </row>
    <row r="13" spans="1:673">
      <c r="B13" t="str">
        <f t="shared" ca="1" si="2"/>
        <v>28.5</v>
      </c>
      <c r="C13" s="4">
        <f t="shared" ca="1" si="0"/>
        <v>44344</v>
      </c>
      <c r="D13" s="11">
        <f t="shared" ca="1" si="1"/>
        <v>92524</v>
      </c>
      <c r="E13">
        <f t="shared" ca="1" si="3"/>
        <v>136</v>
      </c>
      <c r="F13" s="11">
        <f t="shared" ca="1" si="4"/>
        <v>0</v>
      </c>
      <c r="G13" s="11">
        <f t="shared" ca="1" si="5"/>
        <v>136</v>
      </c>
      <c r="H13" s="10"/>
      <c r="L13" s="3"/>
      <c r="N13" s="16">
        <v>44344</v>
      </c>
      <c r="O13">
        <v>92524</v>
      </c>
      <c r="P13" s="10">
        <v>136</v>
      </c>
      <c r="Q13" s="16">
        <v>44344</v>
      </c>
      <c r="R13">
        <v>92524</v>
      </c>
      <c r="S13">
        <v>136</v>
      </c>
      <c r="T13" s="16">
        <v>44091</v>
      </c>
      <c r="U13">
        <v>9029</v>
      </c>
      <c r="V13">
        <v>85</v>
      </c>
      <c r="W13" s="16">
        <v>44092</v>
      </c>
      <c r="X13">
        <v>9106</v>
      </c>
      <c r="Y13">
        <v>76</v>
      </c>
      <c r="Z13" s="16">
        <v>44093</v>
      </c>
      <c r="AA13">
        <v>9168</v>
      </c>
      <c r="AB13">
        <v>61</v>
      </c>
      <c r="AC13" s="16">
        <v>44094</v>
      </c>
      <c r="AD13">
        <v>9240</v>
      </c>
      <c r="AE13">
        <v>73</v>
      </c>
      <c r="AF13" s="16">
        <v>44095</v>
      </c>
      <c r="AG13">
        <v>9359</v>
      </c>
      <c r="AH13">
        <v>119</v>
      </c>
      <c r="AI13" s="16">
        <v>44096</v>
      </c>
      <c r="AJ13">
        <v>9465</v>
      </c>
      <c r="AK13">
        <v>105</v>
      </c>
      <c r="AL13" s="16">
        <v>44097</v>
      </c>
      <c r="AM13">
        <v>9582</v>
      </c>
      <c r="AN13">
        <v>118</v>
      </c>
      <c r="AO13" s="16">
        <v>44098</v>
      </c>
      <c r="AP13">
        <v>9679</v>
      </c>
      <c r="AQ13">
        <v>97</v>
      </c>
      <c r="AR13" s="16">
        <v>44099</v>
      </c>
      <c r="AS13">
        <v>9806</v>
      </c>
      <c r="AT13">
        <v>127</v>
      </c>
      <c r="AU13" s="16">
        <v>44100</v>
      </c>
      <c r="AV13">
        <v>9879</v>
      </c>
      <c r="AW13">
        <v>73</v>
      </c>
      <c r="AX13" s="16">
        <v>44101</v>
      </c>
      <c r="AY13">
        <v>9950</v>
      </c>
      <c r="AZ13">
        <v>71</v>
      </c>
      <c r="BA13" s="16">
        <v>44102</v>
      </c>
      <c r="BB13">
        <v>10072</v>
      </c>
      <c r="BC13">
        <v>122</v>
      </c>
      <c r="BD13" s="16">
        <v>44103</v>
      </c>
      <c r="BE13">
        <v>10205</v>
      </c>
      <c r="BF13">
        <v>133</v>
      </c>
      <c r="BG13" s="16">
        <v>44104</v>
      </c>
      <c r="BH13">
        <v>10368</v>
      </c>
      <c r="BI13">
        <v>165</v>
      </c>
      <c r="BJ13" s="16">
        <v>44105</v>
      </c>
      <c r="BK13">
        <v>10558</v>
      </c>
      <c r="BL13">
        <v>188</v>
      </c>
      <c r="BM13" s="16">
        <v>44106</v>
      </c>
      <c r="BN13">
        <v>10747</v>
      </c>
      <c r="BO13">
        <v>188</v>
      </c>
      <c r="BP13" s="16">
        <v>44107</v>
      </c>
      <c r="BQ13">
        <v>10915</v>
      </c>
      <c r="BR13">
        <v>169</v>
      </c>
      <c r="BS13" s="16">
        <v>44108</v>
      </c>
      <c r="BT13">
        <v>11063</v>
      </c>
      <c r="BU13">
        <v>147</v>
      </c>
      <c r="BV13" s="16">
        <v>44110</v>
      </c>
      <c r="BW13">
        <v>11651</v>
      </c>
      <c r="BX13">
        <v>299</v>
      </c>
      <c r="BY13" s="16">
        <v>44111</v>
      </c>
      <c r="BZ13">
        <v>11959</v>
      </c>
      <c r="CA13">
        <v>306</v>
      </c>
      <c r="CB13" s="16">
        <v>44112</v>
      </c>
      <c r="CC13">
        <v>12222</v>
      </c>
      <c r="CD13">
        <v>260</v>
      </c>
      <c r="CE13" s="16">
        <v>44113</v>
      </c>
      <c r="CF13">
        <v>12455</v>
      </c>
      <c r="CG13">
        <v>226</v>
      </c>
      <c r="CH13" s="16">
        <v>44114</v>
      </c>
      <c r="CI13">
        <v>12565</v>
      </c>
      <c r="CJ13">
        <v>109</v>
      </c>
      <c r="CK13" s="16">
        <v>44115</v>
      </c>
      <c r="CL13">
        <v>12695</v>
      </c>
      <c r="CM13">
        <v>130</v>
      </c>
      <c r="CN13" s="16">
        <v>44116</v>
      </c>
      <c r="CO13">
        <v>12949</v>
      </c>
      <c r="CP13">
        <v>254</v>
      </c>
      <c r="CQ13" s="16">
        <v>44117</v>
      </c>
      <c r="CR13">
        <v>13146</v>
      </c>
      <c r="CS13">
        <v>197</v>
      </c>
      <c r="CT13" s="16">
        <v>44118</v>
      </c>
      <c r="CU13">
        <v>13348</v>
      </c>
      <c r="CV13">
        <v>200</v>
      </c>
      <c r="CW13" s="16">
        <v>44119</v>
      </c>
      <c r="CX13">
        <v>13540</v>
      </c>
      <c r="CY13">
        <v>191</v>
      </c>
      <c r="CZ13" s="16">
        <v>44121</v>
      </c>
      <c r="DA13">
        <v>13831</v>
      </c>
      <c r="DB13">
        <v>100</v>
      </c>
      <c r="DC13" s="16">
        <v>44122</v>
      </c>
      <c r="DD13">
        <v>13959</v>
      </c>
      <c r="DE13">
        <v>128</v>
      </c>
      <c r="DF13" s="16">
        <v>44123</v>
      </c>
      <c r="DG13">
        <v>14203</v>
      </c>
      <c r="DH13">
        <v>244</v>
      </c>
      <c r="DI13" s="16">
        <v>44124</v>
      </c>
      <c r="DJ13">
        <v>14366</v>
      </c>
      <c r="DK13">
        <v>162</v>
      </c>
      <c r="DL13" s="16">
        <v>44125</v>
      </c>
      <c r="DM13">
        <v>14559</v>
      </c>
      <c r="DN13">
        <v>189</v>
      </c>
      <c r="DO13" s="16">
        <v>44126</v>
      </c>
      <c r="DP13">
        <v>14776</v>
      </c>
      <c r="DQ13">
        <v>217</v>
      </c>
      <c r="DR13" s="16">
        <v>44127</v>
      </c>
      <c r="DS13">
        <v>14969</v>
      </c>
      <c r="DT13">
        <v>192</v>
      </c>
      <c r="DU13" s="16">
        <v>44128</v>
      </c>
      <c r="DV13">
        <v>15078</v>
      </c>
      <c r="DW13">
        <v>108</v>
      </c>
      <c r="DX13" s="16">
        <v>44129</v>
      </c>
      <c r="DY13">
        <v>15201</v>
      </c>
      <c r="DZ13">
        <v>123</v>
      </c>
      <c r="EA13" s="16">
        <v>44130</v>
      </c>
      <c r="EB13">
        <v>15457</v>
      </c>
      <c r="EC13">
        <v>256</v>
      </c>
      <c r="ED13" s="16">
        <v>44131</v>
      </c>
      <c r="EE13">
        <v>15679</v>
      </c>
      <c r="EF13">
        <v>230</v>
      </c>
      <c r="EG13" s="16">
        <v>44132</v>
      </c>
      <c r="EH13">
        <v>15919</v>
      </c>
      <c r="EI13">
        <v>240</v>
      </c>
      <c r="EJ13" s="16">
        <v>44133</v>
      </c>
      <c r="EK13">
        <v>16156</v>
      </c>
      <c r="EL13">
        <v>237</v>
      </c>
      <c r="EM13" s="16">
        <v>44134</v>
      </c>
      <c r="EN13">
        <v>16375</v>
      </c>
      <c r="EO13">
        <v>219</v>
      </c>
      <c r="EP13" s="16">
        <v>44135</v>
      </c>
      <c r="EQ13">
        <v>16496</v>
      </c>
      <c r="ER13">
        <v>121</v>
      </c>
      <c r="ES13" s="16">
        <v>44136</v>
      </c>
      <c r="ET13">
        <v>16647</v>
      </c>
      <c r="EU13">
        <v>150</v>
      </c>
      <c r="EV13" s="16">
        <v>44137</v>
      </c>
      <c r="EW13">
        <v>16928</v>
      </c>
      <c r="EX13">
        <v>281</v>
      </c>
      <c r="EY13" s="16">
        <v>44138</v>
      </c>
      <c r="EZ13">
        <v>17169</v>
      </c>
      <c r="FA13">
        <v>241</v>
      </c>
      <c r="FB13" s="16">
        <v>44139</v>
      </c>
      <c r="FC13">
        <v>17378</v>
      </c>
      <c r="FD13">
        <v>210</v>
      </c>
      <c r="FE13" s="16">
        <v>44140</v>
      </c>
      <c r="FF13">
        <v>17546</v>
      </c>
      <c r="FG13">
        <v>221</v>
      </c>
      <c r="FH13" s="16">
        <v>44141</v>
      </c>
      <c r="FI13">
        <v>17801</v>
      </c>
      <c r="FJ13">
        <v>195</v>
      </c>
      <c r="FK13" s="16">
        <v>44142</v>
      </c>
      <c r="FL13">
        <v>17940</v>
      </c>
      <c r="FM13">
        <v>128</v>
      </c>
      <c r="FN13" s="16">
        <v>44143</v>
      </c>
      <c r="FO13">
        <v>18073</v>
      </c>
      <c r="FP13">
        <v>133</v>
      </c>
      <c r="FQ13" s="16">
        <v>44144</v>
      </c>
      <c r="FR13">
        <v>18349</v>
      </c>
      <c r="FS13">
        <v>276</v>
      </c>
      <c r="FT13" s="16">
        <v>44145</v>
      </c>
      <c r="FU13">
        <v>18574</v>
      </c>
      <c r="FV13">
        <v>205</v>
      </c>
      <c r="FW13" s="16">
        <v>44146</v>
      </c>
      <c r="FX13">
        <v>18868</v>
      </c>
      <c r="FY13">
        <v>292</v>
      </c>
      <c r="FZ13" s="16">
        <v>44147</v>
      </c>
      <c r="GA13">
        <v>19154</v>
      </c>
      <c r="GB13">
        <v>282</v>
      </c>
      <c r="GC13" s="16">
        <v>44148</v>
      </c>
      <c r="GD13">
        <v>19418</v>
      </c>
      <c r="GE13">
        <v>264</v>
      </c>
      <c r="GF13" s="16">
        <v>44149</v>
      </c>
      <c r="GG13">
        <v>19564</v>
      </c>
      <c r="GH13">
        <v>145</v>
      </c>
      <c r="GI13" s="16">
        <v>44150</v>
      </c>
      <c r="GJ13">
        <v>19746</v>
      </c>
      <c r="GK13">
        <v>182</v>
      </c>
      <c r="GL13" s="16">
        <v>44151</v>
      </c>
      <c r="GM13">
        <v>20138</v>
      </c>
      <c r="GN13">
        <v>392</v>
      </c>
      <c r="GO13" s="16">
        <v>44152</v>
      </c>
      <c r="GP13">
        <v>20530</v>
      </c>
      <c r="GQ13">
        <v>392</v>
      </c>
      <c r="GR13" s="16">
        <v>44153</v>
      </c>
      <c r="GS13">
        <v>20903</v>
      </c>
      <c r="GT13">
        <v>372</v>
      </c>
      <c r="GU13" s="16">
        <v>44154</v>
      </c>
      <c r="GV13">
        <v>21378</v>
      </c>
      <c r="GW13">
        <v>478</v>
      </c>
      <c r="GX13" s="16">
        <v>44155</v>
      </c>
      <c r="GY13">
        <v>21812</v>
      </c>
      <c r="GZ13">
        <v>429</v>
      </c>
      <c r="HA13" s="16">
        <v>44156</v>
      </c>
      <c r="HB13">
        <v>22082</v>
      </c>
      <c r="HC13">
        <v>268</v>
      </c>
      <c r="HD13" s="16">
        <v>44157</v>
      </c>
      <c r="HE13">
        <v>22348</v>
      </c>
      <c r="HF13">
        <v>267</v>
      </c>
      <c r="HG13" s="16">
        <v>44158</v>
      </c>
      <c r="HH13">
        <v>22852</v>
      </c>
      <c r="HI13">
        <v>504</v>
      </c>
      <c r="HJ13" s="16">
        <v>44159</v>
      </c>
      <c r="HK13">
        <v>23321</v>
      </c>
      <c r="HL13">
        <v>468</v>
      </c>
      <c r="HM13" s="16">
        <v>44160</v>
      </c>
      <c r="HN13">
        <v>23932</v>
      </c>
      <c r="HO13">
        <v>613</v>
      </c>
      <c r="HP13" s="16">
        <v>44161</v>
      </c>
      <c r="HQ13">
        <v>24445</v>
      </c>
      <c r="HR13">
        <v>510</v>
      </c>
      <c r="HS13" s="16">
        <v>44162</v>
      </c>
      <c r="HT13">
        <v>24899</v>
      </c>
      <c r="HU13">
        <v>455</v>
      </c>
      <c r="HV13" s="16">
        <v>44163</v>
      </c>
      <c r="HW13">
        <v>25185</v>
      </c>
      <c r="HX13">
        <v>285</v>
      </c>
      <c r="HY13" s="16">
        <v>44164</v>
      </c>
      <c r="HZ13">
        <v>25477</v>
      </c>
      <c r="IA13">
        <v>292</v>
      </c>
      <c r="IB13" s="16">
        <v>44165</v>
      </c>
      <c r="IC13">
        <v>26072</v>
      </c>
      <c r="ID13">
        <v>596</v>
      </c>
      <c r="IE13" s="16">
        <v>44166</v>
      </c>
      <c r="IF13">
        <v>26514</v>
      </c>
      <c r="IG13">
        <v>440</v>
      </c>
      <c r="IH13" s="16">
        <v>44167</v>
      </c>
      <c r="II13">
        <v>27007</v>
      </c>
      <c r="IJ13">
        <v>494</v>
      </c>
      <c r="IK13" s="16">
        <v>44168</v>
      </c>
      <c r="IL13">
        <v>27485</v>
      </c>
      <c r="IM13">
        <v>477</v>
      </c>
      <c r="IN13" s="16">
        <v>44169</v>
      </c>
      <c r="IO13">
        <v>27956</v>
      </c>
      <c r="IP13">
        <v>471</v>
      </c>
      <c r="IQ13" s="16">
        <v>44170</v>
      </c>
      <c r="IR13">
        <v>28206</v>
      </c>
      <c r="IS13">
        <v>250</v>
      </c>
      <c r="IT13" s="16">
        <v>44171</v>
      </c>
      <c r="IU13">
        <v>28488</v>
      </c>
      <c r="IV13">
        <v>282</v>
      </c>
      <c r="IW13" s="16">
        <v>44172</v>
      </c>
      <c r="IX13">
        <v>29075</v>
      </c>
      <c r="IY13">
        <v>587</v>
      </c>
      <c r="IZ13" s="16">
        <v>44173</v>
      </c>
      <c r="JA13">
        <v>29554</v>
      </c>
      <c r="JB13">
        <v>476</v>
      </c>
      <c r="JC13" s="16">
        <v>44177</v>
      </c>
      <c r="JD13">
        <v>31127</v>
      </c>
      <c r="JE13">
        <v>250</v>
      </c>
      <c r="JF13" s="16">
        <v>44181</v>
      </c>
      <c r="JG13">
        <v>32573</v>
      </c>
      <c r="JH13">
        <v>349</v>
      </c>
      <c r="JI13" s="16">
        <v>44182</v>
      </c>
      <c r="JJ13">
        <v>32932</v>
      </c>
      <c r="JK13">
        <v>319</v>
      </c>
      <c r="JL13" s="16">
        <v>44183</v>
      </c>
      <c r="JM13">
        <v>33319</v>
      </c>
      <c r="JN13">
        <v>395</v>
      </c>
      <c r="JO13" s="16">
        <v>44184</v>
      </c>
      <c r="JP13">
        <v>33501</v>
      </c>
      <c r="JQ13">
        <v>190</v>
      </c>
      <c r="JR13" s="16">
        <v>44186</v>
      </c>
      <c r="JS13">
        <v>34124</v>
      </c>
      <c r="JT13">
        <v>374</v>
      </c>
      <c r="JU13" s="16">
        <v>44186</v>
      </c>
      <c r="JV13">
        <v>34125</v>
      </c>
      <c r="JW13">
        <v>374</v>
      </c>
      <c r="JX13" s="16">
        <v>44188</v>
      </c>
      <c r="JY13">
        <v>34729</v>
      </c>
      <c r="JZ13">
        <v>278</v>
      </c>
      <c r="KA13" s="16">
        <v>44200</v>
      </c>
      <c r="KB13">
        <v>37546</v>
      </c>
      <c r="KC13">
        <v>395</v>
      </c>
      <c r="KD13" s="16">
        <v>44200</v>
      </c>
      <c r="KE13">
        <v>37554</v>
      </c>
      <c r="KF13">
        <v>395</v>
      </c>
      <c r="KG13" s="16">
        <v>44201</v>
      </c>
      <c r="KH13">
        <v>37806</v>
      </c>
      <c r="KI13">
        <v>260</v>
      </c>
      <c r="KJ13" s="16">
        <v>44203</v>
      </c>
      <c r="KK13">
        <v>38345</v>
      </c>
      <c r="KL13">
        <v>331</v>
      </c>
      <c r="KM13" s="16">
        <v>44204</v>
      </c>
      <c r="KN13">
        <v>38602</v>
      </c>
      <c r="KO13">
        <v>251</v>
      </c>
      <c r="KP13" s="16">
        <v>44208</v>
      </c>
      <c r="KQ13">
        <v>39594</v>
      </c>
      <c r="KR13">
        <v>226</v>
      </c>
      <c r="KS13" s="16">
        <v>44209</v>
      </c>
      <c r="KT13">
        <v>39855</v>
      </c>
      <c r="KU13">
        <v>257</v>
      </c>
      <c r="KV13" s="16">
        <v>44210</v>
      </c>
      <c r="KW13">
        <v>40104</v>
      </c>
      <c r="KX13">
        <v>249</v>
      </c>
      <c r="KY13" s="16">
        <v>44212</v>
      </c>
      <c r="KZ13">
        <v>40539</v>
      </c>
      <c r="LA13">
        <v>169</v>
      </c>
      <c r="LB13" s="16">
        <v>44213</v>
      </c>
      <c r="LC13">
        <v>40741</v>
      </c>
      <c r="LD13">
        <v>195</v>
      </c>
      <c r="LE13" s="16">
        <v>44214</v>
      </c>
      <c r="LF13">
        <v>41188</v>
      </c>
      <c r="LG13">
        <v>447</v>
      </c>
      <c r="LH13" s="16">
        <v>44216</v>
      </c>
      <c r="LI13">
        <v>41905</v>
      </c>
      <c r="LJ13">
        <v>406</v>
      </c>
      <c r="LK13" s="16">
        <v>44216</v>
      </c>
      <c r="LL13">
        <v>41905</v>
      </c>
      <c r="LM13">
        <v>406</v>
      </c>
      <c r="LN13" s="16">
        <v>44218</v>
      </c>
      <c r="LO13">
        <v>42666</v>
      </c>
      <c r="LP13">
        <v>359</v>
      </c>
      <c r="LQ13" s="16">
        <v>44219</v>
      </c>
      <c r="LR13">
        <v>42830</v>
      </c>
      <c r="LS13">
        <v>168</v>
      </c>
      <c r="LT13" s="16">
        <v>44220</v>
      </c>
      <c r="LU13">
        <v>43075</v>
      </c>
      <c r="LV13">
        <v>244</v>
      </c>
      <c r="LW13" s="16">
        <v>44221</v>
      </c>
      <c r="LX13">
        <v>43688</v>
      </c>
      <c r="LY13">
        <v>604</v>
      </c>
      <c r="LZ13" s="16">
        <v>44222</v>
      </c>
      <c r="MA13">
        <v>44078</v>
      </c>
      <c r="MB13">
        <v>399</v>
      </c>
      <c r="MC13" s="16">
        <v>44223</v>
      </c>
      <c r="MD13">
        <v>44471</v>
      </c>
      <c r="ME13">
        <v>383</v>
      </c>
      <c r="MF13" s="16">
        <v>44225</v>
      </c>
      <c r="MG13">
        <v>45284</v>
      </c>
      <c r="MH13">
        <v>375</v>
      </c>
      <c r="MI13" s="16">
        <v>44225</v>
      </c>
      <c r="MJ13">
        <v>45285</v>
      </c>
      <c r="MK13">
        <v>375</v>
      </c>
      <c r="ML13" s="16">
        <v>44226</v>
      </c>
      <c r="MM13">
        <v>45515</v>
      </c>
      <c r="MN13">
        <v>232</v>
      </c>
      <c r="MO13" s="16">
        <v>44227</v>
      </c>
      <c r="MP13">
        <v>45786</v>
      </c>
      <c r="MQ13">
        <v>272</v>
      </c>
      <c r="MR13" s="16">
        <v>44228</v>
      </c>
      <c r="MS13">
        <v>46318</v>
      </c>
      <c r="MT13">
        <v>530</v>
      </c>
      <c r="MU13" s="16">
        <v>44229</v>
      </c>
      <c r="MV13">
        <v>46711</v>
      </c>
      <c r="MW13">
        <v>395</v>
      </c>
      <c r="MX13" s="16">
        <v>44230</v>
      </c>
      <c r="MY13">
        <v>47151</v>
      </c>
      <c r="MZ13">
        <v>440</v>
      </c>
      <c r="NA13" s="16">
        <v>44230</v>
      </c>
      <c r="NB13">
        <v>47152</v>
      </c>
      <c r="NC13">
        <v>440</v>
      </c>
      <c r="ND13" s="16">
        <v>44233</v>
      </c>
      <c r="NE13">
        <v>48130</v>
      </c>
      <c r="NF13">
        <v>239</v>
      </c>
      <c r="NG13" s="16">
        <v>44233</v>
      </c>
      <c r="NH13">
        <v>48127</v>
      </c>
      <c r="NI13">
        <v>239</v>
      </c>
      <c r="NJ13" s="16">
        <v>44235</v>
      </c>
      <c r="NK13">
        <v>48851</v>
      </c>
      <c r="NL13">
        <v>460</v>
      </c>
      <c r="NM13" s="16">
        <v>44235</v>
      </c>
      <c r="NN13">
        <v>48851</v>
      </c>
      <c r="NO13">
        <v>460</v>
      </c>
      <c r="NP13" s="16">
        <v>44237</v>
      </c>
      <c r="NQ13">
        <v>49603</v>
      </c>
      <c r="NR13">
        <v>382</v>
      </c>
      <c r="NS13" s="16">
        <v>44238</v>
      </c>
      <c r="NT13">
        <v>49960</v>
      </c>
      <c r="NU13">
        <v>357</v>
      </c>
      <c r="NV13" s="16">
        <v>44239</v>
      </c>
      <c r="NW13">
        <v>50376</v>
      </c>
      <c r="NX13">
        <v>417</v>
      </c>
      <c r="NY13" s="16">
        <v>44240</v>
      </c>
      <c r="NZ13">
        <v>50653</v>
      </c>
      <c r="OA13">
        <v>276</v>
      </c>
      <c r="OB13" s="16">
        <v>44241</v>
      </c>
      <c r="OC13">
        <v>50935</v>
      </c>
      <c r="OD13">
        <v>281</v>
      </c>
      <c r="OE13" s="16">
        <v>44242</v>
      </c>
      <c r="OF13">
        <v>51552</v>
      </c>
      <c r="OG13">
        <v>617</v>
      </c>
      <c r="OH13" s="16">
        <v>44243</v>
      </c>
      <c r="OI13">
        <v>52064</v>
      </c>
      <c r="OJ13">
        <v>514</v>
      </c>
      <c r="OK13" s="16">
        <v>44244</v>
      </c>
      <c r="OL13">
        <v>52614</v>
      </c>
      <c r="OM13">
        <v>549</v>
      </c>
      <c r="ON13" s="16">
        <v>44245</v>
      </c>
      <c r="OO13">
        <v>53223</v>
      </c>
      <c r="OP13">
        <v>610</v>
      </c>
      <c r="OQ13" s="16">
        <v>44246</v>
      </c>
      <c r="OR13">
        <v>53797</v>
      </c>
      <c r="OS13">
        <v>572</v>
      </c>
      <c r="OT13" s="16">
        <v>44247</v>
      </c>
      <c r="OU13">
        <v>54115</v>
      </c>
      <c r="OV13">
        <v>318</v>
      </c>
      <c r="OW13" s="16">
        <v>44248</v>
      </c>
      <c r="OX13">
        <v>54469</v>
      </c>
      <c r="OY13">
        <v>355</v>
      </c>
      <c r="OZ13" s="16">
        <v>44249</v>
      </c>
      <c r="PA13">
        <v>55093</v>
      </c>
      <c r="PB13">
        <v>623</v>
      </c>
      <c r="PC13" s="16">
        <v>44250</v>
      </c>
      <c r="PD13">
        <v>55719</v>
      </c>
      <c r="PE13">
        <v>625</v>
      </c>
      <c r="PF13" s="16">
        <v>44251</v>
      </c>
      <c r="PG13">
        <v>56318</v>
      </c>
      <c r="PH13">
        <v>599</v>
      </c>
      <c r="PI13" s="16">
        <v>44252</v>
      </c>
      <c r="PJ13">
        <v>56940</v>
      </c>
      <c r="PK13">
        <v>618</v>
      </c>
      <c r="PL13" s="16">
        <v>44253</v>
      </c>
      <c r="PM13">
        <v>57630</v>
      </c>
      <c r="PN13">
        <v>691</v>
      </c>
      <c r="PO13" s="16">
        <v>44254</v>
      </c>
      <c r="PP13">
        <v>58030</v>
      </c>
      <c r="PQ13">
        <v>400</v>
      </c>
      <c r="PR13" s="16">
        <v>44255</v>
      </c>
      <c r="PS13">
        <v>58450</v>
      </c>
      <c r="PT13">
        <v>420</v>
      </c>
      <c r="PU13" s="16">
        <v>44256</v>
      </c>
      <c r="PV13">
        <v>59318</v>
      </c>
      <c r="PW13">
        <v>869</v>
      </c>
      <c r="PX13" s="16">
        <v>44257</v>
      </c>
      <c r="PY13">
        <v>60073</v>
      </c>
      <c r="PZ13">
        <v>757</v>
      </c>
      <c r="QA13" s="16">
        <v>44258</v>
      </c>
      <c r="QB13">
        <v>60809</v>
      </c>
      <c r="QC13">
        <v>731</v>
      </c>
      <c r="QD13" s="16">
        <v>44259</v>
      </c>
      <c r="QE13">
        <v>61449</v>
      </c>
      <c r="QF13">
        <v>638</v>
      </c>
      <c r="QG13" s="16">
        <v>44260</v>
      </c>
      <c r="QH13">
        <v>62077</v>
      </c>
      <c r="QI13">
        <v>628</v>
      </c>
      <c r="QJ13" s="16">
        <v>44261</v>
      </c>
      <c r="QK13">
        <v>62513</v>
      </c>
      <c r="QL13">
        <v>432</v>
      </c>
      <c r="QM13" s="16">
        <v>44262</v>
      </c>
      <c r="QN13">
        <v>62909</v>
      </c>
      <c r="QO13">
        <v>396</v>
      </c>
      <c r="QP13" s="16">
        <v>44263</v>
      </c>
      <c r="QQ13">
        <v>63744</v>
      </c>
      <c r="QR13">
        <v>835</v>
      </c>
      <c r="QS13" s="16">
        <v>44264</v>
      </c>
      <c r="QT13">
        <v>64516</v>
      </c>
      <c r="QU13">
        <v>773</v>
      </c>
      <c r="QV13" s="16">
        <v>44265</v>
      </c>
      <c r="QW13">
        <v>65333</v>
      </c>
      <c r="QX13">
        <v>817</v>
      </c>
      <c r="QY13" s="16">
        <v>44266</v>
      </c>
      <c r="QZ13">
        <v>66103</v>
      </c>
      <c r="RA13">
        <v>775</v>
      </c>
      <c r="RB13" s="16">
        <v>44267</v>
      </c>
      <c r="RC13">
        <v>66920</v>
      </c>
      <c r="RD13">
        <v>814</v>
      </c>
      <c r="RE13" s="16">
        <v>44268</v>
      </c>
      <c r="RF13">
        <v>67409</v>
      </c>
      <c r="RG13">
        <v>492</v>
      </c>
      <c r="RH13" s="16">
        <v>44269</v>
      </c>
      <c r="RI13">
        <v>67843</v>
      </c>
      <c r="RJ13">
        <v>435</v>
      </c>
      <c r="RK13" s="16">
        <v>44270</v>
      </c>
      <c r="RL13">
        <v>68732</v>
      </c>
      <c r="RM13">
        <v>891</v>
      </c>
      <c r="RN13" s="16">
        <v>44272</v>
      </c>
      <c r="RO13">
        <v>70237</v>
      </c>
      <c r="RP13">
        <v>743</v>
      </c>
      <c r="RQ13" s="16">
        <v>44273</v>
      </c>
      <c r="RR13">
        <v>70973</v>
      </c>
      <c r="RS13">
        <v>736</v>
      </c>
      <c r="RT13">
        <v>44274</v>
      </c>
      <c r="RU13">
        <v>71717</v>
      </c>
      <c r="RV13">
        <v>744</v>
      </c>
      <c r="RW13">
        <v>44275</v>
      </c>
      <c r="RX13">
        <v>72120</v>
      </c>
      <c r="RY13">
        <v>403</v>
      </c>
      <c r="RZ13">
        <v>44276</v>
      </c>
      <c r="SA13">
        <v>72538</v>
      </c>
      <c r="SB13">
        <v>417</v>
      </c>
      <c r="SC13">
        <v>44277</v>
      </c>
      <c r="SD13">
        <v>73304</v>
      </c>
      <c r="SE13">
        <v>766</v>
      </c>
      <c r="SF13">
        <v>44278</v>
      </c>
      <c r="SG13">
        <v>74008</v>
      </c>
      <c r="SH13">
        <v>702</v>
      </c>
      <c r="SI13">
        <v>44279</v>
      </c>
      <c r="SJ13">
        <v>74702</v>
      </c>
      <c r="SK13">
        <v>693</v>
      </c>
      <c r="SL13">
        <v>44281</v>
      </c>
      <c r="SM13">
        <v>75994</v>
      </c>
      <c r="SN13">
        <v>686</v>
      </c>
      <c r="SO13">
        <v>44282</v>
      </c>
      <c r="SP13">
        <v>76362</v>
      </c>
      <c r="SQ13">
        <v>350</v>
      </c>
      <c r="SR13">
        <v>44283</v>
      </c>
      <c r="SS13">
        <v>76734</v>
      </c>
      <c r="ST13">
        <v>369</v>
      </c>
      <c r="SU13">
        <v>44284</v>
      </c>
      <c r="SV13">
        <v>77389</v>
      </c>
      <c r="SW13">
        <v>655</v>
      </c>
      <c r="SX13">
        <v>44286</v>
      </c>
      <c r="SY13">
        <v>78507</v>
      </c>
      <c r="SZ13">
        <v>549</v>
      </c>
      <c r="TA13">
        <v>44287</v>
      </c>
      <c r="TB13">
        <v>78998</v>
      </c>
      <c r="TC13">
        <v>487</v>
      </c>
      <c r="TD13">
        <v>44289</v>
      </c>
      <c r="TE13">
        <v>79678</v>
      </c>
      <c r="TF13">
        <v>319</v>
      </c>
      <c r="TG13">
        <v>44290</v>
      </c>
      <c r="TH13">
        <v>80001</v>
      </c>
      <c r="TI13">
        <v>319</v>
      </c>
      <c r="TJ13">
        <v>44291</v>
      </c>
      <c r="TK13">
        <v>80361</v>
      </c>
      <c r="TL13">
        <v>359</v>
      </c>
      <c r="TM13">
        <v>44292</v>
      </c>
      <c r="TN13">
        <v>80905</v>
      </c>
      <c r="TO13">
        <v>543</v>
      </c>
      <c r="TP13">
        <v>44294</v>
      </c>
      <c r="TQ13">
        <v>81736</v>
      </c>
      <c r="TR13">
        <v>403</v>
      </c>
      <c r="TS13">
        <v>44295</v>
      </c>
      <c r="TT13">
        <v>82087</v>
      </c>
      <c r="TU13">
        <v>348</v>
      </c>
      <c r="TV13">
        <v>44295</v>
      </c>
      <c r="TW13">
        <v>82093</v>
      </c>
      <c r="TX13">
        <v>348</v>
      </c>
      <c r="TY13">
        <v>44296</v>
      </c>
      <c r="TZ13">
        <v>82319</v>
      </c>
      <c r="UA13">
        <v>224</v>
      </c>
      <c r="UB13">
        <v>44298</v>
      </c>
      <c r="UC13">
        <v>82953</v>
      </c>
      <c r="UD13">
        <v>396</v>
      </c>
      <c r="UE13">
        <v>44298</v>
      </c>
      <c r="UF13">
        <v>82954</v>
      </c>
      <c r="UG13">
        <v>396</v>
      </c>
      <c r="UH13">
        <v>44299</v>
      </c>
      <c r="UI13">
        <v>83281</v>
      </c>
      <c r="UJ13">
        <v>325</v>
      </c>
      <c r="UK13">
        <v>44300</v>
      </c>
      <c r="UL13">
        <v>83627</v>
      </c>
      <c r="UM13">
        <v>345</v>
      </c>
      <c r="UN13">
        <v>44304</v>
      </c>
      <c r="UO13">
        <v>84500</v>
      </c>
      <c r="UP13">
        <v>155</v>
      </c>
      <c r="UQ13">
        <v>44305</v>
      </c>
      <c r="UR13">
        <v>84785</v>
      </c>
      <c r="US13">
        <v>283</v>
      </c>
      <c r="UT13">
        <v>44306</v>
      </c>
      <c r="UU13">
        <v>85071</v>
      </c>
      <c r="UV13">
        <v>285</v>
      </c>
      <c r="UW13">
        <v>44307</v>
      </c>
      <c r="UX13">
        <v>85307</v>
      </c>
      <c r="UY13">
        <v>234</v>
      </c>
      <c r="UZ13">
        <v>44309</v>
      </c>
      <c r="VA13">
        <v>85825</v>
      </c>
      <c r="VB13">
        <v>257</v>
      </c>
      <c r="VC13">
        <v>44309</v>
      </c>
      <c r="VD13">
        <v>85820</v>
      </c>
      <c r="VE13">
        <v>255</v>
      </c>
      <c r="VF13">
        <v>44310</v>
      </c>
      <c r="VG13">
        <v>85976</v>
      </c>
      <c r="VH13">
        <v>154</v>
      </c>
      <c r="VI13">
        <v>44312</v>
      </c>
      <c r="VJ13">
        <v>86360</v>
      </c>
      <c r="VK13">
        <v>243</v>
      </c>
      <c r="VL13">
        <v>44312</v>
      </c>
      <c r="VM13">
        <v>86360</v>
      </c>
      <c r="VN13">
        <v>243</v>
      </c>
      <c r="VO13">
        <v>44313</v>
      </c>
      <c r="VP13">
        <v>86588</v>
      </c>
      <c r="VQ13">
        <v>228</v>
      </c>
      <c r="VR13">
        <v>44314</v>
      </c>
      <c r="VS13">
        <v>86859</v>
      </c>
      <c r="VT13">
        <v>273</v>
      </c>
      <c r="VU13">
        <v>44316</v>
      </c>
      <c r="VV13">
        <v>87259</v>
      </c>
      <c r="VW13">
        <v>195</v>
      </c>
      <c r="VX13">
        <v>44316</v>
      </c>
      <c r="VY13">
        <v>87261</v>
      </c>
      <c r="VZ13">
        <v>195</v>
      </c>
      <c r="WA13">
        <v>44317</v>
      </c>
      <c r="WB13">
        <v>87371</v>
      </c>
      <c r="WC13">
        <v>107</v>
      </c>
      <c r="WD13">
        <v>44318</v>
      </c>
      <c r="WE13">
        <v>87506</v>
      </c>
      <c r="WF13">
        <v>135</v>
      </c>
      <c r="WG13">
        <v>44319</v>
      </c>
      <c r="WH13">
        <v>87824</v>
      </c>
      <c r="WI13">
        <v>318</v>
      </c>
      <c r="WJ13">
        <v>44321</v>
      </c>
      <c r="WK13">
        <v>88296</v>
      </c>
      <c r="WL13">
        <v>266</v>
      </c>
      <c r="WM13">
        <v>44321</v>
      </c>
      <c r="WN13">
        <v>88297</v>
      </c>
      <c r="WO13">
        <v>266</v>
      </c>
      <c r="WP13">
        <v>44324</v>
      </c>
      <c r="WQ13">
        <v>88877</v>
      </c>
      <c r="WR13">
        <v>130</v>
      </c>
      <c r="WS13">
        <v>44325</v>
      </c>
      <c r="WT13">
        <v>89007</v>
      </c>
      <c r="WU13">
        <v>130</v>
      </c>
      <c r="WV13">
        <v>44326</v>
      </c>
      <c r="WW13">
        <v>89267</v>
      </c>
      <c r="WX13">
        <v>258</v>
      </c>
      <c r="WY13">
        <v>44327</v>
      </c>
      <c r="WZ13">
        <v>89484</v>
      </c>
      <c r="XA13">
        <v>214</v>
      </c>
      <c r="XB13">
        <v>44328</v>
      </c>
      <c r="XC13">
        <v>89741</v>
      </c>
      <c r="XD13">
        <v>256</v>
      </c>
      <c r="XE13">
        <v>44330</v>
      </c>
      <c r="XF13">
        <v>90140</v>
      </c>
      <c r="XG13">
        <v>243</v>
      </c>
      <c r="XH13">
        <v>44330</v>
      </c>
      <c r="XI13">
        <v>90147</v>
      </c>
      <c r="XJ13">
        <v>244</v>
      </c>
      <c r="XK13">
        <v>44331</v>
      </c>
      <c r="XL13">
        <v>90307</v>
      </c>
      <c r="XM13">
        <v>160</v>
      </c>
      <c r="XN13">
        <v>44332</v>
      </c>
      <c r="XO13">
        <v>90440</v>
      </c>
      <c r="XP13">
        <v>133</v>
      </c>
      <c r="XQ13">
        <v>44333</v>
      </c>
      <c r="XR13">
        <v>90724</v>
      </c>
      <c r="XS13">
        <v>284</v>
      </c>
      <c r="XT13">
        <v>44334</v>
      </c>
      <c r="XU13">
        <v>90943</v>
      </c>
      <c r="XV13">
        <v>216</v>
      </c>
      <c r="XW13">
        <v>44335</v>
      </c>
      <c r="XX13">
        <v>91176</v>
      </c>
      <c r="XY13">
        <v>230</v>
      </c>
      <c r="XZ13">
        <v>44336</v>
      </c>
      <c r="YA13">
        <v>91392</v>
      </c>
      <c r="YB13">
        <v>215</v>
      </c>
      <c r="YC13">
        <v>44338</v>
      </c>
      <c r="YD13">
        <v>91671</v>
      </c>
      <c r="YE13">
        <v>107</v>
      </c>
      <c r="YF13">
        <v>44339</v>
      </c>
      <c r="YG13">
        <v>91765</v>
      </c>
      <c r="YH13">
        <v>92</v>
      </c>
      <c r="YI13">
        <v>44340</v>
      </c>
      <c r="YJ13">
        <v>91955</v>
      </c>
      <c r="YK13">
        <v>188</v>
      </c>
      <c r="YL13">
        <v>44341</v>
      </c>
      <c r="YM13">
        <v>92107</v>
      </c>
      <c r="YN13">
        <v>152</v>
      </c>
      <c r="YO13">
        <v>44342</v>
      </c>
      <c r="YP13">
        <v>92253</v>
      </c>
      <c r="YQ13">
        <v>142</v>
      </c>
      <c r="YR13">
        <v>44343</v>
      </c>
      <c r="YS13">
        <v>92380</v>
      </c>
      <c r="YT13">
        <v>127</v>
      </c>
      <c r="YU13">
        <v>44344</v>
      </c>
      <c r="YV13">
        <v>92524</v>
      </c>
      <c r="YW13">
        <v>136</v>
      </c>
    </row>
    <row r="14" spans="1:673" s="10" customFormat="1">
      <c r="B14" t="str">
        <f t="shared" ca="1" si="2"/>
        <v>29.5</v>
      </c>
      <c r="C14" s="9">
        <f t="shared" ca="1" si="0"/>
        <v>44345</v>
      </c>
      <c r="D14" s="10">
        <f t="shared" ca="1" si="1"/>
        <v>92588</v>
      </c>
      <c r="E14" s="10">
        <f t="shared" ca="1" si="3"/>
        <v>64</v>
      </c>
      <c r="F14" s="10">
        <f t="shared" ca="1" si="4"/>
        <v>0</v>
      </c>
      <c r="G14" s="10">
        <f t="shared" ca="1" si="5"/>
        <v>64</v>
      </c>
      <c r="H14" s="10">
        <f ca="1">SUM(E14:E20)</f>
        <v>739</v>
      </c>
      <c r="I14" s="10" t="str">
        <f ca="1">TEXT(H14/H7-1,"0 %")</f>
        <v>-22 %</v>
      </c>
      <c r="L14" s="14"/>
      <c r="M14"/>
      <c r="N14" s="17">
        <v>44345</v>
      </c>
      <c r="O14" s="10">
        <v>92588</v>
      </c>
      <c r="P14">
        <v>64</v>
      </c>
      <c r="Q14" s="17">
        <v>44345</v>
      </c>
      <c r="R14" s="10">
        <v>92588</v>
      </c>
      <c r="S14" s="10">
        <v>64</v>
      </c>
      <c r="T14" s="17">
        <v>44092</v>
      </c>
      <c r="U14" s="10">
        <v>9105</v>
      </c>
      <c r="V14" s="10">
        <v>76</v>
      </c>
      <c r="W14" s="17">
        <v>44093</v>
      </c>
      <c r="X14" s="10">
        <v>9167</v>
      </c>
      <c r="Y14" s="10">
        <v>61</v>
      </c>
      <c r="Z14" s="17">
        <v>44094</v>
      </c>
      <c r="AA14" s="10">
        <v>9241</v>
      </c>
      <c r="AB14" s="10">
        <v>73</v>
      </c>
      <c r="AC14" s="17">
        <v>44095</v>
      </c>
      <c r="AD14" s="10">
        <v>9359</v>
      </c>
      <c r="AE14" s="10">
        <v>119</v>
      </c>
      <c r="AF14" s="17">
        <v>44096</v>
      </c>
      <c r="AG14" s="10">
        <v>9464</v>
      </c>
      <c r="AH14" s="10">
        <v>105</v>
      </c>
      <c r="AI14" s="17">
        <v>44097</v>
      </c>
      <c r="AJ14" s="10">
        <v>9583</v>
      </c>
      <c r="AK14" s="10">
        <v>118</v>
      </c>
      <c r="AL14" s="17">
        <v>44098</v>
      </c>
      <c r="AM14" s="10">
        <v>9679</v>
      </c>
      <c r="AN14" s="10">
        <v>97</v>
      </c>
      <c r="AO14" s="17">
        <v>44099</v>
      </c>
      <c r="AP14" s="10">
        <v>9806</v>
      </c>
      <c r="AQ14" s="10">
        <v>127</v>
      </c>
      <c r="AR14" s="17">
        <v>44100</v>
      </c>
      <c r="AS14" s="10">
        <v>9879</v>
      </c>
      <c r="AT14" s="10">
        <v>73</v>
      </c>
      <c r="AU14" s="17">
        <v>44101</v>
      </c>
      <c r="AV14" s="10">
        <v>9950</v>
      </c>
      <c r="AW14" s="10">
        <v>71</v>
      </c>
      <c r="AX14" s="17">
        <v>44102</v>
      </c>
      <c r="AY14" s="10">
        <v>10072</v>
      </c>
      <c r="AZ14" s="10">
        <v>122</v>
      </c>
      <c r="BA14" s="17">
        <v>44103</v>
      </c>
      <c r="BB14" s="10">
        <v>10205</v>
      </c>
      <c r="BC14" s="10">
        <v>133</v>
      </c>
      <c r="BD14" s="17">
        <v>44104</v>
      </c>
      <c r="BE14" s="10">
        <v>10370</v>
      </c>
      <c r="BF14" s="10">
        <v>165</v>
      </c>
      <c r="BG14" s="17">
        <v>44105</v>
      </c>
      <c r="BH14" s="10">
        <v>10556</v>
      </c>
      <c r="BI14" s="10">
        <v>188</v>
      </c>
      <c r="BJ14" s="17">
        <v>44106</v>
      </c>
      <c r="BK14" s="10">
        <v>10746</v>
      </c>
      <c r="BL14" s="10">
        <v>188</v>
      </c>
      <c r="BM14" s="17">
        <v>44107</v>
      </c>
      <c r="BN14" s="10">
        <v>10916</v>
      </c>
      <c r="BO14" s="10">
        <v>169</v>
      </c>
      <c r="BP14" s="17">
        <v>44108</v>
      </c>
      <c r="BQ14" s="10">
        <v>11062</v>
      </c>
      <c r="BR14" s="10">
        <v>147</v>
      </c>
      <c r="BS14" s="17">
        <v>44109</v>
      </c>
      <c r="BT14" s="10">
        <v>11352</v>
      </c>
      <c r="BU14" s="10">
        <v>289</v>
      </c>
      <c r="BV14" s="17">
        <v>44111</v>
      </c>
      <c r="BW14" s="10">
        <v>11957</v>
      </c>
      <c r="BX14" s="10">
        <v>306</v>
      </c>
      <c r="BY14" s="17">
        <v>44112</v>
      </c>
      <c r="BZ14" s="10">
        <v>12219</v>
      </c>
      <c r="CA14" s="10">
        <v>260</v>
      </c>
      <c r="CB14" s="17">
        <v>44113</v>
      </c>
      <c r="CC14" s="10">
        <v>12448</v>
      </c>
      <c r="CD14" s="10">
        <v>226</v>
      </c>
      <c r="CE14" s="17">
        <v>44114</v>
      </c>
      <c r="CF14" s="10">
        <v>12564</v>
      </c>
      <c r="CG14" s="10">
        <v>109</v>
      </c>
      <c r="CH14" s="17">
        <v>44115</v>
      </c>
      <c r="CI14" s="10">
        <v>12695</v>
      </c>
      <c r="CJ14" s="10">
        <v>130</v>
      </c>
      <c r="CK14" s="17">
        <v>44116</v>
      </c>
      <c r="CL14" s="10">
        <v>12949</v>
      </c>
      <c r="CM14" s="10">
        <v>254</v>
      </c>
      <c r="CN14" s="17">
        <v>44117</v>
      </c>
      <c r="CO14" s="10">
        <v>13146</v>
      </c>
      <c r="CP14" s="10">
        <v>197</v>
      </c>
      <c r="CQ14" s="17">
        <v>44118</v>
      </c>
      <c r="CR14" s="10">
        <v>13346</v>
      </c>
      <c r="CS14" s="10">
        <v>200</v>
      </c>
      <c r="CT14" s="17">
        <v>44119</v>
      </c>
      <c r="CU14" s="10">
        <v>13539</v>
      </c>
      <c r="CV14" s="10">
        <v>191</v>
      </c>
      <c r="CW14" s="17">
        <v>44120</v>
      </c>
      <c r="CX14" s="10">
        <v>13733</v>
      </c>
      <c r="CY14" s="10">
        <v>193</v>
      </c>
      <c r="CZ14" s="17">
        <v>44122</v>
      </c>
      <c r="DA14" s="10">
        <v>13959</v>
      </c>
      <c r="DB14" s="10">
        <v>128</v>
      </c>
      <c r="DC14" s="17">
        <v>44123</v>
      </c>
      <c r="DD14" s="10">
        <v>14203</v>
      </c>
      <c r="DE14" s="10">
        <v>244</v>
      </c>
      <c r="DF14" s="17">
        <v>44124</v>
      </c>
      <c r="DG14" s="10">
        <v>14365</v>
      </c>
      <c r="DH14" s="10">
        <v>162</v>
      </c>
      <c r="DI14" s="17">
        <v>44125</v>
      </c>
      <c r="DJ14" s="10">
        <v>14555</v>
      </c>
      <c r="DK14" s="10">
        <v>189</v>
      </c>
      <c r="DL14" s="17">
        <v>44126</v>
      </c>
      <c r="DM14" s="10">
        <v>14775</v>
      </c>
      <c r="DN14" s="10">
        <v>216</v>
      </c>
      <c r="DO14" s="17">
        <v>44127</v>
      </c>
      <c r="DP14" s="10">
        <v>14968</v>
      </c>
      <c r="DQ14" s="10">
        <v>192</v>
      </c>
      <c r="DR14" s="17">
        <v>44128</v>
      </c>
      <c r="DS14" s="10">
        <v>15077</v>
      </c>
      <c r="DT14" s="10">
        <v>108</v>
      </c>
      <c r="DU14" s="17">
        <v>44129</v>
      </c>
      <c r="DV14" s="10">
        <v>15201</v>
      </c>
      <c r="DW14" s="10">
        <v>123</v>
      </c>
      <c r="DX14" s="17">
        <v>44130</v>
      </c>
      <c r="DY14" s="10">
        <v>15457</v>
      </c>
      <c r="DZ14" s="10">
        <v>256</v>
      </c>
      <c r="EA14" s="17">
        <v>44131</v>
      </c>
      <c r="EB14" s="10">
        <v>15687</v>
      </c>
      <c r="EC14" s="10">
        <v>230</v>
      </c>
      <c r="ED14" s="17">
        <v>44132</v>
      </c>
      <c r="EE14" s="10">
        <v>15919</v>
      </c>
      <c r="EF14" s="10">
        <v>240</v>
      </c>
      <c r="EG14" s="17">
        <v>44133</v>
      </c>
      <c r="EH14" s="10">
        <v>16156</v>
      </c>
      <c r="EI14" s="10">
        <v>237</v>
      </c>
      <c r="EJ14" s="17">
        <v>44134</v>
      </c>
      <c r="EK14" s="10">
        <v>16375</v>
      </c>
      <c r="EL14" s="10">
        <v>219</v>
      </c>
      <c r="EM14" s="17">
        <v>44135</v>
      </c>
      <c r="EN14" s="10">
        <v>16496</v>
      </c>
      <c r="EO14" s="10">
        <v>121</v>
      </c>
      <c r="EP14" s="17">
        <v>44136</v>
      </c>
      <c r="EQ14" s="10">
        <v>16646</v>
      </c>
      <c r="ER14" s="10">
        <v>150</v>
      </c>
      <c r="ES14" s="17">
        <v>44137</v>
      </c>
      <c r="ET14" s="10">
        <v>16928</v>
      </c>
      <c r="EU14" s="10">
        <v>281</v>
      </c>
      <c r="EV14" s="17">
        <v>44138</v>
      </c>
      <c r="EW14" s="10">
        <v>17169</v>
      </c>
      <c r="EX14" s="10">
        <v>241</v>
      </c>
      <c r="EY14" s="17">
        <v>44139</v>
      </c>
      <c r="EZ14" s="10">
        <v>17379</v>
      </c>
      <c r="FA14" s="10">
        <v>210</v>
      </c>
      <c r="FB14" s="17">
        <v>44140</v>
      </c>
      <c r="FC14" s="10">
        <v>17599</v>
      </c>
      <c r="FD14" s="10">
        <v>221</v>
      </c>
      <c r="FE14" s="17">
        <v>44141</v>
      </c>
      <c r="FF14" s="10">
        <v>17741</v>
      </c>
      <c r="FG14" s="10">
        <v>195</v>
      </c>
      <c r="FH14" s="17">
        <v>44142</v>
      </c>
      <c r="FI14" s="10">
        <v>17929</v>
      </c>
      <c r="FJ14" s="10">
        <v>128</v>
      </c>
      <c r="FK14" s="17">
        <v>44143</v>
      </c>
      <c r="FL14" s="10">
        <v>18073</v>
      </c>
      <c r="FM14" s="10">
        <v>133</v>
      </c>
      <c r="FN14" s="17">
        <v>44144</v>
      </c>
      <c r="FO14" s="10">
        <v>18349</v>
      </c>
      <c r="FP14" s="10">
        <v>276</v>
      </c>
      <c r="FQ14" s="17">
        <v>44145</v>
      </c>
      <c r="FR14" s="10">
        <v>18554</v>
      </c>
      <c r="FS14" s="10">
        <v>205</v>
      </c>
      <c r="FT14" s="17">
        <v>44146</v>
      </c>
      <c r="FU14" s="10">
        <v>18866</v>
      </c>
      <c r="FV14" s="10">
        <v>292</v>
      </c>
      <c r="FW14" s="17">
        <v>44147</v>
      </c>
      <c r="FX14" s="10">
        <v>19150</v>
      </c>
      <c r="FY14" s="10">
        <v>282</v>
      </c>
      <c r="FZ14" s="17">
        <v>44148</v>
      </c>
      <c r="GA14" s="10">
        <v>19418</v>
      </c>
      <c r="GB14" s="10">
        <v>264</v>
      </c>
      <c r="GC14" s="17">
        <v>44149</v>
      </c>
      <c r="GD14" s="10">
        <v>19563</v>
      </c>
      <c r="GE14" s="10">
        <v>145</v>
      </c>
      <c r="GF14" s="17">
        <v>44150</v>
      </c>
      <c r="GG14" s="10">
        <v>19746</v>
      </c>
      <c r="GH14" s="10">
        <v>182</v>
      </c>
      <c r="GI14" s="17">
        <v>44151</v>
      </c>
      <c r="GJ14" s="10">
        <v>20138</v>
      </c>
      <c r="GK14" s="10">
        <v>392</v>
      </c>
      <c r="GL14" s="17">
        <v>44152</v>
      </c>
      <c r="GM14" s="10">
        <v>20530</v>
      </c>
      <c r="GN14" s="10">
        <v>392</v>
      </c>
      <c r="GO14" s="17">
        <v>44153</v>
      </c>
      <c r="GP14" s="10">
        <v>20902</v>
      </c>
      <c r="GQ14" s="10">
        <v>372</v>
      </c>
      <c r="GR14" s="17">
        <v>44154</v>
      </c>
      <c r="GS14" s="10">
        <v>21383</v>
      </c>
      <c r="GT14" s="10">
        <v>480</v>
      </c>
      <c r="GU14" s="17">
        <v>44155</v>
      </c>
      <c r="GV14" s="10">
        <v>21807</v>
      </c>
      <c r="GW14" s="10">
        <v>429</v>
      </c>
      <c r="GX14" s="17">
        <v>44156</v>
      </c>
      <c r="GY14" s="10">
        <v>22080</v>
      </c>
      <c r="GZ14" s="10">
        <v>268</v>
      </c>
      <c r="HA14" s="17">
        <v>44157</v>
      </c>
      <c r="HB14" s="10">
        <v>22349</v>
      </c>
      <c r="HC14" s="10">
        <v>267</v>
      </c>
      <c r="HD14" s="17">
        <v>44158</v>
      </c>
      <c r="HE14" s="10">
        <v>22853</v>
      </c>
      <c r="HF14" s="10">
        <v>505</v>
      </c>
      <c r="HG14" s="17">
        <v>44159</v>
      </c>
      <c r="HH14" s="10">
        <v>23320</v>
      </c>
      <c r="HI14" s="10">
        <v>468</v>
      </c>
      <c r="HJ14" s="17">
        <v>44160</v>
      </c>
      <c r="HK14" s="10">
        <v>23934</v>
      </c>
      <c r="HL14" s="10">
        <v>613</v>
      </c>
      <c r="HM14" s="17">
        <v>44161</v>
      </c>
      <c r="HN14" s="10">
        <v>24442</v>
      </c>
      <c r="HO14" s="10">
        <v>510</v>
      </c>
      <c r="HP14" s="17">
        <v>44162</v>
      </c>
      <c r="HQ14" s="10">
        <v>24900</v>
      </c>
      <c r="HR14" s="10">
        <v>455</v>
      </c>
      <c r="HS14" s="17">
        <v>44163</v>
      </c>
      <c r="HT14" s="10">
        <v>25183</v>
      </c>
      <c r="HU14" s="10">
        <v>284</v>
      </c>
      <c r="HV14" s="17">
        <v>44164</v>
      </c>
      <c r="HW14" s="10">
        <v>25478</v>
      </c>
      <c r="HX14" s="10">
        <v>293</v>
      </c>
      <c r="HY14" s="17">
        <v>44165</v>
      </c>
      <c r="HZ14" s="10">
        <v>26073</v>
      </c>
      <c r="IA14" s="10">
        <v>596</v>
      </c>
      <c r="IB14" s="17">
        <v>44166</v>
      </c>
      <c r="IC14" s="10">
        <v>26512</v>
      </c>
      <c r="ID14" s="10">
        <v>440</v>
      </c>
      <c r="IE14" s="17">
        <v>44167</v>
      </c>
      <c r="IF14" s="10">
        <v>27008</v>
      </c>
      <c r="IG14" s="10">
        <v>494</v>
      </c>
      <c r="IH14" s="17">
        <v>44168</v>
      </c>
      <c r="II14" s="10">
        <v>27484</v>
      </c>
      <c r="IJ14" s="10">
        <v>477</v>
      </c>
      <c r="IK14" s="17">
        <v>44169</v>
      </c>
      <c r="IL14" s="10">
        <v>27956</v>
      </c>
      <c r="IM14" s="10">
        <v>471</v>
      </c>
      <c r="IN14" s="17">
        <v>44170</v>
      </c>
      <c r="IO14" s="10">
        <v>28206</v>
      </c>
      <c r="IP14" s="10">
        <v>250</v>
      </c>
      <c r="IQ14" s="17">
        <v>44171</v>
      </c>
      <c r="IR14" s="10">
        <v>28488</v>
      </c>
      <c r="IS14" s="10">
        <v>282</v>
      </c>
      <c r="IT14" s="17">
        <v>44172</v>
      </c>
      <c r="IU14" s="10">
        <v>29075</v>
      </c>
      <c r="IV14" s="10">
        <v>587</v>
      </c>
      <c r="IW14" s="17">
        <v>44173</v>
      </c>
      <c r="IX14" s="10">
        <v>29551</v>
      </c>
      <c r="IY14" s="10">
        <v>476</v>
      </c>
      <c r="IZ14" s="17">
        <v>44174</v>
      </c>
      <c r="JA14" s="10">
        <v>30016</v>
      </c>
      <c r="JB14" s="10">
        <v>462</v>
      </c>
      <c r="JC14" s="17">
        <v>44178</v>
      </c>
      <c r="JD14" s="10">
        <v>31403</v>
      </c>
      <c r="JE14" s="10">
        <v>276</v>
      </c>
      <c r="JF14" s="17">
        <v>44182</v>
      </c>
      <c r="JG14" s="10">
        <v>32890</v>
      </c>
      <c r="JH14" s="10">
        <v>317</v>
      </c>
      <c r="JI14" s="17">
        <v>44183</v>
      </c>
      <c r="JJ14" s="10">
        <v>33327</v>
      </c>
      <c r="JK14" s="10">
        <v>395</v>
      </c>
      <c r="JL14" s="17">
        <v>44184</v>
      </c>
      <c r="JM14" s="10">
        <v>33509</v>
      </c>
      <c r="JN14" s="10">
        <v>190</v>
      </c>
      <c r="JO14" s="17">
        <v>44185</v>
      </c>
      <c r="JP14" s="10">
        <v>33745</v>
      </c>
      <c r="JQ14" s="10">
        <v>244</v>
      </c>
      <c r="JR14" s="17">
        <v>44187</v>
      </c>
      <c r="JS14" s="10">
        <v>34455</v>
      </c>
      <c r="JT14" s="10">
        <v>331</v>
      </c>
      <c r="JU14" s="17">
        <v>44187</v>
      </c>
      <c r="JV14" s="10">
        <v>34456</v>
      </c>
      <c r="JW14" s="10">
        <v>331</v>
      </c>
      <c r="JX14" s="17">
        <v>44189</v>
      </c>
      <c r="JY14" s="10">
        <v>34867</v>
      </c>
      <c r="JZ14" s="10">
        <v>138</v>
      </c>
      <c r="KA14" s="17">
        <v>44201</v>
      </c>
      <c r="KB14" s="10">
        <v>37806</v>
      </c>
      <c r="KC14" s="10">
        <v>260</v>
      </c>
      <c r="KD14" s="17">
        <v>44201</v>
      </c>
      <c r="KE14" s="10">
        <v>37814</v>
      </c>
      <c r="KF14" s="10">
        <v>260</v>
      </c>
      <c r="KG14" s="17">
        <v>44202</v>
      </c>
      <c r="KH14" s="10">
        <v>38015</v>
      </c>
      <c r="KI14" s="10">
        <v>209</v>
      </c>
      <c r="KJ14" s="17">
        <v>44204</v>
      </c>
      <c r="KK14" s="10">
        <v>38596</v>
      </c>
      <c r="KL14" s="10">
        <v>251</v>
      </c>
      <c r="KM14" s="17">
        <v>44205</v>
      </c>
      <c r="KN14" s="10">
        <v>38795</v>
      </c>
      <c r="KO14" s="10">
        <v>193</v>
      </c>
      <c r="KP14" s="17">
        <v>44209</v>
      </c>
      <c r="KQ14" s="10">
        <v>39851</v>
      </c>
      <c r="KR14" s="10">
        <v>257</v>
      </c>
      <c r="KS14" s="17">
        <v>44210</v>
      </c>
      <c r="KT14" s="10">
        <v>40104</v>
      </c>
      <c r="KU14" s="10">
        <v>249</v>
      </c>
      <c r="KV14" s="17">
        <v>44211</v>
      </c>
      <c r="KW14" s="10">
        <v>40370</v>
      </c>
      <c r="KX14" s="10">
        <v>266</v>
      </c>
      <c r="KY14" s="17">
        <v>44213</v>
      </c>
      <c r="KZ14" s="10">
        <v>40734</v>
      </c>
      <c r="LA14" s="10">
        <v>195</v>
      </c>
      <c r="LB14" s="17">
        <v>44214</v>
      </c>
      <c r="LC14" s="10">
        <v>41188</v>
      </c>
      <c r="LD14" s="10">
        <v>447</v>
      </c>
      <c r="LE14" s="17">
        <v>44215</v>
      </c>
      <c r="LF14" s="10">
        <v>41532</v>
      </c>
      <c r="LG14" s="10">
        <v>344</v>
      </c>
      <c r="LH14" s="17">
        <v>44217</v>
      </c>
      <c r="LI14" s="10">
        <v>42280</v>
      </c>
      <c r="LJ14" s="10">
        <v>375</v>
      </c>
      <c r="LK14" s="17">
        <v>44217</v>
      </c>
      <c r="LL14" s="10">
        <v>42281</v>
      </c>
      <c r="LM14" s="10">
        <v>376</v>
      </c>
      <c r="LN14" s="17">
        <v>44219</v>
      </c>
      <c r="LO14" s="10">
        <v>42834</v>
      </c>
      <c r="LP14" s="10">
        <v>168</v>
      </c>
      <c r="LQ14" s="17">
        <v>44220</v>
      </c>
      <c r="LR14" s="10">
        <v>43074</v>
      </c>
      <c r="LS14" s="10">
        <v>244</v>
      </c>
      <c r="LT14" s="17">
        <v>44221</v>
      </c>
      <c r="LU14" s="10">
        <v>43678</v>
      </c>
      <c r="LV14" s="10">
        <v>603</v>
      </c>
      <c r="LW14" s="17">
        <v>44222</v>
      </c>
      <c r="LX14" s="10">
        <v>44087</v>
      </c>
      <c r="LY14" s="10">
        <v>399</v>
      </c>
      <c r="LZ14" s="17">
        <v>44223</v>
      </c>
      <c r="MA14" s="10">
        <v>44461</v>
      </c>
      <c r="MB14" s="10">
        <v>383</v>
      </c>
      <c r="MC14" s="17">
        <v>44224</v>
      </c>
      <c r="MD14" s="10">
        <v>44907</v>
      </c>
      <c r="ME14" s="10">
        <v>436</v>
      </c>
      <c r="MF14" s="17">
        <v>44226</v>
      </c>
      <c r="MG14" s="10">
        <v>45516</v>
      </c>
      <c r="MH14" s="10">
        <v>232</v>
      </c>
      <c r="MI14" s="17">
        <v>44226</v>
      </c>
      <c r="MJ14" s="10">
        <v>45517</v>
      </c>
      <c r="MK14" s="10">
        <v>232</v>
      </c>
      <c r="ML14" s="17">
        <v>44227</v>
      </c>
      <c r="MM14" s="10">
        <v>45787</v>
      </c>
      <c r="MN14" s="10">
        <v>272</v>
      </c>
      <c r="MO14" s="17">
        <v>44228</v>
      </c>
      <c r="MP14" s="10">
        <v>46315</v>
      </c>
      <c r="MQ14" s="10">
        <v>529</v>
      </c>
      <c r="MR14" s="17">
        <v>44229</v>
      </c>
      <c r="MS14" s="10">
        <v>46713</v>
      </c>
      <c r="MT14" s="10">
        <v>395</v>
      </c>
      <c r="MU14" s="17">
        <v>44230</v>
      </c>
      <c r="MV14" s="10">
        <v>47151</v>
      </c>
      <c r="MW14" s="10">
        <v>440</v>
      </c>
      <c r="MX14" s="17">
        <v>44231</v>
      </c>
      <c r="MY14" s="10">
        <v>47521</v>
      </c>
      <c r="MZ14" s="10">
        <v>370</v>
      </c>
      <c r="NA14" s="17">
        <v>44231</v>
      </c>
      <c r="NB14" s="10">
        <v>47522</v>
      </c>
      <c r="NC14" s="10">
        <v>370</v>
      </c>
      <c r="ND14" s="17">
        <v>44234</v>
      </c>
      <c r="NE14" s="10">
        <v>48392</v>
      </c>
      <c r="NF14" s="10">
        <v>262</v>
      </c>
      <c r="NG14" s="17">
        <v>44234</v>
      </c>
      <c r="NH14" s="10">
        <v>48390</v>
      </c>
      <c r="NI14" s="10">
        <v>263</v>
      </c>
      <c r="NJ14" s="17">
        <v>44236</v>
      </c>
      <c r="NK14" s="10">
        <v>49221</v>
      </c>
      <c r="NL14" s="10">
        <v>370</v>
      </c>
      <c r="NM14" s="17">
        <v>44236</v>
      </c>
      <c r="NN14" s="10">
        <v>49221</v>
      </c>
      <c r="NO14" s="10">
        <v>370</v>
      </c>
      <c r="NP14" s="17">
        <v>44238</v>
      </c>
      <c r="NQ14" s="10">
        <v>49960</v>
      </c>
      <c r="NR14" s="10">
        <v>357</v>
      </c>
      <c r="NS14" s="17">
        <v>44239</v>
      </c>
      <c r="NT14" s="10">
        <v>50377</v>
      </c>
      <c r="NU14" s="10">
        <v>417</v>
      </c>
      <c r="NV14" s="17">
        <v>44240</v>
      </c>
      <c r="NW14" s="10">
        <v>50651</v>
      </c>
      <c r="NX14" s="10">
        <v>275</v>
      </c>
      <c r="NY14" s="17">
        <v>44241</v>
      </c>
      <c r="NZ14" s="10">
        <v>50934</v>
      </c>
      <c r="OA14" s="10">
        <v>281</v>
      </c>
      <c r="OB14" s="17">
        <v>44242</v>
      </c>
      <c r="OC14" s="10">
        <v>51552</v>
      </c>
      <c r="OD14" s="10">
        <v>617</v>
      </c>
      <c r="OE14" s="17">
        <v>44243</v>
      </c>
      <c r="OF14" s="10">
        <v>52068</v>
      </c>
      <c r="OG14" s="10">
        <v>516</v>
      </c>
      <c r="OH14" s="17">
        <v>44244</v>
      </c>
      <c r="OI14" s="10">
        <v>52613</v>
      </c>
      <c r="OJ14" s="10">
        <v>549</v>
      </c>
      <c r="OK14" s="17">
        <v>44245</v>
      </c>
      <c r="OL14" s="10">
        <v>53223</v>
      </c>
      <c r="OM14" s="10">
        <v>609</v>
      </c>
      <c r="ON14" s="17">
        <v>44246</v>
      </c>
      <c r="OO14" s="10">
        <v>53795</v>
      </c>
      <c r="OP14" s="10">
        <v>572</v>
      </c>
      <c r="OQ14" s="17">
        <v>44247</v>
      </c>
      <c r="OR14" s="10">
        <v>54115</v>
      </c>
      <c r="OS14" s="10">
        <v>318</v>
      </c>
      <c r="OT14" s="17">
        <v>44248</v>
      </c>
      <c r="OU14" s="10">
        <v>54470</v>
      </c>
      <c r="OV14" s="10">
        <v>355</v>
      </c>
      <c r="OW14" s="17">
        <v>44249</v>
      </c>
      <c r="OX14" s="10">
        <v>55092</v>
      </c>
      <c r="OY14" s="10">
        <v>623</v>
      </c>
      <c r="OZ14" s="17">
        <v>44250</v>
      </c>
      <c r="PA14" s="10">
        <v>55717</v>
      </c>
      <c r="PB14" s="10">
        <v>624</v>
      </c>
      <c r="PC14" s="17">
        <v>44251</v>
      </c>
      <c r="PD14" s="10">
        <v>56318</v>
      </c>
      <c r="PE14" s="10">
        <v>599</v>
      </c>
      <c r="PF14" s="17">
        <v>44252</v>
      </c>
      <c r="PG14" s="10">
        <v>56936</v>
      </c>
      <c r="PH14" s="10">
        <v>618</v>
      </c>
      <c r="PI14" s="17">
        <v>44253</v>
      </c>
      <c r="PJ14" s="10">
        <v>57631</v>
      </c>
      <c r="PK14" s="10">
        <v>691</v>
      </c>
      <c r="PL14" s="17">
        <v>44254</v>
      </c>
      <c r="PM14" s="10">
        <v>58030</v>
      </c>
      <c r="PN14" s="10">
        <v>400</v>
      </c>
      <c r="PO14" s="17">
        <v>44255</v>
      </c>
      <c r="PP14" s="10">
        <v>58450</v>
      </c>
      <c r="PQ14" s="10">
        <v>420</v>
      </c>
      <c r="PR14" s="17">
        <v>44256</v>
      </c>
      <c r="PS14" s="10">
        <v>59319</v>
      </c>
      <c r="PT14" s="10">
        <v>869</v>
      </c>
      <c r="PU14" s="17">
        <v>44257</v>
      </c>
      <c r="PV14" s="10">
        <v>60077</v>
      </c>
      <c r="PW14" s="10">
        <v>759</v>
      </c>
      <c r="PX14" s="17">
        <v>44258</v>
      </c>
      <c r="PY14" s="10">
        <v>60805</v>
      </c>
      <c r="PZ14" s="10">
        <v>732</v>
      </c>
      <c r="QA14" s="17">
        <v>44259</v>
      </c>
      <c r="QB14" s="10">
        <v>61447</v>
      </c>
      <c r="QC14" s="10">
        <v>638</v>
      </c>
      <c r="QD14" s="17">
        <v>44260</v>
      </c>
      <c r="QE14" s="10">
        <v>62079</v>
      </c>
      <c r="QF14" s="10">
        <v>630</v>
      </c>
      <c r="QG14" s="17">
        <v>44261</v>
      </c>
      <c r="QH14" s="10">
        <v>62509</v>
      </c>
      <c r="QI14" s="10">
        <v>432</v>
      </c>
      <c r="QJ14" s="17">
        <v>44262</v>
      </c>
      <c r="QK14" s="10">
        <v>62909</v>
      </c>
      <c r="QL14" s="10">
        <v>396</v>
      </c>
      <c r="QM14" s="17">
        <v>44263</v>
      </c>
      <c r="QN14" s="10">
        <v>63744</v>
      </c>
      <c r="QO14" s="10">
        <v>835</v>
      </c>
      <c r="QP14" s="17">
        <v>44264</v>
      </c>
      <c r="QQ14" s="10">
        <v>64517</v>
      </c>
      <c r="QR14" s="10">
        <v>773</v>
      </c>
      <c r="QS14" s="17">
        <v>44265</v>
      </c>
      <c r="QT14" s="10">
        <v>65333</v>
      </c>
      <c r="QU14" s="10">
        <v>817</v>
      </c>
      <c r="QV14" s="17">
        <v>44266</v>
      </c>
      <c r="QW14" s="10">
        <v>66107</v>
      </c>
      <c r="QX14" s="10">
        <v>774</v>
      </c>
      <c r="QY14" s="17">
        <v>44267</v>
      </c>
      <c r="QZ14" s="10">
        <v>66917</v>
      </c>
      <c r="RA14" s="10">
        <v>814</v>
      </c>
      <c r="RB14" s="17">
        <v>44268</v>
      </c>
      <c r="RC14" s="10">
        <v>67412</v>
      </c>
      <c r="RD14" s="10">
        <v>492</v>
      </c>
      <c r="RE14" s="17">
        <v>44269</v>
      </c>
      <c r="RF14" s="10">
        <v>67844</v>
      </c>
      <c r="RG14" s="10">
        <v>435</v>
      </c>
      <c r="RH14" s="17">
        <v>44270</v>
      </c>
      <c r="RI14" s="10">
        <v>68734</v>
      </c>
      <c r="RJ14" s="10">
        <v>891</v>
      </c>
      <c r="RK14" s="17">
        <v>44271</v>
      </c>
      <c r="RL14" s="10">
        <v>69495</v>
      </c>
      <c r="RM14" s="10">
        <v>763</v>
      </c>
      <c r="RN14" s="17">
        <v>44273</v>
      </c>
      <c r="RO14" s="10">
        <v>70973</v>
      </c>
      <c r="RP14" s="10">
        <v>736</v>
      </c>
      <c r="RQ14" s="17">
        <v>44274</v>
      </c>
      <c r="RR14" s="10">
        <v>71716</v>
      </c>
      <c r="RS14" s="10">
        <v>743</v>
      </c>
      <c r="RT14" s="10">
        <v>44275</v>
      </c>
      <c r="RU14" s="10">
        <v>72120</v>
      </c>
      <c r="RV14" s="10">
        <v>403</v>
      </c>
      <c r="RW14" s="10">
        <v>44276</v>
      </c>
      <c r="RX14" s="10">
        <v>72537</v>
      </c>
      <c r="RY14" s="10">
        <v>417</v>
      </c>
      <c r="RZ14" s="10">
        <v>44277</v>
      </c>
      <c r="SA14" s="10">
        <v>73304</v>
      </c>
      <c r="SB14" s="10">
        <v>766</v>
      </c>
      <c r="SC14" s="10">
        <v>44278</v>
      </c>
      <c r="SD14" s="10">
        <v>74006</v>
      </c>
      <c r="SE14" s="10">
        <v>702</v>
      </c>
      <c r="SF14" s="10">
        <v>44279</v>
      </c>
      <c r="SG14" s="10">
        <v>74701</v>
      </c>
      <c r="SH14" s="10">
        <v>693</v>
      </c>
      <c r="SI14" s="10">
        <v>44280</v>
      </c>
      <c r="SJ14" s="10">
        <v>75308</v>
      </c>
      <c r="SK14" s="10">
        <v>606</v>
      </c>
      <c r="SL14" s="10">
        <v>44282</v>
      </c>
      <c r="SM14" s="10">
        <v>76344</v>
      </c>
      <c r="SN14" s="10">
        <v>350</v>
      </c>
      <c r="SO14" s="10">
        <v>44283</v>
      </c>
      <c r="SP14" s="10">
        <v>76731</v>
      </c>
      <c r="SQ14" s="10">
        <v>369</v>
      </c>
      <c r="SR14" s="10">
        <v>44284</v>
      </c>
      <c r="SS14" s="10">
        <v>77389</v>
      </c>
      <c r="ST14" s="10">
        <v>655</v>
      </c>
      <c r="SU14" s="10">
        <v>44285</v>
      </c>
      <c r="SV14" s="10">
        <v>77955</v>
      </c>
      <c r="SW14" s="10">
        <v>566</v>
      </c>
      <c r="SX14" s="10">
        <v>44287</v>
      </c>
      <c r="SY14" s="10">
        <v>78995</v>
      </c>
      <c r="SZ14" s="10">
        <v>488</v>
      </c>
      <c r="TA14" s="10">
        <v>44288</v>
      </c>
      <c r="TB14" s="10">
        <v>79359</v>
      </c>
      <c r="TC14" s="10">
        <v>361</v>
      </c>
      <c r="TD14" s="10">
        <v>44290</v>
      </c>
      <c r="TE14" s="10">
        <v>79997</v>
      </c>
      <c r="TF14" s="10">
        <v>319</v>
      </c>
      <c r="TG14" s="10">
        <v>44291</v>
      </c>
      <c r="TH14" s="10">
        <v>80360</v>
      </c>
      <c r="TI14" s="10">
        <v>359</v>
      </c>
      <c r="TJ14" s="10">
        <v>44292</v>
      </c>
      <c r="TK14" s="10">
        <v>80905</v>
      </c>
      <c r="TL14" s="10">
        <v>544</v>
      </c>
      <c r="TM14" s="10">
        <v>44293</v>
      </c>
      <c r="TN14" s="10">
        <v>81329</v>
      </c>
      <c r="TO14" s="10">
        <v>424</v>
      </c>
      <c r="TP14" s="10">
        <v>44295</v>
      </c>
      <c r="TQ14" s="10">
        <v>82084</v>
      </c>
      <c r="TR14" s="10">
        <v>348</v>
      </c>
      <c r="TS14" s="10">
        <v>44296</v>
      </c>
      <c r="TT14" s="10">
        <v>82311</v>
      </c>
      <c r="TU14" s="10">
        <v>224</v>
      </c>
      <c r="TV14" s="10">
        <v>44296</v>
      </c>
      <c r="TW14" s="10">
        <v>82317</v>
      </c>
      <c r="TX14" s="10">
        <v>224</v>
      </c>
      <c r="TY14" s="10">
        <v>44297</v>
      </c>
      <c r="TZ14" s="10">
        <v>82557</v>
      </c>
      <c r="UA14" s="10">
        <v>238</v>
      </c>
      <c r="UB14" s="10">
        <v>44299</v>
      </c>
      <c r="UC14" s="10">
        <v>83278</v>
      </c>
      <c r="UD14" s="10">
        <v>325</v>
      </c>
      <c r="UE14" s="10">
        <v>44299</v>
      </c>
      <c r="UF14" s="10">
        <v>83279</v>
      </c>
      <c r="UG14" s="10">
        <v>325</v>
      </c>
      <c r="UH14" s="10">
        <v>44300</v>
      </c>
      <c r="UI14" s="10">
        <v>83626</v>
      </c>
      <c r="UJ14" s="10">
        <v>345</v>
      </c>
      <c r="UK14" s="10">
        <v>44301</v>
      </c>
      <c r="UL14" s="10">
        <v>83902</v>
      </c>
      <c r="UM14" s="10">
        <v>275</v>
      </c>
      <c r="UN14" s="10">
        <v>44305</v>
      </c>
      <c r="UO14" s="10">
        <v>84783</v>
      </c>
      <c r="UP14" s="10">
        <v>283</v>
      </c>
      <c r="UQ14" s="10">
        <v>44306</v>
      </c>
      <c r="UR14" s="10">
        <v>85070</v>
      </c>
      <c r="US14" s="10">
        <v>285</v>
      </c>
      <c r="UT14" s="10">
        <v>44307</v>
      </c>
      <c r="UU14" s="10">
        <v>85307</v>
      </c>
      <c r="UV14" s="10">
        <v>236</v>
      </c>
      <c r="UW14" s="10">
        <v>44308</v>
      </c>
      <c r="UX14" s="10">
        <v>85566</v>
      </c>
      <c r="UY14" s="10">
        <v>259</v>
      </c>
      <c r="UZ14" s="10">
        <v>44310</v>
      </c>
      <c r="VA14" s="10">
        <v>85979</v>
      </c>
      <c r="VB14" s="10">
        <v>154</v>
      </c>
      <c r="VC14" s="10">
        <v>44310</v>
      </c>
      <c r="VD14" s="10">
        <v>85974</v>
      </c>
      <c r="VE14" s="10">
        <v>154</v>
      </c>
      <c r="VF14" s="10">
        <v>44311</v>
      </c>
      <c r="VG14" s="10">
        <v>86117</v>
      </c>
      <c r="VH14" s="10">
        <v>141</v>
      </c>
      <c r="VI14" s="10">
        <v>44313</v>
      </c>
      <c r="VJ14" s="10">
        <v>86588</v>
      </c>
      <c r="VK14" s="10">
        <v>228</v>
      </c>
      <c r="VL14" s="10">
        <v>44313</v>
      </c>
      <c r="VM14" s="10">
        <v>86588</v>
      </c>
      <c r="VN14" s="10">
        <v>228</v>
      </c>
      <c r="VO14" s="10">
        <v>44314</v>
      </c>
      <c r="VP14" s="10">
        <v>86861</v>
      </c>
      <c r="VQ14" s="10">
        <v>273</v>
      </c>
      <c r="VR14" s="10">
        <v>44315</v>
      </c>
      <c r="VS14" s="10">
        <v>87061</v>
      </c>
      <c r="VT14" s="10">
        <v>202</v>
      </c>
      <c r="VU14" s="10">
        <v>44317</v>
      </c>
      <c r="VV14" s="10">
        <v>87364</v>
      </c>
      <c r="VW14" s="10">
        <v>105</v>
      </c>
      <c r="VX14" s="10">
        <v>44317</v>
      </c>
      <c r="VY14" s="10">
        <v>87368</v>
      </c>
      <c r="VZ14" s="10">
        <v>107</v>
      </c>
      <c r="WA14" s="10">
        <v>44318</v>
      </c>
      <c r="WB14" s="10">
        <v>87506</v>
      </c>
      <c r="WC14" s="10">
        <v>135</v>
      </c>
      <c r="WD14" s="10">
        <v>44319</v>
      </c>
      <c r="WE14" s="10">
        <v>87824</v>
      </c>
      <c r="WF14" s="10">
        <v>318</v>
      </c>
      <c r="WG14" s="10">
        <v>44320</v>
      </c>
      <c r="WH14" s="10">
        <v>88029</v>
      </c>
      <c r="WI14" s="10">
        <v>205</v>
      </c>
      <c r="WJ14" s="10">
        <v>44322</v>
      </c>
      <c r="WK14" s="10">
        <v>88530</v>
      </c>
      <c r="WL14" s="10">
        <v>234</v>
      </c>
      <c r="WM14" s="10">
        <v>44322</v>
      </c>
      <c r="WN14" s="10">
        <v>88531</v>
      </c>
      <c r="WO14" s="10">
        <v>234</v>
      </c>
      <c r="WP14" s="10">
        <v>44325</v>
      </c>
      <c r="WQ14" s="10">
        <v>89006</v>
      </c>
      <c r="WR14" s="10">
        <v>129</v>
      </c>
      <c r="WS14" s="10">
        <v>44326</v>
      </c>
      <c r="WT14" s="10">
        <v>89265</v>
      </c>
      <c r="WU14" s="10">
        <v>258</v>
      </c>
      <c r="WV14" s="10">
        <v>44327</v>
      </c>
      <c r="WW14" s="10">
        <v>89481</v>
      </c>
      <c r="WX14" s="10">
        <v>214</v>
      </c>
      <c r="WY14" s="10">
        <v>44328</v>
      </c>
      <c r="WZ14" s="10">
        <v>89740</v>
      </c>
      <c r="XA14" s="10">
        <v>256</v>
      </c>
      <c r="XB14" s="10">
        <v>44329</v>
      </c>
      <c r="XC14" s="10">
        <v>89896</v>
      </c>
      <c r="XD14" s="10">
        <v>155</v>
      </c>
      <c r="XE14" s="10">
        <v>44331</v>
      </c>
      <c r="XF14" s="10">
        <v>90300</v>
      </c>
      <c r="XG14" s="10">
        <v>160</v>
      </c>
      <c r="XH14" s="10">
        <v>44331</v>
      </c>
      <c r="XI14" s="10">
        <v>90307</v>
      </c>
      <c r="XJ14" s="10">
        <v>160</v>
      </c>
      <c r="XK14" s="10">
        <v>44332</v>
      </c>
      <c r="XL14" s="10">
        <v>90440</v>
      </c>
      <c r="XM14" s="10">
        <v>133</v>
      </c>
      <c r="XN14" s="10">
        <v>44333</v>
      </c>
      <c r="XO14" s="10">
        <v>90724</v>
      </c>
      <c r="XP14" s="10">
        <v>284</v>
      </c>
      <c r="XQ14" s="10">
        <v>44334</v>
      </c>
      <c r="XR14" s="10">
        <v>90940</v>
      </c>
      <c r="XS14" s="10">
        <v>216</v>
      </c>
      <c r="XT14" s="10">
        <v>44335</v>
      </c>
      <c r="XU14" s="10">
        <v>91173</v>
      </c>
      <c r="XV14" s="10">
        <v>230</v>
      </c>
      <c r="XW14" s="10">
        <v>44336</v>
      </c>
      <c r="XX14" s="10">
        <v>91391</v>
      </c>
      <c r="XY14" s="10">
        <v>215</v>
      </c>
      <c r="XZ14" s="10">
        <v>44337</v>
      </c>
      <c r="YA14" s="10">
        <v>91562</v>
      </c>
      <c r="YB14" s="10">
        <v>170</v>
      </c>
      <c r="YC14" s="10">
        <v>44339</v>
      </c>
      <c r="YD14" s="10">
        <v>91763</v>
      </c>
      <c r="YE14" s="10">
        <v>92</v>
      </c>
      <c r="YF14" s="10">
        <v>44340</v>
      </c>
      <c r="YG14" s="10">
        <v>91953</v>
      </c>
      <c r="YH14" s="10">
        <v>188</v>
      </c>
      <c r="YI14" s="10">
        <v>44341</v>
      </c>
      <c r="YJ14" s="10">
        <v>92107</v>
      </c>
      <c r="YK14" s="10">
        <v>152</v>
      </c>
      <c r="YL14" s="10">
        <v>44342</v>
      </c>
      <c r="YM14" s="10">
        <v>92249</v>
      </c>
      <c r="YN14" s="10">
        <v>142</v>
      </c>
      <c r="YO14" s="10">
        <v>44343</v>
      </c>
      <c r="YP14" s="10">
        <v>92380</v>
      </c>
      <c r="YQ14" s="10">
        <v>127</v>
      </c>
      <c r="YR14" s="10">
        <v>44344</v>
      </c>
      <c r="YS14" s="10">
        <v>92516</v>
      </c>
      <c r="YT14" s="10">
        <v>136</v>
      </c>
      <c r="YU14" s="10">
        <v>44345</v>
      </c>
      <c r="YV14" s="10">
        <v>92588</v>
      </c>
      <c r="YW14" s="10">
        <v>64</v>
      </c>
    </row>
    <row r="15" spans="1:673">
      <c r="B15" t="str">
        <f t="shared" ca="1" si="2"/>
        <v>30.5</v>
      </c>
      <c r="C15" s="4">
        <f t="shared" ca="1" si="0"/>
        <v>44346</v>
      </c>
      <c r="D15" s="11">
        <f t="shared" ca="1" si="1"/>
        <v>92667</v>
      </c>
      <c r="E15">
        <f t="shared" ca="1" si="3"/>
        <v>79</v>
      </c>
      <c r="F15" s="11">
        <f t="shared" ca="1" si="4"/>
        <v>0</v>
      </c>
      <c r="G15" s="11">
        <f t="shared" ca="1" si="5"/>
        <v>79</v>
      </c>
      <c r="L15" s="3"/>
      <c r="N15" s="16">
        <v>44346</v>
      </c>
      <c r="O15">
        <v>92667</v>
      </c>
      <c r="P15">
        <v>79</v>
      </c>
      <c r="Q15" s="16">
        <v>44346</v>
      </c>
      <c r="R15">
        <v>92667</v>
      </c>
      <c r="S15">
        <v>79</v>
      </c>
      <c r="T15" s="16">
        <v>44093</v>
      </c>
      <c r="U15">
        <v>9166</v>
      </c>
      <c r="V15">
        <v>61</v>
      </c>
      <c r="W15" s="16">
        <v>44094</v>
      </c>
      <c r="X15">
        <v>9240</v>
      </c>
      <c r="Y15">
        <v>73</v>
      </c>
      <c r="Z15" s="16">
        <v>44095</v>
      </c>
      <c r="AA15">
        <v>9360</v>
      </c>
      <c r="AB15">
        <v>119</v>
      </c>
      <c r="AC15" s="16">
        <v>44096</v>
      </c>
      <c r="AD15">
        <v>9464</v>
      </c>
      <c r="AE15">
        <v>105</v>
      </c>
      <c r="AF15" s="16">
        <v>44097</v>
      </c>
      <c r="AG15">
        <v>9582</v>
      </c>
      <c r="AH15">
        <v>118</v>
      </c>
      <c r="AI15" s="16">
        <v>44098</v>
      </c>
      <c r="AJ15">
        <v>9680</v>
      </c>
      <c r="AK15">
        <v>97</v>
      </c>
      <c r="AL15" s="16">
        <v>44099</v>
      </c>
      <c r="AM15">
        <v>9806</v>
      </c>
      <c r="AN15">
        <v>127</v>
      </c>
      <c r="AO15" s="16">
        <v>44100</v>
      </c>
      <c r="AP15">
        <v>9880</v>
      </c>
      <c r="AQ15">
        <v>74</v>
      </c>
      <c r="AR15" s="16">
        <v>44101</v>
      </c>
      <c r="AS15">
        <v>9950</v>
      </c>
      <c r="AT15">
        <v>71</v>
      </c>
      <c r="AU15" s="16">
        <v>44102</v>
      </c>
      <c r="AV15">
        <v>10072</v>
      </c>
      <c r="AW15">
        <v>122</v>
      </c>
      <c r="AX15" s="16">
        <v>44103</v>
      </c>
      <c r="AY15">
        <v>10205</v>
      </c>
      <c r="AZ15">
        <v>133</v>
      </c>
      <c r="BA15" s="16">
        <v>44104</v>
      </c>
      <c r="BB15">
        <v>10370</v>
      </c>
      <c r="BC15">
        <v>165</v>
      </c>
      <c r="BD15" s="16">
        <v>44105</v>
      </c>
      <c r="BE15">
        <v>10558</v>
      </c>
      <c r="BF15">
        <v>188</v>
      </c>
      <c r="BG15" s="16">
        <v>44106</v>
      </c>
      <c r="BH15">
        <v>10744</v>
      </c>
      <c r="BI15">
        <v>188</v>
      </c>
      <c r="BJ15" s="16">
        <v>44107</v>
      </c>
      <c r="BK15">
        <v>10915</v>
      </c>
      <c r="BL15">
        <v>169</v>
      </c>
      <c r="BM15" s="16">
        <v>44108</v>
      </c>
      <c r="BN15">
        <v>11063</v>
      </c>
      <c r="BO15">
        <v>147</v>
      </c>
      <c r="BP15" s="16">
        <v>44109</v>
      </c>
      <c r="BQ15">
        <v>11351</v>
      </c>
      <c r="BR15">
        <v>289</v>
      </c>
      <c r="BS15" s="16">
        <v>44110</v>
      </c>
      <c r="BT15">
        <v>11651</v>
      </c>
      <c r="BU15">
        <v>299</v>
      </c>
      <c r="BV15" s="16">
        <v>44112</v>
      </c>
      <c r="BW15">
        <v>12217</v>
      </c>
      <c r="BX15">
        <v>260</v>
      </c>
      <c r="BY15" s="16">
        <v>44113</v>
      </c>
      <c r="BZ15">
        <v>12445</v>
      </c>
      <c r="CA15">
        <v>226</v>
      </c>
      <c r="CB15" s="16">
        <v>44114</v>
      </c>
      <c r="CC15">
        <v>12557</v>
      </c>
      <c r="CD15">
        <v>109</v>
      </c>
      <c r="CE15" s="16">
        <v>44115</v>
      </c>
      <c r="CF15">
        <v>12694</v>
      </c>
      <c r="CG15">
        <v>130</v>
      </c>
      <c r="CH15" s="16">
        <v>44116</v>
      </c>
      <c r="CI15">
        <v>12949</v>
      </c>
      <c r="CJ15">
        <v>254</v>
      </c>
      <c r="CK15" s="16">
        <v>44117</v>
      </c>
      <c r="CL15">
        <v>13146</v>
      </c>
      <c r="CM15">
        <v>197</v>
      </c>
      <c r="CN15" s="16">
        <v>44118</v>
      </c>
      <c r="CO15">
        <v>13346</v>
      </c>
      <c r="CP15">
        <v>200</v>
      </c>
      <c r="CQ15" s="16">
        <v>44119</v>
      </c>
      <c r="CR15">
        <v>13536</v>
      </c>
      <c r="CS15">
        <v>190</v>
      </c>
      <c r="CT15" s="16">
        <v>44120</v>
      </c>
      <c r="CU15">
        <v>13732</v>
      </c>
      <c r="CV15">
        <v>193</v>
      </c>
      <c r="CW15" s="16">
        <v>44121</v>
      </c>
      <c r="CX15">
        <v>13833</v>
      </c>
      <c r="CY15">
        <v>100</v>
      </c>
      <c r="CZ15" s="16">
        <v>44123</v>
      </c>
      <c r="DA15">
        <v>14203</v>
      </c>
      <c r="DB15">
        <v>244</v>
      </c>
      <c r="DC15" s="16">
        <v>44124</v>
      </c>
      <c r="DD15">
        <v>14365</v>
      </c>
      <c r="DE15">
        <v>162</v>
      </c>
      <c r="DF15" s="16">
        <v>44125</v>
      </c>
      <c r="DG15">
        <v>14554</v>
      </c>
      <c r="DH15">
        <v>189</v>
      </c>
      <c r="DI15" s="16">
        <v>44126</v>
      </c>
      <c r="DJ15">
        <v>14770</v>
      </c>
      <c r="DK15">
        <v>215</v>
      </c>
      <c r="DL15" s="16">
        <v>44127</v>
      </c>
      <c r="DM15">
        <v>14967</v>
      </c>
      <c r="DN15">
        <v>192</v>
      </c>
      <c r="DO15" s="16">
        <v>44128</v>
      </c>
      <c r="DP15">
        <v>15076</v>
      </c>
      <c r="DQ15">
        <v>108</v>
      </c>
      <c r="DR15" s="16">
        <v>44129</v>
      </c>
      <c r="DS15">
        <v>15199</v>
      </c>
      <c r="DT15">
        <v>122</v>
      </c>
      <c r="DU15" s="16">
        <v>44130</v>
      </c>
      <c r="DV15">
        <v>15457</v>
      </c>
      <c r="DW15">
        <v>256</v>
      </c>
      <c r="DX15" s="16">
        <v>44131</v>
      </c>
      <c r="DY15">
        <v>15687</v>
      </c>
      <c r="DZ15">
        <v>230</v>
      </c>
      <c r="EA15" s="16">
        <v>44132</v>
      </c>
      <c r="EB15">
        <v>15927</v>
      </c>
      <c r="EC15">
        <v>240</v>
      </c>
      <c r="ED15" s="16">
        <v>44133</v>
      </c>
      <c r="EE15">
        <v>16156</v>
      </c>
      <c r="EF15">
        <v>237</v>
      </c>
      <c r="EG15" s="16">
        <v>44134</v>
      </c>
      <c r="EH15">
        <v>16375</v>
      </c>
      <c r="EI15">
        <v>219</v>
      </c>
      <c r="EJ15" s="16">
        <v>44135</v>
      </c>
      <c r="EK15">
        <v>16496</v>
      </c>
      <c r="EL15">
        <v>121</v>
      </c>
      <c r="EM15" s="16">
        <v>44136</v>
      </c>
      <c r="EN15">
        <v>16646</v>
      </c>
      <c r="EO15">
        <v>150</v>
      </c>
      <c r="EP15" s="16">
        <v>44137</v>
      </c>
      <c r="EQ15">
        <v>16927</v>
      </c>
      <c r="ER15">
        <v>281</v>
      </c>
      <c r="ES15" s="16">
        <v>44138</v>
      </c>
      <c r="ET15">
        <v>17169</v>
      </c>
      <c r="EU15">
        <v>241</v>
      </c>
      <c r="EV15" s="16">
        <v>44139</v>
      </c>
      <c r="EW15">
        <v>17379</v>
      </c>
      <c r="EX15">
        <v>210</v>
      </c>
      <c r="EY15" s="16">
        <v>44140</v>
      </c>
      <c r="EZ15">
        <v>17600</v>
      </c>
      <c r="FA15">
        <v>221</v>
      </c>
      <c r="FB15" s="16">
        <v>44141</v>
      </c>
      <c r="FC15">
        <v>17793</v>
      </c>
      <c r="FD15">
        <v>194</v>
      </c>
      <c r="FE15" s="16">
        <v>44142</v>
      </c>
      <c r="FF15">
        <v>17869</v>
      </c>
      <c r="FG15">
        <v>128</v>
      </c>
      <c r="FH15" s="16">
        <v>44143</v>
      </c>
      <c r="FI15">
        <v>18062</v>
      </c>
      <c r="FJ15">
        <v>133</v>
      </c>
      <c r="FK15" s="16">
        <v>44144</v>
      </c>
      <c r="FL15">
        <v>18349</v>
      </c>
      <c r="FM15">
        <v>276</v>
      </c>
      <c r="FN15" s="16">
        <v>44145</v>
      </c>
      <c r="FO15">
        <v>18554</v>
      </c>
      <c r="FP15">
        <v>205</v>
      </c>
      <c r="FQ15" s="16">
        <v>44146</v>
      </c>
      <c r="FR15">
        <v>18846</v>
      </c>
      <c r="FS15">
        <v>292</v>
      </c>
      <c r="FT15" s="16">
        <v>44147</v>
      </c>
      <c r="FU15">
        <v>19148</v>
      </c>
      <c r="FV15">
        <v>282</v>
      </c>
      <c r="FW15" s="16">
        <v>44148</v>
      </c>
      <c r="FX15">
        <v>19414</v>
      </c>
      <c r="FY15">
        <v>264</v>
      </c>
      <c r="FZ15" s="16">
        <v>44149</v>
      </c>
      <c r="GA15">
        <v>19563</v>
      </c>
      <c r="GB15">
        <v>145</v>
      </c>
      <c r="GC15" s="16">
        <v>44150</v>
      </c>
      <c r="GD15">
        <v>19745</v>
      </c>
      <c r="GE15">
        <v>182</v>
      </c>
      <c r="GF15" s="16">
        <v>44151</v>
      </c>
      <c r="GG15">
        <v>20138</v>
      </c>
      <c r="GH15">
        <v>392</v>
      </c>
      <c r="GI15" s="16">
        <v>44152</v>
      </c>
      <c r="GJ15">
        <v>20530</v>
      </c>
      <c r="GK15">
        <v>392</v>
      </c>
      <c r="GL15" s="16">
        <v>44153</v>
      </c>
      <c r="GM15">
        <v>20902</v>
      </c>
      <c r="GN15">
        <v>372</v>
      </c>
      <c r="GO15" s="16">
        <v>44154</v>
      </c>
      <c r="GP15">
        <v>21382</v>
      </c>
      <c r="GQ15">
        <v>480</v>
      </c>
      <c r="GR15" s="16">
        <v>44155</v>
      </c>
      <c r="GS15">
        <v>21815</v>
      </c>
      <c r="GT15">
        <v>432</v>
      </c>
      <c r="GU15" s="16">
        <v>44156</v>
      </c>
      <c r="GV15">
        <v>22075</v>
      </c>
      <c r="GW15">
        <v>268</v>
      </c>
      <c r="GX15" s="16">
        <v>44157</v>
      </c>
      <c r="GY15">
        <v>22347</v>
      </c>
      <c r="GZ15">
        <v>267</v>
      </c>
      <c r="HA15" s="16">
        <v>44158</v>
      </c>
      <c r="HB15">
        <v>22854</v>
      </c>
      <c r="HC15">
        <v>505</v>
      </c>
      <c r="HD15" s="16">
        <v>44159</v>
      </c>
      <c r="HE15">
        <v>23321</v>
      </c>
      <c r="HF15">
        <v>468</v>
      </c>
      <c r="HG15" s="16">
        <v>44160</v>
      </c>
      <c r="HH15">
        <v>23933</v>
      </c>
      <c r="HI15">
        <v>613</v>
      </c>
      <c r="HJ15" s="16">
        <v>44161</v>
      </c>
      <c r="HK15">
        <v>24444</v>
      </c>
      <c r="HL15">
        <v>510</v>
      </c>
      <c r="HM15" s="16">
        <v>44162</v>
      </c>
      <c r="HN15">
        <v>24896</v>
      </c>
      <c r="HO15">
        <v>454</v>
      </c>
      <c r="HP15" s="16">
        <v>44163</v>
      </c>
      <c r="HQ15">
        <v>25184</v>
      </c>
      <c r="HR15">
        <v>284</v>
      </c>
      <c r="HS15" s="16">
        <v>44164</v>
      </c>
      <c r="HT15">
        <v>25477</v>
      </c>
      <c r="HU15">
        <v>294</v>
      </c>
      <c r="HV15" s="16">
        <v>44165</v>
      </c>
      <c r="HW15">
        <v>26074</v>
      </c>
      <c r="HX15">
        <v>596</v>
      </c>
      <c r="HY15" s="16">
        <v>44166</v>
      </c>
      <c r="HZ15">
        <v>26513</v>
      </c>
      <c r="IA15">
        <v>440</v>
      </c>
      <c r="IB15" s="16">
        <v>44167</v>
      </c>
      <c r="IC15">
        <v>27006</v>
      </c>
      <c r="ID15">
        <v>494</v>
      </c>
      <c r="IE15" s="16">
        <v>44168</v>
      </c>
      <c r="IF15">
        <v>27485</v>
      </c>
      <c r="IG15">
        <v>477</v>
      </c>
      <c r="IH15" s="16">
        <v>44169</v>
      </c>
      <c r="II15">
        <v>27956</v>
      </c>
      <c r="IJ15">
        <v>472</v>
      </c>
      <c r="IK15" s="16">
        <v>44170</v>
      </c>
      <c r="IL15">
        <v>28206</v>
      </c>
      <c r="IM15">
        <v>250</v>
      </c>
      <c r="IN15" s="16">
        <v>44171</v>
      </c>
      <c r="IO15">
        <v>28488</v>
      </c>
      <c r="IP15">
        <v>282</v>
      </c>
      <c r="IQ15" s="16">
        <v>44172</v>
      </c>
      <c r="IR15">
        <v>29075</v>
      </c>
      <c r="IS15">
        <v>587</v>
      </c>
      <c r="IT15" s="16">
        <v>44173</v>
      </c>
      <c r="IU15">
        <v>29551</v>
      </c>
      <c r="IV15">
        <v>476</v>
      </c>
      <c r="IW15" s="16">
        <v>44174</v>
      </c>
      <c r="IX15">
        <v>30013</v>
      </c>
      <c r="IY15">
        <v>462</v>
      </c>
      <c r="IZ15" s="16">
        <v>44175</v>
      </c>
      <c r="JA15">
        <v>30424</v>
      </c>
      <c r="JB15">
        <v>408</v>
      </c>
      <c r="JC15" s="16">
        <v>44179</v>
      </c>
      <c r="JD15">
        <v>31866</v>
      </c>
      <c r="JE15">
        <v>463</v>
      </c>
      <c r="JF15" s="16">
        <v>44183</v>
      </c>
      <c r="JG15">
        <v>33285</v>
      </c>
      <c r="JH15">
        <v>395</v>
      </c>
      <c r="JI15" s="16">
        <v>44184</v>
      </c>
      <c r="JJ15">
        <v>33517</v>
      </c>
      <c r="JK15">
        <v>190</v>
      </c>
      <c r="JL15" s="16">
        <v>44185</v>
      </c>
      <c r="JM15">
        <v>33753</v>
      </c>
      <c r="JN15">
        <v>244</v>
      </c>
      <c r="JO15" s="16">
        <v>44186</v>
      </c>
      <c r="JP15">
        <v>34119</v>
      </c>
      <c r="JQ15">
        <v>374</v>
      </c>
      <c r="JR15" s="16">
        <v>44188</v>
      </c>
      <c r="JS15">
        <v>34733</v>
      </c>
      <c r="JT15">
        <v>278</v>
      </c>
      <c r="JU15" s="16">
        <v>44188</v>
      </c>
      <c r="JV15">
        <v>34734</v>
      </c>
      <c r="JW15">
        <v>278</v>
      </c>
      <c r="JX15" s="16">
        <v>44190</v>
      </c>
      <c r="JY15">
        <v>35024</v>
      </c>
      <c r="JZ15">
        <v>157</v>
      </c>
      <c r="KA15" s="16">
        <v>44202</v>
      </c>
      <c r="KB15">
        <v>38015</v>
      </c>
      <c r="KC15">
        <v>209</v>
      </c>
      <c r="KD15" s="16">
        <v>44202</v>
      </c>
      <c r="KE15">
        <v>38023</v>
      </c>
      <c r="KF15">
        <v>209</v>
      </c>
      <c r="KG15" s="16">
        <v>44203</v>
      </c>
      <c r="KH15">
        <v>38346</v>
      </c>
      <c r="KI15">
        <v>331</v>
      </c>
      <c r="KJ15" s="16">
        <v>44205</v>
      </c>
      <c r="KK15">
        <v>38789</v>
      </c>
      <c r="KL15">
        <v>193</v>
      </c>
      <c r="KM15" s="16">
        <v>44206</v>
      </c>
      <c r="KN15">
        <v>38980</v>
      </c>
      <c r="KO15">
        <v>185</v>
      </c>
      <c r="KP15" s="16">
        <v>44210</v>
      </c>
      <c r="KQ15">
        <v>40100</v>
      </c>
      <c r="KR15">
        <v>249</v>
      </c>
      <c r="KS15" s="16">
        <v>44211</v>
      </c>
      <c r="KT15">
        <v>40370</v>
      </c>
      <c r="KU15">
        <v>266</v>
      </c>
      <c r="KV15" s="16">
        <v>44212</v>
      </c>
      <c r="KW15">
        <v>40539</v>
      </c>
      <c r="KX15">
        <v>169</v>
      </c>
      <c r="KY15" s="16">
        <v>44214</v>
      </c>
      <c r="KZ15">
        <v>41181</v>
      </c>
      <c r="LA15">
        <v>447</v>
      </c>
      <c r="LB15" s="16">
        <v>44215</v>
      </c>
      <c r="LC15">
        <v>41532</v>
      </c>
      <c r="LD15">
        <v>344</v>
      </c>
      <c r="LE15" s="16">
        <v>44216</v>
      </c>
      <c r="LF15">
        <v>41938</v>
      </c>
      <c r="LG15">
        <v>406</v>
      </c>
      <c r="LH15" s="16">
        <v>44218</v>
      </c>
      <c r="LI15">
        <v>42640</v>
      </c>
      <c r="LJ15">
        <v>360</v>
      </c>
      <c r="LK15" s="16">
        <v>44218</v>
      </c>
      <c r="LL15">
        <v>42641</v>
      </c>
      <c r="LM15">
        <v>360</v>
      </c>
      <c r="LN15" s="16">
        <v>44220</v>
      </c>
      <c r="LO15">
        <v>43078</v>
      </c>
      <c r="LP15">
        <v>244</v>
      </c>
      <c r="LQ15" s="16">
        <v>44221</v>
      </c>
      <c r="LR15">
        <v>43677</v>
      </c>
      <c r="LS15">
        <v>603</v>
      </c>
      <c r="LT15" s="16">
        <v>44222</v>
      </c>
      <c r="LU15">
        <v>44076</v>
      </c>
      <c r="LV15">
        <v>398</v>
      </c>
      <c r="LW15" s="16">
        <v>44223</v>
      </c>
      <c r="LX15">
        <v>44470</v>
      </c>
      <c r="LY15">
        <v>383</v>
      </c>
      <c r="LZ15" s="16">
        <v>44224</v>
      </c>
      <c r="MA15">
        <v>44896</v>
      </c>
      <c r="MB15">
        <v>435</v>
      </c>
      <c r="MC15" s="16">
        <v>44225</v>
      </c>
      <c r="MD15">
        <v>45282</v>
      </c>
      <c r="ME15">
        <v>375</v>
      </c>
      <c r="MF15" s="16">
        <v>44227</v>
      </c>
      <c r="MG15">
        <v>45788</v>
      </c>
      <c r="MH15">
        <v>272</v>
      </c>
      <c r="MI15" s="16">
        <v>44227</v>
      </c>
      <c r="MJ15">
        <v>45789</v>
      </c>
      <c r="MK15">
        <v>272</v>
      </c>
      <c r="ML15" s="16">
        <v>44228</v>
      </c>
      <c r="MM15">
        <v>46316</v>
      </c>
      <c r="MN15">
        <v>529</v>
      </c>
      <c r="MO15" s="16">
        <v>44229</v>
      </c>
      <c r="MP15">
        <v>46710</v>
      </c>
      <c r="MQ15">
        <v>395</v>
      </c>
      <c r="MR15" s="16">
        <v>44230</v>
      </c>
      <c r="MS15">
        <v>47152</v>
      </c>
      <c r="MT15">
        <v>439</v>
      </c>
      <c r="MU15" s="16">
        <v>44231</v>
      </c>
      <c r="MV15">
        <v>47521</v>
      </c>
      <c r="MW15">
        <v>370</v>
      </c>
      <c r="MX15" s="16">
        <v>44232</v>
      </c>
      <c r="MY15">
        <v>47887</v>
      </c>
      <c r="MZ15">
        <v>366</v>
      </c>
      <c r="NA15" s="16">
        <v>44232</v>
      </c>
      <c r="NB15">
        <v>47888</v>
      </c>
      <c r="NC15">
        <v>366</v>
      </c>
      <c r="ND15" s="16">
        <v>44235</v>
      </c>
      <c r="NE15">
        <v>48852</v>
      </c>
      <c r="NF15">
        <v>460</v>
      </c>
      <c r="NG15" s="16">
        <v>44235</v>
      </c>
      <c r="NH15">
        <v>48850</v>
      </c>
      <c r="NI15">
        <v>460</v>
      </c>
      <c r="NJ15" s="16">
        <v>44237</v>
      </c>
      <c r="NK15">
        <v>49603</v>
      </c>
      <c r="NL15">
        <v>382</v>
      </c>
      <c r="NM15" s="16">
        <v>44237</v>
      </c>
      <c r="NN15">
        <v>49603</v>
      </c>
      <c r="NO15">
        <v>382</v>
      </c>
      <c r="NP15" s="16">
        <v>44239</v>
      </c>
      <c r="NQ15">
        <v>50377</v>
      </c>
      <c r="NR15">
        <v>417</v>
      </c>
      <c r="NS15" s="16">
        <v>44240</v>
      </c>
      <c r="NT15">
        <v>50652</v>
      </c>
      <c r="NU15">
        <v>275</v>
      </c>
      <c r="NV15" s="16">
        <v>44241</v>
      </c>
      <c r="NW15">
        <v>50931</v>
      </c>
      <c r="NX15">
        <v>280</v>
      </c>
      <c r="NY15" s="16">
        <v>44242</v>
      </c>
      <c r="NZ15">
        <v>51548</v>
      </c>
      <c r="OA15">
        <v>614</v>
      </c>
      <c r="OB15" s="16">
        <v>44243</v>
      </c>
      <c r="OC15">
        <v>52067</v>
      </c>
      <c r="OD15">
        <v>515</v>
      </c>
      <c r="OE15" s="16">
        <v>44244</v>
      </c>
      <c r="OF15">
        <v>52617</v>
      </c>
      <c r="OG15">
        <v>549</v>
      </c>
      <c r="OH15" s="16">
        <v>44245</v>
      </c>
      <c r="OI15">
        <v>53222</v>
      </c>
      <c r="OJ15">
        <v>609</v>
      </c>
      <c r="OK15" s="16">
        <v>44246</v>
      </c>
      <c r="OL15">
        <v>53795</v>
      </c>
      <c r="OM15">
        <v>572</v>
      </c>
      <c r="ON15" s="16">
        <v>44247</v>
      </c>
      <c r="OO15">
        <v>54113</v>
      </c>
      <c r="OP15">
        <v>318</v>
      </c>
      <c r="OQ15" s="16">
        <v>44248</v>
      </c>
      <c r="OR15">
        <v>54470</v>
      </c>
      <c r="OS15">
        <v>355</v>
      </c>
      <c r="OT15" s="16">
        <v>44249</v>
      </c>
      <c r="OU15">
        <v>55092</v>
      </c>
      <c r="OV15">
        <v>622</v>
      </c>
      <c r="OW15" s="16">
        <v>44250</v>
      </c>
      <c r="OX15">
        <v>55716</v>
      </c>
      <c r="OY15">
        <v>624</v>
      </c>
      <c r="OZ15" s="16">
        <v>44251</v>
      </c>
      <c r="PA15">
        <v>56316</v>
      </c>
      <c r="PB15">
        <v>599</v>
      </c>
      <c r="PC15" s="16">
        <v>44252</v>
      </c>
      <c r="PD15">
        <v>56936</v>
      </c>
      <c r="PE15">
        <v>618</v>
      </c>
      <c r="PF15" s="16">
        <v>44253</v>
      </c>
      <c r="PG15">
        <v>57626</v>
      </c>
      <c r="PH15">
        <v>690</v>
      </c>
      <c r="PI15" s="16">
        <v>44254</v>
      </c>
      <c r="PJ15">
        <v>58031</v>
      </c>
      <c r="PK15">
        <v>400</v>
      </c>
      <c r="PL15" s="16">
        <v>44255</v>
      </c>
      <c r="PM15">
        <v>58450</v>
      </c>
      <c r="PN15">
        <v>420</v>
      </c>
      <c r="PO15" s="16">
        <v>44256</v>
      </c>
      <c r="PP15">
        <v>59319</v>
      </c>
      <c r="PQ15">
        <v>869</v>
      </c>
      <c r="PR15" s="16">
        <v>44257</v>
      </c>
      <c r="PS15">
        <v>60078</v>
      </c>
      <c r="PT15">
        <v>759</v>
      </c>
      <c r="PU15" s="16">
        <v>44258</v>
      </c>
      <c r="PV15">
        <v>60812</v>
      </c>
      <c r="PW15">
        <v>735</v>
      </c>
      <c r="PX15" s="16">
        <v>44259</v>
      </c>
      <c r="PY15">
        <v>61443</v>
      </c>
      <c r="PZ15">
        <v>638</v>
      </c>
      <c r="QA15" s="16">
        <v>44260</v>
      </c>
      <c r="QB15">
        <v>62077</v>
      </c>
      <c r="QC15">
        <v>630</v>
      </c>
      <c r="QD15" s="16">
        <v>44261</v>
      </c>
      <c r="QE15">
        <v>62511</v>
      </c>
      <c r="QF15">
        <v>432</v>
      </c>
      <c r="QG15" s="16">
        <v>44262</v>
      </c>
      <c r="QH15">
        <v>62905</v>
      </c>
      <c r="QI15">
        <v>396</v>
      </c>
      <c r="QJ15" s="16">
        <v>44263</v>
      </c>
      <c r="QK15">
        <v>63744</v>
      </c>
      <c r="QL15">
        <v>835</v>
      </c>
      <c r="QM15" s="16">
        <v>44264</v>
      </c>
      <c r="QN15">
        <v>64517</v>
      </c>
      <c r="QO15">
        <v>773</v>
      </c>
      <c r="QP15" s="16">
        <v>44265</v>
      </c>
      <c r="QQ15">
        <v>65331</v>
      </c>
      <c r="QR15">
        <v>814</v>
      </c>
      <c r="QS15" s="16">
        <v>44266</v>
      </c>
      <c r="QT15">
        <v>66107</v>
      </c>
      <c r="QU15">
        <v>774</v>
      </c>
      <c r="QV15" s="16">
        <v>44267</v>
      </c>
      <c r="QW15">
        <v>66918</v>
      </c>
      <c r="QX15">
        <v>811</v>
      </c>
      <c r="QY15" s="16">
        <v>44268</v>
      </c>
      <c r="QZ15">
        <v>67410</v>
      </c>
      <c r="RA15">
        <v>493</v>
      </c>
      <c r="RB15" s="16">
        <v>44269</v>
      </c>
      <c r="RC15">
        <v>67847</v>
      </c>
      <c r="RD15">
        <v>435</v>
      </c>
      <c r="RE15" s="16">
        <v>44270</v>
      </c>
      <c r="RF15">
        <v>68735</v>
      </c>
      <c r="RG15">
        <v>891</v>
      </c>
      <c r="RH15" s="16">
        <v>44271</v>
      </c>
      <c r="RI15">
        <v>69497</v>
      </c>
      <c r="RJ15">
        <v>763</v>
      </c>
      <c r="RK15" s="16">
        <v>44272</v>
      </c>
      <c r="RL15">
        <v>70238</v>
      </c>
      <c r="RM15">
        <v>743</v>
      </c>
      <c r="RN15" s="16">
        <v>44274</v>
      </c>
      <c r="RO15">
        <v>71716</v>
      </c>
      <c r="RP15">
        <v>743</v>
      </c>
      <c r="RQ15" s="16">
        <v>44275</v>
      </c>
      <c r="RR15">
        <v>72119</v>
      </c>
      <c r="RS15">
        <v>403</v>
      </c>
      <c r="RT15">
        <v>44276</v>
      </c>
      <c r="RU15">
        <v>72537</v>
      </c>
      <c r="RV15">
        <v>417</v>
      </c>
      <c r="RW15">
        <v>44277</v>
      </c>
      <c r="RX15">
        <v>73303</v>
      </c>
      <c r="RY15">
        <v>766</v>
      </c>
      <c r="RZ15">
        <v>44278</v>
      </c>
      <c r="SA15">
        <v>74006</v>
      </c>
      <c r="SB15">
        <v>702</v>
      </c>
      <c r="SC15">
        <v>44279</v>
      </c>
      <c r="SD15">
        <v>74699</v>
      </c>
      <c r="SE15">
        <v>693</v>
      </c>
      <c r="SF15">
        <v>44280</v>
      </c>
      <c r="SG15">
        <v>75307</v>
      </c>
      <c r="SH15">
        <v>606</v>
      </c>
      <c r="SI15">
        <v>44281</v>
      </c>
      <c r="SJ15">
        <v>75994</v>
      </c>
      <c r="SK15">
        <v>686</v>
      </c>
      <c r="SL15">
        <v>44283</v>
      </c>
      <c r="SM15">
        <v>76713</v>
      </c>
      <c r="SN15">
        <v>369</v>
      </c>
      <c r="SO15">
        <v>44284</v>
      </c>
      <c r="SP15">
        <v>77386</v>
      </c>
      <c r="SQ15">
        <v>655</v>
      </c>
      <c r="SR15">
        <v>44285</v>
      </c>
      <c r="SS15">
        <v>77955</v>
      </c>
      <c r="ST15">
        <v>566</v>
      </c>
      <c r="SU15">
        <v>44286</v>
      </c>
      <c r="SV15">
        <v>78504</v>
      </c>
      <c r="SW15">
        <v>549</v>
      </c>
      <c r="SX15">
        <v>44288</v>
      </c>
      <c r="SY15">
        <v>79356</v>
      </c>
      <c r="SZ15">
        <v>361</v>
      </c>
      <c r="TA15">
        <v>44289</v>
      </c>
      <c r="TB15">
        <v>79678</v>
      </c>
      <c r="TC15">
        <v>319</v>
      </c>
      <c r="TD15">
        <v>44291</v>
      </c>
      <c r="TE15">
        <v>80356</v>
      </c>
      <c r="TF15">
        <v>359</v>
      </c>
      <c r="TG15">
        <v>44292</v>
      </c>
      <c r="TH15">
        <v>80903</v>
      </c>
      <c r="TI15">
        <v>543</v>
      </c>
      <c r="TJ15">
        <v>44293</v>
      </c>
      <c r="TK15">
        <v>81329</v>
      </c>
      <c r="TL15">
        <v>424</v>
      </c>
      <c r="TM15">
        <v>44294</v>
      </c>
      <c r="TN15">
        <v>81732</v>
      </c>
      <c r="TO15">
        <v>403</v>
      </c>
      <c r="TP15">
        <v>44296</v>
      </c>
      <c r="TQ15">
        <v>82308</v>
      </c>
      <c r="TR15">
        <v>224</v>
      </c>
      <c r="TS15">
        <v>44297</v>
      </c>
      <c r="TT15">
        <v>82550</v>
      </c>
      <c r="TU15">
        <v>239</v>
      </c>
      <c r="TV15">
        <v>44297</v>
      </c>
      <c r="TW15">
        <v>82556</v>
      </c>
      <c r="TX15">
        <v>239</v>
      </c>
      <c r="TY15">
        <v>44298</v>
      </c>
      <c r="TZ15">
        <v>82953</v>
      </c>
      <c r="UA15">
        <v>396</v>
      </c>
      <c r="UB15">
        <v>44300</v>
      </c>
      <c r="UC15">
        <v>83623</v>
      </c>
      <c r="UD15">
        <v>345</v>
      </c>
      <c r="UE15">
        <v>44300</v>
      </c>
      <c r="UF15">
        <v>83624</v>
      </c>
      <c r="UG15">
        <v>345</v>
      </c>
      <c r="UH15">
        <v>44301</v>
      </c>
      <c r="UI15">
        <v>83901</v>
      </c>
      <c r="UJ15">
        <v>275</v>
      </c>
      <c r="UK15">
        <v>44302</v>
      </c>
      <c r="UL15">
        <v>84166</v>
      </c>
      <c r="UM15">
        <v>264</v>
      </c>
      <c r="UN15">
        <v>44306</v>
      </c>
      <c r="UO15">
        <v>85068</v>
      </c>
      <c r="UP15">
        <v>285</v>
      </c>
      <c r="UQ15">
        <v>44307</v>
      </c>
      <c r="UR15">
        <v>85311</v>
      </c>
      <c r="US15">
        <v>241</v>
      </c>
      <c r="UT15">
        <v>44308</v>
      </c>
      <c r="UU15">
        <v>85567</v>
      </c>
      <c r="UV15">
        <v>260</v>
      </c>
      <c r="UW15">
        <v>44309</v>
      </c>
      <c r="UX15">
        <v>85823</v>
      </c>
      <c r="UY15">
        <v>257</v>
      </c>
      <c r="UZ15">
        <v>44311</v>
      </c>
      <c r="VA15">
        <v>86120</v>
      </c>
      <c r="VB15">
        <v>141</v>
      </c>
      <c r="VC15">
        <v>44311</v>
      </c>
      <c r="VD15">
        <v>86115</v>
      </c>
      <c r="VE15">
        <v>141</v>
      </c>
      <c r="VF15">
        <v>44312</v>
      </c>
      <c r="VG15">
        <v>86360</v>
      </c>
      <c r="VH15">
        <v>243</v>
      </c>
      <c r="VI15">
        <v>44314</v>
      </c>
      <c r="VJ15">
        <v>86861</v>
      </c>
      <c r="VK15">
        <v>273</v>
      </c>
      <c r="VL15">
        <v>44314</v>
      </c>
      <c r="VM15">
        <v>86861</v>
      </c>
      <c r="VN15">
        <v>273</v>
      </c>
      <c r="VO15">
        <v>44315</v>
      </c>
      <c r="VP15">
        <v>87061</v>
      </c>
      <c r="VQ15">
        <v>200</v>
      </c>
      <c r="VR15">
        <v>44316</v>
      </c>
      <c r="VS15">
        <v>87256</v>
      </c>
      <c r="VT15">
        <v>195</v>
      </c>
      <c r="VU15">
        <v>44318</v>
      </c>
      <c r="VV15">
        <v>87499</v>
      </c>
      <c r="VW15">
        <v>135</v>
      </c>
      <c r="VX15">
        <v>44318</v>
      </c>
      <c r="VY15">
        <v>87503</v>
      </c>
      <c r="VZ15">
        <v>135</v>
      </c>
      <c r="WA15">
        <v>44319</v>
      </c>
      <c r="WB15">
        <v>87824</v>
      </c>
      <c r="WC15">
        <v>318</v>
      </c>
      <c r="WD15">
        <v>44320</v>
      </c>
      <c r="WE15">
        <v>88029</v>
      </c>
      <c r="WF15">
        <v>205</v>
      </c>
      <c r="WG15">
        <v>44321</v>
      </c>
      <c r="WH15">
        <v>88295</v>
      </c>
      <c r="WI15">
        <v>266</v>
      </c>
      <c r="WJ15">
        <v>44323</v>
      </c>
      <c r="WK15">
        <v>88744</v>
      </c>
      <c r="WL15">
        <v>214</v>
      </c>
      <c r="WM15">
        <v>44323</v>
      </c>
      <c r="WN15">
        <v>88745</v>
      </c>
      <c r="WO15">
        <v>214</v>
      </c>
      <c r="WP15">
        <v>44326</v>
      </c>
      <c r="WQ15">
        <v>89264</v>
      </c>
      <c r="WR15">
        <v>258</v>
      </c>
      <c r="WS15">
        <v>44327</v>
      </c>
      <c r="WT15">
        <v>89479</v>
      </c>
      <c r="WU15">
        <v>214</v>
      </c>
      <c r="WV15">
        <v>44328</v>
      </c>
      <c r="WW15">
        <v>89737</v>
      </c>
      <c r="WX15">
        <v>256</v>
      </c>
      <c r="WY15">
        <v>44329</v>
      </c>
      <c r="WZ15">
        <v>89895</v>
      </c>
      <c r="XA15">
        <v>155</v>
      </c>
      <c r="XB15">
        <v>44330</v>
      </c>
      <c r="XC15">
        <v>90139</v>
      </c>
      <c r="XD15">
        <v>243</v>
      </c>
      <c r="XE15">
        <v>44332</v>
      </c>
      <c r="XF15">
        <v>90433</v>
      </c>
      <c r="XG15">
        <v>133</v>
      </c>
      <c r="XH15">
        <v>44332</v>
      </c>
      <c r="XI15">
        <v>90440</v>
      </c>
      <c r="XJ15">
        <v>133</v>
      </c>
      <c r="XK15">
        <v>44333</v>
      </c>
      <c r="XL15">
        <v>90724</v>
      </c>
      <c r="XM15">
        <v>284</v>
      </c>
      <c r="XN15">
        <v>44334</v>
      </c>
      <c r="XO15">
        <v>90940</v>
      </c>
      <c r="XP15">
        <v>216</v>
      </c>
      <c r="XQ15">
        <v>44335</v>
      </c>
      <c r="XR15">
        <v>91169</v>
      </c>
      <c r="XS15">
        <v>229</v>
      </c>
      <c r="XT15">
        <v>44336</v>
      </c>
      <c r="XU15">
        <v>91388</v>
      </c>
      <c r="XV15">
        <v>215</v>
      </c>
      <c r="XW15">
        <v>44337</v>
      </c>
      <c r="XX15">
        <v>91561</v>
      </c>
      <c r="XY15">
        <v>170</v>
      </c>
      <c r="XZ15">
        <v>44338</v>
      </c>
      <c r="YA15">
        <v>91669</v>
      </c>
      <c r="YB15">
        <v>107</v>
      </c>
      <c r="YC15">
        <v>44340</v>
      </c>
      <c r="YD15">
        <v>91951</v>
      </c>
      <c r="YE15">
        <v>188</v>
      </c>
      <c r="YF15">
        <v>44341</v>
      </c>
      <c r="YG15">
        <v>92105</v>
      </c>
      <c r="YH15">
        <v>152</v>
      </c>
      <c r="YI15">
        <v>44342</v>
      </c>
      <c r="YJ15">
        <v>92249</v>
      </c>
      <c r="YK15">
        <v>142</v>
      </c>
      <c r="YL15">
        <v>44343</v>
      </c>
      <c r="YM15">
        <v>92376</v>
      </c>
      <c r="YN15">
        <v>127</v>
      </c>
      <c r="YO15">
        <v>44344</v>
      </c>
      <c r="YP15">
        <v>92516</v>
      </c>
      <c r="YQ15">
        <v>136</v>
      </c>
      <c r="YR15">
        <v>44345</v>
      </c>
      <c r="YS15">
        <v>92580</v>
      </c>
      <c r="YT15">
        <v>64</v>
      </c>
      <c r="YU15">
        <v>44346</v>
      </c>
      <c r="YV15">
        <v>92667</v>
      </c>
      <c r="YW15">
        <v>79</v>
      </c>
    </row>
    <row r="16" spans="1:673">
      <c r="B16" t="str">
        <f t="shared" ca="1" si="2"/>
        <v>Ma 31</v>
      </c>
      <c r="C16" s="4">
        <f t="shared" ca="1" si="0"/>
        <v>44347</v>
      </c>
      <c r="D16" s="11">
        <f t="shared" ca="1" si="1"/>
        <v>92812</v>
      </c>
      <c r="E16">
        <f t="shared" ca="1" si="3"/>
        <v>145</v>
      </c>
      <c r="F16" s="11">
        <f t="shared" ca="1" si="4"/>
        <v>0</v>
      </c>
      <c r="G16" s="11">
        <f t="shared" ca="1" si="5"/>
        <v>145</v>
      </c>
      <c r="L16" s="3"/>
      <c r="N16" s="16">
        <v>44347</v>
      </c>
      <c r="O16">
        <v>92812</v>
      </c>
      <c r="P16">
        <v>145</v>
      </c>
      <c r="Q16" s="16">
        <v>44347</v>
      </c>
      <c r="R16">
        <v>92812</v>
      </c>
      <c r="S16">
        <v>145</v>
      </c>
      <c r="T16" s="16">
        <v>44094</v>
      </c>
      <c r="U16">
        <v>9239</v>
      </c>
      <c r="V16">
        <v>73</v>
      </c>
      <c r="W16" s="16">
        <v>44095</v>
      </c>
      <c r="X16">
        <v>9359</v>
      </c>
      <c r="Y16">
        <v>119</v>
      </c>
      <c r="Z16" s="16">
        <v>44096</v>
      </c>
      <c r="AA16">
        <v>9465</v>
      </c>
      <c r="AB16">
        <v>105</v>
      </c>
      <c r="AC16" s="16">
        <v>44097</v>
      </c>
      <c r="AD16">
        <v>9582</v>
      </c>
      <c r="AE16">
        <v>118</v>
      </c>
      <c r="AF16" s="16">
        <v>44098</v>
      </c>
      <c r="AG16">
        <v>9680</v>
      </c>
      <c r="AH16">
        <v>98</v>
      </c>
      <c r="AI16" s="16">
        <v>44099</v>
      </c>
      <c r="AJ16">
        <v>9807</v>
      </c>
      <c r="AK16">
        <v>127</v>
      </c>
      <c r="AL16" s="16">
        <v>44100</v>
      </c>
      <c r="AM16">
        <v>9880</v>
      </c>
      <c r="AN16">
        <v>74</v>
      </c>
      <c r="AO16" s="16">
        <v>44101</v>
      </c>
      <c r="AP16">
        <v>9951</v>
      </c>
      <c r="AQ16">
        <v>71</v>
      </c>
      <c r="AR16" s="16">
        <v>44102</v>
      </c>
      <c r="AS16">
        <v>10072</v>
      </c>
      <c r="AT16">
        <v>122</v>
      </c>
      <c r="AU16" s="16">
        <v>44103</v>
      </c>
      <c r="AV16">
        <v>10206</v>
      </c>
      <c r="AW16">
        <v>134</v>
      </c>
      <c r="AX16" s="16">
        <v>44104</v>
      </c>
      <c r="AY16">
        <v>10370</v>
      </c>
      <c r="AZ16">
        <v>165</v>
      </c>
      <c r="BA16" s="16">
        <v>44105</v>
      </c>
      <c r="BB16">
        <v>10558</v>
      </c>
      <c r="BC16">
        <v>188</v>
      </c>
      <c r="BD16" s="16">
        <v>44106</v>
      </c>
      <c r="BE16">
        <v>10745</v>
      </c>
      <c r="BF16">
        <v>187</v>
      </c>
      <c r="BG16" s="16">
        <v>44107</v>
      </c>
      <c r="BH16">
        <v>10913</v>
      </c>
      <c r="BI16">
        <v>169</v>
      </c>
      <c r="BJ16" s="16">
        <v>44108</v>
      </c>
      <c r="BK16">
        <v>11062</v>
      </c>
      <c r="BL16">
        <v>147</v>
      </c>
      <c r="BM16" s="16">
        <v>44109</v>
      </c>
      <c r="BN16">
        <v>11352</v>
      </c>
      <c r="BO16">
        <v>289</v>
      </c>
      <c r="BP16" s="16">
        <v>44110</v>
      </c>
      <c r="BQ16">
        <v>11650</v>
      </c>
      <c r="BR16">
        <v>299</v>
      </c>
      <c r="BS16" s="16">
        <v>44111</v>
      </c>
      <c r="BT16">
        <v>11957</v>
      </c>
      <c r="BU16">
        <v>306</v>
      </c>
      <c r="BV16" s="16">
        <v>44113</v>
      </c>
      <c r="BW16">
        <v>12443</v>
      </c>
      <c r="BX16">
        <v>226</v>
      </c>
      <c r="BY16" s="16">
        <v>44114</v>
      </c>
      <c r="BZ16">
        <v>12554</v>
      </c>
      <c r="CA16">
        <v>109</v>
      </c>
      <c r="CB16" s="16">
        <v>44115</v>
      </c>
      <c r="CC16">
        <v>12687</v>
      </c>
      <c r="CD16">
        <v>130</v>
      </c>
      <c r="CE16" s="16">
        <v>44116</v>
      </c>
      <c r="CF16">
        <v>12948</v>
      </c>
      <c r="CG16">
        <v>254</v>
      </c>
      <c r="CH16" s="16">
        <v>44117</v>
      </c>
      <c r="CI16">
        <v>13146</v>
      </c>
      <c r="CJ16">
        <v>197</v>
      </c>
      <c r="CK16" s="16">
        <v>44118</v>
      </c>
      <c r="CL16">
        <v>13346</v>
      </c>
      <c r="CM16">
        <v>200</v>
      </c>
      <c r="CN16" s="16">
        <v>44119</v>
      </c>
      <c r="CO16">
        <v>13536</v>
      </c>
      <c r="CP16">
        <v>190</v>
      </c>
      <c r="CQ16" s="16">
        <v>44120</v>
      </c>
      <c r="CR16">
        <v>13728</v>
      </c>
      <c r="CS16">
        <v>192</v>
      </c>
      <c r="CT16" s="16">
        <v>44121</v>
      </c>
      <c r="CU16">
        <v>13832</v>
      </c>
      <c r="CV16">
        <v>100</v>
      </c>
      <c r="CW16" s="16">
        <v>44122</v>
      </c>
      <c r="CX16">
        <v>13961</v>
      </c>
      <c r="CY16">
        <v>128</v>
      </c>
      <c r="CZ16" s="16">
        <v>44124</v>
      </c>
      <c r="DA16">
        <v>14366</v>
      </c>
      <c r="DB16">
        <v>163</v>
      </c>
      <c r="DC16" s="16">
        <v>44125</v>
      </c>
      <c r="DD16">
        <v>14554</v>
      </c>
      <c r="DE16">
        <v>189</v>
      </c>
      <c r="DF16" s="16">
        <v>44126</v>
      </c>
      <c r="DG16">
        <v>14769</v>
      </c>
      <c r="DH16">
        <v>215</v>
      </c>
      <c r="DI16" s="16">
        <v>44127</v>
      </c>
      <c r="DJ16">
        <v>14962</v>
      </c>
      <c r="DK16">
        <v>192</v>
      </c>
      <c r="DL16" s="16">
        <v>44128</v>
      </c>
      <c r="DM16">
        <v>15075</v>
      </c>
      <c r="DN16">
        <v>108</v>
      </c>
      <c r="DO16" s="16">
        <v>44129</v>
      </c>
      <c r="DP16">
        <v>15198</v>
      </c>
      <c r="DQ16">
        <v>122</v>
      </c>
      <c r="DR16" s="16">
        <v>44130</v>
      </c>
      <c r="DS16">
        <v>15455</v>
      </c>
      <c r="DT16">
        <v>256</v>
      </c>
      <c r="DU16" s="16">
        <v>44131</v>
      </c>
      <c r="DV16">
        <v>15687</v>
      </c>
      <c r="DW16">
        <v>230</v>
      </c>
      <c r="DX16" s="16">
        <v>44132</v>
      </c>
      <c r="DY16">
        <v>15927</v>
      </c>
      <c r="DZ16">
        <v>240</v>
      </c>
      <c r="EA16" s="16">
        <v>44133</v>
      </c>
      <c r="EB16">
        <v>16164</v>
      </c>
      <c r="EC16">
        <v>237</v>
      </c>
      <c r="ED16" s="16">
        <v>44134</v>
      </c>
      <c r="EE16">
        <v>16375</v>
      </c>
      <c r="EF16">
        <v>219</v>
      </c>
      <c r="EG16" s="16">
        <v>44135</v>
      </c>
      <c r="EH16">
        <v>16496</v>
      </c>
      <c r="EI16">
        <v>121</v>
      </c>
      <c r="EJ16" s="16">
        <v>44136</v>
      </c>
      <c r="EK16">
        <v>16646</v>
      </c>
      <c r="EL16">
        <v>150</v>
      </c>
      <c r="EM16" s="16">
        <v>44137</v>
      </c>
      <c r="EN16">
        <v>16927</v>
      </c>
      <c r="EO16">
        <v>281</v>
      </c>
      <c r="EP16" s="16">
        <v>44138</v>
      </c>
      <c r="EQ16">
        <v>17168</v>
      </c>
      <c r="ER16">
        <v>241</v>
      </c>
      <c r="ES16" s="16">
        <v>44139</v>
      </c>
      <c r="ET16">
        <v>17379</v>
      </c>
      <c r="EU16">
        <v>210</v>
      </c>
      <c r="EV16" s="16">
        <v>44140</v>
      </c>
      <c r="EW16">
        <v>17600</v>
      </c>
      <c r="EX16">
        <v>221</v>
      </c>
      <c r="EY16" s="16">
        <v>44141</v>
      </c>
      <c r="EZ16">
        <v>17794</v>
      </c>
      <c r="FA16">
        <v>194</v>
      </c>
      <c r="FB16" s="16">
        <v>44142</v>
      </c>
      <c r="FC16">
        <v>17921</v>
      </c>
      <c r="FD16">
        <v>128</v>
      </c>
      <c r="FE16" s="16">
        <v>44143</v>
      </c>
      <c r="FF16">
        <v>18001</v>
      </c>
      <c r="FG16">
        <v>132</v>
      </c>
      <c r="FH16" s="16">
        <v>44144</v>
      </c>
      <c r="FI16">
        <v>18338</v>
      </c>
      <c r="FJ16">
        <v>276</v>
      </c>
      <c r="FK16" s="16">
        <v>44145</v>
      </c>
      <c r="FL16">
        <v>18554</v>
      </c>
      <c r="FM16">
        <v>205</v>
      </c>
      <c r="FN16" s="16">
        <v>44146</v>
      </c>
      <c r="FO16">
        <v>18846</v>
      </c>
      <c r="FP16">
        <v>292</v>
      </c>
      <c r="FQ16" s="16">
        <v>44147</v>
      </c>
      <c r="FR16">
        <v>19128</v>
      </c>
      <c r="FS16">
        <v>282</v>
      </c>
      <c r="FT16" s="16">
        <v>44148</v>
      </c>
      <c r="FU16">
        <v>19412</v>
      </c>
      <c r="FV16">
        <v>264</v>
      </c>
      <c r="FW16" s="16">
        <v>44149</v>
      </c>
      <c r="FX16">
        <v>19559</v>
      </c>
      <c r="FY16">
        <v>145</v>
      </c>
      <c r="FZ16" s="16">
        <v>44150</v>
      </c>
      <c r="GA16">
        <v>19745</v>
      </c>
      <c r="GB16">
        <v>182</v>
      </c>
      <c r="GC16" s="16">
        <v>44151</v>
      </c>
      <c r="GD16">
        <v>20137</v>
      </c>
      <c r="GE16">
        <v>392</v>
      </c>
      <c r="GF16" s="16">
        <v>44152</v>
      </c>
      <c r="GG16">
        <v>20530</v>
      </c>
      <c r="GH16">
        <v>392</v>
      </c>
      <c r="GI16" s="16">
        <v>44153</v>
      </c>
      <c r="GJ16">
        <v>20902</v>
      </c>
      <c r="GK16">
        <v>372</v>
      </c>
      <c r="GL16" s="16">
        <v>44154</v>
      </c>
      <c r="GM16">
        <v>21382</v>
      </c>
      <c r="GN16">
        <v>480</v>
      </c>
      <c r="GO16" s="16">
        <v>44155</v>
      </c>
      <c r="GP16">
        <v>21814</v>
      </c>
      <c r="GQ16">
        <v>432</v>
      </c>
      <c r="GR16" s="16">
        <v>44156</v>
      </c>
      <c r="GS16">
        <v>22085</v>
      </c>
      <c r="GT16">
        <v>270</v>
      </c>
      <c r="GU16" s="16">
        <v>44157</v>
      </c>
      <c r="GV16">
        <v>22342</v>
      </c>
      <c r="GW16">
        <v>267</v>
      </c>
      <c r="GX16" s="16">
        <v>44158</v>
      </c>
      <c r="GY16">
        <v>22852</v>
      </c>
      <c r="GZ16">
        <v>505</v>
      </c>
      <c r="HA16" s="16">
        <v>44159</v>
      </c>
      <c r="HB16">
        <v>23322</v>
      </c>
      <c r="HC16">
        <v>468</v>
      </c>
      <c r="HD16" s="16">
        <v>44160</v>
      </c>
      <c r="HE16">
        <v>23936</v>
      </c>
      <c r="HF16">
        <v>615</v>
      </c>
      <c r="HG16" s="16">
        <v>44161</v>
      </c>
      <c r="HH16">
        <v>24443</v>
      </c>
      <c r="HI16">
        <v>510</v>
      </c>
      <c r="HJ16" s="16">
        <v>44162</v>
      </c>
      <c r="HK16">
        <v>24898</v>
      </c>
      <c r="HL16">
        <v>454</v>
      </c>
      <c r="HM16" s="16">
        <v>44163</v>
      </c>
      <c r="HN16">
        <v>25179</v>
      </c>
      <c r="HO16">
        <v>283</v>
      </c>
      <c r="HP16" s="16">
        <v>44164</v>
      </c>
      <c r="HQ16">
        <v>25479</v>
      </c>
      <c r="HR16">
        <v>295</v>
      </c>
      <c r="HS16" s="16">
        <v>44165</v>
      </c>
      <c r="HT16">
        <v>26073</v>
      </c>
      <c r="HU16">
        <v>596</v>
      </c>
      <c r="HV16" s="16">
        <v>44166</v>
      </c>
      <c r="HW16">
        <v>26514</v>
      </c>
      <c r="HX16">
        <v>440</v>
      </c>
      <c r="HY16" s="16">
        <v>44167</v>
      </c>
      <c r="HZ16">
        <v>27007</v>
      </c>
      <c r="IA16">
        <v>494</v>
      </c>
      <c r="IB16" s="16">
        <v>44168</v>
      </c>
      <c r="IC16">
        <v>27483</v>
      </c>
      <c r="ID16">
        <v>477</v>
      </c>
      <c r="IE16" s="16">
        <v>44169</v>
      </c>
      <c r="IF16">
        <v>27957</v>
      </c>
      <c r="IG16">
        <v>472</v>
      </c>
      <c r="IH16" s="16">
        <v>44170</v>
      </c>
      <c r="II16">
        <v>28205</v>
      </c>
      <c r="IJ16">
        <v>249</v>
      </c>
      <c r="IK16" s="16">
        <v>44171</v>
      </c>
      <c r="IL16">
        <v>28488</v>
      </c>
      <c r="IM16">
        <v>282</v>
      </c>
      <c r="IN16" s="16">
        <v>44172</v>
      </c>
      <c r="IO16">
        <v>29075</v>
      </c>
      <c r="IP16">
        <v>587</v>
      </c>
      <c r="IQ16" s="16">
        <v>44173</v>
      </c>
      <c r="IR16">
        <v>29551</v>
      </c>
      <c r="IS16">
        <v>476</v>
      </c>
      <c r="IT16" s="16">
        <v>44174</v>
      </c>
      <c r="IU16">
        <v>30013</v>
      </c>
      <c r="IV16">
        <v>462</v>
      </c>
      <c r="IW16" s="16">
        <v>44175</v>
      </c>
      <c r="IX16">
        <v>30421</v>
      </c>
      <c r="IY16">
        <v>408</v>
      </c>
      <c r="IZ16" s="16">
        <v>44176</v>
      </c>
      <c r="JA16">
        <v>30868</v>
      </c>
      <c r="JB16">
        <v>444</v>
      </c>
      <c r="JC16" s="16">
        <v>44180</v>
      </c>
      <c r="JD16">
        <v>32224</v>
      </c>
      <c r="JE16">
        <v>358</v>
      </c>
      <c r="JF16" s="16">
        <v>44184</v>
      </c>
      <c r="JG16">
        <v>33475</v>
      </c>
      <c r="JH16">
        <v>190</v>
      </c>
      <c r="JI16" s="16">
        <v>44185</v>
      </c>
      <c r="JJ16">
        <v>33761</v>
      </c>
      <c r="JK16">
        <v>244</v>
      </c>
      <c r="JL16" s="16">
        <v>44186</v>
      </c>
      <c r="JM16">
        <v>34127</v>
      </c>
      <c r="JN16">
        <v>374</v>
      </c>
      <c r="JO16" s="16">
        <v>44187</v>
      </c>
      <c r="JP16">
        <v>34450</v>
      </c>
      <c r="JQ16">
        <v>331</v>
      </c>
      <c r="JR16" s="16">
        <v>44189</v>
      </c>
      <c r="JS16">
        <v>34871</v>
      </c>
      <c r="JT16">
        <v>138</v>
      </c>
      <c r="JU16" s="16">
        <v>44189</v>
      </c>
      <c r="JV16">
        <v>34872</v>
      </c>
      <c r="JW16">
        <v>138</v>
      </c>
      <c r="JX16" s="16">
        <v>44191</v>
      </c>
      <c r="JY16">
        <v>35207</v>
      </c>
      <c r="JZ16">
        <v>183</v>
      </c>
      <c r="KA16" s="16">
        <v>44203</v>
      </c>
      <c r="KB16">
        <v>38346</v>
      </c>
      <c r="KC16">
        <v>331</v>
      </c>
      <c r="KD16" s="16">
        <v>44203</v>
      </c>
      <c r="KE16">
        <v>38354</v>
      </c>
      <c r="KF16">
        <v>331</v>
      </c>
      <c r="KG16" s="16">
        <v>44204</v>
      </c>
      <c r="KH16">
        <v>38597</v>
      </c>
      <c r="KI16">
        <v>251</v>
      </c>
      <c r="KJ16" s="16">
        <v>44206</v>
      </c>
      <c r="KK16">
        <v>38974</v>
      </c>
      <c r="KL16">
        <v>185</v>
      </c>
      <c r="KM16" s="16">
        <v>44207</v>
      </c>
      <c r="KN16">
        <v>39367</v>
      </c>
      <c r="KO16">
        <v>387</v>
      </c>
      <c r="KP16" s="16">
        <v>44211</v>
      </c>
      <c r="KQ16">
        <v>40366</v>
      </c>
      <c r="KR16">
        <v>266</v>
      </c>
      <c r="KS16" s="16">
        <v>44212</v>
      </c>
      <c r="KT16">
        <v>40539</v>
      </c>
      <c r="KU16">
        <v>169</v>
      </c>
      <c r="KV16" s="16">
        <v>44213</v>
      </c>
      <c r="KW16">
        <v>40733</v>
      </c>
      <c r="KX16">
        <v>194</v>
      </c>
      <c r="KY16" s="16">
        <v>44215</v>
      </c>
      <c r="KZ16">
        <v>41525</v>
      </c>
      <c r="LA16">
        <v>344</v>
      </c>
      <c r="LB16" s="16">
        <v>44216</v>
      </c>
      <c r="LC16">
        <v>41938</v>
      </c>
      <c r="LD16">
        <v>406</v>
      </c>
      <c r="LE16" s="16">
        <v>44217</v>
      </c>
      <c r="LF16">
        <v>42313</v>
      </c>
      <c r="LG16">
        <v>375</v>
      </c>
      <c r="LH16" s="16">
        <v>44219</v>
      </c>
      <c r="LI16">
        <v>42808</v>
      </c>
      <c r="LJ16">
        <v>168</v>
      </c>
      <c r="LK16" s="16">
        <v>44219</v>
      </c>
      <c r="LL16">
        <v>42809</v>
      </c>
      <c r="LM16">
        <v>168</v>
      </c>
      <c r="LN16" s="16">
        <v>44221</v>
      </c>
      <c r="LO16">
        <v>43680</v>
      </c>
      <c r="LP16">
        <v>602</v>
      </c>
      <c r="LQ16" s="16">
        <v>44222</v>
      </c>
      <c r="LR16">
        <v>44075</v>
      </c>
      <c r="LS16">
        <v>398</v>
      </c>
      <c r="LT16" s="16">
        <v>44223</v>
      </c>
      <c r="LU16">
        <v>44459</v>
      </c>
      <c r="LV16">
        <v>383</v>
      </c>
      <c r="LW16" s="16">
        <v>44224</v>
      </c>
      <c r="LX16">
        <v>44905</v>
      </c>
      <c r="LY16">
        <v>435</v>
      </c>
      <c r="LZ16" s="16">
        <v>44225</v>
      </c>
      <c r="MA16">
        <v>45271</v>
      </c>
      <c r="MB16">
        <v>375</v>
      </c>
      <c r="MC16" s="16">
        <v>44226</v>
      </c>
      <c r="MD16">
        <v>45514</v>
      </c>
      <c r="ME16">
        <v>232</v>
      </c>
      <c r="MF16" s="16">
        <v>44228</v>
      </c>
      <c r="MG16">
        <v>46317</v>
      </c>
      <c r="MH16">
        <v>529</v>
      </c>
      <c r="MI16" s="16">
        <v>44228</v>
      </c>
      <c r="MJ16">
        <v>46318</v>
      </c>
      <c r="MK16">
        <v>529</v>
      </c>
      <c r="ML16" s="16">
        <v>44229</v>
      </c>
      <c r="MM16">
        <v>46711</v>
      </c>
      <c r="MN16">
        <v>395</v>
      </c>
      <c r="MO16" s="16">
        <v>44230</v>
      </c>
      <c r="MP16">
        <v>47149</v>
      </c>
      <c r="MQ16">
        <v>439</v>
      </c>
      <c r="MR16" s="16">
        <v>44231</v>
      </c>
      <c r="MS16">
        <v>47522</v>
      </c>
      <c r="MT16">
        <v>370</v>
      </c>
      <c r="MU16" s="16">
        <v>44232</v>
      </c>
      <c r="MV16">
        <v>47887</v>
      </c>
      <c r="MW16">
        <v>366</v>
      </c>
      <c r="MX16" s="16">
        <v>44233</v>
      </c>
      <c r="MY16">
        <v>48127</v>
      </c>
      <c r="MZ16">
        <v>240</v>
      </c>
      <c r="NA16" s="16">
        <v>44233</v>
      </c>
      <c r="NB16">
        <v>48128</v>
      </c>
      <c r="NC16">
        <v>240</v>
      </c>
      <c r="ND16" s="16">
        <v>44236</v>
      </c>
      <c r="NE16">
        <v>49222</v>
      </c>
      <c r="NF16">
        <v>370</v>
      </c>
      <c r="NG16" s="16">
        <v>44236</v>
      </c>
      <c r="NH16">
        <v>49220</v>
      </c>
      <c r="NI16">
        <v>370</v>
      </c>
      <c r="NJ16" s="16">
        <v>44238</v>
      </c>
      <c r="NK16">
        <v>49959</v>
      </c>
      <c r="NL16">
        <v>356</v>
      </c>
      <c r="NM16" s="16">
        <v>44238</v>
      </c>
      <c r="NN16">
        <v>49960</v>
      </c>
      <c r="NO16">
        <v>357</v>
      </c>
      <c r="NP16" s="16">
        <v>44240</v>
      </c>
      <c r="NQ16">
        <v>50652</v>
      </c>
      <c r="NR16">
        <v>275</v>
      </c>
      <c r="NS16" s="16">
        <v>44241</v>
      </c>
      <c r="NT16">
        <v>50932</v>
      </c>
      <c r="NU16">
        <v>280</v>
      </c>
      <c r="NV16" s="16">
        <v>44242</v>
      </c>
      <c r="NW16">
        <v>51545</v>
      </c>
      <c r="NX16">
        <v>614</v>
      </c>
      <c r="NY16" s="16">
        <v>44243</v>
      </c>
      <c r="NZ16">
        <v>52062</v>
      </c>
      <c r="OA16">
        <v>514</v>
      </c>
      <c r="OB16" s="16">
        <v>44244</v>
      </c>
      <c r="OC16">
        <v>52616</v>
      </c>
      <c r="OD16">
        <v>549</v>
      </c>
      <c r="OE16" s="16">
        <v>44245</v>
      </c>
      <c r="OF16">
        <v>53226</v>
      </c>
      <c r="OG16">
        <v>609</v>
      </c>
      <c r="OH16" s="16">
        <v>44246</v>
      </c>
      <c r="OI16">
        <v>53794</v>
      </c>
      <c r="OJ16">
        <v>572</v>
      </c>
      <c r="OK16" s="16">
        <v>44247</v>
      </c>
      <c r="OL16">
        <v>54112</v>
      </c>
      <c r="OM16">
        <v>317</v>
      </c>
      <c r="ON16" s="16">
        <v>44248</v>
      </c>
      <c r="OO16">
        <v>54468</v>
      </c>
      <c r="OP16">
        <v>355</v>
      </c>
      <c r="OQ16" s="16">
        <v>44249</v>
      </c>
      <c r="OR16">
        <v>55092</v>
      </c>
      <c r="OS16">
        <v>622</v>
      </c>
      <c r="OT16" s="16">
        <v>44250</v>
      </c>
      <c r="OU16">
        <v>55716</v>
      </c>
      <c r="OV16">
        <v>624</v>
      </c>
      <c r="OW16" s="16">
        <v>44251</v>
      </c>
      <c r="OX16">
        <v>56315</v>
      </c>
      <c r="OY16">
        <v>599</v>
      </c>
      <c r="OZ16" s="16">
        <v>44252</v>
      </c>
      <c r="PA16">
        <v>56934</v>
      </c>
      <c r="PB16">
        <v>618</v>
      </c>
      <c r="PC16" s="16">
        <v>44253</v>
      </c>
      <c r="PD16">
        <v>57627</v>
      </c>
      <c r="PE16">
        <v>691</v>
      </c>
      <c r="PF16" s="16">
        <v>44254</v>
      </c>
      <c r="PG16">
        <v>58026</v>
      </c>
      <c r="PH16">
        <v>400</v>
      </c>
      <c r="PI16" s="16">
        <v>44255</v>
      </c>
      <c r="PJ16">
        <v>58451</v>
      </c>
      <c r="PK16">
        <v>420</v>
      </c>
      <c r="PL16" s="16">
        <v>44256</v>
      </c>
      <c r="PM16">
        <v>59319</v>
      </c>
      <c r="PN16">
        <v>869</v>
      </c>
      <c r="PO16" s="16">
        <v>44257</v>
      </c>
      <c r="PP16">
        <v>60078</v>
      </c>
      <c r="PQ16">
        <v>759</v>
      </c>
      <c r="PR16" s="16">
        <v>44258</v>
      </c>
      <c r="PS16">
        <v>60813</v>
      </c>
      <c r="PT16">
        <v>735</v>
      </c>
      <c r="PU16" s="16">
        <v>44259</v>
      </c>
      <c r="PV16">
        <v>61448</v>
      </c>
      <c r="PW16">
        <v>636</v>
      </c>
      <c r="PX16" s="16">
        <v>44260</v>
      </c>
      <c r="PY16">
        <v>62073</v>
      </c>
      <c r="PZ16">
        <v>630</v>
      </c>
      <c r="QA16" s="16">
        <v>44261</v>
      </c>
      <c r="QB16">
        <v>62509</v>
      </c>
      <c r="QC16">
        <v>432</v>
      </c>
      <c r="QD16" s="16">
        <v>44262</v>
      </c>
      <c r="QE16">
        <v>62909</v>
      </c>
      <c r="QF16">
        <v>398</v>
      </c>
      <c r="QG16" s="16">
        <v>44263</v>
      </c>
      <c r="QH16">
        <v>63740</v>
      </c>
      <c r="QI16">
        <v>835</v>
      </c>
      <c r="QJ16" s="16">
        <v>44264</v>
      </c>
      <c r="QK16">
        <v>64517</v>
      </c>
      <c r="QL16">
        <v>773</v>
      </c>
      <c r="QM16" s="16">
        <v>44265</v>
      </c>
      <c r="QN16">
        <v>65331</v>
      </c>
      <c r="QO16">
        <v>814</v>
      </c>
      <c r="QP16" s="16">
        <v>44266</v>
      </c>
      <c r="QQ16">
        <v>66105</v>
      </c>
      <c r="QR16">
        <v>774</v>
      </c>
      <c r="QS16" s="16">
        <v>44267</v>
      </c>
      <c r="QT16">
        <v>66918</v>
      </c>
      <c r="QU16">
        <v>811</v>
      </c>
      <c r="QV16" s="16">
        <v>44268</v>
      </c>
      <c r="QW16">
        <v>67411</v>
      </c>
      <c r="QX16">
        <v>493</v>
      </c>
      <c r="QY16" s="16">
        <v>44269</v>
      </c>
      <c r="QZ16">
        <v>67845</v>
      </c>
      <c r="RA16">
        <v>435</v>
      </c>
      <c r="RB16" s="16">
        <v>44270</v>
      </c>
      <c r="RC16">
        <v>68738</v>
      </c>
      <c r="RD16">
        <v>891</v>
      </c>
      <c r="RE16" s="16">
        <v>44271</v>
      </c>
      <c r="RF16">
        <v>69498</v>
      </c>
      <c r="RG16">
        <v>763</v>
      </c>
      <c r="RH16" s="16">
        <v>44272</v>
      </c>
      <c r="RI16">
        <v>70240</v>
      </c>
      <c r="RJ16">
        <v>743</v>
      </c>
      <c r="RK16" s="16">
        <v>44273</v>
      </c>
      <c r="RL16">
        <v>70974</v>
      </c>
      <c r="RM16">
        <v>736</v>
      </c>
      <c r="RN16" s="16">
        <v>44275</v>
      </c>
      <c r="RO16">
        <v>72117</v>
      </c>
      <c r="RP16">
        <v>401</v>
      </c>
      <c r="RQ16" s="16">
        <v>44276</v>
      </c>
      <c r="RR16">
        <v>72536</v>
      </c>
      <c r="RS16">
        <v>417</v>
      </c>
      <c r="RT16">
        <v>44277</v>
      </c>
      <c r="RU16">
        <v>73303</v>
      </c>
      <c r="RV16">
        <v>766</v>
      </c>
      <c r="RW16">
        <v>44278</v>
      </c>
      <c r="RX16">
        <v>74005</v>
      </c>
      <c r="RY16">
        <v>702</v>
      </c>
      <c r="RZ16">
        <v>44279</v>
      </c>
      <c r="SA16">
        <v>74699</v>
      </c>
      <c r="SB16">
        <v>693</v>
      </c>
      <c r="SC16">
        <v>44280</v>
      </c>
      <c r="SD16">
        <v>75305</v>
      </c>
      <c r="SE16">
        <v>606</v>
      </c>
      <c r="SF16">
        <v>44281</v>
      </c>
      <c r="SG16">
        <v>75993</v>
      </c>
      <c r="SH16">
        <v>686</v>
      </c>
      <c r="SI16">
        <v>44282</v>
      </c>
      <c r="SJ16">
        <v>76344</v>
      </c>
      <c r="SK16">
        <v>350</v>
      </c>
      <c r="SL16">
        <v>44284</v>
      </c>
      <c r="SM16">
        <v>77368</v>
      </c>
      <c r="SN16">
        <v>655</v>
      </c>
      <c r="SO16">
        <v>44285</v>
      </c>
      <c r="SP16">
        <v>77952</v>
      </c>
      <c r="SQ16">
        <v>566</v>
      </c>
      <c r="SR16">
        <v>44286</v>
      </c>
      <c r="SS16">
        <v>78504</v>
      </c>
      <c r="ST16">
        <v>549</v>
      </c>
      <c r="SU16">
        <v>44287</v>
      </c>
      <c r="SV16">
        <v>78992</v>
      </c>
      <c r="SW16">
        <v>488</v>
      </c>
      <c r="SX16">
        <v>44289</v>
      </c>
      <c r="SY16">
        <v>79672</v>
      </c>
      <c r="SZ16">
        <v>316</v>
      </c>
      <c r="TA16">
        <v>44290</v>
      </c>
      <c r="TB16">
        <v>79997</v>
      </c>
      <c r="TC16">
        <v>319</v>
      </c>
      <c r="TD16">
        <v>44292</v>
      </c>
      <c r="TE16">
        <v>80898</v>
      </c>
      <c r="TF16">
        <v>542</v>
      </c>
      <c r="TG16">
        <v>44293</v>
      </c>
      <c r="TH16">
        <v>81327</v>
      </c>
      <c r="TI16">
        <v>424</v>
      </c>
      <c r="TJ16">
        <v>44294</v>
      </c>
      <c r="TK16">
        <v>81732</v>
      </c>
      <c r="TL16">
        <v>403</v>
      </c>
      <c r="TM16">
        <v>44295</v>
      </c>
      <c r="TN16">
        <v>82080</v>
      </c>
      <c r="TO16">
        <v>348</v>
      </c>
      <c r="TP16">
        <v>44297</v>
      </c>
      <c r="TQ16">
        <v>82547</v>
      </c>
      <c r="TR16">
        <v>239</v>
      </c>
      <c r="TS16">
        <v>44298</v>
      </c>
      <c r="TT16">
        <v>82947</v>
      </c>
      <c r="TU16">
        <v>397</v>
      </c>
      <c r="TV16">
        <v>44298</v>
      </c>
      <c r="TW16">
        <v>82953</v>
      </c>
      <c r="TX16">
        <v>397</v>
      </c>
      <c r="TY16">
        <v>44299</v>
      </c>
      <c r="TZ16">
        <v>83278</v>
      </c>
      <c r="UA16">
        <v>325</v>
      </c>
      <c r="UB16">
        <v>44301</v>
      </c>
      <c r="UC16">
        <v>83898</v>
      </c>
      <c r="UD16">
        <v>275</v>
      </c>
      <c r="UE16">
        <v>44301</v>
      </c>
      <c r="UF16">
        <v>83899</v>
      </c>
      <c r="UG16">
        <v>275</v>
      </c>
      <c r="UH16">
        <v>44302</v>
      </c>
      <c r="UI16">
        <v>84165</v>
      </c>
      <c r="UJ16">
        <v>264</v>
      </c>
      <c r="UK16">
        <v>44303</v>
      </c>
      <c r="UL16">
        <v>84336</v>
      </c>
      <c r="UM16">
        <v>170</v>
      </c>
      <c r="UN16">
        <v>44307</v>
      </c>
      <c r="UO16">
        <v>85308</v>
      </c>
      <c r="UP16">
        <v>240</v>
      </c>
      <c r="UQ16">
        <v>44308</v>
      </c>
      <c r="UR16">
        <v>85571</v>
      </c>
      <c r="US16">
        <v>260</v>
      </c>
      <c r="UT16">
        <v>44309</v>
      </c>
      <c r="UU16">
        <v>85824</v>
      </c>
      <c r="UV16">
        <v>257</v>
      </c>
      <c r="UW16">
        <v>44310</v>
      </c>
      <c r="UX16">
        <v>85977</v>
      </c>
      <c r="UY16">
        <v>154</v>
      </c>
      <c r="UZ16">
        <v>44312</v>
      </c>
      <c r="VA16">
        <v>86363</v>
      </c>
      <c r="VB16">
        <v>243</v>
      </c>
      <c r="VC16">
        <v>44312</v>
      </c>
      <c r="VD16">
        <v>86358</v>
      </c>
      <c r="VE16">
        <v>243</v>
      </c>
      <c r="VF16">
        <v>44313</v>
      </c>
      <c r="VG16">
        <v>86588</v>
      </c>
      <c r="VH16">
        <v>228</v>
      </c>
      <c r="VI16">
        <v>44315</v>
      </c>
      <c r="VJ16">
        <v>87061</v>
      </c>
      <c r="VK16">
        <v>200</v>
      </c>
      <c r="VL16">
        <v>44315</v>
      </c>
      <c r="VM16">
        <v>87061</v>
      </c>
      <c r="VN16">
        <v>200</v>
      </c>
      <c r="VO16">
        <v>44316</v>
      </c>
      <c r="VP16">
        <v>87256</v>
      </c>
      <c r="VQ16">
        <v>195</v>
      </c>
      <c r="VR16">
        <v>44317</v>
      </c>
      <c r="VS16">
        <v>87361</v>
      </c>
      <c r="VT16">
        <v>105</v>
      </c>
      <c r="VU16">
        <v>44319</v>
      </c>
      <c r="VV16">
        <v>87817</v>
      </c>
      <c r="VW16">
        <v>318</v>
      </c>
      <c r="VX16">
        <v>44319</v>
      </c>
      <c r="VY16">
        <v>87821</v>
      </c>
      <c r="VZ16">
        <v>318</v>
      </c>
      <c r="WA16">
        <v>44320</v>
      </c>
      <c r="WB16">
        <v>88029</v>
      </c>
      <c r="WC16">
        <v>205</v>
      </c>
      <c r="WD16">
        <v>44321</v>
      </c>
      <c r="WE16">
        <v>88295</v>
      </c>
      <c r="WF16">
        <v>266</v>
      </c>
      <c r="WG16">
        <v>44322</v>
      </c>
      <c r="WH16">
        <v>88529</v>
      </c>
      <c r="WI16">
        <v>234</v>
      </c>
      <c r="WJ16">
        <v>44324</v>
      </c>
      <c r="WK16">
        <v>88873</v>
      </c>
      <c r="WL16">
        <v>129</v>
      </c>
      <c r="WM16">
        <v>44324</v>
      </c>
      <c r="WN16">
        <v>88875</v>
      </c>
      <c r="WO16">
        <v>130</v>
      </c>
      <c r="WP16">
        <v>44327</v>
      </c>
      <c r="WQ16">
        <v>89478</v>
      </c>
      <c r="WR16">
        <v>214</v>
      </c>
      <c r="WS16">
        <v>44328</v>
      </c>
      <c r="WT16">
        <v>89735</v>
      </c>
      <c r="WU16">
        <v>256</v>
      </c>
      <c r="WV16">
        <v>44329</v>
      </c>
      <c r="WW16">
        <v>89892</v>
      </c>
      <c r="WX16">
        <v>155</v>
      </c>
      <c r="WY16">
        <v>44330</v>
      </c>
      <c r="WZ16">
        <v>90138</v>
      </c>
      <c r="XA16">
        <v>243</v>
      </c>
      <c r="XB16">
        <v>44331</v>
      </c>
      <c r="XC16">
        <v>90299</v>
      </c>
      <c r="XD16">
        <v>160</v>
      </c>
      <c r="XE16">
        <v>44333</v>
      </c>
      <c r="XF16">
        <v>90717</v>
      </c>
      <c r="XG16">
        <v>284</v>
      </c>
      <c r="XH16">
        <v>44333</v>
      </c>
      <c r="XI16">
        <v>90724</v>
      </c>
      <c r="XJ16">
        <v>284</v>
      </c>
      <c r="XK16">
        <v>44334</v>
      </c>
      <c r="XL16">
        <v>90940</v>
      </c>
      <c r="XM16">
        <v>216</v>
      </c>
      <c r="XN16">
        <v>44335</v>
      </c>
      <c r="XO16">
        <v>91169</v>
      </c>
      <c r="XP16">
        <v>229</v>
      </c>
      <c r="XQ16">
        <v>44336</v>
      </c>
      <c r="XR16">
        <v>91384</v>
      </c>
      <c r="XS16">
        <v>215</v>
      </c>
      <c r="XT16">
        <v>44337</v>
      </c>
      <c r="XU16">
        <v>91558</v>
      </c>
      <c r="XV16">
        <v>170</v>
      </c>
      <c r="XW16">
        <v>44338</v>
      </c>
      <c r="XX16">
        <v>91668</v>
      </c>
      <c r="XY16">
        <v>107</v>
      </c>
      <c r="XZ16">
        <v>44339</v>
      </c>
      <c r="YA16">
        <v>91761</v>
      </c>
      <c r="YB16">
        <v>92</v>
      </c>
      <c r="YC16">
        <v>44341</v>
      </c>
      <c r="YD16">
        <v>92103</v>
      </c>
      <c r="YE16">
        <v>152</v>
      </c>
      <c r="YF16">
        <v>44342</v>
      </c>
      <c r="YG16">
        <v>92247</v>
      </c>
      <c r="YH16">
        <v>142</v>
      </c>
      <c r="YI16">
        <v>44343</v>
      </c>
      <c r="YJ16">
        <v>92376</v>
      </c>
      <c r="YK16">
        <v>127</v>
      </c>
      <c r="YL16">
        <v>44344</v>
      </c>
      <c r="YM16">
        <v>92512</v>
      </c>
      <c r="YN16">
        <v>136</v>
      </c>
      <c r="YO16">
        <v>44345</v>
      </c>
      <c r="YP16">
        <v>92580</v>
      </c>
      <c r="YQ16">
        <v>64</v>
      </c>
      <c r="YR16">
        <v>44346</v>
      </c>
      <c r="YS16">
        <v>92659</v>
      </c>
      <c r="YT16">
        <v>79</v>
      </c>
      <c r="YU16">
        <v>44347</v>
      </c>
      <c r="YV16">
        <v>92812</v>
      </c>
      <c r="YW16">
        <v>145</v>
      </c>
    </row>
    <row r="17" spans="2:673">
      <c r="B17" t="str">
        <f t="shared" ca="1" si="2"/>
        <v>1.6</v>
      </c>
      <c r="C17" s="4">
        <f t="shared" ca="1" si="0"/>
        <v>44348</v>
      </c>
      <c r="D17" s="11">
        <f t="shared" ca="1" si="1"/>
        <v>92933</v>
      </c>
      <c r="E17">
        <f t="shared" ca="1" si="3"/>
        <v>121</v>
      </c>
      <c r="F17" s="11">
        <f t="shared" ca="1" si="4"/>
        <v>0</v>
      </c>
      <c r="G17" s="11">
        <f t="shared" ca="1" si="5"/>
        <v>121</v>
      </c>
      <c r="N17" s="16">
        <v>44348</v>
      </c>
      <c r="O17">
        <v>92933</v>
      </c>
      <c r="P17">
        <v>121</v>
      </c>
      <c r="Q17" s="16">
        <v>44348</v>
      </c>
      <c r="R17">
        <v>92933</v>
      </c>
      <c r="S17">
        <v>121</v>
      </c>
      <c r="T17" s="16">
        <v>44095</v>
      </c>
      <c r="U17">
        <v>9358</v>
      </c>
      <c r="V17">
        <v>119</v>
      </c>
      <c r="W17" s="16">
        <v>44096</v>
      </c>
      <c r="X17">
        <v>9464</v>
      </c>
      <c r="Y17">
        <v>105</v>
      </c>
      <c r="Z17" s="16">
        <v>44097</v>
      </c>
      <c r="AA17">
        <v>9583</v>
      </c>
      <c r="AB17">
        <v>118</v>
      </c>
      <c r="AC17" s="16">
        <v>44098</v>
      </c>
      <c r="AD17">
        <v>9680</v>
      </c>
      <c r="AE17">
        <v>98</v>
      </c>
      <c r="AF17" s="16">
        <v>44099</v>
      </c>
      <c r="AG17">
        <v>9807</v>
      </c>
      <c r="AH17">
        <v>127</v>
      </c>
      <c r="AI17" s="16">
        <v>44100</v>
      </c>
      <c r="AJ17">
        <v>9881</v>
      </c>
      <c r="AK17">
        <v>74</v>
      </c>
      <c r="AL17" s="16">
        <v>44101</v>
      </c>
      <c r="AM17">
        <v>9951</v>
      </c>
      <c r="AN17">
        <v>71</v>
      </c>
      <c r="AO17" s="16">
        <v>44102</v>
      </c>
      <c r="AP17">
        <v>10073</v>
      </c>
      <c r="AQ17">
        <v>122</v>
      </c>
      <c r="AR17" s="16">
        <v>44103</v>
      </c>
      <c r="AS17">
        <v>10207</v>
      </c>
      <c r="AT17">
        <v>135</v>
      </c>
      <c r="AU17" s="16">
        <v>44104</v>
      </c>
      <c r="AV17">
        <v>10371</v>
      </c>
      <c r="AW17">
        <v>165</v>
      </c>
      <c r="AX17" s="16">
        <v>44105</v>
      </c>
      <c r="AY17">
        <v>10558</v>
      </c>
      <c r="AZ17">
        <v>188</v>
      </c>
      <c r="BA17" s="16">
        <v>44106</v>
      </c>
      <c r="BB17">
        <v>10745</v>
      </c>
      <c r="BC17">
        <v>187</v>
      </c>
      <c r="BD17" s="16">
        <v>44107</v>
      </c>
      <c r="BE17">
        <v>10914</v>
      </c>
      <c r="BF17">
        <v>169</v>
      </c>
      <c r="BG17" s="16">
        <v>44108</v>
      </c>
      <c r="BH17">
        <v>11060</v>
      </c>
      <c r="BI17">
        <v>147</v>
      </c>
      <c r="BJ17" s="16">
        <v>44109</v>
      </c>
      <c r="BK17">
        <v>11351</v>
      </c>
      <c r="BL17">
        <v>289</v>
      </c>
      <c r="BM17" s="16">
        <v>44110</v>
      </c>
      <c r="BN17">
        <v>11651</v>
      </c>
      <c r="BO17">
        <v>299</v>
      </c>
      <c r="BP17" s="16">
        <v>44111</v>
      </c>
      <c r="BQ17">
        <v>11956</v>
      </c>
      <c r="BR17">
        <v>306</v>
      </c>
      <c r="BS17" s="16">
        <v>44112</v>
      </c>
      <c r="BT17">
        <v>12217</v>
      </c>
      <c r="BU17">
        <v>260</v>
      </c>
      <c r="BV17" s="16">
        <v>44114</v>
      </c>
      <c r="BW17">
        <v>12552</v>
      </c>
      <c r="BX17">
        <v>109</v>
      </c>
      <c r="BY17" s="16">
        <v>44115</v>
      </c>
      <c r="BZ17">
        <v>12684</v>
      </c>
      <c r="CA17">
        <v>130</v>
      </c>
      <c r="CB17" s="16">
        <v>44116</v>
      </c>
      <c r="CC17">
        <v>12940</v>
      </c>
      <c r="CD17">
        <v>253</v>
      </c>
      <c r="CE17" s="16">
        <v>44117</v>
      </c>
      <c r="CF17">
        <v>13145</v>
      </c>
      <c r="CG17">
        <v>197</v>
      </c>
      <c r="CH17" s="16">
        <v>44118</v>
      </c>
      <c r="CI17">
        <v>13346</v>
      </c>
      <c r="CJ17">
        <v>200</v>
      </c>
      <c r="CK17" s="16">
        <v>44119</v>
      </c>
      <c r="CL17">
        <v>13536</v>
      </c>
      <c r="CM17">
        <v>190</v>
      </c>
      <c r="CN17" s="16">
        <v>44120</v>
      </c>
      <c r="CO17">
        <v>13728</v>
      </c>
      <c r="CP17">
        <v>192</v>
      </c>
      <c r="CQ17" s="16">
        <v>44121</v>
      </c>
      <c r="CR17">
        <v>13828</v>
      </c>
      <c r="CS17">
        <v>100</v>
      </c>
      <c r="CT17" s="16">
        <v>44122</v>
      </c>
      <c r="CU17">
        <v>13959</v>
      </c>
      <c r="CV17">
        <v>127</v>
      </c>
      <c r="CW17" s="16">
        <v>44123</v>
      </c>
      <c r="CX17">
        <v>14205</v>
      </c>
      <c r="CY17">
        <v>244</v>
      </c>
      <c r="CZ17" s="16">
        <v>44125</v>
      </c>
      <c r="DA17">
        <v>14555</v>
      </c>
      <c r="DB17">
        <v>189</v>
      </c>
      <c r="DC17" s="16">
        <v>44126</v>
      </c>
      <c r="DD17">
        <v>14767</v>
      </c>
      <c r="DE17">
        <v>213</v>
      </c>
      <c r="DF17" s="16">
        <v>44127</v>
      </c>
      <c r="DG17">
        <v>14961</v>
      </c>
      <c r="DH17">
        <v>192</v>
      </c>
      <c r="DI17" s="16">
        <v>44128</v>
      </c>
      <c r="DJ17">
        <v>15070</v>
      </c>
      <c r="DK17">
        <v>108</v>
      </c>
      <c r="DL17" s="16">
        <v>44129</v>
      </c>
      <c r="DM17">
        <v>15198</v>
      </c>
      <c r="DN17">
        <v>123</v>
      </c>
      <c r="DO17" s="16">
        <v>44130</v>
      </c>
      <c r="DP17">
        <v>15454</v>
      </c>
      <c r="DQ17">
        <v>256</v>
      </c>
      <c r="DR17" s="16">
        <v>44131</v>
      </c>
      <c r="DS17">
        <v>15685</v>
      </c>
      <c r="DT17">
        <v>230</v>
      </c>
      <c r="DU17" s="16">
        <v>44132</v>
      </c>
      <c r="DV17">
        <v>15927</v>
      </c>
      <c r="DW17">
        <v>240</v>
      </c>
      <c r="DX17" s="16">
        <v>44133</v>
      </c>
      <c r="DY17">
        <v>16164</v>
      </c>
      <c r="DZ17">
        <v>237</v>
      </c>
      <c r="EA17" s="16">
        <v>44134</v>
      </c>
      <c r="EB17">
        <v>16383</v>
      </c>
      <c r="EC17">
        <v>219</v>
      </c>
      <c r="ED17" s="16">
        <v>44135</v>
      </c>
      <c r="EE17">
        <v>16496</v>
      </c>
      <c r="EF17">
        <v>121</v>
      </c>
      <c r="EG17" s="16">
        <v>44136</v>
      </c>
      <c r="EH17">
        <v>16646</v>
      </c>
      <c r="EI17">
        <v>150</v>
      </c>
      <c r="EJ17" s="16">
        <v>44137</v>
      </c>
      <c r="EK17">
        <v>16927</v>
      </c>
      <c r="EL17">
        <v>281</v>
      </c>
      <c r="EM17" s="16">
        <v>44138</v>
      </c>
      <c r="EN17">
        <v>17168</v>
      </c>
      <c r="EO17">
        <v>241</v>
      </c>
      <c r="EP17" s="16">
        <v>44139</v>
      </c>
      <c r="EQ17">
        <v>17378</v>
      </c>
      <c r="ER17">
        <v>210</v>
      </c>
      <c r="ES17" s="16">
        <v>44140</v>
      </c>
      <c r="ET17">
        <v>17600</v>
      </c>
      <c r="EU17">
        <v>221</v>
      </c>
      <c r="EV17" s="16">
        <v>44141</v>
      </c>
      <c r="EW17">
        <v>17794</v>
      </c>
      <c r="EX17">
        <v>194</v>
      </c>
      <c r="EY17" s="16">
        <v>44142</v>
      </c>
      <c r="EZ17">
        <v>17922</v>
      </c>
      <c r="FA17">
        <v>128</v>
      </c>
      <c r="FB17" s="16">
        <v>44143</v>
      </c>
      <c r="FC17">
        <v>18054</v>
      </c>
      <c r="FD17">
        <v>133</v>
      </c>
      <c r="FE17" s="16">
        <v>44144</v>
      </c>
      <c r="FF17">
        <v>18277</v>
      </c>
      <c r="FG17">
        <v>276</v>
      </c>
      <c r="FH17" s="16">
        <v>44145</v>
      </c>
      <c r="FI17">
        <v>18543</v>
      </c>
      <c r="FJ17">
        <v>205</v>
      </c>
      <c r="FK17" s="16">
        <v>44146</v>
      </c>
      <c r="FL17">
        <v>18846</v>
      </c>
      <c r="FM17">
        <v>292</v>
      </c>
      <c r="FN17" s="16">
        <v>44147</v>
      </c>
      <c r="FO17">
        <v>19128</v>
      </c>
      <c r="FP17">
        <v>282</v>
      </c>
      <c r="FQ17" s="16">
        <v>44148</v>
      </c>
      <c r="FR17">
        <v>19392</v>
      </c>
      <c r="FS17">
        <v>264</v>
      </c>
      <c r="FT17" s="16">
        <v>44149</v>
      </c>
      <c r="FU17">
        <v>19557</v>
      </c>
      <c r="FV17">
        <v>145</v>
      </c>
      <c r="FW17" s="16">
        <v>44150</v>
      </c>
      <c r="FX17">
        <v>19740</v>
      </c>
      <c r="FY17">
        <v>181</v>
      </c>
      <c r="FZ17" s="16">
        <v>44151</v>
      </c>
      <c r="GA17">
        <v>20138</v>
      </c>
      <c r="GB17">
        <v>393</v>
      </c>
      <c r="GC17" s="16">
        <v>44152</v>
      </c>
      <c r="GD17">
        <v>20529</v>
      </c>
      <c r="GE17">
        <v>392</v>
      </c>
      <c r="GF17" s="16">
        <v>44153</v>
      </c>
      <c r="GG17">
        <v>20902</v>
      </c>
      <c r="GH17">
        <v>372</v>
      </c>
      <c r="GI17" s="16">
        <v>44154</v>
      </c>
      <c r="GJ17">
        <v>21382</v>
      </c>
      <c r="GK17">
        <v>480</v>
      </c>
      <c r="GL17" s="16">
        <v>44155</v>
      </c>
      <c r="GM17">
        <v>21814</v>
      </c>
      <c r="GN17">
        <v>432</v>
      </c>
      <c r="GO17" s="16">
        <v>44156</v>
      </c>
      <c r="GP17">
        <v>22083</v>
      </c>
      <c r="GQ17">
        <v>269</v>
      </c>
      <c r="GR17" s="16">
        <v>44157</v>
      </c>
      <c r="GS17">
        <v>22348</v>
      </c>
      <c r="GT17">
        <v>263</v>
      </c>
      <c r="GU17" s="16">
        <v>44158</v>
      </c>
      <c r="GV17">
        <v>22847</v>
      </c>
      <c r="GW17">
        <v>505</v>
      </c>
      <c r="GX17" s="16">
        <v>44159</v>
      </c>
      <c r="GY17">
        <v>23320</v>
      </c>
      <c r="GZ17">
        <v>468</v>
      </c>
      <c r="HA17" s="16">
        <v>44160</v>
      </c>
      <c r="HB17">
        <v>23937</v>
      </c>
      <c r="HC17">
        <v>615</v>
      </c>
      <c r="HD17" s="16">
        <v>44161</v>
      </c>
      <c r="HE17">
        <v>24447</v>
      </c>
      <c r="HF17">
        <v>511</v>
      </c>
      <c r="HG17" s="16">
        <v>44162</v>
      </c>
      <c r="HH17">
        <v>24899</v>
      </c>
      <c r="HI17">
        <v>456</v>
      </c>
      <c r="HJ17" s="16">
        <v>44163</v>
      </c>
      <c r="HK17">
        <v>25181</v>
      </c>
      <c r="HL17">
        <v>283</v>
      </c>
      <c r="HM17" s="16">
        <v>44164</v>
      </c>
      <c r="HN17">
        <v>25472</v>
      </c>
      <c r="HO17">
        <v>293</v>
      </c>
      <c r="HP17" s="16">
        <v>44165</v>
      </c>
      <c r="HQ17">
        <v>26076</v>
      </c>
      <c r="HR17">
        <v>597</v>
      </c>
      <c r="HS17" s="16">
        <v>44166</v>
      </c>
      <c r="HT17">
        <v>26513</v>
      </c>
      <c r="HU17">
        <v>440</v>
      </c>
      <c r="HV17" s="16">
        <v>44167</v>
      </c>
      <c r="HW17">
        <v>27008</v>
      </c>
      <c r="HX17">
        <v>494</v>
      </c>
      <c r="HY17" s="16">
        <v>44168</v>
      </c>
      <c r="HZ17">
        <v>27484</v>
      </c>
      <c r="IA17">
        <v>477</v>
      </c>
      <c r="IB17" s="16">
        <v>44169</v>
      </c>
      <c r="IC17">
        <v>27955</v>
      </c>
      <c r="ID17">
        <v>472</v>
      </c>
      <c r="IE17" s="16">
        <v>44170</v>
      </c>
      <c r="IF17">
        <v>28206</v>
      </c>
      <c r="IG17">
        <v>249</v>
      </c>
      <c r="IH17" s="16">
        <v>44171</v>
      </c>
      <c r="II17">
        <v>28487</v>
      </c>
      <c r="IJ17">
        <v>282</v>
      </c>
      <c r="IK17" s="16">
        <v>44172</v>
      </c>
      <c r="IL17">
        <v>29075</v>
      </c>
      <c r="IM17">
        <v>587</v>
      </c>
      <c r="IN17" s="16">
        <v>44173</v>
      </c>
      <c r="IO17">
        <v>29551</v>
      </c>
      <c r="IP17">
        <v>476</v>
      </c>
      <c r="IQ17" s="16">
        <v>44174</v>
      </c>
      <c r="IR17">
        <v>30013</v>
      </c>
      <c r="IS17">
        <v>462</v>
      </c>
      <c r="IT17" s="16">
        <v>44175</v>
      </c>
      <c r="IU17">
        <v>30421</v>
      </c>
      <c r="IV17">
        <v>408</v>
      </c>
      <c r="IW17" s="16">
        <v>44176</v>
      </c>
      <c r="IX17">
        <v>30864</v>
      </c>
      <c r="IY17">
        <v>443</v>
      </c>
      <c r="IZ17" s="16">
        <v>44177</v>
      </c>
      <c r="JA17">
        <v>31118</v>
      </c>
      <c r="JB17">
        <v>250</v>
      </c>
      <c r="JC17" s="16">
        <v>44181</v>
      </c>
      <c r="JD17">
        <v>32572</v>
      </c>
      <c r="JE17">
        <v>348</v>
      </c>
      <c r="JF17" s="16">
        <v>44185</v>
      </c>
      <c r="JG17">
        <v>33720</v>
      </c>
      <c r="JH17">
        <v>245</v>
      </c>
      <c r="JI17" s="16">
        <v>44186</v>
      </c>
      <c r="JJ17">
        <v>34135</v>
      </c>
      <c r="JK17">
        <v>374</v>
      </c>
      <c r="JL17" s="16">
        <v>44187</v>
      </c>
      <c r="JM17">
        <v>34458</v>
      </c>
      <c r="JN17">
        <v>331</v>
      </c>
      <c r="JO17" s="16">
        <v>44188</v>
      </c>
      <c r="JP17">
        <v>34728</v>
      </c>
      <c r="JQ17">
        <v>278</v>
      </c>
      <c r="JR17" s="16">
        <v>44190</v>
      </c>
      <c r="JS17">
        <v>35028</v>
      </c>
      <c r="JT17">
        <v>157</v>
      </c>
      <c r="JU17" s="16">
        <v>44190</v>
      </c>
      <c r="JV17">
        <v>35029</v>
      </c>
      <c r="JW17">
        <v>157</v>
      </c>
      <c r="JX17" s="16">
        <v>44192</v>
      </c>
      <c r="JY17">
        <v>35395</v>
      </c>
      <c r="JZ17">
        <v>188</v>
      </c>
      <c r="KA17" s="16">
        <v>44204</v>
      </c>
      <c r="KB17">
        <v>38597</v>
      </c>
      <c r="KC17">
        <v>251</v>
      </c>
      <c r="KD17" s="16">
        <v>44204</v>
      </c>
      <c r="KE17">
        <v>38605</v>
      </c>
      <c r="KF17">
        <v>251</v>
      </c>
      <c r="KG17" s="16">
        <v>44205</v>
      </c>
      <c r="KH17">
        <v>38790</v>
      </c>
      <c r="KI17">
        <v>193</v>
      </c>
      <c r="KJ17" s="16">
        <v>44207</v>
      </c>
      <c r="KK17">
        <v>39361</v>
      </c>
      <c r="KL17">
        <v>387</v>
      </c>
      <c r="KM17" s="16">
        <v>44208</v>
      </c>
      <c r="KN17">
        <v>39593</v>
      </c>
      <c r="KO17">
        <v>226</v>
      </c>
      <c r="KP17" s="16">
        <v>44212</v>
      </c>
      <c r="KQ17">
        <v>40535</v>
      </c>
      <c r="KR17">
        <v>169</v>
      </c>
      <c r="KS17" s="16">
        <v>44213</v>
      </c>
      <c r="KT17">
        <v>40733</v>
      </c>
      <c r="KU17">
        <v>194</v>
      </c>
      <c r="KV17" s="16">
        <v>44214</v>
      </c>
      <c r="KW17">
        <v>41180</v>
      </c>
      <c r="KX17">
        <v>447</v>
      </c>
      <c r="KY17" s="16">
        <v>44216</v>
      </c>
      <c r="KZ17">
        <v>41923</v>
      </c>
      <c r="LA17">
        <v>398</v>
      </c>
      <c r="LB17" s="16">
        <v>44217</v>
      </c>
      <c r="LC17">
        <v>42313</v>
      </c>
      <c r="LD17">
        <v>375</v>
      </c>
      <c r="LE17" s="16">
        <v>44218</v>
      </c>
      <c r="LF17">
        <v>42673</v>
      </c>
      <c r="LG17">
        <v>360</v>
      </c>
      <c r="LH17" s="16">
        <v>44220</v>
      </c>
      <c r="LI17">
        <v>43052</v>
      </c>
      <c r="LJ17">
        <v>244</v>
      </c>
      <c r="LK17" s="16">
        <v>44220</v>
      </c>
      <c r="LL17">
        <v>43053</v>
      </c>
      <c r="LM17">
        <v>244</v>
      </c>
      <c r="LN17" s="16">
        <v>44222</v>
      </c>
      <c r="LO17">
        <v>44078</v>
      </c>
      <c r="LP17">
        <v>398</v>
      </c>
      <c r="LQ17" s="16">
        <v>44223</v>
      </c>
      <c r="LR17">
        <v>44458</v>
      </c>
      <c r="LS17">
        <v>383</v>
      </c>
      <c r="LT17" s="16">
        <v>44224</v>
      </c>
      <c r="LU17">
        <v>44894</v>
      </c>
      <c r="LV17">
        <v>435</v>
      </c>
      <c r="LW17" s="16">
        <v>44225</v>
      </c>
      <c r="LX17">
        <v>45280</v>
      </c>
      <c r="LY17">
        <v>375</v>
      </c>
      <c r="LZ17" s="16">
        <v>44226</v>
      </c>
      <c r="MA17">
        <v>45503</v>
      </c>
      <c r="MB17">
        <v>232</v>
      </c>
      <c r="MC17" s="16">
        <v>44227</v>
      </c>
      <c r="MD17">
        <v>45786</v>
      </c>
      <c r="ME17">
        <v>272</v>
      </c>
      <c r="MF17" s="16">
        <v>44229</v>
      </c>
      <c r="MG17">
        <v>46712</v>
      </c>
      <c r="MH17">
        <v>395</v>
      </c>
      <c r="MI17" s="16">
        <v>44229</v>
      </c>
      <c r="MJ17">
        <v>46713</v>
      </c>
      <c r="MK17">
        <v>395</v>
      </c>
      <c r="ML17" s="16">
        <v>44230</v>
      </c>
      <c r="MM17">
        <v>47150</v>
      </c>
      <c r="MN17">
        <v>439</v>
      </c>
      <c r="MO17" s="16">
        <v>44231</v>
      </c>
      <c r="MP17">
        <v>47519</v>
      </c>
      <c r="MQ17">
        <v>370</v>
      </c>
      <c r="MR17" s="16">
        <v>44232</v>
      </c>
      <c r="MS17">
        <v>47888</v>
      </c>
      <c r="MT17">
        <v>366</v>
      </c>
      <c r="MU17" s="16">
        <v>44233</v>
      </c>
      <c r="MV17">
        <v>48127</v>
      </c>
      <c r="MW17">
        <v>240</v>
      </c>
      <c r="MX17" s="16">
        <v>44234</v>
      </c>
      <c r="MY17">
        <v>48388</v>
      </c>
      <c r="MZ17">
        <v>261</v>
      </c>
      <c r="NA17" s="16">
        <v>44234</v>
      </c>
      <c r="NB17">
        <v>48389</v>
      </c>
      <c r="NC17">
        <v>261</v>
      </c>
      <c r="ND17" s="16">
        <v>44237</v>
      </c>
      <c r="NE17">
        <v>49604</v>
      </c>
      <c r="NF17">
        <v>382</v>
      </c>
      <c r="NG17" s="16">
        <v>44237</v>
      </c>
      <c r="NH17">
        <v>49602</v>
      </c>
      <c r="NI17">
        <v>382</v>
      </c>
      <c r="NJ17" s="16">
        <v>44239</v>
      </c>
      <c r="NK17">
        <v>50376</v>
      </c>
      <c r="NL17">
        <v>417</v>
      </c>
      <c r="NM17" s="16">
        <v>44239</v>
      </c>
      <c r="NN17">
        <v>50377</v>
      </c>
      <c r="NO17">
        <v>417</v>
      </c>
      <c r="NP17" s="16">
        <v>44241</v>
      </c>
      <c r="NQ17">
        <v>50932</v>
      </c>
      <c r="NR17">
        <v>280</v>
      </c>
      <c r="NS17" s="16">
        <v>44242</v>
      </c>
      <c r="NT17">
        <v>51545</v>
      </c>
      <c r="NU17">
        <v>613</v>
      </c>
      <c r="NV17" s="16">
        <v>44243</v>
      </c>
      <c r="NW17">
        <v>52059</v>
      </c>
      <c r="NX17">
        <v>514</v>
      </c>
      <c r="NY17" s="16">
        <v>44244</v>
      </c>
      <c r="NZ17">
        <v>52610</v>
      </c>
      <c r="OA17">
        <v>548</v>
      </c>
      <c r="OB17" s="16">
        <v>44245</v>
      </c>
      <c r="OC17">
        <v>53225</v>
      </c>
      <c r="OD17">
        <v>609</v>
      </c>
      <c r="OE17" s="16">
        <v>44246</v>
      </c>
      <c r="OF17">
        <v>53798</v>
      </c>
      <c r="OG17">
        <v>572</v>
      </c>
      <c r="OH17" s="16">
        <v>44247</v>
      </c>
      <c r="OI17">
        <v>54111</v>
      </c>
      <c r="OJ17">
        <v>317</v>
      </c>
      <c r="OK17" s="16">
        <v>44248</v>
      </c>
      <c r="OL17">
        <v>54467</v>
      </c>
      <c r="OM17">
        <v>355</v>
      </c>
      <c r="ON17" s="16">
        <v>44249</v>
      </c>
      <c r="OO17">
        <v>55090</v>
      </c>
      <c r="OP17">
        <v>622</v>
      </c>
      <c r="OQ17" s="16">
        <v>44250</v>
      </c>
      <c r="OR17">
        <v>55716</v>
      </c>
      <c r="OS17">
        <v>624</v>
      </c>
      <c r="OT17" s="16">
        <v>44251</v>
      </c>
      <c r="OU17">
        <v>56315</v>
      </c>
      <c r="OV17">
        <v>599</v>
      </c>
      <c r="OW17" s="16">
        <v>44252</v>
      </c>
      <c r="OX17">
        <v>56933</v>
      </c>
      <c r="OY17">
        <v>618</v>
      </c>
      <c r="OZ17" s="16">
        <v>44253</v>
      </c>
      <c r="PA17">
        <v>57625</v>
      </c>
      <c r="PB17">
        <v>691</v>
      </c>
      <c r="PC17" s="16">
        <v>44254</v>
      </c>
      <c r="PD17">
        <v>58027</v>
      </c>
      <c r="PE17">
        <v>400</v>
      </c>
      <c r="PF17" s="16">
        <v>44255</v>
      </c>
      <c r="PG17">
        <v>58446</v>
      </c>
      <c r="PH17">
        <v>420</v>
      </c>
      <c r="PI17" s="16">
        <v>44256</v>
      </c>
      <c r="PJ17">
        <v>59320</v>
      </c>
      <c r="PK17">
        <v>869</v>
      </c>
      <c r="PL17" s="16">
        <v>44257</v>
      </c>
      <c r="PM17">
        <v>60077</v>
      </c>
      <c r="PN17">
        <v>758</v>
      </c>
      <c r="PO17" s="16">
        <v>44258</v>
      </c>
      <c r="PP17">
        <v>60813</v>
      </c>
      <c r="PQ17">
        <v>735</v>
      </c>
      <c r="PR17" s="16">
        <v>44259</v>
      </c>
      <c r="PS17">
        <v>61448</v>
      </c>
      <c r="PT17">
        <v>635</v>
      </c>
      <c r="PU17" s="16">
        <v>44260</v>
      </c>
      <c r="PV17">
        <v>62056</v>
      </c>
      <c r="PW17">
        <v>608</v>
      </c>
      <c r="PX17" s="16">
        <v>44261</v>
      </c>
      <c r="PY17">
        <v>62506</v>
      </c>
      <c r="PZ17">
        <v>433</v>
      </c>
      <c r="QA17" s="16">
        <v>44262</v>
      </c>
      <c r="QB17">
        <v>62907</v>
      </c>
      <c r="QC17">
        <v>398</v>
      </c>
      <c r="QD17" s="16">
        <v>44263</v>
      </c>
      <c r="QE17">
        <v>63742</v>
      </c>
      <c r="QF17">
        <v>833</v>
      </c>
      <c r="QG17" s="16">
        <v>44264</v>
      </c>
      <c r="QH17">
        <v>64513</v>
      </c>
      <c r="QI17">
        <v>773</v>
      </c>
      <c r="QJ17" s="16">
        <v>44265</v>
      </c>
      <c r="QK17">
        <v>65331</v>
      </c>
      <c r="QL17">
        <v>814</v>
      </c>
      <c r="QM17" s="16">
        <v>44266</v>
      </c>
      <c r="QN17">
        <v>66105</v>
      </c>
      <c r="QO17">
        <v>774</v>
      </c>
      <c r="QP17" s="16">
        <v>44267</v>
      </c>
      <c r="QQ17">
        <v>66912</v>
      </c>
      <c r="QR17">
        <v>807</v>
      </c>
      <c r="QS17" s="16">
        <v>44268</v>
      </c>
      <c r="QT17">
        <v>67411</v>
      </c>
      <c r="QU17">
        <v>493</v>
      </c>
      <c r="QV17" s="16">
        <v>44269</v>
      </c>
      <c r="QW17">
        <v>67846</v>
      </c>
      <c r="QX17">
        <v>435</v>
      </c>
      <c r="QY17" s="16">
        <v>44270</v>
      </c>
      <c r="QZ17">
        <v>68736</v>
      </c>
      <c r="RA17">
        <v>891</v>
      </c>
      <c r="RB17" s="16">
        <v>44271</v>
      </c>
      <c r="RC17">
        <v>69501</v>
      </c>
      <c r="RD17">
        <v>763</v>
      </c>
      <c r="RE17" s="16">
        <v>44272</v>
      </c>
      <c r="RF17">
        <v>70241</v>
      </c>
      <c r="RG17">
        <v>743</v>
      </c>
      <c r="RH17" s="16">
        <v>44273</v>
      </c>
      <c r="RI17">
        <v>70976</v>
      </c>
      <c r="RJ17">
        <v>736</v>
      </c>
      <c r="RK17" s="16">
        <v>44274</v>
      </c>
      <c r="RL17">
        <v>71717</v>
      </c>
      <c r="RM17">
        <v>743</v>
      </c>
      <c r="RN17" s="16">
        <v>44276</v>
      </c>
      <c r="RO17">
        <v>72534</v>
      </c>
      <c r="RP17">
        <v>417</v>
      </c>
      <c r="RQ17" s="16">
        <v>44277</v>
      </c>
      <c r="RR17">
        <v>73302</v>
      </c>
      <c r="RS17">
        <v>766</v>
      </c>
      <c r="RT17">
        <v>44278</v>
      </c>
      <c r="RU17">
        <v>74000</v>
      </c>
      <c r="RV17">
        <v>697</v>
      </c>
      <c r="RW17">
        <v>44279</v>
      </c>
      <c r="RX17">
        <v>74698</v>
      </c>
      <c r="RY17">
        <v>693</v>
      </c>
      <c r="RZ17">
        <v>44280</v>
      </c>
      <c r="SA17">
        <v>75305</v>
      </c>
      <c r="SB17">
        <v>606</v>
      </c>
      <c r="SC17">
        <v>44281</v>
      </c>
      <c r="SD17">
        <v>75990</v>
      </c>
      <c r="SE17">
        <v>685</v>
      </c>
      <c r="SF17">
        <v>44282</v>
      </c>
      <c r="SG17">
        <v>76343</v>
      </c>
      <c r="SH17">
        <v>350</v>
      </c>
      <c r="SI17">
        <v>44283</v>
      </c>
      <c r="SJ17">
        <v>76713</v>
      </c>
      <c r="SK17">
        <v>369</v>
      </c>
      <c r="SL17">
        <v>44285</v>
      </c>
      <c r="SM17">
        <v>77934</v>
      </c>
      <c r="SN17">
        <v>566</v>
      </c>
      <c r="SO17">
        <v>44286</v>
      </c>
      <c r="SP17">
        <v>78501</v>
      </c>
      <c r="SQ17">
        <v>549</v>
      </c>
      <c r="SR17">
        <v>44287</v>
      </c>
      <c r="SS17">
        <v>78992</v>
      </c>
      <c r="ST17">
        <v>488</v>
      </c>
      <c r="SU17">
        <v>44288</v>
      </c>
      <c r="SV17">
        <v>79353</v>
      </c>
      <c r="SW17">
        <v>361</v>
      </c>
      <c r="SX17">
        <v>44290</v>
      </c>
      <c r="SY17">
        <v>79991</v>
      </c>
      <c r="SZ17">
        <v>319</v>
      </c>
      <c r="TA17">
        <v>44291</v>
      </c>
      <c r="TB17">
        <v>80356</v>
      </c>
      <c r="TC17">
        <v>359</v>
      </c>
      <c r="TD17">
        <v>44293</v>
      </c>
      <c r="TE17">
        <v>81323</v>
      </c>
      <c r="TF17">
        <v>425</v>
      </c>
      <c r="TG17">
        <v>44294</v>
      </c>
      <c r="TH17">
        <v>81730</v>
      </c>
      <c r="TI17">
        <v>403</v>
      </c>
      <c r="TJ17">
        <v>44295</v>
      </c>
      <c r="TK17">
        <v>82080</v>
      </c>
      <c r="TL17">
        <v>348</v>
      </c>
      <c r="TM17">
        <v>44296</v>
      </c>
      <c r="TN17">
        <v>82304</v>
      </c>
      <c r="TO17">
        <v>224</v>
      </c>
      <c r="TP17">
        <v>44298</v>
      </c>
      <c r="TQ17">
        <v>82944</v>
      </c>
      <c r="TR17">
        <v>397</v>
      </c>
      <c r="TS17">
        <v>44299</v>
      </c>
      <c r="TT17">
        <v>83272</v>
      </c>
      <c r="TU17">
        <v>325</v>
      </c>
      <c r="TV17">
        <v>44299</v>
      </c>
      <c r="TW17">
        <v>83278</v>
      </c>
      <c r="TX17">
        <v>325</v>
      </c>
      <c r="TY17">
        <v>44300</v>
      </c>
      <c r="TZ17">
        <v>83623</v>
      </c>
      <c r="UA17">
        <v>345</v>
      </c>
      <c r="UB17">
        <v>44302</v>
      </c>
      <c r="UC17">
        <v>84162</v>
      </c>
      <c r="UD17">
        <v>264</v>
      </c>
      <c r="UE17">
        <v>44302</v>
      </c>
      <c r="UF17">
        <v>84163</v>
      </c>
      <c r="UG17">
        <v>264</v>
      </c>
      <c r="UH17">
        <v>44303</v>
      </c>
      <c r="UI17">
        <v>84335</v>
      </c>
      <c r="UJ17">
        <v>170</v>
      </c>
      <c r="UK17">
        <v>44304</v>
      </c>
      <c r="UL17">
        <v>84491</v>
      </c>
      <c r="UM17">
        <v>155</v>
      </c>
      <c r="UN17">
        <v>44308</v>
      </c>
      <c r="UO17">
        <v>85568</v>
      </c>
      <c r="UP17">
        <v>260</v>
      </c>
      <c r="UQ17">
        <v>44309</v>
      </c>
      <c r="UR17">
        <v>85828</v>
      </c>
      <c r="US17">
        <v>257</v>
      </c>
      <c r="UT17">
        <v>44310</v>
      </c>
      <c r="UU17">
        <v>85978</v>
      </c>
      <c r="UV17">
        <v>154</v>
      </c>
      <c r="UW17">
        <v>44311</v>
      </c>
      <c r="UX17">
        <v>86118</v>
      </c>
      <c r="UY17">
        <v>141</v>
      </c>
      <c r="UZ17">
        <v>44313</v>
      </c>
      <c r="VA17">
        <v>86591</v>
      </c>
      <c r="VB17">
        <v>228</v>
      </c>
      <c r="VC17">
        <v>44313</v>
      </c>
      <c r="VD17">
        <v>86586</v>
      </c>
      <c r="VE17">
        <v>228</v>
      </c>
      <c r="VF17">
        <v>44314</v>
      </c>
      <c r="VG17">
        <v>86861</v>
      </c>
      <c r="VH17">
        <v>273</v>
      </c>
      <c r="VI17">
        <v>44316</v>
      </c>
      <c r="VJ17">
        <v>87256</v>
      </c>
      <c r="VK17">
        <v>195</v>
      </c>
      <c r="VL17">
        <v>44316</v>
      </c>
      <c r="VM17">
        <v>87256</v>
      </c>
      <c r="VN17">
        <v>195</v>
      </c>
      <c r="VO17">
        <v>44317</v>
      </c>
      <c r="VP17">
        <v>87361</v>
      </c>
      <c r="VQ17">
        <v>105</v>
      </c>
      <c r="VR17">
        <v>44318</v>
      </c>
      <c r="VS17">
        <v>87496</v>
      </c>
      <c r="VT17">
        <v>135</v>
      </c>
      <c r="VU17">
        <v>44320</v>
      </c>
      <c r="VV17">
        <v>88022</v>
      </c>
      <c r="VW17">
        <v>205</v>
      </c>
      <c r="VX17">
        <v>44320</v>
      </c>
      <c r="VY17">
        <v>88026</v>
      </c>
      <c r="VZ17">
        <v>205</v>
      </c>
      <c r="WA17">
        <v>44321</v>
      </c>
      <c r="WB17">
        <v>88295</v>
      </c>
      <c r="WC17">
        <v>266</v>
      </c>
      <c r="WD17">
        <v>44322</v>
      </c>
      <c r="WE17">
        <v>88529</v>
      </c>
      <c r="WF17">
        <v>234</v>
      </c>
      <c r="WG17">
        <v>44323</v>
      </c>
      <c r="WH17">
        <v>88743</v>
      </c>
      <c r="WI17">
        <v>214</v>
      </c>
      <c r="WJ17">
        <v>44325</v>
      </c>
      <c r="WK17">
        <v>89002</v>
      </c>
      <c r="WL17">
        <v>129</v>
      </c>
      <c r="WM17">
        <v>44325</v>
      </c>
      <c r="WN17">
        <v>89004</v>
      </c>
      <c r="WO17">
        <v>129</v>
      </c>
      <c r="WP17">
        <v>44328</v>
      </c>
      <c r="WQ17">
        <v>89733</v>
      </c>
      <c r="WR17">
        <v>255</v>
      </c>
      <c r="WS17">
        <v>44329</v>
      </c>
      <c r="WT17">
        <v>89890</v>
      </c>
      <c r="WU17">
        <v>155</v>
      </c>
      <c r="WV17">
        <v>44330</v>
      </c>
      <c r="WW17">
        <v>90135</v>
      </c>
      <c r="WX17">
        <v>243</v>
      </c>
      <c r="WY17">
        <v>44331</v>
      </c>
      <c r="WZ17">
        <v>90298</v>
      </c>
      <c r="XA17">
        <v>160</v>
      </c>
      <c r="XB17">
        <v>44332</v>
      </c>
      <c r="XC17">
        <v>90432</v>
      </c>
      <c r="XD17">
        <v>133</v>
      </c>
      <c r="XE17">
        <v>44334</v>
      </c>
      <c r="XF17">
        <v>90933</v>
      </c>
      <c r="XG17">
        <v>216</v>
      </c>
      <c r="XH17">
        <v>44334</v>
      </c>
      <c r="XI17">
        <v>90940</v>
      </c>
      <c r="XJ17">
        <v>216</v>
      </c>
      <c r="XK17">
        <v>44335</v>
      </c>
      <c r="XL17">
        <v>91169</v>
      </c>
      <c r="XM17">
        <v>229</v>
      </c>
      <c r="XN17">
        <v>44336</v>
      </c>
      <c r="XO17">
        <v>91384</v>
      </c>
      <c r="XP17">
        <v>215</v>
      </c>
      <c r="XQ17">
        <v>44337</v>
      </c>
      <c r="XR17">
        <v>91554</v>
      </c>
      <c r="XS17">
        <v>170</v>
      </c>
      <c r="XT17">
        <v>44338</v>
      </c>
      <c r="XU17">
        <v>91665</v>
      </c>
      <c r="XV17">
        <v>107</v>
      </c>
      <c r="XW17">
        <v>44339</v>
      </c>
      <c r="XX17">
        <v>91760</v>
      </c>
      <c r="XY17">
        <v>92</v>
      </c>
      <c r="XZ17">
        <v>44340</v>
      </c>
      <c r="YA17">
        <v>91949</v>
      </c>
      <c r="YB17">
        <v>188</v>
      </c>
      <c r="YC17">
        <v>44342</v>
      </c>
      <c r="YD17">
        <v>92245</v>
      </c>
      <c r="YE17">
        <v>142</v>
      </c>
      <c r="YF17">
        <v>44343</v>
      </c>
      <c r="YG17">
        <v>92374</v>
      </c>
      <c r="YH17">
        <v>127</v>
      </c>
      <c r="YI17">
        <v>44344</v>
      </c>
      <c r="YJ17">
        <v>92512</v>
      </c>
      <c r="YK17">
        <v>136</v>
      </c>
      <c r="YL17">
        <v>44345</v>
      </c>
      <c r="YM17">
        <v>92576</v>
      </c>
      <c r="YN17">
        <v>64</v>
      </c>
      <c r="YO17">
        <v>44346</v>
      </c>
      <c r="YP17">
        <v>92659</v>
      </c>
      <c r="YQ17">
        <v>79</v>
      </c>
      <c r="YR17">
        <v>44347</v>
      </c>
      <c r="YS17">
        <v>92804</v>
      </c>
      <c r="YT17">
        <v>145</v>
      </c>
      <c r="YU17">
        <v>44348</v>
      </c>
      <c r="YV17">
        <v>92933</v>
      </c>
      <c r="YW17">
        <v>121</v>
      </c>
    </row>
    <row r="18" spans="2:673">
      <c r="B18" t="str">
        <f t="shared" ca="1" si="2"/>
        <v>2.6</v>
      </c>
      <c r="C18" s="4">
        <f t="shared" ca="1" si="0"/>
        <v>44349</v>
      </c>
      <c r="D18" s="11">
        <f t="shared" ca="1" si="1"/>
        <v>93051</v>
      </c>
      <c r="E18">
        <f t="shared" ca="1" si="3"/>
        <v>118</v>
      </c>
      <c r="F18" s="11">
        <f t="shared" ca="1" si="4"/>
        <v>0</v>
      </c>
      <c r="G18" s="11">
        <f t="shared" ca="1" si="5"/>
        <v>118</v>
      </c>
      <c r="K18" s="10">
        <f ca="1">SUM(E18:E24)</f>
        <v>691</v>
      </c>
      <c r="L18" s="10" t="str">
        <f ca="1">TEXT(K18/K11-1,"0 %")</f>
        <v>-15 %</v>
      </c>
      <c r="N18" s="16">
        <v>44349</v>
      </c>
      <c r="O18">
        <v>93051</v>
      </c>
      <c r="P18">
        <v>118</v>
      </c>
      <c r="Q18" s="16">
        <v>44349</v>
      </c>
      <c r="R18">
        <v>93051</v>
      </c>
      <c r="S18">
        <v>118</v>
      </c>
      <c r="T18" s="16">
        <v>44096</v>
      </c>
      <c r="U18">
        <v>9463</v>
      </c>
      <c r="V18">
        <v>105</v>
      </c>
      <c r="W18" s="16">
        <v>44097</v>
      </c>
      <c r="X18">
        <v>9582</v>
      </c>
      <c r="Y18">
        <v>118</v>
      </c>
      <c r="Z18" s="16">
        <v>44098</v>
      </c>
      <c r="AA18">
        <v>9681</v>
      </c>
      <c r="AB18">
        <v>98</v>
      </c>
      <c r="AC18" s="16">
        <v>44099</v>
      </c>
      <c r="AD18">
        <v>9807</v>
      </c>
      <c r="AE18">
        <v>127</v>
      </c>
      <c r="AF18" s="16">
        <v>44100</v>
      </c>
      <c r="AG18">
        <v>9880</v>
      </c>
      <c r="AH18">
        <v>73</v>
      </c>
      <c r="AI18" s="16">
        <v>44101</v>
      </c>
      <c r="AJ18">
        <v>9952</v>
      </c>
      <c r="AK18">
        <v>71</v>
      </c>
      <c r="AL18" s="16">
        <v>44102</v>
      </c>
      <c r="AM18">
        <v>10073</v>
      </c>
      <c r="AN18">
        <v>122</v>
      </c>
      <c r="AO18" s="16">
        <v>44103</v>
      </c>
      <c r="AP18">
        <v>10208</v>
      </c>
      <c r="AQ18">
        <v>135</v>
      </c>
      <c r="AR18" s="16">
        <v>44104</v>
      </c>
      <c r="AS18">
        <v>10373</v>
      </c>
      <c r="AT18">
        <v>166</v>
      </c>
      <c r="AU18" s="16">
        <v>44105</v>
      </c>
      <c r="AV18">
        <v>10559</v>
      </c>
      <c r="AW18">
        <v>188</v>
      </c>
      <c r="AX18" s="16">
        <v>44106</v>
      </c>
      <c r="AY18">
        <v>10745</v>
      </c>
      <c r="AZ18">
        <v>187</v>
      </c>
      <c r="BA18" s="16">
        <v>44107</v>
      </c>
      <c r="BB18">
        <v>10914</v>
      </c>
      <c r="BC18">
        <v>169</v>
      </c>
      <c r="BD18" s="16">
        <v>44108</v>
      </c>
      <c r="BE18">
        <v>11061</v>
      </c>
      <c r="BF18">
        <v>147</v>
      </c>
      <c r="BG18" s="16">
        <v>44109</v>
      </c>
      <c r="BH18">
        <v>11349</v>
      </c>
      <c r="BI18">
        <v>289</v>
      </c>
      <c r="BJ18" s="16">
        <v>44110</v>
      </c>
      <c r="BK18">
        <v>11650</v>
      </c>
      <c r="BL18">
        <v>299</v>
      </c>
      <c r="BM18" s="16">
        <v>44111</v>
      </c>
      <c r="BN18">
        <v>11957</v>
      </c>
      <c r="BO18">
        <v>306</v>
      </c>
      <c r="BP18" s="16">
        <v>44112</v>
      </c>
      <c r="BQ18">
        <v>12216</v>
      </c>
      <c r="BR18">
        <v>260</v>
      </c>
      <c r="BS18" s="16">
        <v>44113</v>
      </c>
      <c r="BT18">
        <v>12443</v>
      </c>
      <c r="BU18">
        <v>226</v>
      </c>
      <c r="BV18" s="16">
        <v>44115</v>
      </c>
      <c r="BW18">
        <v>12682</v>
      </c>
      <c r="BX18">
        <v>130</v>
      </c>
      <c r="BY18" s="16">
        <v>44116</v>
      </c>
      <c r="BZ18">
        <v>12936</v>
      </c>
      <c r="CA18">
        <v>252</v>
      </c>
      <c r="CB18" s="16">
        <v>44117</v>
      </c>
      <c r="CC18">
        <v>13137</v>
      </c>
      <c r="CD18">
        <v>197</v>
      </c>
      <c r="CE18" s="16">
        <v>44118</v>
      </c>
      <c r="CF18">
        <v>13345</v>
      </c>
      <c r="CG18">
        <v>200</v>
      </c>
      <c r="CH18" s="16">
        <v>44119</v>
      </c>
      <c r="CI18">
        <v>13536</v>
      </c>
      <c r="CJ18">
        <v>190</v>
      </c>
      <c r="CK18" s="16">
        <v>44120</v>
      </c>
      <c r="CL18">
        <v>13728</v>
      </c>
      <c r="CM18">
        <v>192</v>
      </c>
      <c r="CN18" s="16">
        <v>44121</v>
      </c>
      <c r="CO18">
        <v>13828</v>
      </c>
      <c r="CP18">
        <v>100</v>
      </c>
      <c r="CQ18" s="16">
        <v>44122</v>
      </c>
      <c r="CR18">
        <v>13955</v>
      </c>
      <c r="CS18">
        <v>127</v>
      </c>
      <c r="CT18" s="16">
        <v>44123</v>
      </c>
      <c r="CU18">
        <v>14203</v>
      </c>
      <c r="CV18">
        <v>244</v>
      </c>
      <c r="CW18" s="16">
        <v>44124</v>
      </c>
      <c r="CX18">
        <v>14368</v>
      </c>
      <c r="CY18">
        <v>163</v>
      </c>
      <c r="CZ18" s="16">
        <v>44126</v>
      </c>
      <c r="DA18">
        <v>14768</v>
      </c>
      <c r="DB18">
        <v>213</v>
      </c>
      <c r="DC18" s="16">
        <v>44127</v>
      </c>
      <c r="DD18">
        <v>14959</v>
      </c>
      <c r="DE18">
        <v>192</v>
      </c>
      <c r="DF18" s="16">
        <v>44128</v>
      </c>
      <c r="DG18">
        <v>15069</v>
      </c>
      <c r="DH18">
        <v>108</v>
      </c>
      <c r="DI18" s="16">
        <v>44129</v>
      </c>
      <c r="DJ18">
        <v>15193</v>
      </c>
      <c r="DK18">
        <v>123</v>
      </c>
      <c r="DL18" s="16">
        <v>44130</v>
      </c>
      <c r="DM18">
        <v>15453</v>
      </c>
      <c r="DN18">
        <v>255</v>
      </c>
      <c r="DO18" s="16">
        <v>44131</v>
      </c>
      <c r="DP18">
        <v>15684</v>
      </c>
      <c r="DQ18">
        <v>230</v>
      </c>
      <c r="DR18" s="16">
        <v>44132</v>
      </c>
      <c r="DS18">
        <v>15925</v>
      </c>
      <c r="DT18">
        <v>240</v>
      </c>
      <c r="DU18" s="16">
        <v>44133</v>
      </c>
      <c r="DV18">
        <v>16164</v>
      </c>
      <c r="DW18">
        <v>237</v>
      </c>
      <c r="DX18" s="16">
        <v>44134</v>
      </c>
      <c r="DY18">
        <v>16383</v>
      </c>
      <c r="DZ18">
        <v>219</v>
      </c>
      <c r="EA18" s="16">
        <v>44135</v>
      </c>
      <c r="EB18">
        <v>16504</v>
      </c>
      <c r="EC18">
        <v>121</v>
      </c>
      <c r="ED18" s="16">
        <v>44136</v>
      </c>
      <c r="EE18">
        <v>16646</v>
      </c>
      <c r="EF18">
        <v>150</v>
      </c>
      <c r="EG18" s="16">
        <v>44137</v>
      </c>
      <c r="EH18">
        <v>16927</v>
      </c>
      <c r="EI18">
        <v>281</v>
      </c>
      <c r="EJ18" s="16">
        <v>44138</v>
      </c>
      <c r="EK18">
        <v>17168</v>
      </c>
      <c r="EL18">
        <v>241</v>
      </c>
      <c r="EM18" s="16">
        <v>44139</v>
      </c>
      <c r="EN18">
        <v>17378</v>
      </c>
      <c r="EO18">
        <v>210</v>
      </c>
      <c r="EP18" s="16">
        <v>44140</v>
      </c>
      <c r="EQ18">
        <v>17598</v>
      </c>
      <c r="ER18">
        <v>220</v>
      </c>
      <c r="ES18" s="16">
        <v>44141</v>
      </c>
      <c r="ET18">
        <v>17794</v>
      </c>
      <c r="EU18">
        <v>194</v>
      </c>
      <c r="EV18" s="16">
        <v>44142</v>
      </c>
      <c r="EW18">
        <v>17922</v>
      </c>
      <c r="EX18">
        <v>128</v>
      </c>
      <c r="EY18" s="16">
        <v>44143</v>
      </c>
      <c r="EZ18">
        <v>18055</v>
      </c>
      <c r="FA18">
        <v>133</v>
      </c>
      <c r="FB18" s="16">
        <v>44144</v>
      </c>
      <c r="FC18">
        <v>18329</v>
      </c>
      <c r="FD18">
        <v>275</v>
      </c>
      <c r="FE18" s="16">
        <v>44145</v>
      </c>
      <c r="FF18">
        <v>18482</v>
      </c>
      <c r="FG18">
        <v>205</v>
      </c>
      <c r="FH18" s="16">
        <v>44146</v>
      </c>
      <c r="FI18">
        <v>18835</v>
      </c>
      <c r="FJ18">
        <v>292</v>
      </c>
      <c r="FK18" s="16">
        <v>44147</v>
      </c>
      <c r="FL18">
        <v>19128</v>
      </c>
      <c r="FM18">
        <v>282</v>
      </c>
      <c r="FN18" s="16">
        <v>44148</v>
      </c>
      <c r="FO18">
        <v>19392</v>
      </c>
      <c r="FP18">
        <v>264</v>
      </c>
      <c r="FQ18" s="16">
        <v>44149</v>
      </c>
      <c r="FR18">
        <v>19537</v>
      </c>
      <c r="FS18">
        <v>145</v>
      </c>
      <c r="FT18" s="16">
        <v>44150</v>
      </c>
      <c r="FU18">
        <v>19738</v>
      </c>
      <c r="FV18">
        <v>181</v>
      </c>
      <c r="FW18" s="16">
        <v>44151</v>
      </c>
      <c r="FX18">
        <v>20133</v>
      </c>
      <c r="FY18">
        <v>393</v>
      </c>
      <c r="FZ18" s="16">
        <v>44152</v>
      </c>
      <c r="GA18">
        <v>20530</v>
      </c>
      <c r="GB18">
        <v>392</v>
      </c>
      <c r="GC18" s="16">
        <v>44153</v>
      </c>
      <c r="GD18">
        <v>20901</v>
      </c>
      <c r="GE18">
        <v>372</v>
      </c>
      <c r="GF18" s="16">
        <v>44154</v>
      </c>
      <c r="GG18">
        <v>21381</v>
      </c>
      <c r="GH18">
        <v>479</v>
      </c>
      <c r="GI18" s="16">
        <v>44155</v>
      </c>
      <c r="GJ18">
        <v>21814</v>
      </c>
      <c r="GK18">
        <v>432</v>
      </c>
      <c r="GL18" s="16">
        <v>44156</v>
      </c>
      <c r="GM18">
        <v>22083</v>
      </c>
      <c r="GN18">
        <v>269</v>
      </c>
      <c r="GO18" s="16">
        <v>44157</v>
      </c>
      <c r="GP18">
        <v>22346</v>
      </c>
      <c r="GQ18">
        <v>263</v>
      </c>
      <c r="GR18" s="16">
        <v>44158</v>
      </c>
      <c r="GS18">
        <v>22838</v>
      </c>
      <c r="GT18">
        <v>490</v>
      </c>
      <c r="GU18" s="16">
        <v>44159</v>
      </c>
      <c r="GV18">
        <v>23315</v>
      </c>
      <c r="GW18">
        <v>468</v>
      </c>
      <c r="GX18" s="16">
        <v>44160</v>
      </c>
      <c r="GY18">
        <v>23935</v>
      </c>
      <c r="GZ18">
        <v>615</v>
      </c>
      <c r="HA18" s="16">
        <v>44161</v>
      </c>
      <c r="HB18">
        <v>24448</v>
      </c>
      <c r="HC18">
        <v>511</v>
      </c>
      <c r="HD18" s="16">
        <v>44162</v>
      </c>
      <c r="HE18">
        <v>24907</v>
      </c>
      <c r="HF18">
        <v>460</v>
      </c>
      <c r="HG18" s="16">
        <v>44163</v>
      </c>
      <c r="HH18">
        <v>25182</v>
      </c>
      <c r="HI18">
        <v>283</v>
      </c>
      <c r="HJ18" s="16">
        <v>44164</v>
      </c>
      <c r="HK18">
        <v>25474</v>
      </c>
      <c r="HL18">
        <v>293</v>
      </c>
      <c r="HM18" s="16">
        <v>44165</v>
      </c>
      <c r="HN18">
        <v>26067</v>
      </c>
      <c r="HO18">
        <v>595</v>
      </c>
      <c r="HP18" s="16">
        <v>44166</v>
      </c>
      <c r="HQ18">
        <v>26516</v>
      </c>
      <c r="HR18">
        <v>440</v>
      </c>
      <c r="HS18" s="16">
        <v>44167</v>
      </c>
      <c r="HT18">
        <v>27006</v>
      </c>
      <c r="HU18">
        <v>493</v>
      </c>
      <c r="HV18" s="16">
        <v>44168</v>
      </c>
      <c r="HW18">
        <v>27485</v>
      </c>
      <c r="HX18">
        <v>477</v>
      </c>
      <c r="HY18" s="16">
        <v>44169</v>
      </c>
      <c r="HZ18">
        <v>27956</v>
      </c>
      <c r="IA18">
        <v>472</v>
      </c>
      <c r="IB18" s="16">
        <v>44170</v>
      </c>
      <c r="IC18">
        <v>28204</v>
      </c>
      <c r="ID18">
        <v>249</v>
      </c>
      <c r="IE18" s="16">
        <v>44171</v>
      </c>
      <c r="IF18">
        <v>28488</v>
      </c>
      <c r="IG18">
        <v>282</v>
      </c>
      <c r="IH18" s="16">
        <v>44172</v>
      </c>
      <c r="II18">
        <v>29074</v>
      </c>
      <c r="IJ18">
        <v>587</v>
      </c>
      <c r="IK18" s="16">
        <v>44173</v>
      </c>
      <c r="IL18">
        <v>29551</v>
      </c>
      <c r="IM18">
        <v>476</v>
      </c>
      <c r="IN18" s="16">
        <v>44174</v>
      </c>
      <c r="IO18">
        <v>30013</v>
      </c>
      <c r="IP18">
        <v>462</v>
      </c>
      <c r="IQ18" s="16">
        <v>44175</v>
      </c>
      <c r="IR18">
        <v>30421</v>
      </c>
      <c r="IS18">
        <v>408</v>
      </c>
      <c r="IT18" s="16">
        <v>44176</v>
      </c>
      <c r="IU18">
        <v>30864</v>
      </c>
      <c r="IV18">
        <v>443</v>
      </c>
      <c r="IW18" s="16">
        <v>44177</v>
      </c>
      <c r="IX18">
        <v>31114</v>
      </c>
      <c r="IY18">
        <v>250</v>
      </c>
      <c r="IZ18" s="16">
        <v>44178</v>
      </c>
      <c r="JA18">
        <v>31393</v>
      </c>
      <c r="JB18">
        <v>275</v>
      </c>
      <c r="JC18" s="16">
        <v>44182</v>
      </c>
      <c r="JD18">
        <v>32891</v>
      </c>
      <c r="JE18">
        <v>319</v>
      </c>
      <c r="JF18" s="16">
        <v>44186</v>
      </c>
      <c r="JG18">
        <v>34091</v>
      </c>
      <c r="JH18">
        <v>371</v>
      </c>
      <c r="JI18" s="16">
        <v>44187</v>
      </c>
      <c r="JJ18">
        <v>34466</v>
      </c>
      <c r="JK18">
        <v>331</v>
      </c>
      <c r="JL18" s="16">
        <v>44188</v>
      </c>
      <c r="JM18">
        <v>34736</v>
      </c>
      <c r="JN18">
        <v>278</v>
      </c>
      <c r="JO18" s="16">
        <v>44189</v>
      </c>
      <c r="JP18">
        <v>34866</v>
      </c>
      <c r="JQ18">
        <v>138</v>
      </c>
      <c r="JR18" s="16">
        <v>44191</v>
      </c>
      <c r="JS18">
        <v>35211</v>
      </c>
      <c r="JT18">
        <v>183</v>
      </c>
      <c r="JU18" s="16">
        <v>44191</v>
      </c>
      <c r="JV18">
        <v>35212</v>
      </c>
      <c r="JW18">
        <v>183</v>
      </c>
      <c r="JX18" s="16">
        <v>44193</v>
      </c>
      <c r="JY18">
        <v>35825</v>
      </c>
      <c r="JZ18">
        <v>430</v>
      </c>
      <c r="KA18" s="16">
        <v>44205</v>
      </c>
      <c r="KB18">
        <v>38788</v>
      </c>
      <c r="KC18">
        <v>191</v>
      </c>
      <c r="KD18" s="16">
        <v>44205</v>
      </c>
      <c r="KE18">
        <v>38798</v>
      </c>
      <c r="KF18">
        <v>193</v>
      </c>
      <c r="KG18" s="16">
        <v>44206</v>
      </c>
      <c r="KH18">
        <v>38975</v>
      </c>
      <c r="KI18">
        <v>185</v>
      </c>
      <c r="KJ18" s="16">
        <v>44208</v>
      </c>
      <c r="KK18">
        <v>39587</v>
      </c>
      <c r="KL18">
        <v>226</v>
      </c>
      <c r="KM18" s="16">
        <v>44209</v>
      </c>
      <c r="KN18">
        <v>39850</v>
      </c>
      <c r="KO18">
        <v>257</v>
      </c>
      <c r="KP18" s="16">
        <v>44213</v>
      </c>
      <c r="KQ18">
        <v>40729</v>
      </c>
      <c r="KR18">
        <v>194</v>
      </c>
      <c r="KS18" s="16">
        <v>44214</v>
      </c>
      <c r="KT18">
        <v>41180</v>
      </c>
      <c r="KU18">
        <v>447</v>
      </c>
      <c r="KV18" s="16">
        <v>44215</v>
      </c>
      <c r="KW18">
        <v>41524</v>
      </c>
      <c r="KX18">
        <v>344</v>
      </c>
      <c r="KY18" s="16">
        <v>44217</v>
      </c>
      <c r="KZ18">
        <v>42300</v>
      </c>
      <c r="LA18">
        <v>377</v>
      </c>
      <c r="LB18" s="16">
        <v>44218</v>
      </c>
      <c r="LC18">
        <v>42673</v>
      </c>
      <c r="LD18">
        <v>360</v>
      </c>
      <c r="LE18" s="16">
        <v>44219</v>
      </c>
      <c r="LF18">
        <v>42841</v>
      </c>
      <c r="LG18">
        <v>168</v>
      </c>
      <c r="LH18" s="16">
        <v>44221</v>
      </c>
      <c r="LI18">
        <v>43654</v>
      </c>
      <c r="LJ18">
        <v>602</v>
      </c>
      <c r="LK18" s="16">
        <v>44221</v>
      </c>
      <c r="LL18">
        <v>43655</v>
      </c>
      <c r="LM18">
        <v>602</v>
      </c>
      <c r="LN18" s="16">
        <v>44223</v>
      </c>
      <c r="LO18">
        <v>44461</v>
      </c>
      <c r="LP18">
        <v>383</v>
      </c>
      <c r="LQ18" s="16">
        <v>44224</v>
      </c>
      <c r="LR18">
        <v>44893</v>
      </c>
      <c r="LS18">
        <v>435</v>
      </c>
      <c r="LT18" s="16">
        <v>44225</v>
      </c>
      <c r="LU18">
        <v>45268</v>
      </c>
      <c r="LV18">
        <v>374</v>
      </c>
      <c r="LW18" s="16">
        <v>44226</v>
      </c>
      <c r="LX18">
        <v>45512</v>
      </c>
      <c r="LY18">
        <v>232</v>
      </c>
      <c r="LZ18" s="16">
        <v>44227</v>
      </c>
      <c r="MA18">
        <v>45775</v>
      </c>
      <c r="MB18">
        <v>272</v>
      </c>
      <c r="MC18" s="16">
        <v>44228</v>
      </c>
      <c r="MD18">
        <v>46315</v>
      </c>
      <c r="ME18">
        <v>529</v>
      </c>
      <c r="MF18" s="16">
        <v>44230</v>
      </c>
      <c r="MG18">
        <v>47151</v>
      </c>
      <c r="MH18">
        <v>439</v>
      </c>
      <c r="MI18" s="16">
        <v>44230</v>
      </c>
      <c r="MJ18">
        <v>47152</v>
      </c>
      <c r="MK18">
        <v>439</v>
      </c>
      <c r="ML18" s="16">
        <v>44231</v>
      </c>
      <c r="MM18">
        <v>47520</v>
      </c>
      <c r="MN18">
        <v>370</v>
      </c>
      <c r="MO18" s="16">
        <v>44232</v>
      </c>
      <c r="MP18">
        <v>47885</v>
      </c>
      <c r="MQ18">
        <v>366</v>
      </c>
      <c r="MR18" s="16">
        <v>44233</v>
      </c>
      <c r="MS18">
        <v>48128</v>
      </c>
      <c r="MT18">
        <v>240</v>
      </c>
      <c r="MU18" s="16">
        <v>44234</v>
      </c>
      <c r="MV18">
        <v>48388</v>
      </c>
      <c r="MW18">
        <v>261</v>
      </c>
      <c r="MX18" s="16">
        <v>44235</v>
      </c>
      <c r="MY18">
        <v>48848</v>
      </c>
      <c r="MZ18">
        <v>460</v>
      </c>
      <c r="NA18" s="16">
        <v>44235</v>
      </c>
      <c r="NB18">
        <v>48849</v>
      </c>
      <c r="NC18">
        <v>460</v>
      </c>
      <c r="ND18" s="16">
        <v>44238</v>
      </c>
      <c r="NE18">
        <v>49960</v>
      </c>
      <c r="NF18">
        <v>356</v>
      </c>
      <c r="NG18" s="16">
        <v>44238</v>
      </c>
      <c r="NH18">
        <v>49958</v>
      </c>
      <c r="NI18">
        <v>356</v>
      </c>
      <c r="NJ18" s="16">
        <v>44240</v>
      </c>
      <c r="NK18">
        <v>50651</v>
      </c>
      <c r="NL18">
        <v>275</v>
      </c>
      <c r="NM18" s="16">
        <v>44240</v>
      </c>
      <c r="NN18">
        <v>50652</v>
      </c>
      <c r="NO18">
        <v>275</v>
      </c>
      <c r="NP18" s="16">
        <v>44242</v>
      </c>
      <c r="NQ18">
        <v>51542</v>
      </c>
      <c r="NR18">
        <v>610</v>
      </c>
      <c r="NS18" s="16">
        <v>44243</v>
      </c>
      <c r="NT18">
        <v>52059</v>
      </c>
      <c r="NU18">
        <v>514</v>
      </c>
      <c r="NV18" s="16">
        <v>44244</v>
      </c>
      <c r="NW18">
        <v>52607</v>
      </c>
      <c r="NX18">
        <v>548</v>
      </c>
      <c r="NY18" s="16">
        <v>44245</v>
      </c>
      <c r="NZ18">
        <v>53219</v>
      </c>
      <c r="OA18">
        <v>609</v>
      </c>
      <c r="OB18" s="16">
        <v>44246</v>
      </c>
      <c r="OC18">
        <v>53797</v>
      </c>
      <c r="OD18">
        <v>572</v>
      </c>
      <c r="OE18" s="16">
        <v>44247</v>
      </c>
      <c r="OF18">
        <v>54115</v>
      </c>
      <c r="OG18">
        <v>317</v>
      </c>
      <c r="OH18" s="16">
        <v>44248</v>
      </c>
      <c r="OI18">
        <v>54466</v>
      </c>
      <c r="OJ18">
        <v>355</v>
      </c>
      <c r="OK18" s="16">
        <v>44249</v>
      </c>
      <c r="OL18">
        <v>55089</v>
      </c>
      <c r="OM18">
        <v>622</v>
      </c>
      <c r="ON18" s="16">
        <v>44250</v>
      </c>
      <c r="OO18">
        <v>55714</v>
      </c>
      <c r="OP18">
        <v>624</v>
      </c>
      <c r="OQ18" s="16">
        <v>44251</v>
      </c>
      <c r="OR18">
        <v>56315</v>
      </c>
      <c r="OS18">
        <v>599</v>
      </c>
      <c r="OT18" s="16">
        <v>44252</v>
      </c>
      <c r="OU18">
        <v>56934</v>
      </c>
      <c r="OV18">
        <v>619</v>
      </c>
      <c r="OW18" s="16">
        <v>44253</v>
      </c>
      <c r="OX18">
        <v>57623</v>
      </c>
      <c r="OY18">
        <v>690</v>
      </c>
      <c r="OZ18" s="16">
        <v>44254</v>
      </c>
      <c r="PA18">
        <v>58025</v>
      </c>
      <c r="PB18">
        <v>400</v>
      </c>
      <c r="PC18" s="16">
        <v>44255</v>
      </c>
      <c r="PD18">
        <v>58447</v>
      </c>
      <c r="PE18">
        <v>420</v>
      </c>
      <c r="PF18" s="16">
        <v>44256</v>
      </c>
      <c r="PG18">
        <v>59315</v>
      </c>
      <c r="PH18">
        <v>869</v>
      </c>
      <c r="PI18" s="16">
        <v>44257</v>
      </c>
      <c r="PJ18">
        <v>60078</v>
      </c>
      <c r="PK18">
        <v>758</v>
      </c>
      <c r="PL18" s="16">
        <v>44258</v>
      </c>
      <c r="PM18">
        <v>60812</v>
      </c>
      <c r="PN18">
        <v>735</v>
      </c>
      <c r="PO18" s="16">
        <v>44259</v>
      </c>
      <c r="PP18">
        <v>61448</v>
      </c>
      <c r="PQ18">
        <v>635</v>
      </c>
      <c r="PR18" s="16">
        <v>44260</v>
      </c>
      <c r="PS18">
        <v>62056</v>
      </c>
      <c r="PT18">
        <v>608</v>
      </c>
      <c r="PU18" s="16">
        <v>44261</v>
      </c>
      <c r="PV18">
        <v>62491</v>
      </c>
      <c r="PW18">
        <v>435</v>
      </c>
      <c r="PX18" s="16">
        <v>44262</v>
      </c>
      <c r="PY18">
        <v>62904</v>
      </c>
      <c r="PZ18">
        <v>398</v>
      </c>
      <c r="QA18" s="16">
        <v>44263</v>
      </c>
      <c r="QB18">
        <v>63739</v>
      </c>
      <c r="QC18">
        <v>832</v>
      </c>
      <c r="QD18" s="16">
        <v>44264</v>
      </c>
      <c r="QE18">
        <v>64518</v>
      </c>
      <c r="QF18">
        <v>776</v>
      </c>
      <c r="QG18" s="16">
        <v>44265</v>
      </c>
      <c r="QH18">
        <v>65327</v>
      </c>
      <c r="QI18">
        <v>814</v>
      </c>
      <c r="QJ18" s="16">
        <v>44266</v>
      </c>
      <c r="QK18">
        <v>66105</v>
      </c>
      <c r="QL18">
        <v>774</v>
      </c>
      <c r="QM18" s="16">
        <v>44267</v>
      </c>
      <c r="QN18">
        <v>66912</v>
      </c>
      <c r="QO18">
        <v>807</v>
      </c>
      <c r="QP18" s="16">
        <v>44268</v>
      </c>
      <c r="QQ18">
        <v>67404</v>
      </c>
      <c r="QR18">
        <v>492</v>
      </c>
      <c r="QS18" s="16">
        <v>44269</v>
      </c>
      <c r="QT18">
        <v>67846</v>
      </c>
      <c r="QU18">
        <v>435</v>
      </c>
      <c r="QV18" s="16">
        <v>44270</v>
      </c>
      <c r="QW18">
        <v>68737</v>
      </c>
      <c r="QX18">
        <v>891</v>
      </c>
      <c r="QY18" s="16">
        <v>44271</v>
      </c>
      <c r="QZ18">
        <v>69498</v>
      </c>
      <c r="RA18">
        <v>762</v>
      </c>
      <c r="RB18" s="16">
        <v>44272</v>
      </c>
      <c r="RC18">
        <v>70244</v>
      </c>
      <c r="RD18">
        <v>743</v>
      </c>
      <c r="RE18" s="16">
        <v>44273</v>
      </c>
      <c r="RF18">
        <v>70978</v>
      </c>
      <c r="RG18">
        <v>737</v>
      </c>
      <c r="RH18" s="16">
        <v>44274</v>
      </c>
      <c r="RI18">
        <v>71719</v>
      </c>
      <c r="RJ18">
        <v>743</v>
      </c>
      <c r="RK18" s="16">
        <v>44275</v>
      </c>
      <c r="RL18">
        <v>72118</v>
      </c>
      <c r="RM18">
        <v>401</v>
      </c>
      <c r="RN18" s="16">
        <v>44277</v>
      </c>
      <c r="RO18">
        <v>73299</v>
      </c>
      <c r="RP18">
        <v>765</v>
      </c>
      <c r="RQ18" s="16">
        <v>44278</v>
      </c>
      <c r="RR18">
        <v>73999</v>
      </c>
      <c r="RS18">
        <v>697</v>
      </c>
      <c r="RT18">
        <v>44279</v>
      </c>
      <c r="RU18">
        <v>74698</v>
      </c>
      <c r="RV18">
        <v>698</v>
      </c>
      <c r="RW18">
        <v>44280</v>
      </c>
      <c r="RX18">
        <v>75304</v>
      </c>
      <c r="RY18">
        <v>606</v>
      </c>
      <c r="RZ18">
        <v>44281</v>
      </c>
      <c r="SA18">
        <v>75990</v>
      </c>
      <c r="SB18">
        <v>685</v>
      </c>
      <c r="SC18">
        <v>44282</v>
      </c>
      <c r="SD18">
        <v>76340</v>
      </c>
      <c r="SE18">
        <v>350</v>
      </c>
      <c r="SF18">
        <v>44283</v>
      </c>
      <c r="SG18">
        <v>76712</v>
      </c>
      <c r="SH18">
        <v>369</v>
      </c>
      <c r="SI18">
        <v>44284</v>
      </c>
      <c r="SJ18">
        <v>77368</v>
      </c>
      <c r="SK18">
        <v>655</v>
      </c>
      <c r="SL18">
        <v>44286</v>
      </c>
      <c r="SM18">
        <v>78482</v>
      </c>
      <c r="SN18">
        <v>548</v>
      </c>
      <c r="SO18">
        <v>44287</v>
      </c>
      <c r="SP18">
        <v>78988</v>
      </c>
      <c r="SQ18">
        <v>487</v>
      </c>
      <c r="SR18">
        <v>44288</v>
      </c>
      <c r="SS18">
        <v>79353</v>
      </c>
      <c r="ST18">
        <v>361</v>
      </c>
      <c r="SU18">
        <v>44289</v>
      </c>
      <c r="SV18">
        <v>79670</v>
      </c>
      <c r="SW18">
        <v>317</v>
      </c>
      <c r="SX18">
        <v>44291</v>
      </c>
      <c r="SY18">
        <v>80349</v>
      </c>
      <c r="SZ18">
        <v>358</v>
      </c>
      <c r="TA18">
        <v>44292</v>
      </c>
      <c r="TB18">
        <v>80897</v>
      </c>
      <c r="TC18">
        <v>541</v>
      </c>
      <c r="TD18">
        <v>44294</v>
      </c>
      <c r="TE18">
        <v>81726</v>
      </c>
      <c r="TF18">
        <v>403</v>
      </c>
      <c r="TG18">
        <v>44295</v>
      </c>
      <c r="TH18">
        <v>82078</v>
      </c>
      <c r="TI18">
        <v>348</v>
      </c>
      <c r="TJ18">
        <v>44296</v>
      </c>
      <c r="TK18">
        <v>82304</v>
      </c>
      <c r="TL18">
        <v>224</v>
      </c>
      <c r="TM18">
        <v>44297</v>
      </c>
      <c r="TN18">
        <v>82543</v>
      </c>
      <c r="TO18">
        <v>239</v>
      </c>
      <c r="TP18">
        <v>44299</v>
      </c>
      <c r="TQ18">
        <v>83268</v>
      </c>
      <c r="TR18">
        <v>324</v>
      </c>
      <c r="TS18">
        <v>44300</v>
      </c>
      <c r="TT18">
        <v>83617</v>
      </c>
      <c r="TU18">
        <v>345</v>
      </c>
      <c r="TV18">
        <v>44300</v>
      </c>
      <c r="TW18">
        <v>83623</v>
      </c>
      <c r="TX18">
        <v>345</v>
      </c>
      <c r="TY18">
        <v>44301</v>
      </c>
      <c r="TZ18">
        <v>83898</v>
      </c>
      <c r="UA18">
        <v>275</v>
      </c>
      <c r="UB18">
        <v>44303</v>
      </c>
      <c r="UC18">
        <v>84331</v>
      </c>
      <c r="UD18">
        <v>169</v>
      </c>
      <c r="UE18">
        <v>44303</v>
      </c>
      <c r="UF18">
        <v>84332</v>
      </c>
      <c r="UG18">
        <v>169</v>
      </c>
      <c r="UH18">
        <v>44304</v>
      </c>
      <c r="UI18">
        <v>84490</v>
      </c>
      <c r="UJ18">
        <v>155</v>
      </c>
      <c r="UK18">
        <v>44305</v>
      </c>
      <c r="UL18">
        <v>84775</v>
      </c>
      <c r="UM18">
        <v>284</v>
      </c>
      <c r="UN18">
        <v>44309</v>
      </c>
      <c r="UO18">
        <v>85825</v>
      </c>
      <c r="UP18">
        <v>257</v>
      </c>
      <c r="UQ18">
        <v>44310</v>
      </c>
      <c r="UR18">
        <v>85982</v>
      </c>
      <c r="US18">
        <v>154</v>
      </c>
      <c r="UT18">
        <v>44311</v>
      </c>
      <c r="UU18">
        <v>86119</v>
      </c>
      <c r="UV18">
        <v>141</v>
      </c>
      <c r="UW18">
        <v>44312</v>
      </c>
      <c r="UX18">
        <v>86361</v>
      </c>
      <c r="UY18">
        <v>243</v>
      </c>
      <c r="UZ18">
        <v>44314</v>
      </c>
      <c r="VA18">
        <v>86864</v>
      </c>
      <c r="VB18">
        <v>273</v>
      </c>
      <c r="VC18">
        <v>44314</v>
      </c>
      <c r="VD18">
        <v>86859</v>
      </c>
      <c r="VE18">
        <v>273</v>
      </c>
      <c r="VF18">
        <v>44315</v>
      </c>
      <c r="VG18">
        <v>87061</v>
      </c>
      <c r="VH18">
        <v>200</v>
      </c>
      <c r="VI18">
        <v>44317</v>
      </c>
      <c r="VJ18">
        <v>87361</v>
      </c>
      <c r="VK18">
        <v>105</v>
      </c>
      <c r="VL18">
        <v>44317</v>
      </c>
      <c r="VM18">
        <v>87361</v>
      </c>
      <c r="VN18">
        <v>105</v>
      </c>
      <c r="VO18">
        <v>44318</v>
      </c>
      <c r="VP18">
        <v>87495</v>
      </c>
      <c r="VQ18">
        <v>134</v>
      </c>
      <c r="VR18">
        <v>44319</v>
      </c>
      <c r="VS18">
        <v>87814</v>
      </c>
      <c r="VT18">
        <v>318</v>
      </c>
      <c r="VU18">
        <v>44321</v>
      </c>
      <c r="VV18">
        <v>88288</v>
      </c>
      <c r="VW18">
        <v>266</v>
      </c>
      <c r="VX18">
        <v>44321</v>
      </c>
      <c r="VY18">
        <v>88292</v>
      </c>
      <c r="VZ18">
        <v>266</v>
      </c>
      <c r="WA18">
        <v>44322</v>
      </c>
      <c r="WB18">
        <v>88529</v>
      </c>
      <c r="WC18">
        <v>234</v>
      </c>
      <c r="WD18">
        <v>44323</v>
      </c>
      <c r="WE18">
        <v>88743</v>
      </c>
      <c r="WF18">
        <v>214</v>
      </c>
      <c r="WG18">
        <v>44324</v>
      </c>
      <c r="WH18">
        <v>88872</v>
      </c>
      <c r="WI18">
        <v>129</v>
      </c>
      <c r="WJ18">
        <v>44326</v>
      </c>
      <c r="WK18">
        <v>89260</v>
      </c>
      <c r="WL18">
        <v>258</v>
      </c>
      <c r="WM18">
        <v>44326</v>
      </c>
      <c r="WN18">
        <v>89262</v>
      </c>
      <c r="WO18">
        <v>258</v>
      </c>
      <c r="WP18">
        <v>44329</v>
      </c>
      <c r="WQ18">
        <v>89888</v>
      </c>
      <c r="WR18">
        <v>155</v>
      </c>
      <c r="WS18">
        <v>44330</v>
      </c>
      <c r="WT18">
        <v>90133</v>
      </c>
      <c r="WU18">
        <v>243</v>
      </c>
      <c r="WV18">
        <v>44331</v>
      </c>
      <c r="WW18">
        <v>90295</v>
      </c>
      <c r="WX18">
        <v>160</v>
      </c>
      <c r="WY18">
        <v>44332</v>
      </c>
      <c r="WZ18">
        <v>90431</v>
      </c>
      <c r="XA18">
        <v>133</v>
      </c>
      <c r="XB18">
        <v>44333</v>
      </c>
      <c r="XC18">
        <v>90716</v>
      </c>
      <c r="XD18">
        <v>284</v>
      </c>
      <c r="XE18">
        <v>44335</v>
      </c>
      <c r="XF18">
        <v>91162</v>
      </c>
      <c r="XG18">
        <v>229</v>
      </c>
      <c r="XH18">
        <v>44335</v>
      </c>
      <c r="XI18">
        <v>91169</v>
      </c>
      <c r="XJ18">
        <v>229</v>
      </c>
      <c r="XK18">
        <v>44336</v>
      </c>
      <c r="XL18">
        <v>91384</v>
      </c>
      <c r="XM18">
        <v>215</v>
      </c>
      <c r="XN18">
        <v>44337</v>
      </c>
      <c r="XO18">
        <v>91553</v>
      </c>
      <c r="XP18">
        <v>169</v>
      </c>
      <c r="XQ18">
        <v>44338</v>
      </c>
      <c r="XR18">
        <v>91661</v>
      </c>
      <c r="XS18">
        <v>107</v>
      </c>
      <c r="XT18">
        <v>44339</v>
      </c>
      <c r="XU18">
        <v>91757</v>
      </c>
      <c r="XV18">
        <v>92</v>
      </c>
      <c r="XW18">
        <v>44340</v>
      </c>
      <c r="XX18">
        <v>91948</v>
      </c>
      <c r="XY18">
        <v>188</v>
      </c>
      <c r="XZ18">
        <v>44341</v>
      </c>
      <c r="YA18">
        <v>92101</v>
      </c>
      <c r="YB18">
        <v>152</v>
      </c>
      <c r="YC18">
        <v>44343</v>
      </c>
      <c r="YD18">
        <v>92372</v>
      </c>
      <c r="YE18">
        <v>127</v>
      </c>
      <c r="YF18">
        <v>44344</v>
      </c>
      <c r="YG18">
        <v>92510</v>
      </c>
      <c r="YH18">
        <v>136</v>
      </c>
      <c r="YI18">
        <v>44345</v>
      </c>
      <c r="YJ18">
        <v>92576</v>
      </c>
      <c r="YK18">
        <v>64</v>
      </c>
      <c r="YL18">
        <v>44346</v>
      </c>
      <c r="YM18">
        <v>92655</v>
      </c>
      <c r="YN18">
        <v>79</v>
      </c>
      <c r="YO18">
        <v>44347</v>
      </c>
      <c r="YP18">
        <v>92803</v>
      </c>
      <c r="YQ18">
        <v>144</v>
      </c>
      <c r="YR18">
        <v>44348</v>
      </c>
      <c r="YS18">
        <v>92925</v>
      </c>
      <c r="YT18">
        <v>121</v>
      </c>
      <c r="YU18">
        <v>44349</v>
      </c>
      <c r="YV18">
        <v>93051</v>
      </c>
      <c r="YW18">
        <v>118</v>
      </c>
    </row>
    <row r="19" spans="2:673">
      <c r="B19" t="str">
        <f t="shared" ca="1" si="2"/>
        <v>3.6</v>
      </c>
      <c r="C19" s="4">
        <f t="shared" ca="1" si="0"/>
        <v>44350</v>
      </c>
      <c r="D19" s="11">
        <f t="shared" ca="1" si="1"/>
        <v>93162</v>
      </c>
      <c r="E19">
        <f t="shared" ca="1" si="3"/>
        <v>111</v>
      </c>
      <c r="F19" s="11">
        <f t="shared" ca="1" si="4"/>
        <v>0</v>
      </c>
      <c r="G19" s="11">
        <f t="shared" ca="1" si="5"/>
        <v>111</v>
      </c>
      <c r="L19" s="3"/>
      <c r="N19" s="16">
        <v>44350</v>
      </c>
      <c r="O19">
        <v>93162</v>
      </c>
      <c r="P19">
        <v>111</v>
      </c>
      <c r="Q19" s="16">
        <v>44350</v>
      </c>
      <c r="R19">
        <v>93162</v>
      </c>
      <c r="S19">
        <v>111</v>
      </c>
      <c r="T19" s="16">
        <v>44097</v>
      </c>
      <c r="U19">
        <v>9581</v>
      </c>
      <c r="V19">
        <v>118</v>
      </c>
      <c r="W19" s="16">
        <v>44098</v>
      </c>
      <c r="X19">
        <v>9680</v>
      </c>
      <c r="Y19">
        <v>98</v>
      </c>
      <c r="Z19" s="16">
        <v>44099</v>
      </c>
      <c r="AA19">
        <v>9808</v>
      </c>
      <c r="AB19">
        <v>127</v>
      </c>
      <c r="AC19" s="16">
        <v>44100</v>
      </c>
      <c r="AD19">
        <v>9880</v>
      </c>
      <c r="AE19">
        <v>73</v>
      </c>
      <c r="AF19" s="16">
        <v>44101</v>
      </c>
      <c r="AG19">
        <v>9950</v>
      </c>
      <c r="AH19">
        <v>70</v>
      </c>
      <c r="AI19" s="16">
        <v>44102</v>
      </c>
      <c r="AJ19">
        <v>10075</v>
      </c>
      <c r="AK19">
        <v>123</v>
      </c>
      <c r="AL19" s="16">
        <v>44103</v>
      </c>
      <c r="AM19">
        <v>10208</v>
      </c>
      <c r="AN19">
        <v>135</v>
      </c>
      <c r="AO19" s="16">
        <v>44104</v>
      </c>
      <c r="AP19">
        <v>10374</v>
      </c>
      <c r="AQ19">
        <v>166</v>
      </c>
      <c r="AR19" s="16">
        <v>44105</v>
      </c>
      <c r="AS19">
        <v>10561</v>
      </c>
      <c r="AT19">
        <v>188</v>
      </c>
      <c r="AU19" s="16">
        <v>44106</v>
      </c>
      <c r="AV19">
        <v>10746</v>
      </c>
      <c r="AW19">
        <v>187</v>
      </c>
      <c r="AX19" s="16">
        <v>44107</v>
      </c>
      <c r="AY19">
        <v>10914</v>
      </c>
      <c r="AZ19">
        <v>169</v>
      </c>
      <c r="BA19" s="16">
        <v>44108</v>
      </c>
      <c r="BB19">
        <v>11061</v>
      </c>
      <c r="BC19">
        <v>147</v>
      </c>
      <c r="BD19" s="16">
        <v>44109</v>
      </c>
      <c r="BE19">
        <v>11350</v>
      </c>
      <c r="BF19">
        <v>289</v>
      </c>
      <c r="BG19" s="16">
        <v>44110</v>
      </c>
      <c r="BH19">
        <v>11648</v>
      </c>
      <c r="BI19">
        <v>299</v>
      </c>
      <c r="BJ19" s="16">
        <v>44111</v>
      </c>
      <c r="BK19">
        <v>11956</v>
      </c>
      <c r="BL19">
        <v>306</v>
      </c>
      <c r="BM19" s="16">
        <v>44112</v>
      </c>
      <c r="BN19">
        <v>12217</v>
      </c>
      <c r="BO19">
        <v>260</v>
      </c>
      <c r="BP19" s="16">
        <v>44113</v>
      </c>
      <c r="BQ19">
        <v>12442</v>
      </c>
      <c r="BR19">
        <v>226</v>
      </c>
      <c r="BS19" s="16">
        <v>44114</v>
      </c>
      <c r="BT19">
        <v>12552</v>
      </c>
      <c r="BU19">
        <v>109</v>
      </c>
      <c r="BV19" s="16">
        <v>44116</v>
      </c>
      <c r="BW19">
        <v>12934</v>
      </c>
      <c r="BX19">
        <v>252</v>
      </c>
      <c r="BY19" s="16">
        <v>44117</v>
      </c>
      <c r="BZ19">
        <v>13133</v>
      </c>
      <c r="CA19">
        <v>197</v>
      </c>
      <c r="CB19" s="16">
        <v>44118</v>
      </c>
      <c r="CC19">
        <v>13337</v>
      </c>
      <c r="CD19">
        <v>200</v>
      </c>
      <c r="CE19" s="16">
        <v>44119</v>
      </c>
      <c r="CF19">
        <v>13535</v>
      </c>
      <c r="CG19">
        <v>190</v>
      </c>
      <c r="CH19" s="16">
        <v>44120</v>
      </c>
      <c r="CI19">
        <v>13728</v>
      </c>
      <c r="CJ19">
        <v>192</v>
      </c>
      <c r="CK19" s="16">
        <v>44121</v>
      </c>
      <c r="CL19">
        <v>13828</v>
      </c>
      <c r="CM19">
        <v>100</v>
      </c>
      <c r="CN19" s="16">
        <v>44122</v>
      </c>
      <c r="CO19">
        <v>13955</v>
      </c>
      <c r="CP19">
        <v>127</v>
      </c>
      <c r="CQ19" s="16">
        <v>44123</v>
      </c>
      <c r="CR19">
        <v>14199</v>
      </c>
      <c r="CS19">
        <v>244</v>
      </c>
      <c r="CT19" s="16">
        <v>44124</v>
      </c>
      <c r="CU19">
        <v>14365</v>
      </c>
      <c r="CV19">
        <v>162</v>
      </c>
      <c r="CW19" s="16">
        <v>44125</v>
      </c>
      <c r="CX19">
        <v>14557</v>
      </c>
      <c r="CY19">
        <v>189</v>
      </c>
      <c r="CZ19" s="16">
        <v>44127</v>
      </c>
      <c r="DA19">
        <v>14960</v>
      </c>
      <c r="DB19">
        <v>192</v>
      </c>
      <c r="DC19" s="16">
        <v>44128</v>
      </c>
      <c r="DD19">
        <v>15067</v>
      </c>
      <c r="DE19">
        <v>108</v>
      </c>
      <c r="DF19" s="16">
        <v>44129</v>
      </c>
      <c r="DG19">
        <v>15192</v>
      </c>
      <c r="DH19">
        <v>123</v>
      </c>
      <c r="DI19" s="16">
        <v>44130</v>
      </c>
      <c r="DJ19">
        <v>15448</v>
      </c>
      <c r="DK19">
        <v>255</v>
      </c>
      <c r="DL19" s="16">
        <v>44131</v>
      </c>
      <c r="DM19">
        <v>15683</v>
      </c>
      <c r="DN19">
        <v>230</v>
      </c>
      <c r="DO19" s="16">
        <v>44132</v>
      </c>
      <c r="DP19">
        <v>15924</v>
      </c>
      <c r="DQ19">
        <v>240</v>
      </c>
      <c r="DR19" s="16">
        <v>44133</v>
      </c>
      <c r="DS19">
        <v>16162</v>
      </c>
      <c r="DT19">
        <v>237</v>
      </c>
      <c r="DU19" s="16">
        <v>44134</v>
      </c>
      <c r="DV19">
        <v>16383</v>
      </c>
      <c r="DW19">
        <v>219</v>
      </c>
      <c r="DX19" s="16">
        <v>44135</v>
      </c>
      <c r="DY19">
        <v>16504</v>
      </c>
      <c r="DZ19">
        <v>121</v>
      </c>
      <c r="EA19" s="16">
        <v>44136</v>
      </c>
      <c r="EB19">
        <v>16654</v>
      </c>
      <c r="EC19">
        <v>150</v>
      </c>
      <c r="ED19" s="16">
        <v>44137</v>
      </c>
      <c r="EE19">
        <v>16927</v>
      </c>
      <c r="EF19">
        <v>281</v>
      </c>
      <c r="EG19" s="16">
        <v>44138</v>
      </c>
      <c r="EH19">
        <v>17168</v>
      </c>
      <c r="EI19">
        <v>241</v>
      </c>
      <c r="EJ19" s="16">
        <v>44139</v>
      </c>
      <c r="EK19">
        <v>17378</v>
      </c>
      <c r="EL19">
        <v>210</v>
      </c>
      <c r="EM19" s="16">
        <v>44140</v>
      </c>
      <c r="EN19">
        <v>17598</v>
      </c>
      <c r="EO19">
        <v>220</v>
      </c>
      <c r="EP19" s="16">
        <v>44141</v>
      </c>
      <c r="EQ19">
        <v>17792</v>
      </c>
      <c r="ER19">
        <v>194</v>
      </c>
      <c r="ES19" s="16">
        <v>44142</v>
      </c>
      <c r="ET19">
        <v>17922</v>
      </c>
      <c r="EU19">
        <v>128</v>
      </c>
      <c r="EV19" s="16">
        <v>44143</v>
      </c>
      <c r="EW19">
        <v>18055</v>
      </c>
      <c r="EX19">
        <v>133</v>
      </c>
      <c r="EY19" s="16">
        <v>44144</v>
      </c>
      <c r="EZ19">
        <v>18330</v>
      </c>
      <c r="FA19">
        <v>275</v>
      </c>
      <c r="FB19" s="16">
        <v>44145</v>
      </c>
      <c r="FC19">
        <v>18534</v>
      </c>
      <c r="FD19">
        <v>205</v>
      </c>
      <c r="FE19" s="16">
        <v>44146</v>
      </c>
      <c r="FF19">
        <v>18774</v>
      </c>
      <c r="FG19">
        <v>292</v>
      </c>
      <c r="FH19" s="16">
        <v>44147</v>
      </c>
      <c r="FI19">
        <v>19112</v>
      </c>
      <c r="FJ19">
        <v>277</v>
      </c>
      <c r="FK19" s="16">
        <v>44148</v>
      </c>
      <c r="FL19">
        <v>19392</v>
      </c>
      <c r="FM19">
        <v>264</v>
      </c>
      <c r="FN19" s="16">
        <v>44149</v>
      </c>
      <c r="FO19">
        <v>19537</v>
      </c>
      <c r="FP19">
        <v>145</v>
      </c>
      <c r="FQ19" s="16">
        <v>44150</v>
      </c>
      <c r="FR19">
        <v>19718</v>
      </c>
      <c r="FS19">
        <v>181</v>
      </c>
      <c r="FT19" s="16">
        <v>44151</v>
      </c>
      <c r="FU19">
        <v>20131</v>
      </c>
      <c r="FV19">
        <v>393</v>
      </c>
      <c r="FW19" s="16">
        <v>44152</v>
      </c>
      <c r="FX19">
        <v>20524</v>
      </c>
      <c r="FY19">
        <v>391</v>
      </c>
      <c r="FZ19" s="16">
        <v>44153</v>
      </c>
      <c r="GA19">
        <v>20902</v>
      </c>
      <c r="GB19">
        <v>372</v>
      </c>
      <c r="GC19" s="16">
        <v>44154</v>
      </c>
      <c r="GD19">
        <v>21380</v>
      </c>
      <c r="GE19">
        <v>479</v>
      </c>
      <c r="GF19" s="16">
        <v>44155</v>
      </c>
      <c r="GG19">
        <v>21812</v>
      </c>
      <c r="GH19">
        <v>431</v>
      </c>
      <c r="GI19" s="16">
        <v>44156</v>
      </c>
      <c r="GJ19">
        <v>22083</v>
      </c>
      <c r="GK19">
        <v>269</v>
      </c>
      <c r="GL19" s="16">
        <v>44157</v>
      </c>
      <c r="GM19">
        <v>22346</v>
      </c>
      <c r="GN19">
        <v>263</v>
      </c>
      <c r="GO19" s="16">
        <v>44158</v>
      </c>
      <c r="GP19">
        <v>22836</v>
      </c>
      <c r="GQ19">
        <v>490</v>
      </c>
      <c r="GR19" s="16">
        <v>44159</v>
      </c>
      <c r="GS19">
        <v>23299</v>
      </c>
      <c r="GT19">
        <v>461</v>
      </c>
      <c r="GU19" s="16">
        <v>44160</v>
      </c>
      <c r="GV19">
        <v>23930</v>
      </c>
      <c r="GW19">
        <v>615</v>
      </c>
      <c r="GX19" s="16">
        <v>44161</v>
      </c>
      <c r="GY19">
        <v>24446</v>
      </c>
      <c r="GZ19">
        <v>511</v>
      </c>
      <c r="HA19" s="16">
        <v>44162</v>
      </c>
      <c r="HB19">
        <v>24908</v>
      </c>
      <c r="HC19">
        <v>460</v>
      </c>
      <c r="HD19" s="16">
        <v>44163</v>
      </c>
      <c r="HE19">
        <v>25189</v>
      </c>
      <c r="HF19">
        <v>282</v>
      </c>
      <c r="HG19" s="16">
        <v>44164</v>
      </c>
      <c r="HH19">
        <v>25475</v>
      </c>
      <c r="HI19">
        <v>293</v>
      </c>
      <c r="HJ19" s="16">
        <v>44165</v>
      </c>
      <c r="HK19">
        <v>26069</v>
      </c>
      <c r="HL19">
        <v>595</v>
      </c>
      <c r="HM19" s="16">
        <v>44166</v>
      </c>
      <c r="HN19">
        <v>26507</v>
      </c>
      <c r="HO19">
        <v>440</v>
      </c>
      <c r="HP19" s="16">
        <v>44167</v>
      </c>
      <c r="HQ19">
        <v>27009</v>
      </c>
      <c r="HR19">
        <v>493</v>
      </c>
      <c r="HS19" s="16">
        <v>44168</v>
      </c>
      <c r="HT19">
        <v>27482</v>
      </c>
      <c r="HU19">
        <v>476</v>
      </c>
      <c r="HV19" s="16">
        <v>44169</v>
      </c>
      <c r="HW19">
        <v>27957</v>
      </c>
      <c r="HX19">
        <v>472</v>
      </c>
      <c r="HY19" s="16">
        <v>44170</v>
      </c>
      <c r="HZ19">
        <v>28205</v>
      </c>
      <c r="IA19">
        <v>249</v>
      </c>
      <c r="IB19" s="16">
        <v>44171</v>
      </c>
      <c r="IC19">
        <v>28485</v>
      </c>
      <c r="ID19">
        <v>281</v>
      </c>
      <c r="IE19" s="16">
        <v>44172</v>
      </c>
      <c r="IF19">
        <v>29075</v>
      </c>
      <c r="IG19">
        <v>587</v>
      </c>
      <c r="IH19" s="16">
        <v>44173</v>
      </c>
      <c r="II19">
        <v>29550</v>
      </c>
      <c r="IJ19">
        <v>476</v>
      </c>
      <c r="IK19" s="16">
        <v>44174</v>
      </c>
      <c r="IL19">
        <v>30013</v>
      </c>
      <c r="IM19">
        <v>462</v>
      </c>
      <c r="IN19" s="16">
        <v>44175</v>
      </c>
      <c r="IO19">
        <v>30421</v>
      </c>
      <c r="IP19">
        <v>408</v>
      </c>
      <c r="IQ19" s="16">
        <v>44176</v>
      </c>
      <c r="IR19">
        <v>30864</v>
      </c>
      <c r="IS19">
        <v>443</v>
      </c>
      <c r="IT19" s="16">
        <v>44177</v>
      </c>
      <c r="IU19">
        <v>31114</v>
      </c>
      <c r="IV19">
        <v>250</v>
      </c>
      <c r="IW19" s="16">
        <v>44178</v>
      </c>
      <c r="IX19">
        <v>31389</v>
      </c>
      <c r="IY19">
        <v>275</v>
      </c>
      <c r="IZ19" s="16">
        <v>44179</v>
      </c>
      <c r="JA19">
        <v>31854</v>
      </c>
      <c r="JB19">
        <v>461</v>
      </c>
      <c r="JC19" s="16">
        <v>44183</v>
      </c>
      <c r="JD19">
        <v>33286</v>
      </c>
      <c r="JE19">
        <v>395</v>
      </c>
      <c r="JF19" s="16">
        <v>44187</v>
      </c>
      <c r="JG19">
        <v>34422</v>
      </c>
      <c r="JH19">
        <v>331</v>
      </c>
      <c r="JI19" s="16">
        <v>44188</v>
      </c>
      <c r="JJ19">
        <v>34743</v>
      </c>
      <c r="JK19">
        <v>277</v>
      </c>
      <c r="JL19" s="16">
        <v>44189</v>
      </c>
      <c r="JM19">
        <v>34875</v>
      </c>
      <c r="JN19">
        <v>139</v>
      </c>
      <c r="JO19" s="16">
        <v>44190</v>
      </c>
      <c r="JP19">
        <v>35023</v>
      </c>
      <c r="JQ19">
        <v>157</v>
      </c>
      <c r="JR19" s="16">
        <v>44192</v>
      </c>
      <c r="JS19">
        <v>35399</v>
      </c>
      <c r="JT19">
        <v>188</v>
      </c>
      <c r="JU19" s="16">
        <v>44192</v>
      </c>
      <c r="JV19">
        <v>35400</v>
      </c>
      <c r="JW19">
        <v>188</v>
      </c>
      <c r="JX19" s="16">
        <v>44194</v>
      </c>
      <c r="JY19">
        <v>36131</v>
      </c>
      <c r="JZ19">
        <v>306</v>
      </c>
      <c r="KA19" s="16">
        <v>44206</v>
      </c>
      <c r="KB19">
        <v>38971</v>
      </c>
      <c r="KC19">
        <v>183</v>
      </c>
      <c r="KD19" s="16">
        <v>44206</v>
      </c>
      <c r="KE19">
        <v>38983</v>
      </c>
      <c r="KF19">
        <v>185</v>
      </c>
      <c r="KG19" s="16">
        <v>44207</v>
      </c>
      <c r="KH19">
        <v>39362</v>
      </c>
      <c r="KI19">
        <v>387</v>
      </c>
      <c r="KJ19" s="16">
        <v>44209</v>
      </c>
      <c r="KK19">
        <v>39845</v>
      </c>
      <c r="KL19">
        <v>258</v>
      </c>
      <c r="KM19" s="16">
        <v>44210</v>
      </c>
      <c r="KN19">
        <v>40098</v>
      </c>
      <c r="KO19">
        <v>248</v>
      </c>
      <c r="KP19" s="16">
        <v>44214</v>
      </c>
      <c r="KQ19">
        <v>41176</v>
      </c>
      <c r="KR19">
        <v>447</v>
      </c>
      <c r="KS19" s="16">
        <v>44215</v>
      </c>
      <c r="KT19">
        <v>41523</v>
      </c>
      <c r="KU19">
        <v>343</v>
      </c>
      <c r="KV19" s="16">
        <v>44216</v>
      </c>
      <c r="KW19">
        <v>41922</v>
      </c>
      <c r="KX19">
        <v>398</v>
      </c>
      <c r="KY19" s="16">
        <v>44218</v>
      </c>
      <c r="KZ19">
        <v>42657</v>
      </c>
      <c r="LA19">
        <v>357</v>
      </c>
      <c r="LB19" s="16">
        <v>44219</v>
      </c>
      <c r="LC19">
        <v>42841</v>
      </c>
      <c r="LD19">
        <v>168</v>
      </c>
      <c r="LE19" s="16">
        <v>44220</v>
      </c>
      <c r="LF19">
        <v>43085</v>
      </c>
      <c r="LG19">
        <v>244</v>
      </c>
      <c r="LH19" s="16">
        <v>44222</v>
      </c>
      <c r="LI19">
        <v>44052</v>
      </c>
      <c r="LJ19">
        <v>398</v>
      </c>
      <c r="LK19" s="16">
        <v>44222</v>
      </c>
      <c r="LL19">
        <v>44053</v>
      </c>
      <c r="LM19">
        <v>398</v>
      </c>
      <c r="LN19" s="16">
        <v>44224</v>
      </c>
      <c r="LO19">
        <v>44897</v>
      </c>
      <c r="LP19">
        <v>436</v>
      </c>
      <c r="LQ19" s="16">
        <v>44225</v>
      </c>
      <c r="LR19">
        <v>45267</v>
      </c>
      <c r="LS19">
        <v>374</v>
      </c>
      <c r="LT19" s="16">
        <v>44226</v>
      </c>
      <c r="LU19">
        <v>45499</v>
      </c>
      <c r="LV19">
        <v>231</v>
      </c>
      <c r="LW19" s="16">
        <v>44227</v>
      </c>
      <c r="LX19">
        <v>45784</v>
      </c>
      <c r="LY19">
        <v>272</v>
      </c>
      <c r="LZ19" s="16">
        <v>44228</v>
      </c>
      <c r="MA19">
        <v>46304</v>
      </c>
      <c r="MB19">
        <v>529</v>
      </c>
      <c r="MC19" s="16">
        <v>44229</v>
      </c>
      <c r="MD19">
        <v>46710</v>
      </c>
      <c r="ME19">
        <v>395</v>
      </c>
      <c r="MF19" s="16">
        <v>44231</v>
      </c>
      <c r="MG19">
        <v>47521</v>
      </c>
      <c r="MH19">
        <v>370</v>
      </c>
      <c r="MI19" s="16">
        <v>44231</v>
      </c>
      <c r="MJ19">
        <v>47522</v>
      </c>
      <c r="MK19">
        <v>370</v>
      </c>
      <c r="ML19" s="16">
        <v>44232</v>
      </c>
      <c r="MM19">
        <v>47884</v>
      </c>
      <c r="MN19">
        <v>364</v>
      </c>
      <c r="MO19" s="16">
        <v>44233</v>
      </c>
      <c r="MP19">
        <v>48125</v>
      </c>
      <c r="MQ19">
        <v>240</v>
      </c>
      <c r="MR19" s="16">
        <v>44234</v>
      </c>
      <c r="MS19">
        <v>48389</v>
      </c>
      <c r="MT19">
        <v>261</v>
      </c>
      <c r="MU19" s="16">
        <v>44235</v>
      </c>
      <c r="MV19">
        <v>48848</v>
      </c>
      <c r="MW19">
        <v>460</v>
      </c>
      <c r="MX19" s="16">
        <v>44236</v>
      </c>
      <c r="MY19">
        <v>49218</v>
      </c>
      <c r="MZ19">
        <v>370</v>
      </c>
      <c r="NA19" s="16">
        <v>44236</v>
      </c>
      <c r="NB19">
        <v>49219</v>
      </c>
      <c r="NC19">
        <v>370</v>
      </c>
      <c r="ND19" s="16">
        <v>44239</v>
      </c>
      <c r="NE19">
        <v>50377</v>
      </c>
      <c r="NF19">
        <v>417</v>
      </c>
      <c r="NG19" s="16">
        <v>44239</v>
      </c>
      <c r="NH19">
        <v>50375</v>
      </c>
      <c r="NI19">
        <v>417</v>
      </c>
      <c r="NJ19" s="16">
        <v>44241</v>
      </c>
      <c r="NK19">
        <v>50931</v>
      </c>
      <c r="NL19">
        <v>280</v>
      </c>
      <c r="NM19" s="16">
        <v>44241</v>
      </c>
      <c r="NN19">
        <v>50932</v>
      </c>
      <c r="NO19">
        <v>280</v>
      </c>
      <c r="NP19" s="16">
        <v>44243</v>
      </c>
      <c r="NQ19">
        <v>52052</v>
      </c>
      <c r="NR19">
        <v>510</v>
      </c>
      <c r="NS19" s="16">
        <v>44244</v>
      </c>
      <c r="NT19">
        <v>52606</v>
      </c>
      <c r="NU19">
        <v>547</v>
      </c>
      <c r="NV19" s="16">
        <v>44245</v>
      </c>
      <c r="NW19">
        <v>53215</v>
      </c>
      <c r="NX19">
        <v>608</v>
      </c>
      <c r="NY19" s="16">
        <v>44246</v>
      </c>
      <c r="NZ19">
        <v>53791</v>
      </c>
      <c r="OA19">
        <v>572</v>
      </c>
      <c r="OB19" s="16">
        <v>44247</v>
      </c>
      <c r="OC19">
        <v>54114</v>
      </c>
      <c r="OD19">
        <v>317</v>
      </c>
      <c r="OE19" s="16">
        <v>44248</v>
      </c>
      <c r="OF19">
        <v>54470</v>
      </c>
      <c r="OG19">
        <v>355</v>
      </c>
      <c r="OH19" s="16">
        <v>44249</v>
      </c>
      <c r="OI19">
        <v>55088</v>
      </c>
      <c r="OJ19">
        <v>622</v>
      </c>
      <c r="OK19" s="16">
        <v>44250</v>
      </c>
      <c r="OL19">
        <v>55713</v>
      </c>
      <c r="OM19">
        <v>624</v>
      </c>
      <c r="ON19" s="16">
        <v>44251</v>
      </c>
      <c r="OO19">
        <v>56313</v>
      </c>
      <c r="OP19">
        <v>599</v>
      </c>
      <c r="OQ19" s="16">
        <v>44252</v>
      </c>
      <c r="OR19">
        <v>56934</v>
      </c>
      <c r="OS19">
        <v>619</v>
      </c>
      <c r="OT19" s="16">
        <v>44253</v>
      </c>
      <c r="OU19">
        <v>57624</v>
      </c>
      <c r="OV19">
        <v>690</v>
      </c>
      <c r="OW19" s="16">
        <v>44254</v>
      </c>
      <c r="OX19">
        <v>58023</v>
      </c>
      <c r="OY19">
        <v>400</v>
      </c>
      <c r="OZ19" s="16">
        <v>44255</v>
      </c>
      <c r="PA19">
        <v>58445</v>
      </c>
      <c r="PB19">
        <v>420</v>
      </c>
      <c r="PC19" s="16">
        <v>44256</v>
      </c>
      <c r="PD19">
        <v>59316</v>
      </c>
      <c r="PE19">
        <v>869</v>
      </c>
      <c r="PF19" s="16">
        <v>44257</v>
      </c>
      <c r="PG19">
        <v>60072</v>
      </c>
      <c r="PH19">
        <v>757</v>
      </c>
      <c r="PI19" s="16">
        <v>44258</v>
      </c>
      <c r="PJ19">
        <v>60815</v>
      </c>
      <c r="PK19">
        <v>737</v>
      </c>
      <c r="PL19" s="16">
        <v>44259</v>
      </c>
      <c r="PM19">
        <v>61440</v>
      </c>
      <c r="PN19">
        <v>628</v>
      </c>
      <c r="PO19" s="16">
        <v>44260</v>
      </c>
      <c r="PP19">
        <v>62056</v>
      </c>
      <c r="PQ19">
        <v>608</v>
      </c>
      <c r="PR19" s="16">
        <v>44261</v>
      </c>
      <c r="PS19">
        <v>62491</v>
      </c>
      <c r="PT19">
        <v>435</v>
      </c>
      <c r="PU19" s="16">
        <v>44262</v>
      </c>
      <c r="PV19">
        <v>62885</v>
      </c>
      <c r="PW19">
        <v>394</v>
      </c>
      <c r="PX19" s="16">
        <v>44263</v>
      </c>
      <c r="PY19">
        <v>63734</v>
      </c>
      <c r="PZ19">
        <v>830</v>
      </c>
      <c r="QA19" s="16">
        <v>44264</v>
      </c>
      <c r="QB19">
        <v>64515</v>
      </c>
      <c r="QC19">
        <v>776</v>
      </c>
      <c r="QD19" s="16">
        <v>44265</v>
      </c>
      <c r="QE19">
        <v>65330</v>
      </c>
      <c r="QF19">
        <v>812</v>
      </c>
      <c r="QG19" s="16">
        <v>44266</v>
      </c>
      <c r="QH19">
        <v>66101</v>
      </c>
      <c r="QI19">
        <v>774</v>
      </c>
      <c r="QJ19" s="16">
        <v>44267</v>
      </c>
      <c r="QK19">
        <v>66913</v>
      </c>
      <c r="QL19">
        <v>808</v>
      </c>
      <c r="QM19" s="16">
        <v>44268</v>
      </c>
      <c r="QN19">
        <v>67404</v>
      </c>
      <c r="QO19">
        <v>492</v>
      </c>
      <c r="QP19" s="16">
        <v>44269</v>
      </c>
      <c r="QQ19">
        <v>67839</v>
      </c>
      <c r="QR19">
        <v>435</v>
      </c>
      <c r="QS19" s="16">
        <v>44270</v>
      </c>
      <c r="QT19">
        <v>68737</v>
      </c>
      <c r="QU19">
        <v>891</v>
      </c>
      <c r="QV19" s="16">
        <v>44271</v>
      </c>
      <c r="QW19">
        <v>69499</v>
      </c>
      <c r="QX19">
        <v>762</v>
      </c>
      <c r="QY19" s="16">
        <v>44272</v>
      </c>
      <c r="QZ19">
        <v>70242</v>
      </c>
      <c r="RA19">
        <v>744</v>
      </c>
      <c r="RB19" s="16">
        <v>44273</v>
      </c>
      <c r="RC19">
        <v>70981</v>
      </c>
      <c r="RD19">
        <v>737</v>
      </c>
      <c r="RE19" s="16">
        <v>44274</v>
      </c>
      <c r="RF19">
        <v>71721</v>
      </c>
      <c r="RG19">
        <v>743</v>
      </c>
      <c r="RH19" s="16">
        <v>44275</v>
      </c>
      <c r="RI19">
        <v>72121</v>
      </c>
      <c r="RJ19">
        <v>402</v>
      </c>
      <c r="RK19" s="16">
        <v>44276</v>
      </c>
      <c r="RL19">
        <v>72535</v>
      </c>
      <c r="RM19">
        <v>417</v>
      </c>
      <c r="RN19" s="16">
        <v>44278</v>
      </c>
      <c r="RO19">
        <v>73997</v>
      </c>
      <c r="RP19">
        <v>698</v>
      </c>
      <c r="RQ19" s="16">
        <v>44279</v>
      </c>
      <c r="RR19">
        <v>74697</v>
      </c>
      <c r="RS19">
        <v>698</v>
      </c>
      <c r="RT19">
        <v>44280</v>
      </c>
      <c r="RU19">
        <v>75304</v>
      </c>
      <c r="RV19">
        <v>606</v>
      </c>
      <c r="RW19">
        <v>44281</v>
      </c>
      <c r="RX19">
        <v>75989</v>
      </c>
      <c r="RY19">
        <v>685</v>
      </c>
      <c r="RZ19">
        <v>44282</v>
      </c>
      <c r="SA19">
        <v>76340</v>
      </c>
      <c r="SB19">
        <v>350</v>
      </c>
      <c r="SC19">
        <v>44283</v>
      </c>
      <c r="SD19">
        <v>76711</v>
      </c>
      <c r="SE19">
        <v>371</v>
      </c>
      <c r="SF19">
        <v>44284</v>
      </c>
      <c r="SG19">
        <v>77367</v>
      </c>
      <c r="SH19">
        <v>655</v>
      </c>
      <c r="SI19">
        <v>44285</v>
      </c>
      <c r="SJ19">
        <v>77934</v>
      </c>
      <c r="SK19">
        <v>566</v>
      </c>
      <c r="SL19">
        <v>44287</v>
      </c>
      <c r="SM19">
        <v>78969</v>
      </c>
      <c r="SN19">
        <v>487</v>
      </c>
      <c r="SO19">
        <v>44288</v>
      </c>
      <c r="SP19">
        <v>79349</v>
      </c>
      <c r="SQ19">
        <v>361</v>
      </c>
      <c r="SR19">
        <v>44289</v>
      </c>
      <c r="SS19">
        <v>79670</v>
      </c>
      <c r="ST19">
        <v>317</v>
      </c>
      <c r="SU19">
        <v>44290</v>
      </c>
      <c r="SV19">
        <v>79989</v>
      </c>
      <c r="SW19">
        <v>319</v>
      </c>
      <c r="SX19">
        <v>44292</v>
      </c>
      <c r="SY19">
        <v>80887</v>
      </c>
      <c r="SZ19">
        <v>538</v>
      </c>
      <c r="TA19">
        <v>44293</v>
      </c>
      <c r="TB19">
        <v>81321</v>
      </c>
      <c r="TC19">
        <v>424</v>
      </c>
      <c r="TD19">
        <v>44295</v>
      </c>
      <c r="TE19">
        <v>82074</v>
      </c>
      <c r="TF19">
        <v>348</v>
      </c>
      <c r="TG19">
        <v>44296</v>
      </c>
      <c r="TH19">
        <v>82302</v>
      </c>
      <c r="TI19">
        <v>224</v>
      </c>
      <c r="TJ19">
        <v>44297</v>
      </c>
      <c r="TK19">
        <v>82543</v>
      </c>
      <c r="TL19">
        <v>239</v>
      </c>
      <c r="TM19">
        <v>44298</v>
      </c>
      <c r="TN19">
        <v>82941</v>
      </c>
      <c r="TO19">
        <v>398</v>
      </c>
      <c r="TP19">
        <v>44300</v>
      </c>
      <c r="TQ19">
        <v>83613</v>
      </c>
      <c r="TR19">
        <v>345</v>
      </c>
      <c r="TS19">
        <v>44301</v>
      </c>
      <c r="TT19">
        <v>83892</v>
      </c>
      <c r="TU19">
        <v>275</v>
      </c>
      <c r="TV19">
        <v>44301</v>
      </c>
      <c r="TW19">
        <v>83898</v>
      </c>
      <c r="TX19">
        <v>275</v>
      </c>
      <c r="TY19">
        <v>44302</v>
      </c>
      <c r="TZ19">
        <v>84162</v>
      </c>
      <c r="UA19">
        <v>264</v>
      </c>
      <c r="UB19">
        <v>44304</v>
      </c>
      <c r="UC19">
        <v>84486</v>
      </c>
      <c r="UD19">
        <v>155</v>
      </c>
      <c r="UE19">
        <v>44304</v>
      </c>
      <c r="UF19">
        <v>84487</v>
      </c>
      <c r="UG19">
        <v>155</v>
      </c>
      <c r="UH19">
        <v>44305</v>
      </c>
      <c r="UI19">
        <v>84774</v>
      </c>
      <c r="UJ19">
        <v>284</v>
      </c>
      <c r="UK19">
        <v>44306</v>
      </c>
      <c r="UL19">
        <v>85060</v>
      </c>
      <c r="UM19">
        <v>285</v>
      </c>
      <c r="UN19">
        <v>44310</v>
      </c>
      <c r="UO19">
        <v>85979</v>
      </c>
      <c r="UP19">
        <v>154</v>
      </c>
      <c r="UQ19">
        <v>44311</v>
      </c>
      <c r="UR19">
        <v>86123</v>
      </c>
      <c r="US19">
        <v>141</v>
      </c>
      <c r="UT19">
        <v>44312</v>
      </c>
      <c r="UU19">
        <v>86362</v>
      </c>
      <c r="UV19">
        <v>243</v>
      </c>
      <c r="UW19">
        <v>44313</v>
      </c>
      <c r="UX19">
        <v>86589</v>
      </c>
      <c r="UY19">
        <v>228</v>
      </c>
      <c r="UZ19">
        <v>44315</v>
      </c>
      <c r="VA19">
        <v>87064</v>
      </c>
      <c r="VB19">
        <v>200</v>
      </c>
      <c r="VC19">
        <v>44315</v>
      </c>
      <c r="VD19">
        <v>87059</v>
      </c>
      <c r="VE19">
        <v>200</v>
      </c>
      <c r="VF19">
        <v>44316</v>
      </c>
      <c r="VG19">
        <v>87256</v>
      </c>
      <c r="VH19">
        <v>195</v>
      </c>
      <c r="VI19">
        <v>44318</v>
      </c>
      <c r="VJ19">
        <v>87496</v>
      </c>
      <c r="VK19">
        <v>135</v>
      </c>
      <c r="VL19">
        <v>44318</v>
      </c>
      <c r="VM19">
        <v>87496</v>
      </c>
      <c r="VN19">
        <v>135</v>
      </c>
      <c r="VO19">
        <v>44319</v>
      </c>
      <c r="VP19">
        <v>87813</v>
      </c>
      <c r="VQ19">
        <v>318</v>
      </c>
      <c r="VR19">
        <v>44320</v>
      </c>
      <c r="VS19">
        <v>88018</v>
      </c>
      <c r="VT19">
        <v>204</v>
      </c>
      <c r="VU19">
        <v>44322</v>
      </c>
      <c r="VV19">
        <v>88523</v>
      </c>
      <c r="VW19">
        <v>235</v>
      </c>
      <c r="VX19">
        <v>44322</v>
      </c>
      <c r="VY19">
        <v>88526</v>
      </c>
      <c r="VZ19">
        <v>234</v>
      </c>
      <c r="WA19">
        <v>44323</v>
      </c>
      <c r="WB19">
        <v>88743</v>
      </c>
      <c r="WC19">
        <v>214</v>
      </c>
      <c r="WD19">
        <v>44324</v>
      </c>
      <c r="WE19">
        <v>88872</v>
      </c>
      <c r="WF19">
        <v>129</v>
      </c>
      <c r="WG19">
        <v>44325</v>
      </c>
      <c r="WH19">
        <v>89001</v>
      </c>
      <c r="WI19">
        <v>129</v>
      </c>
      <c r="WJ19">
        <v>44327</v>
      </c>
      <c r="WK19">
        <v>89474</v>
      </c>
      <c r="WL19">
        <v>214</v>
      </c>
      <c r="WM19">
        <v>44327</v>
      </c>
      <c r="WN19">
        <v>89476</v>
      </c>
      <c r="WO19">
        <v>214</v>
      </c>
      <c r="WP19">
        <v>44330</v>
      </c>
      <c r="WQ19">
        <v>90131</v>
      </c>
      <c r="WR19">
        <v>243</v>
      </c>
      <c r="WS19">
        <v>44331</v>
      </c>
      <c r="WT19">
        <v>90292</v>
      </c>
      <c r="WU19">
        <v>159</v>
      </c>
      <c r="WV19">
        <v>44332</v>
      </c>
      <c r="WW19">
        <v>90428</v>
      </c>
      <c r="WX19">
        <v>133</v>
      </c>
      <c r="WY19">
        <v>44333</v>
      </c>
      <c r="WZ19">
        <v>90715</v>
      </c>
      <c r="XA19">
        <v>284</v>
      </c>
      <c r="XB19">
        <v>44334</v>
      </c>
      <c r="XC19">
        <v>90932</v>
      </c>
      <c r="XD19">
        <v>216</v>
      </c>
      <c r="XE19">
        <v>44336</v>
      </c>
      <c r="XF19">
        <v>91377</v>
      </c>
      <c r="XG19">
        <v>215</v>
      </c>
      <c r="XH19">
        <v>44336</v>
      </c>
      <c r="XI19">
        <v>91383</v>
      </c>
      <c r="XJ19">
        <v>214</v>
      </c>
      <c r="XK19">
        <v>44337</v>
      </c>
      <c r="XL19">
        <v>91553</v>
      </c>
      <c r="XM19">
        <v>169</v>
      </c>
      <c r="XN19">
        <v>44338</v>
      </c>
      <c r="XO19">
        <v>91660</v>
      </c>
      <c r="XP19">
        <v>107</v>
      </c>
      <c r="XQ19">
        <v>44339</v>
      </c>
      <c r="XR19">
        <v>91753</v>
      </c>
      <c r="XS19">
        <v>92</v>
      </c>
      <c r="XT19">
        <v>44340</v>
      </c>
      <c r="XU19">
        <v>91945</v>
      </c>
      <c r="XV19">
        <v>188</v>
      </c>
      <c r="XW19">
        <v>44341</v>
      </c>
      <c r="XX19">
        <v>92100</v>
      </c>
      <c r="XY19">
        <v>152</v>
      </c>
      <c r="XZ19">
        <v>44342</v>
      </c>
      <c r="YA19">
        <v>92243</v>
      </c>
      <c r="YB19">
        <v>142</v>
      </c>
      <c r="YC19">
        <v>44344</v>
      </c>
      <c r="YD19">
        <v>92508</v>
      </c>
      <c r="YE19">
        <v>136</v>
      </c>
      <c r="YF19">
        <v>44345</v>
      </c>
      <c r="YG19">
        <v>92574</v>
      </c>
      <c r="YH19">
        <v>64</v>
      </c>
      <c r="YI19">
        <v>44346</v>
      </c>
      <c r="YJ19">
        <v>92655</v>
      </c>
      <c r="YK19">
        <v>79</v>
      </c>
      <c r="YL19">
        <v>44347</v>
      </c>
      <c r="YM19">
        <v>92799</v>
      </c>
      <c r="YN19">
        <v>144</v>
      </c>
      <c r="YO19">
        <v>44348</v>
      </c>
      <c r="YP19">
        <v>92924</v>
      </c>
      <c r="YQ19">
        <v>121</v>
      </c>
      <c r="YR19">
        <v>44349</v>
      </c>
      <c r="YS19">
        <v>93043</v>
      </c>
      <c r="YT19">
        <v>118</v>
      </c>
      <c r="YU19">
        <v>44350</v>
      </c>
      <c r="YV19">
        <v>93162</v>
      </c>
      <c r="YW19">
        <v>111</v>
      </c>
    </row>
    <row r="20" spans="2:673">
      <c r="B20" t="str">
        <f t="shared" ca="1" si="2"/>
        <v>4.6</v>
      </c>
      <c r="C20" s="4">
        <f t="shared" ca="1" si="0"/>
        <v>44351</v>
      </c>
      <c r="D20" s="11">
        <f t="shared" ca="1" si="1"/>
        <v>93263</v>
      </c>
      <c r="E20">
        <f t="shared" ca="1" si="3"/>
        <v>101</v>
      </c>
      <c r="F20" s="11">
        <f t="shared" ca="1" si="4"/>
        <v>0</v>
      </c>
      <c r="G20" s="11">
        <f t="shared" ca="1" si="5"/>
        <v>101</v>
      </c>
      <c r="L20" s="3"/>
      <c r="N20" s="16">
        <v>44351</v>
      </c>
      <c r="O20">
        <v>93263</v>
      </c>
      <c r="P20" s="10">
        <v>101</v>
      </c>
      <c r="Q20" s="16">
        <v>44351</v>
      </c>
      <c r="R20">
        <v>93263</v>
      </c>
      <c r="S20">
        <v>101</v>
      </c>
      <c r="T20" s="16">
        <v>44098</v>
      </c>
      <c r="U20">
        <v>9679</v>
      </c>
      <c r="V20">
        <v>98</v>
      </c>
      <c r="W20" s="16">
        <v>44099</v>
      </c>
      <c r="X20">
        <v>9805</v>
      </c>
      <c r="Y20">
        <v>125</v>
      </c>
      <c r="Z20" s="16">
        <v>44100</v>
      </c>
      <c r="AA20">
        <v>9881</v>
      </c>
      <c r="AB20">
        <v>73</v>
      </c>
      <c r="AC20" s="16">
        <v>44101</v>
      </c>
      <c r="AD20">
        <v>9950</v>
      </c>
      <c r="AE20">
        <v>70</v>
      </c>
      <c r="AF20" s="16">
        <v>44102</v>
      </c>
      <c r="AG20">
        <v>10074</v>
      </c>
      <c r="AH20">
        <v>124</v>
      </c>
      <c r="AI20" s="16">
        <v>44103</v>
      </c>
      <c r="AJ20">
        <v>10210</v>
      </c>
      <c r="AK20">
        <v>135</v>
      </c>
      <c r="AL20" s="16">
        <v>44104</v>
      </c>
      <c r="AM20">
        <v>10374</v>
      </c>
      <c r="AN20">
        <v>166</v>
      </c>
      <c r="AO20" s="16">
        <v>44105</v>
      </c>
      <c r="AP20">
        <v>10562</v>
      </c>
      <c r="AQ20">
        <v>188</v>
      </c>
      <c r="AR20" s="16">
        <v>44106</v>
      </c>
      <c r="AS20">
        <v>10748</v>
      </c>
      <c r="AT20">
        <v>187</v>
      </c>
      <c r="AU20" s="16">
        <v>44107</v>
      </c>
      <c r="AV20">
        <v>10915</v>
      </c>
      <c r="AW20">
        <v>169</v>
      </c>
      <c r="AX20" s="16">
        <v>44108</v>
      </c>
      <c r="AY20">
        <v>11061</v>
      </c>
      <c r="AZ20">
        <v>147</v>
      </c>
      <c r="BA20" s="16">
        <v>44109</v>
      </c>
      <c r="BB20">
        <v>11347</v>
      </c>
      <c r="BC20">
        <v>286</v>
      </c>
      <c r="BD20" s="16">
        <v>44110</v>
      </c>
      <c r="BE20">
        <v>11649</v>
      </c>
      <c r="BF20">
        <v>299</v>
      </c>
      <c r="BG20" s="16">
        <v>44111</v>
      </c>
      <c r="BH20">
        <v>11954</v>
      </c>
      <c r="BI20">
        <v>306</v>
      </c>
      <c r="BJ20" s="16">
        <v>44112</v>
      </c>
      <c r="BK20">
        <v>12216</v>
      </c>
      <c r="BL20">
        <v>260</v>
      </c>
      <c r="BM20" s="16">
        <v>44113</v>
      </c>
      <c r="BN20">
        <v>12443</v>
      </c>
      <c r="BO20">
        <v>226</v>
      </c>
      <c r="BP20" s="16">
        <v>44114</v>
      </c>
      <c r="BQ20">
        <v>12551</v>
      </c>
      <c r="BR20">
        <v>109</v>
      </c>
      <c r="BS20" s="16">
        <v>44115</v>
      </c>
      <c r="BT20">
        <v>12682</v>
      </c>
      <c r="BU20">
        <v>130</v>
      </c>
      <c r="BV20" s="16">
        <v>44117</v>
      </c>
      <c r="BW20">
        <v>13132</v>
      </c>
      <c r="BX20">
        <v>198</v>
      </c>
      <c r="BY20" s="16">
        <v>44118</v>
      </c>
      <c r="BZ20">
        <v>13333</v>
      </c>
      <c r="CA20">
        <v>200</v>
      </c>
      <c r="CB20" s="16">
        <v>44119</v>
      </c>
      <c r="CC20">
        <v>13527</v>
      </c>
      <c r="CD20">
        <v>190</v>
      </c>
      <c r="CE20" s="16">
        <v>44120</v>
      </c>
      <c r="CF20">
        <v>13727</v>
      </c>
      <c r="CG20">
        <v>192</v>
      </c>
      <c r="CH20" s="16">
        <v>44121</v>
      </c>
      <c r="CI20">
        <v>13828</v>
      </c>
      <c r="CJ20">
        <v>100</v>
      </c>
      <c r="CK20" s="16">
        <v>44122</v>
      </c>
      <c r="CL20">
        <v>13955</v>
      </c>
      <c r="CM20">
        <v>127</v>
      </c>
      <c r="CN20" s="16">
        <v>44123</v>
      </c>
      <c r="CO20">
        <v>14199</v>
      </c>
      <c r="CP20">
        <v>244</v>
      </c>
      <c r="CQ20" s="16">
        <v>44124</v>
      </c>
      <c r="CR20">
        <v>14361</v>
      </c>
      <c r="CS20">
        <v>162</v>
      </c>
      <c r="CT20" s="16">
        <v>44125</v>
      </c>
      <c r="CU20">
        <v>14554</v>
      </c>
      <c r="CV20">
        <v>189</v>
      </c>
      <c r="CW20" s="16">
        <v>44126</v>
      </c>
      <c r="CX20">
        <v>14770</v>
      </c>
      <c r="CY20">
        <v>213</v>
      </c>
      <c r="CZ20" s="16">
        <v>44128</v>
      </c>
      <c r="DA20">
        <v>15068</v>
      </c>
      <c r="DB20">
        <v>108</v>
      </c>
      <c r="DC20" s="16">
        <v>44129</v>
      </c>
      <c r="DD20">
        <v>15190</v>
      </c>
      <c r="DE20">
        <v>123</v>
      </c>
      <c r="DF20" s="16">
        <v>44130</v>
      </c>
      <c r="DG20">
        <v>15447</v>
      </c>
      <c r="DH20">
        <v>255</v>
      </c>
      <c r="DI20" s="16">
        <v>44131</v>
      </c>
      <c r="DJ20">
        <v>15677</v>
      </c>
      <c r="DK20">
        <v>229</v>
      </c>
      <c r="DL20" s="16">
        <v>44132</v>
      </c>
      <c r="DM20">
        <v>15923</v>
      </c>
      <c r="DN20">
        <v>240</v>
      </c>
      <c r="DO20" s="16">
        <v>44133</v>
      </c>
      <c r="DP20">
        <v>16161</v>
      </c>
      <c r="DQ20">
        <v>237</v>
      </c>
      <c r="DR20" s="16">
        <v>44134</v>
      </c>
      <c r="DS20">
        <v>16381</v>
      </c>
      <c r="DT20">
        <v>219</v>
      </c>
      <c r="DU20" s="16">
        <v>44135</v>
      </c>
      <c r="DV20">
        <v>16504</v>
      </c>
      <c r="DW20">
        <v>121</v>
      </c>
      <c r="DX20" s="16">
        <v>44136</v>
      </c>
      <c r="DY20">
        <v>16654</v>
      </c>
      <c r="DZ20">
        <v>150</v>
      </c>
      <c r="EA20" s="16">
        <v>44137</v>
      </c>
      <c r="EB20">
        <v>16935</v>
      </c>
      <c r="EC20">
        <v>281</v>
      </c>
      <c r="ED20" s="16">
        <v>44138</v>
      </c>
      <c r="EE20">
        <v>17168</v>
      </c>
      <c r="EF20">
        <v>241</v>
      </c>
      <c r="EG20" s="16">
        <v>44139</v>
      </c>
      <c r="EH20">
        <v>17378</v>
      </c>
      <c r="EI20">
        <v>210</v>
      </c>
      <c r="EJ20" s="16">
        <v>44140</v>
      </c>
      <c r="EK20">
        <v>17598</v>
      </c>
      <c r="EL20">
        <v>220</v>
      </c>
      <c r="EM20" s="16">
        <v>44141</v>
      </c>
      <c r="EN20">
        <v>17792</v>
      </c>
      <c r="EO20">
        <v>194</v>
      </c>
      <c r="EP20" s="16">
        <v>44142</v>
      </c>
      <c r="EQ20">
        <v>17920</v>
      </c>
      <c r="ER20">
        <v>128</v>
      </c>
      <c r="ES20" s="16">
        <v>44143</v>
      </c>
      <c r="ET20">
        <v>18055</v>
      </c>
      <c r="EU20">
        <v>133</v>
      </c>
      <c r="EV20" s="16">
        <v>44144</v>
      </c>
      <c r="EW20">
        <v>18330</v>
      </c>
      <c r="EX20">
        <v>275</v>
      </c>
      <c r="EY20" s="16">
        <v>44145</v>
      </c>
      <c r="EZ20">
        <v>18535</v>
      </c>
      <c r="FA20">
        <v>205</v>
      </c>
      <c r="FB20" s="16">
        <v>44146</v>
      </c>
      <c r="FC20">
        <v>18825</v>
      </c>
      <c r="FD20">
        <v>291</v>
      </c>
      <c r="FE20" s="16">
        <v>44147</v>
      </c>
      <c r="FF20">
        <v>19051</v>
      </c>
      <c r="FG20">
        <v>277</v>
      </c>
      <c r="FH20" s="16">
        <v>44148</v>
      </c>
      <c r="FI20">
        <v>19374</v>
      </c>
      <c r="FJ20">
        <v>262</v>
      </c>
      <c r="FK20" s="16">
        <v>44149</v>
      </c>
      <c r="FL20">
        <v>19537</v>
      </c>
      <c r="FM20">
        <v>145</v>
      </c>
      <c r="FN20" s="16">
        <v>44150</v>
      </c>
      <c r="FO20">
        <v>19718</v>
      </c>
      <c r="FP20">
        <v>181</v>
      </c>
      <c r="FQ20" s="16">
        <v>44151</v>
      </c>
      <c r="FR20">
        <v>20111</v>
      </c>
      <c r="FS20">
        <v>393</v>
      </c>
      <c r="FT20" s="16">
        <v>44152</v>
      </c>
      <c r="FU20">
        <v>20522</v>
      </c>
      <c r="FV20">
        <v>391</v>
      </c>
      <c r="FW20" s="16">
        <v>44153</v>
      </c>
      <c r="FX20">
        <v>20896</v>
      </c>
      <c r="FY20">
        <v>372</v>
      </c>
      <c r="FZ20" s="16">
        <v>44154</v>
      </c>
      <c r="GA20">
        <v>21381</v>
      </c>
      <c r="GB20">
        <v>479</v>
      </c>
      <c r="GC20" s="16">
        <v>44155</v>
      </c>
      <c r="GD20">
        <v>21811</v>
      </c>
      <c r="GE20">
        <v>431</v>
      </c>
      <c r="GF20" s="16">
        <v>44156</v>
      </c>
      <c r="GG20">
        <v>22081</v>
      </c>
      <c r="GH20">
        <v>269</v>
      </c>
      <c r="GI20" s="16">
        <v>44157</v>
      </c>
      <c r="GJ20">
        <v>22346</v>
      </c>
      <c r="GK20">
        <v>263</v>
      </c>
      <c r="GL20" s="16">
        <v>44158</v>
      </c>
      <c r="GM20">
        <v>22836</v>
      </c>
      <c r="GN20">
        <v>490</v>
      </c>
      <c r="GO20" s="16">
        <v>44159</v>
      </c>
      <c r="GP20">
        <v>23296</v>
      </c>
      <c r="GQ20">
        <v>460</v>
      </c>
      <c r="GR20" s="16">
        <v>44160</v>
      </c>
      <c r="GS20">
        <v>23900</v>
      </c>
      <c r="GT20">
        <v>601</v>
      </c>
      <c r="GU20" s="16">
        <v>44161</v>
      </c>
      <c r="GV20">
        <v>24441</v>
      </c>
      <c r="GW20">
        <v>511</v>
      </c>
      <c r="GX20" s="16">
        <v>44162</v>
      </c>
      <c r="GY20">
        <v>24906</v>
      </c>
      <c r="GZ20">
        <v>460</v>
      </c>
      <c r="HA20" s="16">
        <v>44163</v>
      </c>
      <c r="HB20">
        <v>25190</v>
      </c>
      <c r="HC20">
        <v>282</v>
      </c>
      <c r="HD20" s="16">
        <v>44164</v>
      </c>
      <c r="HE20">
        <v>25482</v>
      </c>
      <c r="HF20">
        <v>293</v>
      </c>
      <c r="HG20" s="16">
        <v>44165</v>
      </c>
      <c r="HH20">
        <v>26071</v>
      </c>
      <c r="HI20">
        <v>596</v>
      </c>
      <c r="HJ20" s="16">
        <v>44166</v>
      </c>
      <c r="HK20">
        <v>26510</v>
      </c>
      <c r="HL20">
        <v>441</v>
      </c>
      <c r="HM20" s="16">
        <v>44167</v>
      </c>
      <c r="HN20">
        <v>27000</v>
      </c>
      <c r="HO20">
        <v>493</v>
      </c>
      <c r="HP20" s="16">
        <v>44168</v>
      </c>
      <c r="HQ20">
        <v>27485</v>
      </c>
      <c r="HR20">
        <v>476</v>
      </c>
      <c r="HS20" s="16">
        <v>44169</v>
      </c>
      <c r="HT20">
        <v>27954</v>
      </c>
      <c r="HU20">
        <v>472</v>
      </c>
      <c r="HV20" s="16">
        <v>44170</v>
      </c>
      <c r="HW20">
        <v>28206</v>
      </c>
      <c r="HX20">
        <v>249</v>
      </c>
      <c r="HY20" s="16">
        <v>44171</v>
      </c>
      <c r="HZ20">
        <v>28486</v>
      </c>
      <c r="IA20">
        <v>281</v>
      </c>
      <c r="IB20" s="16">
        <v>44172</v>
      </c>
      <c r="IC20">
        <v>29072</v>
      </c>
      <c r="ID20">
        <v>587</v>
      </c>
      <c r="IE20" s="16">
        <v>44173</v>
      </c>
      <c r="IF20">
        <v>29551</v>
      </c>
      <c r="IG20">
        <v>476</v>
      </c>
      <c r="IH20" s="16">
        <v>44174</v>
      </c>
      <c r="II20">
        <v>30012</v>
      </c>
      <c r="IJ20">
        <v>462</v>
      </c>
      <c r="IK20" s="16">
        <v>44175</v>
      </c>
      <c r="IL20">
        <v>30421</v>
      </c>
      <c r="IM20">
        <v>408</v>
      </c>
      <c r="IN20" s="16">
        <v>44176</v>
      </c>
      <c r="IO20">
        <v>30864</v>
      </c>
      <c r="IP20">
        <v>443</v>
      </c>
      <c r="IQ20" s="16">
        <v>44177</v>
      </c>
      <c r="IR20">
        <v>31114</v>
      </c>
      <c r="IS20">
        <v>250</v>
      </c>
      <c r="IT20" s="16">
        <v>44178</v>
      </c>
      <c r="IU20">
        <v>31389</v>
      </c>
      <c r="IV20">
        <v>275</v>
      </c>
      <c r="IW20" s="16">
        <v>44179</v>
      </c>
      <c r="IX20">
        <v>31850</v>
      </c>
      <c r="IY20">
        <v>461</v>
      </c>
      <c r="IZ20" s="16">
        <v>44180</v>
      </c>
      <c r="JA20">
        <v>32212</v>
      </c>
      <c r="JB20">
        <v>358</v>
      </c>
      <c r="JC20" s="16">
        <v>44184</v>
      </c>
      <c r="JD20">
        <v>33476</v>
      </c>
      <c r="JE20">
        <v>190</v>
      </c>
      <c r="JF20" s="16">
        <v>44188</v>
      </c>
      <c r="JG20">
        <v>34699</v>
      </c>
      <c r="JH20">
        <v>277</v>
      </c>
      <c r="JI20" s="16">
        <v>44189</v>
      </c>
      <c r="JJ20">
        <v>34881</v>
      </c>
      <c r="JK20">
        <v>138</v>
      </c>
      <c r="JL20" s="16">
        <v>44190</v>
      </c>
      <c r="JM20">
        <v>35032</v>
      </c>
      <c r="JN20">
        <v>157</v>
      </c>
      <c r="JO20" s="16">
        <v>44191</v>
      </c>
      <c r="JP20">
        <v>35206</v>
      </c>
      <c r="JQ20">
        <v>183</v>
      </c>
      <c r="JR20" s="16">
        <v>44193</v>
      </c>
      <c r="JS20">
        <v>35829</v>
      </c>
      <c r="JT20">
        <v>430</v>
      </c>
      <c r="JU20" s="16">
        <v>44193</v>
      </c>
      <c r="JV20">
        <v>35830</v>
      </c>
      <c r="JW20">
        <v>430</v>
      </c>
      <c r="JX20" s="16">
        <v>44195</v>
      </c>
      <c r="JY20">
        <v>36386</v>
      </c>
      <c r="JZ20">
        <v>255</v>
      </c>
      <c r="KA20" s="16">
        <v>44207</v>
      </c>
      <c r="KB20">
        <v>39307</v>
      </c>
      <c r="KC20">
        <v>336</v>
      </c>
      <c r="KD20" s="16">
        <v>44207</v>
      </c>
      <c r="KE20">
        <v>39370</v>
      </c>
      <c r="KF20">
        <v>387</v>
      </c>
      <c r="KG20" s="16">
        <v>44208</v>
      </c>
      <c r="KH20">
        <v>39588</v>
      </c>
      <c r="KI20">
        <v>226</v>
      </c>
      <c r="KJ20" s="16">
        <v>44210</v>
      </c>
      <c r="KK20">
        <v>40093</v>
      </c>
      <c r="KL20">
        <v>248</v>
      </c>
      <c r="KM20" s="16">
        <v>44211</v>
      </c>
      <c r="KN20">
        <v>40363</v>
      </c>
      <c r="KO20">
        <v>265</v>
      </c>
      <c r="KP20" s="16">
        <v>44215</v>
      </c>
      <c r="KQ20">
        <v>41519</v>
      </c>
      <c r="KR20">
        <v>343</v>
      </c>
      <c r="KS20" s="16">
        <v>44216</v>
      </c>
      <c r="KT20">
        <v>41921</v>
      </c>
      <c r="KU20">
        <v>398</v>
      </c>
      <c r="KV20" s="16">
        <v>44217</v>
      </c>
      <c r="KW20">
        <v>42299</v>
      </c>
      <c r="KX20">
        <v>377</v>
      </c>
      <c r="KY20" s="16">
        <v>44219</v>
      </c>
      <c r="KZ20">
        <v>42827</v>
      </c>
      <c r="LA20">
        <v>170</v>
      </c>
      <c r="LB20" s="16">
        <v>44220</v>
      </c>
      <c r="LC20">
        <v>43085</v>
      </c>
      <c r="LD20">
        <v>244</v>
      </c>
      <c r="LE20" s="16">
        <v>44221</v>
      </c>
      <c r="LF20">
        <v>43688</v>
      </c>
      <c r="LG20">
        <v>603</v>
      </c>
      <c r="LH20" s="16">
        <v>44223</v>
      </c>
      <c r="LI20">
        <v>44435</v>
      </c>
      <c r="LJ20">
        <v>383</v>
      </c>
      <c r="LK20" s="16">
        <v>44223</v>
      </c>
      <c r="LL20">
        <v>44436</v>
      </c>
      <c r="LM20">
        <v>383</v>
      </c>
      <c r="LN20" s="16">
        <v>44225</v>
      </c>
      <c r="LO20">
        <v>45270</v>
      </c>
      <c r="LP20">
        <v>373</v>
      </c>
      <c r="LQ20" s="16">
        <v>44226</v>
      </c>
      <c r="LR20">
        <v>45498</v>
      </c>
      <c r="LS20">
        <v>231</v>
      </c>
      <c r="LT20" s="16">
        <v>44227</v>
      </c>
      <c r="LU20">
        <v>45772</v>
      </c>
      <c r="LV20">
        <v>273</v>
      </c>
      <c r="LW20" s="16">
        <v>44228</v>
      </c>
      <c r="LX20">
        <v>46315</v>
      </c>
      <c r="LY20">
        <v>531</v>
      </c>
      <c r="LZ20" s="16">
        <v>44229</v>
      </c>
      <c r="MA20">
        <v>46699</v>
      </c>
      <c r="MB20">
        <v>395</v>
      </c>
      <c r="MC20" s="16">
        <v>44230</v>
      </c>
      <c r="MD20">
        <v>47149</v>
      </c>
      <c r="ME20">
        <v>439</v>
      </c>
      <c r="MF20" s="16">
        <v>44232</v>
      </c>
      <c r="MG20">
        <v>47887</v>
      </c>
      <c r="MH20">
        <v>366</v>
      </c>
      <c r="MI20" s="16">
        <v>44232</v>
      </c>
      <c r="MJ20">
        <v>47888</v>
      </c>
      <c r="MK20">
        <v>366</v>
      </c>
      <c r="ML20" s="16">
        <v>44233</v>
      </c>
      <c r="MM20">
        <v>48124</v>
      </c>
      <c r="MN20">
        <v>240</v>
      </c>
      <c r="MO20" s="16">
        <v>44234</v>
      </c>
      <c r="MP20">
        <v>48385</v>
      </c>
      <c r="MQ20">
        <v>260</v>
      </c>
      <c r="MR20" s="16">
        <v>44235</v>
      </c>
      <c r="MS20">
        <v>48848</v>
      </c>
      <c r="MT20">
        <v>459</v>
      </c>
      <c r="MU20" s="16">
        <v>44236</v>
      </c>
      <c r="MV20">
        <v>49218</v>
      </c>
      <c r="MW20">
        <v>370</v>
      </c>
      <c r="MX20" s="16">
        <v>44237</v>
      </c>
      <c r="MY20">
        <v>49600</v>
      </c>
      <c r="MZ20">
        <v>382</v>
      </c>
      <c r="NA20" s="16">
        <v>44237</v>
      </c>
      <c r="NB20">
        <v>49601</v>
      </c>
      <c r="NC20">
        <v>382</v>
      </c>
      <c r="ND20" s="16">
        <v>44240</v>
      </c>
      <c r="NE20">
        <v>50652</v>
      </c>
      <c r="NF20">
        <v>275</v>
      </c>
      <c r="NG20" s="16">
        <v>44240</v>
      </c>
      <c r="NH20">
        <v>50650</v>
      </c>
      <c r="NI20">
        <v>275</v>
      </c>
      <c r="NJ20" s="16">
        <v>44242</v>
      </c>
      <c r="NK20">
        <v>51541</v>
      </c>
      <c r="NL20">
        <v>610</v>
      </c>
      <c r="NM20" s="16">
        <v>44242</v>
      </c>
      <c r="NN20">
        <v>51542</v>
      </c>
      <c r="NO20">
        <v>610</v>
      </c>
      <c r="NP20" s="16">
        <v>44244</v>
      </c>
      <c r="NQ20">
        <v>52596</v>
      </c>
      <c r="NR20">
        <v>544</v>
      </c>
      <c r="NS20" s="16">
        <v>44245</v>
      </c>
      <c r="NT20">
        <v>53214</v>
      </c>
      <c r="NU20">
        <v>608</v>
      </c>
      <c r="NV20" s="16">
        <v>44246</v>
      </c>
      <c r="NW20">
        <v>53787</v>
      </c>
      <c r="NX20">
        <v>572</v>
      </c>
      <c r="NY20" s="16">
        <v>44247</v>
      </c>
      <c r="NZ20">
        <v>54108</v>
      </c>
      <c r="OA20">
        <v>317</v>
      </c>
      <c r="OB20" s="16">
        <v>44248</v>
      </c>
      <c r="OC20">
        <v>54469</v>
      </c>
      <c r="OD20">
        <v>355</v>
      </c>
      <c r="OE20" s="16">
        <v>44249</v>
      </c>
      <c r="OF20">
        <v>55092</v>
      </c>
      <c r="OG20">
        <v>622</v>
      </c>
      <c r="OH20" s="16">
        <v>44250</v>
      </c>
      <c r="OI20">
        <v>55711</v>
      </c>
      <c r="OJ20">
        <v>623</v>
      </c>
      <c r="OK20" s="16">
        <v>44251</v>
      </c>
      <c r="OL20">
        <v>56312</v>
      </c>
      <c r="OM20">
        <v>599</v>
      </c>
      <c r="ON20" s="16">
        <v>44252</v>
      </c>
      <c r="OO20">
        <v>56931</v>
      </c>
      <c r="OP20">
        <v>618</v>
      </c>
      <c r="OQ20" s="16">
        <v>44253</v>
      </c>
      <c r="OR20">
        <v>57622</v>
      </c>
      <c r="OS20">
        <v>688</v>
      </c>
      <c r="OT20" s="16">
        <v>44254</v>
      </c>
      <c r="OU20">
        <v>58024</v>
      </c>
      <c r="OV20">
        <v>400</v>
      </c>
      <c r="OW20" s="16">
        <v>44255</v>
      </c>
      <c r="OX20">
        <v>58443</v>
      </c>
      <c r="OY20">
        <v>420</v>
      </c>
      <c r="OZ20" s="16">
        <v>44256</v>
      </c>
      <c r="PA20">
        <v>59313</v>
      </c>
      <c r="PB20">
        <v>868</v>
      </c>
      <c r="PC20" s="16">
        <v>44257</v>
      </c>
      <c r="PD20">
        <v>60073</v>
      </c>
      <c r="PE20">
        <v>757</v>
      </c>
      <c r="PF20" s="16">
        <v>44258</v>
      </c>
      <c r="PG20">
        <v>60809</v>
      </c>
      <c r="PH20">
        <v>737</v>
      </c>
      <c r="PI20" s="16">
        <v>44259</v>
      </c>
      <c r="PJ20">
        <v>61439</v>
      </c>
      <c r="PK20">
        <v>624</v>
      </c>
      <c r="PL20" s="16">
        <v>44260</v>
      </c>
      <c r="PM20">
        <v>62048</v>
      </c>
      <c r="PN20">
        <v>608</v>
      </c>
      <c r="PO20" s="16">
        <v>44261</v>
      </c>
      <c r="PP20">
        <v>62491</v>
      </c>
      <c r="PQ20">
        <v>435</v>
      </c>
      <c r="PR20" s="16">
        <v>44262</v>
      </c>
      <c r="PS20">
        <v>62885</v>
      </c>
      <c r="PT20">
        <v>394</v>
      </c>
      <c r="PU20" s="16">
        <v>44263</v>
      </c>
      <c r="PV20">
        <v>63715</v>
      </c>
      <c r="PW20">
        <v>830</v>
      </c>
      <c r="PX20" s="16">
        <v>44264</v>
      </c>
      <c r="PY20">
        <v>64510</v>
      </c>
      <c r="PZ20">
        <v>776</v>
      </c>
      <c r="QA20" s="16">
        <v>44265</v>
      </c>
      <c r="QB20">
        <v>65327</v>
      </c>
      <c r="QC20">
        <v>812</v>
      </c>
      <c r="QD20" s="16">
        <v>44266</v>
      </c>
      <c r="QE20">
        <v>66103</v>
      </c>
      <c r="QF20">
        <v>773</v>
      </c>
      <c r="QG20" s="16">
        <v>44267</v>
      </c>
      <c r="QH20">
        <v>66909</v>
      </c>
      <c r="QI20">
        <v>808</v>
      </c>
      <c r="QJ20" s="16">
        <v>44268</v>
      </c>
      <c r="QK20">
        <v>67405</v>
      </c>
      <c r="QL20">
        <v>492</v>
      </c>
      <c r="QM20" s="16">
        <v>44269</v>
      </c>
      <c r="QN20">
        <v>67839</v>
      </c>
      <c r="QO20">
        <v>435</v>
      </c>
      <c r="QP20" s="16">
        <v>44270</v>
      </c>
      <c r="QQ20">
        <v>68729</v>
      </c>
      <c r="QR20">
        <v>890</v>
      </c>
      <c r="QS20" s="16">
        <v>44271</v>
      </c>
      <c r="QT20">
        <v>69499</v>
      </c>
      <c r="QU20">
        <v>762</v>
      </c>
      <c r="QV20" s="16">
        <v>44272</v>
      </c>
      <c r="QW20">
        <v>70243</v>
      </c>
      <c r="QX20">
        <v>744</v>
      </c>
      <c r="QY20" s="16">
        <v>44273</v>
      </c>
      <c r="QZ20">
        <v>70979</v>
      </c>
      <c r="RA20">
        <v>737</v>
      </c>
      <c r="RB20" s="16">
        <v>44274</v>
      </c>
      <c r="RC20">
        <v>71724</v>
      </c>
      <c r="RD20">
        <v>743</v>
      </c>
      <c r="RE20" s="16">
        <v>44275</v>
      </c>
      <c r="RF20">
        <v>72123</v>
      </c>
      <c r="RG20">
        <v>402</v>
      </c>
      <c r="RH20" s="16">
        <v>44276</v>
      </c>
      <c r="RI20">
        <v>72538</v>
      </c>
      <c r="RJ20">
        <v>417</v>
      </c>
      <c r="RK20" s="16">
        <v>44277</v>
      </c>
      <c r="RL20">
        <v>73299</v>
      </c>
      <c r="RM20">
        <v>764</v>
      </c>
      <c r="RN20" s="16">
        <v>44279</v>
      </c>
      <c r="RO20">
        <v>74696</v>
      </c>
      <c r="RP20">
        <v>699</v>
      </c>
      <c r="RQ20" s="16">
        <v>44280</v>
      </c>
      <c r="RR20">
        <v>75303</v>
      </c>
      <c r="RS20">
        <v>606</v>
      </c>
      <c r="RT20">
        <v>44281</v>
      </c>
      <c r="RU20">
        <v>75988</v>
      </c>
      <c r="RV20">
        <v>684</v>
      </c>
      <c r="RW20">
        <v>44282</v>
      </c>
      <c r="RX20">
        <v>76339</v>
      </c>
      <c r="RY20">
        <v>350</v>
      </c>
      <c r="RZ20">
        <v>44283</v>
      </c>
      <c r="SA20">
        <v>76711</v>
      </c>
      <c r="SB20">
        <v>371</v>
      </c>
      <c r="SC20">
        <v>44284</v>
      </c>
      <c r="SD20">
        <v>77366</v>
      </c>
      <c r="SE20">
        <v>655</v>
      </c>
      <c r="SF20">
        <v>44285</v>
      </c>
      <c r="SG20">
        <v>77933</v>
      </c>
      <c r="SH20">
        <v>566</v>
      </c>
      <c r="SI20">
        <v>44286</v>
      </c>
      <c r="SJ20">
        <v>78482</v>
      </c>
      <c r="SK20">
        <v>548</v>
      </c>
      <c r="SL20">
        <v>44288</v>
      </c>
      <c r="SM20">
        <v>79330</v>
      </c>
      <c r="SN20">
        <v>361</v>
      </c>
      <c r="SO20">
        <v>44289</v>
      </c>
      <c r="SP20">
        <v>79664</v>
      </c>
      <c r="SQ20">
        <v>315</v>
      </c>
      <c r="SR20">
        <v>44290</v>
      </c>
      <c r="SS20">
        <v>79989</v>
      </c>
      <c r="ST20">
        <v>319</v>
      </c>
      <c r="SU20">
        <v>44291</v>
      </c>
      <c r="SV20">
        <v>80348</v>
      </c>
      <c r="SW20">
        <v>359</v>
      </c>
      <c r="SX20">
        <v>44293</v>
      </c>
      <c r="SY20">
        <v>81313</v>
      </c>
      <c r="SZ20">
        <v>426</v>
      </c>
      <c r="TA20">
        <v>44294</v>
      </c>
      <c r="TB20">
        <v>81724</v>
      </c>
      <c r="TC20">
        <v>403</v>
      </c>
      <c r="TD20">
        <v>44296</v>
      </c>
      <c r="TE20">
        <v>82298</v>
      </c>
      <c r="TF20">
        <v>224</v>
      </c>
      <c r="TG20">
        <v>44297</v>
      </c>
      <c r="TH20">
        <v>82541</v>
      </c>
      <c r="TI20">
        <v>239</v>
      </c>
      <c r="TJ20">
        <v>44298</v>
      </c>
      <c r="TK20">
        <v>82940</v>
      </c>
      <c r="TL20">
        <v>397</v>
      </c>
      <c r="TM20">
        <v>44299</v>
      </c>
      <c r="TN20">
        <v>83265</v>
      </c>
      <c r="TO20">
        <v>324</v>
      </c>
      <c r="TP20">
        <v>44301</v>
      </c>
      <c r="TQ20">
        <v>83888</v>
      </c>
      <c r="TR20">
        <v>275</v>
      </c>
      <c r="TS20">
        <v>44302</v>
      </c>
      <c r="TT20">
        <v>84156</v>
      </c>
      <c r="TU20">
        <v>264</v>
      </c>
      <c r="TV20">
        <v>44302</v>
      </c>
      <c r="TW20">
        <v>84162</v>
      </c>
      <c r="TX20">
        <v>264</v>
      </c>
      <c r="TY20">
        <v>44303</v>
      </c>
      <c r="TZ20">
        <v>84331</v>
      </c>
      <c r="UA20">
        <v>169</v>
      </c>
      <c r="UB20">
        <v>44305</v>
      </c>
      <c r="UC20">
        <v>84770</v>
      </c>
      <c r="UD20">
        <v>284</v>
      </c>
      <c r="UE20">
        <v>44305</v>
      </c>
      <c r="UF20">
        <v>84771</v>
      </c>
      <c r="UG20">
        <v>284</v>
      </c>
      <c r="UH20">
        <v>44306</v>
      </c>
      <c r="UI20">
        <v>85059</v>
      </c>
      <c r="UJ20">
        <v>285</v>
      </c>
      <c r="UK20">
        <v>44307</v>
      </c>
      <c r="UL20">
        <v>85300</v>
      </c>
      <c r="UM20">
        <v>240</v>
      </c>
      <c r="UN20">
        <v>44311</v>
      </c>
      <c r="UO20">
        <v>86120</v>
      </c>
      <c r="UP20">
        <v>141</v>
      </c>
      <c r="UQ20">
        <v>44312</v>
      </c>
      <c r="UR20">
        <v>86366</v>
      </c>
      <c r="US20">
        <v>243</v>
      </c>
      <c r="UT20">
        <v>44313</v>
      </c>
      <c r="UU20">
        <v>86590</v>
      </c>
      <c r="UV20">
        <v>228</v>
      </c>
      <c r="UW20">
        <v>44314</v>
      </c>
      <c r="UX20">
        <v>86862</v>
      </c>
      <c r="UY20">
        <v>273</v>
      </c>
      <c r="UZ20">
        <v>44316</v>
      </c>
      <c r="VA20">
        <v>87259</v>
      </c>
      <c r="VB20">
        <v>195</v>
      </c>
      <c r="VC20">
        <v>44316</v>
      </c>
      <c r="VD20">
        <v>87254</v>
      </c>
      <c r="VE20">
        <v>195</v>
      </c>
      <c r="VF20">
        <v>44317</v>
      </c>
      <c r="VG20">
        <v>87361</v>
      </c>
      <c r="VH20">
        <v>105</v>
      </c>
      <c r="VI20">
        <v>44319</v>
      </c>
      <c r="VJ20">
        <v>87814</v>
      </c>
      <c r="VK20">
        <v>318</v>
      </c>
      <c r="VL20">
        <v>44319</v>
      </c>
      <c r="VM20">
        <v>87814</v>
      </c>
      <c r="VN20">
        <v>318</v>
      </c>
      <c r="VO20">
        <v>44320</v>
      </c>
      <c r="VP20">
        <v>88017</v>
      </c>
      <c r="VQ20">
        <v>204</v>
      </c>
      <c r="VR20">
        <v>44321</v>
      </c>
      <c r="VS20">
        <v>88285</v>
      </c>
      <c r="VT20">
        <v>267</v>
      </c>
      <c r="VU20">
        <v>44323</v>
      </c>
      <c r="VV20">
        <v>88738</v>
      </c>
      <c r="VW20">
        <v>215</v>
      </c>
      <c r="VX20">
        <v>44323</v>
      </c>
      <c r="VY20">
        <v>88741</v>
      </c>
      <c r="VZ20">
        <v>215</v>
      </c>
      <c r="WA20">
        <v>44324</v>
      </c>
      <c r="WB20">
        <v>88872</v>
      </c>
      <c r="WC20">
        <v>129</v>
      </c>
      <c r="WD20">
        <v>44325</v>
      </c>
      <c r="WE20">
        <v>89001</v>
      </c>
      <c r="WF20">
        <v>129</v>
      </c>
      <c r="WG20">
        <v>44326</v>
      </c>
      <c r="WH20">
        <v>89259</v>
      </c>
      <c r="WI20">
        <v>258</v>
      </c>
      <c r="WJ20">
        <v>44328</v>
      </c>
      <c r="WK20">
        <v>89729</v>
      </c>
      <c r="WL20">
        <v>255</v>
      </c>
      <c r="WM20">
        <v>44328</v>
      </c>
      <c r="WN20">
        <v>89731</v>
      </c>
      <c r="WO20">
        <v>255</v>
      </c>
      <c r="WP20">
        <v>44331</v>
      </c>
      <c r="WQ20">
        <v>90290</v>
      </c>
      <c r="WR20">
        <v>159</v>
      </c>
      <c r="WS20">
        <v>44332</v>
      </c>
      <c r="WT20">
        <v>90425</v>
      </c>
      <c r="WU20">
        <v>133</v>
      </c>
      <c r="WV20">
        <v>44333</v>
      </c>
      <c r="WW20">
        <v>90712</v>
      </c>
      <c r="WX20">
        <v>284</v>
      </c>
      <c r="WY20">
        <v>44334</v>
      </c>
      <c r="WZ20">
        <v>90932</v>
      </c>
      <c r="XA20">
        <v>217</v>
      </c>
      <c r="XB20">
        <v>44335</v>
      </c>
      <c r="XC20">
        <v>91161</v>
      </c>
      <c r="XD20">
        <v>229</v>
      </c>
      <c r="XE20">
        <v>44337</v>
      </c>
      <c r="XF20">
        <v>91546</v>
      </c>
      <c r="XG20">
        <v>169</v>
      </c>
      <c r="XH20">
        <v>44337</v>
      </c>
      <c r="XI20">
        <v>91552</v>
      </c>
      <c r="XJ20">
        <v>169</v>
      </c>
      <c r="XK20">
        <v>44338</v>
      </c>
      <c r="XL20">
        <v>91659</v>
      </c>
      <c r="XM20">
        <v>106</v>
      </c>
      <c r="XN20">
        <v>44339</v>
      </c>
      <c r="XO20">
        <v>91752</v>
      </c>
      <c r="XP20">
        <v>92</v>
      </c>
      <c r="XQ20">
        <v>44340</v>
      </c>
      <c r="XR20">
        <v>91941</v>
      </c>
      <c r="XS20">
        <v>188</v>
      </c>
      <c r="XT20">
        <v>44341</v>
      </c>
      <c r="XU20">
        <v>92097</v>
      </c>
      <c r="XV20">
        <v>152</v>
      </c>
      <c r="XW20">
        <v>44342</v>
      </c>
      <c r="XX20">
        <v>92242</v>
      </c>
      <c r="XY20">
        <v>142</v>
      </c>
      <c r="XZ20">
        <v>44343</v>
      </c>
      <c r="YA20">
        <v>92370</v>
      </c>
      <c r="YB20">
        <v>127</v>
      </c>
      <c r="YC20">
        <v>44345</v>
      </c>
      <c r="YD20">
        <v>92572</v>
      </c>
      <c r="YE20">
        <v>64</v>
      </c>
      <c r="YF20">
        <v>44346</v>
      </c>
      <c r="YG20">
        <v>92653</v>
      </c>
      <c r="YH20">
        <v>79</v>
      </c>
      <c r="YI20">
        <v>44347</v>
      </c>
      <c r="YJ20">
        <v>92799</v>
      </c>
      <c r="YK20">
        <v>144</v>
      </c>
      <c r="YL20">
        <v>44348</v>
      </c>
      <c r="YM20">
        <v>92921</v>
      </c>
      <c r="YN20">
        <v>122</v>
      </c>
      <c r="YO20">
        <v>44349</v>
      </c>
      <c r="YP20">
        <v>93042</v>
      </c>
      <c r="YQ20">
        <v>118</v>
      </c>
      <c r="YR20">
        <v>44350</v>
      </c>
      <c r="YS20">
        <v>93154</v>
      </c>
      <c r="YT20">
        <v>111</v>
      </c>
      <c r="YU20">
        <v>44351</v>
      </c>
      <c r="YV20">
        <v>93263</v>
      </c>
      <c r="YW20">
        <v>101</v>
      </c>
    </row>
    <row r="21" spans="2:673" s="10" customFormat="1">
      <c r="B21" t="str">
        <f t="shared" ca="1" si="2"/>
        <v>5.6</v>
      </c>
      <c r="C21" s="9">
        <f t="shared" ca="1" si="0"/>
        <v>44352</v>
      </c>
      <c r="D21" s="10">
        <f t="shared" ca="1" si="1"/>
        <v>93328</v>
      </c>
      <c r="E21" s="10">
        <f t="shared" ca="1" si="3"/>
        <v>65</v>
      </c>
      <c r="F21" s="10">
        <f t="shared" ca="1" si="4"/>
        <v>0</v>
      </c>
      <c r="G21" s="10">
        <f t="shared" ca="1" si="5"/>
        <v>65</v>
      </c>
      <c r="H21" s="10">
        <f ca="1">SUM(E21:E27)</f>
        <v>589</v>
      </c>
      <c r="I21" s="10" t="str">
        <f ca="1">TEXT(H21/H14-1,"0 %")</f>
        <v>-20 %</v>
      </c>
      <c r="J21" s="10">
        <f ca="1">SUM(E21:E34)</f>
        <v>1006</v>
      </c>
      <c r="L21" s="14"/>
      <c r="M21"/>
      <c r="N21" s="17">
        <v>44352</v>
      </c>
      <c r="O21" s="10">
        <v>93328</v>
      </c>
      <c r="P21">
        <v>65</v>
      </c>
      <c r="Q21" s="17">
        <v>44352</v>
      </c>
      <c r="R21" s="10">
        <v>93328</v>
      </c>
      <c r="S21" s="10">
        <v>65</v>
      </c>
      <c r="T21" s="17">
        <v>44099</v>
      </c>
      <c r="U21" s="10">
        <v>9804</v>
      </c>
      <c r="V21" s="10">
        <v>125</v>
      </c>
      <c r="W21" s="17">
        <v>44100</v>
      </c>
      <c r="X21" s="10">
        <v>9878</v>
      </c>
      <c r="Y21" s="10">
        <v>73</v>
      </c>
      <c r="Z21" s="17">
        <v>44101</v>
      </c>
      <c r="AA21" s="10">
        <v>9951</v>
      </c>
      <c r="AB21" s="10">
        <v>70</v>
      </c>
      <c r="AC21" s="17">
        <v>44102</v>
      </c>
      <c r="AD21" s="10">
        <v>10074</v>
      </c>
      <c r="AE21" s="10">
        <v>124</v>
      </c>
      <c r="AF21" s="17">
        <v>44103</v>
      </c>
      <c r="AG21" s="10">
        <v>10209</v>
      </c>
      <c r="AH21" s="10">
        <v>135</v>
      </c>
      <c r="AI21" s="17">
        <v>44104</v>
      </c>
      <c r="AJ21" s="10">
        <v>10379</v>
      </c>
      <c r="AK21" s="10">
        <v>169</v>
      </c>
      <c r="AL21" s="17">
        <v>44105</v>
      </c>
      <c r="AM21" s="10">
        <v>10562</v>
      </c>
      <c r="AN21" s="10">
        <v>188</v>
      </c>
      <c r="AO21" s="17">
        <v>44106</v>
      </c>
      <c r="AP21" s="10">
        <v>10749</v>
      </c>
      <c r="AQ21" s="10">
        <v>187</v>
      </c>
      <c r="AR21" s="17">
        <v>44107</v>
      </c>
      <c r="AS21" s="10">
        <v>10917</v>
      </c>
      <c r="AT21" s="10">
        <v>169</v>
      </c>
      <c r="AU21" s="17">
        <v>44108</v>
      </c>
      <c r="AV21" s="10">
        <v>11062</v>
      </c>
      <c r="AW21" s="10">
        <v>147</v>
      </c>
      <c r="AX21" s="17">
        <v>44109</v>
      </c>
      <c r="AY21" s="10">
        <v>11347</v>
      </c>
      <c r="AZ21" s="10">
        <v>286</v>
      </c>
      <c r="BA21" s="17">
        <v>44110</v>
      </c>
      <c r="BB21" s="10">
        <v>11646</v>
      </c>
      <c r="BC21" s="10">
        <v>299</v>
      </c>
      <c r="BD21" s="17">
        <v>44111</v>
      </c>
      <c r="BE21" s="10">
        <v>11958</v>
      </c>
      <c r="BF21" s="10">
        <v>309</v>
      </c>
      <c r="BG21" s="17">
        <v>44112</v>
      </c>
      <c r="BH21" s="10">
        <v>12214</v>
      </c>
      <c r="BI21" s="10">
        <v>260</v>
      </c>
      <c r="BJ21" s="17">
        <v>44113</v>
      </c>
      <c r="BK21" s="10">
        <v>12442</v>
      </c>
      <c r="BL21" s="10">
        <v>226</v>
      </c>
      <c r="BM21" s="17">
        <v>44114</v>
      </c>
      <c r="BN21" s="10">
        <v>12552</v>
      </c>
      <c r="BO21" s="10">
        <v>109</v>
      </c>
      <c r="BP21" s="17">
        <v>44115</v>
      </c>
      <c r="BQ21" s="10">
        <v>12681</v>
      </c>
      <c r="BR21" s="10">
        <v>130</v>
      </c>
      <c r="BS21" s="17">
        <v>44116</v>
      </c>
      <c r="BT21" s="10">
        <v>12934</v>
      </c>
      <c r="BU21" s="10">
        <v>252</v>
      </c>
      <c r="BV21" s="17">
        <v>44118</v>
      </c>
      <c r="BW21" s="10">
        <v>13334</v>
      </c>
      <c r="BX21" s="10">
        <v>202</v>
      </c>
      <c r="BY21" s="17">
        <v>44119</v>
      </c>
      <c r="BZ21" s="10">
        <v>13522</v>
      </c>
      <c r="CA21" s="10">
        <v>189</v>
      </c>
      <c r="CB21" s="17">
        <v>44120</v>
      </c>
      <c r="CC21" s="10">
        <v>13719</v>
      </c>
      <c r="CD21" s="10">
        <v>192</v>
      </c>
      <c r="CE21" s="17">
        <v>44121</v>
      </c>
      <c r="CF21" s="10">
        <v>13827</v>
      </c>
      <c r="CG21" s="10">
        <v>100</v>
      </c>
      <c r="CH21" s="17">
        <v>44122</v>
      </c>
      <c r="CI21" s="10">
        <v>13955</v>
      </c>
      <c r="CJ21" s="10">
        <v>127</v>
      </c>
      <c r="CK21" s="17">
        <v>44123</v>
      </c>
      <c r="CL21" s="10">
        <v>14199</v>
      </c>
      <c r="CM21" s="10">
        <v>244</v>
      </c>
      <c r="CN21" s="17">
        <v>44124</v>
      </c>
      <c r="CO21" s="10">
        <v>14361</v>
      </c>
      <c r="CP21" s="10">
        <v>162</v>
      </c>
      <c r="CQ21" s="17">
        <v>44125</v>
      </c>
      <c r="CR21" s="10">
        <v>14550</v>
      </c>
      <c r="CS21" s="10">
        <v>189</v>
      </c>
      <c r="CT21" s="17">
        <v>44126</v>
      </c>
      <c r="CU21" s="10">
        <v>14766</v>
      </c>
      <c r="CV21" s="10">
        <v>212</v>
      </c>
      <c r="CW21" s="17">
        <v>44127</v>
      </c>
      <c r="CX21" s="10">
        <v>14962</v>
      </c>
      <c r="CY21" s="10">
        <v>192</v>
      </c>
      <c r="CZ21" s="17">
        <v>44129</v>
      </c>
      <c r="DA21" s="10">
        <v>15191</v>
      </c>
      <c r="DB21" s="10">
        <v>123</v>
      </c>
      <c r="DC21" s="17">
        <v>44130</v>
      </c>
      <c r="DD21" s="10">
        <v>15445</v>
      </c>
      <c r="DE21" s="10">
        <v>255</v>
      </c>
      <c r="DF21" s="17">
        <v>44131</v>
      </c>
      <c r="DG21" s="10">
        <v>15677</v>
      </c>
      <c r="DH21" s="10">
        <v>230</v>
      </c>
      <c r="DI21" s="17">
        <v>44132</v>
      </c>
      <c r="DJ21" s="10">
        <v>15917</v>
      </c>
      <c r="DK21" s="10">
        <v>240</v>
      </c>
      <c r="DL21" s="17">
        <v>44133</v>
      </c>
      <c r="DM21" s="10">
        <v>16160</v>
      </c>
      <c r="DN21" s="10">
        <v>237</v>
      </c>
      <c r="DO21" s="17">
        <v>44134</v>
      </c>
      <c r="DP21" s="10">
        <v>16380</v>
      </c>
      <c r="DQ21" s="10">
        <v>219</v>
      </c>
      <c r="DR21" s="17">
        <v>44135</v>
      </c>
      <c r="DS21" s="10">
        <v>16502</v>
      </c>
      <c r="DT21" s="10">
        <v>121</v>
      </c>
      <c r="DU21" s="17">
        <v>44136</v>
      </c>
      <c r="DV21" s="10">
        <v>16654</v>
      </c>
      <c r="DW21" s="10">
        <v>150</v>
      </c>
      <c r="DX21" s="17">
        <v>44137</v>
      </c>
      <c r="DY21" s="10">
        <v>16935</v>
      </c>
      <c r="DZ21" s="10">
        <v>281</v>
      </c>
      <c r="EA21" s="17">
        <v>44138</v>
      </c>
      <c r="EB21" s="10">
        <v>17176</v>
      </c>
      <c r="EC21" s="10">
        <v>241</v>
      </c>
      <c r="ED21" s="17">
        <v>44139</v>
      </c>
      <c r="EE21" s="10">
        <v>17378</v>
      </c>
      <c r="EF21" s="10">
        <v>210</v>
      </c>
      <c r="EG21" s="17">
        <v>44140</v>
      </c>
      <c r="EH21" s="10">
        <v>17598</v>
      </c>
      <c r="EI21" s="10">
        <v>220</v>
      </c>
      <c r="EJ21" s="17">
        <v>44141</v>
      </c>
      <c r="EK21" s="10">
        <v>17794</v>
      </c>
      <c r="EL21" s="10">
        <v>196</v>
      </c>
      <c r="EM21" s="17">
        <v>44142</v>
      </c>
      <c r="EN21" s="10">
        <v>17922</v>
      </c>
      <c r="EO21" s="10">
        <v>130</v>
      </c>
      <c r="EP21" s="17">
        <v>44143</v>
      </c>
      <c r="EQ21" s="10">
        <v>18053</v>
      </c>
      <c r="ER21" s="10">
        <v>133</v>
      </c>
      <c r="ES21" s="17">
        <v>44144</v>
      </c>
      <c r="ET21" s="10">
        <v>18330</v>
      </c>
      <c r="EU21" s="10">
        <v>275</v>
      </c>
      <c r="EV21" s="17">
        <v>44145</v>
      </c>
      <c r="EW21" s="10">
        <v>18535</v>
      </c>
      <c r="EX21" s="10">
        <v>205</v>
      </c>
      <c r="EY21" s="17">
        <v>44146</v>
      </c>
      <c r="EZ21" s="10">
        <v>18826</v>
      </c>
      <c r="FA21" s="10">
        <v>291</v>
      </c>
      <c r="FB21" s="17">
        <v>44147</v>
      </c>
      <c r="FC21" s="10">
        <v>19102</v>
      </c>
      <c r="FD21" s="10">
        <v>277</v>
      </c>
      <c r="FE21" s="17">
        <v>44148</v>
      </c>
      <c r="FF21" s="10">
        <v>19312</v>
      </c>
      <c r="FG21" s="10">
        <v>261</v>
      </c>
      <c r="FH21" s="17">
        <v>44149</v>
      </c>
      <c r="FI21" s="10">
        <v>19519</v>
      </c>
      <c r="FJ21" s="10">
        <v>145</v>
      </c>
      <c r="FK21" s="17">
        <v>44150</v>
      </c>
      <c r="FL21" s="10">
        <v>19718</v>
      </c>
      <c r="FM21" s="10">
        <v>181</v>
      </c>
      <c r="FN21" s="17">
        <v>44151</v>
      </c>
      <c r="FO21" s="10">
        <v>20111</v>
      </c>
      <c r="FP21" s="10">
        <v>393</v>
      </c>
      <c r="FQ21" s="17">
        <v>44152</v>
      </c>
      <c r="FR21" s="10">
        <v>20505</v>
      </c>
      <c r="FS21" s="10">
        <v>394</v>
      </c>
      <c r="FT21" s="17">
        <v>44153</v>
      </c>
      <c r="FU21" s="10">
        <v>20894</v>
      </c>
      <c r="FV21" s="10">
        <v>372</v>
      </c>
      <c r="FW21" s="17">
        <v>44154</v>
      </c>
      <c r="FX21" s="10">
        <v>21375</v>
      </c>
      <c r="FY21" s="10">
        <v>479</v>
      </c>
      <c r="FZ21" s="17">
        <v>44155</v>
      </c>
      <c r="GA21" s="10">
        <v>21812</v>
      </c>
      <c r="GB21" s="10">
        <v>431</v>
      </c>
      <c r="GC21" s="17">
        <v>44156</v>
      </c>
      <c r="GD21" s="10">
        <v>22080</v>
      </c>
      <c r="GE21" s="10">
        <v>269</v>
      </c>
      <c r="GF21" s="17">
        <v>44157</v>
      </c>
      <c r="GG21" s="10">
        <v>22344</v>
      </c>
      <c r="GH21" s="10">
        <v>263</v>
      </c>
      <c r="GI21" s="17">
        <v>44158</v>
      </c>
      <c r="GJ21" s="10">
        <v>22836</v>
      </c>
      <c r="GK21" s="10">
        <v>490</v>
      </c>
      <c r="GL21" s="17">
        <v>44159</v>
      </c>
      <c r="GM21" s="10">
        <v>23296</v>
      </c>
      <c r="GN21" s="10">
        <v>460</v>
      </c>
      <c r="GO21" s="17">
        <v>44160</v>
      </c>
      <c r="GP21" s="10">
        <v>23895</v>
      </c>
      <c r="GQ21" s="10">
        <v>599</v>
      </c>
      <c r="GR21" s="17">
        <v>44161</v>
      </c>
      <c r="GS21" s="10">
        <v>24409</v>
      </c>
      <c r="GT21" s="10">
        <v>509</v>
      </c>
      <c r="GU21" s="17">
        <v>44162</v>
      </c>
      <c r="GV21" s="10">
        <v>24901</v>
      </c>
      <c r="GW21" s="10">
        <v>460</v>
      </c>
      <c r="GX21" s="17">
        <v>44163</v>
      </c>
      <c r="GY21" s="10">
        <v>25188</v>
      </c>
      <c r="GZ21" s="10">
        <v>282</v>
      </c>
      <c r="HA21" s="17">
        <v>44164</v>
      </c>
      <c r="HB21" s="10">
        <v>25483</v>
      </c>
      <c r="HC21" s="10">
        <v>293</v>
      </c>
      <c r="HD21" s="17">
        <v>44165</v>
      </c>
      <c r="HE21" s="10">
        <v>26080</v>
      </c>
      <c r="HF21" s="10">
        <v>598</v>
      </c>
      <c r="HG21" s="17">
        <v>44166</v>
      </c>
      <c r="HH21" s="10">
        <v>26514</v>
      </c>
      <c r="HI21" s="10">
        <v>443</v>
      </c>
      <c r="HJ21" s="17">
        <v>44167</v>
      </c>
      <c r="HK21" s="10">
        <v>27003</v>
      </c>
      <c r="HL21" s="10">
        <v>493</v>
      </c>
      <c r="HM21" s="17">
        <v>44168</v>
      </c>
      <c r="HN21" s="10">
        <v>27475</v>
      </c>
      <c r="HO21" s="10">
        <v>475</v>
      </c>
      <c r="HP21" s="17">
        <v>44169</v>
      </c>
      <c r="HQ21" s="10">
        <v>27957</v>
      </c>
      <c r="HR21" s="10">
        <v>472</v>
      </c>
      <c r="HS21" s="17">
        <v>44170</v>
      </c>
      <c r="HT21" s="10">
        <v>28203</v>
      </c>
      <c r="HU21" s="10">
        <v>249</v>
      </c>
      <c r="HV21" s="17">
        <v>44171</v>
      </c>
      <c r="HW21" s="10">
        <v>28487</v>
      </c>
      <c r="HX21" s="10">
        <v>281</v>
      </c>
      <c r="HY21" s="17">
        <v>44172</v>
      </c>
      <c r="HZ21" s="10">
        <v>29073</v>
      </c>
      <c r="IA21" s="10">
        <v>587</v>
      </c>
      <c r="IB21" s="17">
        <v>44173</v>
      </c>
      <c r="IC21" s="10">
        <v>29548</v>
      </c>
      <c r="ID21" s="10">
        <v>476</v>
      </c>
      <c r="IE21" s="17">
        <v>44174</v>
      </c>
      <c r="IF21" s="10">
        <v>30014</v>
      </c>
      <c r="IG21" s="10">
        <v>463</v>
      </c>
      <c r="IH21" s="17">
        <v>44175</v>
      </c>
      <c r="II21" s="10">
        <v>30420</v>
      </c>
      <c r="IJ21" s="10">
        <v>408</v>
      </c>
      <c r="IK21" s="17">
        <v>44176</v>
      </c>
      <c r="IL21" s="10">
        <v>30864</v>
      </c>
      <c r="IM21" s="10">
        <v>443</v>
      </c>
      <c r="IN21" s="17">
        <v>44177</v>
      </c>
      <c r="IO21" s="10">
        <v>31115</v>
      </c>
      <c r="IP21" s="10">
        <v>251</v>
      </c>
      <c r="IQ21" s="17">
        <v>44178</v>
      </c>
      <c r="IR21" s="10">
        <v>31389</v>
      </c>
      <c r="IS21" s="10">
        <v>275</v>
      </c>
      <c r="IT21" s="17">
        <v>44179</v>
      </c>
      <c r="IU21" s="10">
        <v>31850</v>
      </c>
      <c r="IV21" s="10">
        <v>461</v>
      </c>
      <c r="IW21" s="17">
        <v>44180</v>
      </c>
      <c r="IX21" s="10">
        <v>32208</v>
      </c>
      <c r="IY21" s="10">
        <v>358</v>
      </c>
      <c r="IZ21" s="17">
        <v>44181</v>
      </c>
      <c r="JA21" s="10">
        <v>32560</v>
      </c>
      <c r="JB21" s="10">
        <v>348</v>
      </c>
      <c r="JC21" s="17">
        <v>44185</v>
      </c>
      <c r="JD21" s="10">
        <v>33720</v>
      </c>
      <c r="JE21" s="10">
        <v>244</v>
      </c>
      <c r="JF21" s="17">
        <v>44189</v>
      </c>
      <c r="JG21" s="10">
        <v>34837</v>
      </c>
      <c r="JH21" s="10">
        <v>138</v>
      </c>
      <c r="JI21" s="17">
        <v>44190</v>
      </c>
      <c r="JJ21" s="10">
        <v>35038</v>
      </c>
      <c r="JK21" s="10">
        <v>157</v>
      </c>
      <c r="JL21" s="17">
        <v>44191</v>
      </c>
      <c r="JM21" s="10">
        <v>35215</v>
      </c>
      <c r="JN21" s="10">
        <v>183</v>
      </c>
      <c r="JO21" s="17">
        <v>44192</v>
      </c>
      <c r="JP21" s="10">
        <v>35394</v>
      </c>
      <c r="JQ21" s="10">
        <v>188</v>
      </c>
      <c r="JR21" s="17">
        <v>44194</v>
      </c>
      <c r="JS21" s="10">
        <v>36135</v>
      </c>
      <c r="JT21" s="10">
        <v>306</v>
      </c>
      <c r="JU21" s="17">
        <v>44194</v>
      </c>
      <c r="JV21" s="10">
        <v>36136</v>
      </c>
      <c r="JW21" s="10">
        <v>306</v>
      </c>
      <c r="JX21" s="17">
        <v>44196</v>
      </c>
      <c r="JY21" s="10">
        <v>36639</v>
      </c>
      <c r="JZ21" s="10">
        <v>253</v>
      </c>
      <c r="KA21" s="17">
        <v>44208</v>
      </c>
      <c r="KB21" s="10">
        <v>39485</v>
      </c>
      <c r="KC21" s="10">
        <v>178</v>
      </c>
      <c r="KD21" s="17">
        <v>44208</v>
      </c>
      <c r="KE21" s="10">
        <v>39596</v>
      </c>
      <c r="KF21" s="10">
        <v>226</v>
      </c>
      <c r="KG21" s="17">
        <v>44209</v>
      </c>
      <c r="KH21" s="10">
        <v>39846</v>
      </c>
      <c r="KI21" s="10">
        <v>258</v>
      </c>
      <c r="KJ21" s="17">
        <v>44211</v>
      </c>
      <c r="KK21" s="10">
        <v>40358</v>
      </c>
      <c r="KL21" s="10">
        <v>265</v>
      </c>
      <c r="KM21" s="17">
        <v>44212</v>
      </c>
      <c r="KN21" s="10">
        <v>40532</v>
      </c>
      <c r="KO21" s="10">
        <v>169</v>
      </c>
      <c r="KP21" s="17">
        <v>44216</v>
      </c>
      <c r="KQ21" s="10">
        <v>41917</v>
      </c>
      <c r="KR21" s="10">
        <v>398</v>
      </c>
      <c r="KS21" s="17">
        <v>44217</v>
      </c>
      <c r="KT21" s="10">
        <v>42298</v>
      </c>
      <c r="KU21" s="10">
        <v>377</v>
      </c>
      <c r="KV21" s="17">
        <v>44218</v>
      </c>
      <c r="KW21" s="10">
        <v>42656</v>
      </c>
      <c r="KX21" s="10">
        <v>357</v>
      </c>
      <c r="KY21" s="17">
        <v>44220</v>
      </c>
      <c r="KZ21" s="10">
        <v>43071</v>
      </c>
      <c r="LA21" s="10">
        <v>244</v>
      </c>
      <c r="LB21" s="17">
        <v>44221</v>
      </c>
      <c r="LC21" s="10">
        <v>43689</v>
      </c>
      <c r="LD21" s="10">
        <v>604</v>
      </c>
      <c r="LE21" s="17">
        <v>44222</v>
      </c>
      <c r="LF21" s="10">
        <v>44087</v>
      </c>
      <c r="LG21" s="10">
        <v>399</v>
      </c>
      <c r="LH21" s="17">
        <v>44224</v>
      </c>
      <c r="LI21" s="10">
        <v>44871</v>
      </c>
      <c r="LJ21" s="10">
        <v>436</v>
      </c>
      <c r="LK21" s="17">
        <v>44224</v>
      </c>
      <c r="LL21" s="10">
        <v>44872</v>
      </c>
      <c r="LM21" s="10">
        <v>436</v>
      </c>
      <c r="LN21" s="17">
        <v>44226</v>
      </c>
      <c r="LO21" s="10">
        <v>45501</v>
      </c>
      <c r="LP21" s="10">
        <v>231</v>
      </c>
      <c r="LQ21" s="17">
        <v>44227</v>
      </c>
      <c r="LR21" s="10">
        <v>45771</v>
      </c>
      <c r="LS21" s="10">
        <v>273</v>
      </c>
      <c r="LT21" s="17">
        <v>44228</v>
      </c>
      <c r="LU21" s="10">
        <v>46297</v>
      </c>
      <c r="LV21" s="10">
        <v>525</v>
      </c>
      <c r="LW21" s="17">
        <v>44229</v>
      </c>
      <c r="LX21" s="10">
        <v>46710</v>
      </c>
      <c r="LY21" s="10">
        <v>395</v>
      </c>
      <c r="LZ21" s="17">
        <v>44230</v>
      </c>
      <c r="MA21" s="10">
        <v>47137</v>
      </c>
      <c r="MB21" s="10">
        <v>438</v>
      </c>
      <c r="MC21" s="17">
        <v>44231</v>
      </c>
      <c r="MD21" s="10">
        <v>47519</v>
      </c>
      <c r="ME21" s="10">
        <v>370</v>
      </c>
      <c r="MF21" s="17">
        <v>44233</v>
      </c>
      <c r="MG21" s="10">
        <v>48127</v>
      </c>
      <c r="MH21" s="10">
        <v>240</v>
      </c>
      <c r="MI21" s="17">
        <v>44233</v>
      </c>
      <c r="MJ21" s="10">
        <v>48128</v>
      </c>
      <c r="MK21" s="10">
        <v>240</v>
      </c>
      <c r="ML21" s="17">
        <v>44234</v>
      </c>
      <c r="MM21" s="10">
        <v>48384</v>
      </c>
      <c r="MN21" s="10">
        <v>260</v>
      </c>
      <c r="MO21" s="17">
        <v>44235</v>
      </c>
      <c r="MP21" s="10">
        <v>48844</v>
      </c>
      <c r="MQ21" s="10">
        <v>459</v>
      </c>
      <c r="MR21" s="17">
        <v>44236</v>
      </c>
      <c r="MS21" s="10">
        <v>49218</v>
      </c>
      <c r="MT21" s="10">
        <v>370</v>
      </c>
      <c r="MU21" s="17">
        <v>44237</v>
      </c>
      <c r="MV21" s="10">
        <v>49600</v>
      </c>
      <c r="MW21" s="10">
        <v>382</v>
      </c>
      <c r="MX21" s="17">
        <v>44238</v>
      </c>
      <c r="MY21" s="10">
        <v>49954</v>
      </c>
      <c r="MZ21" s="10">
        <v>354</v>
      </c>
      <c r="NA21" s="17">
        <v>44238</v>
      </c>
      <c r="NB21" s="10">
        <v>49956</v>
      </c>
      <c r="NC21" s="10">
        <v>355</v>
      </c>
      <c r="ND21" s="17">
        <v>44241</v>
      </c>
      <c r="NE21" s="10">
        <v>50932</v>
      </c>
      <c r="NF21" s="10">
        <v>280</v>
      </c>
      <c r="NG21" s="17">
        <v>44241</v>
      </c>
      <c r="NH21" s="10">
        <v>50930</v>
      </c>
      <c r="NI21" s="10">
        <v>280</v>
      </c>
      <c r="NJ21" s="17">
        <v>44243</v>
      </c>
      <c r="NK21" s="10">
        <v>52047</v>
      </c>
      <c r="NL21" s="10">
        <v>506</v>
      </c>
      <c r="NM21" s="17">
        <v>44243</v>
      </c>
      <c r="NN21" s="10">
        <v>52048</v>
      </c>
      <c r="NO21" s="10">
        <v>506</v>
      </c>
      <c r="NP21" s="17">
        <v>44245</v>
      </c>
      <c r="NQ21" s="10">
        <v>53201</v>
      </c>
      <c r="NR21" s="10">
        <v>605</v>
      </c>
      <c r="NS21" s="17">
        <v>44246</v>
      </c>
      <c r="NT21" s="10">
        <v>53785</v>
      </c>
      <c r="NU21" s="10">
        <v>571</v>
      </c>
      <c r="NV21" s="17">
        <v>44247</v>
      </c>
      <c r="NW21" s="10">
        <v>54104</v>
      </c>
      <c r="NX21" s="10">
        <v>317</v>
      </c>
      <c r="NY21" s="17">
        <v>44248</v>
      </c>
      <c r="NZ21" s="10">
        <v>54462</v>
      </c>
      <c r="OA21" s="10">
        <v>354</v>
      </c>
      <c r="OB21" s="17">
        <v>44249</v>
      </c>
      <c r="OC21" s="10">
        <v>55091</v>
      </c>
      <c r="OD21" s="10">
        <v>622</v>
      </c>
      <c r="OE21" s="17">
        <v>44250</v>
      </c>
      <c r="OF21" s="10">
        <v>55714</v>
      </c>
      <c r="OG21" s="10">
        <v>622</v>
      </c>
      <c r="OH21" s="17">
        <v>44251</v>
      </c>
      <c r="OI21" s="10">
        <v>56311</v>
      </c>
      <c r="OJ21" s="10">
        <v>600</v>
      </c>
      <c r="OK21" s="17">
        <v>44252</v>
      </c>
      <c r="OL21" s="10">
        <v>56930</v>
      </c>
      <c r="OM21" s="10">
        <v>618</v>
      </c>
      <c r="ON21" s="17">
        <v>44253</v>
      </c>
      <c r="OO21" s="10">
        <v>57618</v>
      </c>
      <c r="OP21" s="10">
        <v>687</v>
      </c>
      <c r="OQ21" s="17">
        <v>44254</v>
      </c>
      <c r="OR21" s="10">
        <v>58022</v>
      </c>
      <c r="OS21" s="10">
        <v>400</v>
      </c>
      <c r="OT21" s="17">
        <v>44255</v>
      </c>
      <c r="OU21" s="10">
        <v>58445</v>
      </c>
      <c r="OV21" s="10">
        <v>421</v>
      </c>
      <c r="OW21" s="17">
        <v>44256</v>
      </c>
      <c r="OX21" s="10">
        <v>59311</v>
      </c>
      <c r="OY21" s="10">
        <v>868</v>
      </c>
      <c r="OZ21" s="17">
        <v>44257</v>
      </c>
      <c r="PA21" s="10">
        <v>60069</v>
      </c>
      <c r="PB21" s="10">
        <v>756</v>
      </c>
      <c r="PC21" s="17">
        <v>44258</v>
      </c>
      <c r="PD21" s="10">
        <v>60810</v>
      </c>
      <c r="PE21" s="10">
        <v>737</v>
      </c>
      <c r="PF21" s="17">
        <v>44259</v>
      </c>
      <c r="PG21" s="10">
        <v>61433</v>
      </c>
      <c r="PH21" s="10">
        <v>624</v>
      </c>
      <c r="PI21" s="17">
        <v>44260</v>
      </c>
      <c r="PJ21" s="10">
        <v>62038</v>
      </c>
      <c r="PK21" s="10">
        <v>599</v>
      </c>
      <c r="PL21" s="17">
        <v>44261</v>
      </c>
      <c r="PM21" s="10">
        <v>62482</v>
      </c>
      <c r="PN21" s="10">
        <v>434</v>
      </c>
      <c r="PO21" s="17">
        <v>44262</v>
      </c>
      <c r="PP21" s="10">
        <v>62885</v>
      </c>
      <c r="PQ21" s="10">
        <v>394</v>
      </c>
      <c r="PR21" s="17">
        <v>44263</v>
      </c>
      <c r="PS21" s="10">
        <v>63715</v>
      </c>
      <c r="PT21" s="10">
        <v>830</v>
      </c>
      <c r="PU21" s="17">
        <v>44264</v>
      </c>
      <c r="PV21" s="10">
        <v>64476</v>
      </c>
      <c r="PW21" s="10">
        <v>761</v>
      </c>
      <c r="PX21" s="17">
        <v>44265</v>
      </c>
      <c r="PY21" s="10">
        <v>65322</v>
      </c>
      <c r="PZ21" s="10">
        <v>812</v>
      </c>
      <c r="QA21" s="17">
        <v>44266</v>
      </c>
      <c r="QB21" s="10">
        <v>66100</v>
      </c>
      <c r="QC21" s="10">
        <v>773</v>
      </c>
      <c r="QD21" s="17">
        <v>44267</v>
      </c>
      <c r="QE21" s="10">
        <v>66911</v>
      </c>
      <c r="QF21" s="10">
        <v>808</v>
      </c>
      <c r="QG21" s="17">
        <v>44268</v>
      </c>
      <c r="QH21" s="10">
        <v>67401</v>
      </c>
      <c r="QI21" s="10">
        <v>492</v>
      </c>
      <c r="QJ21" s="17">
        <v>44269</v>
      </c>
      <c r="QK21" s="10">
        <v>67840</v>
      </c>
      <c r="QL21" s="10">
        <v>435</v>
      </c>
      <c r="QM21" s="17">
        <v>44270</v>
      </c>
      <c r="QN21" s="10">
        <v>68729</v>
      </c>
      <c r="QO21" s="10">
        <v>890</v>
      </c>
      <c r="QP21" s="17">
        <v>44271</v>
      </c>
      <c r="QQ21" s="10">
        <v>69493</v>
      </c>
      <c r="QR21" s="10">
        <v>764</v>
      </c>
      <c r="QS21" s="17">
        <v>44272</v>
      </c>
      <c r="QT21" s="10">
        <v>70243</v>
      </c>
      <c r="QU21" s="10">
        <v>744</v>
      </c>
      <c r="QV21" s="17">
        <v>44273</v>
      </c>
      <c r="QW21" s="10">
        <v>70980</v>
      </c>
      <c r="QX21" s="10">
        <v>737</v>
      </c>
      <c r="QY21" s="17">
        <v>44274</v>
      </c>
      <c r="QZ21" s="10">
        <v>71721</v>
      </c>
      <c r="RA21" s="10">
        <v>742</v>
      </c>
      <c r="RB21" s="17">
        <v>44275</v>
      </c>
      <c r="RC21" s="10">
        <v>72126</v>
      </c>
      <c r="RD21" s="10">
        <v>402</v>
      </c>
      <c r="RE21" s="17">
        <v>44276</v>
      </c>
      <c r="RF21" s="10">
        <v>72540</v>
      </c>
      <c r="RG21" s="10">
        <v>417</v>
      </c>
      <c r="RH21" s="17">
        <v>44277</v>
      </c>
      <c r="RI21" s="10">
        <v>73302</v>
      </c>
      <c r="RJ21" s="10">
        <v>764</v>
      </c>
      <c r="RK21" s="17">
        <v>44278</v>
      </c>
      <c r="RL21" s="10">
        <v>73997</v>
      </c>
      <c r="RM21" s="10">
        <v>698</v>
      </c>
      <c r="RN21" s="17">
        <v>44280</v>
      </c>
      <c r="RO21" s="10">
        <v>75303</v>
      </c>
      <c r="RP21" s="10">
        <v>607</v>
      </c>
      <c r="RQ21" s="17">
        <v>44281</v>
      </c>
      <c r="RR21" s="10">
        <v>75987</v>
      </c>
      <c r="RS21" s="10">
        <v>684</v>
      </c>
      <c r="RT21" s="10">
        <v>44282</v>
      </c>
      <c r="RU21" s="10">
        <v>76338</v>
      </c>
      <c r="RV21" s="10">
        <v>350</v>
      </c>
      <c r="RW21" s="10">
        <v>44283</v>
      </c>
      <c r="RX21" s="10">
        <v>76710</v>
      </c>
      <c r="RY21" s="10">
        <v>371</v>
      </c>
      <c r="RZ21" s="10">
        <v>44284</v>
      </c>
      <c r="SA21" s="10">
        <v>77366</v>
      </c>
      <c r="SB21" s="10">
        <v>655</v>
      </c>
      <c r="SC21" s="10">
        <v>44285</v>
      </c>
      <c r="SD21" s="10">
        <v>77932</v>
      </c>
      <c r="SE21" s="10">
        <v>566</v>
      </c>
      <c r="SF21" s="10">
        <v>44286</v>
      </c>
      <c r="SG21" s="10">
        <v>78481</v>
      </c>
      <c r="SH21" s="10">
        <v>548</v>
      </c>
      <c r="SI21" s="10">
        <v>44287</v>
      </c>
      <c r="SJ21" s="10">
        <v>78970</v>
      </c>
      <c r="SK21" s="10">
        <v>488</v>
      </c>
      <c r="SL21" s="10">
        <v>44289</v>
      </c>
      <c r="SM21" s="10">
        <v>79645</v>
      </c>
      <c r="SN21" s="10">
        <v>315</v>
      </c>
      <c r="SO21" s="10">
        <v>44290</v>
      </c>
      <c r="SP21" s="10">
        <v>79983</v>
      </c>
      <c r="SQ21" s="10">
        <v>319</v>
      </c>
      <c r="SR21" s="10">
        <v>44291</v>
      </c>
      <c r="SS21" s="10">
        <v>80348</v>
      </c>
      <c r="ST21" s="10">
        <v>359</v>
      </c>
      <c r="SU21" s="10">
        <v>44292</v>
      </c>
      <c r="SV21" s="10">
        <v>80888</v>
      </c>
      <c r="SW21" s="10">
        <v>540</v>
      </c>
      <c r="SX21" s="10">
        <v>44294</v>
      </c>
      <c r="SY21" s="10">
        <v>81718</v>
      </c>
      <c r="SZ21" s="10">
        <v>405</v>
      </c>
      <c r="TA21" s="10">
        <v>44295</v>
      </c>
      <c r="TB21" s="10">
        <v>82072</v>
      </c>
      <c r="TC21" s="10">
        <v>348</v>
      </c>
      <c r="TD21" s="10">
        <v>44297</v>
      </c>
      <c r="TE21" s="10">
        <v>82537</v>
      </c>
      <c r="TF21" s="10">
        <v>239</v>
      </c>
      <c r="TG21" s="10">
        <v>44298</v>
      </c>
      <c r="TH21" s="10">
        <v>82938</v>
      </c>
      <c r="TI21" s="10">
        <v>397</v>
      </c>
      <c r="TJ21" s="10">
        <v>44299</v>
      </c>
      <c r="TK21" s="10">
        <v>83264</v>
      </c>
      <c r="TL21" s="10">
        <v>324</v>
      </c>
      <c r="TM21" s="10">
        <v>44300</v>
      </c>
      <c r="TN21" s="10">
        <v>83610</v>
      </c>
      <c r="TO21" s="10">
        <v>345</v>
      </c>
      <c r="TP21" s="10">
        <v>44302</v>
      </c>
      <c r="TQ21" s="10">
        <v>84152</v>
      </c>
      <c r="TR21" s="10">
        <v>264</v>
      </c>
      <c r="TS21" s="10">
        <v>44303</v>
      </c>
      <c r="TT21" s="10">
        <v>84325</v>
      </c>
      <c r="TU21" s="10">
        <v>169</v>
      </c>
      <c r="TV21" s="10">
        <v>44303</v>
      </c>
      <c r="TW21" s="10">
        <v>84331</v>
      </c>
      <c r="TX21" s="10">
        <v>169</v>
      </c>
      <c r="TY21" s="10">
        <v>44304</v>
      </c>
      <c r="TZ21" s="10">
        <v>84486</v>
      </c>
      <c r="UA21" s="10">
        <v>155</v>
      </c>
      <c r="UB21" s="10">
        <v>44306</v>
      </c>
      <c r="UC21" s="10">
        <v>85055</v>
      </c>
      <c r="UD21" s="10">
        <v>285</v>
      </c>
      <c r="UE21" s="10">
        <v>44306</v>
      </c>
      <c r="UF21" s="10">
        <v>85056</v>
      </c>
      <c r="UG21" s="10">
        <v>285</v>
      </c>
      <c r="UH21" s="10">
        <v>44307</v>
      </c>
      <c r="UI21" s="10">
        <v>85299</v>
      </c>
      <c r="UJ21" s="10">
        <v>240</v>
      </c>
      <c r="UK21" s="10">
        <v>44308</v>
      </c>
      <c r="UL21" s="10">
        <v>85561</v>
      </c>
      <c r="UM21" s="10">
        <v>261</v>
      </c>
      <c r="UN21" s="10">
        <v>44312</v>
      </c>
      <c r="UO21" s="10">
        <v>86361</v>
      </c>
      <c r="UP21" s="10">
        <v>241</v>
      </c>
      <c r="UQ21" s="10">
        <v>44313</v>
      </c>
      <c r="UR21" s="10">
        <v>86594</v>
      </c>
      <c r="US21" s="10">
        <v>228</v>
      </c>
      <c r="UT21" s="10">
        <v>44314</v>
      </c>
      <c r="UU21" s="10">
        <v>86863</v>
      </c>
      <c r="UV21" s="10">
        <v>273</v>
      </c>
      <c r="UW21" s="10">
        <v>44315</v>
      </c>
      <c r="UX21" s="10">
        <v>87063</v>
      </c>
      <c r="UY21" s="10">
        <v>201</v>
      </c>
      <c r="UZ21" s="10">
        <v>44317</v>
      </c>
      <c r="VA21" s="10">
        <v>87364</v>
      </c>
      <c r="VB21" s="10">
        <v>105</v>
      </c>
      <c r="VC21" s="10">
        <v>44317</v>
      </c>
      <c r="VD21" s="10">
        <v>87359</v>
      </c>
      <c r="VE21" s="10">
        <v>105</v>
      </c>
      <c r="VF21" s="10">
        <v>44318</v>
      </c>
      <c r="VG21" s="10">
        <v>87496</v>
      </c>
      <c r="VH21" s="10">
        <v>135</v>
      </c>
      <c r="VI21" s="10">
        <v>44320</v>
      </c>
      <c r="VJ21" s="10">
        <v>88020</v>
      </c>
      <c r="VK21" s="10">
        <v>206</v>
      </c>
      <c r="VL21" s="10">
        <v>44320</v>
      </c>
      <c r="VM21" s="10">
        <v>88018</v>
      </c>
      <c r="VN21" s="10">
        <v>204</v>
      </c>
      <c r="VO21" s="10">
        <v>44321</v>
      </c>
      <c r="VP21" s="10">
        <v>88284</v>
      </c>
      <c r="VQ21" s="10">
        <v>267</v>
      </c>
      <c r="VR21" s="10">
        <v>44322</v>
      </c>
      <c r="VS21" s="10">
        <v>88520</v>
      </c>
      <c r="VT21" s="10">
        <v>235</v>
      </c>
      <c r="VU21" s="10">
        <v>44324</v>
      </c>
      <c r="VV21" s="10">
        <v>88867</v>
      </c>
      <c r="VW21" s="10">
        <v>129</v>
      </c>
      <c r="VX21" s="10">
        <v>44324</v>
      </c>
      <c r="VY21" s="10">
        <v>88870</v>
      </c>
      <c r="VZ21" s="10">
        <v>129</v>
      </c>
      <c r="WA21" s="10">
        <v>44325</v>
      </c>
      <c r="WB21" s="10">
        <v>89001</v>
      </c>
      <c r="WC21" s="10">
        <v>129</v>
      </c>
      <c r="WD21" s="10">
        <v>44326</v>
      </c>
      <c r="WE21" s="10">
        <v>89259</v>
      </c>
      <c r="WF21" s="10">
        <v>258</v>
      </c>
      <c r="WG21" s="10">
        <v>44327</v>
      </c>
      <c r="WH21" s="10">
        <v>89473</v>
      </c>
      <c r="WI21" s="10">
        <v>214</v>
      </c>
      <c r="WJ21" s="10">
        <v>44329</v>
      </c>
      <c r="WK21" s="10">
        <v>89884</v>
      </c>
      <c r="WL21" s="10">
        <v>155</v>
      </c>
      <c r="WM21" s="10">
        <v>44329</v>
      </c>
      <c r="WN21" s="10">
        <v>89886</v>
      </c>
      <c r="WO21" s="10">
        <v>155</v>
      </c>
      <c r="WP21" s="10">
        <v>44332</v>
      </c>
      <c r="WQ21" s="10">
        <v>90423</v>
      </c>
      <c r="WR21" s="10">
        <v>133</v>
      </c>
      <c r="WS21" s="10">
        <v>44333</v>
      </c>
      <c r="WT21" s="10">
        <v>90709</v>
      </c>
      <c r="WU21" s="10">
        <v>284</v>
      </c>
      <c r="WV21" s="10">
        <v>44334</v>
      </c>
      <c r="WW21" s="10">
        <v>90929</v>
      </c>
      <c r="WX21" s="10">
        <v>217</v>
      </c>
      <c r="WY21" s="10">
        <v>44335</v>
      </c>
      <c r="WZ21" s="10">
        <v>91161</v>
      </c>
      <c r="XA21" s="10">
        <v>229</v>
      </c>
      <c r="XB21" s="10">
        <v>44336</v>
      </c>
      <c r="XC21" s="10">
        <v>91376</v>
      </c>
      <c r="XD21" s="10">
        <v>215</v>
      </c>
      <c r="XE21" s="10">
        <v>44338</v>
      </c>
      <c r="XF21" s="10">
        <v>91652</v>
      </c>
      <c r="XG21" s="10">
        <v>106</v>
      </c>
      <c r="XH21" s="10">
        <v>44338</v>
      </c>
      <c r="XI21" s="10">
        <v>91658</v>
      </c>
      <c r="XJ21" s="10">
        <v>106</v>
      </c>
      <c r="XK21" s="10">
        <v>44339</v>
      </c>
      <c r="XL21" s="10">
        <v>91751</v>
      </c>
      <c r="XM21" s="10">
        <v>92</v>
      </c>
      <c r="XN21" s="10">
        <v>44340</v>
      </c>
      <c r="XO21" s="10">
        <v>91940</v>
      </c>
      <c r="XP21" s="10">
        <v>188</v>
      </c>
      <c r="XQ21" s="10">
        <v>44341</v>
      </c>
      <c r="XR21" s="10">
        <v>92093</v>
      </c>
      <c r="XS21" s="10">
        <v>152</v>
      </c>
      <c r="XT21" s="10">
        <v>44342</v>
      </c>
      <c r="XU21" s="10">
        <v>92239</v>
      </c>
      <c r="XV21" s="10">
        <v>142</v>
      </c>
      <c r="XW21" s="10">
        <v>44343</v>
      </c>
      <c r="XX21" s="10">
        <v>92369</v>
      </c>
      <c r="XY21" s="10">
        <v>127</v>
      </c>
      <c r="XZ21" s="10">
        <v>44344</v>
      </c>
      <c r="YA21" s="10">
        <v>92506</v>
      </c>
      <c r="YB21" s="10">
        <v>136</v>
      </c>
      <c r="YC21" s="10">
        <v>44346</v>
      </c>
      <c r="YD21" s="10">
        <v>92651</v>
      </c>
      <c r="YE21" s="10">
        <v>79</v>
      </c>
      <c r="YF21" s="10">
        <v>44347</v>
      </c>
      <c r="YG21" s="10">
        <v>92797</v>
      </c>
      <c r="YH21" s="10">
        <v>144</v>
      </c>
      <c r="YI21" s="10">
        <v>44348</v>
      </c>
      <c r="YJ21" s="10">
        <v>92921</v>
      </c>
      <c r="YK21" s="10">
        <v>122</v>
      </c>
      <c r="YL21" s="10">
        <v>44349</v>
      </c>
      <c r="YM21" s="10">
        <v>93039</v>
      </c>
      <c r="YN21" s="10">
        <v>118</v>
      </c>
      <c r="YO21" s="10">
        <v>44350</v>
      </c>
      <c r="YP21" s="10">
        <v>93152</v>
      </c>
      <c r="YQ21" s="10">
        <v>110</v>
      </c>
      <c r="YR21" s="10">
        <v>44351</v>
      </c>
      <c r="YS21" s="10">
        <v>93255</v>
      </c>
      <c r="YT21" s="10">
        <v>101</v>
      </c>
      <c r="YU21" s="10">
        <v>44352</v>
      </c>
      <c r="YV21" s="10">
        <v>93328</v>
      </c>
      <c r="YW21" s="10">
        <v>65</v>
      </c>
    </row>
    <row r="22" spans="2:673">
      <c r="B22" t="str">
        <f t="shared" ca="1" si="2"/>
        <v>6.6</v>
      </c>
      <c r="C22" s="4">
        <f t="shared" ca="1" si="0"/>
        <v>44353</v>
      </c>
      <c r="D22" s="11">
        <f t="shared" ca="1" si="1"/>
        <v>93387</v>
      </c>
      <c r="E22">
        <f t="shared" ca="1" si="3"/>
        <v>59</v>
      </c>
      <c r="F22" s="11">
        <f t="shared" ca="1" si="4"/>
        <v>-1</v>
      </c>
      <c r="G22" s="11">
        <f t="shared" ca="1" si="5"/>
        <v>60</v>
      </c>
      <c r="H22" s="10"/>
      <c r="L22" s="3"/>
      <c r="N22" s="16">
        <v>44353</v>
      </c>
      <c r="O22">
        <v>93388</v>
      </c>
      <c r="P22">
        <v>60</v>
      </c>
      <c r="Q22" s="16">
        <v>44353</v>
      </c>
      <c r="R22">
        <v>93388</v>
      </c>
      <c r="S22">
        <v>60</v>
      </c>
      <c r="T22" s="16">
        <v>44100</v>
      </c>
      <c r="U22">
        <v>9877</v>
      </c>
      <c r="V22">
        <v>73</v>
      </c>
      <c r="W22" s="16">
        <v>44101</v>
      </c>
      <c r="X22">
        <v>9947</v>
      </c>
      <c r="Y22">
        <v>69</v>
      </c>
      <c r="Z22" s="16">
        <v>44102</v>
      </c>
      <c r="AA22">
        <v>10075</v>
      </c>
      <c r="AB22">
        <v>124</v>
      </c>
      <c r="AC22" s="16">
        <v>44103</v>
      </c>
      <c r="AD22">
        <v>10209</v>
      </c>
      <c r="AE22">
        <v>135</v>
      </c>
      <c r="AF22" s="16">
        <v>44104</v>
      </c>
      <c r="AG22">
        <v>10376</v>
      </c>
      <c r="AH22">
        <v>167</v>
      </c>
      <c r="AI22" s="16">
        <v>44105</v>
      </c>
      <c r="AJ22">
        <v>10571</v>
      </c>
      <c r="AK22">
        <v>192</v>
      </c>
      <c r="AL22" s="16">
        <v>44106</v>
      </c>
      <c r="AM22">
        <v>10749</v>
      </c>
      <c r="AN22">
        <v>187</v>
      </c>
      <c r="AO22" s="16">
        <v>44107</v>
      </c>
      <c r="AP22">
        <v>10918</v>
      </c>
      <c r="AQ22">
        <v>169</v>
      </c>
      <c r="AR22" s="16">
        <v>44108</v>
      </c>
      <c r="AS22">
        <v>11064</v>
      </c>
      <c r="AT22">
        <v>147</v>
      </c>
      <c r="AU22" s="16">
        <v>44109</v>
      </c>
      <c r="AV22">
        <v>11349</v>
      </c>
      <c r="AW22">
        <v>287</v>
      </c>
      <c r="AX22" s="16">
        <v>44110</v>
      </c>
      <c r="AY22">
        <v>11646</v>
      </c>
      <c r="AZ22">
        <v>299</v>
      </c>
      <c r="BA22" s="16">
        <v>44111</v>
      </c>
      <c r="BB22">
        <v>11954</v>
      </c>
      <c r="BC22">
        <v>308</v>
      </c>
      <c r="BD22" s="16">
        <v>44112</v>
      </c>
      <c r="BE22">
        <v>12219</v>
      </c>
      <c r="BF22">
        <v>261</v>
      </c>
      <c r="BG22" s="16">
        <v>44113</v>
      </c>
      <c r="BH22">
        <v>12440</v>
      </c>
      <c r="BI22">
        <v>226</v>
      </c>
      <c r="BJ22" s="16">
        <v>44114</v>
      </c>
      <c r="BK22">
        <v>12551</v>
      </c>
      <c r="BL22">
        <v>109</v>
      </c>
      <c r="BM22" s="16">
        <v>44115</v>
      </c>
      <c r="BN22">
        <v>12682</v>
      </c>
      <c r="BO22">
        <v>130</v>
      </c>
      <c r="BP22" s="16">
        <v>44116</v>
      </c>
      <c r="BQ22">
        <v>12933</v>
      </c>
      <c r="BR22">
        <v>252</v>
      </c>
      <c r="BS22" s="16">
        <v>44117</v>
      </c>
      <c r="BT22">
        <v>13131</v>
      </c>
      <c r="BU22">
        <v>197</v>
      </c>
      <c r="BV22" s="16">
        <v>44119</v>
      </c>
      <c r="BW22">
        <v>13524</v>
      </c>
      <c r="BX22">
        <v>190</v>
      </c>
      <c r="BY22" s="16">
        <v>44120</v>
      </c>
      <c r="BZ22">
        <v>13714</v>
      </c>
      <c r="CA22">
        <v>192</v>
      </c>
      <c r="CB22" s="16">
        <v>44121</v>
      </c>
      <c r="CC22">
        <v>13819</v>
      </c>
      <c r="CD22">
        <v>100</v>
      </c>
      <c r="CE22" s="16">
        <v>44122</v>
      </c>
      <c r="CF22">
        <v>13954</v>
      </c>
      <c r="CG22">
        <v>127</v>
      </c>
      <c r="CH22" s="16">
        <v>44123</v>
      </c>
      <c r="CI22">
        <v>14199</v>
      </c>
      <c r="CJ22">
        <v>244</v>
      </c>
      <c r="CK22" s="16">
        <v>44124</v>
      </c>
      <c r="CL22">
        <v>14361</v>
      </c>
      <c r="CM22">
        <v>162</v>
      </c>
      <c r="CN22" s="16">
        <v>44125</v>
      </c>
      <c r="CO22">
        <v>14550</v>
      </c>
      <c r="CP22">
        <v>189</v>
      </c>
      <c r="CQ22" s="16">
        <v>44126</v>
      </c>
      <c r="CR22">
        <v>14762</v>
      </c>
      <c r="CS22">
        <v>212</v>
      </c>
      <c r="CT22" s="16">
        <v>44127</v>
      </c>
      <c r="CU22">
        <v>14958</v>
      </c>
      <c r="CV22">
        <v>192</v>
      </c>
      <c r="CW22" s="16">
        <v>44128</v>
      </c>
      <c r="CX22">
        <v>15070</v>
      </c>
      <c r="CY22">
        <v>108</v>
      </c>
      <c r="CZ22" s="16">
        <v>44130</v>
      </c>
      <c r="DA22">
        <v>15446</v>
      </c>
      <c r="DB22">
        <v>255</v>
      </c>
      <c r="DC22" s="16">
        <v>44131</v>
      </c>
      <c r="DD22">
        <v>15675</v>
      </c>
      <c r="DE22">
        <v>230</v>
      </c>
      <c r="DF22" s="16">
        <v>44132</v>
      </c>
      <c r="DG22">
        <v>15918</v>
      </c>
      <c r="DH22">
        <v>241</v>
      </c>
      <c r="DI22" s="16">
        <v>44133</v>
      </c>
      <c r="DJ22">
        <v>16154</v>
      </c>
      <c r="DK22">
        <v>237</v>
      </c>
      <c r="DL22" s="16">
        <v>44134</v>
      </c>
      <c r="DM22">
        <v>16379</v>
      </c>
      <c r="DN22">
        <v>219</v>
      </c>
      <c r="DO22" s="16">
        <v>44135</v>
      </c>
      <c r="DP22">
        <v>16501</v>
      </c>
      <c r="DQ22">
        <v>121</v>
      </c>
      <c r="DR22" s="16">
        <v>44136</v>
      </c>
      <c r="DS22">
        <v>16651</v>
      </c>
      <c r="DT22">
        <v>149</v>
      </c>
      <c r="DU22" s="16">
        <v>44137</v>
      </c>
      <c r="DV22">
        <v>16935</v>
      </c>
      <c r="DW22">
        <v>281</v>
      </c>
      <c r="DX22" s="16">
        <v>44138</v>
      </c>
      <c r="DY22">
        <v>17176</v>
      </c>
      <c r="DZ22">
        <v>241</v>
      </c>
      <c r="EA22" s="16">
        <v>44139</v>
      </c>
      <c r="EB22">
        <v>17385</v>
      </c>
      <c r="EC22">
        <v>209</v>
      </c>
      <c r="ED22" s="16">
        <v>44140</v>
      </c>
      <c r="EE22">
        <v>17598</v>
      </c>
      <c r="EF22">
        <v>220</v>
      </c>
      <c r="EG22" s="16">
        <v>44141</v>
      </c>
      <c r="EH22">
        <v>17794</v>
      </c>
      <c r="EI22">
        <v>196</v>
      </c>
      <c r="EJ22" s="16">
        <v>44142</v>
      </c>
      <c r="EK22">
        <v>17924</v>
      </c>
      <c r="EL22">
        <v>130</v>
      </c>
      <c r="EM22" s="16">
        <v>44143</v>
      </c>
      <c r="EN22">
        <v>18055</v>
      </c>
      <c r="EO22">
        <v>133</v>
      </c>
      <c r="EP22" s="16">
        <v>44144</v>
      </c>
      <c r="EQ22">
        <v>18328</v>
      </c>
      <c r="ER22">
        <v>275</v>
      </c>
      <c r="ES22" s="16">
        <v>44145</v>
      </c>
      <c r="ET22">
        <v>18536</v>
      </c>
      <c r="EU22">
        <v>206</v>
      </c>
      <c r="EV22" s="16">
        <v>44146</v>
      </c>
      <c r="EW22">
        <v>18826</v>
      </c>
      <c r="EX22">
        <v>291</v>
      </c>
      <c r="EY22" s="16">
        <v>44147</v>
      </c>
      <c r="EZ22">
        <v>19103</v>
      </c>
      <c r="FA22">
        <v>277</v>
      </c>
      <c r="FB22" s="16">
        <v>44148</v>
      </c>
      <c r="FC22">
        <v>19364</v>
      </c>
      <c r="FD22">
        <v>262</v>
      </c>
      <c r="FE22" s="16">
        <v>44149</v>
      </c>
      <c r="FF22">
        <v>19456</v>
      </c>
      <c r="FG22">
        <v>144</v>
      </c>
      <c r="FH22" s="16">
        <v>44150</v>
      </c>
      <c r="FI22">
        <v>19700</v>
      </c>
      <c r="FJ22">
        <v>181</v>
      </c>
      <c r="FK22" s="16">
        <v>44151</v>
      </c>
      <c r="FL22">
        <v>20111</v>
      </c>
      <c r="FM22">
        <v>393</v>
      </c>
      <c r="FN22" s="16">
        <v>44152</v>
      </c>
      <c r="FO22">
        <v>20505</v>
      </c>
      <c r="FP22">
        <v>394</v>
      </c>
      <c r="FQ22" s="16">
        <v>44153</v>
      </c>
      <c r="FR22">
        <v>20877</v>
      </c>
      <c r="FS22">
        <v>372</v>
      </c>
      <c r="FT22" s="16">
        <v>44154</v>
      </c>
      <c r="FU22">
        <v>21373</v>
      </c>
      <c r="FV22">
        <v>479</v>
      </c>
      <c r="FW22" s="16">
        <v>44155</v>
      </c>
      <c r="FX22">
        <v>21806</v>
      </c>
      <c r="FY22">
        <v>431</v>
      </c>
      <c r="FZ22" s="16">
        <v>44156</v>
      </c>
      <c r="GA22">
        <v>22081</v>
      </c>
      <c r="GB22">
        <v>269</v>
      </c>
      <c r="GC22" s="16">
        <v>44157</v>
      </c>
      <c r="GD22">
        <v>22342</v>
      </c>
      <c r="GE22">
        <v>262</v>
      </c>
      <c r="GF22" s="16">
        <v>44158</v>
      </c>
      <c r="GG22">
        <v>22834</v>
      </c>
      <c r="GH22">
        <v>490</v>
      </c>
      <c r="GI22" s="16">
        <v>44159</v>
      </c>
      <c r="GJ22">
        <v>23296</v>
      </c>
      <c r="GK22">
        <v>460</v>
      </c>
      <c r="GL22" s="16">
        <v>44160</v>
      </c>
      <c r="GM22">
        <v>23895</v>
      </c>
      <c r="GN22">
        <v>599</v>
      </c>
      <c r="GO22" s="16">
        <v>44161</v>
      </c>
      <c r="GP22">
        <v>24404</v>
      </c>
      <c r="GQ22">
        <v>509</v>
      </c>
      <c r="GR22" s="16">
        <v>44162</v>
      </c>
      <c r="GS22">
        <v>24874</v>
      </c>
      <c r="GT22">
        <v>465</v>
      </c>
      <c r="GU22" s="16">
        <v>44163</v>
      </c>
      <c r="GV22">
        <v>25183</v>
      </c>
      <c r="GW22">
        <v>282</v>
      </c>
      <c r="GX22" s="16">
        <v>44164</v>
      </c>
      <c r="GY22">
        <v>25481</v>
      </c>
      <c r="GZ22">
        <v>293</v>
      </c>
      <c r="HA22" s="16">
        <v>44165</v>
      </c>
      <c r="HB22">
        <v>26080</v>
      </c>
      <c r="HC22">
        <v>597</v>
      </c>
      <c r="HD22" s="16">
        <v>44166</v>
      </c>
      <c r="HE22">
        <v>26523</v>
      </c>
      <c r="HF22">
        <v>443</v>
      </c>
      <c r="HG22" s="16">
        <v>44167</v>
      </c>
      <c r="HH22">
        <v>27007</v>
      </c>
      <c r="HI22">
        <v>493</v>
      </c>
      <c r="HJ22" s="16">
        <v>44168</v>
      </c>
      <c r="HK22">
        <v>27478</v>
      </c>
      <c r="HL22">
        <v>475</v>
      </c>
      <c r="HM22" s="16">
        <v>44169</v>
      </c>
      <c r="HN22">
        <v>27947</v>
      </c>
      <c r="HO22">
        <v>472</v>
      </c>
      <c r="HP22" s="16">
        <v>44170</v>
      </c>
      <c r="HQ22">
        <v>28206</v>
      </c>
      <c r="HR22">
        <v>249</v>
      </c>
      <c r="HS22" s="16">
        <v>44171</v>
      </c>
      <c r="HT22">
        <v>28484</v>
      </c>
      <c r="HU22">
        <v>281</v>
      </c>
      <c r="HV22" s="16">
        <v>44172</v>
      </c>
      <c r="HW22">
        <v>29075</v>
      </c>
      <c r="HX22">
        <v>588</v>
      </c>
      <c r="HY22" s="16">
        <v>44173</v>
      </c>
      <c r="HZ22">
        <v>29550</v>
      </c>
      <c r="IA22">
        <v>477</v>
      </c>
      <c r="IB22" s="16">
        <v>44174</v>
      </c>
      <c r="IC22">
        <v>30010</v>
      </c>
      <c r="ID22">
        <v>462</v>
      </c>
      <c r="IE22" s="16">
        <v>44175</v>
      </c>
      <c r="IF22">
        <v>30422</v>
      </c>
      <c r="IG22">
        <v>408</v>
      </c>
      <c r="IH22" s="16">
        <v>44176</v>
      </c>
      <c r="II22">
        <v>30864</v>
      </c>
      <c r="IJ22">
        <v>444</v>
      </c>
      <c r="IK22" s="16">
        <v>44177</v>
      </c>
      <c r="IL22">
        <v>31116</v>
      </c>
      <c r="IM22">
        <v>252</v>
      </c>
      <c r="IN22" s="16">
        <v>44178</v>
      </c>
      <c r="IO22">
        <v>31390</v>
      </c>
      <c r="IP22">
        <v>275</v>
      </c>
      <c r="IQ22" s="16">
        <v>44179</v>
      </c>
      <c r="IR22">
        <v>31850</v>
      </c>
      <c r="IS22">
        <v>461</v>
      </c>
      <c r="IT22" s="16">
        <v>44180</v>
      </c>
      <c r="IU22">
        <v>32208</v>
      </c>
      <c r="IV22">
        <v>358</v>
      </c>
      <c r="IW22" s="16">
        <v>44181</v>
      </c>
      <c r="IX22">
        <v>32556</v>
      </c>
      <c r="IY22">
        <v>348</v>
      </c>
      <c r="IZ22" s="16">
        <v>44182</v>
      </c>
      <c r="JA22">
        <v>32879</v>
      </c>
      <c r="JB22">
        <v>319</v>
      </c>
      <c r="JC22" s="16">
        <v>44186</v>
      </c>
      <c r="JD22">
        <v>34090</v>
      </c>
      <c r="JE22">
        <v>370</v>
      </c>
      <c r="JF22" s="16">
        <v>44190</v>
      </c>
      <c r="JG22">
        <v>34993</v>
      </c>
      <c r="JH22">
        <v>156</v>
      </c>
      <c r="JI22" s="16">
        <v>44191</v>
      </c>
      <c r="JJ22">
        <v>35221</v>
      </c>
      <c r="JK22">
        <v>183</v>
      </c>
      <c r="JL22" s="16">
        <v>44192</v>
      </c>
      <c r="JM22">
        <v>35403</v>
      </c>
      <c r="JN22">
        <v>188</v>
      </c>
      <c r="JO22" s="16">
        <v>44193</v>
      </c>
      <c r="JP22">
        <v>35824</v>
      </c>
      <c r="JQ22">
        <v>430</v>
      </c>
      <c r="JR22" s="16">
        <v>44195</v>
      </c>
      <c r="JS22">
        <v>36390</v>
      </c>
      <c r="JT22">
        <v>255</v>
      </c>
      <c r="JU22" s="16">
        <v>44195</v>
      </c>
      <c r="JV22">
        <v>36391</v>
      </c>
      <c r="JW22">
        <v>255</v>
      </c>
      <c r="JX22" s="16">
        <v>44197</v>
      </c>
      <c r="JY22">
        <v>36768</v>
      </c>
      <c r="JZ22">
        <v>129</v>
      </c>
      <c r="KA22" s="16">
        <v>44209</v>
      </c>
      <c r="KB22">
        <v>39593</v>
      </c>
      <c r="KC22">
        <v>108</v>
      </c>
      <c r="KD22" s="16">
        <v>44209</v>
      </c>
      <c r="KE22">
        <v>39855</v>
      </c>
      <c r="KF22">
        <v>259</v>
      </c>
      <c r="KG22" s="16">
        <v>44210</v>
      </c>
      <c r="KH22">
        <v>40094</v>
      </c>
      <c r="KI22">
        <v>248</v>
      </c>
      <c r="KJ22" s="16">
        <v>44212</v>
      </c>
      <c r="KK22">
        <v>40527</v>
      </c>
      <c r="KL22">
        <v>169</v>
      </c>
      <c r="KM22" s="16">
        <v>44213</v>
      </c>
      <c r="KN22">
        <v>40726</v>
      </c>
      <c r="KO22">
        <v>194</v>
      </c>
      <c r="KP22" s="16">
        <v>44217</v>
      </c>
      <c r="KQ22">
        <v>42294</v>
      </c>
      <c r="KR22">
        <v>377</v>
      </c>
      <c r="KS22" s="16">
        <v>44218</v>
      </c>
      <c r="KT22">
        <v>42654</v>
      </c>
      <c r="KU22">
        <v>356</v>
      </c>
      <c r="KV22" s="16">
        <v>44219</v>
      </c>
      <c r="KW22">
        <v>42826</v>
      </c>
      <c r="KX22">
        <v>170</v>
      </c>
      <c r="KY22" s="16">
        <v>44221</v>
      </c>
      <c r="KZ22">
        <v>43675</v>
      </c>
      <c r="LA22">
        <v>604</v>
      </c>
      <c r="LB22" s="16">
        <v>44222</v>
      </c>
      <c r="LC22">
        <v>44088</v>
      </c>
      <c r="LD22">
        <v>399</v>
      </c>
      <c r="LE22" s="16">
        <v>44223</v>
      </c>
      <c r="LF22">
        <v>44470</v>
      </c>
      <c r="LG22">
        <v>383</v>
      </c>
      <c r="LH22" s="16">
        <v>44225</v>
      </c>
      <c r="LI22">
        <v>45244</v>
      </c>
      <c r="LJ22">
        <v>373</v>
      </c>
      <c r="LK22" s="16">
        <v>44225</v>
      </c>
      <c r="LL22">
        <v>45245</v>
      </c>
      <c r="LM22">
        <v>373</v>
      </c>
      <c r="LN22" s="16">
        <v>44227</v>
      </c>
      <c r="LO22">
        <v>45776</v>
      </c>
      <c r="LP22">
        <v>275</v>
      </c>
      <c r="LQ22" s="16">
        <v>44228</v>
      </c>
      <c r="LR22">
        <v>46295</v>
      </c>
      <c r="LS22">
        <v>524</v>
      </c>
      <c r="LT22" s="16">
        <v>44229</v>
      </c>
      <c r="LU22">
        <v>46697</v>
      </c>
      <c r="LV22">
        <v>400</v>
      </c>
      <c r="LW22" s="16">
        <v>44230</v>
      </c>
      <c r="LX22">
        <v>47147</v>
      </c>
      <c r="LY22">
        <v>437</v>
      </c>
      <c r="LZ22" s="16">
        <v>44231</v>
      </c>
      <c r="MA22">
        <v>47507</v>
      </c>
      <c r="MB22">
        <v>370</v>
      </c>
      <c r="MC22" s="16">
        <v>44232</v>
      </c>
      <c r="MD22">
        <v>47884</v>
      </c>
      <c r="ME22">
        <v>365</v>
      </c>
      <c r="MF22" s="16">
        <v>44234</v>
      </c>
      <c r="MG22">
        <v>48388</v>
      </c>
      <c r="MH22">
        <v>261</v>
      </c>
      <c r="MI22" s="16">
        <v>44234</v>
      </c>
      <c r="MJ22">
        <v>48389</v>
      </c>
      <c r="MK22">
        <v>261</v>
      </c>
      <c r="ML22" s="16">
        <v>44235</v>
      </c>
      <c r="MM22">
        <v>48844</v>
      </c>
      <c r="MN22">
        <v>460</v>
      </c>
      <c r="MO22" s="16">
        <v>44236</v>
      </c>
      <c r="MP22">
        <v>49214</v>
      </c>
      <c r="MQ22">
        <v>370</v>
      </c>
      <c r="MR22" s="16">
        <v>44237</v>
      </c>
      <c r="MS22">
        <v>49600</v>
      </c>
      <c r="MT22">
        <v>382</v>
      </c>
      <c r="MU22" s="16">
        <v>44238</v>
      </c>
      <c r="MV22">
        <v>49954</v>
      </c>
      <c r="MW22">
        <v>354</v>
      </c>
      <c r="MX22" s="16">
        <v>44239</v>
      </c>
      <c r="MY22">
        <v>50372</v>
      </c>
      <c r="MZ22">
        <v>418</v>
      </c>
      <c r="NA22" s="16">
        <v>44239</v>
      </c>
      <c r="NB22">
        <v>50373</v>
      </c>
      <c r="NC22">
        <v>417</v>
      </c>
      <c r="ND22" s="16">
        <v>44242</v>
      </c>
      <c r="NE22">
        <v>51542</v>
      </c>
      <c r="NF22">
        <v>610</v>
      </c>
      <c r="NG22" s="16">
        <v>44242</v>
      </c>
      <c r="NH22">
        <v>51540</v>
      </c>
      <c r="NI22">
        <v>610</v>
      </c>
      <c r="NJ22" s="16">
        <v>44244</v>
      </c>
      <c r="NK22">
        <v>52591</v>
      </c>
      <c r="NL22">
        <v>544</v>
      </c>
      <c r="NM22" s="16">
        <v>44244</v>
      </c>
      <c r="NN22">
        <v>52592</v>
      </c>
      <c r="NO22">
        <v>544</v>
      </c>
      <c r="NP22" s="16">
        <v>44246</v>
      </c>
      <c r="NQ22">
        <v>53765</v>
      </c>
      <c r="NR22">
        <v>564</v>
      </c>
      <c r="NS22" s="16">
        <v>44247</v>
      </c>
      <c r="NT22">
        <v>54102</v>
      </c>
      <c r="NU22">
        <v>317</v>
      </c>
      <c r="NV22" s="16">
        <v>44248</v>
      </c>
      <c r="NW22">
        <v>54458</v>
      </c>
      <c r="NX22">
        <v>354</v>
      </c>
      <c r="NY22" s="16">
        <v>44249</v>
      </c>
      <c r="NZ22">
        <v>55084</v>
      </c>
      <c r="OA22">
        <v>622</v>
      </c>
      <c r="OB22" s="16">
        <v>44250</v>
      </c>
      <c r="OC22">
        <v>55713</v>
      </c>
      <c r="OD22">
        <v>622</v>
      </c>
      <c r="OE22" s="16">
        <v>44251</v>
      </c>
      <c r="OF22">
        <v>56315</v>
      </c>
      <c r="OG22">
        <v>601</v>
      </c>
      <c r="OH22" s="16">
        <v>44252</v>
      </c>
      <c r="OI22">
        <v>56929</v>
      </c>
      <c r="OJ22">
        <v>618</v>
      </c>
      <c r="OK22" s="16">
        <v>44253</v>
      </c>
      <c r="OL22">
        <v>57617</v>
      </c>
      <c r="OM22">
        <v>687</v>
      </c>
      <c r="ON22" s="16">
        <v>44254</v>
      </c>
      <c r="OO22">
        <v>58020</v>
      </c>
      <c r="OP22">
        <v>402</v>
      </c>
      <c r="OQ22" s="16">
        <v>44255</v>
      </c>
      <c r="OR22">
        <v>58443</v>
      </c>
      <c r="OS22">
        <v>421</v>
      </c>
      <c r="OT22" s="16">
        <v>44256</v>
      </c>
      <c r="OU22">
        <v>59313</v>
      </c>
      <c r="OV22">
        <v>868</v>
      </c>
      <c r="OW22" s="16">
        <v>44257</v>
      </c>
      <c r="OX22">
        <v>60067</v>
      </c>
      <c r="OY22">
        <v>756</v>
      </c>
      <c r="OZ22" s="16">
        <v>44258</v>
      </c>
      <c r="PA22">
        <v>60806</v>
      </c>
      <c r="PB22">
        <v>737</v>
      </c>
      <c r="PC22" s="16">
        <v>44259</v>
      </c>
      <c r="PD22">
        <v>61434</v>
      </c>
      <c r="PE22">
        <v>624</v>
      </c>
      <c r="PF22" s="16">
        <v>44260</v>
      </c>
      <c r="PG22">
        <v>62032</v>
      </c>
      <c r="PH22">
        <v>599</v>
      </c>
      <c r="PI22" s="16">
        <v>44261</v>
      </c>
      <c r="PJ22">
        <v>62471</v>
      </c>
      <c r="PK22">
        <v>433</v>
      </c>
      <c r="PL22" s="16">
        <v>44262</v>
      </c>
      <c r="PM22">
        <v>62877</v>
      </c>
      <c r="PN22">
        <v>395</v>
      </c>
      <c r="PO22" s="16">
        <v>44263</v>
      </c>
      <c r="PP22">
        <v>63715</v>
      </c>
      <c r="PQ22">
        <v>830</v>
      </c>
      <c r="PR22" s="16">
        <v>44264</v>
      </c>
      <c r="PS22">
        <v>64476</v>
      </c>
      <c r="PT22">
        <v>761</v>
      </c>
      <c r="PU22" s="16">
        <v>44265</v>
      </c>
      <c r="PV22">
        <v>65282</v>
      </c>
      <c r="PW22">
        <v>806</v>
      </c>
      <c r="PX22" s="16">
        <v>44266</v>
      </c>
      <c r="PY22">
        <v>66095</v>
      </c>
      <c r="PZ22">
        <v>773</v>
      </c>
      <c r="QA22" s="16">
        <v>44267</v>
      </c>
      <c r="QB22">
        <v>66908</v>
      </c>
      <c r="QC22">
        <v>808</v>
      </c>
      <c r="QD22" s="16">
        <v>44268</v>
      </c>
      <c r="QE22">
        <v>67403</v>
      </c>
      <c r="QF22">
        <v>492</v>
      </c>
      <c r="QG22" s="16">
        <v>44269</v>
      </c>
      <c r="QH22">
        <v>67836</v>
      </c>
      <c r="QI22">
        <v>435</v>
      </c>
      <c r="QJ22" s="16">
        <v>44270</v>
      </c>
      <c r="QK22">
        <v>68730</v>
      </c>
      <c r="QL22">
        <v>890</v>
      </c>
      <c r="QM22" s="16">
        <v>44271</v>
      </c>
      <c r="QN22">
        <v>69493</v>
      </c>
      <c r="QO22">
        <v>764</v>
      </c>
      <c r="QP22" s="16">
        <v>44272</v>
      </c>
      <c r="QQ22">
        <v>70237</v>
      </c>
      <c r="QR22">
        <v>744</v>
      </c>
      <c r="QS22" s="16">
        <v>44273</v>
      </c>
      <c r="QT22">
        <v>70980</v>
      </c>
      <c r="QU22">
        <v>737</v>
      </c>
      <c r="QV22" s="16">
        <v>44274</v>
      </c>
      <c r="QW22">
        <v>71722</v>
      </c>
      <c r="QX22">
        <v>742</v>
      </c>
      <c r="QY22" s="16">
        <v>44275</v>
      </c>
      <c r="QZ22">
        <v>72122</v>
      </c>
      <c r="RA22">
        <v>401</v>
      </c>
      <c r="RB22" s="16">
        <v>44276</v>
      </c>
      <c r="RC22">
        <v>72543</v>
      </c>
      <c r="RD22">
        <v>417</v>
      </c>
      <c r="RE22" s="16">
        <v>44277</v>
      </c>
      <c r="RF22">
        <v>73304</v>
      </c>
      <c r="RG22">
        <v>764</v>
      </c>
      <c r="RH22" s="16">
        <v>44278</v>
      </c>
      <c r="RI22">
        <v>74000</v>
      </c>
      <c r="RJ22">
        <v>698</v>
      </c>
      <c r="RK22" s="16">
        <v>44279</v>
      </c>
      <c r="RL22">
        <v>74696</v>
      </c>
      <c r="RM22">
        <v>699</v>
      </c>
      <c r="RN22" s="16">
        <v>44281</v>
      </c>
      <c r="RO22">
        <v>75985</v>
      </c>
      <c r="RP22">
        <v>682</v>
      </c>
      <c r="RQ22" s="16">
        <v>44282</v>
      </c>
      <c r="RR22">
        <v>76337</v>
      </c>
      <c r="RS22">
        <v>350</v>
      </c>
      <c r="RT22">
        <v>44283</v>
      </c>
      <c r="RU22">
        <v>76707</v>
      </c>
      <c r="RV22">
        <v>369</v>
      </c>
      <c r="RW22">
        <v>44284</v>
      </c>
      <c r="RX22">
        <v>77365</v>
      </c>
      <c r="RY22">
        <v>655</v>
      </c>
      <c r="RZ22">
        <v>44285</v>
      </c>
      <c r="SA22">
        <v>77932</v>
      </c>
      <c r="SB22">
        <v>566</v>
      </c>
      <c r="SC22">
        <v>44286</v>
      </c>
      <c r="SD22">
        <v>78480</v>
      </c>
      <c r="SE22">
        <v>548</v>
      </c>
      <c r="SF22">
        <v>44287</v>
      </c>
      <c r="SG22">
        <v>78969</v>
      </c>
      <c r="SH22">
        <v>488</v>
      </c>
      <c r="SI22">
        <v>44288</v>
      </c>
      <c r="SJ22">
        <v>79331</v>
      </c>
      <c r="SK22">
        <v>361</v>
      </c>
      <c r="SL22">
        <v>44290</v>
      </c>
      <c r="SM22">
        <v>79964</v>
      </c>
      <c r="SN22">
        <v>319</v>
      </c>
      <c r="SO22">
        <v>44291</v>
      </c>
      <c r="SP22">
        <v>80343</v>
      </c>
      <c r="SQ22">
        <v>360</v>
      </c>
      <c r="SR22">
        <v>44292</v>
      </c>
      <c r="SS22">
        <v>80888</v>
      </c>
      <c r="ST22">
        <v>540</v>
      </c>
      <c r="SU22">
        <v>44293</v>
      </c>
      <c r="SV22">
        <v>81314</v>
      </c>
      <c r="SW22">
        <v>426</v>
      </c>
      <c r="SX22">
        <v>44295</v>
      </c>
      <c r="SY22">
        <v>82066</v>
      </c>
      <c r="SZ22">
        <v>348</v>
      </c>
      <c r="TA22">
        <v>44296</v>
      </c>
      <c r="TB22">
        <v>82296</v>
      </c>
      <c r="TC22">
        <v>224</v>
      </c>
      <c r="TD22">
        <v>44298</v>
      </c>
      <c r="TE22">
        <v>82934</v>
      </c>
      <c r="TF22">
        <v>397</v>
      </c>
      <c r="TG22">
        <v>44299</v>
      </c>
      <c r="TH22">
        <v>83262</v>
      </c>
      <c r="TI22">
        <v>324</v>
      </c>
      <c r="TJ22">
        <v>44300</v>
      </c>
      <c r="TK22">
        <v>83609</v>
      </c>
      <c r="TL22">
        <v>345</v>
      </c>
      <c r="TM22">
        <v>44301</v>
      </c>
      <c r="TN22">
        <v>83884</v>
      </c>
      <c r="TO22">
        <v>274</v>
      </c>
      <c r="TP22">
        <v>44303</v>
      </c>
      <c r="TQ22">
        <v>84321</v>
      </c>
      <c r="TR22">
        <v>169</v>
      </c>
      <c r="TS22">
        <v>44304</v>
      </c>
      <c r="TT22">
        <v>84480</v>
      </c>
      <c r="TU22">
        <v>155</v>
      </c>
      <c r="TV22">
        <v>44304</v>
      </c>
      <c r="TW22">
        <v>84486</v>
      </c>
      <c r="TX22">
        <v>155</v>
      </c>
      <c r="TY22">
        <v>44305</v>
      </c>
      <c r="TZ22">
        <v>84770</v>
      </c>
      <c r="UA22">
        <v>284</v>
      </c>
      <c r="UB22">
        <v>44307</v>
      </c>
      <c r="UC22">
        <v>85297</v>
      </c>
      <c r="UD22">
        <v>242</v>
      </c>
      <c r="UE22">
        <v>44307</v>
      </c>
      <c r="UF22">
        <v>85296</v>
      </c>
      <c r="UG22">
        <v>240</v>
      </c>
      <c r="UH22">
        <v>44308</v>
      </c>
      <c r="UI22">
        <v>85559</v>
      </c>
      <c r="UJ22">
        <v>260</v>
      </c>
      <c r="UK22">
        <v>44309</v>
      </c>
      <c r="UL22">
        <v>85818</v>
      </c>
      <c r="UM22">
        <v>257</v>
      </c>
      <c r="UN22">
        <v>44313</v>
      </c>
      <c r="UO22">
        <v>86589</v>
      </c>
      <c r="UP22">
        <v>228</v>
      </c>
      <c r="UQ22">
        <v>44314</v>
      </c>
      <c r="UR22">
        <v>86867</v>
      </c>
      <c r="US22">
        <v>273</v>
      </c>
      <c r="UT22">
        <v>44315</v>
      </c>
      <c r="UU22">
        <v>87064</v>
      </c>
      <c r="UV22">
        <v>201</v>
      </c>
      <c r="UW22">
        <v>44316</v>
      </c>
      <c r="UX22">
        <v>87258</v>
      </c>
      <c r="UY22">
        <v>195</v>
      </c>
      <c r="UZ22">
        <v>44318</v>
      </c>
      <c r="VA22">
        <v>87500</v>
      </c>
      <c r="VB22">
        <v>136</v>
      </c>
      <c r="VC22">
        <v>44318</v>
      </c>
      <c r="VD22">
        <v>87495</v>
      </c>
      <c r="VE22">
        <v>136</v>
      </c>
      <c r="VF22">
        <v>44319</v>
      </c>
      <c r="VG22">
        <v>87815</v>
      </c>
      <c r="VH22">
        <v>319</v>
      </c>
      <c r="VI22">
        <v>44321</v>
      </c>
      <c r="VJ22">
        <v>88288</v>
      </c>
      <c r="VK22">
        <v>268</v>
      </c>
      <c r="VL22">
        <v>44321</v>
      </c>
      <c r="VM22">
        <v>88285</v>
      </c>
      <c r="VN22">
        <v>267</v>
      </c>
      <c r="VO22">
        <v>44322</v>
      </c>
      <c r="VP22">
        <v>88519</v>
      </c>
      <c r="VQ22">
        <v>235</v>
      </c>
      <c r="VR22">
        <v>44323</v>
      </c>
      <c r="VS22">
        <v>88734</v>
      </c>
      <c r="VT22">
        <v>214</v>
      </c>
      <c r="VU22">
        <v>44325</v>
      </c>
      <c r="VV22">
        <v>88996</v>
      </c>
      <c r="VW22">
        <v>129</v>
      </c>
      <c r="VX22">
        <v>44325</v>
      </c>
      <c r="VY22">
        <v>88999</v>
      </c>
      <c r="VZ22">
        <v>129</v>
      </c>
      <c r="WA22">
        <v>44326</v>
      </c>
      <c r="WB22">
        <v>89259</v>
      </c>
      <c r="WC22">
        <v>258</v>
      </c>
      <c r="WD22">
        <v>44327</v>
      </c>
      <c r="WE22">
        <v>89473</v>
      </c>
      <c r="WF22">
        <v>214</v>
      </c>
      <c r="WG22">
        <v>44328</v>
      </c>
      <c r="WH22">
        <v>89728</v>
      </c>
      <c r="WI22">
        <v>255</v>
      </c>
      <c r="WJ22">
        <v>44330</v>
      </c>
      <c r="WK22">
        <v>90128</v>
      </c>
      <c r="WL22">
        <v>244</v>
      </c>
      <c r="WM22">
        <v>44330</v>
      </c>
      <c r="WN22">
        <v>90129</v>
      </c>
      <c r="WO22">
        <v>243</v>
      </c>
      <c r="WP22">
        <v>44333</v>
      </c>
      <c r="WQ22">
        <v>90705</v>
      </c>
      <c r="WR22">
        <v>282</v>
      </c>
      <c r="WS22">
        <v>44334</v>
      </c>
      <c r="WT22">
        <v>90926</v>
      </c>
      <c r="WU22">
        <v>217</v>
      </c>
      <c r="WV22">
        <v>44335</v>
      </c>
      <c r="WW22">
        <v>91159</v>
      </c>
      <c r="WX22">
        <v>230</v>
      </c>
      <c r="WY22">
        <v>44336</v>
      </c>
      <c r="WZ22">
        <v>91377</v>
      </c>
      <c r="XA22">
        <v>216</v>
      </c>
      <c r="XB22">
        <v>44337</v>
      </c>
      <c r="XC22">
        <v>91546</v>
      </c>
      <c r="XD22">
        <v>170</v>
      </c>
      <c r="XE22">
        <v>44339</v>
      </c>
      <c r="XF22">
        <v>91744</v>
      </c>
      <c r="XG22">
        <v>92</v>
      </c>
      <c r="XH22">
        <v>44339</v>
      </c>
      <c r="XI22">
        <v>91750</v>
      </c>
      <c r="XJ22">
        <v>92</v>
      </c>
      <c r="XK22">
        <v>44340</v>
      </c>
      <c r="XL22">
        <v>91939</v>
      </c>
      <c r="XM22">
        <v>188</v>
      </c>
      <c r="XN22">
        <v>44341</v>
      </c>
      <c r="XO22">
        <v>92092</v>
      </c>
      <c r="XP22">
        <v>152</v>
      </c>
      <c r="XQ22">
        <v>44342</v>
      </c>
      <c r="XR22">
        <v>92236</v>
      </c>
      <c r="XS22">
        <v>143</v>
      </c>
      <c r="XT22">
        <v>44343</v>
      </c>
      <c r="XU22">
        <v>92366</v>
      </c>
      <c r="XV22">
        <v>127</v>
      </c>
      <c r="XW22">
        <v>44344</v>
      </c>
      <c r="XX22">
        <v>92505</v>
      </c>
      <c r="XY22">
        <v>136</v>
      </c>
      <c r="XZ22">
        <v>44345</v>
      </c>
      <c r="YA22">
        <v>92570</v>
      </c>
      <c r="YB22">
        <v>64</v>
      </c>
      <c r="YC22">
        <v>44347</v>
      </c>
      <c r="YD22">
        <v>92795</v>
      </c>
      <c r="YE22">
        <v>144</v>
      </c>
      <c r="YF22">
        <v>44348</v>
      </c>
      <c r="YG22">
        <v>92919</v>
      </c>
      <c r="YH22">
        <v>122</v>
      </c>
      <c r="YI22">
        <v>44349</v>
      </c>
      <c r="YJ22">
        <v>93039</v>
      </c>
      <c r="YK22">
        <v>118</v>
      </c>
      <c r="YL22">
        <v>44350</v>
      </c>
      <c r="YM22">
        <v>93149</v>
      </c>
      <c r="YN22">
        <v>110</v>
      </c>
      <c r="YO22">
        <v>44351</v>
      </c>
      <c r="YP22">
        <v>93251</v>
      </c>
      <c r="YQ22">
        <v>99</v>
      </c>
      <c r="YR22">
        <v>44352</v>
      </c>
      <c r="YS22">
        <v>93320</v>
      </c>
      <c r="YT22">
        <v>65</v>
      </c>
      <c r="YU22">
        <v>44353</v>
      </c>
      <c r="YV22">
        <v>93388</v>
      </c>
      <c r="YW22">
        <v>60</v>
      </c>
    </row>
    <row r="23" spans="2:673">
      <c r="B23" t="str">
        <f t="shared" ca="1" si="2"/>
        <v>Ma 7</v>
      </c>
      <c r="C23" s="4">
        <f t="shared" ca="1" si="0"/>
        <v>44354</v>
      </c>
      <c r="D23" s="11">
        <f t="shared" ca="1" si="1"/>
        <v>93523</v>
      </c>
      <c r="E23">
        <f t="shared" ca="1" si="3"/>
        <v>136</v>
      </c>
      <c r="F23" s="11">
        <f t="shared" ca="1" si="4"/>
        <v>0</v>
      </c>
      <c r="G23" s="11">
        <f t="shared" ca="1" si="5"/>
        <v>136</v>
      </c>
      <c r="K23" s="13"/>
      <c r="L23" s="3"/>
      <c r="N23" s="16">
        <v>44354</v>
      </c>
      <c r="O23">
        <v>93524</v>
      </c>
      <c r="P23">
        <v>136</v>
      </c>
      <c r="Q23" s="16">
        <v>44354</v>
      </c>
      <c r="R23">
        <v>93524</v>
      </c>
      <c r="S23">
        <v>136</v>
      </c>
      <c r="T23" s="16">
        <v>44101</v>
      </c>
      <c r="U23">
        <v>9946</v>
      </c>
      <c r="V23">
        <v>69</v>
      </c>
      <c r="W23" s="16">
        <v>44102</v>
      </c>
      <c r="X23">
        <v>10070</v>
      </c>
      <c r="Y23">
        <v>123</v>
      </c>
      <c r="Z23" s="16">
        <v>44103</v>
      </c>
      <c r="AA23">
        <v>10210</v>
      </c>
      <c r="AB23">
        <v>135</v>
      </c>
      <c r="AC23" s="16">
        <v>44104</v>
      </c>
      <c r="AD23">
        <v>10376</v>
      </c>
      <c r="AE23">
        <v>167</v>
      </c>
      <c r="AF23" s="16">
        <v>44105</v>
      </c>
      <c r="AG23">
        <v>10568</v>
      </c>
      <c r="AH23">
        <v>192</v>
      </c>
      <c r="AI23" s="16">
        <v>44106</v>
      </c>
      <c r="AJ23">
        <v>10760</v>
      </c>
      <c r="AK23">
        <v>189</v>
      </c>
      <c r="AL23" s="16">
        <v>44107</v>
      </c>
      <c r="AM23">
        <v>10918</v>
      </c>
      <c r="AN23">
        <v>169</v>
      </c>
      <c r="AO23" s="16">
        <v>44108</v>
      </c>
      <c r="AP23">
        <v>11065</v>
      </c>
      <c r="AQ23">
        <v>147</v>
      </c>
      <c r="AR23" s="16">
        <v>44109</v>
      </c>
      <c r="AS23">
        <v>11351</v>
      </c>
      <c r="AT23">
        <v>287</v>
      </c>
      <c r="AU23" s="16">
        <v>44110</v>
      </c>
      <c r="AV23">
        <v>11648</v>
      </c>
      <c r="AW23">
        <v>299</v>
      </c>
      <c r="AX23" s="16">
        <v>44111</v>
      </c>
      <c r="AY23">
        <v>11954</v>
      </c>
      <c r="AZ23">
        <v>308</v>
      </c>
      <c r="BA23" s="16">
        <v>44112</v>
      </c>
      <c r="BB23">
        <v>12215</v>
      </c>
      <c r="BC23">
        <v>261</v>
      </c>
      <c r="BD23" s="16">
        <v>44113</v>
      </c>
      <c r="BE23">
        <v>12446</v>
      </c>
      <c r="BF23">
        <v>227</v>
      </c>
      <c r="BG23" s="16">
        <v>44114</v>
      </c>
      <c r="BH23">
        <v>12549</v>
      </c>
      <c r="BI23">
        <v>109</v>
      </c>
      <c r="BJ23" s="16">
        <v>44115</v>
      </c>
      <c r="BK23">
        <v>12681</v>
      </c>
      <c r="BL23">
        <v>130</v>
      </c>
      <c r="BM23" s="16">
        <v>44116</v>
      </c>
      <c r="BN23">
        <v>12934</v>
      </c>
      <c r="BO23">
        <v>252</v>
      </c>
      <c r="BP23" s="16">
        <v>44117</v>
      </c>
      <c r="BQ23">
        <v>13133</v>
      </c>
      <c r="BR23">
        <v>200</v>
      </c>
      <c r="BS23" s="16">
        <v>44118</v>
      </c>
      <c r="BT23">
        <v>13333</v>
      </c>
      <c r="BU23">
        <v>202</v>
      </c>
      <c r="BV23" s="16">
        <v>44120</v>
      </c>
      <c r="BW23">
        <v>13717</v>
      </c>
      <c r="BX23">
        <v>193</v>
      </c>
      <c r="BY23" s="16">
        <v>44121</v>
      </c>
      <c r="BZ23">
        <v>13814</v>
      </c>
      <c r="CA23">
        <v>100</v>
      </c>
      <c r="CB23" s="16">
        <v>44122</v>
      </c>
      <c r="CC23">
        <v>13946</v>
      </c>
      <c r="CD23">
        <v>127</v>
      </c>
      <c r="CE23" s="16">
        <v>44123</v>
      </c>
      <c r="CF23">
        <v>14198</v>
      </c>
      <c r="CG23">
        <v>244</v>
      </c>
      <c r="CH23" s="16">
        <v>44124</v>
      </c>
      <c r="CI23">
        <v>14361</v>
      </c>
      <c r="CJ23">
        <v>162</v>
      </c>
      <c r="CK23" s="16">
        <v>44125</v>
      </c>
      <c r="CL23">
        <v>14550</v>
      </c>
      <c r="CM23">
        <v>189</v>
      </c>
      <c r="CN23" s="16">
        <v>44126</v>
      </c>
      <c r="CO23">
        <v>14762</v>
      </c>
      <c r="CP23">
        <v>212</v>
      </c>
      <c r="CQ23" s="16">
        <v>44127</v>
      </c>
      <c r="CR23">
        <v>14954</v>
      </c>
      <c r="CS23">
        <v>192</v>
      </c>
      <c r="CT23" s="16">
        <v>44128</v>
      </c>
      <c r="CU23">
        <v>15066</v>
      </c>
      <c r="CV23">
        <v>108</v>
      </c>
      <c r="CW23" s="16">
        <v>44129</v>
      </c>
      <c r="CX23">
        <v>15193</v>
      </c>
      <c r="CY23">
        <v>123</v>
      </c>
      <c r="CZ23" s="16">
        <v>44131</v>
      </c>
      <c r="DA23">
        <v>15676</v>
      </c>
      <c r="DB23">
        <v>230</v>
      </c>
      <c r="DC23" s="16">
        <v>44132</v>
      </c>
      <c r="DD23">
        <v>15916</v>
      </c>
      <c r="DE23">
        <v>241</v>
      </c>
      <c r="DF23" s="16">
        <v>44133</v>
      </c>
      <c r="DG23">
        <v>16155</v>
      </c>
      <c r="DH23">
        <v>237</v>
      </c>
      <c r="DI23" s="16">
        <v>44134</v>
      </c>
      <c r="DJ23">
        <v>16373</v>
      </c>
      <c r="DK23">
        <v>219</v>
      </c>
      <c r="DL23" s="16">
        <v>44135</v>
      </c>
      <c r="DM23">
        <v>16500</v>
      </c>
      <c r="DN23">
        <v>121</v>
      </c>
      <c r="DO23" s="16">
        <v>44136</v>
      </c>
      <c r="DP23">
        <v>16651</v>
      </c>
      <c r="DQ23">
        <v>150</v>
      </c>
      <c r="DR23" s="16">
        <v>44137</v>
      </c>
      <c r="DS23">
        <v>16932</v>
      </c>
      <c r="DT23">
        <v>281</v>
      </c>
      <c r="DU23" s="16">
        <v>44138</v>
      </c>
      <c r="DV23">
        <v>17176</v>
      </c>
      <c r="DW23">
        <v>241</v>
      </c>
      <c r="DX23" s="16">
        <v>44139</v>
      </c>
      <c r="DY23">
        <v>17384</v>
      </c>
      <c r="DZ23">
        <v>208</v>
      </c>
      <c r="EA23" s="16">
        <v>44140</v>
      </c>
      <c r="EB23">
        <v>17604</v>
      </c>
      <c r="EC23">
        <v>219</v>
      </c>
      <c r="ED23" s="16">
        <v>44141</v>
      </c>
      <c r="EE23">
        <v>17792</v>
      </c>
      <c r="EF23">
        <v>194</v>
      </c>
      <c r="EG23" s="16">
        <v>44142</v>
      </c>
      <c r="EH23">
        <v>17924</v>
      </c>
      <c r="EI23">
        <v>130</v>
      </c>
      <c r="EJ23" s="16">
        <v>44143</v>
      </c>
      <c r="EK23">
        <v>18058</v>
      </c>
      <c r="EL23">
        <v>134</v>
      </c>
      <c r="EM23" s="16">
        <v>44144</v>
      </c>
      <c r="EN23">
        <v>18331</v>
      </c>
      <c r="EO23">
        <v>276</v>
      </c>
      <c r="EP23" s="16">
        <v>44145</v>
      </c>
      <c r="EQ23">
        <v>18533</v>
      </c>
      <c r="ER23">
        <v>205</v>
      </c>
      <c r="ES23" s="16">
        <v>44146</v>
      </c>
      <c r="ET23">
        <v>18827</v>
      </c>
      <c r="EU23">
        <v>291</v>
      </c>
      <c r="EV23" s="16">
        <v>44147</v>
      </c>
      <c r="EW23">
        <v>19103</v>
      </c>
      <c r="EX23">
        <v>277</v>
      </c>
      <c r="EY23" s="16">
        <v>44148</v>
      </c>
      <c r="EZ23">
        <v>19365</v>
      </c>
      <c r="FA23">
        <v>262</v>
      </c>
      <c r="FB23" s="16">
        <v>44149</v>
      </c>
      <c r="FC23">
        <v>19508</v>
      </c>
      <c r="FD23">
        <v>144</v>
      </c>
      <c r="FE23" s="16">
        <v>44150</v>
      </c>
      <c r="FF23">
        <v>19634</v>
      </c>
      <c r="FG23">
        <v>178</v>
      </c>
      <c r="FH23" s="16">
        <v>44151</v>
      </c>
      <c r="FI23">
        <v>20093</v>
      </c>
      <c r="FJ23">
        <v>393</v>
      </c>
      <c r="FK23" s="16">
        <v>44152</v>
      </c>
      <c r="FL23">
        <v>20505</v>
      </c>
      <c r="FM23">
        <v>394</v>
      </c>
      <c r="FN23" s="16">
        <v>44153</v>
      </c>
      <c r="FO23">
        <v>20877</v>
      </c>
      <c r="FP23">
        <v>372</v>
      </c>
      <c r="FQ23" s="16">
        <v>44154</v>
      </c>
      <c r="FR23">
        <v>21356</v>
      </c>
      <c r="FS23">
        <v>479</v>
      </c>
      <c r="FT23" s="16">
        <v>44155</v>
      </c>
      <c r="FU23">
        <v>21803</v>
      </c>
      <c r="FV23">
        <v>430</v>
      </c>
      <c r="FW23" s="16">
        <v>44156</v>
      </c>
      <c r="FX23">
        <v>22075</v>
      </c>
      <c r="FY23">
        <v>269</v>
      </c>
      <c r="FZ23" s="16">
        <v>44157</v>
      </c>
      <c r="GA23">
        <v>22343</v>
      </c>
      <c r="GB23">
        <v>262</v>
      </c>
      <c r="GC23" s="16">
        <v>44158</v>
      </c>
      <c r="GD23">
        <v>22832</v>
      </c>
      <c r="GE23">
        <v>490</v>
      </c>
      <c r="GF23" s="16">
        <v>44159</v>
      </c>
      <c r="GG23">
        <v>23294</v>
      </c>
      <c r="GH23">
        <v>460</v>
      </c>
      <c r="GI23" s="16">
        <v>44160</v>
      </c>
      <c r="GJ23">
        <v>23895</v>
      </c>
      <c r="GK23">
        <v>599</v>
      </c>
      <c r="GL23" s="16">
        <v>44161</v>
      </c>
      <c r="GM23">
        <v>24403</v>
      </c>
      <c r="GN23">
        <v>508</v>
      </c>
      <c r="GO23" s="16">
        <v>44162</v>
      </c>
      <c r="GP23">
        <v>24869</v>
      </c>
      <c r="GQ23">
        <v>465</v>
      </c>
      <c r="GR23" s="16">
        <v>44163</v>
      </c>
      <c r="GS23">
        <v>25166</v>
      </c>
      <c r="GT23">
        <v>292</v>
      </c>
      <c r="GU23" s="16">
        <v>44164</v>
      </c>
      <c r="GV23">
        <v>25476</v>
      </c>
      <c r="GW23">
        <v>293</v>
      </c>
      <c r="GX23" s="16">
        <v>44165</v>
      </c>
      <c r="GY23">
        <v>26077</v>
      </c>
      <c r="GZ23">
        <v>596</v>
      </c>
      <c r="HA23" s="16">
        <v>44166</v>
      </c>
      <c r="HB23">
        <v>26523</v>
      </c>
      <c r="HC23">
        <v>443</v>
      </c>
      <c r="HD23" s="16">
        <v>44167</v>
      </c>
      <c r="HE23">
        <v>27018</v>
      </c>
      <c r="HF23">
        <v>495</v>
      </c>
      <c r="HG23" s="16">
        <v>44168</v>
      </c>
      <c r="HH23">
        <v>27481</v>
      </c>
      <c r="HI23">
        <v>474</v>
      </c>
      <c r="HJ23" s="16">
        <v>44169</v>
      </c>
      <c r="HK23">
        <v>27951</v>
      </c>
      <c r="HL23">
        <v>473</v>
      </c>
      <c r="HM23" s="16">
        <v>44170</v>
      </c>
      <c r="HN23">
        <v>28198</v>
      </c>
      <c r="HO23">
        <v>251</v>
      </c>
      <c r="HP23" s="16">
        <v>44171</v>
      </c>
      <c r="HQ23">
        <v>28487</v>
      </c>
      <c r="HR23">
        <v>281</v>
      </c>
      <c r="HS23" s="16">
        <v>44172</v>
      </c>
      <c r="HT23">
        <v>29073</v>
      </c>
      <c r="HU23">
        <v>589</v>
      </c>
      <c r="HV23" s="16">
        <v>44173</v>
      </c>
      <c r="HW23">
        <v>29552</v>
      </c>
      <c r="HX23">
        <v>477</v>
      </c>
      <c r="HY23" s="16">
        <v>44174</v>
      </c>
      <c r="HZ23">
        <v>30012</v>
      </c>
      <c r="IA23">
        <v>462</v>
      </c>
      <c r="IB23" s="16">
        <v>44175</v>
      </c>
      <c r="IC23">
        <v>30418</v>
      </c>
      <c r="ID23">
        <v>408</v>
      </c>
      <c r="IE23" s="16">
        <v>44176</v>
      </c>
      <c r="IF23">
        <v>30866</v>
      </c>
      <c r="IG23">
        <v>444</v>
      </c>
      <c r="IH23" s="16">
        <v>44177</v>
      </c>
      <c r="II23">
        <v>31114</v>
      </c>
      <c r="IJ23">
        <v>250</v>
      </c>
      <c r="IK23" s="16">
        <v>44178</v>
      </c>
      <c r="IL23">
        <v>31391</v>
      </c>
      <c r="IM23">
        <v>275</v>
      </c>
      <c r="IN23" s="16">
        <v>44179</v>
      </c>
      <c r="IO23">
        <v>31851</v>
      </c>
      <c r="IP23">
        <v>461</v>
      </c>
      <c r="IQ23" s="16">
        <v>44180</v>
      </c>
      <c r="IR23">
        <v>32208</v>
      </c>
      <c r="IS23">
        <v>358</v>
      </c>
      <c r="IT23" s="16">
        <v>44181</v>
      </c>
      <c r="IU23">
        <v>32556</v>
      </c>
      <c r="IV23">
        <v>348</v>
      </c>
      <c r="IW23" s="16">
        <v>44182</v>
      </c>
      <c r="IX23">
        <v>32875</v>
      </c>
      <c r="IY23">
        <v>319</v>
      </c>
      <c r="IZ23" s="16">
        <v>44183</v>
      </c>
      <c r="JA23">
        <v>33274</v>
      </c>
      <c r="JB23">
        <v>395</v>
      </c>
      <c r="JC23" s="16">
        <v>44187</v>
      </c>
      <c r="JD23">
        <v>34421</v>
      </c>
      <c r="JE23">
        <v>331</v>
      </c>
      <c r="JF23" s="16">
        <v>44191</v>
      </c>
      <c r="JG23">
        <v>35176</v>
      </c>
      <c r="JH23">
        <v>183</v>
      </c>
      <c r="JI23" s="16">
        <v>44192</v>
      </c>
      <c r="JJ23">
        <v>35409</v>
      </c>
      <c r="JK23">
        <v>188</v>
      </c>
      <c r="JL23" s="16">
        <v>44193</v>
      </c>
      <c r="JM23">
        <v>35835</v>
      </c>
      <c r="JN23">
        <v>432</v>
      </c>
      <c r="JO23" s="16">
        <v>44194</v>
      </c>
      <c r="JP23">
        <v>36130</v>
      </c>
      <c r="JQ23">
        <v>306</v>
      </c>
      <c r="JR23" s="16">
        <v>44196</v>
      </c>
      <c r="JS23">
        <v>36643</v>
      </c>
      <c r="JT23">
        <v>253</v>
      </c>
      <c r="JU23" s="16">
        <v>44196</v>
      </c>
      <c r="JV23">
        <v>36644</v>
      </c>
      <c r="JW23">
        <v>253</v>
      </c>
      <c r="JX23" s="16">
        <v>44198</v>
      </c>
      <c r="JY23">
        <v>36973</v>
      </c>
      <c r="JZ23">
        <v>205</v>
      </c>
      <c r="KA23" s="16">
        <v>44210</v>
      </c>
      <c r="KB23">
        <v>39593</v>
      </c>
      <c r="KC23">
        <v>0</v>
      </c>
      <c r="KD23" s="16">
        <v>44210</v>
      </c>
      <c r="KE23">
        <v>40104</v>
      </c>
      <c r="KF23">
        <v>249</v>
      </c>
      <c r="KG23" s="16">
        <v>44211</v>
      </c>
      <c r="KH23">
        <v>40359</v>
      </c>
      <c r="KI23">
        <v>265</v>
      </c>
      <c r="KJ23" s="16">
        <v>44213</v>
      </c>
      <c r="KK23">
        <v>40721</v>
      </c>
      <c r="KL23">
        <v>194</v>
      </c>
      <c r="KM23" s="16">
        <v>44214</v>
      </c>
      <c r="KN23">
        <v>41173</v>
      </c>
      <c r="KO23">
        <v>447</v>
      </c>
      <c r="KP23" s="16">
        <v>44218</v>
      </c>
      <c r="KQ23">
        <v>42650</v>
      </c>
      <c r="KR23">
        <v>356</v>
      </c>
      <c r="KS23" s="16">
        <v>44219</v>
      </c>
      <c r="KT23">
        <v>42824</v>
      </c>
      <c r="KU23">
        <v>170</v>
      </c>
      <c r="KV23" s="16">
        <v>44220</v>
      </c>
      <c r="KW23">
        <v>43069</v>
      </c>
      <c r="KX23">
        <v>243</v>
      </c>
      <c r="KY23" s="16">
        <v>44222</v>
      </c>
      <c r="KZ23">
        <v>44077</v>
      </c>
      <c r="LA23">
        <v>402</v>
      </c>
      <c r="LB23" s="16">
        <v>44223</v>
      </c>
      <c r="LC23">
        <v>44471</v>
      </c>
      <c r="LD23">
        <v>383</v>
      </c>
      <c r="LE23" s="16">
        <v>44224</v>
      </c>
      <c r="LF23">
        <v>44905</v>
      </c>
      <c r="LG23">
        <v>435</v>
      </c>
      <c r="LH23" s="16">
        <v>44226</v>
      </c>
      <c r="LI23">
        <v>45474</v>
      </c>
      <c r="LJ23">
        <v>230</v>
      </c>
      <c r="LK23" s="16">
        <v>44226</v>
      </c>
      <c r="LL23">
        <v>45476</v>
      </c>
      <c r="LM23">
        <v>231</v>
      </c>
      <c r="LN23" s="16">
        <v>44228</v>
      </c>
      <c r="LO23">
        <v>46299</v>
      </c>
      <c r="LP23">
        <v>523</v>
      </c>
      <c r="LQ23" s="16">
        <v>44229</v>
      </c>
      <c r="LR23">
        <v>46694</v>
      </c>
      <c r="LS23">
        <v>399</v>
      </c>
      <c r="LT23" s="16">
        <v>44230</v>
      </c>
      <c r="LU23">
        <v>47134</v>
      </c>
      <c r="LV23">
        <v>437</v>
      </c>
      <c r="LW23" s="16">
        <v>44231</v>
      </c>
      <c r="LX23">
        <v>47516</v>
      </c>
      <c r="LY23">
        <v>369</v>
      </c>
      <c r="LZ23" s="16">
        <v>44232</v>
      </c>
      <c r="MA23">
        <v>47872</v>
      </c>
      <c r="MB23">
        <v>365</v>
      </c>
      <c r="MC23" s="16">
        <v>44233</v>
      </c>
      <c r="MD23">
        <v>48124</v>
      </c>
      <c r="ME23">
        <v>240</v>
      </c>
      <c r="MF23" s="16">
        <v>44235</v>
      </c>
      <c r="MG23">
        <v>48846</v>
      </c>
      <c r="MH23">
        <v>458</v>
      </c>
      <c r="MI23" s="16">
        <v>44235</v>
      </c>
      <c r="MJ23">
        <v>48847</v>
      </c>
      <c r="MK23">
        <v>458</v>
      </c>
      <c r="ML23" s="16">
        <v>44236</v>
      </c>
      <c r="MM23">
        <v>49214</v>
      </c>
      <c r="MN23">
        <v>370</v>
      </c>
      <c r="MO23" s="16">
        <v>44237</v>
      </c>
      <c r="MP23">
        <v>49596</v>
      </c>
      <c r="MQ23">
        <v>382</v>
      </c>
      <c r="MR23" s="16">
        <v>44238</v>
      </c>
      <c r="MS23">
        <v>49953</v>
      </c>
      <c r="MT23">
        <v>353</v>
      </c>
      <c r="MU23" s="16">
        <v>44239</v>
      </c>
      <c r="MV23">
        <v>50368</v>
      </c>
      <c r="MW23">
        <v>414</v>
      </c>
      <c r="MX23" s="16">
        <v>44240</v>
      </c>
      <c r="MY23">
        <v>50649</v>
      </c>
      <c r="MZ23">
        <v>277</v>
      </c>
      <c r="NA23" s="16">
        <v>44240</v>
      </c>
      <c r="NB23">
        <v>50649</v>
      </c>
      <c r="NC23">
        <v>276</v>
      </c>
      <c r="ND23" s="16">
        <v>44243</v>
      </c>
      <c r="NE23">
        <v>52048</v>
      </c>
      <c r="NF23">
        <v>506</v>
      </c>
      <c r="NG23" s="16">
        <v>44243</v>
      </c>
      <c r="NH23">
        <v>52046</v>
      </c>
      <c r="NI23">
        <v>506</v>
      </c>
      <c r="NJ23" s="16">
        <v>44245</v>
      </c>
      <c r="NK23">
        <v>53196</v>
      </c>
      <c r="NL23">
        <v>605</v>
      </c>
      <c r="NM23" s="16">
        <v>44245</v>
      </c>
      <c r="NN23">
        <v>53197</v>
      </c>
      <c r="NO23">
        <v>605</v>
      </c>
      <c r="NP23" s="16">
        <v>44247</v>
      </c>
      <c r="NQ23">
        <v>54080</v>
      </c>
      <c r="NR23">
        <v>315</v>
      </c>
      <c r="NS23" s="16">
        <v>44248</v>
      </c>
      <c r="NT23">
        <v>54456</v>
      </c>
      <c r="NU23">
        <v>354</v>
      </c>
      <c r="NV23" s="16">
        <v>44249</v>
      </c>
      <c r="NW23">
        <v>55081</v>
      </c>
      <c r="NX23">
        <v>623</v>
      </c>
      <c r="NY23" s="16">
        <v>44250</v>
      </c>
      <c r="NZ23">
        <v>55706</v>
      </c>
      <c r="OA23">
        <v>622</v>
      </c>
      <c r="OB23" s="16">
        <v>44251</v>
      </c>
      <c r="OC23">
        <v>56313</v>
      </c>
      <c r="OD23">
        <v>600</v>
      </c>
      <c r="OE23" s="16">
        <v>44252</v>
      </c>
      <c r="OF23">
        <v>56931</v>
      </c>
      <c r="OG23">
        <v>616</v>
      </c>
      <c r="OH23" s="16">
        <v>44253</v>
      </c>
      <c r="OI23">
        <v>57612</v>
      </c>
      <c r="OJ23">
        <v>683</v>
      </c>
      <c r="OK23" s="16">
        <v>44254</v>
      </c>
      <c r="OL23">
        <v>58019</v>
      </c>
      <c r="OM23">
        <v>402</v>
      </c>
      <c r="ON23" s="16">
        <v>44255</v>
      </c>
      <c r="OO23">
        <v>58440</v>
      </c>
      <c r="OP23">
        <v>420</v>
      </c>
      <c r="OQ23" s="16">
        <v>44256</v>
      </c>
      <c r="OR23">
        <v>59312</v>
      </c>
      <c r="OS23">
        <v>869</v>
      </c>
      <c r="OT23" s="16">
        <v>44257</v>
      </c>
      <c r="OU23">
        <v>60069</v>
      </c>
      <c r="OV23">
        <v>756</v>
      </c>
      <c r="OW23" s="16">
        <v>44258</v>
      </c>
      <c r="OX23">
        <v>60803</v>
      </c>
      <c r="OY23">
        <v>736</v>
      </c>
      <c r="OZ23" s="16">
        <v>44259</v>
      </c>
      <c r="PA23">
        <v>61431</v>
      </c>
      <c r="PB23">
        <v>625</v>
      </c>
      <c r="PC23" s="16">
        <v>44260</v>
      </c>
      <c r="PD23">
        <v>62034</v>
      </c>
      <c r="PE23">
        <v>600</v>
      </c>
      <c r="PF23" s="16">
        <v>44261</v>
      </c>
      <c r="PG23">
        <v>62467</v>
      </c>
      <c r="PH23">
        <v>435</v>
      </c>
      <c r="PI23" s="16">
        <v>44262</v>
      </c>
      <c r="PJ23">
        <v>62863</v>
      </c>
      <c r="PK23">
        <v>392</v>
      </c>
      <c r="PL23" s="16">
        <v>44263</v>
      </c>
      <c r="PM23">
        <v>63707</v>
      </c>
      <c r="PN23">
        <v>830</v>
      </c>
      <c r="PO23" s="16">
        <v>44264</v>
      </c>
      <c r="PP23">
        <v>64476</v>
      </c>
      <c r="PQ23">
        <v>761</v>
      </c>
      <c r="PR23" s="16">
        <v>44265</v>
      </c>
      <c r="PS23">
        <v>65281</v>
      </c>
      <c r="PT23">
        <v>805</v>
      </c>
      <c r="PU23" s="16">
        <v>44266</v>
      </c>
      <c r="PV23">
        <v>66051</v>
      </c>
      <c r="PW23">
        <v>769</v>
      </c>
      <c r="PX23" s="16">
        <v>44267</v>
      </c>
      <c r="PY23">
        <v>66903</v>
      </c>
      <c r="PZ23">
        <v>808</v>
      </c>
      <c r="QA23" s="16">
        <v>44268</v>
      </c>
      <c r="QB23">
        <v>67400</v>
      </c>
      <c r="QC23">
        <v>492</v>
      </c>
      <c r="QD23" s="16">
        <v>44269</v>
      </c>
      <c r="QE23">
        <v>67838</v>
      </c>
      <c r="QF23">
        <v>435</v>
      </c>
      <c r="QG23" s="16">
        <v>44270</v>
      </c>
      <c r="QH23">
        <v>68726</v>
      </c>
      <c r="QI23">
        <v>890</v>
      </c>
      <c r="QJ23" s="16">
        <v>44271</v>
      </c>
      <c r="QK23">
        <v>69494</v>
      </c>
      <c r="QL23">
        <v>764</v>
      </c>
      <c r="QM23" s="16">
        <v>44272</v>
      </c>
      <c r="QN23">
        <v>70237</v>
      </c>
      <c r="QO23">
        <v>744</v>
      </c>
      <c r="QP23" s="16">
        <v>44273</v>
      </c>
      <c r="QQ23">
        <v>70973</v>
      </c>
      <c r="QR23">
        <v>736</v>
      </c>
      <c r="QS23" s="16">
        <v>44274</v>
      </c>
      <c r="QT23">
        <v>71721</v>
      </c>
      <c r="QU23">
        <v>741</v>
      </c>
      <c r="QV23" s="16">
        <v>44275</v>
      </c>
      <c r="QW23">
        <v>72123</v>
      </c>
      <c r="QX23">
        <v>401</v>
      </c>
      <c r="QY23" s="16">
        <v>44276</v>
      </c>
      <c r="QZ23">
        <v>72540</v>
      </c>
      <c r="RA23">
        <v>418</v>
      </c>
      <c r="RB23" s="16">
        <v>44277</v>
      </c>
      <c r="RC23">
        <v>73307</v>
      </c>
      <c r="RD23">
        <v>764</v>
      </c>
      <c r="RE23" s="16">
        <v>44278</v>
      </c>
      <c r="RF23">
        <v>74002</v>
      </c>
      <c r="RG23">
        <v>698</v>
      </c>
      <c r="RH23" s="16">
        <v>44279</v>
      </c>
      <c r="RI23">
        <v>74699</v>
      </c>
      <c r="RJ23">
        <v>699</v>
      </c>
      <c r="RK23" s="16">
        <v>44280</v>
      </c>
      <c r="RL23">
        <v>75304</v>
      </c>
      <c r="RM23">
        <v>608</v>
      </c>
      <c r="RN23" s="16">
        <v>44282</v>
      </c>
      <c r="RO23">
        <v>76335</v>
      </c>
      <c r="RP23">
        <v>350</v>
      </c>
      <c r="RQ23" s="16">
        <v>44283</v>
      </c>
      <c r="RR23">
        <v>76706</v>
      </c>
      <c r="RS23">
        <v>369</v>
      </c>
      <c r="RT23">
        <v>44284</v>
      </c>
      <c r="RU23">
        <v>77362</v>
      </c>
      <c r="RV23">
        <v>655</v>
      </c>
      <c r="RW23">
        <v>44285</v>
      </c>
      <c r="RX23">
        <v>77931</v>
      </c>
      <c r="RY23">
        <v>566</v>
      </c>
      <c r="RZ23">
        <v>44286</v>
      </c>
      <c r="SA23">
        <v>78480</v>
      </c>
      <c r="SB23">
        <v>548</v>
      </c>
      <c r="SC23">
        <v>44287</v>
      </c>
      <c r="SD23">
        <v>78968</v>
      </c>
      <c r="SE23">
        <v>488</v>
      </c>
      <c r="SF23">
        <v>44288</v>
      </c>
      <c r="SG23">
        <v>79330</v>
      </c>
      <c r="SH23">
        <v>361</v>
      </c>
      <c r="SI23">
        <v>44289</v>
      </c>
      <c r="SJ23">
        <v>79646</v>
      </c>
      <c r="SK23">
        <v>315</v>
      </c>
      <c r="SL23">
        <v>44291</v>
      </c>
      <c r="SM23">
        <v>80324</v>
      </c>
      <c r="SN23">
        <v>360</v>
      </c>
      <c r="SO23">
        <v>44292</v>
      </c>
      <c r="SP23">
        <v>80880</v>
      </c>
      <c r="SQ23">
        <v>537</v>
      </c>
      <c r="SR23">
        <v>44293</v>
      </c>
      <c r="SS23">
        <v>81314</v>
      </c>
      <c r="ST23">
        <v>426</v>
      </c>
      <c r="SU23">
        <v>44294</v>
      </c>
      <c r="SV23">
        <v>81714</v>
      </c>
      <c r="SW23">
        <v>400</v>
      </c>
      <c r="SX23">
        <v>44296</v>
      </c>
      <c r="SY23">
        <v>82292</v>
      </c>
      <c r="SZ23">
        <v>226</v>
      </c>
      <c r="TA23">
        <v>44297</v>
      </c>
      <c r="TB23">
        <v>82535</v>
      </c>
      <c r="TC23">
        <v>239</v>
      </c>
      <c r="TD23">
        <v>44299</v>
      </c>
      <c r="TE23">
        <v>83259</v>
      </c>
      <c r="TF23">
        <v>325</v>
      </c>
      <c r="TG23">
        <v>44300</v>
      </c>
      <c r="TH23">
        <v>83607</v>
      </c>
      <c r="TI23">
        <v>345</v>
      </c>
      <c r="TJ23">
        <v>44301</v>
      </c>
      <c r="TK23">
        <v>83883</v>
      </c>
      <c r="TL23">
        <v>274</v>
      </c>
      <c r="TM23">
        <v>44302</v>
      </c>
      <c r="TN23">
        <v>84148</v>
      </c>
      <c r="TO23">
        <v>264</v>
      </c>
      <c r="TP23">
        <v>44304</v>
      </c>
      <c r="TQ23">
        <v>84476</v>
      </c>
      <c r="TR23">
        <v>155</v>
      </c>
      <c r="TS23">
        <v>44305</v>
      </c>
      <c r="TT23">
        <v>84764</v>
      </c>
      <c r="TU23">
        <v>284</v>
      </c>
      <c r="TV23">
        <v>44305</v>
      </c>
      <c r="TW23">
        <v>84770</v>
      </c>
      <c r="TX23">
        <v>284</v>
      </c>
      <c r="TY23">
        <v>44306</v>
      </c>
      <c r="TZ23">
        <v>85055</v>
      </c>
      <c r="UA23">
        <v>285</v>
      </c>
      <c r="UB23">
        <v>44308</v>
      </c>
      <c r="UC23">
        <v>85557</v>
      </c>
      <c r="UD23">
        <v>260</v>
      </c>
      <c r="UE23">
        <v>44308</v>
      </c>
      <c r="UF23">
        <v>85556</v>
      </c>
      <c r="UG23">
        <v>260</v>
      </c>
      <c r="UH23">
        <v>44309</v>
      </c>
      <c r="UI23">
        <v>85816</v>
      </c>
      <c r="UJ23">
        <v>257</v>
      </c>
      <c r="UK23">
        <v>44310</v>
      </c>
      <c r="UL23">
        <v>85972</v>
      </c>
      <c r="UM23">
        <v>154</v>
      </c>
      <c r="UN23">
        <v>44314</v>
      </c>
      <c r="UO23">
        <v>86863</v>
      </c>
      <c r="UP23">
        <v>274</v>
      </c>
      <c r="UQ23">
        <v>44315</v>
      </c>
      <c r="UR23">
        <v>87068</v>
      </c>
      <c r="US23">
        <v>201</v>
      </c>
      <c r="UT23">
        <v>44316</v>
      </c>
      <c r="UU23">
        <v>87259</v>
      </c>
      <c r="UV23">
        <v>195</v>
      </c>
      <c r="UW23">
        <v>44317</v>
      </c>
      <c r="UX23">
        <v>87363</v>
      </c>
      <c r="UY23">
        <v>105</v>
      </c>
      <c r="UZ23">
        <v>44319</v>
      </c>
      <c r="VA23">
        <v>87819</v>
      </c>
      <c r="VB23">
        <v>319</v>
      </c>
      <c r="VC23">
        <v>44319</v>
      </c>
      <c r="VD23">
        <v>87814</v>
      </c>
      <c r="VE23">
        <v>319</v>
      </c>
      <c r="VF23">
        <v>44320</v>
      </c>
      <c r="VG23">
        <v>88021</v>
      </c>
      <c r="VH23">
        <v>206</v>
      </c>
      <c r="VI23">
        <v>44322</v>
      </c>
      <c r="VJ23">
        <v>88526</v>
      </c>
      <c r="VK23">
        <v>238</v>
      </c>
      <c r="VL23">
        <v>44322</v>
      </c>
      <c r="VM23">
        <v>88522</v>
      </c>
      <c r="VN23">
        <v>237</v>
      </c>
      <c r="VO23">
        <v>44323</v>
      </c>
      <c r="VP23">
        <v>88733</v>
      </c>
      <c r="VQ23">
        <v>214</v>
      </c>
      <c r="VR23">
        <v>44324</v>
      </c>
      <c r="VS23">
        <v>88863</v>
      </c>
      <c r="VT23">
        <v>129</v>
      </c>
      <c r="VU23">
        <v>44326</v>
      </c>
      <c r="VV23">
        <v>89254</v>
      </c>
      <c r="VW23">
        <v>258</v>
      </c>
      <c r="VX23">
        <v>44326</v>
      </c>
      <c r="VY23">
        <v>89256</v>
      </c>
      <c r="VZ23">
        <v>257</v>
      </c>
      <c r="WA23">
        <v>44327</v>
      </c>
      <c r="WB23">
        <v>89473</v>
      </c>
      <c r="WC23">
        <v>214</v>
      </c>
      <c r="WD23">
        <v>44328</v>
      </c>
      <c r="WE23">
        <v>89728</v>
      </c>
      <c r="WF23">
        <v>255</v>
      </c>
      <c r="WG23">
        <v>44329</v>
      </c>
      <c r="WH23">
        <v>89883</v>
      </c>
      <c r="WI23">
        <v>155</v>
      </c>
      <c r="WJ23">
        <v>44331</v>
      </c>
      <c r="WK23">
        <v>90286</v>
      </c>
      <c r="WL23">
        <v>158</v>
      </c>
      <c r="WM23">
        <v>44331</v>
      </c>
      <c r="WN23">
        <v>90288</v>
      </c>
      <c r="WO23">
        <v>159</v>
      </c>
      <c r="WP23">
        <v>44334</v>
      </c>
      <c r="WQ23">
        <v>90922</v>
      </c>
      <c r="WR23">
        <v>217</v>
      </c>
      <c r="WS23">
        <v>44335</v>
      </c>
      <c r="WT23">
        <v>91156</v>
      </c>
      <c r="WU23">
        <v>230</v>
      </c>
      <c r="WV23">
        <v>44336</v>
      </c>
      <c r="WW23">
        <v>91374</v>
      </c>
      <c r="WX23">
        <v>215</v>
      </c>
      <c r="WY23">
        <v>44337</v>
      </c>
      <c r="WZ23">
        <v>91547</v>
      </c>
      <c r="XA23">
        <v>170</v>
      </c>
      <c r="XB23">
        <v>44338</v>
      </c>
      <c r="XC23">
        <v>91652</v>
      </c>
      <c r="XD23">
        <v>106</v>
      </c>
      <c r="XE23">
        <v>44340</v>
      </c>
      <c r="XF23">
        <v>91933</v>
      </c>
      <c r="XG23">
        <v>189</v>
      </c>
      <c r="XH23">
        <v>44340</v>
      </c>
      <c r="XI23">
        <v>91939</v>
      </c>
      <c r="XJ23">
        <v>189</v>
      </c>
      <c r="XK23">
        <v>44341</v>
      </c>
      <c r="XL23">
        <v>92091</v>
      </c>
      <c r="XM23">
        <v>152</v>
      </c>
      <c r="XN23">
        <v>44342</v>
      </c>
      <c r="XO23">
        <v>92235</v>
      </c>
      <c r="XP23">
        <v>143</v>
      </c>
      <c r="XQ23">
        <v>44343</v>
      </c>
      <c r="XR23">
        <v>92363</v>
      </c>
      <c r="XS23">
        <v>127</v>
      </c>
      <c r="XT23">
        <v>44344</v>
      </c>
      <c r="XU23">
        <v>92502</v>
      </c>
      <c r="XV23">
        <v>136</v>
      </c>
      <c r="XW23">
        <v>44345</v>
      </c>
      <c r="XX23">
        <v>92569</v>
      </c>
      <c r="XY23">
        <v>64</v>
      </c>
      <c r="XZ23">
        <v>44346</v>
      </c>
      <c r="YA23">
        <v>92649</v>
      </c>
      <c r="YB23">
        <v>79</v>
      </c>
      <c r="YC23">
        <v>44348</v>
      </c>
      <c r="YD23">
        <v>92917</v>
      </c>
      <c r="YE23">
        <v>122</v>
      </c>
      <c r="YF23">
        <v>44349</v>
      </c>
      <c r="YG23">
        <v>93037</v>
      </c>
      <c r="YH23">
        <v>118</v>
      </c>
      <c r="YI23">
        <v>44350</v>
      </c>
      <c r="YJ23">
        <v>93150</v>
      </c>
      <c r="YK23">
        <v>111</v>
      </c>
      <c r="YL23">
        <v>44351</v>
      </c>
      <c r="YM23">
        <v>93248</v>
      </c>
      <c r="YN23">
        <v>99</v>
      </c>
      <c r="YO23">
        <v>44352</v>
      </c>
      <c r="YP23">
        <v>93316</v>
      </c>
      <c r="YQ23">
        <v>65</v>
      </c>
      <c r="YR23">
        <v>44353</v>
      </c>
      <c r="YS23">
        <v>93380</v>
      </c>
      <c r="YT23">
        <v>60</v>
      </c>
      <c r="YU23">
        <v>44354</v>
      </c>
      <c r="YV23">
        <v>93524</v>
      </c>
      <c r="YW23">
        <v>136</v>
      </c>
    </row>
    <row r="24" spans="2:673">
      <c r="B24" t="str">
        <f t="shared" ca="1" si="2"/>
        <v>8.6</v>
      </c>
      <c r="C24" s="4">
        <f t="shared" ca="1" si="0"/>
        <v>44355</v>
      </c>
      <c r="D24" s="11">
        <f t="shared" ca="1" si="1"/>
        <v>93624</v>
      </c>
      <c r="E24">
        <f t="shared" ca="1" si="3"/>
        <v>101</v>
      </c>
      <c r="F24" s="11">
        <f t="shared" ca="1" si="4"/>
        <v>-1</v>
      </c>
      <c r="G24" s="11">
        <f t="shared" ca="1" si="5"/>
        <v>102</v>
      </c>
      <c r="N24" s="16">
        <v>44355</v>
      </c>
      <c r="O24">
        <v>93626</v>
      </c>
      <c r="P24">
        <v>102</v>
      </c>
      <c r="Q24" s="16">
        <v>44355</v>
      </c>
      <c r="R24">
        <v>93626</v>
      </c>
      <c r="S24">
        <v>102</v>
      </c>
      <c r="T24" s="16">
        <v>44102</v>
      </c>
      <c r="U24">
        <v>10069</v>
      </c>
      <c r="V24">
        <v>123</v>
      </c>
      <c r="W24" s="16">
        <v>44103</v>
      </c>
      <c r="X24">
        <v>10205</v>
      </c>
      <c r="Y24">
        <v>135</v>
      </c>
      <c r="Z24" s="16">
        <v>44104</v>
      </c>
      <c r="AA24">
        <v>10378</v>
      </c>
      <c r="AB24">
        <v>168</v>
      </c>
      <c r="AC24" s="16">
        <v>44105</v>
      </c>
      <c r="AD24">
        <v>10567</v>
      </c>
      <c r="AE24">
        <v>191</v>
      </c>
      <c r="AF24" s="16">
        <v>44106</v>
      </c>
      <c r="AG24">
        <v>10758</v>
      </c>
      <c r="AH24">
        <v>190</v>
      </c>
      <c r="AI24" s="16">
        <v>44107</v>
      </c>
      <c r="AJ24">
        <v>10932</v>
      </c>
      <c r="AK24">
        <v>172</v>
      </c>
      <c r="AL24" s="16">
        <v>44108</v>
      </c>
      <c r="AM24">
        <v>11065</v>
      </c>
      <c r="AN24">
        <v>147</v>
      </c>
      <c r="AO24" s="16">
        <v>44109</v>
      </c>
      <c r="AP24">
        <v>11353</v>
      </c>
      <c r="AQ24">
        <v>288</v>
      </c>
      <c r="AR24" s="16">
        <v>44110</v>
      </c>
      <c r="AS24">
        <v>11650</v>
      </c>
      <c r="AT24">
        <v>299</v>
      </c>
      <c r="AU24" s="16">
        <v>44111</v>
      </c>
      <c r="AV24">
        <v>11956</v>
      </c>
      <c r="AW24">
        <v>308</v>
      </c>
      <c r="AX24" s="16">
        <v>44112</v>
      </c>
      <c r="AY24">
        <v>12216</v>
      </c>
      <c r="AZ24">
        <v>262</v>
      </c>
      <c r="BA24" s="16">
        <v>44113</v>
      </c>
      <c r="BB24">
        <v>12443</v>
      </c>
      <c r="BC24">
        <v>228</v>
      </c>
      <c r="BD24" s="16">
        <v>44114</v>
      </c>
      <c r="BE24">
        <v>12559</v>
      </c>
      <c r="BF24">
        <v>113</v>
      </c>
      <c r="BG24" s="16">
        <v>44115</v>
      </c>
      <c r="BH24">
        <v>12679</v>
      </c>
      <c r="BI24">
        <v>130</v>
      </c>
      <c r="BJ24" s="16">
        <v>44116</v>
      </c>
      <c r="BK24">
        <v>12934</v>
      </c>
      <c r="BL24">
        <v>253</v>
      </c>
      <c r="BM24" s="16">
        <v>44117</v>
      </c>
      <c r="BN24">
        <v>13131</v>
      </c>
      <c r="BO24">
        <v>197</v>
      </c>
      <c r="BP24" s="16">
        <v>44118</v>
      </c>
      <c r="BQ24">
        <v>13333</v>
      </c>
      <c r="BR24">
        <v>200</v>
      </c>
      <c r="BS24" s="16">
        <v>44119</v>
      </c>
      <c r="BT24">
        <v>13523</v>
      </c>
      <c r="BU24">
        <v>190</v>
      </c>
      <c r="BV24" s="16">
        <v>44121</v>
      </c>
      <c r="BW24">
        <v>13818</v>
      </c>
      <c r="BX24">
        <v>101</v>
      </c>
      <c r="BY24" s="16">
        <v>44122</v>
      </c>
      <c r="BZ24">
        <v>13941</v>
      </c>
      <c r="CA24">
        <v>127</v>
      </c>
      <c r="CB24" s="16">
        <v>44123</v>
      </c>
      <c r="CC24">
        <v>14188</v>
      </c>
      <c r="CD24">
        <v>242</v>
      </c>
      <c r="CE24" s="16">
        <v>44124</v>
      </c>
      <c r="CF24">
        <v>14359</v>
      </c>
      <c r="CG24">
        <v>161</v>
      </c>
      <c r="CH24" s="16">
        <v>44125</v>
      </c>
      <c r="CI24">
        <v>14550</v>
      </c>
      <c r="CJ24">
        <v>189</v>
      </c>
      <c r="CK24" s="16">
        <v>44126</v>
      </c>
      <c r="CL24">
        <v>14762</v>
      </c>
      <c r="CM24">
        <v>212</v>
      </c>
      <c r="CN24" s="16">
        <v>44127</v>
      </c>
      <c r="CO24">
        <v>14954</v>
      </c>
      <c r="CP24">
        <v>192</v>
      </c>
      <c r="CQ24" s="16">
        <v>44128</v>
      </c>
      <c r="CR24">
        <v>15061</v>
      </c>
      <c r="CS24">
        <v>107</v>
      </c>
      <c r="CT24" s="16">
        <v>44129</v>
      </c>
      <c r="CU24">
        <v>15189</v>
      </c>
      <c r="CV24">
        <v>123</v>
      </c>
      <c r="CW24" s="16">
        <v>44130</v>
      </c>
      <c r="CX24">
        <v>15448</v>
      </c>
      <c r="CY24">
        <v>255</v>
      </c>
      <c r="CZ24" s="16">
        <v>44132</v>
      </c>
      <c r="DA24">
        <v>15917</v>
      </c>
      <c r="DB24">
        <v>241</v>
      </c>
      <c r="DC24" s="16">
        <v>44133</v>
      </c>
      <c r="DD24">
        <v>16153</v>
      </c>
      <c r="DE24">
        <v>237</v>
      </c>
      <c r="DF24" s="16">
        <v>44134</v>
      </c>
      <c r="DG24">
        <v>16371</v>
      </c>
      <c r="DH24">
        <v>216</v>
      </c>
      <c r="DI24" s="16">
        <v>44135</v>
      </c>
      <c r="DJ24">
        <v>16494</v>
      </c>
      <c r="DK24">
        <v>121</v>
      </c>
      <c r="DL24" s="16">
        <v>44136</v>
      </c>
      <c r="DM24">
        <v>16650</v>
      </c>
      <c r="DN24">
        <v>150</v>
      </c>
      <c r="DO24" s="16">
        <v>44137</v>
      </c>
      <c r="DP24">
        <v>16932</v>
      </c>
      <c r="DQ24">
        <v>281</v>
      </c>
      <c r="DR24" s="16">
        <v>44138</v>
      </c>
      <c r="DS24">
        <v>17173</v>
      </c>
      <c r="DT24">
        <v>241</v>
      </c>
      <c r="DU24" s="16">
        <v>44139</v>
      </c>
      <c r="DV24">
        <v>17384</v>
      </c>
      <c r="DW24">
        <v>208</v>
      </c>
      <c r="DX24" s="16">
        <v>44140</v>
      </c>
      <c r="DY24">
        <v>17603</v>
      </c>
      <c r="DZ24">
        <v>219</v>
      </c>
      <c r="EA24" s="16">
        <v>44141</v>
      </c>
      <c r="EB24">
        <v>17798</v>
      </c>
      <c r="EC24">
        <v>194</v>
      </c>
      <c r="ED24" s="16">
        <v>44142</v>
      </c>
      <c r="EE24">
        <v>17922</v>
      </c>
      <c r="EF24">
        <v>130</v>
      </c>
      <c r="EG24" s="16">
        <v>44143</v>
      </c>
      <c r="EH24">
        <v>18058</v>
      </c>
      <c r="EI24">
        <v>134</v>
      </c>
      <c r="EJ24" s="16">
        <v>44144</v>
      </c>
      <c r="EK24">
        <v>18335</v>
      </c>
      <c r="EL24">
        <v>277</v>
      </c>
      <c r="EM24" s="16">
        <v>44145</v>
      </c>
      <c r="EN24">
        <v>18544</v>
      </c>
      <c r="EO24">
        <v>213</v>
      </c>
      <c r="EP24" s="16">
        <v>44146</v>
      </c>
      <c r="EQ24">
        <v>18824</v>
      </c>
      <c r="ER24">
        <v>291</v>
      </c>
      <c r="ES24" s="16">
        <v>44147</v>
      </c>
      <c r="ET24">
        <v>19104</v>
      </c>
      <c r="EU24">
        <v>277</v>
      </c>
      <c r="EV24" s="16">
        <v>44148</v>
      </c>
      <c r="EW24">
        <v>19364</v>
      </c>
      <c r="EX24">
        <v>261</v>
      </c>
      <c r="EY24" s="16">
        <v>44149</v>
      </c>
      <c r="EZ24">
        <v>19508</v>
      </c>
      <c r="FA24">
        <v>143</v>
      </c>
      <c r="FB24" s="16">
        <v>44150</v>
      </c>
      <c r="FC24">
        <v>19689</v>
      </c>
      <c r="FD24">
        <v>181</v>
      </c>
      <c r="FE24" s="16">
        <v>44151</v>
      </c>
      <c r="FF24">
        <v>20022</v>
      </c>
      <c r="FG24">
        <v>388</v>
      </c>
      <c r="FH24" s="16">
        <v>44152</v>
      </c>
      <c r="FI24">
        <v>20487</v>
      </c>
      <c r="FJ24">
        <v>394</v>
      </c>
      <c r="FK24" s="16">
        <v>44153</v>
      </c>
      <c r="FL24">
        <v>20877</v>
      </c>
      <c r="FM24">
        <v>372</v>
      </c>
      <c r="FN24" s="16">
        <v>44154</v>
      </c>
      <c r="FO24">
        <v>21356</v>
      </c>
      <c r="FP24">
        <v>479</v>
      </c>
      <c r="FQ24" s="16">
        <v>44155</v>
      </c>
      <c r="FR24">
        <v>21784</v>
      </c>
      <c r="FS24">
        <v>428</v>
      </c>
      <c r="FT24" s="16">
        <v>44156</v>
      </c>
      <c r="FU24">
        <v>22072</v>
      </c>
      <c r="FV24">
        <v>269</v>
      </c>
      <c r="FW24" s="16">
        <v>44157</v>
      </c>
      <c r="FX24">
        <v>22337</v>
      </c>
      <c r="FY24">
        <v>262</v>
      </c>
      <c r="FZ24" s="16">
        <v>44158</v>
      </c>
      <c r="GA24">
        <v>22833</v>
      </c>
      <c r="GB24">
        <v>490</v>
      </c>
      <c r="GC24" s="16">
        <v>44159</v>
      </c>
      <c r="GD24">
        <v>23292</v>
      </c>
      <c r="GE24">
        <v>460</v>
      </c>
      <c r="GF24" s="16">
        <v>44160</v>
      </c>
      <c r="GG24">
        <v>23893</v>
      </c>
      <c r="GH24">
        <v>599</v>
      </c>
      <c r="GI24" s="16">
        <v>44161</v>
      </c>
      <c r="GJ24">
        <v>24403</v>
      </c>
      <c r="GK24">
        <v>508</v>
      </c>
      <c r="GL24" s="16">
        <v>44162</v>
      </c>
      <c r="GM24">
        <v>24865</v>
      </c>
      <c r="GN24">
        <v>462</v>
      </c>
      <c r="GO24" s="16">
        <v>44163</v>
      </c>
      <c r="GP24">
        <v>25162</v>
      </c>
      <c r="GQ24">
        <v>293</v>
      </c>
      <c r="GR24" s="16">
        <v>44164</v>
      </c>
      <c r="GS24">
        <v>25450</v>
      </c>
      <c r="GT24">
        <v>284</v>
      </c>
      <c r="GU24" s="16">
        <v>44165</v>
      </c>
      <c r="GV24">
        <v>26069</v>
      </c>
      <c r="GW24">
        <v>593</v>
      </c>
      <c r="GX24" s="16">
        <v>44166</v>
      </c>
      <c r="GY24">
        <v>26520</v>
      </c>
      <c r="GZ24">
        <v>443</v>
      </c>
      <c r="HA24" s="16">
        <v>44167</v>
      </c>
      <c r="HB24">
        <v>27018</v>
      </c>
      <c r="HC24">
        <v>495</v>
      </c>
      <c r="HD24" s="16">
        <v>44168</v>
      </c>
      <c r="HE24">
        <v>27492</v>
      </c>
      <c r="HF24">
        <v>474</v>
      </c>
      <c r="HG24" s="16">
        <v>44169</v>
      </c>
      <c r="HH24">
        <v>27955</v>
      </c>
      <c r="HI24">
        <v>474</v>
      </c>
      <c r="HJ24" s="16">
        <v>44170</v>
      </c>
      <c r="HK24">
        <v>28203</v>
      </c>
      <c r="HL24">
        <v>252</v>
      </c>
      <c r="HM24" s="16">
        <v>44171</v>
      </c>
      <c r="HN24">
        <v>28478</v>
      </c>
      <c r="HO24">
        <v>280</v>
      </c>
      <c r="HP24" s="16">
        <v>44172</v>
      </c>
      <c r="HQ24">
        <v>29077</v>
      </c>
      <c r="HR24">
        <v>590</v>
      </c>
      <c r="HS24" s="16">
        <v>44173</v>
      </c>
      <c r="HT24">
        <v>29549</v>
      </c>
      <c r="HU24">
        <v>476</v>
      </c>
      <c r="HV24" s="16">
        <v>44174</v>
      </c>
      <c r="HW24">
        <v>30014</v>
      </c>
      <c r="HX24">
        <v>462</v>
      </c>
      <c r="HY24" s="16">
        <v>44175</v>
      </c>
      <c r="HZ24">
        <v>30420</v>
      </c>
      <c r="IA24">
        <v>408</v>
      </c>
      <c r="IB24" s="16">
        <v>44176</v>
      </c>
      <c r="IC24">
        <v>30863</v>
      </c>
      <c r="ID24">
        <v>445</v>
      </c>
      <c r="IE24" s="16">
        <v>44177</v>
      </c>
      <c r="IF24">
        <v>31116</v>
      </c>
      <c r="IG24">
        <v>250</v>
      </c>
      <c r="IH24" s="16">
        <v>44178</v>
      </c>
      <c r="II24">
        <v>31388</v>
      </c>
      <c r="IJ24">
        <v>274</v>
      </c>
      <c r="IK24" s="16">
        <v>44179</v>
      </c>
      <c r="IL24">
        <v>31852</v>
      </c>
      <c r="IM24">
        <v>461</v>
      </c>
      <c r="IN24" s="16">
        <v>44180</v>
      </c>
      <c r="IO24">
        <v>32209</v>
      </c>
      <c r="IP24">
        <v>358</v>
      </c>
      <c r="IQ24" s="16">
        <v>44181</v>
      </c>
      <c r="IR24">
        <v>32556</v>
      </c>
      <c r="IS24">
        <v>348</v>
      </c>
      <c r="IT24" s="16">
        <v>44182</v>
      </c>
      <c r="IU24">
        <v>32875</v>
      </c>
      <c r="IV24">
        <v>319</v>
      </c>
      <c r="IW24" s="16">
        <v>44183</v>
      </c>
      <c r="IX24">
        <v>33270</v>
      </c>
      <c r="IY24">
        <v>395</v>
      </c>
      <c r="IZ24" s="16">
        <v>44184</v>
      </c>
      <c r="JA24">
        <v>33464</v>
      </c>
      <c r="JB24">
        <v>190</v>
      </c>
      <c r="JC24" s="16">
        <v>44188</v>
      </c>
      <c r="JD24">
        <v>34698</v>
      </c>
      <c r="JE24">
        <v>277</v>
      </c>
      <c r="JF24" s="16">
        <v>44192</v>
      </c>
      <c r="JG24">
        <v>35365</v>
      </c>
      <c r="JH24">
        <v>189</v>
      </c>
      <c r="JI24" s="16">
        <v>44193</v>
      </c>
      <c r="JJ24">
        <v>35839</v>
      </c>
      <c r="JK24">
        <v>430</v>
      </c>
      <c r="JL24" s="16">
        <v>44194</v>
      </c>
      <c r="JM24">
        <v>36142</v>
      </c>
      <c r="JN24">
        <v>307</v>
      </c>
      <c r="JO24" s="16">
        <v>44195</v>
      </c>
      <c r="JP24">
        <v>36385</v>
      </c>
      <c r="JQ24">
        <v>255</v>
      </c>
      <c r="JR24" s="16">
        <v>44197</v>
      </c>
      <c r="JS24">
        <v>36772</v>
      </c>
      <c r="JT24">
        <v>129</v>
      </c>
      <c r="JU24" s="16">
        <v>44197</v>
      </c>
      <c r="JV24">
        <v>36773</v>
      </c>
      <c r="JW24">
        <v>129</v>
      </c>
      <c r="JX24" s="16">
        <v>44199</v>
      </c>
      <c r="JY24">
        <v>37144</v>
      </c>
      <c r="JZ24">
        <v>171</v>
      </c>
      <c r="KA24" s="16">
        <v>44211</v>
      </c>
      <c r="KB24">
        <v>39593</v>
      </c>
      <c r="KC24">
        <v>0</v>
      </c>
      <c r="KD24" s="16">
        <v>44211</v>
      </c>
      <c r="KE24">
        <v>40368</v>
      </c>
      <c r="KF24">
        <v>264</v>
      </c>
      <c r="KG24" s="16">
        <v>44212</v>
      </c>
      <c r="KH24">
        <v>40528</v>
      </c>
      <c r="KI24">
        <v>169</v>
      </c>
      <c r="KJ24" s="16">
        <v>44214</v>
      </c>
      <c r="KK24">
        <v>41168</v>
      </c>
      <c r="KL24">
        <v>447</v>
      </c>
      <c r="KM24" s="16">
        <v>44215</v>
      </c>
      <c r="KN24">
        <v>41517</v>
      </c>
      <c r="KO24">
        <v>344</v>
      </c>
      <c r="KP24" s="16">
        <v>44219</v>
      </c>
      <c r="KQ24">
        <v>42819</v>
      </c>
      <c r="KR24">
        <v>169</v>
      </c>
      <c r="KS24" s="16">
        <v>44220</v>
      </c>
      <c r="KT24">
        <v>43067</v>
      </c>
      <c r="KU24">
        <v>243</v>
      </c>
      <c r="KV24" s="16">
        <v>44221</v>
      </c>
      <c r="KW24">
        <v>43672</v>
      </c>
      <c r="KX24">
        <v>603</v>
      </c>
      <c r="KY24" s="16">
        <v>44223</v>
      </c>
      <c r="KZ24">
        <v>44459</v>
      </c>
      <c r="LA24">
        <v>382</v>
      </c>
      <c r="LB24" s="16">
        <v>44224</v>
      </c>
      <c r="LC24">
        <v>44906</v>
      </c>
      <c r="LD24">
        <v>435</v>
      </c>
      <c r="LE24" s="16">
        <v>44225</v>
      </c>
      <c r="LF24">
        <v>45280</v>
      </c>
      <c r="LG24">
        <v>375</v>
      </c>
      <c r="LH24" s="16">
        <v>44227</v>
      </c>
      <c r="LI24">
        <v>45749</v>
      </c>
      <c r="LJ24">
        <v>275</v>
      </c>
      <c r="LK24" s="16">
        <v>44227</v>
      </c>
      <c r="LL24">
        <v>45751</v>
      </c>
      <c r="LM24">
        <v>275</v>
      </c>
      <c r="LN24" s="16">
        <v>44229</v>
      </c>
      <c r="LO24">
        <v>46700</v>
      </c>
      <c r="LP24">
        <v>401</v>
      </c>
      <c r="LQ24" s="16">
        <v>44230</v>
      </c>
      <c r="LR24">
        <v>47130</v>
      </c>
      <c r="LS24">
        <v>436</v>
      </c>
      <c r="LT24" s="16">
        <v>44231</v>
      </c>
      <c r="LU24">
        <v>47503</v>
      </c>
      <c r="LV24">
        <v>369</v>
      </c>
      <c r="LW24" s="16">
        <v>44232</v>
      </c>
      <c r="LX24">
        <v>47881</v>
      </c>
      <c r="LY24">
        <v>365</v>
      </c>
      <c r="LZ24" s="16">
        <v>44233</v>
      </c>
      <c r="MA24">
        <v>48112</v>
      </c>
      <c r="MB24">
        <v>240</v>
      </c>
      <c r="MC24" s="16">
        <v>44234</v>
      </c>
      <c r="MD24">
        <v>48385</v>
      </c>
      <c r="ME24">
        <v>261</v>
      </c>
      <c r="MF24" s="16">
        <v>44236</v>
      </c>
      <c r="MG24">
        <v>49215</v>
      </c>
      <c r="MH24">
        <v>369</v>
      </c>
      <c r="MI24" s="16">
        <v>44236</v>
      </c>
      <c r="MJ24">
        <v>49217</v>
      </c>
      <c r="MK24">
        <v>370</v>
      </c>
      <c r="ML24" s="16">
        <v>44237</v>
      </c>
      <c r="MM24">
        <v>49596</v>
      </c>
      <c r="MN24">
        <v>382</v>
      </c>
      <c r="MO24" s="16">
        <v>44238</v>
      </c>
      <c r="MP24">
        <v>49949</v>
      </c>
      <c r="MQ24">
        <v>353</v>
      </c>
      <c r="MR24" s="16">
        <v>44239</v>
      </c>
      <c r="MS24">
        <v>50365</v>
      </c>
      <c r="MT24">
        <v>412</v>
      </c>
      <c r="MU24" s="16">
        <v>44240</v>
      </c>
      <c r="MV24">
        <v>50642</v>
      </c>
      <c r="MW24">
        <v>274</v>
      </c>
      <c r="MX24" s="16">
        <v>44241</v>
      </c>
      <c r="MY24">
        <v>50922</v>
      </c>
      <c r="MZ24">
        <v>273</v>
      </c>
      <c r="NA24" s="16">
        <v>44241</v>
      </c>
      <c r="NB24">
        <v>50929</v>
      </c>
      <c r="NC24">
        <v>280</v>
      </c>
      <c r="ND24" s="16">
        <v>44244</v>
      </c>
      <c r="NE24">
        <v>52590</v>
      </c>
      <c r="NF24">
        <v>542</v>
      </c>
      <c r="NG24" s="16">
        <v>44244</v>
      </c>
      <c r="NH24">
        <v>52589</v>
      </c>
      <c r="NI24">
        <v>543</v>
      </c>
      <c r="NJ24" s="16">
        <v>44246</v>
      </c>
      <c r="NK24">
        <v>53759</v>
      </c>
      <c r="NL24">
        <v>563</v>
      </c>
      <c r="NM24" s="16">
        <v>44246</v>
      </c>
      <c r="NN24">
        <v>53760</v>
      </c>
      <c r="NO24">
        <v>563</v>
      </c>
      <c r="NP24" s="16">
        <v>44248</v>
      </c>
      <c r="NQ24">
        <v>54432</v>
      </c>
      <c r="NR24">
        <v>352</v>
      </c>
      <c r="NS24" s="16">
        <v>44249</v>
      </c>
      <c r="NT24">
        <v>55077</v>
      </c>
      <c r="NU24">
        <v>621</v>
      </c>
      <c r="NV24" s="16">
        <v>44250</v>
      </c>
      <c r="NW24">
        <v>55703</v>
      </c>
      <c r="NX24">
        <v>622</v>
      </c>
      <c r="NY24" s="16">
        <v>44251</v>
      </c>
      <c r="NZ24">
        <v>56307</v>
      </c>
      <c r="OA24">
        <v>601</v>
      </c>
      <c r="OB24" s="16">
        <v>44252</v>
      </c>
      <c r="OC24">
        <v>56929</v>
      </c>
      <c r="OD24">
        <v>616</v>
      </c>
      <c r="OE24" s="16">
        <v>44253</v>
      </c>
      <c r="OF24">
        <v>57604</v>
      </c>
      <c r="OG24">
        <v>673</v>
      </c>
      <c r="OH24" s="16">
        <v>44254</v>
      </c>
      <c r="OI24">
        <v>58017</v>
      </c>
      <c r="OJ24">
        <v>405</v>
      </c>
      <c r="OK24" s="16">
        <v>44255</v>
      </c>
      <c r="OL24">
        <v>58439</v>
      </c>
      <c r="OM24">
        <v>420</v>
      </c>
      <c r="ON24" s="16">
        <v>44256</v>
      </c>
      <c r="OO24">
        <v>59308</v>
      </c>
      <c r="OP24">
        <v>868</v>
      </c>
      <c r="OQ24" s="16">
        <v>44257</v>
      </c>
      <c r="OR24">
        <v>60067</v>
      </c>
      <c r="OS24">
        <v>755</v>
      </c>
      <c r="OT24" s="16">
        <v>44258</v>
      </c>
      <c r="OU24">
        <v>60805</v>
      </c>
      <c r="OV24">
        <v>736</v>
      </c>
      <c r="OW24" s="16">
        <v>44259</v>
      </c>
      <c r="OX24">
        <v>61429</v>
      </c>
      <c r="OY24">
        <v>626</v>
      </c>
      <c r="OZ24" s="16">
        <v>44260</v>
      </c>
      <c r="PA24">
        <v>62031</v>
      </c>
      <c r="PB24">
        <v>600</v>
      </c>
      <c r="PC24" s="16">
        <v>44261</v>
      </c>
      <c r="PD24">
        <v>62469</v>
      </c>
      <c r="PE24">
        <v>435</v>
      </c>
      <c r="PF24" s="16">
        <v>44262</v>
      </c>
      <c r="PG24">
        <v>62860</v>
      </c>
      <c r="PH24">
        <v>393</v>
      </c>
      <c r="PI24" s="16">
        <v>44263</v>
      </c>
      <c r="PJ24">
        <v>63694</v>
      </c>
      <c r="PK24">
        <v>831</v>
      </c>
      <c r="PL24" s="16">
        <v>44264</v>
      </c>
      <c r="PM24">
        <v>64469</v>
      </c>
      <c r="PN24">
        <v>762</v>
      </c>
      <c r="PO24" s="16">
        <v>44265</v>
      </c>
      <c r="PP24">
        <v>65281</v>
      </c>
      <c r="PQ24">
        <v>805</v>
      </c>
      <c r="PR24" s="16">
        <v>44266</v>
      </c>
      <c r="PS24">
        <v>66050</v>
      </c>
      <c r="PT24">
        <v>769</v>
      </c>
      <c r="PU24" s="16">
        <v>44267</v>
      </c>
      <c r="PV24">
        <v>66840</v>
      </c>
      <c r="PW24">
        <v>789</v>
      </c>
      <c r="PX24" s="16">
        <v>44268</v>
      </c>
      <c r="PY24">
        <v>67395</v>
      </c>
      <c r="PZ24">
        <v>492</v>
      </c>
      <c r="QA24" s="16">
        <v>44269</v>
      </c>
      <c r="QB24">
        <v>67835</v>
      </c>
      <c r="QC24">
        <v>435</v>
      </c>
      <c r="QD24" s="16">
        <v>44270</v>
      </c>
      <c r="QE24">
        <v>68728</v>
      </c>
      <c r="QF24">
        <v>890</v>
      </c>
      <c r="QG24" s="16">
        <v>44271</v>
      </c>
      <c r="QH24">
        <v>69491</v>
      </c>
      <c r="QI24">
        <v>765</v>
      </c>
      <c r="QJ24" s="16">
        <v>44272</v>
      </c>
      <c r="QK24">
        <v>70238</v>
      </c>
      <c r="QL24">
        <v>744</v>
      </c>
      <c r="QM24" s="16">
        <v>44273</v>
      </c>
      <c r="QN24">
        <v>70972</v>
      </c>
      <c r="QO24">
        <v>735</v>
      </c>
      <c r="QP24" s="16">
        <v>44274</v>
      </c>
      <c r="QQ24">
        <v>71714</v>
      </c>
      <c r="QR24">
        <v>741</v>
      </c>
      <c r="QS24" s="16">
        <v>44275</v>
      </c>
      <c r="QT24">
        <v>72123</v>
      </c>
      <c r="QU24">
        <v>402</v>
      </c>
      <c r="QV24" s="16">
        <v>44276</v>
      </c>
      <c r="QW24">
        <v>72541</v>
      </c>
      <c r="QX24">
        <v>418</v>
      </c>
      <c r="QY24" s="16">
        <v>44277</v>
      </c>
      <c r="QZ24">
        <v>73305</v>
      </c>
      <c r="RA24">
        <v>765</v>
      </c>
      <c r="RB24" s="16">
        <v>44278</v>
      </c>
      <c r="RC24">
        <v>74005</v>
      </c>
      <c r="RD24">
        <v>698</v>
      </c>
      <c r="RE24" s="16">
        <v>44279</v>
      </c>
      <c r="RF24">
        <v>74701</v>
      </c>
      <c r="RG24">
        <v>699</v>
      </c>
      <c r="RH24" s="16">
        <v>44280</v>
      </c>
      <c r="RI24">
        <v>75306</v>
      </c>
      <c r="RJ24">
        <v>607</v>
      </c>
      <c r="RK24" s="16">
        <v>44281</v>
      </c>
      <c r="RL24">
        <v>75986</v>
      </c>
      <c r="RM24">
        <v>682</v>
      </c>
      <c r="RN24" s="16">
        <v>44283</v>
      </c>
      <c r="RO24">
        <v>76707</v>
      </c>
      <c r="RP24">
        <v>372</v>
      </c>
      <c r="RQ24" s="16">
        <v>44284</v>
      </c>
      <c r="RR24">
        <v>77361</v>
      </c>
      <c r="RS24">
        <v>655</v>
      </c>
      <c r="RT24">
        <v>44285</v>
      </c>
      <c r="RU24">
        <v>77929</v>
      </c>
      <c r="RV24">
        <v>567</v>
      </c>
      <c r="RW24">
        <v>44286</v>
      </c>
      <c r="RX24">
        <v>78479</v>
      </c>
      <c r="RY24">
        <v>548</v>
      </c>
      <c r="RZ24">
        <v>44287</v>
      </c>
      <c r="SA24">
        <v>78967</v>
      </c>
      <c r="SB24">
        <v>487</v>
      </c>
      <c r="SC24">
        <v>44288</v>
      </c>
      <c r="SD24">
        <v>79329</v>
      </c>
      <c r="SE24">
        <v>361</v>
      </c>
      <c r="SF24">
        <v>44289</v>
      </c>
      <c r="SG24">
        <v>79645</v>
      </c>
      <c r="SH24">
        <v>315</v>
      </c>
      <c r="SI24">
        <v>44290</v>
      </c>
      <c r="SJ24">
        <v>79965</v>
      </c>
      <c r="SK24">
        <v>319</v>
      </c>
      <c r="SL24">
        <v>44292</v>
      </c>
      <c r="SM24">
        <v>80861</v>
      </c>
      <c r="SN24">
        <v>537</v>
      </c>
      <c r="SO24">
        <v>44293</v>
      </c>
      <c r="SP24">
        <v>81307</v>
      </c>
      <c r="SQ24">
        <v>427</v>
      </c>
      <c r="SR24">
        <v>44294</v>
      </c>
      <c r="SS24">
        <v>81714</v>
      </c>
      <c r="ST24">
        <v>400</v>
      </c>
      <c r="SU24">
        <v>44295</v>
      </c>
      <c r="SV24">
        <v>82061</v>
      </c>
      <c r="SW24">
        <v>347</v>
      </c>
      <c r="SX24">
        <v>44297</v>
      </c>
      <c r="SY24">
        <v>82530</v>
      </c>
      <c r="SZ24">
        <v>238</v>
      </c>
      <c r="TA24">
        <v>44298</v>
      </c>
      <c r="TB24">
        <v>82932</v>
      </c>
      <c r="TC24">
        <v>397</v>
      </c>
      <c r="TD24">
        <v>44300</v>
      </c>
      <c r="TE24">
        <v>83604</v>
      </c>
      <c r="TF24">
        <v>345</v>
      </c>
      <c r="TG24">
        <v>44301</v>
      </c>
      <c r="TH24">
        <v>83881</v>
      </c>
      <c r="TI24">
        <v>274</v>
      </c>
      <c r="TJ24">
        <v>44302</v>
      </c>
      <c r="TK24">
        <v>84147</v>
      </c>
      <c r="TL24">
        <v>264</v>
      </c>
      <c r="TM24">
        <v>44303</v>
      </c>
      <c r="TN24">
        <v>84317</v>
      </c>
      <c r="TO24">
        <v>169</v>
      </c>
      <c r="TP24">
        <v>44305</v>
      </c>
      <c r="TQ24">
        <v>84760</v>
      </c>
      <c r="TR24">
        <v>284</v>
      </c>
      <c r="TS24">
        <v>44306</v>
      </c>
      <c r="TT24">
        <v>85050</v>
      </c>
      <c r="TU24">
        <v>286</v>
      </c>
      <c r="TV24">
        <v>44306</v>
      </c>
      <c r="TW24">
        <v>85056</v>
      </c>
      <c r="TX24">
        <v>286</v>
      </c>
      <c r="TY24">
        <v>44307</v>
      </c>
      <c r="TZ24">
        <v>85298</v>
      </c>
      <c r="UA24">
        <v>243</v>
      </c>
      <c r="UB24">
        <v>44309</v>
      </c>
      <c r="UC24">
        <v>85814</v>
      </c>
      <c r="UD24">
        <v>257</v>
      </c>
      <c r="UE24">
        <v>44309</v>
      </c>
      <c r="UF24">
        <v>85813</v>
      </c>
      <c r="UG24">
        <v>257</v>
      </c>
      <c r="UH24">
        <v>44310</v>
      </c>
      <c r="UI24">
        <v>85969</v>
      </c>
      <c r="UJ24">
        <v>153</v>
      </c>
      <c r="UK24">
        <v>44311</v>
      </c>
      <c r="UL24">
        <v>86114</v>
      </c>
      <c r="UM24">
        <v>142</v>
      </c>
      <c r="UN24">
        <v>44315</v>
      </c>
      <c r="UO24">
        <v>87062</v>
      </c>
      <c r="UP24">
        <v>199</v>
      </c>
      <c r="UQ24">
        <v>44316</v>
      </c>
      <c r="UR24">
        <v>87263</v>
      </c>
      <c r="US24">
        <v>195</v>
      </c>
      <c r="UT24">
        <v>44317</v>
      </c>
      <c r="UU24">
        <v>87364</v>
      </c>
      <c r="UV24">
        <v>105</v>
      </c>
      <c r="UW24">
        <v>44318</v>
      </c>
      <c r="UX24">
        <v>87499</v>
      </c>
      <c r="UY24">
        <v>136</v>
      </c>
      <c r="UZ24">
        <v>44320</v>
      </c>
      <c r="VA24">
        <v>88023</v>
      </c>
      <c r="VB24">
        <v>204</v>
      </c>
      <c r="VC24">
        <v>44320</v>
      </c>
      <c r="VD24">
        <v>88018</v>
      </c>
      <c r="VE24">
        <v>204</v>
      </c>
      <c r="VF24">
        <v>44321</v>
      </c>
      <c r="VG24">
        <v>88291</v>
      </c>
      <c r="VH24">
        <v>270</v>
      </c>
      <c r="VI24">
        <v>44323</v>
      </c>
      <c r="VJ24">
        <v>88742</v>
      </c>
      <c r="VK24">
        <v>216</v>
      </c>
      <c r="VL24">
        <v>44323</v>
      </c>
      <c r="VM24">
        <v>88738</v>
      </c>
      <c r="VN24">
        <v>216</v>
      </c>
      <c r="VO24">
        <v>44324</v>
      </c>
      <c r="VP24">
        <v>88862</v>
      </c>
      <c r="VQ24">
        <v>129</v>
      </c>
      <c r="VR24">
        <v>44325</v>
      </c>
      <c r="VS24">
        <v>88991</v>
      </c>
      <c r="VT24">
        <v>128</v>
      </c>
      <c r="VU24">
        <v>44327</v>
      </c>
      <c r="VV24">
        <v>89468</v>
      </c>
      <c r="VW24">
        <v>214</v>
      </c>
      <c r="VX24">
        <v>44327</v>
      </c>
      <c r="VY24">
        <v>89470</v>
      </c>
      <c r="VZ24">
        <v>214</v>
      </c>
      <c r="WA24">
        <v>44328</v>
      </c>
      <c r="WB24">
        <v>89729</v>
      </c>
      <c r="WC24">
        <v>256</v>
      </c>
      <c r="WD24">
        <v>44329</v>
      </c>
      <c r="WE24">
        <v>89883</v>
      </c>
      <c r="WF24">
        <v>155</v>
      </c>
      <c r="WG24">
        <v>44330</v>
      </c>
      <c r="WH24">
        <v>90128</v>
      </c>
      <c r="WI24">
        <v>245</v>
      </c>
      <c r="WJ24">
        <v>44332</v>
      </c>
      <c r="WK24">
        <v>90418</v>
      </c>
      <c r="WL24">
        <v>132</v>
      </c>
      <c r="WM24">
        <v>44332</v>
      </c>
      <c r="WN24">
        <v>90421</v>
      </c>
      <c r="WO24">
        <v>133</v>
      </c>
      <c r="WP24">
        <v>44335</v>
      </c>
      <c r="WQ24">
        <v>91153</v>
      </c>
      <c r="WR24">
        <v>231</v>
      </c>
      <c r="WS24">
        <v>44336</v>
      </c>
      <c r="WT24">
        <v>91371</v>
      </c>
      <c r="WU24">
        <v>215</v>
      </c>
      <c r="WV24">
        <v>44337</v>
      </c>
      <c r="WW24">
        <v>91543</v>
      </c>
      <c r="WX24">
        <v>169</v>
      </c>
      <c r="WY24">
        <v>44338</v>
      </c>
      <c r="WZ24">
        <v>91653</v>
      </c>
      <c r="XA24">
        <v>106</v>
      </c>
      <c r="XB24">
        <v>44339</v>
      </c>
      <c r="XC24">
        <v>91744</v>
      </c>
      <c r="XD24">
        <v>92</v>
      </c>
      <c r="XE24">
        <v>44341</v>
      </c>
      <c r="XF24">
        <v>92085</v>
      </c>
      <c r="XG24">
        <v>152</v>
      </c>
      <c r="XH24">
        <v>44341</v>
      </c>
      <c r="XI24">
        <v>92091</v>
      </c>
      <c r="XJ24">
        <v>152</v>
      </c>
      <c r="XK24">
        <v>44342</v>
      </c>
      <c r="XL24">
        <v>92234</v>
      </c>
      <c r="XM24">
        <v>143</v>
      </c>
      <c r="XN24">
        <v>44343</v>
      </c>
      <c r="XO24">
        <v>92362</v>
      </c>
      <c r="XP24">
        <v>127</v>
      </c>
      <c r="XQ24">
        <v>44344</v>
      </c>
      <c r="XR24">
        <v>92499</v>
      </c>
      <c r="XS24">
        <v>136</v>
      </c>
      <c r="XT24">
        <v>44345</v>
      </c>
      <c r="XU24">
        <v>92566</v>
      </c>
      <c r="XV24">
        <v>64</v>
      </c>
      <c r="XW24">
        <v>44346</v>
      </c>
      <c r="XX24">
        <v>92648</v>
      </c>
      <c r="XY24">
        <v>79</v>
      </c>
      <c r="XZ24">
        <v>44347</v>
      </c>
      <c r="YA24">
        <v>92793</v>
      </c>
      <c r="YB24">
        <v>144</v>
      </c>
      <c r="YC24">
        <v>44349</v>
      </c>
      <c r="YD24">
        <v>93036</v>
      </c>
      <c r="YE24">
        <v>119</v>
      </c>
      <c r="YF24">
        <v>44350</v>
      </c>
      <c r="YG24">
        <v>93147</v>
      </c>
      <c r="YH24">
        <v>110</v>
      </c>
      <c r="YI24">
        <v>44351</v>
      </c>
      <c r="YJ24">
        <v>93249</v>
      </c>
      <c r="YK24">
        <v>99</v>
      </c>
      <c r="YL24">
        <v>44352</v>
      </c>
      <c r="YM24">
        <v>93313</v>
      </c>
      <c r="YN24">
        <v>65</v>
      </c>
      <c r="YO24">
        <v>44353</v>
      </c>
      <c r="YP24">
        <v>93376</v>
      </c>
      <c r="YQ24">
        <v>60</v>
      </c>
      <c r="YR24">
        <v>44354</v>
      </c>
      <c r="YS24">
        <v>93516</v>
      </c>
      <c r="YT24">
        <v>136</v>
      </c>
      <c r="YU24">
        <v>44355</v>
      </c>
      <c r="YV24">
        <v>93626</v>
      </c>
      <c r="YW24">
        <v>102</v>
      </c>
    </row>
    <row r="25" spans="2:673">
      <c r="B25" t="str">
        <f t="shared" ca="1" si="2"/>
        <v>9.6</v>
      </c>
      <c r="C25" s="4">
        <f t="shared" ca="1" si="0"/>
        <v>44356</v>
      </c>
      <c r="D25" s="11">
        <f t="shared" ca="1" si="1"/>
        <v>93706</v>
      </c>
      <c r="E25">
        <f t="shared" ca="1" si="3"/>
        <v>82</v>
      </c>
      <c r="F25" s="11">
        <f t="shared" ca="1" si="4"/>
        <v>0</v>
      </c>
      <c r="G25" s="11">
        <f t="shared" ca="1" si="5"/>
        <v>82</v>
      </c>
      <c r="J25" s="10"/>
      <c r="K25" s="10">
        <f ca="1">SUM(E25:E31)</f>
        <v>485</v>
      </c>
      <c r="L25" s="10" t="str">
        <f ca="1">TEXT(K25/K18-1,"0 %")</f>
        <v>-30 %</v>
      </c>
      <c r="N25" s="16">
        <v>44356</v>
      </c>
      <c r="O25">
        <v>93708</v>
      </c>
      <c r="P25">
        <v>82</v>
      </c>
      <c r="Q25" s="16">
        <v>44356</v>
      </c>
      <c r="R25">
        <v>93708</v>
      </c>
      <c r="S25">
        <v>82</v>
      </c>
      <c r="T25" s="16">
        <v>44103</v>
      </c>
      <c r="U25">
        <v>10205</v>
      </c>
      <c r="V25">
        <v>136</v>
      </c>
      <c r="W25" s="16">
        <v>44104</v>
      </c>
      <c r="X25">
        <v>10372</v>
      </c>
      <c r="Y25">
        <v>167</v>
      </c>
      <c r="Z25" s="16">
        <v>44105</v>
      </c>
      <c r="AA25">
        <v>10569</v>
      </c>
      <c r="AB25">
        <v>191</v>
      </c>
      <c r="AC25" s="16">
        <v>44106</v>
      </c>
      <c r="AD25">
        <v>10758</v>
      </c>
      <c r="AE25">
        <v>191</v>
      </c>
      <c r="AF25" s="16">
        <v>44107</v>
      </c>
      <c r="AG25">
        <v>10930</v>
      </c>
      <c r="AH25">
        <v>172</v>
      </c>
      <c r="AI25" s="16">
        <v>44108</v>
      </c>
      <c r="AJ25">
        <v>11080</v>
      </c>
      <c r="AK25">
        <v>148</v>
      </c>
      <c r="AL25" s="16">
        <v>44109</v>
      </c>
      <c r="AM25">
        <v>11352</v>
      </c>
      <c r="AN25">
        <v>287</v>
      </c>
      <c r="AO25" s="16">
        <v>44110</v>
      </c>
      <c r="AP25">
        <v>11653</v>
      </c>
      <c r="AQ25">
        <v>300</v>
      </c>
      <c r="AR25" s="16">
        <v>44111</v>
      </c>
      <c r="AS25">
        <v>11958</v>
      </c>
      <c r="AT25">
        <v>308</v>
      </c>
      <c r="AU25" s="16">
        <v>44112</v>
      </c>
      <c r="AV25">
        <v>12217</v>
      </c>
      <c r="AW25">
        <v>261</v>
      </c>
      <c r="AX25" s="16">
        <v>44113</v>
      </c>
      <c r="AY25">
        <v>12443</v>
      </c>
      <c r="AZ25">
        <v>227</v>
      </c>
      <c r="BA25" s="16">
        <v>44114</v>
      </c>
      <c r="BB25">
        <v>12555</v>
      </c>
      <c r="BC25">
        <v>112</v>
      </c>
      <c r="BD25" s="16">
        <v>44115</v>
      </c>
      <c r="BE25">
        <v>12691</v>
      </c>
      <c r="BF25">
        <v>132</v>
      </c>
      <c r="BG25" s="16">
        <v>44116</v>
      </c>
      <c r="BH25">
        <v>12931</v>
      </c>
      <c r="BI25">
        <v>252</v>
      </c>
      <c r="BJ25" s="16">
        <v>44117</v>
      </c>
      <c r="BK25">
        <v>13131</v>
      </c>
      <c r="BL25">
        <v>197</v>
      </c>
      <c r="BM25" s="16">
        <v>44118</v>
      </c>
      <c r="BN25">
        <v>13332</v>
      </c>
      <c r="BO25">
        <v>201</v>
      </c>
      <c r="BP25" s="16">
        <v>44119</v>
      </c>
      <c r="BQ25">
        <v>13523</v>
      </c>
      <c r="BR25">
        <v>190</v>
      </c>
      <c r="BS25" s="16">
        <v>44120</v>
      </c>
      <c r="BT25">
        <v>13714</v>
      </c>
      <c r="BU25">
        <v>191</v>
      </c>
      <c r="BV25" s="16">
        <v>44122</v>
      </c>
      <c r="BW25">
        <v>13945</v>
      </c>
      <c r="BX25">
        <v>127</v>
      </c>
      <c r="BY25" s="16">
        <v>44123</v>
      </c>
      <c r="BZ25">
        <v>14183</v>
      </c>
      <c r="CA25">
        <v>242</v>
      </c>
      <c r="CB25" s="16">
        <v>44124</v>
      </c>
      <c r="CC25">
        <v>14348</v>
      </c>
      <c r="CD25">
        <v>160</v>
      </c>
      <c r="CE25" s="16">
        <v>44125</v>
      </c>
      <c r="CF25">
        <v>14548</v>
      </c>
      <c r="CG25">
        <v>189</v>
      </c>
      <c r="CH25" s="16">
        <v>44126</v>
      </c>
      <c r="CI25">
        <v>14762</v>
      </c>
      <c r="CJ25">
        <v>212</v>
      </c>
      <c r="CK25" s="16">
        <v>44127</v>
      </c>
      <c r="CL25">
        <v>14954</v>
      </c>
      <c r="CM25">
        <v>192</v>
      </c>
      <c r="CN25" s="16">
        <v>44128</v>
      </c>
      <c r="CO25">
        <v>15061</v>
      </c>
      <c r="CP25">
        <v>107</v>
      </c>
      <c r="CQ25" s="16">
        <v>44129</v>
      </c>
      <c r="CR25">
        <v>15184</v>
      </c>
      <c r="CS25">
        <v>123</v>
      </c>
      <c r="CT25" s="16">
        <v>44130</v>
      </c>
      <c r="CU25">
        <v>15443</v>
      </c>
      <c r="CV25">
        <v>254</v>
      </c>
      <c r="CW25" s="16">
        <v>44131</v>
      </c>
      <c r="CX25">
        <v>15678</v>
      </c>
      <c r="CY25">
        <v>230</v>
      </c>
      <c r="CZ25" s="16">
        <v>44133</v>
      </c>
      <c r="DA25">
        <v>16154</v>
      </c>
      <c r="DB25">
        <v>237</v>
      </c>
      <c r="DC25" s="16">
        <v>44134</v>
      </c>
      <c r="DD25">
        <v>16369</v>
      </c>
      <c r="DE25">
        <v>216</v>
      </c>
      <c r="DF25" s="16">
        <v>44135</v>
      </c>
      <c r="DG25">
        <v>16492</v>
      </c>
      <c r="DH25">
        <v>121</v>
      </c>
      <c r="DI25" s="16">
        <v>44136</v>
      </c>
      <c r="DJ25">
        <v>16644</v>
      </c>
      <c r="DK25">
        <v>150</v>
      </c>
      <c r="DL25" s="16">
        <v>44137</v>
      </c>
      <c r="DM25">
        <v>16931</v>
      </c>
      <c r="DN25">
        <v>281</v>
      </c>
      <c r="DO25" s="16">
        <v>44138</v>
      </c>
      <c r="DP25">
        <v>17171</v>
      </c>
      <c r="DQ25">
        <v>239</v>
      </c>
      <c r="DR25" s="16">
        <v>44139</v>
      </c>
      <c r="DS25">
        <v>17380</v>
      </c>
      <c r="DT25">
        <v>207</v>
      </c>
      <c r="DU25" s="16">
        <v>44140</v>
      </c>
      <c r="DV25">
        <v>17603</v>
      </c>
      <c r="DW25">
        <v>219</v>
      </c>
      <c r="DX25" s="16">
        <v>44141</v>
      </c>
      <c r="DY25">
        <v>17797</v>
      </c>
      <c r="DZ25">
        <v>194</v>
      </c>
      <c r="EA25" s="16">
        <v>44142</v>
      </c>
      <c r="EB25">
        <v>17926</v>
      </c>
      <c r="EC25">
        <v>128</v>
      </c>
      <c r="ED25" s="16">
        <v>44143</v>
      </c>
      <c r="EE25">
        <v>18055</v>
      </c>
      <c r="EF25">
        <v>133</v>
      </c>
      <c r="EG25" s="16">
        <v>44144</v>
      </c>
      <c r="EH25">
        <v>18335</v>
      </c>
      <c r="EI25">
        <v>277</v>
      </c>
      <c r="EJ25" s="16">
        <v>44145</v>
      </c>
      <c r="EK25">
        <v>18551</v>
      </c>
      <c r="EL25">
        <v>216</v>
      </c>
      <c r="EM25" s="16">
        <v>44146</v>
      </c>
      <c r="EN25">
        <v>18840</v>
      </c>
      <c r="EO25">
        <v>296</v>
      </c>
      <c r="EP25" s="16">
        <v>44147</v>
      </c>
      <c r="EQ25">
        <v>19101</v>
      </c>
      <c r="ER25">
        <v>277</v>
      </c>
      <c r="ES25" s="16">
        <v>44148</v>
      </c>
      <c r="ET25">
        <v>19365</v>
      </c>
      <c r="EU25">
        <v>261</v>
      </c>
      <c r="EV25" s="16">
        <v>44149</v>
      </c>
      <c r="EW25">
        <v>19507</v>
      </c>
      <c r="EX25">
        <v>143</v>
      </c>
      <c r="EY25" s="16">
        <v>44150</v>
      </c>
      <c r="EZ25">
        <v>19689</v>
      </c>
      <c r="FA25">
        <v>181</v>
      </c>
      <c r="FB25" s="16">
        <v>44151</v>
      </c>
      <c r="FC25">
        <v>20084</v>
      </c>
      <c r="FD25">
        <v>395</v>
      </c>
      <c r="FE25" s="16">
        <v>44152</v>
      </c>
      <c r="FF25">
        <v>20415</v>
      </c>
      <c r="FG25">
        <v>393</v>
      </c>
      <c r="FH25" s="16">
        <v>44153</v>
      </c>
      <c r="FI25">
        <v>20858</v>
      </c>
      <c r="FJ25">
        <v>371</v>
      </c>
      <c r="FK25" s="16">
        <v>44154</v>
      </c>
      <c r="FL25">
        <v>21355</v>
      </c>
      <c r="FM25">
        <v>478</v>
      </c>
      <c r="FN25" s="16">
        <v>44155</v>
      </c>
      <c r="FO25">
        <v>21784</v>
      </c>
      <c r="FP25">
        <v>428</v>
      </c>
      <c r="FQ25" s="16">
        <v>44156</v>
      </c>
      <c r="FR25">
        <v>22054</v>
      </c>
      <c r="FS25">
        <v>270</v>
      </c>
      <c r="FT25" s="16">
        <v>44157</v>
      </c>
      <c r="FU25">
        <v>22334</v>
      </c>
      <c r="FV25">
        <v>262</v>
      </c>
      <c r="FW25" s="16">
        <v>44158</v>
      </c>
      <c r="FX25">
        <v>22828</v>
      </c>
      <c r="FY25">
        <v>491</v>
      </c>
      <c r="FZ25" s="16">
        <v>44159</v>
      </c>
      <c r="GA25">
        <v>23294</v>
      </c>
      <c r="GB25">
        <v>461</v>
      </c>
      <c r="GC25" s="16">
        <v>44160</v>
      </c>
      <c r="GD25">
        <v>23890</v>
      </c>
      <c r="GE25">
        <v>598</v>
      </c>
      <c r="GF25" s="16">
        <v>44161</v>
      </c>
      <c r="GG25">
        <v>24401</v>
      </c>
      <c r="GH25">
        <v>508</v>
      </c>
      <c r="GI25" s="16">
        <v>44162</v>
      </c>
      <c r="GJ25">
        <v>24864</v>
      </c>
      <c r="GK25">
        <v>461</v>
      </c>
      <c r="GL25" s="16">
        <v>44163</v>
      </c>
      <c r="GM25">
        <v>25156</v>
      </c>
      <c r="GN25">
        <v>291</v>
      </c>
      <c r="GO25" s="16">
        <v>44164</v>
      </c>
      <c r="GP25">
        <v>25443</v>
      </c>
      <c r="GQ25">
        <v>281</v>
      </c>
      <c r="GR25" s="16">
        <v>44165</v>
      </c>
      <c r="GS25">
        <v>26003</v>
      </c>
      <c r="GT25">
        <v>553</v>
      </c>
      <c r="GU25" s="16">
        <v>44166</v>
      </c>
      <c r="GV25">
        <v>26511</v>
      </c>
      <c r="GW25">
        <v>442</v>
      </c>
      <c r="GX25" s="16">
        <v>44167</v>
      </c>
      <c r="GY25">
        <v>27015</v>
      </c>
      <c r="GZ25">
        <v>495</v>
      </c>
      <c r="HA25" s="16">
        <v>44168</v>
      </c>
      <c r="HB25">
        <v>27492</v>
      </c>
      <c r="HC25">
        <v>474</v>
      </c>
      <c r="HD25" s="16">
        <v>44169</v>
      </c>
      <c r="HE25">
        <v>27968</v>
      </c>
      <c r="HF25">
        <v>476</v>
      </c>
      <c r="HG25" s="16">
        <v>44170</v>
      </c>
      <c r="HH25">
        <v>28207</v>
      </c>
      <c r="HI25">
        <v>252</v>
      </c>
      <c r="HJ25" s="16">
        <v>44171</v>
      </c>
      <c r="HK25">
        <v>28484</v>
      </c>
      <c r="HL25">
        <v>281</v>
      </c>
      <c r="HM25" s="16">
        <v>44172</v>
      </c>
      <c r="HN25">
        <v>29069</v>
      </c>
      <c r="HO25">
        <v>591</v>
      </c>
      <c r="HP25" s="16">
        <v>44173</v>
      </c>
      <c r="HQ25">
        <v>29555</v>
      </c>
      <c r="HR25">
        <v>478</v>
      </c>
      <c r="HS25" s="16">
        <v>44174</v>
      </c>
      <c r="HT25">
        <v>30011</v>
      </c>
      <c r="HU25">
        <v>462</v>
      </c>
      <c r="HV25" s="16">
        <v>44175</v>
      </c>
      <c r="HW25">
        <v>30422</v>
      </c>
      <c r="HX25">
        <v>408</v>
      </c>
      <c r="HY25" s="16">
        <v>44176</v>
      </c>
      <c r="HZ25">
        <v>30865</v>
      </c>
      <c r="IA25">
        <v>445</v>
      </c>
      <c r="IB25" s="16">
        <v>44177</v>
      </c>
      <c r="IC25">
        <v>31113</v>
      </c>
      <c r="ID25">
        <v>250</v>
      </c>
      <c r="IE25" s="16">
        <v>44178</v>
      </c>
      <c r="IF25">
        <v>31389</v>
      </c>
      <c r="IG25">
        <v>273</v>
      </c>
      <c r="IH25" s="16">
        <v>44179</v>
      </c>
      <c r="II25">
        <v>31849</v>
      </c>
      <c r="IJ25">
        <v>461</v>
      </c>
      <c r="IK25" s="16">
        <v>44180</v>
      </c>
      <c r="IL25">
        <v>32210</v>
      </c>
      <c r="IM25">
        <v>358</v>
      </c>
      <c r="IN25" s="16">
        <v>44181</v>
      </c>
      <c r="IO25">
        <v>32557</v>
      </c>
      <c r="IP25">
        <v>348</v>
      </c>
      <c r="IQ25" s="16">
        <v>44182</v>
      </c>
      <c r="IR25">
        <v>32875</v>
      </c>
      <c r="IS25">
        <v>319</v>
      </c>
      <c r="IT25" s="16">
        <v>44183</v>
      </c>
      <c r="IU25">
        <v>33270</v>
      </c>
      <c r="IV25">
        <v>395</v>
      </c>
      <c r="IW25" s="16">
        <v>44184</v>
      </c>
      <c r="IX25">
        <v>33461</v>
      </c>
      <c r="IY25">
        <v>191</v>
      </c>
      <c r="IZ25" s="16">
        <v>44185</v>
      </c>
      <c r="JA25">
        <v>33709</v>
      </c>
      <c r="JB25">
        <v>245</v>
      </c>
      <c r="JC25" s="16">
        <v>44189</v>
      </c>
      <c r="JD25">
        <v>34836</v>
      </c>
      <c r="JE25">
        <v>138</v>
      </c>
      <c r="JF25" s="16">
        <v>44193</v>
      </c>
      <c r="JG25">
        <v>35794</v>
      </c>
      <c r="JH25">
        <v>429</v>
      </c>
      <c r="JI25" s="16">
        <v>44194</v>
      </c>
      <c r="JJ25">
        <v>36146</v>
      </c>
      <c r="JK25">
        <v>307</v>
      </c>
      <c r="JL25" s="16">
        <v>44195</v>
      </c>
      <c r="JM25">
        <v>36398</v>
      </c>
      <c r="JN25">
        <v>256</v>
      </c>
      <c r="JO25" s="16">
        <v>44196</v>
      </c>
      <c r="JP25">
        <v>36638</v>
      </c>
      <c r="JQ25">
        <v>253</v>
      </c>
      <c r="JR25" s="16">
        <v>44198</v>
      </c>
      <c r="JS25">
        <v>36977</v>
      </c>
      <c r="JT25">
        <v>205</v>
      </c>
      <c r="JU25" s="16">
        <v>44198</v>
      </c>
      <c r="JV25">
        <v>36978</v>
      </c>
      <c r="JW25">
        <v>205</v>
      </c>
      <c r="JX25" s="16">
        <v>44200</v>
      </c>
      <c r="JY25">
        <v>37539</v>
      </c>
      <c r="JZ25">
        <v>395</v>
      </c>
      <c r="KA25" s="16">
        <v>44212</v>
      </c>
      <c r="KB25">
        <v>39593</v>
      </c>
      <c r="KC25">
        <v>0</v>
      </c>
      <c r="KD25" s="16">
        <v>44212</v>
      </c>
      <c r="KE25">
        <v>40537</v>
      </c>
      <c r="KF25">
        <v>169</v>
      </c>
      <c r="KG25" s="16">
        <v>44213</v>
      </c>
      <c r="KH25">
        <v>40722</v>
      </c>
      <c r="KI25">
        <v>194</v>
      </c>
      <c r="KJ25" s="16">
        <v>44215</v>
      </c>
      <c r="KK25">
        <v>41512</v>
      </c>
      <c r="KL25">
        <v>344</v>
      </c>
      <c r="KM25" s="16">
        <v>44216</v>
      </c>
      <c r="KN25">
        <v>41914</v>
      </c>
      <c r="KO25">
        <v>397</v>
      </c>
      <c r="KP25" s="16">
        <v>44220</v>
      </c>
      <c r="KQ25">
        <v>43060</v>
      </c>
      <c r="KR25">
        <v>241</v>
      </c>
      <c r="KS25" s="16">
        <v>44221</v>
      </c>
      <c r="KT25">
        <v>43669</v>
      </c>
      <c r="KU25">
        <v>602</v>
      </c>
      <c r="KV25" s="16">
        <v>44222</v>
      </c>
      <c r="KW25">
        <v>44073</v>
      </c>
      <c r="KX25">
        <v>401</v>
      </c>
      <c r="KY25" s="16">
        <v>44224</v>
      </c>
      <c r="KZ25">
        <v>44893</v>
      </c>
      <c r="LA25">
        <v>434</v>
      </c>
      <c r="LB25" s="16">
        <v>44225</v>
      </c>
      <c r="LC25">
        <v>45283</v>
      </c>
      <c r="LD25">
        <v>377</v>
      </c>
      <c r="LE25" s="16">
        <v>44226</v>
      </c>
      <c r="LF25">
        <v>45510</v>
      </c>
      <c r="LG25">
        <v>230</v>
      </c>
      <c r="LH25" s="16">
        <v>44228</v>
      </c>
      <c r="LI25">
        <v>46271</v>
      </c>
      <c r="LJ25">
        <v>522</v>
      </c>
      <c r="LK25" s="16">
        <v>44228</v>
      </c>
      <c r="LL25">
        <v>46273</v>
      </c>
      <c r="LM25">
        <v>522</v>
      </c>
      <c r="LN25" s="16">
        <v>44230</v>
      </c>
      <c r="LO25">
        <v>47130</v>
      </c>
      <c r="LP25">
        <v>430</v>
      </c>
      <c r="LQ25" s="16">
        <v>44231</v>
      </c>
      <c r="LR25">
        <v>47499</v>
      </c>
      <c r="LS25">
        <v>369</v>
      </c>
      <c r="LT25" s="16">
        <v>44232</v>
      </c>
      <c r="LU25">
        <v>47867</v>
      </c>
      <c r="LV25">
        <v>364</v>
      </c>
      <c r="LW25" s="16">
        <v>44233</v>
      </c>
      <c r="LX25">
        <v>48121</v>
      </c>
      <c r="LY25">
        <v>240</v>
      </c>
      <c r="LZ25" s="16">
        <v>44234</v>
      </c>
      <c r="MA25">
        <v>48373</v>
      </c>
      <c r="MB25">
        <v>261</v>
      </c>
      <c r="MC25" s="16">
        <v>44235</v>
      </c>
      <c r="MD25">
        <v>48843</v>
      </c>
      <c r="ME25">
        <v>458</v>
      </c>
      <c r="MF25" s="16">
        <v>44237</v>
      </c>
      <c r="MG25">
        <v>49600</v>
      </c>
      <c r="MH25">
        <v>385</v>
      </c>
      <c r="MI25" s="16">
        <v>44237</v>
      </c>
      <c r="MJ25">
        <v>49602</v>
      </c>
      <c r="MK25">
        <v>385</v>
      </c>
      <c r="ML25" s="16">
        <v>44238</v>
      </c>
      <c r="MM25">
        <v>49949</v>
      </c>
      <c r="MN25">
        <v>353</v>
      </c>
      <c r="MO25" s="16">
        <v>44239</v>
      </c>
      <c r="MP25">
        <v>50361</v>
      </c>
      <c r="MQ25">
        <v>412</v>
      </c>
      <c r="MR25" s="16">
        <v>44240</v>
      </c>
      <c r="MS25">
        <v>50640</v>
      </c>
      <c r="MT25">
        <v>275</v>
      </c>
      <c r="MU25" s="16">
        <v>44241</v>
      </c>
      <c r="MV25">
        <v>50911</v>
      </c>
      <c r="MW25">
        <v>269</v>
      </c>
      <c r="MX25" s="16">
        <v>44242</v>
      </c>
      <c r="MY25">
        <v>51531</v>
      </c>
      <c r="MZ25">
        <v>609</v>
      </c>
      <c r="NA25" s="16">
        <v>44242</v>
      </c>
      <c r="NB25">
        <v>51538</v>
      </c>
      <c r="NC25">
        <v>609</v>
      </c>
      <c r="ND25" s="16">
        <v>44245</v>
      </c>
      <c r="NE25">
        <v>53195</v>
      </c>
      <c r="NF25">
        <v>605</v>
      </c>
      <c r="NG25" s="16">
        <v>44245</v>
      </c>
      <c r="NH25">
        <v>53194</v>
      </c>
      <c r="NI25">
        <v>605</v>
      </c>
      <c r="NJ25" s="16">
        <v>44247</v>
      </c>
      <c r="NK25">
        <v>54076</v>
      </c>
      <c r="NL25">
        <v>317</v>
      </c>
      <c r="NM25" s="16">
        <v>44247</v>
      </c>
      <c r="NN25">
        <v>54077</v>
      </c>
      <c r="NO25">
        <v>317</v>
      </c>
      <c r="NP25" s="16">
        <v>44249</v>
      </c>
      <c r="NQ25">
        <v>55050</v>
      </c>
      <c r="NR25">
        <v>618</v>
      </c>
      <c r="NS25" s="16">
        <v>44250</v>
      </c>
      <c r="NT25">
        <v>55698</v>
      </c>
      <c r="NU25">
        <v>621</v>
      </c>
      <c r="NV25" s="16">
        <v>44251</v>
      </c>
      <c r="NW25">
        <v>56304</v>
      </c>
      <c r="NX25">
        <v>601</v>
      </c>
      <c r="NY25" s="16">
        <v>44252</v>
      </c>
      <c r="NZ25">
        <v>56923</v>
      </c>
      <c r="OA25">
        <v>616</v>
      </c>
      <c r="OB25" s="16">
        <v>44253</v>
      </c>
      <c r="OC25">
        <v>57602</v>
      </c>
      <c r="OD25">
        <v>673</v>
      </c>
      <c r="OE25" s="16">
        <v>44254</v>
      </c>
      <c r="OF25">
        <v>58002</v>
      </c>
      <c r="OG25">
        <v>398</v>
      </c>
      <c r="OH25" s="16">
        <v>44255</v>
      </c>
      <c r="OI25">
        <v>58438</v>
      </c>
      <c r="OJ25">
        <v>421</v>
      </c>
      <c r="OK25" s="16">
        <v>44256</v>
      </c>
      <c r="OL25">
        <v>59307</v>
      </c>
      <c r="OM25">
        <v>868</v>
      </c>
      <c r="ON25" s="16">
        <v>44257</v>
      </c>
      <c r="OO25">
        <v>60062</v>
      </c>
      <c r="OP25">
        <v>754</v>
      </c>
      <c r="OQ25" s="16">
        <v>44258</v>
      </c>
      <c r="OR25">
        <v>60806</v>
      </c>
      <c r="OS25">
        <v>739</v>
      </c>
      <c r="OT25" s="16">
        <v>44259</v>
      </c>
      <c r="OU25">
        <v>61433</v>
      </c>
      <c r="OV25">
        <v>628</v>
      </c>
      <c r="OW25" s="16">
        <v>44260</v>
      </c>
      <c r="OX25">
        <v>62029</v>
      </c>
      <c r="OY25">
        <v>600</v>
      </c>
      <c r="OZ25" s="16">
        <v>44261</v>
      </c>
      <c r="PA25">
        <v>62465</v>
      </c>
      <c r="PB25">
        <v>434</v>
      </c>
      <c r="PC25" s="16">
        <v>44262</v>
      </c>
      <c r="PD25">
        <v>62860</v>
      </c>
      <c r="PE25">
        <v>391</v>
      </c>
      <c r="PF25" s="16">
        <v>44263</v>
      </c>
      <c r="PG25">
        <v>63688</v>
      </c>
      <c r="PH25">
        <v>828</v>
      </c>
      <c r="PI25" s="16">
        <v>44264</v>
      </c>
      <c r="PJ25">
        <v>64440</v>
      </c>
      <c r="PK25">
        <v>746</v>
      </c>
      <c r="PL25" s="16">
        <v>44265</v>
      </c>
      <c r="PM25">
        <v>65268</v>
      </c>
      <c r="PN25">
        <v>799</v>
      </c>
      <c r="PO25" s="16">
        <v>44266</v>
      </c>
      <c r="PP25">
        <v>66050</v>
      </c>
      <c r="PQ25">
        <v>769</v>
      </c>
      <c r="PR25" s="16">
        <v>44267</v>
      </c>
      <c r="PS25">
        <v>66839</v>
      </c>
      <c r="PT25">
        <v>789</v>
      </c>
      <c r="PU25" s="16">
        <v>44268</v>
      </c>
      <c r="PV25">
        <v>67329</v>
      </c>
      <c r="PW25">
        <v>489</v>
      </c>
      <c r="PX25" s="16">
        <v>44269</v>
      </c>
      <c r="PY25">
        <v>67830</v>
      </c>
      <c r="PZ25">
        <v>435</v>
      </c>
      <c r="QA25" s="16">
        <v>44270</v>
      </c>
      <c r="QB25">
        <v>68724</v>
      </c>
      <c r="QC25">
        <v>889</v>
      </c>
      <c r="QD25" s="16">
        <v>44271</v>
      </c>
      <c r="QE25">
        <v>69493</v>
      </c>
      <c r="QF25">
        <v>765</v>
      </c>
      <c r="QG25" s="16">
        <v>44272</v>
      </c>
      <c r="QH25">
        <v>70228</v>
      </c>
      <c r="QI25">
        <v>737</v>
      </c>
      <c r="QJ25" s="16">
        <v>44273</v>
      </c>
      <c r="QK25">
        <v>70973</v>
      </c>
      <c r="QL25">
        <v>735</v>
      </c>
      <c r="QM25" s="16">
        <v>44274</v>
      </c>
      <c r="QN25">
        <v>71713</v>
      </c>
      <c r="QO25">
        <v>741</v>
      </c>
      <c r="QP25" s="16">
        <v>44275</v>
      </c>
      <c r="QQ25">
        <v>72113</v>
      </c>
      <c r="QR25">
        <v>399</v>
      </c>
      <c r="QS25" s="16">
        <v>44276</v>
      </c>
      <c r="QT25">
        <v>72541</v>
      </c>
      <c r="QU25">
        <v>418</v>
      </c>
      <c r="QV25" s="16">
        <v>44277</v>
      </c>
      <c r="QW25">
        <v>73304</v>
      </c>
      <c r="QX25">
        <v>763</v>
      </c>
      <c r="QY25" s="16">
        <v>44278</v>
      </c>
      <c r="QZ25">
        <v>74003</v>
      </c>
      <c r="RA25">
        <v>698</v>
      </c>
      <c r="RB25" s="16">
        <v>44279</v>
      </c>
      <c r="RC25">
        <v>74704</v>
      </c>
      <c r="RD25">
        <v>699</v>
      </c>
      <c r="RE25" s="16">
        <v>44280</v>
      </c>
      <c r="RF25">
        <v>75308</v>
      </c>
      <c r="RG25">
        <v>607</v>
      </c>
      <c r="RH25" s="16">
        <v>44281</v>
      </c>
      <c r="RI25">
        <v>75988</v>
      </c>
      <c r="RJ25">
        <v>682</v>
      </c>
      <c r="RK25" s="16">
        <v>44282</v>
      </c>
      <c r="RL25">
        <v>76336</v>
      </c>
      <c r="RM25">
        <v>350</v>
      </c>
      <c r="RN25" s="16">
        <v>44284</v>
      </c>
      <c r="RO25">
        <v>77355</v>
      </c>
      <c r="RP25">
        <v>648</v>
      </c>
      <c r="RQ25" s="16">
        <v>44285</v>
      </c>
      <c r="RR25">
        <v>77926</v>
      </c>
      <c r="RS25">
        <v>565</v>
      </c>
      <c r="RT25">
        <v>44286</v>
      </c>
      <c r="RU25">
        <v>78477</v>
      </c>
      <c r="RV25">
        <v>548</v>
      </c>
      <c r="RW25">
        <v>44287</v>
      </c>
      <c r="RX25">
        <v>78966</v>
      </c>
      <c r="RY25">
        <v>487</v>
      </c>
      <c r="RZ25">
        <v>44288</v>
      </c>
      <c r="SA25">
        <v>79328</v>
      </c>
      <c r="SB25">
        <v>361</v>
      </c>
      <c r="SC25">
        <v>44289</v>
      </c>
      <c r="SD25">
        <v>79644</v>
      </c>
      <c r="SE25">
        <v>315</v>
      </c>
      <c r="SF25">
        <v>44290</v>
      </c>
      <c r="SG25">
        <v>79966</v>
      </c>
      <c r="SH25">
        <v>321</v>
      </c>
      <c r="SI25">
        <v>44291</v>
      </c>
      <c r="SJ25">
        <v>80325</v>
      </c>
      <c r="SK25">
        <v>360</v>
      </c>
      <c r="SL25">
        <v>44293</v>
      </c>
      <c r="SM25">
        <v>81288</v>
      </c>
      <c r="SN25">
        <v>427</v>
      </c>
      <c r="SO25">
        <v>44294</v>
      </c>
      <c r="SP25">
        <v>81707</v>
      </c>
      <c r="SQ25">
        <v>400</v>
      </c>
      <c r="SR25">
        <v>44295</v>
      </c>
      <c r="SS25">
        <v>82060</v>
      </c>
      <c r="ST25">
        <v>346</v>
      </c>
      <c r="SU25">
        <v>44296</v>
      </c>
      <c r="SV25">
        <v>82288</v>
      </c>
      <c r="SW25">
        <v>227</v>
      </c>
      <c r="SX25">
        <v>44298</v>
      </c>
      <c r="SY25">
        <v>82929</v>
      </c>
      <c r="SZ25">
        <v>399</v>
      </c>
      <c r="TA25">
        <v>44299</v>
      </c>
      <c r="TB25">
        <v>83257</v>
      </c>
      <c r="TC25">
        <v>325</v>
      </c>
      <c r="TD25">
        <v>44301</v>
      </c>
      <c r="TE25">
        <v>83877</v>
      </c>
      <c r="TF25">
        <v>273</v>
      </c>
      <c r="TG25">
        <v>44302</v>
      </c>
      <c r="TH25">
        <v>84145</v>
      </c>
      <c r="TI25">
        <v>264</v>
      </c>
      <c r="TJ25">
        <v>44303</v>
      </c>
      <c r="TK25">
        <v>84316</v>
      </c>
      <c r="TL25">
        <v>169</v>
      </c>
      <c r="TM25">
        <v>44304</v>
      </c>
      <c r="TN25">
        <v>84473</v>
      </c>
      <c r="TO25">
        <v>156</v>
      </c>
      <c r="TP25">
        <v>44306</v>
      </c>
      <c r="TQ25">
        <v>85046</v>
      </c>
      <c r="TR25">
        <v>286</v>
      </c>
      <c r="TS25">
        <v>44307</v>
      </c>
      <c r="TT25">
        <v>85293</v>
      </c>
      <c r="TU25">
        <v>243</v>
      </c>
      <c r="TV25">
        <v>44307</v>
      </c>
      <c r="TW25">
        <v>85299</v>
      </c>
      <c r="TX25">
        <v>243</v>
      </c>
      <c r="TY25">
        <v>44308</v>
      </c>
      <c r="TZ25">
        <v>85558</v>
      </c>
      <c r="UA25">
        <v>260</v>
      </c>
      <c r="UB25">
        <v>44310</v>
      </c>
      <c r="UC25">
        <v>85966</v>
      </c>
      <c r="UD25">
        <v>152</v>
      </c>
      <c r="UE25">
        <v>44310</v>
      </c>
      <c r="UF25">
        <v>85965</v>
      </c>
      <c r="UG25">
        <v>152</v>
      </c>
      <c r="UH25">
        <v>44311</v>
      </c>
      <c r="UI25">
        <v>86111</v>
      </c>
      <c r="UJ25">
        <v>142</v>
      </c>
      <c r="UK25">
        <v>44312</v>
      </c>
      <c r="UL25">
        <v>86356</v>
      </c>
      <c r="UM25">
        <v>242</v>
      </c>
      <c r="UN25">
        <v>44316</v>
      </c>
      <c r="UO25">
        <v>87260</v>
      </c>
      <c r="UP25">
        <v>198</v>
      </c>
      <c r="UQ25">
        <v>44317</v>
      </c>
      <c r="UR25">
        <v>87368</v>
      </c>
      <c r="US25">
        <v>105</v>
      </c>
      <c r="UT25">
        <v>44318</v>
      </c>
      <c r="UU25">
        <v>87500</v>
      </c>
      <c r="UV25">
        <v>136</v>
      </c>
      <c r="UW25">
        <v>44319</v>
      </c>
      <c r="UX25">
        <v>87818</v>
      </c>
      <c r="UY25">
        <v>319</v>
      </c>
      <c r="UZ25">
        <v>44321</v>
      </c>
      <c r="VA25">
        <v>88293</v>
      </c>
      <c r="VB25">
        <v>270</v>
      </c>
      <c r="VC25">
        <v>44321</v>
      </c>
      <c r="VD25">
        <v>88288</v>
      </c>
      <c r="VE25">
        <v>270</v>
      </c>
      <c r="VF25">
        <v>44322</v>
      </c>
      <c r="VG25">
        <v>88529</v>
      </c>
      <c r="VH25">
        <v>238</v>
      </c>
      <c r="VI25">
        <v>44324</v>
      </c>
      <c r="VJ25">
        <v>88872</v>
      </c>
      <c r="VK25">
        <v>130</v>
      </c>
      <c r="VL25">
        <v>44324</v>
      </c>
      <c r="VM25">
        <v>88868</v>
      </c>
      <c r="VN25">
        <v>130</v>
      </c>
      <c r="VO25">
        <v>44325</v>
      </c>
      <c r="VP25">
        <v>88991</v>
      </c>
      <c r="VQ25">
        <v>129</v>
      </c>
      <c r="VR25">
        <v>44326</v>
      </c>
      <c r="VS25">
        <v>89246</v>
      </c>
      <c r="VT25">
        <v>255</v>
      </c>
      <c r="VU25">
        <v>44328</v>
      </c>
      <c r="VV25">
        <v>89723</v>
      </c>
      <c r="VW25">
        <v>255</v>
      </c>
      <c r="VX25">
        <v>44328</v>
      </c>
      <c r="VY25">
        <v>89725</v>
      </c>
      <c r="VZ25">
        <v>255</v>
      </c>
      <c r="WA25">
        <v>44329</v>
      </c>
      <c r="WB25">
        <v>89884</v>
      </c>
      <c r="WC25">
        <v>155</v>
      </c>
      <c r="WD25">
        <v>44330</v>
      </c>
      <c r="WE25">
        <v>90127</v>
      </c>
      <c r="WF25">
        <v>244</v>
      </c>
      <c r="WG25">
        <v>44331</v>
      </c>
      <c r="WH25">
        <v>90286</v>
      </c>
      <c r="WI25">
        <v>158</v>
      </c>
      <c r="WJ25">
        <v>44333</v>
      </c>
      <c r="WK25">
        <v>90700</v>
      </c>
      <c r="WL25">
        <v>282</v>
      </c>
      <c r="WM25">
        <v>44333</v>
      </c>
      <c r="WN25">
        <v>90704</v>
      </c>
      <c r="WO25">
        <v>283</v>
      </c>
      <c r="WP25">
        <v>44336</v>
      </c>
      <c r="WQ25">
        <v>91367</v>
      </c>
      <c r="WR25">
        <v>214</v>
      </c>
      <c r="WS25">
        <v>44337</v>
      </c>
      <c r="WT25">
        <v>91539</v>
      </c>
      <c r="WU25">
        <v>168</v>
      </c>
      <c r="WV25">
        <v>44338</v>
      </c>
      <c r="WW25">
        <v>91649</v>
      </c>
      <c r="WX25">
        <v>106</v>
      </c>
      <c r="WY25">
        <v>44339</v>
      </c>
      <c r="WZ25">
        <v>91745</v>
      </c>
      <c r="XA25">
        <v>92</v>
      </c>
      <c r="XB25">
        <v>44340</v>
      </c>
      <c r="XC25">
        <v>91933</v>
      </c>
      <c r="XD25">
        <v>189</v>
      </c>
      <c r="XE25">
        <v>44342</v>
      </c>
      <c r="XF25">
        <v>92227</v>
      </c>
      <c r="XG25">
        <v>142</v>
      </c>
      <c r="XH25">
        <v>44342</v>
      </c>
      <c r="XI25">
        <v>92233</v>
      </c>
      <c r="XJ25">
        <v>142</v>
      </c>
      <c r="XK25">
        <v>44343</v>
      </c>
      <c r="XL25">
        <v>92360</v>
      </c>
      <c r="XM25">
        <v>126</v>
      </c>
      <c r="XN25">
        <v>44344</v>
      </c>
      <c r="XO25">
        <v>92498</v>
      </c>
      <c r="XP25">
        <v>136</v>
      </c>
      <c r="XQ25">
        <v>44345</v>
      </c>
      <c r="XR25">
        <v>92564</v>
      </c>
      <c r="XS25">
        <v>65</v>
      </c>
      <c r="XT25">
        <v>44346</v>
      </c>
      <c r="XU25">
        <v>92644</v>
      </c>
      <c r="XV25">
        <v>78</v>
      </c>
      <c r="XW25">
        <v>44347</v>
      </c>
      <c r="XX25">
        <v>92792</v>
      </c>
      <c r="XY25">
        <v>144</v>
      </c>
      <c r="XZ25">
        <v>44348</v>
      </c>
      <c r="YA25">
        <v>92915</v>
      </c>
      <c r="YB25">
        <v>122</v>
      </c>
      <c r="YC25">
        <v>44350</v>
      </c>
      <c r="YD25">
        <v>93146</v>
      </c>
      <c r="YE25">
        <v>110</v>
      </c>
      <c r="YF25">
        <v>44351</v>
      </c>
      <c r="YG25">
        <v>93246</v>
      </c>
      <c r="YH25">
        <v>99</v>
      </c>
      <c r="YI25">
        <v>44352</v>
      </c>
      <c r="YJ25">
        <v>93314</v>
      </c>
      <c r="YK25">
        <v>65</v>
      </c>
      <c r="YL25">
        <v>44353</v>
      </c>
      <c r="YM25">
        <v>93374</v>
      </c>
      <c r="YN25">
        <v>61</v>
      </c>
      <c r="YO25">
        <v>44354</v>
      </c>
      <c r="YP25">
        <v>93513</v>
      </c>
      <c r="YQ25">
        <v>137</v>
      </c>
      <c r="YR25">
        <v>44355</v>
      </c>
      <c r="YS25">
        <v>93618</v>
      </c>
      <c r="YT25">
        <v>102</v>
      </c>
      <c r="YU25">
        <v>44356</v>
      </c>
      <c r="YV25">
        <v>93708</v>
      </c>
      <c r="YW25">
        <v>82</v>
      </c>
    </row>
    <row r="26" spans="2:673">
      <c r="B26" t="str">
        <f t="shared" ca="1" si="2"/>
        <v>10.6</v>
      </c>
      <c r="C26" s="4">
        <f t="shared" ca="1" si="0"/>
        <v>44357</v>
      </c>
      <c r="D26" s="11">
        <f t="shared" ca="1" si="1"/>
        <v>93782</v>
      </c>
      <c r="E26">
        <f t="shared" ca="1" si="3"/>
        <v>76</v>
      </c>
      <c r="F26" s="11">
        <f t="shared" ca="1" si="4"/>
        <v>-2</v>
      </c>
      <c r="G26" s="11">
        <f t="shared" ca="1" si="5"/>
        <v>78</v>
      </c>
      <c r="L26" s="3"/>
      <c r="N26" s="16">
        <v>44357</v>
      </c>
      <c r="O26">
        <v>93786</v>
      </c>
      <c r="P26">
        <v>78</v>
      </c>
      <c r="Q26" s="16">
        <v>44357</v>
      </c>
      <c r="R26">
        <v>93786</v>
      </c>
      <c r="S26">
        <v>78</v>
      </c>
      <c r="T26" s="16">
        <v>44104</v>
      </c>
      <c r="U26">
        <v>10371</v>
      </c>
      <c r="V26">
        <v>166</v>
      </c>
      <c r="W26" s="16">
        <v>44105</v>
      </c>
      <c r="X26">
        <v>10560</v>
      </c>
      <c r="Y26">
        <v>188</v>
      </c>
      <c r="Z26" s="16">
        <v>44106</v>
      </c>
      <c r="AA26">
        <v>10761</v>
      </c>
      <c r="AB26">
        <v>192</v>
      </c>
      <c r="AC26" s="16">
        <v>44107</v>
      </c>
      <c r="AD26">
        <v>10935</v>
      </c>
      <c r="AE26">
        <v>177</v>
      </c>
      <c r="AF26" s="16">
        <v>44108</v>
      </c>
      <c r="AG26">
        <v>11077</v>
      </c>
      <c r="AH26">
        <v>147</v>
      </c>
      <c r="AI26" s="16">
        <v>44109</v>
      </c>
      <c r="AJ26">
        <v>11356</v>
      </c>
      <c r="AK26">
        <v>276</v>
      </c>
      <c r="AL26" s="16">
        <v>44110</v>
      </c>
      <c r="AM26">
        <v>11652</v>
      </c>
      <c r="AN26">
        <v>300</v>
      </c>
      <c r="AO26" s="16">
        <v>44111</v>
      </c>
      <c r="AP26">
        <v>11956</v>
      </c>
      <c r="AQ26">
        <v>303</v>
      </c>
      <c r="AR26" s="16">
        <v>44112</v>
      </c>
      <c r="AS26">
        <v>12217</v>
      </c>
      <c r="AT26">
        <v>259</v>
      </c>
      <c r="AU26" s="16">
        <v>44113</v>
      </c>
      <c r="AV26">
        <v>12445</v>
      </c>
      <c r="AW26">
        <v>228</v>
      </c>
      <c r="AX26" s="16">
        <v>44114</v>
      </c>
      <c r="AY26">
        <v>12555</v>
      </c>
      <c r="AZ26">
        <v>112</v>
      </c>
      <c r="BA26" s="16">
        <v>44115</v>
      </c>
      <c r="BB26">
        <v>12685</v>
      </c>
      <c r="BC26">
        <v>130</v>
      </c>
      <c r="BD26" s="16">
        <v>44116</v>
      </c>
      <c r="BE26">
        <v>12929</v>
      </c>
      <c r="BF26">
        <v>238</v>
      </c>
      <c r="BG26" s="16">
        <v>44117</v>
      </c>
      <c r="BH26">
        <v>13128</v>
      </c>
      <c r="BI26">
        <v>197</v>
      </c>
      <c r="BJ26" s="16">
        <v>44118</v>
      </c>
      <c r="BK26">
        <v>13332</v>
      </c>
      <c r="BL26">
        <v>201</v>
      </c>
      <c r="BM26" s="16">
        <v>44119</v>
      </c>
      <c r="BN26">
        <v>13520</v>
      </c>
      <c r="BO26">
        <v>188</v>
      </c>
      <c r="BP26" s="16">
        <v>44120</v>
      </c>
      <c r="BQ26">
        <v>13716</v>
      </c>
      <c r="BR26">
        <v>193</v>
      </c>
      <c r="BS26" s="16">
        <v>44121</v>
      </c>
      <c r="BT26">
        <v>13814</v>
      </c>
      <c r="BU26">
        <v>100</v>
      </c>
      <c r="BV26" s="16">
        <v>44123</v>
      </c>
      <c r="BW26">
        <v>14187</v>
      </c>
      <c r="BX26">
        <v>242</v>
      </c>
      <c r="BY26" s="16">
        <v>44124</v>
      </c>
      <c r="BZ26">
        <v>14342</v>
      </c>
      <c r="CA26">
        <v>159</v>
      </c>
      <c r="CB26" s="16">
        <v>44125</v>
      </c>
      <c r="CC26">
        <v>14538</v>
      </c>
      <c r="CD26">
        <v>190</v>
      </c>
      <c r="CE26" s="16">
        <v>44126</v>
      </c>
      <c r="CF26">
        <v>14760</v>
      </c>
      <c r="CG26">
        <v>212</v>
      </c>
      <c r="CH26" s="16">
        <v>44127</v>
      </c>
      <c r="CI26">
        <v>14954</v>
      </c>
      <c r="CJ26">
        <v>192</v>
      </c>
      <c r="CK26" s="16">
        <v>44128</v>
      </c>
      <c r="CL26">
        <v>15061</v>
      </c>
      <c r="CM26">
        <v>107</v>
      </c>
      <c r="CN26" s="16">
        <v>44129</v>
      </c>
      <c r="CO26">
        <v>15184</v>
      </c>
      <c r="CP26">
        <v>123</v>
      </c>
      <c r="CQ26" s="16">
        <v>44130</v>
      </c>
      <c r="CR26">
        <v>15438</v>
      </c>
      <c r="CS26">
        <v>254</v>
      </c>
      <c r="CT26" s="16">
        <v>44131</v>
      </c>
      <c r="CU26">
        <v>15672</v>
      </c>
      <c r="CV26">
        <v>229</v>
      </c>
      <c r="CW26" s="16">
        <v>44132</v>
      </c>
      <c r="CX26">
        <v>15919</v>
      </c>
      <c r="CY26">
        <v>241</v>
      </c>
      <c r="CZ26" s="16">
        <v>44134</v>
      </c>
      <c r="DA26">
        <v>16369</v>
      </c>
      <c r="DB26">
        <v>215</v>
      </c>
      <c r="DC26" s="16">
        <v>44135</v>
      </c>
      <c r="DD26">
        <v>16490</v>
      </c>
      <c r="DE26">
        <v>121</v>
      </c>
      <c r="DF26" s="16">
        <v>44136</v>
      </c>
      <c r="DG26">
        <v>16642</v>
      </c>
      <c r="DH26">
        <v>150</v>
      </c>
      <c r="DI26" s="16">
        <v>44137</v>
      </c>
      <c r="DJ26">
        <v>16925</v>
      </c>
      <c r="DK26">
        <v>281</v>
      </c>
      <c r="DL26" s="16">
        <v>44138</v>
      </c>
      <c r="DM26">
        <v>17170</v>
      </c>
      <c r="DN26">
        <v>239</v>
      </c>
      <c r="DO26" s="16">
        <v>44139</v>
      </c>
      <c r="DP26">
        <v>17377</v>
      </c>
      <c r="DQ26">
        <v>206</v>
      </c>
      <c r="DR26" s="16">
        <v>44140</v>
      </c>
      <c r="DS26">
        <v>17601</v>
      </c>
      <c r="DT26">
        <v>221</v>
      </c>
      <c r="DU26" s="16">
        <v>44141</v>
      </c>
      <c r="DV26">
        <v>17797</v>
      </c>
      <c r="DW26">
        <v>194</v>
      </c>
      <c r="DX26" s="16">
        <v>44142</v>
      </c>
      <c r="DY26">
        <v>17926</v>
      </c>
      <c r="DZ26">
        <v>129</v>
      </c>
      <c r="EA26" s="16">
        <v>44143</v>
      </c>
      <c r="EB26">
        <v>18060</v>
      </c>
      <c r="EC26">
        <v>134</v>
      </c>
      <c r="ED26" s="16">
        <v>44144</v>
      </c>
      <c r="EE26">
        <v>18331</v>
      </c>
      <c r="EF26">
        <v>276</v>
      </c>
      <c r="EG26" s="16">
        <v>44145</v>
      </c>
      <c r="EH26">
        <v>18549</v>
      </c>
      <c r="EI26">
        <v>214</v>
      </c>
      <c r="EJ26" s="16">
        <v>44146</v>
      </c>
      <c r="EK26">
        <v>18840</v>
      </c>
      <c r="EL26">
        <v>289</v>
      </c>
      <c r="EM26" s="16">
        <v>44147</v>
      </c>
      <c r="EN26">
        <v>19110</v>
      </c>
      <c r="EO26">
        <v>270</v>
      </c>
      <c r="EP26" s="16">
        <v>44148</v>
      </c>
      <c r="EQ26">
        <v>19362</v>
      </c>
      <c r="ER26">
        <v>261</v>
      </c>
      <c r="ES26" s="16">
        <v>44149</v>
      </c>
      <c r="ET26">
        <v>19510</v>
      </c>
      <c r="EU26">
        <v>145</v>
      </c>
      <c r="EV26" s="16">
        <v>44150</v>
      </c>
      <c r="EW26">
        <v>19688</v>
      </c>
      <c r="EX26">
        <v>181</v>
      </c>
      <c r="EY26" s="16">
        <v>44151</v>
      </c>
      <c r="EZ26">
        <v>20082</v>
      </c>
      <c r="FA26">
        <v>393</v>
      </c>
      <c r="FB26" s="16">
        <v>44152</v>
      </c>
      <c r="FC26">
        <v>20478</v>
      </c>
      <c r="FD26">
        <v>394</v>
      </c>
      <c r="FE26" s="16">
        <v>44153</v>
      </c>
      <c r="FF26">
        <v>20784</v>
      </c>
      <c r="FG26">
        <v>369</v>
      </c>
      <c r="FH26" s="16">
        <v>44154</v>
      </c>
      <c r="FI26">
        <v>21336</v>
      </c>
      <c r="FJ26">
        <v>478</v>
      </c>
      <c r="FK26" s="16">
        <v>44155</v>
      </c>
      <c r="FL26">
        <v>21782</v>
      </c>
      <c r="FM26">
        <v>427</v>
      </c>
      <c r="FN26" s="16">
        <v>44156</v>
      </c>
      <c r="FO26">
        <v>22054</v>
      </c>
      <c r="FP26">
        <v>270</v>
      </c>
      <c r="FQ26" s="16">
        <v>44157</v>
      </c>
      <c r="FR26">
        <v>22318</v>
      </c>
      <c r="FS26">
        <v>264</v>
      </c>
      <c r="FT26" s="16">
        <v>44158</v>
      </c>
      <c r="FU26">
        <v>22824</v>
      </c>
      <c r="FV26">
        <v>490</v>
      </c>
      <c r="FW26" s="16">
        <v>44159</v>
      </c>
      <c r="FX26">
        <v>23290</v>
      </c>
      <c r="FY26">
        <v>462</v>
      </c>
      <c r="FZ26" s="16">
        <v>44160</v>
      </c>
      <c r="GA26">
        <v>23894</v>
      </c>
      <c r="GB26">
        <v>600</v>
      </c>
      <c r="GC26" s="16">
        <v>44161</v>
      </c>
      <c r="GD26">
        <v>24398</v>
      </c>
      <c r="GE26">
        <v>508</v>
      </c>
      <c r="GF26" s="16">
        <v>44162</v>
      </c>
      <c r="GG26">
        <v>24862</v>
      </c>
      <c r="GH26">
        <v>461</v>
      </c>
      <c r="GI26" s="16">
        <v>44163</v>
      </c>
      <c r="GJ26">
        <v>25154</v>
      </c>
      <c r="GK26">
        <v>290</v>
      </c>
      <c r="GL26" s="16">
        <v>44164</v>
      </c>
      <c r="GM26">
        <v>25436</v>
      </c>
      <c r="GN26">
        <v>280</v>
      </c>
      <c r="GO26" s="16">
        <v>44165</v>
      </c>
      <c r="GP26">
        <v>25994</v>
      </c>
      <c r="GQ26">
        <v>551</v>
      </c>
      <c r="GR26" s="16">
        <v>44166</v>
      </c>
      <c r="GS26">
        <v>26397</v>
      </c>
      <c r="GT26">
        <v>394</v>
      </c>
      <c r="GU26" s="16">
        <v>44167</v>
      </c>
      <c r="GV26">
        <v>27006</v>
      </c>
      <c r="GW26">
        <v>495</v>
      </c>
      <c r="GX26" s="16">
        <v>44168</v>
      </c>
      <c r="GY26">
        <v>27489</v>
      </c>
      <c r="GZ26">
        <v>474</v>
      </c>
      <c r="HA26" s="16">
        <v>44169</v>
      </c>
      <c r="HB26">
        <v>27967</v>
      </c>
      <c r="HC26">
        <v>475</v>
      </c>
      <c r="HD26" s="16">
        <v>44170</v>
      </c>
      <c r="HE26">
        <v>28222</v>
      </c>
      <c r="HF26">
        <v>254</v>
      </c>
      <c r="HG26" s="16">
        <v>44171</v>
      </c>
      <c r="HH26">
        <v>28487</v>
      </c>
      <c r="HI26">
        <v>280</v>
      </c>
      <c r="HJ26" s="16">
        <v>44172</v>
      </c>
      <c r="HK26">
        <v>29072</v>
      </c>
      <c r="HL26">
        <v>588</v>
      </c>
      <c r="HM26" s="16">
        <v>44173</v>
      </c>
      <c r="HN26">
        <v>29546</v>
      </c>
      <c r="HO26">
        <v>477</v>
      </c>
      <c r="HP26" s="16">
        <v>44174</v>
      </c>
      <c r="HQ26">
        <v>30017</v>
      </c>
      <c r="HR26">
        <v>462</v>
      </c>
      <c r="HS26" s="16">
        <v>44175</v>
      </c>
      <c r="HT26">
        <v>30419</v>
      </c>
      <c r="HU26">
        <v>408</v>
      </c>
      <c r="HV26" s="16">
        <v>44176</v>
      </c>
      <c r="HW26">
        <v>30867</v>
      </c>
      <c r="HX26">
        <v>445</v>
      </c>
      <c r="HY26" s="16">
        <v>44177</v>
      </c>
      <c r="HZ26">
        <v>31115</v>
      </c>
      <c r="IA26">
        <v>250</v>
      </c>
      <c r="IB26" s="16">
        <v>44178</v>
      </c>
      <c r="IC26">
        <v>31386</v>
      </c>
      <c r="ID26">
        <v>273</v>
      </c>
      <c r="IE26" s="16">
        <v>44179</v>
      </c>
      <c r="IF26">
        <v>31850</v>
      </c>
      <c r="IG26">
        <v>461</v>
      </c>
      <c r="IH26" s="16">
        <v>44180</v>
      </c>
      <c r="II26">
        <v>32207</v>
      </c>
      <c r="IJ26">
        <v>358</v>
      </c>
      <c r="IK26" s="16">
        <v>44181</v>
      </c>
      <c r="IL26">
        <v>32558</v>
      </c>
      <c r="IM26">
        <v>348</v>
      </c>
      <c r="IN26" s="16">
        <v>44182</v>
      </c>
      <c r="IO26">
        <v>32878</v>
      </c>
      <c r="IP26">
        <v>321</v>
      </c>
      <c r="IQ26" s="16">
        <v>44183</v>
      </c>
      <c r="IR26">
        <v>33271</v>
      </c>
      <c r="IS26">
        <v>396</v>
      </c>
      <c r="IT26" s="16">
        <v>44184</v>
      </c>
      <c r="IU26">
        <v>33459</v>
      </c>
      <c r="IV26">
        <v>189</v>
      </c>
      <c r="IW26" s="16">
        <v>44185</v>
      </c>
      <c r="IX26">
        <v>33706</v>
      </c>
      <c r="IY26">
        <v>245</v>
      </c>
      <c r="IZ26" s="16">
        <v>44186</v>
      </c>
      <c r="JA26">
        <v>34081</v>
      </c>
      <c r="JB26">
        <v>372</v>
      </c>
      <c r="JC26" s="16">
        <v>44190</v>
      </c>
      <c r="JD26">
        <v>34991</v>
      </c>
      <c r="JE26">
        <v>155</v>
      </c>
      <c r="JF26" s="16">
        <v>44194</v>
      </c>
      <c r="JG26">
        <v>36093</v>
      </c>
      <c r="JH26">
        <v>299</v>
      </c>
      <c r="JI26" s="16">
        <v>44195</v>
      </c>
      <c r="JJ26">
        <v>36401</v>
      </c>
      <c r="JK26">
        <v>255</v>
      </c>
      <c r="JL26" s="16">
        <v>44196</v>
      </c>
      <c r="JM26">
        <v>36651</v>
      </c>
      <c r="JN26">
        <v>253</v>
      </c>
      <c r="JO26" s="16">
        <v>44197</v>
      </c>
      <c r="JP26">
        <v>36767</v>
      </c>
      <c r="JQ26">
        <v>129</v>
      </c>
      <c r="JR26" s="16">
        <v>44199</v>
      </c>
      <c r="JS26">
        <v>37148</v>
      </c>
      <c r="JT26">
        <v>171</v>
      </c>
      <c r="JU26" s="16">
        <v>44199</v>
      </c>
      <c r="JV26">
        <v>37149</v>
      </c>
      <c r="JW26">
        <v>171</v>
      </c>
      <c r="JX26" s="16">
        <v>44201</v>
      </c>
      <c r="JY26">
        <v>37799</v>
      </c>
      <c r="JZ26">
        <v>260</v>
      </c>
      <c r="KA26" s="16">
        <v>44213</v>
      </c>
      <c r="KB26">
        <v>39593</v>
      </c>
      <c r="KC26">
        <v>0</v>
      </c>
      <c r="KD26" s="16">
        <v>44213</v>
      </c>
      <c r="KE26">
        <v>40734</v>
      </c>
      <c r="KF26">
        <v>197</v>
      </c>
      <c r="KG26" s="16">
        <v>44214</v>
      </c>
      <c r="KH26">
        <v>41169</v>
      </c>
      <c r="KI26">
        <v>447</v>
      </c>
      <c r="KJ26" s="16">
        <v>44216</v>
      </c>
      <c r="KK26">
        <v>41909</v>
      </c>
      <c r="KL26">
        <v>397</v>
      </c>
      <c r="KM26" s="16">
        <v>44217</v>
      </c>
      <c r="KN26">
        <v>42291</v>
      </c>
      <c r="KO26">
        <v>377</v>
      </c>
      <c r="KP26" s="16">
        <v>44221</v>
      </c>
      <c r="KQ26">
        <v>43664</v>
      </c>
      <c r="KR26">
        <v>604</v>
      </c>
      <c r="KS26" s="16">
        <v>44222</v>
      </c>
      <c r="KT26">
        <v>44071</v>
      </c>
      <c r="KU26">
        <v>402</v>
      </c>
      <c r="KV26" s="16">
        <v>44223</v>
      </c>
      <c r="KW26">
        <v>44455</v>
      </c>
      <c r="KX26">
        <v>382</v>
      </c>
      <c r="KY26" s="16">
        <v>44225</v>
      </c>
      <c r="KZ26">
        <v>45276</v>
      </c>
      <c r="LA26">
        <v>383</v>
      </c>
      <c r="LB26" s="16">
        <v>44226</v>
      </c>
      <c r="LC26">
        <v>45513</v>
      </c>
      <c r="LD26">
        <v>230</v>
      </c>
      <c r="LE26" s="16">
        <v>44227</v>
      </c>
      <c r="LF26">
        <v>45785</v>
      </c>
      <c r="LG26">
        <v>275</v>
      </c>
      <c r="LH26" s="16">
        <v>44229</v>
      </c>
      <c r="LI26">
        <v>46670</v>
      </c>
      <c r="LJ26">
        <v>399</v>
      </c>
      <c r="LK26" s="16">
        <v>44229</v>
      </c>
      <c r="LL26">
        <v>46672</v>
      </c>
      <c r="LM26">
        <v>399</v>
      </c>
      <c r="LN26" s="16">
        <v>44231</v>
      </c>
      <c r="LO26">
        <v>47479</v>
      </c>
      <c r="LP26">
        <v>349</v>
      </c>
      <c r="LQ26" s="16">
        <v>44232</v>
      </c>
      <c r="LR26">
        <v>47863</v>
      </c>
      <c r="LS26">
        <v>364</v>
      </c>
      <c r="LT26" s="16">
        <v>44233</v>
      </c>
      <c r="LU26">
        <v>48107</v>
      </c>
      <c r="LV26">
        <v>240</v>
      </c>
      <c r="LW26" s="16">
        <v>44234</v>
      </c>
      <c r="LX26">
        <v>48383</v>
      </c>
      <c r="LY26">
        <v>262</v>
      </c>
      <c r="LZ26" s="16">
        <v>44235</v>
      </c>
      <c r="MA26">
        <v>48831</v>
      </c>
      <c r="MB26">
        <v>458</v>
      </c>
      <c r="MC26" s="16">
        <v>44236</v>
      </c>
      <c r="MD26">
        <v>49212</v>
      </c>
      <c r="ME26">
        <v>369</v>
      </c>
      <c r="MF26" s="16">
        <v>44238</v>
      </c>
      <c r="MG26">
        <v>49953</v>
      </c>
      <c r="MH26">
        <v>353</v>
      </c>
      <c r="MI26" s="16">
        <v>44238</v>
      </c>
      <c r="MJ26">
        <v>49954</v>
      </c>
      <c r="MK26">
        <v>352</v>
      </c>
      <c r="ML26" s="16">
        <v>44239</v>
      </c>
      <c r="MM26">
        <v>50361</v>
      </c>
      <c r="MN26">
        <v>412</v>
      </c>
      <c r="MO26" s="16">
        <v>44240</v>
      </c>
      <c r="MP26">
        <v>50635</v>
      </c>
      <c r="MQ26">
        <v>274</v>
      </c>
      <c r="MR26" s="16">
        <v>44241</v>
      </c>
      <c r="MS26">
        <v>50909</v>
      </c>
      <c r="MT26">
        <v>269</v>
      </c>
      <c r="MU26" s="16">
        <v>44242</v>
      </c>
      <c r="MV26">
        <v>51520</v>
      </c>
      <c r="MW26">
        <v>609</v>
      </c>
      <c r="MX26" s="16">
        <v>44243</v>
      </c>
      <c r="MY26">
        <v>52032</v>
      </c>
      <c r="MZ26">
        <v>501</v>
      </c>
      <c r="NA26" s="16">
        <v>44243</v>
      </c>
      <c r="NB26">
        <v>52040</v>
      </c>
      <c r="NC26">
        <v>502</v>
      </c>
      <c r="ND26" s="16">
        <v>44246</v>
      </c>
      <c r="NE26">
        <v>53759</v>
      </c>
      <c r="NF26">
        <v>564</v>
      </c>
      <c r="NG26" s="16">
        <v>44246</v>
      </c>
      <c r="NH26">
        <v>53757</v>
      </c>
      <c r="NI26">
        <v>563</v>
      </c>
      <c r="NJ26" s="16">
        <v>44248</v>
      </c>
      <c r="NK26">
        <v>54427</v>
      </c>
      <c r="NL26">
        <v>351</v>
      </c>
      <c r="NM26" s="16">
        <v>44248</v>
      </c>
      <c r="NN26">
        <v>54429</v>
      </c>
      <c r="NO26">
        <v>352</v>
      </c>
      <c r="NP26" s="16">
        <v>44250</v>
      </c>
      <c r="NQ26">
        <v>55656</v>
      </c>
      <c r="NR26">
        <v>606</v>
      </c>
      <c r="NS26" s="16">
        <v>44251</v>
      </c>
      <c r="NT26">
        <v>56300</v>
      </c>
      <c r="NU26">
        <v>602</v>
      </c>
      <c r="NV26" s="16">
        <v>44252</v>
      </c>
      <c r="NW26">
        <v>56920</v>
      </c>
      <c r="NX26">
        <v>616</v>
      </c>
      <c r="NY26" s="16">
        <v>44253</v>
      </c>
      <c r="NZ26">
        <v>57598</v>
      </c>
      <c r="OA26">
        <v>675</v>
      </c>
      <c r="OB26" s="16">
        <v>44254</v>
      </c>
      <c r="OC26">
        <v>58000</v>
      </c>
      <c r="OD26">
        <v>398</v>
      </c>
      <c r="OE26" s="16">
        <v>44255</v>
      </c>
      <c r="OF26">
        <v>58420</v>
      </c>
      <c r="OG26">
        <v>418</v>
      </c>
      <c r="OH26" s="16">
        <v>44256</v>
      </c>
      <c r="OI26">
        <v>59306</v>
      </c>
      <c r="OJ26">
        <v>868</v>
      </c>
      <c r="OK26" s="16">
        <v>44257</v>
      </c>
      <c r="OL26">
        <v>60061</v>
      </c>
      <c r="OM26">
        <v>754</v>
      </c>
      <c r="ON26" s="16">
        <v>44258</v>
      </c>
      <c r="OO26">
        <v>60799</v>
      </c>
      <c r="OP26">
        <v>737</v>
      </c>
      <c r="OQ26" s="16">
        <v>44259</v>
      </c>
      <c r="OR26">
        <v>61432</v>
      </c>
      <c r="OS26">
        <v>626</v>
      </c>
      <c r="OT26" s="16">
        <v>44260</v>
      </c>
      <c r="OU26">
        <v>62031</v>
      </c>
      <c r="OV26">
        <v>598</v>
      </c>
      <c r="OW26" s="16">
        <v>44261</v>
      </c>
      <c r="OX26">
        <v>62461</v>
      </c>
      <c r="OY26">
        <v>432</v>
      </c>
      <c r="OZ26" s="16">
        <v>44262</v>
      </c>
      <c r="PA26">
        <v>62854</v>
      </c>
      <c r="PB26">
        <v>389</v>
      </c>
      <c r="PC26" s="16">
        <v>44263</v>
      </c>
      <c r="PD26">
        <v>63688</v>
      </c>
      <c r="PE26">
        <v>828</v>
      </c>
      <c r="PF26" s="16">
        <v>44264</v>
      </c>
      <c r="PG26">
        <v>64431</v>
      </c>
      <c r="PH26">
        <v>743</v>
      </c>
      <c r="PI26" s="16">
        <v>44265</v>
      </c>
      <c r="PJ26">
        <v>65221</v>
      </c>
      <c r="PK26">
        <v>781</v>
      </c>
      <c r="PL26" s="16">
        <v>44266</v>
      </c>
      <c r="PM26">
        <v>66029</v>
      </c>
      <c r="PN26">
        <v>761</v>
      </c>
      <c r="PO26" s="16">
        <v>44267</v>
      </c>
      <c r="PP26">
        <v>66839</v>
      </c>
      <c r="PQ26">
        <v>789</v>
      </c>
      <c r="PR26" s="16">
        <v>44268</v>
      </c>
      <c r="PS26">
        <v>67329</v>
      </c>
      <c r="PT26">
        <v>490</v>
      </c>
      <c r="PU26" s="16">
        <v>44269</v>
      </c>
      <c r="PV26">
        <v>67755</v>
      </c>
      <c r="PW26">
        <v>426</v>
      </c>
      <c r="PX26" s="16">
        <v>44270</v>
      </c>
      <c r="PY26">
        <v>68717</v>
      </c>
      <c r="PZ26">
        <v>887</v>
      </c>
      <c r="QA26" s="16">
        <v>44271</v>
      </c>
      <c r="QB26">
        <v>69488</v>
      </c>
      <c r="QC26">
        <v>764</v>
      </c>
      <c r="QD26" s="16">
        <v>44272</v>
      </c>
      <c r="QE26">
        <v>70228</v>
      </c>
      <c r="QF26">
        <v>735</v>
      </c>
      <c r="QG26" s="16">
        <v>44273</v>
      </c>
      <c r="QH26">
        <v>70964</v>
      </c>
      <c r="QI26">
        <v>736</v>
      </c>
      <c r="QJ26" s="16">
        <v>44274</v>
      </c>
      <c r="QK26">
        <v>71713</v>
      </c>
      <c r="QL26">
        <v>740</v>
      </c>
      <c r="QM26" s="16">
        <v>44275</v>
      </c>
      <c r="QN26">
        <v>72112</v>
      </c>
      <c r="QO26">
        <v>399</v>
      </c>
      <c r="QP26" s="16">
        <v>44276</v>
      </c>
      <c r="QQ26">
        <v>72531</v>
      </c>
      <c r="QR26">
        <v>418</v>
      </c>
      <c r="QS26" s="16">
        <v>44277</v>
      </c>
      <c r="QT26">
        <v>73305</v>
      </c>
      <c r="QU26">
        <v>764</v>
      </c>
      <c r="QV26" s="16">
        <v>44278</v>
      </c>
      <c r="QW26">
        <v>74002</v>
      </c>
      <c r="QX26">
        <v>698</v>
      </c>
      <c r="QY26" s="16">
        <v>44279</v>
      </c>
      <c r="QZ26">
        <v>74702</v>
      </c>
      <c r="RA26">
        <v>699</v>
      </c>
      <c r="RB26" s="16">
        <v>44280</v>
      </c>
      <c r="RC26">
        <v>75311</v>
      </c>
      <c r="RD26">
        <v>607</v>
      </c>
      <c r="RE26" s="16">
        <v>44281</v>
      </c>
      <c r="RF26">
        <v>75990</v>
      </c>
      <c r="RG26">
        <v>682</v>
      </c>
      <c r="RH26" s="16">
        <v>44282</v>
      </c>
      <c r="RI26">
        <v>76338</v>
      </c>
      <c r="RJ26">
        <v>350</v>
      </c>
      <c r="RK26" s="16">
        <v>44283</v>
      </c>
      <c r="RL26">
        <v>76708</v>
      </c>
      <c r="RM26">
        <v>372</v>
      </c>
      <c r="RN26" s="16">
        <v>44285</v>
      </c>
      <c r="RO26">
        <v>77921</v>
      </c>
      <c r="RP26">
        <v>566</v>
      </c>
      <c r="RQ26" s="16">
        <v>44286</v>
      </c>
      <c r="RR26">
        <v>78473</v>
      </c>
      <c r="RS26">
        <v>547</v>
      </c>
      <c r="RT26">
        <v>44287</v>
      </c>
      <c r="RU26">
        <v>78966</v>
      </c>
      <c r="RV26">
        <v>489</v>
      </c>
      <c r="RW26">
        <v>44288</v>
      </c>
      <c r="RX26">
        <v>79327</v>
      </c>
      <c r="RY26">
        <v>361</v>
      </c>
      <c r="RZ26">
        <v>44289</v>
      </c>
      <c r="SA26">
        <v>79643</v>
      </c>
      <c r="SB26">
        <v>315</v>
      </c>
      <c r="SC26">
        <v>44290</v>
      </c>
      <c r="SD26">
        <v>79964</v>
      </c>
      <c r="SE26">
        <v>320</v>
      </c>
      <c r="SF26">
        <v>44291</v>
      </c>
      <c r="SG26">
        <v>80326</v>
      </c>
      <c r="SH26">
        <v>360</v>
      </c>
      <c r="SI26">
        <v>44292</v>
      </c>
      <c r="SJ26">
        <v>80861</v>
      </c>
      <c r="SK26">
        <v>536</v>
      </c>
      <c r="SL26">
        <v>44294</v>
      </c>
      <c r="SM26">
        <v>81689</v>
      </c>
      <c r="SN26">
        <v>401</v>
      </c>
      <c r="SO26">
        <v>44295</v>
      </c>
      <c r="SP26">
        <v>82054</v>
      </c>
      <c r="SQ26">
        <v>347</v>
      </c>
      <c r="SR26">
        <v>44296</v>
      </c>
      <c r="SS26">
        <v>82286</v>
      </c>
      <c r="ST26">
        <v>226</v>
      </c>
      <c r="SU26">
        <v>44297</v>
      </c>
      <c r="SV26">
        <v>82526</v>
      </c>
      <c r="SW26">
        <v>238</v>
      </c>
      <c r="SX26">
        <v>44299</v>
      </c>
      <c r="SY26">
        <v>83257</v>
      </c>
      <c r="SZ26">
        <v>328</v>
      </c>
      <c r="TA26">
        <v>44300</v>
      </c>
      <c r="TB26">
        <v>83602</v>
      </c>
      <c r="TC26">
        <v>345</v>
      </c>
      <c r="TD26">
        <v>44302</v>
      </c>
      <c r="TE26">
        <v>84141</v>
      </c>
      <c r="TF26">
        <v>264</v>
      </c>
      <c r="TG26">
        <v>44303</v>
      </c>
      <c r="TH26">
        <v>84314</v>
      </c>
      <c r="TI26">
        <v>169</v>
      </c>
      <c r="TJ26">
        <v>44304</v>
      </c>
      <c r="TK26">
        <v>84472</v>
      </c>
      <c r="TL26">
        <v>156</v>
      </c>
      <c r="TM26">
        <v>44305</v>
      </c>
      <c r="TN26">
        <v>84756</v>
      </c>
      <c r="TO26">
        <v>283</v>
      </c>
      <c r="TP26">
        <v>44307</v>
      </c>
      <c r="TQ26">
        <v>85289</v>
      </c>
      <c r="TR26">
        <v>243</v>
      </c>
      <c r="TS26">
        <v>44308</v>
      </c>
      <c r="TT26">
        <v>85554</v>
      </c>
      <c r="TU26">
        <v>261</v>
      </c>
      <c r="TV26">
        <v>44308</v>
      </c>
      <c r="TW26">
        <v>85559</v>
      </c>
      <c r="TX26">
        <v>260</v>
      </c>
      <c r="TY26">
        <v>44309</v>
      </c>
      <c r="TZ26">
        <v>85815</v>
      </c>
      <c r="UA26">
        <v>257</v>
      </c>
      <c r="UB26">
        <v>44311</v>
      </c>
      <c r="UC26">
        <v>86106</v>
      </c>
      <c r="UD26">
        <v>140</v>
      </c>
      <c r="UE26">
        <v>44311</v>
      </c>
      <c r="UF26">
        <v>86106</v>
      </c>
      <c r="UG26">
        <v>141</v>
      </c>
      <c r="UH26">
        <v>44312</v>
      </c>
      <c r="UI26">
        <v>86352</v>
      </c>
      <c r="UJ26">
        <v>241</v>
      </c>
      <c r="UK26">
        <v>44313</v>
      </c>
      <c r="UL26">
        <v>86586</v>
      </c>
      <c r="UM26">
        <v>230</v>
      </c>
      <c r="UN26">
        <v>44317</v>
      </c>
      <c r="UO26">
        <v>87365</v>
      </c>
      <c r="UP26">
        <v>105</v>
      </c>
      <c r="UQ26">
        <v>44318</v>
      </c>
      <c r="UR26">
        <v>87506</v>
      </c>
      <c r="US26">
        <v>138</v>
      </c>
      <c r="UT26">
        <v>44319</v>
      </c>
      <c r="UU26">
        <v>87819</v>
      </c>
      <c r="UV26">
        <v>319</v>
      </c>
      <c r="UW26">
        <v>44320</v>
      </c>
      <c r="UX26">
        <v>88022</v>
      </c>
      <c r="UY26">
        <v>204</v>
      </c>
      <c r="UZ26">
        <v>44322</v>
      </c>
      <c r="VA26">
        <v>88531</v>
      </c>
      <c r="VB26">
        <v>238</v>
      </c>
      <c r="VC26">
        <v>44322</v>
      </c>
      <c r="VD26">
        <v>88526</v>
      </c>
      <c r="VE26">
        <v>238</v>
      </c>
      <c r="VF26">
        <v>44323</v>
      </c>
      <c r="VG26">
        <v>88745</v>
      </c>
      <c r="VH26">
        <v>216</v>
      </c>
      <c r="VI26">
        <v>44325</v>
      </c>
      <c r="VJ26">
        <v>89002</v>
      </c>
      <c r="VK26">
        <v>130</v>
      </c>
      <c r="VL26">
        <v>44325</v>
      </c>
      <c r="VM26">
        <v>88999</v>
      </c>
      <c r="VN26">
        <v>131</v>
      </c>
      <c r="VO26">
        <v>44326</v>
      </c>
      <c r="VP26">
        <v>89245</v>
      </c>
      <c r="VQ26">
        <v>254</v>
      </c>
      <c r="VR26">
        <v>44327</v>
      </c>
      <c r="VS26">
        <v>89460</v>
      </c>
      <c r="VT26">
        <v>214</v>
      </c>
      <c r="VU26">
        <v>44329</v>
      </c>
      <c r="VV26">
        <v>89878</v>
      </c>
      <c r="VW26">
        <v>155</v>
      </c>
      <c r="VX26">
        <v>44329</v>
      </c>
      <c r="VY26">
        <v>89880</v>
      </c>
      <c r="VZ26">
        <v>155</v>
      </c>
      <c r="WA26">
        <v>44330</v>
      </c>
      <c r="WB26">
        <v>90128</v>
      </c>
      <c r="WC26">
        <v>244</v>
      </c>
      <c r="WD26">
        <v>44331</v>
      </c>
      <c r="WE26">
        <v>90285</v>
      </c>
      <c r="WF26">
        <v>158</v>
      </c>
      <c r="WG26">
        <v>44332</v>
      </c>
      <c r="WH26">
        <v>90418</v>
      </c>
      <c r="WI26">
        <v>132</v>
      </c>
      <c r="WJ26">
        <v>44334</v>
      </c>
      <c r="WK26">
        <v>90917</v>
      </c>
      <c r="WL26">
        <v>217</v>
      </c>
      <c r="WM26">
        <v>44334</v>
      </c>
      <c r="WN26">
        <v>90921</v>
      </c>
      <c r="WO26">
        <v>217</v>
      </c>
      <c r="WP26">
        <v>44337</v>
      </c>
      <c r="WQ26">
        <v>91535</v>
      </c>
      <c r="WR26">
        <v>168</v>
      </c>
      <c r="WS26">
        <v>44338</v>
      </c>
      <c r="WT26">
        <v>91645</v>
      </c>
      <c r="WU26">
        <v>106</v>
      </c>
      <c r="WV26">
        <v>44339</v>
      </c>
      <c r="WW26">
        <v>91741</v>
      </c>
      <c r="WX26">
        <v>92</v>
      </c>
      <c r="WY26">
        <v>44340</v>
      </c>
      <c r="WZ26">
        <v>91934</v>
      </c>
      <c r="XA26">
        <v>189</v>
      </c>
      <c r="XB26">
        <v>44341</v>
      </c>
      <c r="XC26">
        <v>92085</v>
      </c>
      <c r="XD26">
        <v>152</v>
      </c>
      <c r="XE26">
        <v>44343</v>
      </c>
      <c r="XF26">
        <v>92353</v>
      </c>
      <c r="XG26">
        <v>126</v>
      </c>
      <c r="XH26">
        <v>44343</v>
      </c>
      <c r="XI26">
        <v>92359</v>
      </c>
      <c r="XJ26">
        <v>126</v>
      </c>
      <c r="XK26">
        <v>44344</v>
      </c>
      <c r="XL26">
        <v>92496</v>
      </c>
      <c r="XM26">
        <v>136</v>
      </c>
      <c r="XN26">
        <v>44345</v>
      </c>
      <c r="XO26">
        <v>92563</v>
      </c>
      <c r="XP26">
        <v>65</v>
      </c>
      <c r="XQ26">
        <v>44346</v>
      </c>
      <c r="XR26">
        <v>92643</v>
      </c>
      <c r="XS26">
        <v>79</v>
      </c>
      <c r="XT26">
        <v>44347</v>
      </c>
      <c r="XU26">
        <v>92789</v>
      </c>
      <c r="XV26">
        <v>145</v>
      </c>
      <c r="XW26">
        <v>44348</v>
      </c>
      <c r="XX26">
        <v>92914</v>
      </c>
      <c r="XY26">
        <v>122</v>
      </c>
      <c r="XZ26">
        <v>44349</v>
      </c>
      <c r="YA26">
        <v>93034</v>
      </c>
      <c r="YB26">
        <v>119</v>
      </c>
      <c r="YC26">
        <v>44351</v>
      </c>
      <c r="YD26">
        <v>93245</v>
      </c>
      <c r="YE26">
        <v>99</v>
      </c>
      <c r="YF26">
        <v>44352</v>
      </c>
      <c r="YG26">
        <v>93311</v>
      </c>
      <c r="YH26">
        <v>65</v>
      </c>
      <c r="YI26">
        <v>44353</v>
      </c>
      <c r="YJ26">
        <v>93374</v>
      </c>
      <c r="YK26">
        <v>60</v>
      </c>
      <c r="YL26">
        <v>44354</v>
      </c>
      <c r="YM26">
        <v>93514</v>
      </c>
      <c r="YN26">
        <v>140</v>
      </c>
      <c r="YO26">
        <v>44355</v>
      </c>
      <c r="YP26">
        <v>93614</v>
      </c>
      <c r="YQ26">
        <v>101</v>
      </c>
      <c r="YR26">
        <v>44356</v>
      </c>
      <c r="YS26">
        <v>93700</v>
      </c>
      <c r="YT26">
        <v>82</v>
      </c>
      <c r="YU26">
        <v>44357</v>
      </c>
      <c r="YV26">
        <v>93786</v>
      </c>
      <c r="YW26">
        <v>78</v>
      </c>
    </row>
    <row r="27" spans="2:673">
      <c r="B27" t="str">
        <f t="shared" ca="1" si="2"/>
        <v>11.6</v>
      </c>
      <c r="C27" s="4">
        <f t="shared" ca="1" si="0"/>
        <v>44358</v>
      </c>
      <c r="D27" s="11">
        <f t="shared" ca="1" si="1"/>
        <v>93852</v>
      </c>
      <c r="E27">
        <f t="shared" ca="1" si="3"/>
        <v>70</v>
      </c>
      <c r="F27" s="11">
        <f t="shared" ca="1" si="4"/>
        <v>0</v>
      </c>
      <c r="G27" s="11">
        <f t="shared" ca="1" si="5"/>
        <v>70</v>
      </c>
      <c r="K27" s="13"/>
      <c r="L27" s="3"/>
      <c r="N27" s="16">
        <v>44358</v>
      </c>
      <c r="O27">
        <v>93856</v>
      </c>
      <c r="P27" s="10">
        <v>70</v>
      </c>
      <c r="Q27" s="16">
        <v>44358</v>
      </c>
      <c r="R27">
        <v>93856</v>
      </c>
      <c r="S27">
        <v>70</v>
      </c>
      <c r="T27" s="16">
        <v>44105</v>
      </c>
      <c r="U27">
        <v>10558</v>
      </c>
      <c r="V27">
        <v>187</v>
      </c>
      <c r="W27" s="16">
        <v>44106</v>
      </c>
      <c r="X27">
        <v>10748</v>
      </c>
      <c r="Y27">
        <v>188</v>
      </c>
      <c r="Z27" s="16">
        <v>44107</v>
      </c>
      <c r="AA27">
        <v>10939</v>
      </c>
      <c r="AB27">
        <v>178</v>
      </c>
      <c r="AC27" s="16">
        <v>44108</v>
      </c>
      <c r="AD27">
        <v>11083</v>
      </c>
      <c r="AE27">
        <v>148</v>
      </c>
      <c r="AF27" s="16">
        <v>44109</v>
      </c>
      <c r="AG27">
        <v>11354</v>
      </c>
      <c r="AH27">
        <v>277</v>
      </c>
      <c r="AI27" s="16">
        <v>44110</v>
      </c>
      <c r="AJ27">
        <v>11655</v>
      </c>
      <c r="AK27">
        <v>299</v>
      </c>
      <c r="AL27" s="16">
        <v>44111</v>
      </c>
      <c r="AM27">
        <v>11955</v>
      </c>
      <c r="AN27">
        <v>303</v>
      </c>
      <c r="AO27" s="16">
        <v>44112</v>
      </c>
      <c r="AP27">
        <v>12217</v>
      </c>
      <c r="AQ27">
        <v>261</v>
      </c>
      <c r="AR27" s="16">
        <v>44113</v>
      </c>
      <c r="AS27">
        <v>12438</v>
      </c>
      <c r="AT27">
        <v>221</v>
      </c>
      <c r="AU27" s="16">
        <v>44114</v>
      </c>
      <c r="AV27">
        <v>12558</v>
      </c>
      <c r="AW27">
        <v>113</v>
      </c>
      <c r="AX27" s="16">
        <v>44115</v>
      </c>
      <c r="AY27">
        <v>12685</v>
      </c>
      <c r="AZ27">
        <v>130</v>
      </c>
      <c r="BA27" s="16">
        <v>44116</v>
      </c>
      <c r="BB27">
        <v>12893</v>
      </c>
      <c r="BC27">
        <v>208</v>
      </c>
      <c r="BD27" s="16">
        <v>44117</v>
      </c>
      <c r="BE27">
        <v>13117</v>
      </c>
      <c r="BF27">
        <v>188</v>
      </c>
      <c r="BG27" s="16">
        <v>44118</v>
      </c>
      <c r="BH27">
        <v>13328</v>
      </c>
      <c r="BI27">
        <v>200</v>
      </c>
      <c r="BJ27" s="16">
        <v>44119</v>
      </c>
      <c r="BK27">
        <v>13520</v>
      </c>
      <c r="BL27">
        <v>188</v>
      </c>
      <c r="BM27" s="16">
        <v>44120</v>
      </c>
      <c r="BN27">
        <v>13712</v>
      </c>
      <c r="BO27">
        <v>192</v>
      </c>
      <c r="BP27" s="16">
        <v>44121</v>
      </c>
      <c r="BQ27">
        <v>13818</v>
      </c>
      <c r="BR27">
        <v>102</v>
      </c>
      <c r="BS27" s="16">
        <v>44122</v>
      </c>
      <c r="BT27">
        <v>13941</v>
      </c>
      <c r="BU27">
        <v>127</v>
      </c>
      <c r="BV27" s="16">
        <v>44124</v>
      </c>
      <c r="BW27">
        <v>14350</v>
      </c>
      <c r="BX27">
        <v>163</v>
      </c>
      <c r="BY27" s="16">
        <v>44125</v>
      </c>
      <c r="BZ27">
        <v>14532</v>
      </c>
      <c r="CA27">
        <v>190</v>
      </c>
      <c r="CB27" s="16">
        <v>44126</v>
      </c>
      <c r="CC27">
        <v>14751</v>
      </c>
      <c r="CD27">
        <v>213</v>
      </c>
      <c r="CE27" s="16">
        <v>44127</v>
      </c>
      <c r="CF27">
        <v>14952</v>
      </c>
      <c r="CG27">
        <v>192</v>
      </c>
      <c r="CH27" s="16">
        <v>44128</v>
      </c>
      <c r="CI27">
        <v>15061</v>
      </c>
      <c r="CJ27">
        <v>107</v>
      </c>
      <c r="CK27" s="16">
        <v>44129</v>
      </c>
      <c r="CL27">
        <v>15184</v>
      </c>
      <c r="CM27">
        <v>123</v>
      </c>
      <c r="CN27" s="16">
        <v>44130</v>
      </c>
      <c r="CO27">
        <v>15437</v>
      </c>
      <c r="CP27">
        <v>253</v>
      </c>
      <c r="CQ27" s="16">
        <v>44131</v>
      </c>
      <c r="CR27">
        <v>15667</v>
      </c>
      <c r="CS27">
        <v>229</v>
      </c>
      <c r="CT27" s="16">
        <v>44132</v>
      </c>
      <c r="CU27">
        <v>15913</v>
      </c>
      <c r="CV27">
        <v>241</v>
      </c>
      <c r="CW27" s="16">
        <v>44133</v>
      </c>
      <c r="CX27">
        <v>16154</v>
      </c>
      <c r="CY27">
        <v>235</v>
      </c>
      <c r="CZ27" s="16">
        <v>44135</v>
      </c>
      <c r="DA27">
        <v>16490</v>
      </c>
      <c r="DB27">
        <v>121</v>
      </c>
      <c r="DC27" s="16">
        <v>44136</v>
      </c>
      <c r="DD27">
        <v>16640</v>
      </c>
      <c r="DE27">
        <v>150</v>
      </c>
      <c r="DF27" s="16">
        <v>44137</v>
      </c>
      <c r="DG27">
        <v>16923</v>
      </c>
      <c r="DH27">
        <v>281</v>
      </c>
      <c r="DI27" s="16">
        <v>44138</v>
      </c>
      <c r="DJ27">
        <v>17164</v>
      </c>
      <c r="DK27">
        <v>239</v>
      </c>
      <c r="DL27" s="16">
        <v>44139</v>
      </c>
      <c r="DM27">
        <v>17376</v>
      </c>
      <c r="DN27">
        <v>206</v>
      </c>
      <c r="DO27" s="16">
        <v>44140</v>
      </c>
      <c r="DP27">
        <v>17595</v>
      </c>
      <c r="DQ27">
        <v>218</v>
      </c>
      <c r="DR27" s="16">
        <v>44141</v>
      </c>
      <c r="DS27">
        <v>17795</v>
      </c>
      <c r="DT27">
        <v>194</v>
      </c>
      <c r="DU27" s="16">
        <v>44142</v>
      </c>
      <c r="DV27">
        <v>17925</v>
      </c>
      <c r="DW27">
        <v>128</v>
      </c>
      <c r="DX27" s="16">
        <v>44143</v>
      </c>
      <c r="DY27">
        <v>18060</v>
      </c>
      <c r="DZ27">
        <v>134</v>
      </c>
      <c r="EA27" s="16">
        <v>44144</v>
      </c>
      <c r="EB27">
        <v>18339</v>
      </c>
      <c r="EC27">
        <v>279</v>
      </c>
      <c r="ED27" s="16">
        <v>44145</v>
      </c>
      <c r="EE27">
        <v>18542</v>
      </c>
      <c r="EF27">
        <v>211</v>
      </c>
      <c r="EG27" s="16">
        <v>44146</v>
      </c>
      <c r="EH27">
        <v>18837</v>
      </c>
      <c r="EI27">
        <v>288</v>
      </c>
      <c r="EJ27" s="16">
        <v>44147</v>
      </c>
      <c r="EK27">
        <v>19081</v>
      </c>
      <c r="EL27">
        <v>241</v>
      </c>
      <c r="EM27" s="16">
        <v>44148</v>
      </c>
      <c r="EN27">
        <v>19370</v>
      </c>
      <c r="EO27">
        <v>260</v>
      </c>
      <c r="EP27" s="16">
        <v>44149</v>
      </c>
      <c r="EQ27">
        <v>19508</v>
      </c>
      <c r="ER27">
        <v>146</v>
      </c>
      <c r="ES27" s="16">
        <v>44150</v>
      </c>
      <c r="ET27">
        <v>19692</v>
      </c>
      <c r="EU27">
        <v>182</v>
      </c>
      <c r="EV27" s="16">
        <v>44151</v>
      </c>
      <c r="EW27">
        <v>20080</v>
      </c>
      <c r="EX27">
        <v>392</v>
      </c>
      <c r="EY27" s="16">
        <v>44152</v>
      </c>
      <c r="EZ27">
        <v>20475</v>
      </c>
      <c r="FA27">
        <v>393</v>
      </c>
      <c r="FB27" s="16">
        <v>44153</v>
      </c>
      <c r="FC27">
        <v>20850</v>
      </c>
      <c r="FD27">
        <v>372</v>
      </c>
      <c r="FE27" s="16">
        <v>44154</v>
      </c>
      <c r="FF27">
        <v>21263</v>
      </c>
      <c r="FG27">
        <v>479</v>
      </c>
      <c r="FH27" s="16">
        <v>44155</v>
      </c>
      <c r="FI27">
        <v>21761</v>
      </c>
      <c r="FJ27">
        <v>425</v>
      </c>
      <c r="FK27" s="16">
        <v>44156</v>
      </c>
      <c r="FL27">
        <v>22052</v>
      </c>
      <c r="FM27">
        <v>270</v>
      </c>
      <c r="FN27" s="16">
        <v>44157</v>
      </c>
      <c r="FO27">
        <v>22320</v>
      </c>
      <c r="FP27">
        <v>266</v>
      </c>
      <c r="FQ27" s="16">
        <v>44158</v>
      </c>
      <c r="FR27">
        <v>22798</v>
      </c>
      <c r="FS27">
        <v>480</v>
      </c>
      <c r="FT27" s="16">
        <v>44159</v>
      </c>
      <c r="FU27">
        <v>23285</v>
      </c>
      <c r="FV27">
        <v>461</v>
      </c>
      <c r="FW27" s="16">
        <v>44160</v>
      </c>
      <c r="FX27">
        <v>23890</v>
      </c>
      <c r="FY27">
        <v>600</v>
      </c>
      <c r="FZ27" s="16">
        <v>44161</v>
      </c>
      <c r="GA27">
        <v>24401</v>
      </c>
      <c r="GB27">
        <v>507</v>
      </c>
      <c r="GC27" s="16">
        <v>44162</v>
      </c>
      <c r="GD27">
        <v>24858</v>
      </c>
      <c r="GE27">
        <v>460</v>
      </c>
      <c r="GF27" s="16">
        <v>44163</v>
      </c>
      <c r="GG27">
        <v>25152</v>
      </c>
      <c r="GH27">
        <v>290</v>
      </c>
      <c r="GI27" s="16">
        <v>44164</v>
      </c>
      <c r="GJ27">
        <v>25434</v>
      </c>
      <c r="GK27">
        <v>280</v>
      </c>
      <c r="GL27" s="16">
        <v>44165</v>
      </c>
      <c r="GM27">
        <v>25982</v>
      </c>
      <c r="GN27">
        <v>546</v>
      </c>
      <c r="GO27" s="16">
        <v>44166</v>
      </c>
      <c r="GP27">
        <v>26384</v>
      </c>
      <c r="GQ27">
        <v>390</v>
      </c>
      <c r="GR27" s="16">
        <v>44167</v>
      </c>
      <c r="GS27">
        <v>26874</v>
      </c>
      <c r="GT27">
        <v>477</v>
      </c>
      <c r="GU27" s="16">
        <v>44168</v>
      </c>
      <c r="GV27">
        <v>27479</v>
      </c>
      <c r="GW27">
        <v>473</v>
      </c>
      <c r="GX27" s="16">
        <v>44169</v>
      </c>
      <c r="GY27">
        <v>27962</v>
      </c>
      <c r="GZ27">
        <v>473</v>
      </c>
      <c r="HA27" s="16">
        <v>44170</v>
      </c>
      <c r="HB27">
        <v>28219</v>
      </c>
      <c r="HC27">
        <v>252</v>
      </c>
      <c r="HD27" s="16">
        <v>44171</v>
      </c>
      <c r="HE27">
        <v>28504</v>
      </c>
      <c r="HF27">
        <v>282</v>
      </c>
      <c r="HG27" s="16">
        <v>44172</v>
      </c>
      <c r="HH27">
        <v>29076</v>
      </c>
      <c r="HI27">
        <v>589</v>
      </c>
      <c r="HJ27" s="16">
        <v>44173</v>
      </c>
      <c r="HK27">
        <v>29539</v>
      </c>
      <c r="HL27">
        <v>467</v>
      </c>
      <c r="HM27" s="16">
        <v>44174</v>
      </c>
      <c r="HN27">
        <v>30008</v>
      </c>
      <c r="HO27">
        <v>462</v>
      </c>
      <c r="HP27" s="16">
        <v>44175</v>
      </c>
      <c r="HQ27">
        <v>30424</v>
      </c>
      <c r="HR27">
        <v>407</v>
      </c>
      <c r="HS27" s="16">
        <v>44176</v>
      </c>
      <c r="HT27">
        <v>30864</v>
      </c>
      <c r="HU27">
        <v>445</v>
      </c>
      <c r="HV27" s="16">
        <v>44177</v>
      </c>
      <c r="HW27">
        <v>31117</v>
      </c>
      <c r="HX27">
        <v>250</v>
      </c>
      <c r="HY27" s="16">
        <v>44178</v>
      </c>
      <c r="HZ27">
        <v>31388</v>
      </c>
      <c r="IA27">
        <v>273</v>
      </c>
      <c r="IB27" s="16">
        <v>44179</v>
      </c>
      <c r="IC27">
        <v>31845</v>
      </c>
      <c r="ID27">
        <v>459</v>
      </c>
      <c r="IE27" s="16">
        <v>44180</v>
      </c>
      <c r="IF27">
        <v>32207</v>
      </c>
      <c r="IG27">
        <v>357</v>
      </c>
      <c r="IH27" s="16">
        <v>44181</v>
      </c>
      <c r="II27">
        <v>32556</v>
      </c>
      <c r="IJ27">
        <v>349</v>
      </c>
      <c r="IK27" s="16">
        <v>44182</v>
      </c>
      <c r="IL27">
        <v>32880</v>
      </c>
      <c r="IM27">
        <v>322</v>
      </c>
      <c r="IN27" s="16">
        <v>44183</v>
      </c>
      <c r="IO27">
        <v>33274</v>
      </c>
      <c r="IP27">
        <v>396</v>
      </c>
      <c r="IQ27" s="16">
        <v>44184</v>
      </c>
      <c r="IR27">
        <v>33461</v>
      </c>
      <c r="IS27">
        <v>190</v>
      </c>
      <c r="IT27" s="16">
        <v>44185</v>
      </c>
      <c r="IU27">
        <v>33705</v>
      </c>
      <c r="IV27">
        <v>246</v>
      </c>
      <c r="IW27" s="16">
        <v>44186</v>
      </c>
      <c r="IX27">
        <v>34073</v>
      </c>
      <c r="IY27">
        <v>367</v>
      </c>
      <c r="IZ27" s="16">
        <v>44187</v>
      </c>
      <c r="JA27">
        <v>34406</v>
      </c>
      <c r="JB27">
        <v>325</v>
      </c>
      <c r="JC27" s="16">
        <v>44191</v>
      </c>
      <c r="JD27">
        <v>35171</v>
      </c>
      <c r="JE27">
        <v>180</v>
      </c>
      <c r="JF27" s="16">
        <v>44195</v>
      </c>
      <c r="JG27">
        <v>36342</v>
      </c>
      <c r="JH27">
        <v>249</v>
      </c>
      <c r="JI27" s="16">
        <v>44196</v>
      </c>
      <c r="JJ27">
        <v>36654</v>
      </c>
      <c r="JK27">
        <v>253</v>
      </c>
      <c r="JL27" s="16">
        <v>44197</v>
      </c>
      <c r="JM27">
        <v>36780</v>
      </c>
      <c r="JN27">
        <v>129</v>
      </c>
      <c r="JO27" s="16">
        <v>44198</v>
      </c>
      <c r="JP27">
        <v>36972</v>
      </c>
      <c r="JQ27">
        <v>205</v>
      </c>
      <c r="JR27" s="16">
        <v>44200</v>
      </c>
      <c r="JS27">
        <v>37544</v>
      </c>
      <c r="JT27">
        <v>396</v>
      </c>
      <c r="JU27" s="16">
        <v>44200</v>
      </c>
      <c r="JV27">
        <v>37545</v>
      </c>
      <c r="JW27">
        <v>396</v>
      </c>
      <c r="JX27" s="16">
        <v>44202</v>
      </c>
      <c r="JY27">
        <v>38006</v>
      </c>
      <c r="JZ27">
        <v>207</v>
      </c>
      <c r="KA27" s="16">
        <v>44214</v>
      </c>
      <c r="KB27">
        <v>39593</v>
      </c>
      <c r="KC27">
        <v>0</v>
      </c>
      <c r="KD27" s="16">
        <v>44214</v>
      </c>
      <c r="KE27">
        <v>41186</v>
      </c>
      <c r="KF27">
        <v>452</v>
      </c>
      <c r="KG27" s="16">
        <v>44215</v>
      </c>
      <c r="KH27">
        <v>41513</v>
      </c>
      <c r="KI27">
        <v>344</v>
      </c>
      <c r="KJ27" s="16">
        <v>44217</v>
      </c>
      <c r="KK27">
        <v>42287</v>
      </c>
      <c r="KL27">
        <v>378</v>
      </c>
      <c r="KM27" s="16">
        <v>44218</v>
      </c>
      <c r="KN27">
        <v>42648</v>
      </c>
      <c r="KO27">
        <v>357</v>
      </c>
      <c r="KP27" s="16">
        <v>44222</v>
      </c>
      <c r="KQ27">
        <v>44064</v>
      </c>
      <c r="KR27">
        <v>400</v>
      </c>
      <c r="KS27" s="16">
        <v>44223</v>
      </c>
      <c r="KT27">
        <v>44453</v>
      </c>
      <c r="KU27">
        <v>382</v>
      </c>
      <c r="KV27" s="16">
        <v>44224</v>
      </c>
      <c r="KW27">
        <v>44889</v>
      </c>
      <c r="KX27">
        <v>434</v>
      </c>
      <c r="KY27" s="16">
        <v>44226</v>
      </c>
      <c r="KZ27">
        <v>45516</v>
      </c>
      <c r="LA27">
        <v>240</v>
      </c>
      <c r="LB27" s="16">
        <v>44227</v>
      </c>
      <c r="LC27">
        <v>45790</v>
      </c>
      <c r="LD27">
        <v>277</v>
      </c>
      <c r="LE27" s="16">
        <v>44228</v>
      </c>
      <c r="LF27">
        <v>46306</v>
      </c>
      <c r="LG27">
        <v>521</v>
      </c>
      <c r="LH27" s="16">
        <v>44230</v>
      </c>
      <c r="LI27">
        <v>47098</v>
      </c>
      <c r="LJ27">
        <v>428</v>
      </c>
      <c r="LK27" s="16">
        <v>44230</v>
      </c>
      <c r="LL27">
        <v>47101</v>
      </c>
      <c r="LM27">
        <v>429</v>
      </c>
      <c r="LN27" s="16">
        <v>44232</v>
      </c>
      <c r="LO27">
        <v>47833</v>
      </c>
      <c r="LP27">
        <v>354</v>
      </c>
      <c r="LQ27" s="16">
        <v>44233</v>
      </c>
      <c r="LR27">
        <v>48104</v>
      </c>
      <c r="LS27">
        <v>241</v>
      </c>
      <c r="LT27" s="16">
        <v>44234</v>
      </c>
      <c r="LU27">
        <v>48370</v>
      </c>
      <c r="LV27">
        <v>263</v>
      </c>
      <c r="LW27" s="16">
        <v>44235</v>
      </c>
      <c r="LX27">
        <v>48841</v>
      </c>
      <c r="LY27">
        <v>458</v>
      </c>
      <c r="LZ27" s="16">
        <v>44236</v>
      </c>
      <c r="MA27">
        <v>49199</v>
      </c>
      <c r="MB27">
        <v>368</v>
      </c>
      <c r="MC27" s="16">
        <v>44237</v>
      </c>
      <c r="MD27">
        <v>49594</v>
      </c>
      <c r="ME27">
        <v>382</v>
      </c>
      <c r="MF27" s="16">
        <v>44239</v>
      </c>
      <c r="MG27">
        <v>50368</v>
      </c>
      <c r="MH27">
        <v>415</v>
      </c>
      <c r="MI27" s="16">
        <v>44239</v>
      </c>
      <c r="MJ27">
        <v>50369</v>
      </c>
      <c r="MK27">
        <v>415</v>
      </c>
      <c r="ML27" s="16">
        <v>44240</v>
      </c>
      <c r="MM27">
        <v>50635</v>
      </c>
      <c r="MN27">
        <v>274</v>
      </c>
      <c r="MO27" s="16">
        <v>44241</v>
      </c>
      <c r="MP27">
        <v>50904</v>
      </c>
      <c r="MQ27">
        <v>269</v>
      </c>
      <c r="MR27" s="16">
        <v>44242</v>
      </c>
      <c r="MS27">
        <v>51515</v>
      </c>
      <c r="MT27">
        <v>606</v>
      </c>
      <c r="MU27" s="16">
        <v>44243</v>
      </c>
      <c r="MV27">
        <v>52019</v>
      </c>
      <c r="MW27">
        <v>499</v>
      </c>
      <c r="MX27" s="16">
        <v>44244</v>
      </c>
      <c r="MY27">
        <v>52558</v>
      </c>
      <c r="MZ27">
        <v>526</v>
      </c>
      <c r="NA27" s="16">
        <v>44244</v>
      </c>
      <c r="NB27">
        <v>52572</v>
      </c>
      <c r="NC27">
        <v>532</v>
      </c>
      <c r="ND27" s="16">
        <v>44247</v>
      </c>
      <c r="NE27">
        <v>54074</v>
      </c>
      <c r="NF27">
        <v>315</v>
      </c>
      <c r="NG27" s="16">
        <v>44247</v>
      </c>
      <c r="NH27">
        <v>54072</v>
      </c>
      <c r="NI27">
        <v>315</v>
      </c>
      <c r="NJ27" s="16">
        <v>44249</v>
      </c>
      <c r="NK27">
        <v>55042</v>
      </c>
      <c r="NL27">
        <v>615</v>
      </c>
      <c r="NM27" s="16">
        <v>44249</v>
      </c>
      <c r="NN27">
        <v>55047</v>
      </c>
      <c r="NO27">
        <v>618</v>
      </c>
      <c r="NP27" s="16">
        <v>44251</v>
      </c>
      <c r="NQ27">
        <v>56258</v>
      </c>
      <c r="NR27">
        <v>602</v>
      </c>
      <c r="NS27" s="16">
        <v>44252</v>
      </c>
      <c r="NT27">
        <v>56902</v>
      </c>
      <c r="NU27">
        <v>602</v>
      </c>
      <c r="NV27" s="16">
        <v>44253</v>
      </c>
      <c r="NW27">
        <v>57594</v>
      </c>
      <c r="NX27">
        <v>674</v>
      </c>
      <c r="NY27" s="16">
        <v>44254</v>
      </c>
      <c r="NZ27">
        <v>57996</v>
      </c>
      <c r="OA27">
        <v>398</v>
      </c>
      <c r="OB27" s="16">
        <v>44255</v>
      </c>
      <c r="OC27">
        <v>58419</v>
      </c>
      <c r="OD27">
        <v>419</v>
      </c>
      <c r="OE27" s="16">
        <v>44256</v>
      </c>
      <c r="OF27">
        <v>59287</v>
      </c>
      <c r="OG27">
        <v>867</v>
      </c>
      <c r="OH27" s="16">
        <v>44257</v>
      </c>
      <c r="OI27">
        <v>60061</v>
      </c>
      <c r="OJ27">
        <v>755</v>
      </c>
      <c r="OK27" s="16">
        <v>44258</v>
      </c>
      <c r="OL27">
        <v>60794</v>
      </c>
      <c r="OM27">
        <v>733</v>
      </c>
      <c r="ON27" s="16">
        <v>44259</v>
      </c>
      <c r="OO27">
        <v>61426</v>
      </c>
      <c r="OP27">
        <v>627</v>
      </c>
      <c r="OQ27" s="16">
        <v>44260</v>
      </c>
      <c r="OR27">
        <v>62032</v>
      </c>
      <c r="OS27">
        <v>600</v>
      </c>
      <c r="OT27" s="16">
        <v>44261</v>
      </c>
      <c r="OU27">
        <v>62462</v>
      </c>
      <c r="OV27">
        <v>431</v>
      </c>
      <c r="OW27" s="16">
        <v>44262</v>
      </c>
      <c r="OX27">
        <v>62851</v>
      </c>
      <c r="OY27">
        <v>390</v>
      </c>
      <c r="OZ27" s="16">
        <v>44263</v>
      </c>
      <c r="PA27">
        <v>63682</v>
      </c>
      <c r="PB27">
        <v>828</v>
      </c>
      <c r="PC27" s="16">
        <v>44264</v>
      </c>
      <c r="PD27">
        <v>64430</v>
      </c>
      <c r="PE27">
        <v>742</v>
      </c>
      <c r="PF27" s="16">
        <v>44265</v>
      </c>
      <c r="PG27">
        <v>65207</v>
      </c>
      <c r="PH27">
        <v>776</v>
      </c>
      <c r="PI27" s="16">
        <v>44266</v>
      </c>
      <c r="PJ27">
        <v>65971</v>
      </c>
      <c r="PK27">
        <v>750</v>
      </c>
      <c r="PL27" s="16">
        <v>44267</v>
      </c>
      <c r="PM27">
        <v>66814</v>
      </c>
      <c r="PN27">
        <v>785</v>
      </c>
      <c r="PO27" s="16">
        <v>44268</v>
      </c>
      <c r="PP27">
        <v>67327</v>
      </c>
      <c r="PQ27">
        <v>488</v>
      </c>
      <c r="PR27" s="16">
        <v>44269</v>
      </c>
      <c r="PS27">
        <v>67753</v>
      </c>
      <c r="PT27">
        <v>424</v>
      </c>
      <c r="PU27" s="16">
        <v>44270</v>
      </c>
      <c r="PV27">
        <v>68643</v>
      </c>
      <c r="PW27">
        <v>888</v>
      </c>
      <c r="PX27" s="16">
        <v>44271</v>
      </c>
      <c r="PY27">
        <v>69481</v>
      </c>
      <c r="PZ27">
        <v>764</v>
      </c>
      <c r="QA27" s="16">
        <v>44272</v>
      </c>
      <c r="QB27">
        <v>70223</v>
      </c>
      <c r="QC27">
        <v>735</v>
      </c>
      <c r="QD27" s="16">
        <v>44273</v>
      </c>
      <c r="QE27">
        <v>70963</v>
      </c>
      <c r="QF27">
        <v>735</v>
      </c>
      <c r="QG27" s="16">
        <v>44274</v>
      </c>
      <c r="QH27">
        <v>71701</v>
      </c>
      <c r="QI27">
        <v>737</v>
      </c>
      <c r="QJ27" s="16">
        <v>44275</v>
      </c>
      <c r="QK27">
        <v>72112</v>
      </c>
      <c r="QL27">
        <v>399</v>
      </c>
      <c r="QM27" s="16">
        <v>44276</v>
      </c>
      <c r="QN27">
        <v>72530</v>
      </c>
      <c r="QO27">
        <v>418</v>
      </c>
      <c r="QP27" s="16">
        <v>44277</v>
      </c>
      <c r="QQ27">
        <v>73292</v>
      </c>
      <c r="QR27">
        <v>761</v>
      </c>
      <c r="QS27" s="16">
        <v>44278</v>
      </c>
      <c r="QT27">
        <v>74003</v>
      </c>
      <c r="QU27">
        <v>698</v>
      </c>
      <c r="QV27" s="16">
        <v>44279</v>
      </c>
      <c r="QW27">
        <v>74701</v>
      </c>
      <c r="QX27">
        <v>699</v>
      </c>
      <c r="QY27" s="16">
        <v>44280</v>
      </c>
      <c r="QZ27">
        <v>75309</v>
      </c>
      <c r="RA27">
        <v>607</v>
      </c>
      <c r="RB27" s="16">
        <v>44281</v>
      </c>
      <c r="RC27">
        <v>75994</v>
      </c>
      <c r="RD27">
        <v>683</v>
      </c>
      <c r="RE27" s="16">
        <v>44282</v>
      </c>
      <c r="RF27">
        <v>76340</v>
      </c>
      <c r="RG27">
        <v>350</v>
      </c>
      <c r="RH27" s="16">
        <v>44283</v>
      </c>
      <c r="RI27">
        <v>76709</v>
      </c>
      <c r="RJ27">
        <v>371</v>
      </c>
      <c r="RK27" s="16">
        <v>44284</v>
      </c>
      <c r="RL27">
        <v>77355</v>
      </c>
      <c r="RM27">
        <v>647</v>
      </c>
      <c r="RN27" s="16">
        <v>44286</v>
      </c>
      <c r="RO27">
        <v>78457</v>
      </c>
      <c r="RP27">
        <v>536</v>
      </c>
      <c r="RQ27" s="16">
        <v>44287</v>
      </c>
      <c r="RR27">
        <v>78958</v>
      </c>
      <c r="RS27">
        <v>485</v>
      </c>
      <c r="RT27">
        <v>44288</v>
      </c>
      <c r="RU27">
        <v>79327</v>
      </c>
      <c r="RV27">
        <v>361</v>
      </c>
      <c r="RW27">
        <v>44289</v>
      </c>
      <c r="RX27">
        <v>79642</v>
      </c>
      <c r="RY27">
        <v>315</v>
      </c>
      <c r="RZ27">
        <v>44290</v>
      </c>
      <c r="SA27">
        <v>79963</v>
      </c>
      <c r="SB27">
        <v>320</v>
      </c>
      <c r="SC27">
        <v>44291</v>
      </c>
      <c r="SD27">
        <v>80326</v>
      </c>
      <c r="SE27">
        <v>362</v>
      </c>
      <c r="SF27">
        <v>44292</v>
      </c>
      <c r="SG27">
        <v>80862</v>
      </c>
      <c r="SH27">
        <v>536</v>
      </c>
      <c r="SI27">
        <v>44293</v>
      </c>
      <c r="SJ27">
        <v>81285</v>
      </c>
      <c r="SK27">
        <v>424</v>
      </c>
      <c r="SL27">
        <v>44295</v>
      </c>
      <c r="SM27">
        <v>82035</v>
      </c>
      <c r="SN27">
        <v>346</v>
      </c>
      <c r="SO27">
        <v>44296</v>
      </c>
      <c r="SP27">
        <v>82278</v>
      </c>
      <c r="SQ27">
        <v>224</v>
      </c>
      <c r="SR27">
        <v>44297</v>
      </c>
      <c r="SS27">
        <v>82524</v>
      </c>
      <c r="ST27">
        <v>238</v>
      </c>
      <c r="SU27">
        <v>44298</v>
      </c>
      <c r="SV27">
        <v>82925</v>
      </c>
      <c r="SW27">
        <v>399</v>
      </c>
      <c r="SX27">
        <v>44300</v>
      </c>
      <c r="SY27">
        <v>83601</v>
      </c>
      <c r="SZ27">
        <v>344</v>
      </c>
      <c r="TA27">
        <v>44301</v>
      </c>
      <c r="TB27">
        <v>83875</v>
      </c>
      <c r="TC27">
        <v>273</v>
      </c>
      <c r="TD27">
        <v>44303</v>
      </c>
      <c r="TE27">
        <v>84312</v>
      </c>
      <c r="TF27">
        <v>171</v>
      </c>
      <c r="TG27">
        <v>44304</v>
      </c>
      <c r="TH27">
        <v>84470</v>
      </c>
      <c r="TI27">
        <v>156</v>
      </c>
      <c r="TJ27">
        <v>44305</v>
      </c>
      <c r="TK27">
        <v>84754</v>
      </c>
      <c r="TL27">
        <v>282</v>
      </c>
      <c r="TM27">
        <v>44306</v>
      </c>
      <c r="TN27">
        <v>85043</v>
      </c>
      <c r="TO27">
        <v>287</v>
      </c>
      <c r="TP27">
        <v>44308</v>
      </c>
      <c r="TQ27">
        <v>85550</v>
      </c>
      <c r="TR27">
        <v>261</v>
      </c>
      <c r="TS27">
        <v>44309</v>
      </c>
      <c r="TT27">
        <v>85812</v>
      </c>
      <c r="TU27">
        <v>258</v>
      </c>
      <c r="TV27">
        <v>44309</v>
      </c>
      <c r="TW27">
        <v>85817</v>
      </c>
      <c r="TX27">
        <v>258</v>
      </c>
      <c r="TY27">
        <v>44310</v>
      </c>
      <c r="TZ27">
        <v>85967</v>
      </c>
      <c r="UA27">
        <v>152</v>
      </c>
      <c r="UB27">
        <v>44312</v>
      </c>
      <c r="UC27">
        <v>86347</v>
      </c>
      <c r="UD27">
        <v>241</v>
      </c>
      <c r="UE27">
        <v>44312</v>
      </c>
      <c r="UF27">
        <v>86347</v>
      </c>
      <c r="UG27">
        <v>241</v>
      </c>
      <c r="UH27">
        <v>44313</v>
      </c>
      <c r="UI27">
        <v>86581</v>
      </c>
      <c r="UJ27">
        <v>229</v>
      </c>
      <c r="UK27">
        <v>44314</v>
      </c>
      <c r="UL27">
        <v>86861</v>
      </c>
      <c r="UM27">
        <v>275</v>
      </c>
      <c r="UN27">
        <v>44318</v>
      </c>
      <c r="UO27">
        <v>87502</v>
      </c>
      <c r="UP27">
        <v>137</v>
      </c>
      <c r="UQ27">
        <v>44319</v>
      </c>
      <c r="UR27">
        <v>87827</v>
      </c>
      <c r="US27">
        <v>321</v>
      </c>
      <c r="UT27">
        <v>44320</v>
      </c>
      <c r="UU27">
        <v>88023</v>
      </c>
      <c r="UV27">
        <v>204</v>
      </c>
      <c r="UW27">
        <v>44321</v>
      </c>
      <c r="UX27">
        <v>88292</v>
      </c>
      <c r="UY27">
        <v>270</v>
      </c>
      <c r="UZ27">
        <v>44323</v>
      </c>
      <c r="VA27">
        <v>88746</v>
      </c>
      <c r="VB27">
        <v>215</v>
      </c>
      <c r="VC27">
        <v>44323</v>
      </c>
      <c r="VD27">
        <v>88741</v>
      </c>
      <c r="VE27">
        <v>215</v>
      </c>
      <c r="VF27">
        <v>44324</v>
      </c>
      <c r="VG27">
        <v>88875</v>
      </c>
      <c r="VH27">
        <v>130</v>
      </c>
      <c r="VI27">
        <v>44326</v>
      </c>
      <c r="VJ27">
        <v>89257</v>
      </c>
      <c r="VK27">
        <v>255</v>
      </c>
      <c r="VL27">
        <v>44326</v>
      </c>
      <c r="VM27">
        <v>89253</v>
      </c>
      <c r="VN27">
        <v>254</v>
      </c>
      <c r="VO27">
        <v>44327</v>
      </c>
      <c r="VP27">
        <v>89460</v>
      </c>
      <c r="VQ27">
        <v>215</v>
      </c>
      <c r="VR27">
        <v>44328</v>
      </c>
      <c r="VS27">
        <v>89715</v>
      </c>
      <c r="VT27">
        <v>255</v>
      </c>
      <c r="VU27">
        <v>44330</v>
      </c>
      <c r="VV27">
        <v>90121</v>
      </c>
      <c r="VW27">
        <v>243</v>
      </c>
      <c r="VX27">
        <v>44330</v>
      </c>
      <c r="VY27">
        <v>90124</v>
      </c>
      <c r="VZ27">
        <v>244</v>
      </c>
      <c r="WA27">
        <v>44331</v>
      </c>
      <c r="WB27">
        <v>90285</v>
      </c>
      <c r="WC27">
        <v>157</v>
      </c>
      <c r="WD27">
        <v>44332</v>
      </c>
      <c r="WE27">
        <v>90417</v>
      </c>
      <c r="WF27">
        <v>132</v>
      </c>
      <c r="WG27">
        <v>44333</v>
      </c>
      <c r="WH27">
        <v>90703</v>
      </c>
      <c r="WI27">
        <v>285</v>
      </c>
      <c r="WJ27">
        <v>44335</v>
      </c>
      <c r="WK27">
        <v>91146</v>
      </c>
      <c r="WL27">
        <v>229</v>
      </c>
      <c r="WM27">
        <v>44335</v>
      </c>
      <c r="WN27">
        <v>91151</v>
      </c>
      <c r="WO27">
        <v>230</v>
      </c>
      <c r="WP27">
        <v>44338</v>
      </c>
      <c r="WQ27">
        <v>91641</v>
      </c>
      <c r="WR27">
        <v>106</v>
      </c>
      <c r="WS27">
        <v>44339</v>
      </c>
      <c r="WT27">
        <v>91737</v>
      </c>
      <c r="WU27">
        <v>92</v>
      </c>
      <c r="WV27">
        <v>44340</v>
      </c>
      <c r="WW27">
        <v>91930</v>
      </c>
      <c r="WX27">
        <v>189</v>
      </c>
      <c r="WY27">
        <v>44341</v>
      </c>
      <c r="WZ27">
        <v>92086</v>
      </c>
      <c r="XA27">
        <v>152</v>
      </c>
      <c r="XB27">
        <v>44342</v>
      </c>
      <c r="XC27">
        <v>92227</v>
      </c>
      <c r="XD27">
        <v>142</v>
      </c>
      <c r="XE27">
        <v>44344</v>
      </c>
      <c r="XF27">
        <v>92489</v>
      </c>
      <c r="XG27">
        <v>136</v>
      </c>
      <c r="XH27">
        <v>44344</v>
      </c>
      <c r="XI27">
        <v>92495</v>
      </c>
      <c r="XJ27">
        <v>136</v>
      </c>
      <c r="XK27">
        <v>44345</v>
      </c>
      <c r="XL27">
        <v>92561</v>
      </c>
      <c r="XM27">
        <v>65</v>
      </c>
      <c r="XN27">
        <v>44346</v>
      </c>
      <c r="XO27">
        <v>92642</v>
      </c>
      <c r="XP27">
        <v>79</v>
      </c>
      <c r="XQ27">
        <v>44347</v>
      </c>
      <c r="XR27">
        <v>92787</v>
      </c>
      <c r="XS27">
        <v>144</v>
      </c>
      <c r="XT27">
        <v>44348</v>
      </c>
      <c r="XU27">
        <v>92912</v>
      </c>
      <c r="XV27">
        <v>123</v>
      </c>
      <c r="XW27">
        <v>44349</v>
      </c>
      <c r="XX27">
        <v>93033</v>
      </c>
      <c r="XY27">
        <v>119</v>
      </c>
      <c r="XZ27">
        <v>44350</v>
      </c>
      <c r="YA27">
        <v>93144</v>
      </c>
      <c r="YB27">
        <v>110</v>
      </c>
      <c r="YC27">
        <v>44352</v>
      </c>
      <c r="YD27">
        <v>93310</v>
      </c>
      <c r="YE27">
        <v>65</v>
      </c>
      <c r="YF27">
        <v>44353</v>
      </c>
      <c r="YG27">
        <v>93371</v>
      </c>
      <c r="YH27">
        <v>60</v>
      </c>
      <c r="YI27">
        <v>44354</v>
      </c>
      <c r="YJ27">
        <v>93515</v>
      </c>
      <c r="YK27">
        <v>141</v>
      </c>
      <c r="YL27">
        <v>44355</v>
      </c>
      <c r="YM27">
        <v>93616</v>
      </c>
      <c r="YN27">
        <v>102</v>
      </c>
      <c r="YO27">
        <v>44356</v>
      </c>
      <c r="YP27">
        <v>93696</v>
      </c>
      <c r="YQ27">
        <v>82</v>
      </c>
      <c r="YR27">
        <v>44357</v>
      </c>
      <c r="YS27">
        <v>93777</v>
      </c>
      <c r="YT27">
        <v>77</v>
      </c>
      <c r="YU27">
        <v>44358</v>
      </c>
      <c r="YV27">
        <v>93856</v>
      </c>
      <c r="YW27">
        <v>70</v>
      </c>
    </row>
    <row r="28" spans="2:673" s="10" customFormat="1">
      <c r="B28" t="str">
        <f t="shared" ca="1" si="2"/>
        <v>12.6</v>
      </c>
      <c r="C28" s="9">
        <f t="shared" ca="1" si="0"/>
        <v>44359</v>
      </c>
      <c r="D28" s="10">
        <f t="shared" ca="1" si="1"/>
        <v>93897</v>
      </c>
      <c r="E28" s="10">
        <f t="shared" ca="1" si="3"/>
        <v>45</v>
      </c>
      <c r="F28" s="10">
        <f t="shared" ca="1" si="4"/>
        <v>2</v>
      </c>
      <c r="G28" s="10">
        <f t="shared" ca="1" si="5"/>
        <v>43</v>
      </c>
      <c r="H28" s="10">
        <f ca="1">SUM(E28:E34)</f>
        <v>417</v>
      </c>
      <c r="I28" s="10" t="str">
        <f ca="1">TEXT(H28/H21-1,"0 %")</f>
        <v>-29 %</v>
      </c>
      <c r="L28" s="14"/>
      <c r="M28"/>
      <c r="N28" s="17">
        <v>44359</v>
      </c>
      <c r="O28" s="10">
        <v>93899</v>
      </c>
      <c r="P28">
        <v>43</v>
      </c>
      <c r="Q28" s="17">
        <v>44359</v>
      </c>
      <c r="R28" s="10">
        <v>93899</v>
      </c>
      <c r="S28" s="10">
        <v>43</v>
      </c>
      <c r="T28" s="17">
        <v>44106</v>
      </c>
      <c r="U28" s="10">
        <v>10747</v>
      </c>
      <c r="V28" s="10">
        <v>189</v>
      </c>
      <c r="W28" s="17">
        <v>44107</v>
      </c>
      <c r="X28" s="10">
        <v>10920</v>
      </c>
      <c r="Y28" s="10">
        <v>172</v>
      </c>
      <c r="Z28" s="17">
        <v>44108</v>
      </c>
      <c r="AA28" s="10">
        <v>11091</v>
      </c>
      <c r="AB28" s="10">
        <v>152</v>
      </c>
      <c r="AC28" s="17">
        <v>44109</v>
      </c>
      <c r="AD28" s="10">
        <v>11355</v>
      </c>
      <c r="AE28" s="10">
        <v>272</v>
      </c>
      <c r="AF28" s="17">
        <v>44110</v>
      </c>
      <c r="AG28" s="10">
        <v>11616</v>
      </c>
      <c r="AH28" s="10">
        <v>262</v>
      </c>
      <c r="AI28" s="17">
        <v>44111</v>
      </c>
      <c r="AJ28" s="10">
        <v>11959</v>
      </c>
      <c r="AK28" s="10">
        <v>304</v>
      </c>
      <c r="AL28" s="17">
        <v>44112</v>
      </c>
      <c r="AM28" s="10">
        <v>12215</v>
      </c>
      <c r="AN28" s="10">
        <v>260</v>
      </c>
      <c r="AO28" s="17">
        <v>44113</v>
      </c>
      <c r="AP28" s="10">
        <v>12435</v>
      </c>
      <c r="AQ28" s="10">
        <v>218</v>
      </c>
      <c r="AR28" s="17">
        <v>44114</v>
      </c>
      <c r="AS28" s="10">
        <v>12545</v>
      </c>
      <c r="AT28" s="10">
        <v>107</v>
      </c>
      <c r="AU28" s="17">
        <v>44115</v>
      </c>
      <c r="AV28" s="10">
        <v>12689</v>
      </c>
      <c r="AW28" s="10">
        <v>131</v>
      </c>
      <c r="AX28" s="17">
        <v>44116</v>
      </c>
      <c r="AY28" s="10">
        <v>12894</v>
      </c>
      <c r="AZ28" s="10">
        <v>209</v>
      </c>
      <c r="BA28" s="17">
        <v>44117</v>
      </c>
      <c r="BB28" s="10">
        <v>13045</v>
      </c>
      <c r="BC28" s="10">
        <v>152</v>
      </c>
      <c r="BD28" s="17">
        <v>44118</v>
      </c>
      <c r="BE28" s="10">
        <v>13313</v>
      </c>
      <c r="BF28" s="10">
        <v>196</v>
      </c>
      <c r="BG28" s="17">
        <v>44119</v>
      </c>
      <c r="BH28" s="10">
        <v>13514</v>
      </c>
      <c r="BI28" s="10">
        <v>186</v>
      </c>
      <c r="BJ28" s="17">
        <v>44120</v>
      </c>
      <c r="BK28" s="10">
        <v>13711</v>
      </c>
      <c r="BL28" s="10">
        <v>191</v>
      </c>
      <c r="BM28" s="17">
        <v>44121</v>
      </c>
      <c r="BN28" s="10">
        <v>13813</v>
      </c>
      <c r="BO28" s="10">
        <v>101</v>
      </c>
      <c r="BP28" s="17">
        <v>44122</v>
      </c>
      <c r="BQ28" s="10">
        <v>13947</v>
      </c>
      <c r="BR28" s="10">
        <v>129</v>
      </c>
      <c r="BS28" s="17">
        <v>44123</v>
      </c>
      <c r="BT28" s="10">
        <v>14185</v>
      </c>
      <c r="BU28" s="10">
        <v>244</v>
      </c>
      <c r="BV28" s="17">
        <v>44125</v>
      </c>
      <c r="BW28" s="10">
        <v>14522</v>
      </c>
      <c r="BX28" s="10">
        <v>172</v>
      </c>
      <c r="BY28" s="17">
        <v>44126</v>
      </c>
      <c r="BZ28" s="10">
        <v>14744</v>
      </c>
      <c r="CA28" s="10">
        <v>212</v>
      </c>
      <c r="CB28" s="17">
        <v>44127</v>
      </c>
      <c r="CC28" s="10">
        <v>14944</v>
      </c>
      <c r="CD28" s="10">
        <v>193</v>
      </c>
      <c r="CE28" s="17">
        <v>44128</v>
      </c>
      <c r="CF28" s="10">
        <v>15059</v>
      </c>
      <c r="CG28" s="10">
        <v>107</v>
      </c>
      <c r="CH28" s="17">
        <v>44129</v>
      </c>
      <c r="CI28" s="10">
        <v>15184</v>
      </c>
      <c r="CJ28" s="10">
        <v>123</v>
      </c>
      <c r="CK28" s="17">
        <v>44130</v>
      </c>
      <c r="CL28" s="10">
        <v>15438</v>
      </c>
      <c r="CM28" s="10">
        <v>254</v>
      </c>
      <c r="CN28" s="17">
        <v>44131</v>
      </c>
      <c r="CO28" s="10">
        <v>15664</v>
      </c>
      <c r="CP28" s="10">
        <v>227</v>
      </c>
      <c r="CQ28" s="17">
        <v>44132</v>
      </c>
      <c r="CR28" s="10">
        <v>15908</v>
      </c>
      <c r="CS28" s="10">
        <v>241</v>
      </c>
      <c r="CT28" s="17">
        <v>44133</v>
      </c>
      <c r="CU28" s="10">
        <v>16147</v>
      </c>
      <c r="CV28" s="10">
        <v>234</v>
      </c>
      <c r="CW28" s="17">
        <v>44134</v>
      </c>
      <c r="CX28" s="10">
        <v>16367</v>
      </c>
      <c r="CY28" s="10">
        <v>213</v>
      </c>
      <c r="CZ28" s="17">
        <v>44136</v>
      </c>
      <c r="DA28" s="10">
        <v>16638</v>
      </c>
      <c r="DB28" s="10">
        <v>148</v>
      </c>
      <c r="DC28" s="17">
        <v>44137</v>
      </c>
      <c r="DD28" s="10">
        <v>16921</v>
      </c>
      <c r="DE28" s="10">
        <v>281</v>
      </c>
      <c r="DF28" s="17">
        <v>44138</v>
      </c>
      <c r="DG28" s="10">
        <v>17161</v>
      </c>
      <c r="DH28" s="10">
        <v>238</v>
      </c>
      <c r="DI28" s="17">
        <v>44139</v>
      </c>
      <c r="DJ28" s="10">
        <v>17369</v>
      </c>
      <c r="DK28" s="10">
        <v>205</v>
      </c>
      <c r="DL28" s="17">
        <v>44140</v>
      </c>
      <c r="DM28" s="10">
        <v>17593</v>
      </c>
      <c r="DN28" s="10">
        <v>217</v>
      </c>
      <c r="DO28" s="17">
        <v>44141</v>
      </c>
      <c r="DP28" s="10">
        <v>17789</v>
      </c>
      <c r="DQ28" s="10">
        <v>194</v>
      </c>
      <c r="DR28" s="17">
        <v>44142</v>
      </c>
      <c r="DS28" s="10">
        <v>17922</v>
      </c>
      <c r="DT28" s="10">
        <v>127</v>
      </c>
      <c r="DU28" s="17">
        <v>44143</v>
      </c>
      <c r="DV28" s="10">
        <v>18059</v>
      </c>
      <c r="DW28" s="10">
        <v>134</v>
      </c>
      <c r="DX28" s="17">
        <v>44144</v>
      </c>
      <c r="DY28" s="10">
        <v>18338</v>
      </c>
      <c r="DZ28" s="10">
        <v>278</v>
      </c>
      <c r="EA28" s="17">
        <v>44145</v>
      </c>
      <c r="EB28" s="10">
        <v>18547</v>
      </c>
      <c r="EC28" s="10">
        <v>208</v>
      </c>
      <c r="ED28" s="17">
        <v>44146</v>
      </c>
      <c r="EE28" s="10">
        <v>18830</v>
      </c>
      <c r="EF28" s="10">
        <v>288</v>
      </c>
      <c r="EG28" s="17">
        <v>44147</v>
      </c>
      <c r="EH28" s="10">
        <v>19078</v>
      </c>
      <c r="EI28" s="10">
        <v>241</v>
      </c>
      <c r="EJ28" s="17">
        <v>44148</v>
      </c>
      <c r="EK28" s="10">
        <v>19308</v>
      </c>
      <c r="EL28" s="10">
        <v>227</v>
      </c>
      <c r="EM28" s="17">
        <v>44149</v>
      </c>
      <c r="EN28" s="10">
        <v>19519</v>
      </c>
      <c r="EO28" s="10">
        <v>149</v>
      </c>
      <c r="EP28" s="17">
        <v>44150</v>
      </c>
      <c r="EQ28" s="10">
        <v>19695</v>
      </c>
      <c r="ER28" s="10">
        <v>187</v>
      </c>
      <c r="ES28" s="17">
        <v>44151</v>
      </c>
      <c r="ET28" s="10">
        <v>20084</v>
      </c>
      <c r="EU28" s="10">
        <v>392</v>
      </c>
      <c r="EV28" s="17">
        <v>44152</v>
      </c>
      <c r="EW28" s="10">
        <v>20473</v>
      </c>
      <c r="EX28" s="10">
        <v>393</v>
      </c>
      <c r="EY28" s="17">
        <v>44153</v>
      </c>
      <c r="EZ28" s="10">
        <v>20844</v>
      </c>
      <c r="FA28" s="10">
        <v>369</v>
      </c>
      <c r="FB28" s="17">
        <v>44154</v>
      </c>
      <c r="FC28" s="10">
        <v>21329</v>
      </c>
      <c r="FD28" s="10">
        <v>479</v>
      </c>
      <c r="FE28" s="17">
        <v>44155</v>
      </c>
      <c r="FF28" s="10">
        <v>21685</v>
      </c>
      <c r="FG28" s="10">
        <v>422</v>
      </c>
      <c r="FH28" s="17">
        <v>44156</v>
      </c>
      <c r="FI28" s="10">
        <v>22030</v>
      </c>
      <c r="FJ28" s="10">
        <v>269</v>
      </c>
      <c r="FK28" s="17">
        <v>44157</v>
      </c>
      <c r="FL28" s="10">
        <v>22317</v>
      </c>
      <c r="FM28" s="10">
        <v>265</v>
      </c>
      <c r="FN28" s="17">
        <v>44158</v>
      </c>
      <c r="FO28" s="10">
        <v>22803</v>
      </c>
      <c r="FP28" s="10">
        <v>483</v>
      </c>
      <c r="FQ28" s="17">
        <v>44159</v>
      </c>
      <c r="FR28" s="10">
        <v>23235</v>
      </c>
      <c r="FS28" s="10">
        <v>437</v>
      </c>
      <c r="FT28" s="17">
        <v>44160</v>
      </c>
      <c r="FU28" s="10">
        <v>23884</v>
      </c>
      <c r="FV28" s="10">
        <v>599</v>
      </c>
      <c r="FW28" s="17">
        <v>44161</v>
      </c>
      <c r="FX28" s="10">
        <v>24393</v>
      </c>
      <c r="FY28" s="10">
        <v>503</v>
      </c>
      <c r="FZ28" s="17">
        <v>44162</v>
      </c>
      <c r="GA28" s="10">
        <v>24863</v>
      </c>
      <c r="GB28" s="10">
        <v>462</v>
      </c>
      <c r="GC28" s="17">
        <v>44163</v>
      </c>
      <c r="GD28" s="10">
        <v>25146</v>
      </c>
      <c r="GE28" s="10">
        <v>288</v>
      </c>
      <c r="GF28" s="17">
        <v>44164</v>
      </c>
      <c r="GG28" s="10">
        <v>25432</v>
      </c>
      <c r="GH28" s="10">
        <v>280</v>
      </c>
      <c r="GI28" s="17">
        <v>44165</v>
      </c>
      <c r="GJ28" s="10">
        <v>25977</v>
      </c>
      <c r="GK28" s="10">
        <v>543</v>
      </c>
      <c r="GL28" s="17">
        <v>44166</v>
      </c>
      <c r="GM28" s="10">
        <v>26370</v>
      </c>
      <c r="GN28" s="10">
        <v>388</v>
      </c>
      <c r="GO28" s="17">
        <v>44167</v>
      </c>
      <c r="GP28" s="10">
        <v>26859</v>
      </c>
      <c r="GQ28" s="10">
        <v>475</v>
      </c>
      <c r="GR28" s="17">
        <v>44168</v>
      </c>
      <c r="GS28" s="10">
        <v>27276</v>
      </c>
      <c r="GT28" s="10">
        <v>402</v>
      </c>
      <c r="GU28" s="17">
        <v>44169</v>
      </c>
      <c r="GV28" s="10">
        <v>27950</v>
      </c>
      <c r="GW28" s="10">
        <v>471</v>
      </c>
      <c r="GX28" s="17">
        <v>44170</v>
      </c>
      <c r="GY28" s="10">
        <v>28212</v>
      </c>
      <c r="GZ28" s="10">
        <v>250</v>
      </c>
      <c r="HA28" s="17">
        <v>44171</v>
      </c>
      <c r="HB28" s="10">
        <v>28501</v>
      </c>
      <c r="HC28" s="10">
        <v>282</v>
      </c>
      <c r="HD28" s="17">
        <v>44172</v>
      </c>
      <c r="HE28" s="10">
        <v>29093</v>
      </c>
      <c r="HF28" s="10">
        <v>589</v>
      </c>
      <c r="HG28" s="17">
        <v>44173</v>
      </c>
      <c r="HH28" s="10">
        <v>29541</v>
      </c>
      <c r="HI28" s="10">
        <v>465</v>
      </c>
      <c r="HJ28" s="17">
        <v>44174</v>
      </c>
      <c r="HK28" s="10">
        <v>29998</v>
      </c>
      <c r="HL28" s="10">
        <v>459</v>
      </c>
      <c r="HM28" s="17">
        <v>44175</v>
      </c>
      <c r="HN28" s="10">
        <v>30417</v>
      </c>
      <c r="HO28" s="10">
        <v>409</v>
      </c>
      <c r="HP28" s="17">
        <v>44176</v>
      </c>
      <c r="HQ28" s="10">
        <v>30870</v>
      </c>
      <c r="HR28" s="10">
        <v>446</v>
      </c>
      <c r="HS28" s="17">
        <v>44177</v>
      </c>
      <c r="HT28" s="10">
        <v>31113</v>
      </c>
      <c r="HU28" s="10">
        <v>249</v>
      </c>
      <c r="HV28" s="17">
        <v>44178</v>
      </c>
      <c r="HW28" s="10">
        <v>31391</v>
      </c>
      <c r="HX28" s="10">
        <v>274</v>
      </c>
      <c r="HY28" s="17">
        <v>44179</v>
      </c>
      <c r="HZ28" s="10">
        <v>31848</v>
      </c>
      <c r="IA28" s="10">
        <v>460</v>
      </c>
      <c r="IB28" s="17">
        <v>44180</v>
      </c>
      <c r="IC28" s="10">
        <v>32198</v>
      </c>
      <c r="ID28" s="10">
        <v>353</v>
      </c>
      <c r="IE28" s="17">
        <v>44181</v>
      </c>
      <c r="IF28" s="10">
        <v>32555</v>
      </c>
      <c r="IG28" s="10">
        <v>348</v>
      </c>
      <c r="IH28" s="17">
        <v>44182</v>
      </c>
      <c r="II28" s="10">
        <v>32876</v>
      </c>
      <c r="IJ28" s="10">
        <v>320</v>
      </c>
      <c r="IK28" s="17">
        <v>44183</v>
      </c>
      <c r="IL28" s="10">
        <v>33276</v>
      </c>
      <c r="IM28" s="10">
        <v>396</v>
      </c>
      <c r="IN28" s="17">
        <v>44184</v>
      </c>
      <c r="IO28" s="10">
        <v>33464</v>
      </c>
      <c r="IP28" s="10">
        <v>190</v>
      </c>
      <c r="IQ28" s="17">
        <v>44185</v>
      </c>
      <c r="IR28" s="10">
        <v>33706</v>
      </c>
      <c r="IS28" s="10">
        <v>245</v>
      </c>
      <c r="IT28" s="17">
        <v>44186</v>
      </c>
      <c r="IU28" s="10">
        <v>34073</v>
      </c>
      <c r="IV28" s="10">
        <v>368</v>
      </c>
      <c r="IW28" s="17">
        <v>44187</v>
      </c>
      <c r="IX28" s="10">
        <v>34397</v>
      </c>
      <c r="IY28" s="10">
        <v>324</v>
      </c>
      <c r="IZ28" s="17">
        <v>44188</v>
      </c>
      <c r="JA28" s="10">
        <v>34667</v>
      </c>
      <c r="JB28" s="10">
        <v>261</v>
      </c>
      <c r="JC28" s="17">
        <v>44192</v>
      </c>
      <c r="JD28" s="10">
        <v>35353</v>
      </c>
      <c r="JE28" s="10">
        <v>182</v>
      </c>
      <c r="JF28" s="17">
        <v>44196</v>
      </c>
      <c r="JG28" s="10">
        <v>36574</v>
      </c>
      <c r="JH28" s="10">
        <v>232</v>
      </c>
      <c r="JI28" s="17">
        <v>44197</v>
      </c>
      <c r="JJ28" s="10">
        <v>36782</v>
      </c>
      <c r="JK28" s="10">
        <v>128</v>
      </c>
      <c r="JL28" s="17">
        <v>44198</v>
      </c>
      <c r="JM28" s="10">
        <v>36986</v>
      </c>
      <c r="JN28" s="10">
        <v>206</v>
      </c>
      <c r="JO28" s="17">
        <v>44199</v>
      </c>
      <c r="JP28" s="10">
        <v>37143</v>
      </c>
      <c r="JQ28" s="10">
        <v>171</v>
      </c>
      <c r="JR28" s="17">
        <v>44201</v>
      </c>
      <c r="JS28" s="10">
        <v>37803</v>
      </c>
      <c r="JT28" s="10">
        <v>259</v>
      </c>
      <c r="JU28" s="17">
        <v>44201</v>
      </c>
      <c r="JV28" s="10">
        <v>37805</v>
      </c>
      <c r="JW28" s="10">
        <v>260</v>
      </c>
      <c r="JX28" s="17">
        <v>44203</v>
      </c>
      <c r="JY28" s="10">
        <v>38335</v>
      </c>
      <c r="JZ28" s="10">
        <v>329</v>
      </c>
      <c r="KA28" s="17">
        <v>44215</v>
      </c>
      <c r="KB28" s="10">
        <v>39593</v>
      </c>
      <c r="KC28" s="10">
        <v>0</v>
      </c>
      <c r="KD28" s="17">
        <v>44215</v>
      </c>
      <c r="KE28" s="10">
        <v>41534</v>
      </c>
      <c r="KF28" s="10">
        <v>348</v>
      </c>
      <c r="KG28" s="17">
        <v>44216</v>
      </c>
      <c r="KH28" s="10">
        <v>41909</v>
      </c>
      <c r="KI28" s="10">
        <v>396</v>
      </c>
      <c r="KJ28" s="17">
        <v>44218</v>
      </c>
      <c r="KK28" s="10">
        <v>42642</v>
      </c>
      <c r="KL28" s="10">
        <v>355</v>
      </c>
      <c r="KM28" s="17">
        <v>44219</v>
      </c>
      <c r="KN28" s="10">
        <v>42818</v>
      </c>
      <c r="KO28" s="10">
        <v>170</v>
      </c>
      <c r="KP28" s="17">
        <v>44223</v>
      </c>
      <c r="KQ28" s="10">
        <v>44387</v>
      </c>
      <c r="KR28" s="10">
        <v>323</v>
      </c>
      <c r="KS28" s="17">
        <v>44224</v>
      </c>
      <c r="KT28" s="10">
        <v>44883</v>
      </c>
      <c r="KU28" s="10">
        <v>430</v>
      </c>
      <c r="KV28" s="17">
        <v>44225</v>
      </c>
      <c r="KW28" s="10">
        <v>45268</v>
      </c>
      <c r="KX28" s="10">
        <v>379</v>
      </c>
      <c r="KY28" s="17">
        <v>44227</v>
      </c>
      <c r="KZ28" s="10">
        <v>45798</v>
      </c>
      <c r="LA28" s="10">
        <v>282</v>
      </c>
      <c r="LB28" s="17">
        <v>44228</v>
      </c>
      <c r="LC28" s="10">
        <v>46309</v>
      </c>
      <c r="LD28" s="10">
        <v>519</v>
      </c>
      <c r="LE28" s="17">
        <v>44229</v>
      </c>
      <c r="LF28" s="10">
        <v>46700</v>
      </c>
      <c r="LG28" s="10">
        <v>394</v>
      </c>
      <c r="LH28" s="17">
        <v>44231</v>
      </c>
      <c r="LI28" s="10">
        <v>47446</v>
      </c>
      <c r="LJ28" s="10">
        <v>348</v>
      </c>
      <c r="LK28" s="17">
        <v>44231</v>
      </c>
      <c r="LL28" s="10">
        <v>47448</v>
      </c>
      <c r="LM28" s="10">
        <v>347</v>
      </c>
      <c r="LN28" s="17">
        <v>44233</v>
      </c>
      <c r="LO28" s="10">
        <v>48066</v>
      </c>
      <c r="LP28" s="10">
        <v>233</v>
      </c>
      <c r="LQ28" s="17">
        <v>44234</v>
      </c>
      <c r="LR28" s="10">
        <v>48366</v>
      </c>
      <c r="LS28" s="10">
        <v>262</v>
      </c>
      <c r="LT28" s="17">
        <v>44235</v>
      </c>
      <c r="LU28" s="10">
        <v>48833</v>
      </c>
      <c r="LV28" s="10">
        <v>463</v>
      </c>
      <c r="LW28" s="17">
        <v>44236</v>
      </c>
      <c r="LX28" s="10">
        <v>49208</v>
      </c>
      <c r="LY28" s="10">
        <v>367</v>
      </c>
      <c r="LZ28" s="17">
        <v>44237</v>
      </c>
      <c r="MA28" s="10">
        <v>49580</v>
      </c>
      <c r="MB28" s="10">
        <v>381</v>
      </c>
      <c r="MC28" s="17">
        <v>44238</v>
      </c>
      <c r="MD28" s="10">
        <v>49943</v>
      </c>
      <c r="ME28" s="10">
        <v>349</v>
      </c>
      <c r="MF28" s="17">
        <v>44240</v>
      </c>
      <c r="MG28" s="10">
        <v>50641</v>
      </c>
      <c r="MH28" s="10">
        <v>273</v>
      </c>
      <c r="MI28" s="17">
        <v>44240</v>
      </c>
      <c r="MJ28" s="10">
        <v>50645</v>
      </c>
      <c r="MK28" s="10">
        <v>276</v>
      </c>
      <c r="ML28" s="17">
        <v>44241</v>
      </c>
      <c r="MM28" s="10">
        <v>50905</v>
      </c>
      <c r="MN28" s="10">
        <v>270</v>
      </c>
      <c r="MO28" s="17">
        <v>44242</v>
      </c>
      <c r="MP28" s="10">
        <v>51509</v>
      </c>
      <c r="MQ28" s="10">
        <v>605</v>
      </c>
      <c r="MR28" s="17">
        <v>44243</v>
      </c>
      <c r="MS28" s="10">
        <v>52015</v>
      </c>
      <c r="MT28" s="10">
        <v>500</v>
      </c>
      <c r="MU28" s="17">
        <v>44244</v>
      </c>
      <c r="MV28" s="10">
        <v>52545</v>
      </c>
      <c r="MW28" s="10">
        <v>526</v>
      </c>
      <c r="MX28" s="17">
        <v>44245</v>
      </c>
      <c r="MY28" s="10">
        <v>53152</v>
      </c>
      <c r="MZ28" s="10">
        <v>594</v>
      </c>
      <c r="NA28" s="17">
        <v>44245</v>
      </c>
      <c r="NB28" s="10">
        <v>53174</v>
      </c>
      <c r="NC28" s="10">
        <v>602</v>
      </c>
      <c r="ND28" s="17">
        <v>44248</v>
      </c>
      <c r="NE28" s="10">
        <v>54425</v>
      </c>
      <c r="NF28" s="10">
        <v>351</v>
      </c>
      <c r="NG28" s="17">
        <v>44248</v>
      </c>
      <c r="NH28" s="10">
        <v>54424</v>
      </c>
      <c r="NI28" s="10">
        <v>352</v>
      </c>
      <c r="NJ28" s="17">
        <v>44250</v>
      </c>
      <c r="NK28" s="10">
        <v>55646</v>
      </c>
      <c r="NL28" s="10">
        <v>604</v>
      </c>
      <c r="NM28" s="17">
        <v>44250</v>
      </c>
      <c r="NN28" s="10">
        <v>55652</v>
      </c>
      <c r="NO28" s="10">
        <v>605</v>
      </c>
      <c r="NP28" s="17">
        <v>44252</v>
      </c>
      <c r="NQ28" s="10">
        <v>56856</v>
      </c>
      <c r="NR28" s="10">
        <v>598</v>
      </c>
      <c r="NS28" s="17">
        <v>44253</v>
      </c>
      <c r="NT28" s="10">
        <v>57573</v>
      </c>
      <c r="NU28" s="10">
        <v>671</v>
      </c>
      <c r="NV28" s="17">
        <v>44254</v>
      </c>
      <c r="NW28" s="10">
        <v>57990</v>
      </c>
      <c r="NX28" s="10">
        <v>396</v>
      </c>
      <c r="NY28" s="17">
        <v>44255</v>
      </c>
      <c r="NZ28" s="10">
        <v>58415</v>
      </c>
      <c r="OA28" s="10">
        <v>419</v>
      </c>
      <c r="OB28" s="17">
        <v>44256</v>
      </c>
      <c r="OC28" s="10">
        <v>59280</v>
      </c>
      <c r="OD28" s="10">
        <v>861</v>
      </c>
      <c r="OE28" s="17">
        <v>44257</v>
      </c>
      <c r="OF28" s="10">
        <v>60028</v>
      </c>
      <c r="OG28" s="10">
        <v>741</v>
      </c>
      <c r="OH28" s="17">
        <v>44258</v>
      </c>
      <c r="OI28" s="10">
        <v>60795</v>
      </c>
      <c r="OJ28" s="10">
        <v>734</v>
      </c>
      <c r="OK28" s="17">
        <v>44259</v>
      </c>
      <c r="OL28" s="10">
        <v>61417</v>
      </c>
      <c r="OM28" s="10">
        <v>623</v>
      </c>
      <c r="ON28" s="17">
        <v>44260</v>
      </c>
      <c r="OO28" s="10">
        <v>62022</v>
      </c>
      <c r="OP28" s="10">
        <v>596</v>
      </c>
      <c r="OQ28" s="17">
        <v>44261</v>
      </c>
      <c r="OR28" s="10">
        <v>62463</v>
      </c>
      <c r="OS28" s="10">
        <v>431</v>
      </c>
      <c r="OT28" s="17">
        <v>44262</v>
      </c>
      <c r="OU28" s="10">
        <v>62851</v>
      </c>
      <c r="OV28" s="10">
        <v>389</v>
      </c>
      <c r="OW28" s="17">
        <v>44263</v>
      </c>
      <c r="OX28" s="10">
        <v>63678</v>
      </c>
      <c r="OY28" s="10">
        <v>827</v>
      </c>
      <c r="OZ28" s="17">
        <v>44264</v>
      </c>
      <c r="PA28" s="10">
        <v>64423</v>
      </c>
      <c r="PB28" s="10">
        <v>741</v>
      </c>
      <c r="PC28" s="17">
        <v>44265</v>
      </c>
      <c r="PD28" s="10">
        <v>65205</v>
      </c>
      <c r="PE28" s="10">
        <v>775</v>
      </c>
      <c r="PF28" s="17">
        <v>44266</v>
      </c>
      <c r="PG28" s="10">
        <v>65957</v>
      </c>
      <c r="PH28" s="10">
        <v>750</v>
      </c>
      <c r="PI28" s="17">
        <v>44267</v>
      </c>
      <c r="PJ28" s="10">
        <v>66747</v>
      </c>
      <c r="PK28" s="10">
        <v>776</v>
      </c>
      <c r="PL28" s="17">
        <v>44268</v>
      </c>
      <c r="PM28" s="10">
        <v>67302</v>
      </c>
      <c r="PN28" s="10">
        <v>488</v>
      </c>
      <c r="PO28" s="17">
        <v>44269</v>
      </c>
      <c r="PP28" s="10">
        <v>67751</v>
      </c>
      <c r="PQ28" s="10">
        <v>424</v>
      </c>
      <c r="PR28" s="17">
        <v>44270</v>
      </c>
      <c r="PS28" s="10">
        <v>68639</v>
      </c>
      <c r="PT28" s="10">
        <v>886</v>
      </c>
      <c r="PU28" s="17">
        <v>44271</v>
      </c>
      <c r="PV28" s="10">
        <v>69387</v>
      </c>
      <c r="PW28" s="10">
        <v>744</v>
      </c>
      <c r="PX28" s="17">
        <v>44272</v>
      </c>
      <c r="PY28" s="10">
        <v>70217</v>
      </c>
      <c r="PZ28" s="10">
        <v>736</v>
      </c>
      <c r="QA28" s="17">
        <v>44273</v>
      </c>
      <c r="QB28" s="10">
        <v>70957</v>
      </c>
      <c r="QC28" s="10">
        <v>734</v>
      </c>
      <c r="QD28" s="17">
        <v>44274</v>
      </c>
      <c r="QE28" s="10">
        <v>71700</v>
      </c>
      <c r="QF28" s="10">
        <v>737</v>
      </c>
      <c r="QG28" s="17">
        <v>44275</v>
      </c>
      <c r="QH28" s="10">
        <v>72101</v>
      </c>
      <c r="QI28" s="10">
        <v>400</v>
      </c>
      <c r="QJ28" s="17">
        <v>44276</v>
      </c>
      <c r="QK28" s="10">
        <v>72528</v>
      </c>
      <c r="QL28" s="10">
        <v>416</v>
      </c>
      <c r="QM28" s="17">
        <v>44277</v>
      </c>
      <c r="QN28" s="10">
        <v>73290</v>
      </c>
      <c r="QO28" s="10">
        <v>760</v>
      </c>
      <c r="QP28" s="17">
        <v>44278</v>
      </c>
      <c r="QQ28" s="10">
        <v>73991</v>
      </c>
      <c r="QR28" s="10">
        <v>699</v>
      </c>
      <c r="QS28" s="17">
        <v>44279</v>
      </c>
      <c r="QT28" s="10">
        <v>74704</v>
      </c>
      <c r="QU28" s="10">
        <v>701</v>
      </c>
      <c r="QV28" s="17">
        <v>44280</v>
      </c>
      <c r="QW28" s="10">
        <v>75308</v>
      </c>
      <c r="QX28" s="10">
        <v>607</v>
      </c>
      <c r="QY28" s="17">
        <v>44281</v>
      </c>
      <c r="QZ28" s="10">
        <v>75991</v>
      </c>
      <c r="RA28" s="10">
        <v>682</v>
      </c>
      <c r="RB28" s="17">
        <v>44282</v>
      </c>
      <c r="RC28" s="10">
        <v>76344</v>
      </c>
      <c r="RD28" s="10">
        <v>350</v>
      </c>
      <c r="RE28" s="17">
        <v>44283</v>
      </c>
      <c r="RF28" s="10">
        <v>76711</v>
      </c>
      <c r="RG28" s="10">
        <v>371</v>
      </c>
      <c r="RH28" s="17">
        <v>44284</v>
      </c>
      <c r="RI28" s="10">
        <v>77356</v>
      </c>
      <c r="RJ28" s="10">
        <v>647</v>
      </c>
      <c r="RK28" s="17">
        <v>44285</v>
      </c>
      <c r="RL28" s="10">
        <v>77922</v>
      </c>
      <c r="RM28" s="10">
        <v>567</v>
      </c>
      <c r="RN28" s="17">
        <v>44287</v>
      </c>
      <c r="RO28" s="10">
        <v>78920</v>
      </c>
      <c r="RP28" s="10">
        <v>463</v>
      </c>
      <c r="RQ28" s="17">
        <v>44288</v>
      </c>
      <c r="RR28" s="10">
        <v>79319</v>
      </c>
      <c r="RS28" s="10">
        <v>361</v>
      </c>
      <c r="RT28" s="10">
        <v>44289</v>
      </c>
      <c r="RU28" s="10">
        <v>79643</v>
      </c>
      <c r="RV28" s="10">
        <v>316</v>
      </c>
      <c r="RW28" s="10">
        <v>44290</v>
      </c>
      <c r="RX28" s="10">
        <v>79962</v>
      </c>
      <c r="RY28" s="10">
        <v>320</v>
      </c>
      <c r="RZ28" s="10">
        <v>44291</v>
      </c>
      <c r="SA28" s="10">
        <v>80325</v>
      </c>
      <c r="SB28" s="10">
        <v>362</v>
      </c>
      <c r="SC28" s="10">
        <v>44292</v>
      </c>
      <c r="SD28" s="10">
        <v>80862</v>
      </c>
      <c r="SE28" s="10">
        <v>536</v>
      </c>
      <c r="SF28" s="10">
        <v>44293</v>
      </c>
      <c r="SG28" s="10">
        <v>81283</v>
      </c>
      <c r="SH28" s="10">
        <v>421</v>
      </c>
      <c r="SI28" s="10">
        <v>44294</v>
      </c>
      <c r="SJ28" s="10">
        <v>81685</v>
      </c>
      <c r="SK28" s="10">
        <v>400</v>
      </c>
      <c r="SL28" s="10">
        <v>44296</v>
      </c>
      <c r="SM28" s="10">
        <v>82259</v>
      </c>
      <c r="SN28" s="10">
        <v>224</v>
      </c>
      <c r="SO28" s="10">
        <v>44297</v>
      </c>
      <c r="SP28" s="10">
        <v>82515</v>
      </c>
      <c r="SQ28" s="10">
        <v>237</v>
      </c>
      <c r="SR28" s="10">
        <v>44298</v>
      </c>
      <c r="SS28" s="10">
        <v>82923</v>
      </c>
      <c r="ST28" s="10">
        <v>399</v>
      </c>
      <c r="SU28" s="10">
        <v>44299</v>
      </c>
      <c r="SV28" s="10">
        <v>83253</v>
      </c>
      <c r="SW28" s="10">
        <v>328</v>
      </c>
      <c r="SX28" s="10">
        <v>44301</v>
      </c>
      <c r="SY28" s="10">
        <v>83871</v>
      </c>
      <c r="SZ28" s="10">
        <v>270</v>
      </c>
      <c r="TA28" s="10">
        <v>44302</v>
      </c>
      <c r="TB28" s="10">
        <v>84139</v>
      </c>
      <c r="TC28" s="10">
        <v>264</v>
      </c>
      <c r="TD28" s="10">
        <v>44304</v>
      </c>
      <c r="TE28" s="10">
        <v>84472</v>
      </c>
      <c r="TF28" s="10">
        <v>160</v>
      </c>
      <c r="TG28" s="10">
        <v>44305</v>
      </c>
      <c r="TH28" s="10">
        <v>84752</v>
      </c>
      <c r="TI28" s="10">
        <v>282</v>
      </c>
      <c r="TJ28" s="10">
        <v>44306</v>
      </c>
      <c r="TK28" s="10">
        <v>85044</v>
      </c>
      <c r="TL28" s="10">
        <v>290</v>
      </c>
      <c r="TM28" s="10">
        <v>44307</v>
      </c>
      <c r="TN28" s="10">
        <v>85288</v>
      </c>
      <c r="TO28" s="10">
        <v>245</v>
      </c>
      <c r="TP28" s="10">
        <v>44309</v>
      </c>
      <c r="TQ28" s="10">
        <v>85807</v>
      </c>
      <c r="TR28" s="10">
        <v>257</v>
      </c>
      <c r="TS28" s="10">
        <v>44310</v>
      </c>
      <c r="TT28" s="10">
        <v>85965</v>
      </c>
      <c r="TU28" s="10">
        <v>153</v>
      </c>
      <c r="TV28" s="10">
        <v>44310</v>
      </c>
      <c r="TW28" s="10">
        <v>85969</v>
      </c>
      <c r="TX28" s="10">
        <v>152</v>
      </c>
      <c r="TY28" s="10">
        <v>44311</v>
      </c>
      <c r="TZ28" s="10">
        <v>86106</v>
      </c>
      <c r="UA28" s="10">
        <v>139</v>
      </c>
      <c r="UB28" s="10">
        <v>44313</v>
      </c>
      <c r="UC28" s="10">
        <v>86577</v>
      </c>
      <c r="UD28" s="10">
        <v>230</v>
      </c>
      <c r="UE28" s="10">
        <v>44313</v>
      </c>
      <c r="UF28" s="10">
        <v>86578</v>
      </c>
      <c r="UG28" s="10">
        <v>231</v>
      </c>
      <c r="UH28" s="10">
        <v>44314</v>
      </c>
      <c r="UI28" s="10">
        <v>86856</v>
      </c>
      <c r="UJ28" s="10">
        <v>275</v>
      </c>
      <c r="UK28" s="10">
        <v>44315</v>
      </c>
      <c r="UL28" s="10">
        <v>87059</v>
      </c>
      <c r="UM28" s="10">
        <v>198</v>
      </c>
      <c r="UN28" s="10">
        <v>44319</v>
      </c>
      <c r="UO28" s="10">
        <v>87803</v>
      </c>
      <c r="UP28" s="10">
        <v>301</v>
      </c>
      <c r="UQ28" s="10">
        <v>44320</v>
      </c>
      <c r="UR28" s="10">
        <v>88033</v>
      </c>
      <c r="US28" s="10">
        <v>206</v>
      </c>
      <c r="UT28" s="10">
        <v>44321</v>
      </c>
      <c r="UU28" s="10">
        <v>88294</v>
      </c>
      <c r="UV28" s="10">
        <v>271</v>
      </c>
      <c r="UW28" s="10">
        <v>44322</v>
      </c>
      <c r="UX28" s="10">
        <v>88528</v>
      </c>
      <c r="UY28" s="10">
        <v>236</v>
      </c>
      <c r="UZ28" s="10">
        <v>44324</v>
      </c>
      <c r="VA28" s="10">
        <v>88875</v>
      </c>
      <c r="VB28" s="10">
        <v>129</v>
      </c>
      <c r="VC28" s="10">
        <v>44324</v>
      </c>
      <c r="VD28" s="10">
        <v>88871</v>
      </c>
      <c r="VE28" s="10">
        <v>130</v>
      </c>
      <c r="VF28" s="10">
        <v>44325</v>
      </c>
      <c r="VG28" s="10">
        <v>89005</v>
      </c>
      <c r="VH28" s="10">
        <v>130</v>
      </c>
      <c r="VI28" s="10">
        <v>44327</v>
      </c>
      <c r="VJ28" s="10">
        <v>89467</v>
      </c>
      <c r="VK28" s="10">
        <v>210</v>
      </c>
      <c r="VL28" s="10">
        <v>44327</v>
      </c>
      <c r="VM28" s="10">
        <v>89463</v>
      </c>
      <c r="VN28" s="10">
        <v>210</v>
      </c>
      <c r="VO28" s="10">
        <v>44328</v>
      </c>
      <c r="VP28" s="10">
        <v>89717</v>
      </c>
      <c r="VQ28" s="10">
        <v>257</v>
      </c>
      <c r="VR28" s="10">
        <v>44329</v>
      </c>
      <c r="VS28" s="10">
        <v>89870</v>
      </c>
      <c r="VT28" s="10">
        <v>155</v>
      </c>
      <c r="VU28" s="10">
        <v>44331</v>
      </c>
      <c r="VV28" s="10">
        <v>90278</v>
      </c>
      <c r="VW28" s="10">
        <v>157</v>
      </c>
      <c r="VX28" s="10">
        <v>44331</v>
      </c>
      <c r="VY28" s="10">
        <v>90281</v>
      </c>
      <c r="VZ28" s="10">
        <v>157</v>
      </c>
      <c r="WA28" s="10">
        <v>44332</v>
      </c>
      <c r="WB28" s="10">
        <v>90416</v>
      </c>
      <c r="WC28" s="10">
        <v>131</v>
      </c>
      <c r="WD28" s="10">
        <v>44333</v>
      </c>
      <c r="WE28" s="10">
        <v>90702</v>
      </c>
      <c r="WF28" s="10">
        <v>285</v>
      </c>
      <c r="WG28" s="10">
        <v>44334</v>
      </c>
      <c r="WH28" s="10">
        <v>90920</v>
      </c>
      <c r="WI28" s="10">
        <v>217</v>
      </c>
      <c r="WJ28" s="10">
        <v>44336</v>
      </c>
      <c r="WK28" s="10">
        <v>91345</v>
      </c>
      <c r="WL28" s="10">
        <v>199</v>
      </c>
      <c r="WM28" s="10">
        <v>44336</v>
      </c>
      <c r="WN28" s="10">
        <v>91365</v>
      </c>
      <c r="WO28" s="10">
        <v>214</v>
      </c>
      <c r="WP28" s="10">
        <v>44339</v>
      </c>
      <c r="WQ28" s="10">
        <v>91733</v>
      </c>
      <c r="WR28" s="10">
        <v>92</v>
      </c>
      <c r="WS28" s="10">
        <v>44340</v>
      </c>
      <c r="WT28" s="10">
        <v>91926</v>
      </c>
      <c r="WU28" s="10">
        <v>189</v>
      </c>
      <c r="WV28" s="10">
        <v>44341</v>
      </c>
      <c r="WW28" s="10">
        <v>92080</v>
      </c>
      <c r="WX28" s="10">
        <v>150</v>
      </c>
      <c r="WY28" s="10">
        <v>44342</v>
      </c>
      <c r="WZ28" s="10">
        <v>92228</v>
      </c>
      <c r="XA28" s="10">
        <v>142</v>
      </c>
      <c r="XB28" s="10">
        <v>44343</v>
      </c>
      <c r="XC28" s="10">
        <v>92353</v>
      </c>
      <c r="XD28" s="10">
        <v>126</v>
      </c>
      <c r="XE28" s="10">
        <v>44345</v>
      </c>
      <c r="XF28" s="10">
        <v>92554</v>
      </c>
      <c r="XG28" s="10">
        <v>65</v>
      </c>
      <c r="XH28" s="10">
        <v>44345</v>
      </c>
      <c r="XI28" s="10">
        <v>92560</v>
      </c>
      <c r="XJ28" s="10">
        <v>65</v>
      </c>
      <c r="XK28" s="10">
        <v>44346</v>
      </c>
      <c r="XL28" s="10">
        <v>92640</v>
      </c>
      <c r="XM28" s="10">
        <v>79</v>
      </c>
      <c r="XN28" s="10">
        <v>44347</v>
      </c>
      <c r="XO28" s="10">
        <v>92785</v>
      </c>
      <c r="XP28" s="10">
        <v>143</v>
      </c>
      <c r="XQ28" s="10">
        <v>44348</v>
      </c>
      <c r="XR28" s="10">
        <v>92910</v>
      </c>
      <c r="XS28" s="10">
        <v>123</v>
      </c>
      <c r="XT28" s="10">
        <v>44349</v>
      </c>
      <c r="XU28" s="10">
        <v>93031</v>
      </c>
      <c r="XV28" s="10">
        <v>119</v>
      </c>
      <c r="XW28" s="10">
        <v>44350</v>
      </c>
      <c r="XX28" s="10">
        <v>93143</v>
      </c>
      <c r="XY28" s="10">
        <v>110</v>
      </c>
      <c r="XZ28" s="10">
        <v>44351</v>
      </c>
      <c r="YA28" s="10">
        <v>93242</v>
      </c>
      <c r="YB28" s="10">
        <v>98</v>
      </c>
      <c r="YC28" s="10">
        <v>44353</v>
      </c>
      <c r="YD28" s="10">
        <v>93370</v>
      </c>
      <c r="YE28" s="10">
        <v>60</v>
      </c>
      <c r="YF28" s="10">
        <v>44354</v>
      </c>
      <c r="YG28" s="10">
        <v>93512</v>
      </c>
      <c r="YH28" s="10">
        <v>141</v>
      </c>
      <c r="YI28" s="10">
        <v>44355</v>
      </c>
      <c r="YJ28" s="10">
        <v>93617</v>
      </c>
      <c r="YK28" s="10">
        <v>102</v>
      </c>
      <c r="YL28" s="10">
        <v>44356</v>
      </c>
      <c r="YM28" s="10">
        <v>93699</v>
      </c>
      <c r="YN28" s="10">
        <v>83</v>
      </c>
      <c r="YO28" s="10">
        <v>44357</v>
      </c>
      <c r="YP28" s="10">
        <v>93772</v>
      </c>
      <c r="YQ28" s="10">
        <v>76</v>
      </c>
      <c r="YR28" s="10">
        <v>44358</v>
      </c>
      <c r="YS28" s="10">
        <v>93849</v>
      </c>
      <c r="YT28" s="10">
        <v>72</v>
      </c>
      <c r="YU28" s="10">
        <v>44359</v>
      </c>
      <c r="YV28" s="10">
        <v>93899</v>
      </c>
      <c r="YW28" s="10">
        <v>43</v>
      </c>
    </row>
    <row r="29" spans="2:673">
      <c r="B29" t="str">
        <f t="shared" ca="1" si="2"/>
        <v>13.6</v>
      </c>
      <c r="C29" s="4">
        <f t="shared" ca="1" si="0"/>
        <v>44360</v>
      </c>
      <c r="D29" s="11">
        <f t="shared" ca="1" si="1"/>
        <v>93944</v>
      </c>
      <c r="E29">
        <f t="shared" ca="1" si="3"/>
        <v>47</v>
      </c>
      <c r="F29" s="11">
        <f t="shared" ca="1" si="4"/>
        <v>1</v>
      </c>
      <c r="G29" s="11">
        <f t="shared" ca="1" si="5"/>
        <v>46</v>
      </c>
      <c r="I29" s="10"/>
      <c r="K29" s="13"/>
      <c r="L29" s="3"/>
      <c r="N29" s="16">
        <v>44360</v>
      </c>
      <c r="O29">
        <v>93945</v>
      </c>
      <c r="P29">
        <v>46</v>
      </c>
      <c r="Q29" s="16">
        <v>44360</v>
      </c>
      <c r="R29">
        <v>93945</v>
      </c>
      <c r="S29">
        <v>46</v>
      </c>
      <c r="T29" s="16">
        <v>44107</v>
      </c>
      <c r="U29">
        <v>10917</v>
      </c>
      <c r="V29">
        <v>170</v>
      </c>
      <c r="W29" s="16">
        <v>44108</v>
      </c>
      <c r="X29">
        <v>11067</v>
      </c>
      <c r="Y29">
        <v>147</v>
      </c>
      <c r="Z29" s="16">
        <v>44109</v>
      </c>
      <c r="AA29">
        <v>11363</v>
      </c>
      <c r="AB29">
        <v>272</v>
      </c>
      <c r="AC29" s="16">
        <v>44110</v>
      </c>
      <c r="AD29">
        <v>11613</v>
      </c>
      <c r="AE29">
        <v>258</v>
      </c>
      <c r="AF29" s="16">
        <v>44111</v>
      </c>
      <c r="AG29">
        <v>11861</v>
      </c>
      <c r="AH29">
        <v>245</v>
      </c>
      <c r="AI29" s="16">
        <v>44112</v>
      </c>
      <c r="AJ29">
        <v>12196</v>
      </c>
      <c r="AK29">
        <v>237</v>
      </c>
      <c r="AL29" s="16">
        <v>44113</v>
      </c>
      <c r="AM29">
        <v>12418</v>
      </c>
      <c r="AN29">
        <v>203</v>
      </c>
      <c r="AO29" s="16">
        <v>44114</v>
      </c>
      <c r="AP29">
        <v>12544</v>
      </c>
      <c r="AQ29">
        <v>109</v>
      </c>
      <c r="AR29" s="16">
        <v>44115</v>
      </c>
      <c r="AS29">
        <v>12674</v>
      </c>
      <c r="AT29">
        <v>129</v>
      </c>
      <c r="AU29" s="16">
        <v>44116</v>
      </c>
      <c r="AV29">
        <v>12897</v>
      </c>
      <c r="AW29">
        <v>208</v>
      </c>
      <c r="AX29" s="16">
        <v>44117</v>
      </c>
      <c r="AY29">
        <v>13045</v>
      </c>
      <c r="AZ29">
        <v>151</v>
      </c>
      <c r="BA29" s="16">
        <v>44118</v>
      </c>
      <c r="BB29">
        <v>13197</v>
      </c>
      <c r="BC29">
        <v>152</v>
      </c>
      <c r="BD29" s="16">
        <v>44119</v>
      </c>
      <c r="BE29">
        <v>13494</v>
      </c>
      <c r="BF29">
        <v>181</v>
      </c>
      <c r="BG29" s="16">
        <v>44120</v>
      </c>
      <c r="BH29">
        <v>13700</v>
      </c>
      <c r="BI29">
        <v>186</v>
      </c>
      <c r="BJ29" s="16">
        <v>44121</v>
      </c>
      <c r="BK29">
        <v>13809</v>
      </c>
      <c r="BL29">
        <v>98</v>
      </c>
      <c r="BM29" s="16">
        <v>44122</v>
      </c>
      <c r="BN29">
        <v>13943</v>
      </c>
      <c r="BO29">
        <v>130</v>
      </c>
      <c r="BP29" s="16">
        <v>44123</v>
      </c>
      <c r="BQ29">
        <v>14195</v>
      </c>
      <c r="BR29">
        <v>248</v>
      </c>
      <c r="BS29" s="16">
        <v>44124</v>
      </c>
      <c r="BT29">
        <v>14350</v>
      </c>
      <c r="BU29">
        <v>165</v>
      </c>
      <c r="BV29" s="16">
        <v>44126</v>
      </c>
      <c r="BW29">
        <v>14697</v>
      </c>
      <c r="BX29">
        <v>175</v>
      </c>
      <c r="BY29" s="16">
        <v>44127</v>
      </c>
      <c r="BZ29">
        <v>14935</v>
      </c>
      <c r="CA29">
        <v>191</v>
      </c>
      <c r="CB29" s="16">
        <v>44128</v>
      </c>
      <c r="CC29">
        <v>15052</v>
      </c>
      <c r="CD29">
        <v>108</v>
      </c>
      <c r="CE29" s="16">
        <v>44129</v>
      </c>
      <c r="CF29">
        <v>15182</v>
      </c>
      <c r="CG29">
        <v>123</v>
      </c>
      <c r="CH29" s="16">
        <v>44130</v>
      </c>
      <c r="CI29">
        <v>15438</v>
      </c>
      <c r="CJ29">
        <v>254</v>
      </c>
      <c r="CK29" s="16">
        <v>44131</v>
      </c>
      <c r="CL29">
        <v>15664</v>
      </c>
      <c r="CM29">
        <v>226</v>
      </c>
      <c r="CN29" s="16">
        <v>44132</v>
      </c>
      <c r="CO29">
        <v>15887</v>
      </c>
      <c r="CP29">
        <v>223</v>
      </c>
      <c r="CQ29" s="16">
        <v>44133</v>
      </c>
      <c r="CR29">
        <v>16142</v>
      </c>
      <c r="CS29">
        <v>234</v>
      </c>
      <c r="CT29" s="16">
        <v>44134</v>
      </c>
      <c r="CU29">
        <v>16359</v>
      </c>
      <c r="CV29">
        <v>212</v>
      </c>
      <c r="CW29" s="16">
        <v>44135</v>
      </c>
      <c r="CX29">
        <v>16487</v>
      </c>
      <c r="CY29">
        <v>120</v>
      </c>
      <c r="CZ29" s="16">
        <v>44137</v>
      </c>
      <c r="DA29">
        <v>16916</v>
      </c>
      <c r="DB29">
        <v>278</v>
      </c>
      <c r="DC29" s="16">
        <v>44138</v>
      </c>
      <c r="DD29">
        <v>17159</v>
      </c>
      <c r="DE29">
        <v>238</v>
      </c>
      <c r="DF29" s="16">
        <v>44139</v>
      </c>
      <c r="DG29">
        <v>17362</v>
      </c>
      <c r="DH29">
        <v>201</v>
      </c>
      <c r="DI29" s="16">
        <v>44140</v>
      </c>
      <c r="DJ29">
        <v>17586</v>
      </c>
      <c r="DK29">
        <v>217</v>
      </c>
      <c r="DL29" s="16">
        <v>44141</v>
      </c>
      <c r="DM29">
        <v>17787</v>
      </c>
      <c r="DN29">
        <v>194</v>
      </c>
      <c r="DO29" s="16">
        <v>44142</v>
      </c>
      <c r="DP29">
        <v>17916</v>
      </c>
      <c r="DQ29">
        <v>127</v>
      </c>
      <c r="DR29" s="16">
        <v>44143</v>
      </c>
      <c r="DS29">
        <v>18055</v>
      </c>
      <c r="DT29">
        <v>133</v>
      </c>
      <c r="DU29" s="16">
        <v>44144</v>
      </c>
      <c r="DV29">
        <v>18337</v>
      </c>
      <c r="DW29">
        <v>278</v>
      </c>
      <c r="DX29" s="16">
        <v>44145</v>
      </c>
      <c r="DY29">
        <v>18546</v>
      </c>
      <c r="DZ29">
        <v>208</v>
      </c>
      <c r="EA29" s="16">
        <v>44146</v>
      </c>
      <c r="EB29">
        <v>18827</v>
      </c>
      <c r="EC29">
        <v>280</v>
      </c>
      <c r="ED29" s="16">
        <v>44147</v>
      </c>
      <c r="EE29">
        <v>19065</v>
      </c>
      <c r="EF29">
        <v>235</v>
      </c>
      <c r="EG29" s="16">
        <v>44148</v>
      </c>
      <c r="EH29">
        <v>19300</v>
      </c>
      <c r="EI29">
        <v>222</v>
      </c>
      <c r="EJ29" s="16">
        <v>44149</v>
      </c>
      <c r="EK29">
        <v>19442</v>
      </c>
      <c r="EL29">
        <v>134</v>
      </c>
      <c r="EM29" s="16">
        <v>44150</v>
      </c>
      <c r="EN29">
        <v>19706</v>
      </c>
      <c r="EO29">
        <v>187</v>
      </c>
      <c r="EP29" s="16">
        <v>44151</v>
      </c>
      <c r="EQ29">
        <v>20091</v>
      </c>
      <c r="ER29">
        <v>396</v>
      </c>
      <c r="ES29" s="16">
        <v>44152</v>
      </c>
      <c r="ET29">
        <v>20478</v>
      </c>
      <c r="EU29">
        <v>394</v>
      </c>
      <c r="EV29" s="16">
        <v>44153</v>
      </c>
      <c r="EW29">
        <v>20842</v>
      </c>
      <c r="EX29">
        <v>369</v>
      </c>
      <c r="EY29" s="16">
        <v>44154</v>
      </c>
      <c r="EZ29">
        <v>21322</v>
      </c>
      <c r="FA29">
        <v>478</v>
      </c>
      <c r="FB29" s="16">
        <v>44155</v>
      </c>
      <c r="FC29">
        <v>21755</v>
      </c>
      <c r="FD29">
        <v>426</v>
      </c>
      <c r="FE29" s="16">
        <v>44156</v>
      </c>
      <c r="FF29">
        <v>21944</v>
      </c>
      <c r="FG29">
        <v>259</v>
      </c>
      <c r="FH29" s="16">
        <v>44157</v>
      </c>
      <c r="FI29">
        <v>22293</v>
      </c>
      <c r="FJ29">
        <v>263</v>
      </c>
      <c r="FK29" s="16">
        <v>44158</v>
      </c>
      <c r="FL29">
        <v>22798</v>
      </c>
      <c r="FM29">
        <v>481</v>
      </c>
      <c r="FN29" s="16">
        <v>44159</v>
      </c>
      <c r="FO29">
        <v>23244</v>
      </c>
      <c r="FP29">
        <v>441</v>
      </c>
      <c r="FQ29" s="16">
        <v>44160</v>
      </c>
      <c r="FR29">
        <v>23810</v>
      </c>
      <c r="FS29">
        <v>575</v>
      </c>
      <c r="FT29" s="16">
        <v>44161</v>
      </c>
      <c r="FU29">
        <v>24382</v>
      </c>
      <c r="FV29">
        <v>498</v>
      </c>
      <c r="FW29" s="16">
        <v>44162</v>
      </c>
      <c r="FX29">
        <v>24856</v>
      </c>
      <c r="FY29">
        <v>463</v>
      </c>
      <c r="FZ29" s="16">
        <v>44163</v>
      </c>
      <c r="GA29">
        <v>25146</v>
      </c>
      <c r="GB29">
        <v>283</v>
      </c>
      <c r="GC29" s="16">
        <v>44164</v>
      </c>
      <c r="GD29">
        <v>25414</v>
      </c>
      <c r="GE29">
        <v>268</v>
      </c>
      <c r="GF29" s="16">
        <v>44165</v>
      </c>
      <c r="GG29">
        <v>25972</v>
      </c>
      <c r="GH29">
        <v>540</v>
      </c>
      <c r="GI29" s="16">
        <v>44166</v>
      </c>
      <c r="GJ29">
        <v>26362</v>
      </c>
      <c r="GK29">
        <v>385</v>
      </c>
      <c r="GL29" s="16">
        <v>44167</v>
      </c>
      <c r="GM29">
        <v>26838</v>
      </c>
      <c r="GN29">
        <v>468</v>
      </c>
      <c r="GO29" s="16">
        <v>44168</v>
      </c>
      <c r="GP29">
        <v>27257</v>
      </c>
      <c r="GQ29">
        <v>398</v>
      </c>
      <c r="GR29" s="16">
        <v>44169</v>
      </c>
      <c r="GS29">
        <v>27670</v>
      </c>
      <c r="GT29">
        <v>394</v>
      </c>
      <c r="GU29" s="16">
        <v>44170</v>
      </c>
      <c r="GV29">
        <v>28200</v>
      </c>
      <c r="GW29">
        <v>250</v>
      </c>
      <c r="GX29" s="16">
        <v>44171</v>
      </c>
      <c r="GY29">
        <v>28493</v>
      </c>
      <c r="GZ29">
        <v>281</v>
      </c>
      <c r="HA29" s="16">
        <v>44172</v>
      </c>
      <c r="HB29">
        <v>29089</v>
      </c>
      <c r="HC29">
        <v>588</v>
      </c>
      <c r="HD29" s="16">
        <v>44173</v>
      </c>
      <c r="HE29">
        <v>29553</v>
      </c>
      <c r="HF29">
        <v>460</v>
      </c>
      <c r="HG29" s="16">
        <v>44174</v>
      </c>
      <c r="HH29">
        <v>29994</v>
      </c>
      <c r="HI29">
        <v>453</v>
      </c>
      <c r="HJ29" s="16">
        <v>44175</v>
      </c>
      <c r="HK29">
        <v>30399</v>
      </c>
      <c r="HL29">
        <v>401</v>
      </c>
      <c r="HM29" s="16">
        <v>44176</v>
      </c>
      <c r="HN29">
        <v>30860</v>
      </c>
      <c r="HO29">
        <v>443</v>
      </c>
      <c r="HP29" s="16">
        <v>44177</v>
      </c>
      <c r="HQ29">
        <v>31118</v>
      </c>
      <c r="HR29">
        <v>248</v>
      </c>
      <c r="HS29" s="16">
        <v>44178</v>
      </c>
      <c r="HT29">
        <v>31386</v>
      </c>
      <c r="HU29">
        <v>273</v>
      </c>
      <c r="HV29" s="16">
        <v>44179</v>
      </c>
      <c r="HW29">
        <v>31851</v>
      </c>
      <c r="HX29">
        <v>460</v>
      </c>
      <c r="HY29" s="16">
        <v>44180</v>
      </c>
      <c r="HZ29">
        <v>32200</v>
      </c>
      <c r="IA29">
        <v>352</v>
      </c>
      <c r="IB29" s="16">
        <v>44181</v>
      </c>
      <c r="IC29">
        <v>32536</v>
      </c>
      <c r="ID29">
        <v>338</v>
      </c>
      <c r="IE29" s="16">
        <v>44182</v>
      </c>
      <c r="IF29">
        <v>32870</v>
      </c>
      <c r="IG29">
        <v>315</v>
      </c>
      <c r="IH29" s="16">
        <v>44183</v>
      </c>
      <c r="II29">
        <v>33272</v>
      </c>
      <c r="IJ29">
        <v>396</v>
      </c>
      <c r="IK29" s="16">
        <v>44184</v>
      </c>
      <c r="IL29">
        <v>33466</v>
      </c>
      <c r="IM29">
        <v>190</v>
      </c>
      <c r="IN29" s="16">
        <v>44185</v>
      </c>
      <c r="IO29">
        <v>33708</v>
      </c>
      <c r="IP29">
        <v>244</v>
      </c>
      <c r="IQ29" s="16">
        <v>44186</v>
      </c>
      <c r="IR29">
        <v>34076</v>
      </c>
      <c r="IS29">
        <v>370</v>
      </c>
      <c r="IT29" s="16">
        <v>44187</v>
      </c>
      <c r="IU29">
        <v>34395</v>
      </c>
      <c r="IV29">
        <v>322</v>
      </c>
      <c r="IW29" s="16">
        <v>44188</v>
      </c>
      <c r="IX29">
        <v>34656</v>
      </c>
      <c r="IY29">
        <v>259</v>
      </c>
      <c r="IZ29" s="16">
        <v>44189</v>
      </c>
      <c r="JA29">
        <v>34798</v>
      </c>
      <c r="JB29">
        <v>131</v>
      </c>
      <c r="JC29" s="16">
        <v>44193</v>
      </c>
      <c r="JD29">
        <v>35700</v>
      </c>
      <c r="JE29">
        <v>347</v>
      </c>
      <c r="JF29" s="16">
        <v>44197</v>
      </c>
      <c r="JG29">
        <v>36671</v>
      </c>
      <c r="JH29">
        <v>97</v>
      </c>
      <c r="JI29" s="16">
        <v>44198</v>
      </c>
      <c r="JJ29">
        <v>36986</v>
      </c>
      <c r="JK29">
        <v>204</v>
      </c>
      <c r="JL29" s="16">
        <v>44199</v>
      </c>
      <c r="JM29">
        <v>37161</v>
      </c>
      <c r="JN29">
        <v>175</v>
      </c>
      <c r="JO29" s="16">
        <v>44200</v>
      </c>
      <c r="JP29">
        <v>37539</v>
      </c>
      <c r="JQ29">
        <v>396</v>
      </c>
      <c r="JR29" s="16">
        <v>44202</v>
      </c>
      <c r="JS29">
        <v>38006</v>
      </c>
      <c r="JT29">
        <v>203</v>
      </c>
      <c r="JU29" s="16">
        <v>44202</v>
      </c>
      <c r="JV29">
        <v>38008</v>
      </c>
      <c r="JW29">
        <v>203</v>
      </c>
      <c r="JX29" s="16">
        <v>44204</v>
      </c>
      <c r="JY29">
        <v>38567</v>
      </c>
      <c r="JZ29">
        <v>232</v>
      </c>
      <c r="KA29" s="16">
        <v>44216</v>
      </c>
      <c r="KB29">
        <v>39593</v>
      </c>
      <c r="KC29">
        <v>0</v>
      </c>
      <c r="KD29" s="16">
        <v>44216</v>
      </c>
      <c r="KE29">
        <v>41912</v>
      </c>
      <c r="KF29">
        <v>378</v>
      </c>
      <c r="KG29" s="16">
        <v>44217</v>
      </c>
      <c r="KH29">
        <v>42276</v>
      </c>
      <c r="KI29">
        <v>367</v>
      </c>
      <c r="KJ29" s="16">
        <v>44219</v>
      </c>
      <c r="KK29">
        <v>42814</v>
      </c>
      <c r="KL29">
        <v>172</v>
      </c>
      <c r="KM29" s="16">
        <v>44220</v>
      </c>
      <c r="KN29">
        <v>43056</v>
      </c>
      <c r="KO29">
        <v>238</v>
      </c>
      <c r="KP29" s="16">
        <v>44224</v>
      </c>
      <c r="KQ29">
        <v>44704</v>
      </c>
      <c r="KR29">
        <v>317</v>
      </c>
      <c r="KS29" s="16">
        <v>44225</v>
      </c>
      <c r="KT29">
        <v>45249</v>
      </c>
      <c r="KU29">
        <v>366</v>
      </c>
      <c r="KV29" s="16">
        <v>44226</v>
      </c>
      <c r="KW29">
        <v>45504</v>
      </c>
      <c r="KX29">
        <v>236</v>
      </c>
      <c r="KY29" s="16">
        <v>44228</v>
      </c>
      <c r="KZ29">
        <v>46222</v>
      </c>
      <c r="LA29">
        <v>424</v>
      </c>
      <c r="LB29" s="16">
        <v>44229</v>
      </c>
      <c r="LC29">
        <v>46693</v>
      </c>
      <c r="LD29">
        <v>384</v>
      </c>
      <c r="LE29" s="16">
        <v>44230</v>
      </c>
      <c r="LF29">
        <v>47116</v>
      </c>
      <c r="LG29">
        <v>416</v>
      </c>
      <c r="LH29" s="16">
        <v>44232</v>
      </c>
      <c r="LI29">
        <v>47802</v>
      </c>
      <c r="LJ29">
        <v>356</v>
      </c>
      <c r="LK29" s="16">
        <v>44232</v>
      </c>
      <c r="LL29">
        <v>47802</v>
      </c>
      <c r="LM29">
        <v>354</v>
      </c>
      <c r="LN29" s="16">
        <v>44234</v>
      </c>
      <c r="LO29">
        <v>48304</v>
      </c>
      <c r="LP29">
        <v>238</v>
      </c>
      <c r="LQ29" s="16">
        <v>44235</v>
      </c>
      <c r="LR29">
        <v>48827</v>
      </c>
      <c r="LS29">
        <v>461</v>
      </c>
      <c r="LT29" s="16">
        <v>44236</v>
      </c>
      <c r="LU29">
        <v>49199</v>
      </c>
      <c r="LV29">
        <v>366</v>
      </c>
      <c r="LW29" s="16">
        <v>44237</v>
      </c>
      <c r="LX29">
        <v>49591</v>
      </c>
      <c r="LY29">
        <v>383</v>
      </c>
      <c r="LZ29" s="16">
        <v>44238</v>
      </c>
      <c r="MA29">
        <v>49925</v>
      </c>
      <c r="MB29">
        <v>345</v>
      </c>
      <c r="MC29" s="16">
        <v>44239</v>
      </c>
      <c r="MD29">
        <v>50343</v>
      </c>
      <c r="ME29">
        <v>400</v>
      </c>
      <c r="MF29" s="16">
        <v>44241</v>
      </c>
      <c r="MG29">
        <v>50914</v>
      </c>
      <c r="MH29">
        <v>273</v>
      </c>
      <c r="MI29" s="16">
        <v>44241</v>
      </c>
      <c r="MJ29">
        <v>50918</v>
      </c>
      <c r="MK29">
        <v>273</v>
      </c>
      <c r="ML29" s="16">
        <v>44242</v>
      </c>
      <c r="MM29">
        <v>51509</v>
      </c>
      <c r="MN29">
        <v>604</v>
      </c>
      <c r="MO29" s="16">
        <v>44243</v>
      </c>
      <c r="MP29">
        <v>52010</v>
      </c>
      <c r="MQ29">
        <v>501</v>
      </c>
      <c r="MR29" s="16">
        <v>44244</v>
      </c>
      <c r="MS29">
        <v>52540</v>
      </c>
      <c r="MT29">
        <v>525</v>
      </c>
      <c r="MU29" s="16">
        <v>44245</v>
      </c>
      <c r="MV29">
        <v>53137</v>
      </c>
      <c r="MW29">
        <v>592</v>
      </c>
      <c r="MX29" s="16">
        <v>44246</v>
      </c>
      <c r="MY29">
        <v>53704</v>
      </c>
      <c r="MZ29">
        <v>552</v>
      </c>
      <c r="NA29" s="16">
        <v>44246</v>
      </c>
      <c r="NB29">
        <v>53731</v>
      </c>
      <c r="NC29">
        <v>557</v>
      </c>
      <c r="ND29" s="16">
        <v>44249</v>
      </c>
      <c r="NE29">
        <v>55041</v>
      </c>
      <c r="NF29">
        <v>616</v>
      </c>
      <c r="NG29" s="16">
        <v>44249</v>
      </c>
      <c r="NH29">
        <v>55039</v>
      </c>
      <c r="NI29">
        <v>615</v>
      </c>
      <c r="NJ29" s="16">
        <v>44251</v>
      </c>
      <c r="NK29">
        <v>56236</v>
      </c>
      <c r="NL29">
        <v>590</v>
      </c>
      <c r="NM29" s="16">
        <v>44251</v>
      </c>
      <c r="NN29">
        <v>56242</v>
      </c>
      <c r="NO29">
        <v>590</v>
      </c>
      <c r="NP29" s="16">
        <v>44253</v>
      </c>
      <c r="NQ29">
        <v>57512</v>
      </c>
      <c r="NR29">
        <v>656</v>
      </c>
      <c r="NS29" s="16">
        <v>44254</v>
      </c>
      <c r="NT29">
        <v>57969</v>
      </c>
      <c r="NU29">
        <v>396</v>
      </c>
      <c r="NV29" s="16">
        <v>44255</v>
      </c>
      <c r="NW29">
        <v>58408</v>
      </c>
      <c r="NX29">
        <v>418</v>
      </c>
      <c r="NY29" s="16">
        <v>44256</v>
      </c>
      <c r="NZ29">
        <v>59276</v>
      </c>
      <c r="OA29">
        <v>861</v>
      </c>
      <c r="OB29" s="16">
        <v>44257</v>
      </c>
      <c r="OC29">
        <v>60020</v>
      </c>
      <c r="OD29">
        <v>740</v>
      </c>
      <c r="OE29" s="16">
        <v>44258</v>
      </c>
      <c r="OF29">
        <v>60743</v>
      </c>
      <c r="OG29">
        <v>715</v>
      </c>
      <c r="OH29" s="16">
        <v>44259</v>
      </c>
      <c r="OI29">
        <v>61416</v>
      </c>
      <c r="OJ29">
        <v>621</v>
      </c>
      <c r="OK29" s="16">
        <v>44260</v>
      </c>
      <c r="OL29">
        <v>62012</v>
      </c>
      <c r="OM29">
        <v>595</v>
      </c>
      <c r="ON29" s="16">
        <v>44261</v>
      </c>
      <c r="OO29">
        <v>62452</v>
      </c>
      <c r="OP29">
        <v>430</v>
      </c>
      <c r="OQ29" s="16">
        <v>44262</v>
      </c>
      <c r="OR29">
        <v>62856</v>
      </c>
      <c r="OS29">
        <v>393</v>
      </c>
      <c r="OT29" s="16">
        <v>44263</v>
      </c>
      <c r="OU29">
        <v>63659</v>
      </c>
      <c r="OV29">
        <v>808</v>
      </c>
      <c r="OW29" s="16">
        <v>44264</v>
      </c>
      <c r="OX29">
        <v>64419</v>
      </c>
      <c r="OY29">
        <v>741</v>
      </c>
      <c r="OZ29" s="16">
        <v>44265</v>
      </c>
      <c r="PA29">
        <v>65195</v>
      </c>
      <c r="PB29">
        <v>772</v>
      </c>
      <c r="PC29" s="16">
        <v>44266</v>
      </c>
      <c r="PD29">
        <v>65948</v>
      </c>
      <c r="PE29">
        <v>743</v>
      </c>
      <c r="PF29" s="16">
        <v>44267</v>
      </c>
      <c r="PG29">
        <v>66731</v>
      </c>
      <c r="PH29">
        <v>774</v>
      </c>
      <c r="PI29" s="16">
        <v>44268</v>
      </c>
      <c r="PJ29">
        <v>67230</v>
      </c>
      <c r="PK29">
        <v>483</v>
      </c>
      <c r="PL29" s="16">
        <v>44269</v>
      </c>
      <c r="PM29">
        <v>67724</v>
      </c>
      <c r="PN29">
        <v>422</v>
      </c>
      <c r="PO29" s="16">
        <v>44270</v>
      </c>
      <c r="PP29">
        <v>68636</v>
      </c>
      <c r="PQ29">
        <v>885</v>
      </c>
      <c r="PR29" s="16">
        <v>44271</v>
      </c>
      <c r="PS29">
        <v>69382</v>
      </c>
      <c r="PT29">
        <v>743</v>
      </c>
      <c r="PU29" s="16">
        <v>44272</v>
      </c>
      <c r="PV29">
        <v>70098</v>
      </c>
      <c r="PW29">
        <v>711</v>
      </c>
      <c r="PX29" s="16">
        <v>44273</v>
      </c>
      <c r="PY29">
        <v>70926</v>
      </c>
      <c r="PZ29">
        <v>709</v>
      </c>
      <c r="QA29" s="16">
        <v>44274</v>
      </c>
      <c r="QB29">
        <v>71695</v>
      </c>
      <c r="QC29">
        <v>738</v>
      </c>
      <c r="QD29" s="16">
        <v>44275</v>
      </c>
      <c r="QE29">
        <v>72100</v>
      </c>
      <c r="QF29">
        <v>400</v>
      </c>
      <c r="QG29" s="16">
        <v>44276</v>
      </c>
      <c r="QH29">
        <v>72517</v>
      </c>
      <c r="QI29">
        <v>416</v>
      </c>
      <c r="QJ29" s="16">
        <v>44277</v>
      </c>
      <c r="QK29">
        <v>73288</v>
      </c>
      <c r="QL29">
        <v>760</v>
      </c>
      <c r="QM29" s="16">
        <v>44278</v>
      </c>
      <c r="QN29">
        <v>73988</v>
      </c>
      <c r="QO29">
        <v>698</v>
      </c>
      <c r="QP29" s="16">
        <v>44279</v>
      </c>
      <c r="QQ29">
        <v>74648</v>
      </c>
      <c r="QR29">
        <v>657</v>
      </c>
      <c r="QS29" s="16">
        <v>44280</v>
      </c>
      <c r="QT29">
        <v>75281</v>
      </c>
      <c r="QU29">
        <v>577</v>
      </c>
      <c r="QV29" s="16">
        <v>44281</v>
      </c>
      <c r="QW29">
        <v>75986</v>
      </c>
      <c r="QX29">
        <v>678</v>
      </c>
      <c r="QY29" s="16">
        <v>44282</v>
      </c>
      <c r="QZ29">
        <v>76341</v>
      </c>
      <c r="RA29">
        <v>350</v>
      </c>
      <c r="RB29" s="16">
        <v>44283</v>
      </c>
      <c r="RC29">
        <v>76719</v>
      </c>
      <c r="RD29">
        <v>375</v>
      </c>
      <c r="RE29" s="16">
        <v>44284</v>
      </c>
      <c r="RF29">
        <v>77359</v>
      </c>
      <c r="RG29">
        <v>648</v>
      </c>
      <c r="RH29" s="16">
        <v>44285</v>
      </c>
      <c r="RI29">
        <v>77923</v>
      </c>
      <c r="RJ29">
        <v>567</v>
      </c>
      <c r="RK29" s="16">
        <v>44286</v>
      </c>
      <c r="RL29">
        <v>78458</v>
      </c>
      <c r="RM29">
        <v>536</v>
      </c>
      <c r="RN29" s="16">
        <v>44288</v>
      </c>
      <c r="RO29">
        <v>79275</v>
      </c>
      <c r="RP29">
        <v>355</v>
      </c>
      <c r="RQ29" s="16">
        <v>44289</v>
      </c>
      <c r="RR29">
        <v>79635</v>
      </c>
      <c r="RS29">
        <v>316</v>
      </c>
      <c r="RT29">
        <v>44290</v>
      </c>
      <c r="RU29">
        <v>79963</v>
      </c>
      <c r="RV29">
        <v>320</v>
      </c>
      <c r="RW29">
        <v>44291</v>
      </c>
      <c r="RX29">
        <v>80323</v>
      </c>
      <c r="RY29">
        <v>361</v>
      </c>
      <c r="RZ29">
        <v>44292</v>
      </c>
      <c r="SA29">
        <v>80860</v>
      </c>
      <c r="SB29">
        <v>535</v>
      </c>
      <c r="SC29">
        <v>44293</v>
      </c>
      <c r="SD29">
        <v>81263</v>
      </c>
      <c r="SE29">
        <v>401</v>
      </c>
      <c r="SF29">
        <v>44294</v>
      </c>
      <c r="SG29">
        <v>81662</v>
      </c>
      <c r="SH29">
        <v>379</v>
      </c>
      <c r="SI29">
        <v>44295</v>
      </c>
      <c r="SJ29">
        <v>82029</v>
      </c>
      <c r="SK29">
        <v>344</v>
      </c>
      <c r="SL29">
        <v>44297</v>
      </c>
      <c r="SM29">
        <v>82488</v>
      </c>
      <c r="SN29">
        <v>229</v>
      </c>
      <c r="SO29">
        <v>44298</v>
      </c>
      <c r="SP29">
        <v>82913</v>
      </c>
      <c r="SQ29">
        <v>398</v>
      </c>
      <c r="SR29">
        <v>44299</v>
      </c>
      <c r="SS29">
        <v>83249</v>
      </c>
      <c r="ST29">
        <v>326</v>
      </c>
      <c r="SU29">
        <v>44300</v>
      </c>
      <c r="SV29">
        <v>83572</v>
      </c>
      <c r="SW29">
        <v>319</v>
      </c>
      <c r="SX29">
        <v>44302</v>
      </c>
      <c r="SY29">
        <v>84113</v>
      </c>
      <c r="SZ29">
        <v>242</v>
      </c>
      <c r="TA29">
        <v>44303</v>
      </c>
      <c r="TB29">
        <v>84309</v>
      </c>
      <c r="TC29">
        <v>170</v>
      </c>
      <c r="TD29">
        <v>44305</v>
      </c>
      <c r="TE29">
        <v>84755</v>
      </c>
      <c r="TF29">
        <v>283</v>
      </c>
      <c r="TG29">
        <v>44306</v>
      </c>
      <c r="TH29">
        <v>85042</v>
      </c>
      <c r="TI29">
        <v>290</v>
      </c>
      <c r="TJ29">
        <v>44307</v>
      </c>
      <c r="TK29">
        <v>85259</v>
      </c>
      <c r="TL29">
        <v>215</v>
      </c>
      <c r="TM29">
        <v>44308</v>
      </c>
      <c r="TN29">
        <v>85538</v>
      </c>
      <c r="TO29">
        <v>250</v>
      </c>
      <c r="TP29">
        <v>44310</v>
      </c>
      <c r="TQ29">
        <v>85960</v>
      </c>
      <c r="TR29">
        <v>153</v>
      </c>
      <c r="TS29">
        <v>44311</v>
      </c>
      <c r="TT29">
        <v>86103</v>
      </c>
      <c r="TU29">
        <v>138</v>
      </c>
      <c r="TV29">
        <v>44311</v>
      </c>
      <c r="TW29">
        <v>86108</v>
      </c>
      <c r="TX29">
        <v>139</v>
      </c>
      <c r="TY29">
        <v>44312</v>
      </c>
      <c r="TZ29">
        <v>86347</v>
      </c>
      <c r="UA29">
        <v>241</v>
      </c>
      <c r="UB29">
        <v>44314</v>
      </c>
      <c r="UC29">
        <v>86825</v>
      </c>
      <c r="UD29">
        <v>248</v>
      </c>
      <c r="UE29">
        <v>44314</v>
      </c>
      <c r="UF29">
        <v>86827</v>
      </c>
      <c r="UG29">
        <v>249</v>
      </c>
      <c r="UH29">
        <v>44315</v>
      </c>
      <c r="UI29">
        <v>87040</v>
      </c>
      <c r="UJ29">
        <v>184</v>
      </c>
      <c r="UK29">
        <v>44316</v>
      </c>
      <c r="UL29">
        <v>87258</v>
      </c>
      <c r="UM29">
        <v>199</v>
      </c>
      <c r="UN29">
        <v>44320</v>
      </c>
      <c r="UO29">
        <v>87972</v>
      </c>
      <c r="UP29">
        <v>169</v>
      </c>
      <c r="UQ29">
        <v>44321</v>
      </c>
      <c r="UR29">
        <v>88270</v>
      </c>
      <c r="US29">
        <v>237</v>
      </c>
      <c r="UT29">
        <v>44322</v>
      </c>
      <c r="UU29">
        <v>88514</v>
      </c>
      <c r="UV29">
        <v>220</v>
      </c>
      <c r="UW29">
        <v>44323</v>
      </c>
      <c r="UX29">
        <v>88743</v>
      </c>
      <c r="UY29">
        <v>215</v>
      </c>
      <c r="UZ29">
        <v>44325</v>
      </c>
      <c r="VA29">
        <v>89004</v>
      </c>
      <c r="VB29">
        <v>129</v>
      </c>
      <c r="VC29">
        <v>44325</v>
      </c>
      <c r="VD29">
        <v>89000</v>
      </c>
      <c r="VE29">
        <v>129</v>
      </c>
      <c r="VF29">
        <v>44326</v>
      </c>
      <c r="VG29">
        <v>89260</v>
      </c>
      <c r="VH29">
        <v>255</v>
      </c>
      <c r="VI29">
        <v>44328</v>
      </c>
      <c r="VJ29">
        <v>89687</v>
      </c>
      <c r="VK29">
        <v>220</v>
      </c>
      <c r="VL29">
        <v>44328</v>
      </c>
      <c r="VM29">
        <v>89683</v>
      </c>
      <c r="VN29">
        <v>220</v>
      </c>
      <c r="VO29">
        <v>44329</v>
      </c>
      <c r="VP29">
        <v>89866</v>
      </c>
      <c r="VQ29">
        <v>149</v>
      </c>
      <c r="VR29">
        <v>44330</v>
      </c>
      <c r="VS29">
        <v>90111</v>
      </c>
      <c r="VT29">
        <v>241</v>
      </c>
      <c r="VU29">
        <v>44332</v>
      </c>
      <c r="VV29">
        <v>90407</v>
      </c>
      <c r="VW29">
        <v>129</v>
      </c>
      <c r="VX29">
        <v>44332</v>
      </c>
      <c r="VY29">
        <v>90411</v>
      </c>
      <c r="VZ29">
        <v>130</v>
      </c>
      <c r="WA29">
        <v>44333</v>
      </c>
      <c r="WB29">
        <v>90702</v>
      </c>
      <c r="WC29">
        <v>286</v>
      </c>
      <c r="WD29">
        <v>44334</v>
      </c>
      <c r="WE29">
        <v>90919</v>
      </c>
      <c r="WF29">
        <v>217</v>
      </c>
      <c r="WG29">
        <v>44335</v>
      </c>
      <c r="WH29">
        <v>91129</v>
      </c>
      <c r="WI29">
        <v>209</v>
      </c>
      <c r="WJ29">
        <v>44337</v>
      </c>
      <c r="WK29">
        <v>91486</v>
      </c>
      <c r="WL29">
        <v>141</v>
      </c>
      <c r="WM29">
        <v>44337</v>
      </c>
      <c r="WN29">
        <v>91533</v>
      </c>
      <c r="WO29">
        <v>168</v>
      </c>
      <c r="WP29">
        <v>44340</v>
      </c>
      <c r="WQ29">
        <v>91889</v>
      </c>
      <c r="WR29">
        <v>156</v>
      </c>
      <c r="WS29">
        <v>44341</v>
      </c>
      <c r="WT29">
        <v>92077</v>
      </c>
      <c r="WU29">
        <v>151</v>
      </c>
      <c r="WV29">
        <v>44342</v>
      </c>
      <c r="WW29">
        <v>92204</v>
      </c>
      <c r="WX29">
        <v>124</v>
      </c>
      <c r="WY29">
        <v>44343</v>
      </c>
      <c r="WZ29">
        <v>92351</v>
      </c>
      <c r="XA29">
        <v>123</v>
      </c>
      <c r="XB29">
        <v>44344</v>
      </c>
      <c r="XC29">
        <v>92488</v>
      </c>
      <c r="XD29">
        <v>135</v>
      </c>
      <c r="XE29">
        <v>44346</v>
      </c>
      <c r="XF29">
        <v>92634</v>
      </c>
      <c r="XG29">
        <v>80</v>
      </c>
      <c r="XH29">
        <v>44346</v>
      </c>
      <c r="XI29">
        <v>92641</v>
      </c>
      <c r="XJ29">
        <v>81</v>
      </c>
      <c r="XK29">
        <v>44347</v>
      </c>
      <c r="XL29">
        <v>92783</v>
      </c>
      <c r="XM29">
        <v>143</v>
      </c>
      <c r="XN29">
        <v>44348</v>
      </c>
      <c r="XO29">
        <v>92908</v>
      </c>
      <c r="XP29">
        <v>123</v>
      </c>
      <c r="XQ29">
        <v>44349</v>
      </c>
      <c r="XR29">
        <v>93016</v>
      </c>
      <c r="XS29">
        <v>106</v>
      </c>
      <c r="XT29">
        <v>44350</v>
      </c>
      <c r="XU29">
        <v>93136</v>
      </c>
      <c r="XV29">
        <v>105</v>
      </c>
      <c r="XW29">
        <v>44351</v>
      </c>
      <c r="XX29">
        <v>93241</v>
      </c>
      <c r="XY29">
        <v>98</v>
      </c>
      <c r="XZ29">
        <v>44352</v>
      </c>
      <c r="YA29">
        <v>93307</v>
      </c>
      <c r="YB29">
        <v>65</v>
      </c>
      <c r="YC29">
        <v>44354</v>
      </c>
      <c r="YD29">
        <v>93504</v>
      </c>
      <c r="YE29">
        <v>134</v>
      </c>
      <c r="YF29">
        <v>44355</v>
      </c>
      <c r="YG29">
        <v>93616</v>
      </c>
      <c r="YH29">
        <v>104</v>
      </c>
      <c r="YI29">
        <v>44356</v>
      </c>
      <c r="YJ29">
        <v>93688</v>
      </c>
      <c r="YK29">
        <v>71</v>
      </c>
      <c r="YL29">
        <v>44357</v>
      </c>
      <c r="YM29">
        <v>93766</v>
      </c>
      <c r="YN29">
        <v>67</v>
      </c>
      <c r="YO29">
        <v>44358</v>
      </c>
      <c r="YP29">
        <v>93843</v>
      </c>
      <c r="YQ29">
        <v>71</v>
      </c>
      <c r="YR29">
        <v>44359</v>
      </c>
      <c r="YS29">
        <v>93891</v>
      </c>
      <c r="YT29">
        <v>42</v>
      </c>
      <c r="YU29">
        <v>44360</v>
      </c>
      <c r="YV29">
        <v>93945</v>
      </c>
      <c r="YW29">
        <v>46</v>
      </c>
    </row>
    <row r="30" spans="2:673">
      <c r="B30" t="str">
        <f t="shared" ca="1" si="2"/>
        <v>Ma 14</v>
      </c>
      <c r="C30" s="4">
        <f t="shared" ca="1" si="0"/>
        <v>44361</v>
      </c>
      <c r="D30" s="11">
        <f t="shared" ca="1" si="1"/>
        <v>94032</v>
      </c>
      <c r="E30">
        <f t="shared" ca="1" si="3"/>
        <v>88</v>
      </c>
      <c r="F30" s="11">
        <f t="shared" ca="1" si="4"/>
        <v>10</v>
      </c>
      <c r="G30" s="11">
        <f t="shared" ca="1" si="5"/>
        <v>78</v>
      </c>
      <c r="K30" s="4"/>
      <c r="L30" s="3"/>
      <c r="N30" s="16">
        <v>44361</v>
      </c>
      <c r="O30">
        <v>94023</v>
      </c>
      <c r="P30">
        <v>78</v>
      </c>
      <c r="Q30" s="16">
        <v>44361</v>
      </c>
      <c r="R30">
        <v>94023</v>
      </c>
      <c r="S30">
        <v>78</v>
      </c>
      <c r="T30" s="16">
        <v>44108</v>
      </c>
      <c r="U30">
        <v>11061</v>
      </c>
      <c r="V30">
        <v>144</v>
      </c>
      <c r="W30" s="16">
        <v>44109</v>
      </c>
      <c r="X30">
        <v>11308</v>
      </c>
      <c r="Y30">
        <v>241</v>
      </c>
      <c r="Z30" s="16">
        <v>44110</v>
      </c>
      <c r="AA30">
        <v>11605</v>
      </c>
      <c r="AB30">
        <v>242</v>
      </c>
      <c r="AC30" s="16">
        <v>44111</v>
      </c>
      <c r="AD30">
        <v>11808</v>
      </c>
      <c r="AE30">
        <v>195</v>
      </c>
      <c r="AF30" s="16">
        <v>44112</v>
      </c>
      <c r="AG30">
        <v>12039</v>
      </c>
      <c r="AH30">
        <v>178</v>
      </c>
      <c r="AI30" s="16">
        <v>44113</v>
      </c>
      <c r="AJ30">
        <v>12374</v>
      </c>
      <c r="AK30">
        <v>178</v>
      </c>
      <c r="AL30" s="16">
        <v>44114</v>
      </c>
      <c r="AM30">
        <v>12513</v>
      </c>
      <c r="AN30">
        <v>95</v>
      </c>
      <c r="AO30" s="16">
        <v>44115</v>
      </c>
      <c r="AP30">
        <v>12670</v>
      </c>
      <c r="AQ30">
        <v>126</v>
      </c>
      <c r="AR30" s="16">
        <v>44116</v>
      </c>
      <c r="AS30">
        <v>12878</v>
      </c>
      <c r="AT30">
        <v>204</v>
      </c>
      <c r="AU30" s="16">
        <v>44117</v>
      </c>
      <c r="AV30">
        <v>13046</v>
      </c>
      <c r="AW30">
        <v>149</v>
      </c>
      <c r="AX30" s="16">
        <v>44118</v>
      </c>
      <c r="AY30">
        <v>13197</v>
      </c>
      <c r="AZ30">
        <v>152</v>
      </c>
      <c r="BA30" s="16">
        <v>44119</v>
      </c>
      <c r="BB30">
        <v>13333</v>
      </c>
      <c r="BC30">
        <v>136</v>
      </c>
      <c r="BD30" s="16">
        <v>44120</v>
      </c>
      <c r="BE30">
        <v>13670</v>
      </c>
      <c r="BF30">
        <v>176</v>
      </c>
      <c r="BG30" s="16">
        <v>44121</v>
      </c>
      <c r="BH30">
        <v>13796</v>
      </c>
      <c r="BI30">
        <v>96</v>
      </c>
      <c r="BJ30" s="16">
        <v>44122</v>
      </c>
      <c r="BK30">
        <v>13937</v>
      </c>
      <c r="BL30">
        <v>128</v>
      </c>
      <c r="BM30" s="16">
        <v>44123</v>
      </c>
      <c r="BN30">
        <v>14181</v>
      </c>
      <c r="BO30">
        <v>238</v>
      </c>
      <c r="BP30" s="16">
        <v>44124</v>
      </c>
      <c r="BQ30">
        <v>14356</v>
      </c>
      <c r="BR30">
        <v>161</v>
      </c>
      <c r="BS30" s="16">
        <v>44125</v>
      </c>
      <c r="BT30">
        <v>14520</v>
      </c>
      <c r="BU30">
        <v>170</v>
      </c>
      <c r="BV30" s="16">
        <v>44127</v>
      </c>
      <c r="BW30">
        <v>14852</v>
      </c>
      <c r="BX30">
        <v>155</v>
      </c>
      <c r="BY30" s="16">
        <v>44128</v>
      </c>
      <c r="BZ30">
        <v>15041</v>
      </c>
      <c r="CA30">
        <v>106</v>
      </c>
      <c r="CB30" s="16">
        <v>44129</v>
      </c>
      <c r="CC30">
        <v>15173</v>
      </c>
      <c r="CD30">
        <v>121</v>
      </c>
      <c r="CE30" s="16">
        <v>44130</v>
      </c>
      <c r="CF30">
        <v>15435</v>
      </c>
      <c r="CG30">
        <v>253</v>
      </c>
      <c r="CH30" s="16">
        <v>44131</v>
      </c>
      <c r="CI30">
        <v>15664</v>
      </c>
      <c r="CJ30">
        <v>226</v>
      </c>
      <c r="CK30" s="16">
        <v>44132</v>
      </c>
      <c r="CL30">
        <v>15886</v>
      </c>
      <c r="CM30">
        <v>222</v>
      </c>
      <c r="CN30" s="16">
        <v>44133</v>
      </c>
      <c r="CO30">
        <v>16074</v>
      </c>
      <c r="CP30">
        <v>187</v>
      </c>
      <c r="CQ30" s="16">
        <v>44134</v>
      </c>
      <c r="CR30">
        <v>16351</v>
      </c>
      <c r="CS30">
        <v>209</v>
      </c>
      <c r="CT30" s="16">
        <v>44135</v>
      </c>
      <c r="CU30">
        <v>16478</v>
      </c>
      <c r="CV30">
        <v>119</v>
      </c>
      <c r="CW30" s="16">
        <v>44136</v>
      </c>
      <c r="CX30">
        <v>16628</v>
      </c>
      <c r="CY30">
        <v>141</v>
      </c>
      <c r="CZ30" s="16">
        <v>44138</v>
      </c>
      <c r="DA30">
        <v>17139</v>
      </c>
      <c r="DB30">
        <v>223</v>
      </c>
      <c r="DC30" s="16">
        <v>44139</v>
      </c>
      <c r="DD30">
        <v>17359</v>
      </c>
      <c r="DE30">
        <v>200</v>
      </c>
      <c r="DF30" s="16">
        <v>44140</v>
      </c>
      <c r="DG30">
        <v>17561</v>
      </c>
      <c r="DH30">
        <v>199</v>
      </c>
      <c r="DI30" s="16">
        <v>44141</v>
      </c>
      <c r="DJ30">
        <v>17777</v>
      </c>
      <c r="DK30">
        <v>191</v>
      </c>
      <c r="DL30" s="16">
        <v>44142</v>
      </c>
      <c r="DM30">
        <v>17914</v>
      </c>
      <c r="DN30">
        <v>127</v>
      </c>
      <c r="DO30" s="16">
        <v>44143</v>
      </c>
      <c r="DP30">
        <v>18049</v>
      </c>
      <c r="DQ30">
        <v>133</v>
      </c>
      <c r="DR30" s="16">
        <v>44144</v>
      </c>
      <c r="DS30">
        <v>18331</v>
      </c>
      <c r="DT30">
        <v>276</v>
      </c>
      <c r="DU30" s="16">
        <v>44145</v>
      </c>
      <c r="DV30">
        <v>18544</v>
      </c>
      <c r="DW30">
        <v>207</v>
      </c>
      <c r="DX30" s="16">
        <v>44146</v>
      </c>
      <c r="DY30">
        <v>18825</v>
      </c>
      <c r="DZ30">
        <v>279</v>
      </c>
      <c r="EA30" s="16">
        <v>44147</v>
      </c>
      <c r="EB30">
        <v>19057</v>
      </c>
      <c r="EC30">
        <v>230</v>
      </c>
      <c r="ED30" s="16">
        <v>44148</v>
      </c>
      <c r="EE30">
        <v>19283</v>
      </c>
      <c r="EF30">
        <v>218</v>
      </c>
      <c r="EG30" s="16">
        <v>44149</v>
      </c>
      <c r="EH30">
        <v>19432</v>
      </c>
      <c r="EI30">
        <v>132</v>
      </c>
      <c r="EJ30" s="16">
        <v>44150</v>
      </c>
      <c r="EK30">
        <v>19609</v>
      </c>
      <c r="EL30">
        <v>167</v>
      </c>
      <c r="EM30" s="16">
        <v>44151</v>
      </c>
      <c r="EN30">
        <v>20066</v>
      </c>
      <c r="EO30">
        <v>360</v>
      </c>
      <c r="EP30" s="16">
        <v>44152</v>
      </c>
      <c r="EQ30">
        <v>20478</v>
      </c>
      <c r="ER30">
        <v>387</v>
      </c>
      <c r="ES30" s="16">
        <v>44153</v>
      </c>
      <c r="ET30">
        <v>20850</v>
      </c>
      <c r="EU30">
        <v>372</v>
      </c>
      <c r="EV30" s="16">
        <v>44154</v>
      </c>
      <c r="EW30">
        <v>21313</v>
      </c>
      <c r="EX30">
        <v>471</v>
      </c>
      <c r="EY30" s="16">
        <v>44155</v>
      </c>
      <c r="EZ30">
        <v>21746</v>
      </c>
      <c r="FA30">
        <v>424</v>
      </c>
      <c r="FB30" s="16">
        <v>44156</v>
      </c>
      <c r="FC30">
        <v>22003</v>
      </c>
      <c r="FD30">
        <v>248</v>
      </c>
      <c r="FE30" s="16">
        <v>44157</v>
      </c>
      <c r="FF30">
        <v>22196</v>
      </c>
      <c r="FG30">
        <v>252</v>
      </c>
      <c r="FH30" s="16">
        <v>44158</v>
      </c>
      <c r="FI30">
        <v>22767</v>
      </c>
      <c r="FJ30">
        <v>474</v>
      </c>
      <c r="FK30" s="16">
        <v>44159</v>
      </c>
      <c r="FL30">
        <v>23234</v>
      </c>
      <c r="FM30">
        <v>436</v>
      </c>
      <c r="FN30" s="16">
        <v>44160</v>
      </c>
      <c r="FO30">
        <v>23812</v>
      </c>
      <c r="FP30">
        <v>568</v>
      </c>
      <c r="FQ30" s="16">
        <v>44161</v>
      </c>
      <c r="FR30">
        <v>24238</v>
      </c>
      <c r="FS30">
        <v>428</v>
      </c>
      <c r="FT30" s="16">
        <v>44162</v>
      </c>
      <c r="FU30">
        <v>24826</v>
      </c>
      <c r="FV30">
        <v>444</v>
      </c>
      <c r="FW30" s="16">
        <v>44163</v>
      </c>
      <c r="FX30">
        <v>25121</v>
      </c>
      <c r="FY30">
        <v>265</v>
      </c>
      <c r="FZ30" s="16">
        <v>44164</v>
      </c>
      <c r="GA30">
        <v>25412</v>
      </c>
      <c r="GB30">
        <v>266</v>
      </c>
      <c r="GC30" s="16">
        <v>44165</v>
      </c>
      <c r="GD30">
        <v>25928</v>
      </c>
      <c r="GE30">
        <v>514</v>
      </c>
      <c r="GF30" s="16">
        <v>44166</v>
      </c>
      <c r="GG30">
        <v>26355</v>
      </c>
      <c r="GH30">
        <v>383</v>
      </c>
      <c r="GI30" s="16">
        <v>44167</v>
      </c>
      <c r="GJ30">
        <v>26824</v>
      </c>
      <c r="GK30">
        <v>462</v>
      </c>
      <c r="GL30" s="16">
        <v>44168</v>
      </c>
      <c r="GM30">
        <v>27231</v>
      </c>
      <c r="GN30">
        <v>393</v>
      </c>
      <c r="GO30" s="16">
        <v>44169</v>
      </c>
      <c r="GP30">
        <v>27644</v>
      </c>
      <c r="GQ30">
        <v>387</v>
      </c>
      <c r="GR30" s="16">
        <v>44170</v>
      </c>
      <c r="GS30">
        <v>27890</v>
      </c>
      <c r="GT30">
        <v>220</v>
      </c>
      <c r="GU30" s="16">
        <v>44171</v>
      </c>
      <c r="GV30">
        <v>28478</v>
      </c>
      <c r="GW30">
        <v>278</v>
      </c>
      <c r="GX30" s="16">
        <v>44172</v>
      </c>
      <c r="GY30">
        <v>29076</v>
      </c>
      <c r="GZ30">
        <v>583</v>
      </c>
      <c r="HA30" s="16">
        <v>44173</v>
      </c>
      <c r="HB30">
        <v>29546</v>
      </c>
      <c r="HC30">
        <v>457</v>
      </c>
      <c r="HD30" s="16">
        <v>44174</v>
      </c>
      <c r="HE30">
        <v>29985</v>
      </c>
      <c r="HF30">
        <v>432</v>
      </c>
      <c r="HG30" s="16">
        <v>44175</v>
      </c>
      <c r="HH30">
        <v>30393</v>
      </c>
      <c r="HI30">
        <v>399</v>
      </c>
      <c r="HJ30" s="16">
        <v>44176</v>
      </c>
      <c r="HK30">
        <v>30833</v>
      </c>
      <c r="HL30">
        <v>434</v>
      </c>
      <c r="HM30" s="16">
        <v>44177</v>
      </c>
      <c r="HN30">
        <v>31106</v>
      </c>
      <c r="HO30">
        <v>246</v>
      </c>
      <c r="HP30" s="16">
        <v>44178</v>
      </c>
      <c r="HQ30">
        <v>31391</v>
      </c>
      <c r="HR30">
        <v>273</v>
      </c>
      <c r="HS30" s="16">
        <v>44179</v>
      </c>
      <c r="HT30">
        <v>31845</v>
      </c>
      <c r="HU30">
        <v>459</v>
      </c>
      <c r="HV30" s="16">
        <v>44180</v>
      </c>
      <c r="HW30">
        <v>32202</v>
      </c>
      <c r="HX30">
        <v>351</v>
      </c>
      <c r="HY30" s="16">
        <v>44181</v>
      </c>
      <c r="HZ30">
        <v>32538</v>
      </c>
      <c r="IA30">
        <v>338</v>
      </c>
      <c r="IB30" s="16">
        <v>44182</v>
      </c>
      <c r="IC30">
        <v>32845</v>
      </c>
      <c r="ID30">
        <v>309</v>
      </c>
      <c r="IE30" s="16">
        <v>44183</v>
      </c>
      <c r="IF30">
        <v>33246</v>
      </c>
      <c r="IG30">
        <v>376</v>
      </c>
      <c r="IH30" s="16">
        <v>44184</v>
      </c>
      <c r="II30">
        <v>33455</v>
      </c>
      <c r="IJ30">
        <v>183</v>
      </c>
      <c r="IK30" s="16">
        <v>44185</v>
      </c>
      <c r="IL30">
        <v>33710</v>
      </c>
      <c r="IM30">
        <v>244</v>
      </c>
      <c r="IN30" s="16">
        <v>44186</v>
      </c>
      <c r="IO30">
        <v>34074</v>
      </c>
      <c r="IP30">
        <v>366</v>
      </c>
      <c r="IQ30" s="16">
        <v>44187</v>
      </c>
      <c r="IR30">
        <v>34392</v>
      </c>
      <c r="IS30">
        <v>316</v>
      </c>
      <c r="IT30" s="16">
        <v>44188</v>
      </c>
      <c r="IU30">
        <v>34651</v>
      </c>
      <c r="IV30">
        <v>256</v>
      </c>
      <c r="IW30" s="16">
        <v>44189</v>
      </c>
      <c r="IX30">
        <v>34786</v>
      </c>
      <c r="IY30">
        <v>130</v>
      </c>
      <c r="IZ30" s="16">
        <v>44190</v>
      </c>
      <c r="JA30">
        <v>34943</v>
      </c>
      <c r="JB30">
        <v>145</v>
      </c>
      <c r="JC30" s="16">
        <v>44194</v>
      </c>
      <c r="JD30">
        <v>35858</v>
      </c>
      <c r="JE30">
        <v>158</v>
      </c>
      <c r="JF30" s="16">
        <v>44198</v>
      </c>
      <c r="JG30">
        <v>36772</v>
      </c>
      <c r="JH30">
        <v>101</v>
      </c>
      <c r="JI30" s="16">
        <v>44199</v>
      </c>
      <c r="JJ30">
        <v>37160</v>
      </c>
      <c r="JK30">
        <v>174</v>
      </c>
      <c r="JL30" s="16">
        <v>44200</v>
      </c>
      <c r="JM30">
        <v>37529</v>
      </c>
      <c r="JN30">
        <v>368</v>
      </c>
      <c r="JO30" s="16">
        <v>44201</v>
      </c>
      <c r="JP30">
        <v>37798</v>
      </c>
      <c r="JQ30">
        <v>259</v>
      </c>
      <c r="JR30" s="16">
        <v>44203</v>
      </c>
      <c r="JS30">
        <v>38323</v>
      </c>
      <c r="JT30">
        <v>317</v>
      </c>
      <c r="JU30" s="16">
        <v>44203</v>
      </c>
      <c r="JV30">
        <v>38332</v>
      </c>
      <c r="JW30">
        <v>324</v>
      </c>
      <c r="JX30" s="16">
        <v>44205</v>
      </c>
      <c r="JY30">
        <v>38723</v>
      </c>
      <c r="JZ30">
        <v>156</v>
      </c>
      <c r="KA30" s="16">
        <v>44217</v>
      </c>
      <c r="KB30">
        <v>39593</v>
      </c>
      <c r="KC30">
        <v>0</v>
      </c>
      <c r="KD30" s="16">
        <v>44217</v>
      </c>
      <c r="KE30">
        <v>42249</v>
      </c>
      <c r="KF30">
        <v>337</v>
      </c>
      <c r="KG30" s="16">
        <v>44218</v>
      </c>
      <c r="KH30">
        <v>42612</v>
      </c>
      <c r="KI30">
        <v>336</v>
      </c>
      <c r="KJ30" s="16">
        <v>44220</v>
      </c>
      <c r="KK30">
        <v>43036</v>
      </c>
      <c r="KL30">
        <v>222</v>
      </c>
      <c r="KM30" s="16">
        <v>44221</v>
      </c>
      <c r="KN30">
        <v>43636</v>
      </c>
      <c r="KO30">
        <v>580</v>
      </c>
      <c r="KP30" s="16">
        <v>44225</v>
      </c>
      <c r="KQ30">
        <v>44871</v>
      </c>
      <c r="KR30">
        <v>167</v>
      </c>
      <c r="KS30" s="16">
        <v>44226</v>
      </c>
      <c r="KT30">
        <v>45442</v>
      </c>
      <c r="KU30">
        <v>193</v>
      </c>
      <c r="KV30" s="16">
        <v>44227</v>
      </c>
      <c r="KW30">
        <v>45755</v>
      </c>
      <c r="KX30">
        <v>251</v>
      </c>
      <c r="KY30" s="16">
        <v>44229</v>
      </c>
      <c r="KZ30">
        <v>46534</v>
      </c>
      <c r="LA30">
        <v>312</v>
      </c>
      <c r="LB30" s="16">
        <v>44230</v>
      </c>
      <c r="LC30">
        <v>47049</v>
      </c>
      <c r="LD30">
        <v>356</v>
      </c>
      <c r="LE30" s="16">
        <v>44231</v>
      </c>
      <c r="LF30">
        <v>47443</v>
      </c>
      <c r="LG30">
        <v>327</v>
      </c>
      <c r="LH30" s="16">
        <v>44233</v>
      </c>
      <c r="LI30">
        <v>48032</v>
      </c>
      <c r="LJ30">
        <v>230</v>
      </c>
      <c r="LK30" s="16">
        <v>44233</v>
      </c>
      <c r="LL30">
        <v>48034</v>
      </c>
      <c r="LM30">
        <v>232</v>
      </c>
      <c r="LN30" s="16">
        <v>44235</v>
      </c>
      <c r="LO30">
        <v>48704</v>
      </c>
      <c r="LP30">
        <v>400</v>
      </c>
      <c r="LQ30" s="16">
        <v>44236</v>
      </c>
      <c r="LR30">
        <v>49193</v>
      </c>
      <c r="LS30">
        <v>366</v>
      </c>
      <c r="LT30" s="16">
        <v>44237</v>
      </c>
      <c r="LU30">
        <v>49583</v>
      </c>
      <c r="LV30">
        <v>384</v>
      </c>
      <c r="LW30" s="16">
        <v>44238</v>
      </c>
      <c r="LX30">
        <v>49934</v>
      </c>
      <c r="LY30">
        <v>343</v>
      </c>
      <c r="LZ30" s="16">
        <v>44239</v>
      </c>
      <c r="MA30">
        <v>50322</v>
      </c>
      <c r="MB30">
        <v>397</v>
      </c>
      <c r="MC30" s="16">
        <v>44240</v>
      </c>
      <c r="MD30">
        <v>50606</v>
      </c>
      <c r="ME30">
        <v>263</v>
      </c>
      <c r="MF30" s="16">
        <v>44242</v>
      </c>
      <c r="MG30">
        <v>51482</v>
      </c>
      <c r="MH30">
        <v>568</v>
      </c>
      <c r="MI30" s="16">
        <v>44242</v>
      </c>
      <c r="MJ30">
        <v>51496</v>
      </c>
      <c r="MK30">
        <v>578</v>
      </c>
      <c r="ML30" s="16">
        <v>44243</v>
      </c>
      <c r="MM30">
        <v>52006</v>
      </c>
      <c r="MN30">
        <v>497</v>
      </c>
      <c r="MO30" s="16">
        <v>44244</v>
      </c>
      <c r="MP30">
        <v>52533</v>
      </c>
      <c r="MQ30">
        <v>523</v>
      </c>
      <c r="MR30" s="16">
        <v>44245</v>
      </c>
      <c r="MS30">
        <v>53131</v>
      </c>
      <c r="MT30">
        <v>591</v>
      </c>
      <c r="MU30" s="16">
        <v>44246</v>
      </c>
      <c r="MV30">
        <v>53687</v>
      </c>
      <c r="MW30">
        <v>550</v>
      </c>
      <c r="MX30" s="16">
        <v>44247</v>
      </c>
      <c r="MY30">
        <v>54009</v>
      </c>
      <c r="MZ30">
        <v>305</v>
      </c>
      <c r="NA30" s="16">
        <v>44247</v>
      </c>
      <c r="NB30">
        <v>54038</v>
      </c>
      <c r="NC30">
        <v>307</v>
      </c>
      <c r="ND30" s="16">
        <v>44250</v>
      </c>
      <c r="NE30">
        <v>55593</v>
      </c>
      <c r="NF30">
        <v>552</v>
      </c>
      <c r="NG30" s="16">
        <v>44250</v>
      </c>
      <c r="NH30">
        <v>55643</v>
      </c>
      <c r="NI30">
        <v>604</v>
      </c>
      <c r="NJ30" s="16">
        <v>44252</v>
      </c>
      <c r="NK30">
        <v>56816</v>
      </c>
      <c r="NL30">
        <v>580</v>
      </c>
      <c r="NM30" s="16">
        <v>44252</v>
      </c>
      <c r="NN30">
        <v>56827</v>
      </c>
      <c r="NO30">
        <v>585</v>
      </c>
      <c r="NP30" s="16">
        <v>44254</v>
      </c>
      <c r="NQ30">
        <v>57906</v>
      </c>
      <c r="NR30">
        <v>394</v>
      </c>
      <c r="NS30" s="16">
        <v>44255</v>
      </c>
      <c r="NT30">
        <v>58385</v>
      </c>
      <c r="NU30">
        <v>416</v>
      </c>
      <c r="NV30" s="16">
        <v>44256</v>
      </c>
      <c r="NW30">
        <v>59266</v>
      </c>
      <c r="NX30">
        <v>858</v>
      </c>
      <c r="NY30" s="16">
        <v>44257</v>
      </c>
      <c r="NZ30">
        <v>60016</v>
      </c>
      <c r="OA30">
        <v>740</v>
      </c>
      <c r="OB30" s="16">
        <v>44258</v>
      </c>
      <c r="OC30">
        <v>60734</v>
      </c>
      <c r="OD30">
        <v>714</v>
      </c>
      <c r="OE30" s="16">
        <v>44259</v>
      </c>
      <c r="OF30">
        <v>61360</v>
      </c>
      <c r="OG30">
        <v>617</v>
      </c>
      <c r="OH30" s="16">
        <v>44260</v>
      </c>
      <c r="OI30">
        <v>62008</v>
      </c>
      <c r="OJ30">
        <v>592</v>
      </c>
      <c r="OK30" s="16">
        <v>44261</v>
      </c>
      <c r="OL30">
        <v>62436</v>
      </c>
      <c r="OM30">
        <v>424</v>
      </c>
      <c r="ON30" s="16">
        <v>44262</v>
      </c>
      <c r="OO30">
        <v>62842</v>
      </c>
      <c r="OP30">
        <v>390</v>
      </c>
      <c r="OQ30" s="16">
        <v>44263</v>
      </c>
      <c r="OR30">
        <v>63667</v>
      </c>
      <c r="OS30">
        <v>811</v>
      </c>
      <c r="OT30" s="16">
        <v>44264</v>
      </c>
      <c r="OU30">
        <v>64340</v>
      </c>
      <c r="OV30">
        <v>681</v>
      </c>
      <c r="OW30" s="16">
        <v>44265</v>
      </c>
      <c r="OX30">
        <v>65190</v>
      </c>
      <c r="OY30">
        <v>771</v>
      </c>
      <c r="OZ30" s="16">
        <v>44266</v>
      </c>
      <c r="PA30">
        <v>65931</v>
      </c>
      <c r="PB30">
        <v>736</v>
      </c>
      <c r="PC30" s="16">
        <v>44267</v>
      </c>
      <c r="PD30">
        <v>66722</v>
      </c>
      <c r="PE30">
        <v>774</v>
      </c>
      <c r="PF30" s="16">
        <v>44268</v>
      </c>
      <c r="PG30">
        <v>67216</v>
      </c>
      <c r="PH30">
        <v>485</v>
      </c>
      <c r="PI30" s="16">
        <v>44269</v>
      </c>
      <c r="PJ30">
        <v>67648</v>
      </c>
      <c r="PK30">
        <v>418</v>
      </c>
      <c r="PL30" s="16">
        <v>44270</v>
      </c>
      <c r="PM30">
        <v>68601</v>
      </c>
      <c r="PN30">
        <v>877</v>
      </c>
      <c r="PO30" s="16">
        <v>44271</v>
      </c>
      <c r="PP30">
        <v>69379</v>
      </c>
      <c r="PQ30">
        <v>743</v>
      </c>
      <c r="PR30" s="16">
        <v>44272</v>
      </c>
      <c r="PS30">
        <v>70093</v>
      </c>
      <c r="PT30">
        <v>711</v>
      </c>
      <c r="PU30" s="16">
        <v>44273</v>
      </c>
      <c r="PV30">
        <v>70800</v>
      </c>
      <c r="PW30">
        <v>702</v>
      </c>
      <c r="PX30" s="16">
        <v>44274</v>
      </c>
      <c r="PY30">
        <v>71643</v>
      </c>
      <c r="PZ30">
        <v>717</v>
      </c>
      <c r="QA30" s="16">
        <v>44275</v>
      </c>
      <c r="QB30">
        <v>72092</v>
      </c>
      <c r="QC30">
        <v>397</v>
      </c>
      <c r="QD30" s="16">
        <v>44276</v>
      </c>
      <c r="QE30">
        <v>72516</v>
      </c>
      <c r="QF30">
        <v>416</v>
      </c>
      <c r="QG30" s="16">
        <v>44277</v>
      </c>
      <c r="QH30">
        <v>73264</v>
      </c>
      <c r="QI30">
        <v>747</v>
      </c>
      <c r="QJ30" s="16">
        <v>44278</v>
      </c>
      <c r="QK30">
        <v>73985</v>
      </c>
      <c r="QL30">
        <v>697</v>
      </c>
      <c r="QM30" s="16">
        <v>44279</v>
      </c>
      <c r="QN30">
        <v>74643</v>
      </c>
      <c r="QO30">
        <v>655</v>
      </c>
      <c r="QP30" s="16">
        <v>44280</v>
      </c>
      <c r="QQ30">
        <v>75226</v>
      </c>
      <c r="QR30">
        <v>578</v>
      </c>
      <c r="QS30" s="16">
        <v>44281</v>
      </c>
      <c r="QT30">
        <v>75932</v>
      </c>
      <c r="QU30">
        <v>651</v>
      </c>
      <c r="QV30" s="16">
        <v>44282</v>
      </c>
      <c r="QW30">
        <v>76335</v>
      </c>
      <c r="QX30">
        <v>349</v>
      </c>
      <c r="QY30" s="16">
        <v>44283</v>
      </c>
      <c r="QZ30">
        <v>76712</v>
      </c>
      <c r="RA30">
        <v>371</v>
      </c>
      <c r="RB30" s="16">
        <v>44284</v>
      </c>
      <c r="RC30">
        <v>77362</v>
      </c>
      <c r="RD30">
        <v>643</v>
      </c>
      <c r="RE30" s="16">
        <v>44285</v>
      </c>
      <c r="RF30">
        <v>77926</v>
      </c>
      <c r="RG30">
        <v>567</v>
      </c>
      <c r="RH30" s="16">
        <v>44286</v>
      </c>
      <c r="RI30">
        <v>78458</v>
      </c>
      <c r="RJ30">
        <v>535</v>
      </c>
      <c r="RK30" s="16">
        <v>44287</v>
      </c>
      <c r="RL30">
        <v>78918</v>
      </c>
      <c r="RM30">
        <v>460</v>
      </c>
      <c r="RN30" s="16">
        <v>44289</v>
      </c>
      <c r="RO30">
        <v>79571</v>
      </c>
      <c r="RP30">
        <v>296</v>
      </c>
      <c r="RQ30" s="16">
        <v>44290</v>
      </c>
      <c r="RR30">
        <v>79950</v>
      </c>
      <c r="RS30">
        <v>315</v>
      </c>
      <c r="RT30">
        <v>44291</v>
      </c>
      <c r="RU30">
        <v>80322</v>
      </c>
      <c r="RV30">
        <v>359</v>
      </c>
      <c r="RW30">
        <v>44292</v>
      </c>
      <c r="RX30">
        <v>80857</v>
      </c>
      <c r="RY30">
        <v>534</v>
      </c>
      <c r="RZ30">
        <v>44293</v>
      </c>
      <c r="SA30">
        <v>81260</v>
      </c>
      <c r="SB30">
        <v>400</v>
      </c>
      <c r="SC30">
        <v>44294</v>
      </c>
      <c r="SD30">
        <v>81641</v>
      </c>
      <c r="SE30">
        <v>378</v>
      </c>
      <c r="SF30">
        <v>44295</v>
      </c>
      <c r="SG30">
        <v>81990</v>
      </c>
      <c r="SH30">
        <v>328</v>
      </c>
      <c r="SI30">
        <v>44296</v>
      </c>
      <c r="SJ30">
        <v>82254</v>
      </c>
      <c r="SK30">
        <v>225</v>
      </c>
      <c r="SL30">
        <v>44298</v>
      </c>
      <c r="SM30">
        <v>82829</v>
      </c>
      <c r="SN30">
        <v>341</v>
      </c>
      <c r="SO30">
        <v>44299</v>
      </c>
      <c r="SP30">
        <v>83222</v>
      </c>
      <c r="SQ30">
        <v>309</v>
      </c>
      <c r="SR30">
        <v>44300</v>
      </c>
      <c r="SS30">
        <v>83568</v>
      </c>
      <c r="ST30">
        <v>319</v>
      </c>
      <c r="SU30">
        <v>44301</v>
      </c>
      <c r="SV30">
        <v>83842</v>
      </c>
      <c r="SW30">
        <v>270</v>
      </c>
      <c r="SX30">
        <v>44303</v>
      </c>
      <c r="SY30">
        <v>84272</v>
      </c>
      <c r="SZ30">
        <v>159</v>
      </c>
      <c r="TA30">
        <v>44304</v>
      </c>
      <c r="TB30">
        <v>84468</v>
      </c>
      <c r="TC30">
        <v>159</v>
      </c>
      <c r="TD30">
        <v>44306</v>
      </c>
      <c r="TE30">
        <v>85020</v>
      </c>
      <c r="TF30">
        <v>265</v>
      </c>
      <c r="TG30">
        <v>44307</v>
      </c>
      <c r="TH30">
        <v>85257</v>
      </c>
      <c r="TI30">
        <v>215</v>
      </c>
      <c r="TJ30">
        <v>44308</v>
      </c>
      <c r="TK30">
        <v>85501</v>
      </c>
      <c r="TL30">
        <v>242</v>
      </c>
      <c r="TM30">
        <v>44309</v>
      </c>
      <c r="TN30">
        <v>85769</v>
      </c>
      <c r="TO30">
        <v>231</v>
      </c>
      <c r="TP30">
        <v>44311</v>
      </c>
      <c r="TQ30">
        <v>86091</v>
      </c>
      <c r="TR30">
        <v>131</v>
      </c>
      <c r="TS30">
        <v>44312</v>
      </c>
      <c r="TT30">
        <v>86311</v>
      </c>
      <c r="TU30">
        <v>208</v>
      </c>
      <c r="TV30">
        <v>44312</v>
      </c>
      <c r="TW30">
        <v>86331</v>
      </c>
      <c r="TX30">
        <v>223</v>
      </c>
      <c r="TY30">
        <v>44313</v>
      </c>
      <c r="TZ30">
        <v>86577</v>
      </c>
      <c r="UA30">
        <v>230</v>
      </c>
      <c r="UB30">
        <v>44315</v>
      </c>
      <c r="UC30">
        <v>87011</v>
      </c>
      <c r="UD30">
        <v>186</v>
      </c>
      <c r="UE30">
        <v>44315</v>
      </c>
      <c r="UF30">
        <v>87013</v>
      </c>
      <c r="UG30">
        <v>186</v>
      </c>
      <c r="UH30">
        <v>44316</v>
      </c>
      <c r="UI30">
        <v>87223</v>
      </c>
      <c r="UJ30">
        <v>183</v>
      </c>
      <c r="UK30">
        <v>44317</v>
      </c>
      <c r="UL30">
        <v>87362</v>
      </c>
      <c r="UM30">
        <v>104</v>
      </c>
      <c r="UN30">
        <v>44321</v>
      </c>
      <c r="UO30">
        <v>88078</v>
      </c>
      <c r="UP30">
        <v>106</v>
      </c>
      <c r="UQ30">
        <v>44322</v>
      </c>
      <c r="UR30">
        <v>88494</v>
      </c>
      <c r="US30">
        <v>224</v>
      </c>
      <c r="UT30">
        <v>44323</v>
      </c>
      <c r="UU30">
        <v>88706</v>
      </c>
      <c r="UV30">
        <v>192</v>
      </c>
      <c r="UW30">
        <v>44324</v>
      </c>
      <c r="UX30">
        <v>88869</v>
      </c>
      <c r="UY30">
        <v>126</v>
      </c>
      <c r="UZ30">
        <v>44326</v>
      </c>
      <c r="VA30">
        <v>89248</v>
      </c>
      <c r="VB30">
        <v>244</v>
      </c>
      <c r="VC30">
        <v>44326</v>
      </c>
      <c r="VD30">
        <v>89256</v>
      </c>
      <c r="VE30">
        <v>256</v>
      </c>
      <c r="VF30">
        <v>44327</v>
      </c>
      <c r="VG30">
        <v>89470</v>
      </c>
      <c r="VH30">
        <v>210</v>
      </c>
      <c r="VI30">
        <v>44329</v>
      </c>
      <c r="VJ30">
        <v>89830</v>
      </c>
      <c r="VK30">
        <v>143</v>
      </c>
      <c r="VL30">
        <v>44329</v>
      </c>
      <c r="VM30">
        <v>89827</v>
      </c>
      <c r="VN30">
        <v>144</v>
      </c>
      <c r="VO30">
        <v>44330</v>
      </c>
      <c r="VP30">
        <v>90086</v>
      </c>
      <c r="VQ30">
        <v>220</v>
      </c>
      <c r="VR30">
        <v>44331</v>
      </c>
      <c r="VS30">
        <v>90268</v>
      </c>
      <c r="VT30">
        <v>157</v>
      </c>
      <c r="VU30">
        <v>44333</v>
      </c>
      <c r="VV30">
        <v>90683</v>
      </c>
      <c r="VW30">
        <v>276</v>
      </c>
      <c r="VX30">
        <v>44333</v>
      </c>
      <c r="VY30">
        <v>90696</v>
      </c>
      <c r="VZ30">
        <v>285</v>
      </c>
      <c r="WA30">
        <v>44334</v>
      </c>
      <c r="WB30">
        <v>90919</v>
      </c>
      <c r="WC30">
        <v>217</v>
      </c>
      <c r="WD30">
        <v>44335</v>
      </c>
      <c r="WE30">
        <v>91128</v>
      </c>
      <c r="WF30">
        <v>209</v>
      </c>
      <c r="WG30">
        <v>44336</v>
      </c>
      <c r="WH30">
        <v>91329</v>
      </c>
      <c r="WI30">
        <v>200</v>
      </c>
      <c r="WJ30">
        <v>44338</v>
      </c>
      <c r="WK30">
        <v>91588</v>
      </c>
      <c r="WL30">
        <v>102</v>
      </c>
      <c r="WM30">
        <v>44338</v>
      </c>
      <c r="WN30">
        <v>91638</v>
      </c>
      <c r="WO30">
        <v>105</v>
      </c>
      <c r="WP30">
        <v>44341</v>
      </c>
      <c r="WQ30">
        <v>91996</v>
      </c>
      <c r="WR30">
        <v>107</v>
      </c>
      <c r="WS30">
        <v>44342</v>
      </c>
      <c r="WT30">
        <v>92201</v>
      </c>
      <c r="WU30">
        <v>124</v>
      </c>
      <c r="WV30">
        <v>44343</v>
      </c>
      <c r="WW30">
        <v>92311</v>
      </c>
      <c r="WX30">
        <v>107</v>
      </c>
      <c r="WY30">
        <v>44344</v>
      </c>
      <c r="WZ30">
        <v>92474</v>
      </c>
      <c r="XA30">
        <v>123</v>
      </c>
      <c r="XB30">
        <v>44345</v>
      </c>
      <c r="XC30">
        <v>92552</v>
      </c>
      <c r="XD30">
        <v>64</v>
      </c>
      <c r="XE30">
        <v>44347</v>
      </c>
      <c r="XF30">
        <v>92745</v>
      </c>
      <c r="XG30">
        <v>111</v>
      </c>
      <c r="XH30">
        <v>44347</v>
      </c>
      <c r="XI30">
        <v>92783</v>
      </c>
      <c r="XJ30">
        <v>142</v>
      </c>
      <c r="XK30">
        <v>44348</v>
      </c>
      <c r="XL30">
        <v>92905</v>
      </c>
      <c r="XM30">
        <v>122</v>
      </c>
      <c r="XN30">
        <v>44349</v>
      </c>
      <c r="XO30">
        <v>93012</v>
      </c>
      <c r="XP30">
        <v>104</v>
      </c>
      <c r="XQ30">
        <v>44350</v>
      </c>
      <c r="XR30">
        <v>93122</v>
      </c>
      <c r="XS30">
        <v>106</v>
      </c>
      <c r="XT30">
        <v>44351</v>
      </c>
      <c r="XU30">
        <v>93216</v>
      </c>
      <c r="XV30">
        <v>80</v>
      </c>
      <c r="XW30">
        <v>44352</v>
      </c>
      <c r="XX30">
        <v>93307</v>
      </c>
      <c r="XY30">
        <v>66</v>
      </c>
      <c r="XZ30">
        <v>44353</v>
      </c>
      <c r="YA30">
        <v>93369</v>
      </c>
      <c r="YB30">
        <v>62</v>
      </c>
      <c r="YC30">
        <v>44355</v>
      </c>
      <c r="YD30">
        <v>93595</v>
      </c>
      <c r="YE30">
        <v>91</v>
      </c>
      <c r="YF30">
        <v>44356</v>
      </c>
      <c r="YG30">
        <v>93687</v>
      </c>
      <c r="YH30">
        <v>71</v>
      </c>
      <c r="YI30">
        <v>44357</v>
      </c>
      <c r="YJ30">
        <v>93755</v>
      </c>
      <c r="YK30">
        <v>67</v>
      </c>
      <c r="YL30">
        <v>44358</v>
      </c>
      <c r="YM30">
        <v>93822</v>
      </c>
      <c r="YN30">
        <v>56</v>
      </c>
      <c r="YO30">
        <v>44359</v>
      </c>
      <c r="YP30">
        <v>93887</v>
      </c>
      <c r="YQ30">
        <v>44</v>
      </c>
      <c r="YR30">
        <v>44360</v>
      </c>
      <c r="YS30">
        <v>93927</v>
      </c>
      <c r="YT30">
        <v>36</v>
      </c>
      <c r="YU30">
        <v>44361</v>
      </c>
      <c r="YV30">
        <v>94023</v>
      </c>
      <c r="YW30">
        <v>78</v>
      </c>
    </row>
    <row r="31" spans="2:673">
      <c r="B31" t="str">
        <f t="shared" ca="1" si="2"/>
        <v>15.6</v>
      </c>
      <c r="C31" s="4">
        <f t="shared" ca="1" si="0"/>
        <v>44362</v>
      </c>
      <c r="D31" s="11">
        <f t="shared" ca="1" si="1"/>
        <v>94109</v>
      </c>
      <c r="E31">
        <f t="shared" ca="1" si="3"/>
        <v>77</v>
      </c>
      <c r="F31" s="11">
        <f t="shared" ca="1" si="4"/>
        <v>21</v>
      </c>
      <c r="G31" s="11">
        <f t="shared" ca="1" si="5"/>
        <v>56</v>
      </c>
      <c r="K31" s="4"/>
      <c r="L31" s="3"/>
      <c r="N31" s="16">
        <v>44362</v>
      </c>
      <c r="O31">
        <v>94079</v>
      </c>
      <c r="P31">
        <v>56</v>
      </c>
      <c r="Q31" s="16">
        <v>44362</v>
      </c>
      <c r="R31">
        <v>94079</v>
      </c>
      <c r="S31">
        <v>56</v>
      </c>
      <c r="T31" s="16">
        <v>44109</v>
      </c>
      <c r="U31">
        <v>11250</v>
      </c>
      <c r="V31">
        <v>189</v>
      </c>
      <c r="W31" s="16">
        <v>44110</v>
      </c>
      <c r="X31">
        <v>11499</v>
      </c>
      <c r="Y31">
        <v>191</v>
      </c>
      <c r="Z31" s="16">
        <v>44111</v>
      </c>
      <c r="AA31">
        <v>11779</v>
      </c>
      <c r="AB31">
        <v>174</v>
      </c>
      <c r="AC31" s="16">
        <v>44112</v>
      </c>
      <c r="AD31">
        <v>11954</v>
      </c>
      <c r="AE31">
        <v>146</v>
      </c>
      <c r="AF31" s="16">
        <v>44113</v>
      </c>
      <c r="AG31">
        <v>12160</v>
      </c>
      <c r="AH31">
        <v>121</v>
      </c>
      <c r="AI31" s="16">
        <v>44114</v>
      </c>
      <c r="AJ31">
        <v>12432</v>
      </c>
      <c r="AK31">
        <v>58</v>
      </c>
      <c r="AL31" s="16">
        <v>44115</v>
      </c>
      <c r="AM31">
        <v>12603</v>
      </c>
      <c r="AN31">
        <v>90</v>
      </c>
      <c r="AO31" s="16">
        <v>44116</v>
      </c>
      <c r="AP31">
        <v>12844</v>
      </c>
      <c r="AQ31">
        <v>174</v>
      </c>
      <c r="AR31" s="16">
        <v>44117</v>
      </c>
      <c r="AS31">
        <v>13023</v>
      </c>
      <c r="AT31">
        <v>145</v>
      </c>
      <c r="AU31" s="16">
        <v>44118</v>
      </c>
      <c r="AV31">
        <v>13186</v>
      </c>
      <c r="AW31">
        <v>140</v>
      </c>
      <c r="AX31" s="16">
        <v>44119</v>
      </c>
      <c r="AY31">
        <v>13316</v>
      </c>
      <c r="AZ31">
        <v>119</v>
      </c>
      <c r="BA31" s="16">
        <v>44120</v>
      </c>
      <c r="BB31">
        <v>13472</v>
      </c>
      <c r="BC31">
        <v>139</v>
      </c>
      <c r="BD31" s="16">
        <v>44121</v>
      </c>
      <c r="BE31">
        <v>13747</v>
      </c>
      <c r="BF31">
        <v>77</v>
      </c>
      <c r="BG31" s="16">
        <v>44122</v>
      </c>
      <c r="BH31">
        <v>13912</v>
      </c>
      <c r="BI31">
        <v>116</v>
      </c>
      <c r="BJ31" s="16">
        <v>44123</v>
      </c>
      <c r="BK31">
        <v>14148</v>
      </c>
      <c r="BL31">
        <v>211</v>
      </c>
      <c r="BM31" s="16">
        <v>44124</v>
      </c>
      <c r="BN31">
        <v>14322</v>
      </c>
      <c r="BO31">
        <v>141</v>
      </c>
      <c r="BP31" s="16">
        <v>44125</v>
      </c>
      <c r="BQ31">
        <v>14510</v>
      </c>
      <c r="BR31">
        <v>154</v>
      </c>
      <c r="BS31" s="16">
        <v>44126</v>
      </c>
      <c r="BT31">
        <v>14691</v>
      </c>
      <c r="BU31">
        <v>171</v>
      </c>
      <c r="BV31" s="16">
        <v>44128</v>
      </c>
      <c r="BW31">
        <v>14925</v>
      </c>
      <c r="BX31">
        <v>73</v>
      </c>
      <c r="BY31" s="16">
        <v>44129</v>
      </c>
      <c r="BZ31">
        <v>15162</v>
      </c>
      <c r="CA31">
        <v>121</v>
      </c>
      <c r="CB31" s="16">
        <v>44130</v>
      </c>
      <c r="CC31">
        <v>15395</v>
      </c>
      <c r="CD31">
        <v>222</v>
      </c>
      <c r="CE31" s="16">
        <v>44131</v>
      </c>
      <c r="CF31">
        <v>15651</v>
      </c>
      <c r="CG31">
        <v>216</v>
      </c>
      <c r="CH31" s="16">
        <v>44132</v>
      </c>
      <c r="CI31">
        <v>15886</v>
      </c>
      <c r="CJ31">
        <v>222</v>
      </c>
      <c r="CK31" s="16">
        <v>44133</v>
      </c>
      <c r="CL31">
        <v>16069</v>
      </c>
      <c r="CM31">
        <v>183</v>
      </c>
      <c r="CN31" s="16">
        <v>44134</v>
      </c>
      <c r="CO31">
        <v>16261</v>
      </c>
      <c r="CP31">
        <v>187</v>
      </c>
      <c r="CQ31" s="16">
        <v>44135</v>
      </c>
      <c r="CR31">
        <v>16467</v>
      </c>
      <c r="CS31">
        <v>116</v>
      </c>
      <c r="CT31" s="16">
        <v>44136</v>
      </c>
      <c r="CU31">
        <v>16618</v>
      </c>
      <c r="CV31">
        <v>140</v>
      </c>
      <c r="CW31" s="16">
        <v>44137</v>
      </c>
      <c r="CX31">
        <v>16895</v>
      </c>
      <c r="CY31">
        <v>267</v>
      </c>
      <c r="CZ31" s="16">
        <v>44139</v>
      </c>
      <c r="DA31">
        <v>17315</v>
      </c>
      <c r="DB31">
        <v>176</v>
      </c>
      <c r="DC31" s="16">
        <v>44140</v>
      </c>
      <c r="DD31">
        <v>17557</v>
      </c>
      <c r="DE31">
        <v>198</v>
      </c>
      <c r="DF31" s="16">
        <v>44141</v>
      </c>
      <c r="DG31">
        <v>17733</v>
      </c>
      <c r="DH31">
        <v>172</v>
      </c>
      <c r="DI31" s="16">
        <v>44142</v>
      </c>
      <c r="DJ31">
        <v>17902</v>
      </c>
      <c r="DK31">
        <v>125</v>
      </c>
      <c r="DL31" s="16">
        <v>44143</v>
      </c>
      <c r="DM31">
        <v>18047</v>
      </c>
      <c r="DN31">
        <v>133</v>
      </c>
      <c r="DO31" s="16">
        <v>44144</v>
      </c>
      <c r="DP31">
        <v>18313</v>
      </c>
      <c r="DQ31">
        <v>264</v>
      </c>
      <c r="DR31" s="16">
        <v>44145</v>
      </c>
      <c r="DS31">
        <v>18515</v>
      </c>
      <c r="DT31">
        <v>184</v>
      </c>
      <c r="DU31" s="16">
        <v>44146</v>
      </c>
      <c r="DV31">
        <v>18823</v>
      </c>
      <c r="DW31">
        <v>279</v>
      </c>
      <c r="DX31" s="16">
        <v>44147</v>
      </c>
      <c r="DY31">
        <v>19051</v>
      </c>
      <c r="DZ31">
        <v>226</v>
      </c>
      <c r="EA31" s="16">
        <v>44148</v>
      </c>
      <c r="EB31">
        <v>19264</v>
      </c>
      <c r="EC31">
        <v>207</v>
      </c>
      <c r="ED31" s="16">
        <v>44149</v>
      </c>
      <c r="EE31">
        <v>19408</v>
      </c>
      <c r="EF31">
        <v>125</v>
      </c>
      <c r="EG31" s="16">
        <v>44150</v>
      </c>
      <c r="EH31">
        <v>19592</v>
      </c>
      <c r="EI31">
        <v>160</v>
      </c>
      <c r="EJ31" s="16">
        <v>44151</v>
      </c>
      <c r="EK31">
        <v>19924</v>
      </c>
      <c r="EL31">
        <v>315</v>
      </c>
      <c r="EM31" s="16">
        <v>44152</v>
      </c>
      <c r="EN31">
        <v>20420</v>
      </c>
      <c r="EO31">
        <v>354</v>
      </c>
      <c r="EP31" s="16">
        <v>44153</v>
      </c>
      <c r="EQ31">
        <v>20793</v>
      </c>
      <c r="ER31">
        <v>315</v>
      </c>
      <c r="ES31" s="16">
        <v>44154</v>
      </c>
      <c r="ET31">
        <v>21258</v>
      </c>
      <c r="EU31">
        <v>408</v>
      </c>
      <c r="EV31" s="16">
        <v>44155</v>
      </c>
      <c r="EW31">
        <v>21680</v>
      </c>
      <c r="EX31">
        <v>367</v>
      </c>
      <c r="EY31" s="16">
        <v>44156</v>
      </c>
      <c r="EZ31">
        <v>21984</v>
      </c>
      <c r="FA31">
        <v>238</v>
      </c>
      <c r="FB31" s="16">
        <v>44157</v>
      </c>
      <c r="FC31">
        <v>22230</v>
      </c>
      <c r="FD31">
        <v>227</v>
      </c>
      <c r="FE31" s="16">
        <v>44158</v>
      </c>
      <c r="FF31">
        <v>22647</v>
      </c>
      <c r="FG31">
        <v>451</v>
      </c>
      <c r="FH31" s="16">
        <v>44159</v>
      </c>
      <c r="FI31">
        <v>23176</v>
      </c>
      <c r="FJ31">
        <v>409</v>
      </c>
      <c r="FK31" s="16">
        <v>44160</v>
      </c>
      <c r="FL31">
        <v>23787</v>
      </c>
      <c r="FM31">
        <v>553</v>
      </c>
      <c r="FN31" s="16">
        <v>44161</v>
      </c>
      <c r="FO31">
        <v>24215</v>
      </c>
      <c r="FP31">
        <v>403</v>
      </c>
      <c r="FQ31" s="16">
        <v>44162</v>
      </c>
      <c r="FR31">
        <v>24588</v>
      </c>
      <c r="FS31">
        <v>350</v>
      </c>
      <c r="FT31" s="16">
        <v>44163</v>
      </c>
      <c r="FU31">
        <v>25063</v>
      </c>
      <c r="FV31">
        <v>237</v>
      </c>
      <c r="FW31" s="16">
        <v>44164</v>
      </c>
      <c r="FX31">
        <v>25360</v>
      </c>
      <c r="FY31">
        <v>239</v>
      </c>
      <c r="FZ31" s="16">
        <v>44165</v>
      </c>
      <c r="GA31">
        <v>25915</v>
      </c>
      <c r="GB31">
        <v>503</v>
      </c>
      <c r="GC31" s="16">
        <v>44166</v>
      </c>
      <c r="GD31">
        <v>26266</v>
      </c>
      <c r="GE31">
        <v>338</v>
      </c>
      <c r="GF31" s="16">
        <v>44167</v>
      </c>
      <c r="GG31">
        <v>26770</v>
      </c>
      <c r="GH31">
        <v>415</v>
      </c>
      <c r="GI31" s="16">
        <v>44168</v>
      </c>
      <c r="GJ31">
        <v>27208</v>
      </c>
      <c r="GK31">
        <v>384</v>
      </c>
      <c r="GL31" s="16">
        <v>44169</v>
      </c>
      <c r="GM31">
        <v>27587</v>
      </c>
      <c r="GN31">
        <v>356</v>
      </c>
      <c r="GO31" s="16">
        <v>44170</v>
      </c>
      <c r="GP31">
        <v>27853</v>
      </c>
      <c r="GQ31">
        <v>209</v>
      </c>
      <c r="GR31" s="16">
        <v>44171</v>
      </c>
      <c r="GS31">
        <v>28142</v>
      </c>
      <c r="GT31">
        <v>252</v>
      </c>
      <c r="GU31" s="16">
        <v>44172</v>
      </c>
      <c r="GV31">
        <v>29007</v>
      </c>
      <c r="GW31">
        <v>529</v>
      </c>
      <c r="GX31" s="16">
        <v>44173</v>
      </c>
      <c r="GY31">
        <v>29495</v>
      </c>
      <c r="GZ31">
        <v>419</v>
      </c>
      <c r="HA31" s="16">
        <v>44174</v>
      </c>
      <c r="HB31">
        <v>29969</v>
      </c>
      <c r="HC31">
        <v>423</v>
      </c>
      <c r="HD31" s="16">
        <v>44175</v>
      </c>
      <c r="HE31">
        <v>30371</v>
      </c>
      <c r="HF31">
        <v>386</v>
      </c>
      <c r="HG31" s="16">
        <v>44176</v>
      </c>
      <c r="HH31">
        <v>30785</v>
      </c>
      <c r="HI31">
        <v>392</v>
      </c>
      <c r="HJ31" s="16">
        <v>44177</v>
      </c>
      <c r="HK31">
        <v>31071</v>
      </c>
      <c r="HL31">
        <v>238</v>
      </c>
      <c r="HM31" s="16">
        <v>44178</v>
      </c>
      <c r="HN31">
        <v>31372</v>
      </c>
      <c r="HO31">
        <v>266</v>
      </c>
      <c r="HP31" s="16">
        <v>44179</v>
      </c>
      <c r="HQ31">
        <v>31837</v>
      </c>
      <c r="HR31">
        <v>446</v>
      </c>
      <c r="HS31" s="16">
        <v>44180</v>
      </c>
      <c r="HT31">
        <v>32173</v>
      </c>
      <c r="HU31">
        <v>328</v>
      </c>
      <c r="HV31" s="16">
        <v>44181</v>
      </c>
      <c r="HW31">
        <v>32501</v>
      </c>
      <c r="HX31">
        <v>299</v>
      </c>
      <c r="HY31" s="16">
        <v>44182</v>
      </c>
      <c r="HZ31">
        <v>32815</v>
      </c>
      <c r="IA31">
        <v>277</v>
      </c>
      <c r="IB31" s="16">
        <v>44183</v>
      </c>
      <c r="IC31">
        <v>33153</v>
      </c>
      <c r="ID31">
        <v>308</v>
      </c>
      <c r="IE31" s="16">
        <v>44184</v>
      </c>
      <c r="IF31">
        <v>33404</v>
      </c>
      <c r="IG31">
        <v>158</v>
      </c>
      <c r="IH31" s="16">
        <v>44185</v>
      </c>
      <c r="II31">
        <v>33659</v>
      </c>
      <c r="IJ31">
        <v>204</v>
      </c>
      <c r="IK31" s="16">
        <v>44186</v>
      </c>
      <c r="IL31">
        <v>34047</v>
      </c>
      <c r="IM31">
        <v>337</v>
      </c>
      <c r="IN31" s="16">
        <v>44187</v>
      </c>
      <c r="IO31">
        <v>34366</v>
      </c>
      <c r="IP31">
        <v>292</v>
      </c>
      <c r="IQ31" s="16">
        <v>44188</v>
      </c>
      <c r="IR31">
        <v>34607</v>
      </c>
      <c r="IS31">
        <v>215</v>
      </c>
      <c r="IT31" s="16">
        <v>44189</v>
      </c>
      <c r="IU31">
        <v>34771</v>
      </c>
      <c r="IV31">
        <v>120</v>
      </c>
      <c r="IW31" s="16">
        <v>44190</v>
      </c>
      <c r="IX31">
        <v>34919</v>
      </c>
      <c r="IY31">
        <v>133</v>
      </c>
      <c r="IZ31" s="16">
        <v>44191</v>
      </c>
      <c r="JA31">
        <v>35096</v>
      </c>
      <c r="JB31">
        <v>153</v>
      </c>
      <c r="JC31" s="16">
        <v>44195</v>
      </c>
      <c r="JD31">
        <v>35858</v>
      </c>
      <c r="JE31">
        <v>0</v>
      </c>
      <c r="JF31" s="16">
        <v>44199</v>
      </c>
      <c r="JG31">
        <v>36772</v>
      </c>
      <c r="JH31">
        <v>0</v>
      </c>
      <c r="JI31" s="16">
        <v>44200</v>
      </c>
      <c r="JJ31">
        <v>37507</v>
      </c>
      <c r="JK31">
        <v>347</v>
      </c>
      <c r="JL31" s="16">
        <v>44201</v>
      </c>
      <c r="JM31">
        <v>37759</v>
      </c>
      <c r="JN31">
        <v>230</v>
      </c>
      <c r="JO31" s="16">
        <v>44202</v>
      </c>
      <c r="JP31">
        <v>37985</v>
      </c>
      <c r="JQ31">
        <v>187</v>
      </c>
      <c r="JR31" s="16">
        <v>44204</v>
      </c>
      <c r="JS31">
        <v>38515</v>
      </c>
      <c r="JT31">
        <v>192</v>
      </c>
      <c r="JU31" s="16">
        <v>44204</v>
      </c>
      <c r="JV31">
        <v>38559</v>
      </c>
      <c r="JW31">
        <v>227</v>
      </c>
      <c r="JX31" s="16">
        <v>44206</v>
      </c>
      <c r="JY31">
        <v>38863</v>
      </c>
      <c r="JZ31">
        <v>140</v>
      </c>
      <c r="KA31" s="16">
        <v>44218</v>
      </c>
      <c r="KB31">
        <v>39593</v>
      </c>
      <c r="KC31">
        <v>0</v>
      </c>
      <c r="KD31" s="16">
        <v>44218</v>
      </c>
      <c r="KE31">
        <v>42531</v>
      </c>
      <c r="KF31">
        <v>282</v>
      </c>
      <c r="KG31" s="16">
        <v>44219</v>
      </c>
      <c r="KH31">
        <v>42768</v>
      </c>
      <c r="KI31">
        <v>156</v>
      </c>
      <c r="KJ31" s="16">
        <v>44221</v>
      </c>
      <c r="KK31">
        <v>43440</v>
      </c>
      <c r="KL31">
        <v>404</v>
      </c>
      <c r="KM31" s="16">
        <v>44222</v>
      </c>
      <c r="KN31">
        <v>43966</v>
      </c>
      <c r="KO31">
        <v>330</v>
      </c>
      <c r="KP31" s="16">
        <v>44226</v>
      </c>
      <c r="KQ31">
        <v>44871</v>
      </c>
      <c r="KR31">
        <v>0</v>
      </c>
      <c r="KS31" s="16">
        <v>44227</v>
      </c>
      <c r="KT31">
        <v>45659</v>
      </c>
      <c r="KU31">
        <v>217</v>
      </c>
      <c r="KV31" s="16">
        <v>44228</v>
      </c>
      <c r="KW31">
        <v>46146</v>
      </c>
      <c r="KX31">
        <v>391</v>
      </c>
      <c r="KY31" s="16">
        <v>44230</v>
      </c>
      <c r="KZ31">
        <v>46847</v>
      </c>
      <c r="LA31">
        <v>313</v>
      </c>
      <c r="LB31" s="16">
        <v>44231</v>
      </c>
      <c r="LC31">
        <v>47323</v>
      </c>
      <c r="LD31">
        <v>274</v>
      </c>
      <c r="LE31" s="16">
        <v>44232</v>
      </c>
      <c r="LF31">
        <v>47755</v>
      </c>
      <c r="LG31">
        <v>312</v>
      </c>
      <c r="LH31" s="16">
        <v>44234</v>
      </c>
      <c r="LI31">
        <v>48236</v>
      </c>
      <c r="LJ31">
        <v>204</v>
      </c>
      <c r="LK31" s="16">
        <v>44234</v>
      </c>
      <c r="LL31">
        <v>48265</v>
      </c>
      <c r="LM31">
        <v>231</v>
      </c>
      <c r="LN31" s="16">
        <v>44236</v>
      </c>
      <c r="LO31">
        <v>49025</v>
      </c>
      <c r="LP31">
        <v>321</v>
      </c>
      <c r="LQ31" s="16">
        <v>44237</v>
      </c>
      <c r="LR31">
        <v>49528</v>
      </c>
      <c r="LS31">
        <v>335</v>
      </c>
      <c r="LT31" s="16">
        <v>44238</v>
      </c>
      <c r="LU31">
        <v>49885</v>
      </c>
      <c r="LV31">
        <v>302</v>
      </c>
      <c r="LW31" s="16">
        <v>44239</v>
      </c>
      <c r="LX31">
        <v>50296</v>
      </c>
      <c r="LY31">
        <v>362</v>
      </c>
      <c r="LZ31" s="16">
        <v>44240</v>
      </c>
      <c r="MA31">
        <v>50572</v>
      </c>
      <c r="MB31">
        <v>250</v>
      </c>
      <c r="MC31" s="16">
        <v>44241</v>
      </c>
      <c r="MD31">
        <v>50850</v>
      </c>
      <c r="ME31">
        <v>244</v>
      </c>
      <c r="MF31" s="16">
        <v>44243</v>
      </c>
      <c r="MG31">
        <v>51912</v>
      </c>
      <c r="MH31">
        <v>430</v>
      </c>
      <c r="MI31" s="16">
        <v>44243</v>
      </c>
      <c r="MJ31">
        <v>51944</v>
      </c>
      <c r="MK31">
        <v>448</v>
      </c>
      <c r="ML31" s="16">
        <v>44244</v>
      </c>
      <c r="MM31">
        <v>52503</v>
      </c>
      <c r="MN31">
        <v>497</v>
      </c>
      <c r="MO31" s="16">
        <v>44245</v>
      </c>
      <c r="MP31">
        <v>53113</v>
      </c>
      <c r="MQ31">
        <v>580</v>
      </c>
      <c r="MR31" s="16">
        <v>44246</v>
      </c>
      <c r="MS31">
        <v>53667</v>
      </c>
      <c r="MT31">
        <v>536</v>
      </c>
      <c r="MU31" s="16">
        <v>44247</v>
      </c>
      <c r="MV31">
        <v>53988</v>
      </c>
      <c r="MW31">
        <v>301</v>
      </c>
      <c r="MX31" s="16">
        <v>44248</v>
      </c>
      <c r="MY31">
        <v>54348</v>
      </c>
      <c r="MZ31">
        <v>339</v>
      </c>
      <c r="NA31" s="16">
        <v>44248</v>
      </c>
      <c r="NB31">
        <v>54382</v>
      </c>
      <c r="NC31">
        <v>344</v>
      </c>
      <c r="ND31" s="16">
        <v>44251</v>
      </c>
      <c r="NE31">
        <v>56123</v>
      </c>
      <c r="NF31">
        <v>530</v>
      </c>
      <c r="NG31" s="16">
        <v>44251</v>
      </c>
      <c r="NH31">
        <v>56223</v>
      </c>
      <c r="NI31">
        <v>580</v>
      </c>
      <c r="NJ31" s="16">
        <v>44253</v>
      </c>
      <c r="NK31">
        <v>57403</v>
      </c>
      <c r="NL31">
        <v>587</v>
      </c>
      <c r="NM31" s="16">
        <v>44253</v>
      </c>
      <c r="NN31">
        <v>57471</v>
      </c>
      <c r="NO31">
        <v>644</v>
      </c>
      <c r="NP31" s="16">
        <v>44255</v>
      </c>
      <c r="NQ31">
        <v>58275</v>
      </c>
      <c r="NR31">
        <v>369</v>
      </c>
      <c r="NS31" s="16">
        <v>44256</v>
      </c>
      <c r="NT31">
        <v>59215</v>
      </c>
      <c r="NU31">
        <v>830</v>
      </c>
      <c r="NV31" s="16">
        <v>44257</v>
      </c>
      <c r="NW31">
        <v>59994</v>
      </c>
      <c r="NX31">
        <v>728</v>
      </c>
      <c r="NY31" s="16">
        <v>44258</v>
      </c>
      <c r="NZ31">
        <v>60726</v>
      </c>
      <c r="OA31">
        <v>710</v>
      </c>
      <c r="OB31" s="16">
        <v>44259</v>
      </c>
      <c r="OC31">
        <v>61343</v>
      </c>
      <c r="OD31">
        <v>609</v>
      </c>
      <c r="OE31" s="16">
        <v>44260</v>
      </c>
      <c r="OF31">
        <v>61940</v>
      </c>
      <c r="OG31">
        <v>580</v>
      </c>
      <c r="OH31" s="16">
        <v>44261</v>
      </c>
      <c r="OI31">
        <v>62414</v>
      </c>
      <c r="OJ31">
        <v>406</v>
      </c>
      <c r="OK31" s="16">
        <v>44262</v>
      </c>
      <c r="OL31">
        <v>62822</v>
      </c>
      <c r="OM31">
        <v>386</v>
      </c>
      <c r="ON31" s="16">
        <v>44263</v>
      </c>
      <c r="OO31">
        <v>63643</v>
      </c>
      <c r="OP31">
        <v>801</v>
      </c>
      <c r="OQ31" s="16">
        <v>44264</v>
      </c>
      <c r="OR31">
        <v>64304</v>
      </c>
      <c r="OS31">
        <v>637</v>
      </c>
      <c r="OT31" s="16">
        <v>44265</v>
      </c>
      <c r="OU31">
        <v>65051</v>
      </c>
      <c r="OV31">
        <v>711</v>
      </c>
      <c r="OW31" s="16">
        <v>44266</v>
      </c>
      <c r="OX31">
        <v>65921</v>
      </c>
      <c r="OY31">
        <v>731</v>
      </c>
      <c r="OZ31" s="16">
        <v>44267</v>
      </c>
      <c r="PA31">
        <v>66685</v>
      </c>
      <c r="PB31">
        <v>754</v>
      </c>
      <c r="PC31" s="16">
        <v>44268</v>
      </c>
      <c r="PD31">
        <v>67172</v>
      </c>
      <c r="PE31">
        <v>450</v>
      </c>
      <c r="PF31" s="16">
        <v>44269</v>
      </c>
      <c r="PG31">
        <v>67629</v>
      </c>
      <c r="PH31">
        <v>413</v>
      </c>
      <c r="PI31" s="16">
        <v>44270</v>
      </c>
      <c r="PJ31">
        <v>68501</v>
      </c>
      <c r="PK31">
        <v>853</v>
      </c>
      <c r="PL31" s="16">
        <v>44271</v>
      </c>
      <c r="PM31">
        <v>69303</v>
      </c>
      <c r="PN31">
        <v>702</v>
      </c>
      <c r="PO31" s="16">
        <v>44272</v>
      </c>
      <c r="PP31">
        <v>70087</v>
      </c>
      <c r="PQ31">
        <v>708</v>
      </c>
      <c r="PR31" s="16">
        <v>44273</v>
      </c>
      <c r="PS31">
        <v>70775</v>
      </c>
      <c r="PT31">
        <v>682</v>
      </c>
      <c r="PU31" s="16">
        <v>44274</v>
      </c>
      <c r="PV31">
        <v>71470</v>
      </c>
      <c r="PW31">
        <v>670</v>
      </c>
      <c r="PX31" s="16">
        <v>44275</v>
      </c>
      <c r="PY31">
        <v>72030</v>
      </c>
      <c r="PZ31">
        <v>387</v>
      </c>
      <c r="QA31" s="16">
        <v>44276</v>
      </c>
      <c r="QB31">
        <v>72488</v>
      </c>
      <c r="QC31">
        <v>396</v>
      </c>
      <c r="QD31" s="16">
        <v>44277</v>
      </c>
      <c r="QE31">
        <v>73258</v>
      </c>
      <c r="QF31">
        <v>742</v>
      </c>
      <c r="QG31" s="16">
        <v>44278</v>
      </c>
      <c r="QH31">
        <v>73911</v>
      </c>
      <c r="QI31">
        <v>647</v>
      </c>
      <c r="QJ31" s="16">
        <v>44279</v>
      </c>
      <c r="QK31">
        <v>74638</v>
      </c>
      <c r="QL31">
        <v>653</v>
      </c>
      <c r="QM31" s="16">
        <v>44280</v>
      </c>
      <c r="QN31">
        <v>75205</v>
      </c>
      <c r="QO31">
        <v>562</v>
      </c>
      <c r="QP31" s="16">
        <v>44281</v>
      </c>
      <c r="QQ31">
        <v>75869</v>
      </c>
      <c r="QR31">
        <v>643</v>
      </c>
      <c r="QS31" s="16">
        <v>44282</v>
      </c>
      <c r="QT31">
        <v>76279</v>
      </c>
      <c r="QU31">
        <v>347</v>
      </c>
      <c r="QV31" s="16">
        <v>44283</v>
      </c>
      <c r="QW31">
        <v>76695</v>
      </c>
      <c r="QX31">
        <v>360</v>
      </c>
      <c r="QY31" s="16">
        <v>44284</v>
      </c>
      <c r="QZ31">
        <v>77349</v>
      </c>
      <c r="RA31">
        <v>637</v>
      </c>
      <c r="RB31" s="16">
        <v>44285</v>
      </c>
      <c r="RC31">
        <v>77894</v>
      </c>
      <c r="RD31">
        <v>532</v>
      </c>
      <c r="RE31" s="16">
        <v>44286</v>
      </c>
      <c r="RF31">
        <v>78456</v>
      </c>
      <c r="RG31">
        <v>530</v>
      </c>
      <c r="RH31" s="16">
        <v>44287</v>
      </c>
      <c r="RI31">
        <v>78907</v>
      </c>
      <c r="RJ31">
        <v>449</v>
      </c>
      <c r="RK31" s="16">
        <v>44288</v>
      </c>
      <c r="RL31">
        <v>79273</v>
      </c>
      <c r="RM31">
        <v>355</v>
      </c>
      <c r="RN31" s="16">
        <v>44290</v>
      </c>
      <c r="RO31">
        <v>79862</v>
      </c>
      <c r="RP31">
        <v>291</v>
      </c>
      <c r="RQ31" s="16">
        <v>44291</v>
      </c>
      <c r="RR31">
        <v>80280</v>
      </c>
      <c r="RS31">
        <v>330</v>
      </c>
      <c r="RT31">
        <v>44292</v>
      </c>
      <c r="RU31">
        <v>80813</v>
      </c>
      <c r="RV31">
        <v>491</v>
      </c>
      <c r="RW31">
        <v>44293</v>
      </c>
      <c r="RX31">
        <v>81255</v>
      </c>
      <c r="RY31">
        <v>398</v>
      </c>
      <c r="RZ31">
        <v>44294</v>
      </c>
      <c r="SA31">
        <v>81635</v>
      </c>
      <c r="SB31">
        <v>375</v>
      </c>
      <c r="SC31">
        <v>44295</v>
      </c>
      <c r="SD31">
        <v>81963</v>
      </c>
      <c r="SE31">
        <v>322</v>
      </c>
      <c r="SF31">
        <v>44296</v>
      </c>
      <c r="SG31">
        <v>82201</v>
      </c>
      <c r="SH31">
        <v>211</v>
      </c>
      <c r="SI31">
        <v>44297</v>
      </c>
      <c r="SJ31">
        <v>82471</v>
      </c>
      <c r="SK31">
        <v>217</v>
      </c>
      <c r="SL31">
        <v>44299</v>
      </c>
      <c r="SM31">
        <v>83084</v>
      </c>
      <c r="SN31">
        <v>255</v>
      </c>
      <c r="SO31">
        <v>44300</v>
      </c>
      <c r="SP31">
        <v>83495</v>
      </c>
      <c r="SQ31">
        <v>273</v>
      </c>
      <c r="SR31">
        <v>44301</v>
      </c>
      <c r="SS31">
        <v>83836</v>
      </c>
      <c r="ST31">
        <v>268</v>
      </c>
      <c r="SU31">
        <v>44302</v>
      </c>
      <c r="SV31">
        <v>84081</v>
      </c>
      <c r="SW31">
        <v>239</v>
      </c>
      <c r="SX31">
        <v>44304</v>
      </c>
      <c r="SY31">
        <v>84395</v>
      </c>
      <c r="SZ31">
        <v>123</v>
      </c>
      <c r="TA31">
        <v>44305</v>
      </c>
      <c r="TB31">
        <v>84741</v>
      </c>
      <c r="TC31">
        <v>273</v>
      </c>
      <c r="TD31">
        <v>44307</v>
      </c>
      <c r="TE31">
        <v>85210</v>
      </c>
      <c r="TF31">
        <v>190</v>
      </c>
      <c r="TG31">
        <v>44308</v>
      </c>
      <c r="TH31">
        <v>85496</v>
      </c>
      <c r="TI31">
        <v>239</v>
      </c>
      <c r="TJ31">
        <v>44309</v>
      </c>
      <c r="TK31">
        <v>85730</v>
      </c>
      <c r="TL31">
        <v>229</v>
      </c>
      <c r="TM31">
        <v>44310</v>
      </c>
      <c r="TN31">
        <v>85917</v>
      </c>
      <c r="TO31">
        <v>148</v>
      </c>
      <c r="TP31">
        <v>44312</v>
      </c>
      <c r="TQ31">
        <v>86298</v>
      </c>
      <c r="TR31">
        <v>207</v>
      </c>
      <c r="TS31">
        <v>44313</v>
      </c>
      <c r="TT31">
        <v>86504</v>
      </c>
      <c r="TU31">
        <v>193</v>
      </c>
      <c r="TV31">
        <v>44313</v>
      </c>
      <c r="TW31">
        <v>86535</v>
      </c>
      <c r="TX31">
        <v>204</v>
      </c>
      <c r="TY31">
        <v>44314</v>
      </c>
      <c r="TZ31">
        <v>86824</v>
      </c>
      <c r="UA31">
        <v>247</v>
      </c>
      <c r="UB31">
        <v>44316</v>
      </c>
      <c r="UC31">
        <v>87179</v>
      </c>
      <c r="UD31">
        <v>168</v>
      </c>
      <c r="UE31">
        <v>44316</v>
      </c>
      <c r="UF31">
        <v>87195</v>
      </c>
      <c r="UG31">
        <v>182</v>
      </c>
      <c r="UH31">
        <v>44317</v>
      </c>
      <c r="UI31">
        <v>87319</v>
      </c>
      <c r="UJ31">
        <v>96</v>
      </c>
      <c r="UK31">
        <v>44318</v>
      </c>
      <c r="UL31">
        <v>87471</v>
      </c>
      <c r="UM31">
        <v>109</v>
      </c>
      <c r="UN31">
        <v>44322</v>
      </c>
      <c r="UO31">
        <v>88078</v>
      </c>
      <c r="UP31">
        <v>0</v>
      </c>
      <c r="UQ31">
        <v>44323</v>
      </c>
      <c r="UR31">
        <v>88681</v>
      </c>
      <c r="US31">
        <v>187</v>
      </c>
      <c r="UT31">
        <v>44324</v>
      </c>
      <c r="UU31">
        <v>88826</v>
      </c>
      <c r="UV31">
        <v>120</v>
      </c>
      <c r="UW31">
        <v>44325</v>
      </c>
      <c r="UX31">
        <v>88994</v>
      </c>
      <c r="UY31">
        <v>125</v>
      </c>
      <c r="UZ31">
        <v>44327</v>
      </c>
      <c r="VA31">
        <v>89423</v>
      </c>
      <c r="VB31">
        <v>175</v>
      </c>
      <c r="VC31">
        <v>44327</v>
      </c>
      <c r="VD31">
        <v>89438</v>
      </c>
      <c r="VE31">
        <v>182</v>
      </c>
      <c r="VF31">
        <v>44328</v>
      </c>
      <c r="VG31">
        <v>89689</v>
      </c>
      <c r="VH31">
        <v>219</v>
      </c>
      <c r="VI31">
        <v>44330</v>
      </c>
      <c r="VJ31">
        <v>90015</v>
      </c>
      <c r="VK31">
        <v>185</v>
      </c>
      <c r="VL31">
        <v>44330</v>
      </c>
      <c r="VM31">
        <v>90047</v>
      </c>
      <c r="VN31">
        <v>220</v>
      </c>
      <c r="VO31">
        <v>44331</v>
      </c>
      <c r="VP31">
        <v>90239</v>
      </c>
      <c r="VQ31">
        <v>153</v>
      </c>
      <c r="VR31">
        <v>44332</v>
      </c>
      <c r="VS31">
        <v>90392</v>
      </c>
      <c r="VT31">
        <v>124</v>
      </c>
      <c r="VU31">
        <v>44334</v>
      </c>
      <c r="VV31">
        <v>90843</v>
      </c>
      <c r="VW31">
        <v>160</v>
      </c>
      <c r="VX31">
        <v>44334</v>
      </c>
      <c r="VY31">
        <v>90902</v>
      </c>
      <c r="VZ31">
        <v>206</v>
      </c>
      <c r="WA31">
        <v>44335</v>
      </c>
      <c r="WB31">
        <v>91125</v>
      </c>
      <c r="WC31">
        <v>206</v>
      </c>
      <c r="WD31">
        <v>44336</v>
      </c>
      <c r="WE31">
        <v>91328</v>
      </c>
      <c r="WF31">
        <v>200</v>
      </c>
      <c r="WG31">
        <v>44337</v>
      </c>
      <c r="WH31">
        <v>91469</v>
      </c>
      <c r="WI31">
        <v>140</v>
      </c>
      <c r="WJ31">
        <v>44339</v>
      </c>
      <c r="WK31">
        <v>91670</v>
      </c>
      <c r="WL31">
        <v>82</v>
      </c>
      <c r="WM31">
        <v>44339</v>
      </c>
      <c r="WN31">
        <v>91723</v>
      </c>
      <c r="WO31">
        <v>85</v>
      </c>
      <c r="WP31">
        <v>44342</v>
      </c>
      <c r="WQ31">
        <v>92062</v>
      </c>
      <c r="WR31">
        <v>66</v>
      </c>
      <c r="WS31">
        <v>44343</v>
      </c>
      <c r="WT31">
        <v>92307</v>
      </c>
      <c r="WU31">
        <v>106</v>
      </c>
      <c r="WV31">
        <v>44344</v>
      </c>
      <c r="WW31">
        <v>92413</v>
      </c>
      <c r="WX31">
        <v>102</v>
      </c>
      <c r="WY31">
        <v>44345</v>
      </c>
      <c r="WZ31">
        <v>92527</v>
      </c>
      <c r="XA31">
        <v>53</v>
      </c>
      <c r="XB31">
        <v>44346</v>
      </c>
      <c r="XC31">
        <v>92621</v>
      </c>
      <c r="XD31">
        <v>69</v>
      </c>
      <c r="XE31">
        <v>44348</v>
      </c>
      <c r="XF31">
        <v>92843</v>
      </c>
      <c r="XG31">
        <v>98</v>
      </c>
      <c r="XH31">
        <v>44348</v>
      </c>
      <c r="XI31">
        <v>92890</v>
      </c>
      <c r="XJ31">
        <v>107</v>
      </c>
      <c r="XK31">
        <v>44349</v>
      </c>
      <c r="XL31">
        <v>93009</v>
      </c>
      <c r="XM31">
        <v>104</v>
      </c>
      <c r="XN31">
        <v>44350</v>
      </c>
      <c r="XO31">
        <v>93118</v>
      </c>
      <c r="XP31">
        <v>106</v>
      </c>
      <c r="XQ31">
        <v>44351</v>
      </c>
      <c r="XR31">
        <v>93198</v>
      </c>
      <c r="XS31">
        <v>76</v>
      </c>
      <c r="XT31">
        <v>44352</v>
      </c>
      <c r="XU31">
        <v>93273</v>
      </c>
      <c r="XV31">
        <v>57</v>
      </c>
      <c r="XW31">
        <v>44353</v>
      </c>
      <c r="XX31">
        <v>93364</v>
      </c>
      <c r="XY31">
        <v>57</v>
      </c>
      <c r="XZ31">
        <v>44354</v>
      </c>
      <c r="YA31">
        <v>93487</v>
      </c>
      <c r="YB31">
        <v>118</v>
      </c>
      <c r="YC31">
        <v>44356</v>
      </c>
      <c r="YD31">
        <v>93648</v>
      </c>
      <c r="YE31">
        <v>53</v>
      </c>
      <c r="YF31">
        <v>44357</v>
      </c>
      <c r="YG31">
        <v>93751</v>
      </c>
      <c r="YH31">
        <v>64</v>
      </c>
      <c r="YI31">
        <v>44358</v>
      </c>
      <c r="YJ31">
        <v>93809</v>
      </c>
      <c r="YK31">
        <v>54</v>
      </c>
      <c r="YL31">
        <v>44359</v>
      </c>
      <c r="YM31">
        <v>93856</v>
      </c>
      <c r="YN31">
        <v>34</v>
      </c>
      <c r="YO31">
        <v>44360</v>
      </c>
      <c r="YP31">
        <v>93919</v>
      </c>
      <c r="YQ31">
        <v>32</v>
      </c>
      <c r="YR31">
        <v>44361</v>
      </c>
      <c r="YS31">
        <v>93994</v>
      </c>
      <c r="YT31">
        <v>67</v>
      </c>
      <c r="YU31">
        <v>44362</v>
      </c>
      <c r="YV31">
        <v>94079</v>
      </c>
      <c r="YW31">
        <v>56</v>
      </c>
    </row>
    <row r="32" spans="2:673">
      <c r="B32" t="str">
        <f t="shared" ca="1" si="2"/>
        <v>16.6</v>
      </c>
      <c r="C32" s="4">
        <f t="shared" ca="1" si="0"/>
        <v>44363</v>
      </c>
      <c r="D32" s="11">
        <f t="shared" ca="1" si="1"/>
        <v>94169</v>
      </c>
      <c r="E32">
        <f t="shared" ca="1" si="3"/>
        <v>60</v>
      </c>
      <c r="F32" s="11">
        <f t="shared" ca="1" si="4"/>
        <v>20</v>
      </c>
      <c r="G32" s="11">
        <f t="shared" ca="1" si="5"/>
        <v>40</v>
      </c>
      <c r="K32" s="4"/>
      <c r="L32" s="3"/>
      <c r="N32" s="16">
        <v>44363</v>
      </c>
      <c r="O32">
        <v>94119</v>
      </c>
      <c r="P32">
        <v>40</v>
      </c>
      <c r="Q32" s="16">
        <v>44363</v>
      </c>
      <c r="R32">
        <v>94119</v>
      </c>
      <c r="S32">
        <v>40</v>
      </c>
      <c r="T32" s="16">
        <v>44110</v>
      </c>
      <c r="U32">
        <v>11340</v>
      </c>
      <c r="V32">
        <v>90</v>
      </c>
      <c r="W32" s="16">
        <v>44111</v>
      </c>
      <c r="X32">
        <v>11574</v>
      </c>
      <c r="Y32">
        <v>75</v>
      </c>
      <c r="Z32" s="16">
        <v>44112</v>
      </c>
      <c r="AA32">
        <v>11831</v>
      </c>
      <c r="AB32">
        <v>52</v>
      </c>
      <c r="AC32" s="16">
        <v>44113</v>
      </c>
      <c r="AD32">
        <v>11993</v>
      </c>
      <c r="AE32">
        <v>39</v>
      </c>
      <c r="AF32" s="16">
        <v>44114</v>
      </c>
      <c r="AG32">
        <v>12203</v>
      </c>
      <c r="AH32">
        <v>43</v>
      </c>
      <c r="AI32" s="16">
        <v>44115</v>
      </c>
      <c r="AJ32">
        <v>12472</v>
      </c>
      <c r="AK32">
        <v>40</v>
      </c>
      <c r="AL32" s="16">
        <v>44116</v>
      </c>
      <c r="AM32">
        <v>12691</v>
      </c>
      <c r="AN32">
        <v>88</v>
      </c>
      <c r="AO32" s="16">
        <v>44117</v>
      </c>
      <c r="AP32">
        <v>12922</v>
      </c>
      <c r="AQ32">
        <v>78</v>
      </c>
      <c r="AR32" s="16">
        <v>44118</v>
      </c>
      <c r="AS32">
        <v>13116</v>
      </c>
      <c r="AT32">
        <v>93</v>
      </c>
      <c r="AU32" s="16">
        <v>44119</v>
      </c>
      <c r="AV32">
        <v>13261</v>
      </c>
      <c r="AW32">
        <v>75</v>
      </c>
      <c r="AX32" s="16">
        <v>44120</v>
      </c>
      <c r="AY32">
        <v>13413</v>
      </c>
      <c r="AZ32">
        <v>97</v>
      </c>
      <c r="BA32" s="16">
        <v>44121</v>
      </c>
      <c r="BB32">
        <v>13527</v>
      </c>
      <c r="BC32">
        <v>55</v>
      </c>
      <c r="BD32" s="16">
        <v>44122</v>
      </c>
      <c r="BE32">
        <v>13835</v>
      </c>
      <c r="BF32">
        <v>88</v>
      </c>
      <c r="BG32" s="16">
        <v>44123</v>
      </c>
      <c r="BH32">
        <v>14054</v>
      </c>
      <c r="BI32">
        <v>142</v>
      </c>
      <c r="BJ32" s="16">
        <v>44124</v>
      </c>
      <c r="BK32">
        <v>14236</v>
      </c>
      <c r="BL32">
        <v>88</v>
      </c>
      <c r="BM32" s="16">
        <v>44125</v>
      </c>
      <c r="BN32">
        <v>14450</v>
      </c>
      <c r="BO32">
        <v>128</v>
      </c>
      <c r="BP32" s="16">
        <v>44126</v>
      </c>
      <c r="BQ32">
        <v>14609</v>
      </c>
      <c r="BR32">
        <v>99</v>
      </c>
      <c r="BS32" s="16">
        <v>44127</v>
      </c>
      <c r="BT32">
        <v>14823</v>
      </c>
      <c r="BU32">
        <v>132</v>
      </c>
      <c r="BV32" s="16">
        <v>44129</v>
      </c>
      <c r="BW32">
        <v>14970</v>
      </c>
      <c r="BX32">
        <v>45</v>
      </c>
      <c r="BY32" s="16">
        <v>44130</v>
      </c>
      <c r="BZ32">
        <v>15336</v>
      </c>
      <c r="CA32">
        <v>174</v>
      </c>
      <c r="CB32" s="16">
        <v>44131</v>
      </c>
      <c r="CC32">
        <v>15534</v>
      </c>
      <c r="CD32">
        <v>139</v>
      </c>
      <c r="CE32" s="16">
        <v>44132</v>
      </c>
      <c r="CF32">
        <v>15840</v>
      </c>
      <c r="CG32">
        <v>189</v>
      </c>
      <c r="CH32" s="16">
        <v>44133</v>
      </c>
      <c r="CI32">
        <v>16062</v>
      </c>
      <c r="CJ32">
        <v>176</v>
      </c>
      <c r="CK32" s="16">
        <v>44134</v>
      </c>
      <c r="CL32">
        <v>16247</v>
      </c>
      <c r="CM32">
        <v>178</v>
      </c>
      <c r="CN32" s="16">
        <v>44135</v>
      </c>
      <c r="CO32">
        <v>16353</v>
      </c>
      <c r="CP32">
        <v>92</v>
      </c>
      <c r="CQ32" s="16">
        <v>44136</v>
      </c>
      <c r="CR32">
        <v>16588</v>
      </c>
      <c r="CS32">
        <v>121</v>
      </c>
      <c r="CT32" s="16">
        <v>44137</v>
      </c>
      <c r="CU32">
        <v>16850</v>
      </c>
      <c r="CV32">
        <v>232</v>
      </c>
      <c r="CW32" s="16">
        <v>44138</v>
      </c>
      <c r="CX32">
        <v>17075</v>
      </c>
      <c r="CY32">
        <v>180</v>
      </c>
      <c r="CZ32" s="16">
        <v>44140</v>
      </c>
      <c r="DA32">
        <v>17385</v>
      </c>
      <c r="DB32">
        <v>70</v>
      </c>
      <c r="DC32" s="16">
        <v>44141</v>
      </c>
      <c r="DD32">
        <v>17721</v>
      </c>
      <c r="DE32">
        <v>164</v>
      </c>
      <c r="DF32" s="16">
        <v>44142</v>
      </c>
      <c r="DG32">
        <v>17846</v>
      </c>
      <c r="DH32">
        <v>113</v>
      </c>
      <c r="DI32" s="16">
        <v>44143</v>
      </c>
      <c r="DJ32">
        <v>18023</v>
      </c>
      <c r="DK32">
        <v>121</v>
      </c>
      <c r="DL32" s="16">
        <v>44144</v>
      </c>
      <c r="DM32">
        <v>18285</v>
      </c>
      <c r="DN32">
        <v>238</v>
      </c>
      <c r="DO32" s="16">
        <v>44145</v>
      </c>
      <c r="DP32">
        <v>18477</v>
      </c>
      <c r="DQ32">
        <v>164</v>
      </c>
      <c r="DR32" s="16">
        <v>44146</v>
      </c>
      <c r="DS32">
        <v>18770</v>
      </c>
      <c r="DT32">
        <v>255</v>
      </c>
      <c r="DU32" s="16">
        <v>44147</v>
      </c>
      <c r="DV32">
        <v>19032</v>
      </c>
      <c r="DW32">
        <v>209</v>
      </c>
      <c r="DX32" s="16">
        <v>44148</v>
      </c>
      <c r="DY32">
        <v>19252</v>
      </c>
      <c r="DZ32">
        <v>201</v>
      </c>
      <c r="EA32" s="16">
        <v>44149</v>
      </c>
      <c r="EB32">
        <v>19363</v>
      </c>
      <c r="EC32">
        <v>99</v>
      </c>
      <c r="ED32" s="16">
        <v>44150</v>
      </c>
      <c r="EE32">
        <v>19549</v>
      </c>
      <c r="EF32">
        <v>141</v>
      </c>
      <c r="EG32" s="16">
        <v>44151</v>
      </c>
      <c r="EH32">
        <v>19862</v>
      </c>
      <c r="EI32">
        <v>270</v>
      </c>
      <c r="EJ32" s="16">
        <v>44152</v>
      </c>
      <c r="EK32">
        <v>20220</v>
      </c>
      <c r="EL32">
        <v>296</v>
      </c>
      <c r="EM32" s="16">
        <v>44153</v>
      </c>
      <c r="EN32">
        <v>20687</v>
      </c>
      <c r="EO32">
        <v>267</v>
      </c>
      <c r="EP32" s="16">
        <v>44154</v>
      </c>
      <c r="EQ32">
        <v>21150</v>
      </c>
      <c r="ER32">
        <v>357</v>
      </c>
      <c r="ES32" s="16">
        <v>44155</v>
      </c>
      <c r="ET32">
        <v>21564</v>
      </c>
      <c r="EU32">
        <v>306</v>
      </c>
      <c r="EV32" s="16">
        <v>44156</v>
      </c>
      <c r="EW32">
        <v>21870</v>
      </c>
      <c r="EX32">
        <v>190</v>
      </c>
      <c r="EY32" s="16">
        <v>44157</v>
      </c>
      <c r="EZ32">
        <v>22182</v>
      </c>
      <c r="FA32">
        <v>198</v>
      </c>
      <c r="FB32" s="16">
        <v>44158</v>
      </c>
      <c r="FC32">
        <v>22567</v>
      </c>
      <c r="FD32">
        <v>337</v>
      </c>
      <c r="FE32" s="16">
        <v>44159</v>
      </c>
      <c r="FF32">
        <v>22980</v>
      </c>
      <c r="FG32">
        <v>333</v>
      </c>
      <c r="FH32" s="16">
        <v>44160</v>
      </c>
      <c r="FI32">
        <v>23606</v>
      </c>
      <c r="FJ32">
        <v>430</v>
      </c>
      <c r="FK32" s="16">
        <v>44161</v>
      </c>
      <c r="FL32">
        <v>24149</v>
      </c>
      <c r="FM32">
        <v>362</v>
      </c>
      <c r="FN32" s="16">
        <v>44162</v>
      </c>
      <c r="FO32">
        <v>24513</v>
      </c>
      <c r="FP32">
        <v>298</v>
      </c>
      <c r="FQ32" s="16">
        <v>44163</v>
      </c>
      <c r="FR32">
        <v>24786</v>
      </c>
      <c r="FS32">
        <v>198</v>
      </c>
      <c r="FT32" s="16">
        <v>44164</v>
      </c>
      <c r="FU32">
        <v>25282</v>
      </c>
      <c r="FV32">
        <v>219</v>
      </c>
      <c r="FW32" s="16">
        <v>44165</v>
      </c>
      <c r="FX32">
        <v>25762</v>
      </c>
      <c r="FY32">
        <v>402</v>
      </c>
      <c r="FZ32" s="16">
        <v>44166</v>
      </c>
      <c r="GA32">
        <v>26214</v>
      </c>
      <c r="GB32">
        <v>299</v>
      </c>
      <c r="GC32" s="16">
        <v>44167</v>
      </c>
      <c r="GD32">
        <v>26623</v>
      </c>
      <c r="GE32">
        <v>357</v>
      </c>
      <c r="GF32" s="16">
        <v>44168</v>
      </c>
      <c r="GG32">
        <v>27109</v>
      </c>
      <c r="GH32">
        <v>339</v>
      </c>
      <c r="GI32" s="16">
        <v>44169</v>
      </c>
      <c r="GJ32">
        <v>27517</v>
      </c>
      <c r="GK32">
        <v>309</v>
      </c>
      <c r="GL32" s="16">
        <v>44170</v>
      </c>
      <c r="GM32">
        <v>27753</v>
      </c>
      <c r="GN32">
        <v>166</v>
      </c>
      <c r="GO32" s="16">
        <v>44171</v>
      </c>
      <c r="GP32">
        <v>28082</v>
      </c>
      <c r="GQ32">
        <v>229</v>
      </c>
      <c r="GR32" s="16">
        <v>44172</v>
      </c>
      <c r="GS32">
        <v>28570</v>
      </c>
      <c r="GT32">
        <v>428</v>
      </c>
      <c r="GU32" s="16">
        <v>44173</v>
      </c>
      <c r="GV32">
        <v>29382</v>
      </c>
      <c r="GW32">
        <v>375</v>
      </c>
      <c r="GX32" s="16">
        <v>44174</v>
      </c>
      <c r="GY32">
        <v>29875</v>
      </c>
      <c r="GZ32">
        <v>380</v>
      </c>
      <c r="HA32" s="16">
        <v>44175</v>
      </c>
      <c r="HB32">
        <v>30272</v>
      </c>
      <c r="HC32">
        <v>303</v>
      </c>
      <c r="HD32" s="16">
        <v>44176</v>
      </c>
      <c r="HE32">
        <v>30699</v>
      </c>
      <c r="HF32">
        <v>328</v>
      </c>
      <c r="HG32" s="16">
        <v>44177</v>
      </c>
      <c r="HH32">
        <v>30981</v>
      </c>
      <c r="HI32">
        <v>196</v>
      </c>
      <c r="HJ32" s="16">
        <v>44178</v>
      </c>
      <c r="HK32">
        <v>31305</v>
      </c>
      <c r="HL32">
        <v>234</v>
      </c>
      <c r="HM32" s="16">
        <v>44179</v>
      </c>
      <c r="HN32">
        <v>31759</v>
      </c>
      <c r="HO32">
        <v>387</v>
      </c>
      <c r="HP32" s="16">
        <v>44180</v>
      </c>
      <c r="HQ32">
        <v>32119</v>
      </c>
      <c r="HR32">
        <v>282</v>
      </c>
      <c r="HS32" s="16">
        <v>44181</v>
      </c>
      <c r="HT32">
        <v>32457</v>
      </c>
      <c r="HU32">
        <v>284</v>
      </c>
      <c r="HV32" s="16">
        <v>44182</v>
      </c>
      <c r="HW32">
        <v>32742</v>
      </c>
      <c r="HX32">
        <v>241</v>
      </c>
      <c r="HY32" s="16">
        <v>44183</v>
      </c>
      <c r="HZ32">
        <v>33099</v>
      </c>
      <c r="IA32">
        <v>284</v>
      </c>
      <c r="IB32" s="16">
        <v>44184</v>
      </c>
      <c r="IC32">
        <v>33303</v>
      </c>
      <c r="ID32">
        <v>150</v>
      </c>
      <c r="IE32" s="16">
        <v>44185</v>
      </c>
      <c r="IF32">
        <v>33587</v>
      </c>
      <c r="IG32">
        <v>183</v>
      </c>
      <c r="IH32" s="16">
        <v>44186</v>
      </c>
      <c r="II32">
        <v>33953</v>
      </c>
      <c r="IJ32">
        <v>294</v>
      </c>
      <c r="IK32" s="16">
        <v>44187</v>
      </c>
      <c r="IL32">
        <v>34307</v>
      </c>
      <c r="IM32">
        <v>260</v>
      </c>
      <c r="IN32" s="16">
        <v>44188</v>
      </c>
      <c r="IO32">
        <v>34562</v>
      </c>
      <c r="IP32">
        <v>196</v>
      </c>
      <c r="IQ32" s="16">
        <v>44189</v>
      </c>
      <c r="IR32">
        <v>34722</v>
      </c>
      <c r="IS32">
        <v>115</v>
      </c>
      <c r="IT32" s="16">
        <v>44190</v>
      </c>
      <c r="IU32">
        <v>34898</v>
      </c>
      <c r="IV32">
        <v>127</v>
      </c>
      <c r="IW32" s="16">
        <v>44191</v>
      </c>
      <c r="IX32">
        <v>35040</v>
      </c>
      <c r="IY32">
        <v>121</v>
      </c>
      <c r="IZ32" s="16">
        <v>44192</v>
      </c>
      <c r="JA32">
        <v>35252</v>
      </c>
      <c r="JB32">
        <v>156</v>
      </c>
      <c r="JC32" s="16">
        <v>44196</v>
      </c>
      <c r="JD32">
        <v>35858</v>
      </c>
      <c r="JE32">
        <v>0</v>
      </c>
      <c r="JF32" s="16">
        <v>44200</v>
      </c>
      <c r="JG32">
        <v>36772</v>
      </c>
      <c r="JH32">
        <v>0</v>
      </c>
      <c r="JI32" s="16">
        <v>44201</v>
      </c>
      <c r="JJ32">
        <v>37694</v>
      </c>
      <c r="JK32">
        <v>187</v>
      </c>
      <c r="JL32" s="16">
        <v>44202</v>
      </c>
      <c r="JM32">
        <v>37915</v>
      </c>
      <c r="JN32">
        <v>156</v>
      </c>
      <c r="JO32" s="16">
        <v>44203</v>
      </c>
      <c r="JP32">
        <v>38257</v>
      </c>
      <c r="JQ32">
        <v>272</v>
      </c>
      <c r="JR32" s="16">
        <v>44205</v>
      </c>
      <c r="JS32">
        <v>38590</v>
      </c>
      <c r="JT32">
        <v>75</v>
      </c>
      <c r="JU32" s="16">
        <v>44205</v>
      </c>
      <c r="JV32">
        <v>38706</v>
      </c>
      <c r="JW32">
        <v>147</v>
      </c>
      <c r="JX32" s="16">
        <v>44207</v>
      </c>
      <c r="JY32">
        <v>39011</v>
      </c>
      <c r="JZ32">
        <v>148</v>
      </c>
      <c r="KA32" s="16">
        <v>44219</v>
      </c>
      <c r="KB32">
        <v>39593</v>
      </c>
      <c r="KC32">
        <v>0</v>
      </c>
      <c r="KD32" s="16">
        <v>44219</v>
      </c>
      <c r="KE32">
        <v>42668</v>
      </c>
      <c r="KF32">
        <v>137</v>
      </c>
      <c r="KG32" s="16">
        <v>44220</v>
      </c>
      <c r="KH32">
        <v>42953</v>
      </c>
      <c r="KI32">
        <v>185</v>
      </c>
      <c r="KJ32" s="16">
        <v>44222</v>
      </c>
      <c r="KK32">
        <v>43616</v>
      </c>
      <c r="KL32">
        <v>176</v>
      </c>
      <c r="KM32" s="16">
        <v>44223</v>
      </c>
      <c r="KN32">
        <v>44235</v>
      </c>
      <c r="KO32">
        <v>269</v>
      </c>
      <c r="KP32" s="16">
        <v>44227</v>
      </c>
      <c r="KQ32">
        <v>44871</v>
      </c>
      <c r="KR32">
        <v>0</v>
      </c>
      <c r="KS32" s="16">
        <v>44228</v>
      </c>
      <c r="KT32">
        <v>46006</v>
      </c>
      <c r="KU32">
        <v>347</v>
      </c>
      <c r="KV32" s="16">
        <v>44229</v>
      </c>
      <c r="KW32">
        <v>46434</v>
      </c>
      <c r="KX32">
        <v>288</v>
      </c>
      <c r="KY32" s="16">
        <v>44231</v>
      </c>
      <c r="KZ32">
        <v>46894</v>
      </c>
      <c r="LA32">
        <v>47</v>
      </c>
      <c r="LB32" s="16">
        <v>44232</v>
      </c>
      <c r="LC32">
        <v>47574</v>
      </c>
      <c r="LD32">
        <v>251</v>
      </c>
      <c r="LE32" s="16">
        <v>44233</v>
      </c>
      <c r="LF32">
        <v>47939</v>
      </c>
      <c r="LG32">
        <v>184</v>
      </c>
      <c r="LH32" s="16">
        <v>44235</v>
      </c>
      <c r="LI32">
        <v>48407</v>
      </c>
      <c r="LJ32">
        <v>171</v>
      </c>
      <c r="LK32" s="16">
        <v>44235</v>
      </c>
      <c r="LL32">
        <v>48631</v>
      </c>
      <c r="LM32">
        <v>366</v>
      </c>
      <c r="LN32" s="16">
        <v>44237</v>
      </c>
      <c r="LO32">
        <v>49165</v>
      </c>
      <c r="LP32">
        <v>140</v>
      </c>
      <c r="LQ32" s="16">
        <v>44238</v>
      </c>
      <c r="LR32">
        <v>49800</v>
      </c>
      <c r="LS32">
        <v>272</v>
      </c>
      <c r="LT32" s="16">
        <v>44239</v>
      </c>
      <c r="LU32">
        <v>50199</v>
      </c>
      <c r="LV32">
        <v>314</v>
      </c>
      <c r="LW32" s="16">
        <v>44240</v>
      </c>
      <c r="LX32">
        <v>50505</v>
      </c>
      <c r="LY32">
        <v>209</v>
      </c>
      <c r="LZ32" s="16">
        <v>44241</v>
      </c>
      <c r="MA32">
        <v>50799</v>
      </c>
      <c r="MB32">
        <v>227</v>
      </c>
      <c r="MC32" s="16">
        <v>44242</v>
      </c>
      <c r="MD32">
        <v>51365</v>
      </c>
      <c r="ME32">
        <v>515</v>
      </c>
      <c r="MF32" s="16">
        <v>44244</v>
      </c>
      <c r="MG32">
        <v>52209</v>
      </c>
      <c r="MH32">
        <v>297</v>
      </c>
      <c r="MI32" s="16">
        <v>44244</v>
      </c>
      <c r="MJ32">
        <v>52407</v>
      </c>
      <c r="MK32">
        <v>463</v>
      </c>
      <c r="ML32" s="16">
        <v>44245</v>
      </c>
      <c r="MM32">
        <v>53019</v>
      </c>
      <c r="MN32">
        <v>516</v>
      </c>
      <c r="MO32" s="16">
        <v>44246</v>
      </c>
      <c r="MP32">
        <v>53578</v>
      </c>
      <c r="MQ32">
        <v>465</v>
      </c>
      <c r="MR32" s="16">
        <v>44247</v>
      </c>
      <c r="MS32">
        <v>53925</v>
      </c>
      <c r="MT32">
        <v>258</v>
      </c>
      <c r="MU32" s="16">
        <v>44248</v>
      </c>
      <c r="MV32">
        <v>54304</v>
      </c>
      <c r="MW32">
        <v>316</v>
      </c>
      <c r="MX32" s="16">
        <v>44249</v>
      </c>
      <c r="MY32">
        <v>54857</v>
      </c>
      <c r="MZ32">
        <v>509</v>
      </c>
      <c r="NA32" s="16">
        <v>44249</v>
      </c>
      <c r="NB32">
        <v>54950</v>
      </c>
      <c r="NC32">
        <v>568</v>
      </c>
      <c r="ND32" s="16">
        <v>44252</v>
      </c>
      <c r="NE32">
        <v>56407</v>
      </c>
      <c r="NF32">
        <v>284</v>
      </c>
      <c r="NG32" s="16">
        <v>44252</v>
      </c>
      <c r="NH32">
        <v>56746</v>
      </c>
      <c r="NI32">
        <v>523</v>
      </c>
      <c r="NJ32" s="16">
        <v>44254</v>
      </c>
      <c r="NK32">
        <v>57672</v>
      </c>
      <c r="NL32">
        <v>269</v>
      </c>
      <c r="NM32" s="16">
        <v>44254</v>
      </c>
      <c r="NN32">
        <v>57822</v>
      </c>
      <c r="NO32">
        <v>351</v>
      </c>
      <c r="NP32" s="16">
        <v>44256</v>
      </c>
      <c r="NQ32">
        <v>58645</v>
      </c>
      <c r="NR32">
        <v>370</v>
      </c>
      <c r="NS32" s="16">
        <v>44257</v>
      </c>
      <c r="NT32">
        <v>59873</v>
      </c>
      <c r="NU32">
        <v>658</v>
      </c>
      <c r="NV32" s="16">
        <v>44258</v>
      </c>
      <c r="NW32">
        <v>60631</v>
      </c>
      <c r="NX32">
        <v>637</v>
      </c>
      <c r="NY32" s="16">
        <v>44259</v>
      </c>
      <c r="NZ32">
        <v>61275</v>
      </c>
      <c r="OA32">
        <v>549</v>
      </c>
      <c r="OB32" s="16">
        <v>44260</v>
      </c>
      <c r="OC32">
        <v>61861</v>
      </c>
      <c r="OD32">
        <v>518</v>
      </c>
      <c r="OE32" s="16">
        <v>44261</v>
      </c>
      <c r="OF32">
        <v>62291</v>
      </c>
      <c r="OG32">
        <v>351</v>
      </c>
      <c r="OH32" s="16">
        <v>44262</v>
      </c>
      <c r="OI32">
        <v>62742</v>
      </c>
      <c r="OJ32">
        <v>328</v>
      </c>
      <c r="OK32" s="16">
        <v>44263</v>
      </c>
      <c r="OL32">
        <v>63525</v>
      </c>
      <c r="OM32">
        <v>703</v>
      </c>
      <c r="ON32" s="16">
        <v>44264</v>
      </c>
      <c r="OO32">
        <v>64259</v>
      </c>
      <c r="OP32">
        <v>616</v>
      </c>
      <c r="OQ32" s="16">
        <v>44265</v>
      </c>
      <c r="OR32">
        <v>64942</v>
      </c>
      <c r="OS32">
        <v>638</v>
      </c>
      <c r="OT32" s="16">
        <v>44266</v>
      </c>
      <c r="OU32">
        <v>65630</v>
      </c>
      <c r="OV32">
        <v>579</v>
      </c>
      <c r="OW32" s="16">
        <v>44267</v>
      </c>
      <c r="OX32">
        <v>66607</v>
      </c>
      <c r="OY32">
        <v>686</v>
      </c>
      <c r="OZ32" s="16">
        <v>44268</v>
      </c>
      <c r="PA32">
        <v>67081</v>
      </c>
      <c r="PB32">
        <v>396</v>
      </c>
      <c r="PC32" s="16">
        <v>44269</v>
      </c>
      <c r="PD32">
        <v>67538</v>
      </c>
      <c r="PE32">
        <v>366</v>
      </c>
      <c r="PF32" s="16">
        <v>44270</v>
      </c>
      <c r="PG32">
        <v>68363</v>
      </c>
      <c r="PH32">
        <v>734</v>
      </c>
      <c r="PI32" s="16">
        <v>44271</v>
      </c>
      <c r="PJ32">
        <v>69143</v>
      </c>
      <c r="PK32">
        <v>642</v>
      </c>
      <c r="PL32" s="16">
        <v>44272</v>
      </c>
      <c r="PM32">
        <v>69901</v>
      </c>
      <c r="PN32">
        <v>598</v>
      </c>
      <c r="PO32" s="16">
        <v>44273</v>
      </c>
      <c r="PP32">
        <v>70722</v>
      </c>
      <c r="PQ32">
        <v>635</v>
      </c>
      <c r="PR32" s="16">
        <v>44274</v>
      </c>
      <c r="PS32">
        <v>71382</v>
      </c>
      <c r="PT32">
        <v>607</v>
      </c>
      <c r="PU32" s="16">
        <v>44275</v>
      </c>
      <c r="PV32">
        <v>71820</v>
      </c>
      <c r="PW32">
        <v>350</v>
      </c>
      <c r="PX32" s="16">
        <v>44276</v>
      </c>
      <c r="PY32">
        <v>72359</v>
      </c>
      <c r="PZ32">
        <v>329</v>
      </c>
      <c r="QA32" s="16">
        <v>44277</v>
      </c>
      <c r="QB32">
        <v>73140</v>
      </c>
      <c r="QC32">
        <v>652</v>
      </c>
      <c r="QD32" s="16">
        <v>44278</v>
      </c>
      <c r="QE32">
        <v>73880</v>
      </c>
      <c r="QF32">
        <v>622</v>
      </c>
      <c r="QG32" s="16">
        <v>44279</v>
      </c>
      <c r="QH32">
        <v>74481</v>
      </c>
      <c r="QI32">
        <v>570</v>
      </c>
      <c r="QJ32" s="16">
        <v>44280</v>
      </c>
      <c r="QK32">
        <v>75143</v>
      </c>
      <c r="QL32">
        <v>505</v>
      </c>
      <c r="QM32" s="16">
        <v>44281</v>
      </c>
      <c r="QN32">
        <v>75788</v>
      </c>
      <c r="QO32">
        <v>583</v>
      </c>
      <c r="QP32" s="16">
        <v>44282</v>
      </c>
      <c r="QQ32">
        <v>76185</v>
      </c>
      <c r="QR32">
        <v>316</v>
      </c>
      <c r="QS32" s="16">
        <v>44283</v>
      </c>
      <c r="QT32">
        <v>76589</v>
      </c>
      <c r="QU32">
        <v>310</v>
      </c>
      <c r="QV32" s="16">
        <v>44284</v>
      </c>
      <c r="QW32">
        <v>77218</v>
      </c>
      <c r="QX32">
        <v>523</v>
      </c>
      <c r="QY32" s="16">
        <v>44285</v>
      </c>
      <c r="QZ32">
        <v>77825</v>
      </c>
      <c r="RA32">
        <v>476</v>
      </c>
      <c r="RB32" s="16">
        <v>44286</v>
      </c>
      <c r="RC32">
        <v>78396</v>
      </c>
      <c r="RD32">
        <v>502</v>
      </c>
      <c r="RE32" s="16">
        <v>44287</v>
      </c>
      <c r="RF32">
        <v>78871</v>
      </c>
      <c r="RG32">
        <v>415</v>
      </c>
      <c r="RH32" s="16">
        <v>44288</v>
      </c>
      <c r="RI32">
        <v>79208</v>
      </c>
      <c r="RJ32">
        <v>301</v>
      </c>
      <c r="RK32" s="16">
        <v>44289</v>
      </c>
      <c r="RL32">
        <v>79541</v>
      </c>
      <c r="RM32">
        <v>268</v>
      </c>
      <c r="RN32" s="16">
        <v>44291</v>
      </c>
      <c r="RO32">
        <v>80068</v>
      </c>
      <c r="RP32">
        <v>206</v>
      </c>
      <c r="RQ32" s="16">
        <v>44292</v>
      </c>
      <c r="RR32">
        <v>80687</v>
      </c>
      <c r="RS32">
        <v>407</v>
      </c>
      <c r="RT32">
        <v>44293</v>
      </c>
      <c r="RU32">
        <v>81146</v>
      </c>
      <c r="RV32">
        <v>333</v>
      </c>
      <c r="RW32">
        <v>44294</v>
      </c>
      <c r="RX32">
        <v>81565</v>
      </c>
      <c r="RY32">
        <v>310</v>
      </c>
      <c r="RZ32">
        <v>44295</v>
      </c>
      <c r="SA32">
        <v>81914</v>
      </c>
      <c r="SB32">
        <v>279</v>
      </c>
      <c r="SC32">
        <v>44296</v>
      </c>
      <c r="SD32">
        <v>82147</v>
      </c>
      <c r="SE32">
        <v>184</v>
      </c>
      <c r="SF32">
        <v>44297</v>
      </c>
      <c r="SG32">
        <v>82381</v>
      </c>
      <c r="SH32">
        <v>180</v>
      </c>
      <c r="SI32">
        <v>44298</v>
      </c>
      <c r="SJ32">
        <v>82795</v>
      </c>
      <c r="SK32">
        <v>324</v>
      </c>
      <c r="SL32">
        <v>44300</v>
      </c>
      <c r="SM32">
        <v>83253</v>
      </c>
      <c r="SN32">
        <v>169</v>
      </c>
      <c r="SO32">
        <v>44301</v>
      </c>
      <c r="SP32">
        <v>83633</v>
      </c>
      <c r="SQ32">
        <v>138</v>
      </c>
      <c r="SR32">
        <v>44302</v>
      </c>
      <c r="SS32">
        <v>84022</v>
      </c>
      <c r="ST32">
        <v>186</v>
      </c>
      <c r="SU32">
        <v>44303</v>
      </c>
      <c r="SV32">
        <v>84216</v>
      </c>
      <c r="SW32">
        <v>135</v>
      </c>
      <c r="SX32">
        <v>44305</v>
      </c>
      <c r="SY32">
        <v>84501</v>
      </c>
      <c r="SZ32">
        <v>106</v>
      </c>
      <c r="TA32">
        <v>44306</v>
      </c>
      <c r="TB32">
        <v>84977</v>
      </c>
      <c r="TC32">
        <v>236</v>
      </c>
      <c r="TD32">
        <v>44308</v>
      </c>
      <c r="TE32">
        <v>85344</v>
      </c>
      <c r="TF32">
        <v>134</v>
      </c>
      <c r="TG32">
        <v>44309</v>
      </c>
      <c r="TH32">
        <v>85717</v>
      </c>
      <c r="TI32">
        <v>221</v>
      </c>
      <c r="TJ32">
        <v>44310</v>
      </c>
      <c r="TK32">
        <v>85860</v>
      </c>
      <c r="TL32">
        <v>130</v>
      </c>
      <c r="TM32">
        <v>44311</v>
      </c>
      <c r="TN32">
        <v>86038</v>
      </c>
      <c r="TO32">
        <v>121</v>
      </c>
      <c r="TP32">
        <v>44313</v>
      </c>
      <c r="TQ32">
        <v>86405</v>
      </c>
      <c r="TR32">
        <v>107</v>
      </c>
      <c r="TS32">
        <v>44314</v>
      </c>
      <c r="TT32">
        <v>86613</v>
      </c>
      <c r="TU32">
        <v>109</v>
      </c>
      <c r="TV32">
        <v>44314</v>
      </c>
      <c r="TW32">
        <v>86741</v>
      </c>
      <c r="TX32">
        <v>206</v>
      </c>
      <c r="TY32">
        <v>44315</v>
      </c>
      <c r="TZ32">
        <v>87001</v>
      </c>
      <c r="UA32">
        <v>177</v>
      </c>
      <c r="UB32">
        <v>44317</v>
      </c>
      <c r="UC32">
        <v>87228</v>
      </c>
      <c r="UD32">
        <v>49</v>
      </c>
      <c r="UE32">
        <v>44317</v>
      </c>
      <c r="UF32">
        <v>87289</v>
      </c>
      <c r="UG32">
        <v>94</v>
      </c>
      <c r="UH32">
        <v>44318</v>
      </c>
      <c r="UI32">
        <v>87421</v>
      </c>
      <c r="UJ32">
        <v>102</v>
      </c>
      <c r="UK32">
        <v>44319</v>
      </c>
      <c r="UL32">
        <v>87703</v>
      </c>
      <c r="UM32">
        <v>232</v>
      </c>
      <c r="UN32">
        <v>44323</v>
      </c>
      <c r="UO32">
        <v>88078</v>
      </c>
      <c r="UP32">
        <v>0</v>
      </c>
      <c r="UQ32">
        <v>44324</v>
      </c>
      <c r="UR32">
        <v>88796</v>
      </c>
      <c r="US32">
        <v>115</v>
      </c>
      <c r="UT32">
        <v>44325</v>
      </c>
      <c r="UU32">
        <v>88927</v>
      </c>
      <c r="UV32">
        <v>101</v>
      </c>
      <c r="UW32">
        <v>44326</v>
      </c>
      <c r="UX32">
        <v>89195</v>
      </c>
      <c r="UY32">
        <v>201</v>
      </c>
      <c r="UZ32">
        <v>44328</v>
      </c>
      <c r="VA32">
        <v>89532</v>
      </c>
      <c r="VB32">
        <v>109</v>
      </c>
      <c r="VC32">
        <v>44328</v>
      </c>
      <c r="VD32">
        <v>89618</v>
      </c>
      <c r="VE32">
        <v>180</v>
      </c>
      <c r="VF32">
        <v>44329</v>
      </c>
      <c r="VG32">
        <v>89813</v>
      </c>
      <c r="VH32">
        <v>124</v>
      </c>
      <c r="VI32">
        <v>44331</v>
      </c>
      <c r="VJ32">
        <v>90105</v>
      </c>
      <c r="VK32">
        <v>90</v>
      </c>
      <c r="VL32">
        <v>44331</v>
      </c>
      <c r="VM32">
        <v>90176</v>
      </c>
      <c r="VN32">
        <v>129</v>
      </c>
      <c r="VO32">
        <v>44332</v>
      </c>
      <c r="VP32">
        <v>90353</v>
      </c>
      <c r="VQ32">
        <v>114</v>
      </c>
      <c r="VR32">
        <v>44333</v>
      </c>
      <c r="VS32">
        <v>90601</v>
      </c>
      <c r="VT32">
        <v>209</v>
      </c>
      <c r="VU32">
        <v>44335</v>
      </c>
      <c r="VV32">
        <v>90946</v>
      </c>
      <c r="VW32">
        <v>103</v>
      </c>
      <c r="VX32">
        <v>44335</v>
      </c>
      <c r="VY32">
        <v>91081</v>
      </c>
      <c r="VZ32">
        <v>179</v>
      </c>
      <c r="WA32">
        <v>44336</v>
      </c>
      <c r="WB32">
        <v>91323</v>
      </c>
      <c r="WC32">
        <v>198</v>
      </c>
      <c r="WD32">
        <v>44337</v>
      </c>
      <c r="WE32">
        <v>91463</v>
      </c>
      <c r="WF32">
        <v>135</v>
      </c>
      <c r="WG32">
        <v>44338</v>
      </c>
      <c r="WH32">
        <v>91562</v>
      </c>
      <c r="WI32">
        <v>93</v>
      </c>
      <c r="WJ32">
        <v>44340</v>
      </c>
      <c r="WK32">
        <v>91744</v>
      </c>
      <c r="WL32">
        <v>74</v>
      </c>
      <c r="WM32">
        <v>44340</v>
      </c>
      <c r="WN32">
        <v>91879</v>
      </c>
      <c r="WO32">
        <v>156</v>
      </c>
      <c r="WP32">
        <v>44343</v>
      </c>
      <c r="WQ32">
        <v>92062</v>
      </c>
      <c r="WR32">
        <v>0</v>
      </c>
      <c r="WS32">
        <v>44344</v>
      </c>
      <c r="WT32">
        <v>92405</v>
      </c>
      <c r="WU32">
        <v>98</v>
      </c>
      <c r="WV32">
        <v>44345</v>
      </c>
      <c r="WW32">
        <v>92445</v>
      </c>
      <c r="WX32">
        <v>32</v>
      </c>
      <c r="WY32">
        <v>44346</v>
      </c>
      <c r="WZ32">
        <v>92591</v>
      </c>
      <c r="XA32">
        <v>64</v>
      </c>
      <c r="XB32">
        <v>44347</v>
      </c>
      <c r="XC32">
        <v>92711</v>
      </c>
      <c r="XD32">
        <v>90</v>
      </c>
      <c r="XE32">
        <v>44349</v>
      </c>
      <c r="XF32">
        <v>92913</v>
      </c>
      <c r="XG32">
        <v>70</v>
      </c>
      <c r="XH32">
        <v>44349</v>
      </c>
      <c r="XI32">
        <v>92980</v>
      </c>
      <c r="XJ32">
        <v>90</v>
      </c>
      <c r="XK32">
        <v>44350</v>
      </c>
      <c r="XL32">
        <v>93108</v>
      </c>
      <c r="XM32">
        <v>99</v>
      </c>
      <c r="XN32">
        <v>44351</v>
      </c>
      <c r="XO32">
        <v>93191</v>
      </c>
      <c r="XP32">
        <v>73</v>
      </c>
      <c r="XQ32">
        <v>44352</v>
      </c>
      <c r="XR32">
        <v>93242</v>
      </c>
      <c r="XS32">
        <v>44</v>
      </c>
      <c r="XT32">
        <v>44353</v>
      </c>
      <c r="XU32">
        <v>93320</v>
      </c>
      <c r="XV32">
        <v>47</v>
      </c>
      <c r="XW32">
        <v>44354</v>
      </c>
      <c r="XX32">
        <v>93470</v>
      </c>
      <c r="XY32">
        <v>106</v>
      </c>
      <c r="XZ32">
        <v>44355</v>
      </c>
      <c r="YA32">
        <v>93572</v>
      </c>
      <c r="YB32">
        <v>85</v>
      </c>
      <c r="YC32">
        <v>44357</v>
      </c>
      <c r="YD32">
        <v>93660</v>
      </c>
      <c r="YE32">
        <v>12</v>
      </c>
      <c r="YF32">
        <v>44358</v>
      </c>
      <c r="YG32">
        <v>93804</v>
      </c>
      <c r="YH32">
        <v>53</v>
      </c>
      <c r="YI32">
        <v>44359</v>
      </c>
      <c r="YJ32">
        <v>93831</v>
      </c>
      <c r="YK32">
        <v>22</v>
      </c>
      <c r="YL32">
        <v>44360</v>
      </c>
      <c r="YM32">
        <v>93888</v>
      </c>
      <c r="YN32">
        <v>32</v>
      </c>
      <c r="YO32">
        <v>44361</v>
      </c>
      <c r="YP32">
        <v>93985</v>
      </c>
      <c r="YQ32">
        <v>66</v>
      </c>
      <c r="YR32">
        <v>44362</v>
      </c>
      <c r="YS32">
        <v>94050</v>
      </c>
      <c r="YT32">
        <v>56</v>
      </c>
      <c r="YU32">
        <v>44363</v>
      </c>
      <c r="YV32">
        <v>94119</v>
      </c>
      <c r="YW32">
        <v>40</v>
      </c>
    </row>
    <row r="33" spans="2:673">
      <c r="B33" t="str">
        <f t="shared" ca="1" si="2"/>
        <v>17.6</v>
      </c>
      <c r="C33" s="4">
        <f t="shared" ca="1" si="0"/>
        <v>44364</v>
      </c>
      <c r="D33" s="11">
        <f t="shared" ca="1" si="1"/>
        <v>94235</v>
      </c>
      <c r="E33">
        <f t="shared" ca="1" si="3"/>
        <v>66</v>
      </c>
      <c r="F33" s="11">
        <f t="shared" ca="1" si="4"/>
        <v>31</v>
      </c>
      <c r="G33" s="11">
        <f t="shared" ca="1" si="5"/>
        <v>35</v>
      </c>
      <c r="K33" s="4"/>
      <c r="L33" s="3"/>
      <c r="N33" s="16">
        <v>44364</v>
      </c>
      <c r="O33">
        <v>94154</v>
      </c>
      <c r="P33">
        <v>35</v>
      </c>
      <c r="Q33" s="16">
        <v>44364</v>
      </c>
      <c r="R33">
        <v>94154</v>
      </c>
      <c r="S33">
        <v>35</v>
      </c>
      <c r="T33" s="16">
        <v>44111</v>
      </c>
      <c r="U33">
        <v>11345</v>
      </c>
      <c r="V33">
        <v>5</v>
      </c>
      <c r="W33" s="16">
        <v>44112</v>
      </c>
      <c r="X33">
        <v>11580</v>
      </c>
      <c r="Y33">
        <v>6</v>
      </c>
      <c r="Z33" s="16">
        <v>44113</v>
      </c>
      <c r="AA33">
        <v>11849</v>
      </c>
      <c r="AB33">
        <v>18</v>
      </c>
      <c r="AC33" s="16">
        <v>44114</v>
      </c>
      <c r="AD33">
        <v>11998</v>
      </c>
      <c r="AE33">
        <v>5</v>
      </c>
      <c r="AF33" s="16">
        <v>44115</v>
      </c>
      <c r="AG33">
        <v>12212</v>
      </c>
      <c r="AH33">
        <v>9</v>
      </c>
      <c r="AI33" s="16">
        <v>44116</v>
      </c>
      <c r="AJ33">
        <v>12499</v>
      </c>
      <c r="AK33">
        <v>27</v>
      </c>
      <c r="AL33" s="16">
        <v>44117</v>
      </c>
      <c r="AM33">
        <v>12703</v>
      </c>
      <c r="AN33">
        <v>12</v>
      </c>
      <c r="AO33" s="16">
        <v>44118</v>
      </c>
      <c r="AP33">
        <v>12944</v>
      </c>
      <c r="AQ33">
        <v>22</v>
      </c>
      <c r="AR33" s="16">
        <v>44119</v>
      </c>
      <c r="AS33">
        <v>13133</v>
      </c>
      <c r="AT33">
        <v>17</v>
      </c>
      <c r="AU33" s="16">
        <v>44120</v>
      </c>
      <c r="AV33">
        <v>13293</v>
      </c>
      <c r="AW33">
        <v>32</v>
      </c>
      <c r="AX33" s="16">
        <v>44121</v>
      </c>
      <c r="AY33">
        <v>13424</v>
      </c>
      <c r="AZ33">
        <v>11</v>
      </c>
      <c r="BA33" s="16">
        <v>44122</v>
      </c>
      <c r="BB33">
        <v>13555</v>
      </c>
      <c r="BC33">
        <v>28</v>
      </c>
      <c r="BD33" s="16">
        <v>44123</v>
      </c>
      <c r="BE33">
        <v>13849</v>
      </c>
      <c r="BF33">
        <v>14</v>
      </c>
      <c r="BG33" s="16">
        <v>44124</v>
      </c>
      <c r="BH33">
        <v>14071</v>
      </c>
      <c r="BI33">
        <v>17</v>
      </c>
      <c r="BJ33" s="16">
        <v>44125</v>
      </c>
      <c r="BK33">
        <v>14255</v>
      </c>
      <c r="BL33">
        <v>19</v>
      </c>
      <c r="BM33" s="16">
        <v>44126</v>
      </c>
      <c r="BN33">
        <v>14474</v>
      </c>
      <c r="BO33">
        <v>24</v>
      </c>
      <c r="BP33" s="16">
        <v>44127</v>
      </c>
      <c r="BQ33">
        <v>14652</v>
      </c>
      <c r="BR33">
        <v>43</v>
      </c>
      <c r="BS33" s="16">
        <v>44128</v>
      </c>
      <c r="BT33">
        <v>14848</v>
      </c>
      <c r="BU33">
        <v>25</v>
      </c>
      <c r="BV33" s="16">
        <v>44130</v>
      </c>
      <c r="BW33">
        <v>14970</v>
      </c>
      <c r="BX33">
        <v>0</v>
      </c>
      <c r="BY33" s="16">
        <v>44131</v>
      </c>
      <c r="BZ33">
        <v>15378</v>
      </c>
      <c r="CA33">
        <v>42</v>
      </c>
      <c r="CB33" s="16">
        <v>44132</v>
      </c>
      <c r="CC33">
        <v>15566</v>
      </c>
      <c r="CD33">
        <v>32</v>
      </c>
      <c r="CE33" s="16">
        <v>44133</v>
      </c>
      <c r="CF33">
        <v>15910</v>
      </c>
      <c r="CG33">
        <v>70</v>
      </c>
      <c r="CH33" s="16">
        <v>44134</v>
      </c>
      <c r="CI33">
        <v>16113</v>
      </c>
      <c r="CJ33">
        <v>51</v>
      </c>
      <c r="CK33" s="16">
        <v>44135</v>
      </c>
      <c r="CL33">
        <v>16291</v>
      </c>
      <c r="CM33">
        <v>44</v>
      </c>
      <c r="CN33" s="16">
        <v>44136</v>
      </c>
      <c r="CO33">
        <v>16400</v>
      </c>
      <c r="CP33">
        <v>47</v>
      </c>
      <c r="CQ33" s="16">
        <v>44137</v>
      </c>
      <c r="CR33">
        <v>16637</v>
      </c>
      <c r="CS33">
        <v>49</v>
      </c>
      <c r="CT33" s="16">
        <v>44138</v>
      </c>
      <c r="CU33">
        <v>16929</v>
      </c>
      <c r="CV33">
        <v>79</v>
      </c>
      <c r="CW33" s="16">
        <v>44139</v>
      </c>
      <c r="CX33">
        <v>17119</v>
      </c>
      <c r="CY33">
        <v>44</v>
      </c>
      <c r="CZ33" s="16">
        <v>44141</v>
      </c>
      <c r="DA33">
        <v>17385</v>
      </c>
      <c r="DB33">
        <v>0</v>
      </c>
      <c r="DC33" s="16">
        <v>44142</v>
      </c>
      <c r="DD33">
        <v>17797</v>
      </c>
      <c r="DE33">
        <v>76</v>
      </c>
      <c r="DF33" s="16">
        <v>44143</v>
      </c>
      <c r="DG33">
        <v>17887</v>
      </c>
      <c r="DH33">
        <v>41</v>
      </c>
      <c r="DI33" s="16">
        <v>44144</v>
      </c>
      <c r="DJ33">
        <v>18107</v>
      </c>
      <c r="DK33">
        <v>84</v>
      </c>
      <c r="DL33" s="16">
        <v>44145</v>
      </c>
      <c r="DM33">
        <v>18345</v>
      </c>
      <c r="DN33">
        <v>60</v>
      </c>
      <c r="DO33" s="16">
        <v>44146</v>
      </c>
      <c r="DP33">
        <v>18542</v>
      </c>
      <c r="DQ33">
        <v>65</v>
      </c>
      <c r="DR33" s="16">
        <v>44147</v>
      </c>
      <c r="DS33">
        <v>18858</v>
      </c>
      <c r="DT33">
        <v>88</v>
      </c>
      <c r="DU33" s="16">
        <v>44148</v>
      </c>
      <c r="DV33">
        <v>19102</v>
      </c>
      <c r="DW33">
        <v>70</v>
      </c>
      <c r="DX33" s="16">
        <v>44149</v>
      </c>
      <c r="DY33">
        <v>19315</v>
      </c>
      <c r="DZ33">
        <v>63</v>
      </c>
      <c r="EA33" s="16">
        <v>44150</v>
      </c>
      <c r="EB33">
        <v>19419</v>
      </c>
      <c r="EC33">
        <v>56</v>
      </c>
      <c r="ED33" s="16">
        <v>44151</v>
      </c>
      <c r="EE33">
        <v>19647</v>
      </c>
      <c r="EF33">
        <v>98</v>
      </c>
      <c r="EG33" s="16">
        <v>44152</v>
      </c>
      <c r="EH33">
        <v>19935</v>
      </c>
      <c r="EI33">
        <v>73</v>
      </c>
      <c r="EJ33" s="16">
        <v>44153</v>
      </c>
      <c r="EK33">
        <v>20286</v>
      </c>
      <c r="EL33">
        <v>66</v>
      </c>
      <c r="EM33" s="16">
        <v>44154</v>
      </c>
      <c r="EN33">
        <v>20747</v>
      </c>
      <c r="EO33">
        <v>60</v>
      </c>
      <c r="EP33" s="16">
        <v>44155</v>
      </c>
      <c r="EQ33">
        <v>21216</v>
      </c>
      <c r="ER33">
        <v>66</v>
      </c>
      <c r="ES33" s="16">
        <v>44156</v>
      </c>
      <c r="ET33">
        <v>21639</v>
      </c>
      <c r="EU33">
        <v>75</v>
      </c>
      <c r="EV33" s="16">
        <v>44157</v>
      </c>
      <c r="EW33">
        <v>21936</v>
      </c>
      <c r="EX33">
        <v>66</v>
      </c>
      <c r="EY33" s="16">
        <v>44158</v>
      </c>
      <c r="EZ33">
        <v>22289</v>
      </c>
      <c r="FA33">
        <v>107</v>
      </c>
      <c r="FB33" s="16">
        <v>44159</v>
      </c>
      <c r="FC33">
        <v>22652</v>
      </c>
      <c r="FD33">
        <v>85</v>
      </c>
      <c r="FE33" s="16">
        <v>44160</v>
      </c>
      <c r="FF33">
        <v>23147</v>
      </c>
      <c r="FG33">
        <v>167</v>
      </c>
      <c r="FH33" s="16">
        <v>44161</v>
      </c>
      <c r="FI33">
        <v>23766</v>
      </c>
      <c r="FJ33">
        <v>160</v>
      </c>
      <c r="FK33" s="16">
        <v>44162</v>
      </c>
      <c r="FL33">
        <v>24307</v>
      </c>
      <c r="FM33">
        <v>158</v>
      </c>
      <c r="FN33" s="16">
        <v>44163</v>
      </c>
      <c r="FO33">
        <v>24629</v>
      </c>
      <c r="FP33">
        <v>116</v>
      </c>
      <c r="FQ33" s="16">
        <v>44164</v>
      </c>
      <c r="FR33">
        <v>24912</v>
      </c>
      <c r="FS33">
        <v>126</v>
      </c>
      <c r="FT33" s="16">
        <v>44165</v>
      </c>
      <c r="FU33">
        <v>25462</v>
      </c>
      <c r="FV33">
        <v>180</v>
      </c>
      <c r="FW33" s="16">
        <v>44166</v>
      </c>
      <c r="FX33">
        <v>25882</v>
      </c>
      <c r="FY33">
        <v>120</v>
      </c>
      <c r="FZ33" s="16">
        <v>44167</v>
      </c>
      <c r="GA33">
        <v>26422</v>
      </c>
      <c r="GB33">
        <v>208</v>
      </c>
      <c r="GC33" s="16">
        <v>44168</v>
      </c>
      <c r="GD33">
        <v>26758</v>
      </c>
      <c r="GE33">
        <v>135</v>
      </c>
      <c r="GF33" s="16">
        <v>44169</v>
      </c>
      <c r="GG33">
        <v>27217</v>
      </c>
      <c r="GH33">
        <v>108</v>
      </c>
      <c r="GI33" s="16">
        <v>44170</v>
      </c>
      <c r="GJ33">
        <v>27631</v>
      </c>
      <c r="GK33">
        <v>114</v>
      </c>
      <c r="GL33" s="16">
        <v>44171</v>
      </c>
      <c r="GM33">
        <v>27879</v>
      </c>
      <c r="GN33">
        <v>126</v>
      </c>
      <c r="GO33" s="16">
        <v>44172</v>
      </c>
      <c r="GP33">
        <v>28242</v>
      </c>
      <c r="GQ33">
        <v>160</v>
      </c>
      <c r="GR33" s="16">
        <v>44173</v>
      </c>
      <c r="GS33">
        <v>28732</v>
      </c>
      <c r="GT33">
        <v>162</v>
      </c>
      <c r="GU33" s="16">
        <v>44174</v>
      </c>
      <c r="GV33">
        <v>29572</v>
      </c>
      <c r="GW33">
        <v>190</v>
      </c>
      <c r="GX33" s="16">
        <v>44175</v>
      </c>
      <c r="GY33">
        <v>30072</v>
      </c>
      <c r="GZ33">
        <v>197</v>
      </c>
      <c r="HA33" s="16">
        <v>44176</v>
      </c>
      <c r="HB33">
        <v>30450</v>
      </c>
      <c r="HC33">
        <v>178</v>
      </c>
      <c r="HD33" s="16">
        <v>44177</v>
      </c>
      <c r="HE33">
        <v>30810</v>
      </c>
      <c r="HF33">
        <v>111</v>
      </c>
      <c r="HG33" s="16">
        <v>44178</v>
      </c>
      <c r="HH33">
        <v>31110</v>
      </c>
      <c r="HI33">
        <v>129</v>
      </c>
      <c r="HJ33" s="16">
        <v>44179</v>
      </c>
      <c r="HK33">
        <v>31459</v>
      </c>
      <c r="HL33">
        <v>154</v>
      </c>
      <c r="HM33" s="16">
        <v>44180</v>
      </c>
      <c r="HN33">
        <v>31870</v>
      </c>
      <c r="HO33">
        <v>111</v>
      </c>
      <c r="HP33" s="16">
        <v>44181</v>
      </c>
      <c r="HQ33">
        <v>32228</v>
      </c>
      <c r="HR33">
        <v>109</v>
      </c>
      <c r="HS33" s="16">
        <v>44182</v>
      </c>
      <c r="HT33">
        <v>32582</v>
      </c>
      <c r="HU33">
        <v>125</v>
      </c>
      <c r="HV33" s="16">
        <v>44183</v>
      </c>
      <c r="HW33">
        <v>32853</v>
      </c>
      <c r="HX33">
        <v>111</v>
      </c>
      <c r="HY33" s="16">
        <v>44184</v>
      </c>
      <c r="HZ33">
        <v>33162</v>
      </c>
      <c r="IA33">
        <v>63</v>
      </c>
      <c r="IB33" s="16">
        <v>44185</v>
      </c>
      <c r="IC33">
        <v>33414</v>
      </c>
      <c r="ID33">
        <v>111</v>
      </c>
      <c r="IE33" s="16">
        <v>44186</v>
      </c>
      <c r="IF33">
        <v>33717</v>
      </c>
      <c r="IG33">
        <v>130</v>
      </c>
      <c r="IH33" s="16">
        <v>44187</v>
      </c>
      <c r="II33">
        <v>34083</v>
      </c>
      <c r="IJ33">
        <v>130</v>
      </c>
      <c r="IK33" s="16">
        <v>44188</v>
      </c>
      <c r="IL33">
        <v>34447</v>
      </c>
      <c r="IM33">
        <v>140</v>
      </c>
      <c r="IN33" s="16">
        <v>44189</v>
      </c>
      <c r="IO33">
        <v>34648</v>
      </c>
      <c r="IP33">
        <v>86</v>
      </c>
      <c r="IQ33" s="16">
        <v>44190</v>
      </c>
      <c r="IR33">
        <v>34821</v>
      </c>
      <c r="IS33">
        <v>99</v>
      </c>
      <c r="IT33" s="16">
        <v>44191</v>
      </c>
      <c r="IU33">
        <v>34977</v>
      </c>
      <c r="IV33">
        <v>79</v>
      </c>
      <c r="IW33" s="16">
        <v>44192</v>
      </c>
      <c r="IX33">
        <v>35137</v>
      </c>
      <c r="IY33">
        <v>97</v>
      </c>
      <c r="IZ33" s="16">
        <v>44193</v>
      </c>
      <c r="JA33">
        <v>35420</v>
      </c>
      <c r="JB33">
        <v>168</v>
      </c>
      <c r="JC33" s="16">
        <v>44197</v>
      </c>
      <c r="JD33">
        <v>35858</v>
      </c>
      <c r="JE33">
        <v>0</v>
      </c>
      <c r="JF33" s="16">
        <v>44201</v>
      </c>
      <c r="JG33">
        <v>36772</v>
      </c>
      <c r="JH33">
        <v>0</v>
      </c>
      <c r="JI33" s="16">
        <v>44202</v>
      </c>
      <c r="JJ33">
        <v>37771</v>
      </c>
      <c r="JK33">
        <v>77</v>
      </c>
      <c r="JL33" s="16">
        <v>44203</v>
      </c>
      <c r="JM33">
        <v>38067</v>
      </c>
      <c r="JN33">
        <v>152</v>
      </c>
      <c r="JO33" s="16">
        <v>44204</v>
      </c>
      <c r="JP33">
        <v>38392</v>
      </c>
      <c r="JQ33">
        <v>135</v>
      </c>
      <c r="JR33" s="16">
        <v>44206</v>
      </c>
      <c r="JS33">
        <v>38590</v>
      </c>
      <c r="JT33">
        <v>0</v>
      </c>
      <c r="JU33" s="16">
        <v>44206</v>
      </c>
      <c r="JV33">
        <v>38790</v>
      </c>
      <c r="JW33">
        <v>84</v>
      </c>
      <c r="JX33" s="16">
        <v>44208</v>
      </c>
      <c r="JY33">
        <v>39011</v>
      </c>
      <c r="JZ33">
        <v>0</v>
      </c>
      <c r="KA33" s="16">
        <v>44220</v>
      </c>
      <c r="KB33">
        <v>39593</v>
      </c>
      <c r="KC33">
        <v>0</v>
      </c>
      <c r="KD33" s="16">
        <v>44220</v>
      </c>
      <c r="KE33">
        <v>42772</v>
      </c>
      <c r="KF33">
        <v>104</v>
      </c>
      <c r="KG33" s="16">
        <v>44221</v>
      </c>
      <c r="KH33">
        <v>43120</v>
      </c>
      <c r="KI33">
        <v>167</v>
      </c>
      <c r="KJ33" s="16">
        <v>44223</v>
      </c>
      <c r="KK33">
        <v>43616</v>
      </c>
      <c r="KL33">
        <v>0</v>
      </c>
      <c r="KM33" s="16">
        <v>44224</v>
      </c>
      <c r="KN33">
        <v>44402</v>
      </c>
      <c r="KO33">
        <v>167</v>
      </c>
      <c r="KP33" s="16">
        <v>44228</v>
      </c>
      <c r="KQ33">
        <v>44871</v>
      </c>
      <c r="KR33">
        <v>0</v>
      </c>
      <c r="KS33" s="16">
        <v>44229</v>
      </c>
      <c r="KT33">
        <v>46049</v>
      </c>
      <c r="KU33">
        <v>43</v>
      </c>
      <c r="KV33" s="16">
        <v>44230</v>
      </c>
      <c r="KW33">
        <v>46493</v>
      </c>
      <c r="KX33">
        <v>59</v>
      </c>
      <c r="KY33" s="16">
        <v>44232</v>
      </c>
      <c r="KZ33">
        <v>46894</v>
      </c>
      <c r="LA33">
        <v>0</v>
      </c>
      <c r="LB33" s="16">
        <v>44233</v>
      </c>
      <c r="LC33">
        <v>47616</v>
      </c>
      <c r="LD33">
        <v>42</v>
      </c>
      <c r="LE33" s="16">
        <v>44234</v>
      </c>
      <c r="LF33">
        <v>47969</v>
      </c>
      <c r="LG33">
        <v>30</v>
      </c>
      <c r="LH33" s="16">
        <v>44236</v>
      </c>
      <c r="LI33">
        <v>48407</v>
      </c>
      <c r="LJ33">
        <v>0</v>
      </c>
      <c r="LK33" s="16">
        <v>44236</v>
      </c>
      <c r="LL33">
        <v>48807</v>
      </c>
      <c r="LM33">
        <v>176</v>
      </c>
      <c r="LN33" s="16">
        <v>44238</v>
      </c>
      <c r="LO33">
        <v>49165</v>
      </c>
      <c r="LP33">
        <v>0</v>
      </c>
      <c r="LQ33" s="16">
        <v>44239</v>
      </c>
      <c r="LR33">
        <v>50007</v>
      </c>
      <c r="LS33">
        <v>207</v>
      </c>
      <c r="LT33" s="16">
        <v>44240</v>
      </c>
      <c r="LU33">
        <v>50319</v>
      </c>
      <c r="LV33">
        <v>120</v>
      </c>
      <c r="LW33" s="16">
        <v>44241</v>
      </c>
      <c r="LX33">
        <v>50662</v>
      </c>
      <c r="LY33">
        <v>157</v>
      </c>
      <c r="LZ33" s="16">
        <v>44242</v>
      </c>
      <c r="MA33">
        <v>51047</v>
      </c>
      <c r="MB33">
        <v>248</v>
      </c>
      <c r="MC33" s="16">
        <v>44243</v>
      </c>
      <c r="MD33">
        <v>51595</v>
      </c>
      <c r="ME33">
        <v>230</v>
      </c>
      <c r="MF33" s="16">
        <v>44245</v>
      </c>
      <c r="MG33">
        <v>52209</v>
      </c>
      <c r="MH33">
        <v>0</v>
      </c>
      <c r="MI33" s="16">
        <v>44245</v>
      </c>
      <c r="MJ33">
        <v>52653</v>
      </c>
      <c r="MK33">
        <v>246</v>
      </c>
      <c r="ML33" s="16">
        <v>44246</v>
      </c>
      <c r="MM33">
        <v>53285</v>
      </c>
      <c r="MN33">
        <v>266</v>
      </c>
      <c r="MO33" s="16">
        <v>44247</v>
      </c>
      <c r="MP33">
        <v>53742</v>
      </c>
      <c r="MQ33">
        <v>164</v>
      </c>
      <c r="MR33" s="16">
        <v>44248</v>
      </c>
      <c r="MS33">
        <v>54131</v>
      </c>
      <c r="MT33">
        <v>206</v>
      </c>
      <c r="MU33" s="16">
        <v>44249</v>
      </c>
      <c r="MV33">
        <v>54532</v>
      </c>
      <c r="MW33">
        <v>228</v>
      </c>
      <c r="MX33" s="16">
        <v>44250</v>
      </c>
      <c r="MY33">
        <v>55122</v>
      </c>
      <c r="MZ33">
        <v>265</v>
      </c>
      <c r="NA33" s="16">
        <v>44250</v>
      </c>
      <c r="NB33">
        <v>55435</v>
      </c>
      <c r="NC33">
        <v>485</v>
      </c>
      <c r="ND33" s="16">
        <v>44253</v>
      </c>
      <c r="NE33">
        <v>56407</v>
      </c>
      <c r="NF33">
        <v>0</v>
      </c>
      <c r="NG33" s="16">
        <v>44253</v>
      </c>
      <c r="NH33">
        <v>57052</v>
      </c>
      <c r="NI33">
        <v>306</v>
      </c>
      <c r="NJ33" s="16">
        <v>44255</v>
      </c>
      <c r="NK33">
        <v>57672</v>
      </c>
      <c r="NL33">
        <v>0</v>
      </c>
      <c r="NM33" s="16">
        <v>44255</v>
      </c>
      <c r="NN33">
        <v>58064</v>
      </c>
      <c r="NO33">
        <v>242</v>
      </c>
      <c r="NP33" s="16">
        <v>44257</v>
      </c>
      <c r="NQ33">
        <v>58645</v>
      </c>
      <c r="NR33">
        <v>0</v>
      </c>
      <c r="NS33" s="16">
        <v>44258</v>
      </c>
      <c r="NT33">
        <v>60199</v>
      </c>
      <c r="NU33">
        <v>326</v>
      </c>
      <c r="NV33" s="16">
        <v>44259</v>
      </c>
      <c r="NW33">
        <v>60904</v>
      </c>
      <c r="NX33">
        <v>273</v>
      </c>
      <c r="NY33" s="16">
        <v>44260</v>
      </c>
      <c r="NZ33">
        <v>61552</v>
      </c>
      <c r="OA33">
        <v>277</v>
      </c>
      <c r="OB33" s="16">
        <v>44261</v>
      </c>
      <c r="OC33">
        <v>62063</v>
      </c>
      <c r="OD33">
        <v>202</v>
      </c>
      <c r="OE33" s="16">
        <v>44262</v>
      </c>
      <c r="OF33">
        <v>62522</v>
      </c>
      <c r="OG33">
        <v>231</v>
      </c>
      <c r="OH33" s="16">
        <v>44263</v>
      </c>
      <c r="OI33">
        <v>63110</v>
      </c>
      <c r="OJ33">
        <v>368</v>
      </c>
      <c r="OK33" s="16">
        <v>44264</v>
      </c>
      <c r="OL33">
        <v>63889</v>
      </c>
      <c r="OM33">
        <v>364</v>
      </c>
      <c r="ON33" s="16">
        <v>44265</v>
      </c>
      <c r="OO33">
        <v>64609</v>
      </c>
      <c r="OP33">
        <v>350</v>
      </c>
      <c r="OQ33" s="16">
        <v>44266</v>
      </c>
      <c r="OR33">
        <v>65315</v>
      </c>
      <c r="OS33">
        <v>373</v>
      </c>
      <c r="OT33" s="16">
        <v>44267</v>
      </c>
      <c r="OU33">
        <v>66006</v>
      </c>
      <c r="OV33">
        <v>376</v>
      </c>
      <c r="OW33" s="16">
        <v>44268</v>
      </c>
      <c r="OX33">
        <v>66869</v>
      </c>
      <c r="OY33">
        <v>262</v>
      </c>
      <c r="OZ33" s="16">
        <v>44269</v>
      </c>
      <c r="PA33">
        <v>67334</v>
      </c>
      <c r="PB33">
        <v>253</v>
      </c>
      <c r="PC33" s="16">
        <v>44270</v>
      </c>
      <c r="PD33">
        <v>67851</v>
      </c>
      <c r="PE33">
        <v>313</v>
      </c>
      <c r="PF33" s="16">
        <v>44271</v>
      </c>
      <c r="PG33">
        <v>68693</v>
      </c>
      <c r="PH33">
        <v>330</v>
      </c>
      <c r="PI33" s="16">
        <v>44272</v>
      </c>
      <c r="PJ33">
        <v>69496</v>
      </c>
      <c r="PK33">
        <v>353</v>
      </c>
      <c r="PL33" s="16">
        <v>44273</v>
      </c>
      <c r="PM33">
        <v>70267</v>
      </c>
      <c r="PN33">
        <v>366</v>
      </c>
      <c r="PO33" s="16">
        <v>44274</v>
      </c>
      <c r="PP33">
        <v>71123</v>
      </c>
      <c r="PQ33">
        <v>401</v>
      </c>
      <c r="PR33" s="16">
        <v>44275</v>
      </c>
      <c r="PS33">
        <v>71642</v>
      </c>
      <c r="PT33">
        <v>260</v>
      </c>
      <c r="PU33" s="16">
        <v>44276</v>
      </c>
      <c r="PV33">
        <v>72072</v>
      </c>
      <c r="PW33">
        <v>252</v>
      </c>
      <c r="PX33" s="16">
        <v>44277</v>
      </c>
      <c r="PY33">
        <v>72713</v>
      </c>
      <c r="PZ33">
        <v>354</v>
      </c>
      <c r="QA33" s="16">
        <v>44278</v>
      </c>
      <c r="QB33">
        <v>73516</v>
      </c>
      <c r="QC33">
        <v>376</v>
      </c>
      <c r="QD33" s="16">
        <v>44279</v>
      </c>
      <c r="QE33">
        <v>74242</v>
      </c>
      <c r="QF33">
        <v>362</v>
      </c>
      <c r="QG33" s="16">
        <v>44280</v>
      </c>
      <c r="QH33">
        <v>74754</v>
      </c>
      <c r="QI33">
        <v>273</v>
      </c>
      <c r="QJ33" s="16">
        <v>44281</v>
      </c>
      <c r="QK33">
        <v>75545</v>
      </c>
      <c r="QL33">
        <v>402</v>
      </c>
      <c r="QM33" s="16">
        <v>44282</v>
      </c>
      <c r="QN33">
        <v>76003</v>
      </c>
      <c r="QO33">
        <v>215</v>
      </c>
      <c r="QP33" s="16">
        <v>44283</v>
      </c>
      <c r="QQ33">
        <v>76425</v>
      </c>
      <c r="QR33">
        <v>240</v>
      </c>
      <c r="QS33" s="16">
        <v>44284</v>
      </c>
      <c r="QT33">
        <v>76845</v>
      </c>
      <c r="QU33">
        <v>256</v>
      </c>
      <c r="QV33" s="16">
        <v>44285</v>
      </c>
      <c r="QW33">
        <v>77452</v>
      </c>
      <c r="QX33">
        <v>234</v>
      </c>
      <c r="QY33" s="16">
        <v>44286</v>
      </c>
      <c r="QZ33">
        <v>78106</v>
      </c>
      <c r="RA33">
        <v>281</v>
      </c>
      <c r="RB33" s="16">
        <v>44287</v>
      </c>
      <c r="RC33">
        <v>78671</v>
      </c>
      <c r="RD33">
        <v>275</v>
      </c>
      <c r="RE33" s="16">
        <v>44288</v>
      </c>
      <c r="RF33">
        <v>79094</v>
      </c>
      <c r="RG33">
        <v>223</v>
      </c>
      <c r="RH33" s="16">
        <v>44289</v>
      </c>
      <c r="RI33">
        <v>79396</v>
      </c>
      <c r="RJ33">
        <v>188</v>
      </c>
      <c r="RK33" s="16">
        <v>44290</v>
      </c>
      <c r="RL33">
        <v>79737</v>
      </c>
      <c r="RM33">
        <v>196</v>
      </c>
      <c r="RN33" s="16">
        <v>44292</v>
      </c>
      <c r="RO33">
        <v>80068</v>
      </c>
      <c r="RP33">
        <v>0</v>
      </c>
      <c r="RQ33" s="16">
        <v>44293</v>
      </c>
      <c r="RR33">
        <v>80842</v>
      </c>
      <c r="RS33">
        <v>155</v>
      </c>
      <c r="RT33">
        <v>44294</v>
      </c>
      <c r="RU33">
        <v>81261</v>
      </c>
      <c r="RV33">
        <v>115</v>
      </c>
      <c r="RW33">
        <v>44295</v>
      </c>
      <c r="RX33">
        <v>81707</v>
      </c>
      <c r="RY33">
        <v>142</v>
      </c>
      <c r="RZ33">
        <v>44296</v>
      </c>
      <c r="SA33">
        <v>82053</v>
      </c>
      <c r="SB33">
        <v>139</v>
      </c>
      <c r="SC33">
        <v>44297</v>
      </c>
      <c r="SD33">
        <v>82278</v>
      </c>
      <c r="SE33">
        <v>131</v>
      </c>
      <c r="SF33">
        <v>44298</v>
      </c>
      <c r="SG33">
        <v>82564</v>
      </c>
      <c r="SH33">
        <v>183</v>
      </c>
      <c r="SI33">
        <v>44299</v>
      </c>
      <c r="SJ33">
        <v>82964</v>
      </c>
      <c r="SK33">
        <v>169</v>
      </c>
      <c r="SL33">
        <v>44301</v>
      </c>
      <c r="SM33">
        <v>83253</v>
      </c>
      <c r="SN33">
        <v>0</v>
      </c>
      <c r="SO33">
        <v>44302</v>
      </c>
      <c r="SP33">
        <v>83633</v>
      </c>
      <c r="SQ33">
        <v>0</v>
      </c>
      <c r="SR33">
        <v>44303</v>
      </c>
      <c r="SS33">
        <v>84131</v>
      </c>
      <c r="ST33">
        <v>109</v>
      </c>
      <c r="SU33">
        <v>44304</v>
      </c>
      <c r="SV33">
        <v>84287</v>
      </c>
      <c r="SW33">
        <v>71</v>
      </c>
      <c r="SX33">
        <v>44306</v>
      </c>
      <c r="SY33">
        <v>84501</v>
      </c>
      <c r="SZ33">
        <v>0</v>
      </c>
      <c r="TA33">
        <v>44307</v>
      </c>
      <c r="TB33">
        <v>85077</v>
      </c>
      <c r="TC33">
        <v>100</v>
      </c>
      <c r="TD33">
        <v>44309</v>
      </c>
      <c r="TE33">
        <v>85344</v>
      </c>
      <c r="TF33">
        <v>0</v>
      </c>
      <c r="TG33">
        <v>44310</v>
      </c>
      <c r="TH33">
        <v>85804</v>
      </c>
      <c r="TI33">
        <v>87</v>
      </c>
      <c r="TJ33">
        <v>44311</v>
      </c>
      <c r="TK33">
        <v>85937</v>
      </c>
      <c r="TL33">
        <v>77</v>
      </c>
      <c r="TM33">
        <v>44312</v>
      </c>
      <c r="TN33">
        <v>86161</v>
      </c>
      <c r="TO33">
        <v>123</v>
      </c>
      <c r="TP33">
        <v>44314</v>
      </c>
      <c r="TQ33">
        <v>86405</v>
      </c>
      <c r="TR33">
        <v>0</v>
      </c>
      <c r="TS33">
        <v>44315</v>
      </c>
      <c r="TT33">
        <v>86613</v>
      </c>
      <c r="TU33">
        <v>0</v>
      </c>
      <c r="TV33">
        <v>44315</v>
      </c>
      <c r="TW33">
        <v>86808</v>
      </c>
      <c r="TX33">
        <v>67</v>
      </c>
      <c r="TY33">
        <v>44316</v>
      </c>
      <c r="TZ33">
        <v>87096</v>
      </c>
      <c r="UA33">
        <v>95</v>
      </c>
      <c r="UB33">
        <v>44318</v>
      </c>
      <c r="UC33">
        <v>87228</v>
      </c>
      <c r="UD33">
        <v>0</v>
      </c>
      <c r="UE33">
        <v>44318</v>
      </c>
      <c r="UF33">
        <v>87345</v>
      </c>
      <c r="UG33">
        <v>56</v>
      </c>
      <c r="UH33">
        <v>44319</v>
      </c>
      <c r="UI33">
        <v>87529</v>
      </c>
      <c r="UJ33">
        <v>108</v>
      </c>
      <c r="UK33">
        <v>44320</v>
      </c>
      <c r="UL33">
        <v>87798</v>
      </c>
      <c r="UM33">
        <v>95</v>
      </c>
      <c r="UN33">
        <v>44324</v>
      </c>
      <c r="UO33">
        <v>88078</v>
      </c>
      <c r="UP33">
        <v>0</v>
      </c>
      <c r="UQ33">
        <v>44325</v>
      </c>
      <c r="UR33">
        <v>88866</v>
      </c>
      <c r="US33">
        <v>70</v>
      </c>
      <c r="UT33">
        <v>44326</v>
      </c>
      <c r="UU33">
        <v>88990</v>
      </c>
      <c r="UV33">
        <v>63</v>
      </c>
      <c r="UW33">
        <v>44327</v>
      </c>
      <c r="UX33">
        <v>89270</v>
      </c>
      <c r="UY33">
        <v>75</v>
      </c>
      <c r="UZ33">
        <v>44329</v>
      </c>
      <c r="VA33">
        <v>89532</v>
      </c>
      <c r="VB33">
        <v>0</v>
      </c>
      <c r="VC33">
        <v>44329</v>
      </c>
      <c r="VD33">
        <v>89686</v>
      </c>
      <c r="VE33">
        <v>68</v>
      </c>
      <c r="VF33">
        <v>44330</v>
      </c>
      <c r="VG33">
        <v>89878</v>
      </c>
      <c r="VH33">
        <v>65</v>
      </c>
      <c r="VI33">
        <v>44332</v>
      </c>
      <c r="VJ33">
        <v>90105</v>
      </c>
      <c r="VK33">
        <v>0</v>
      </c>
      <c r="VL33">
        <v>44332</v>
      </c>
      <c r="VM33">
        <v>90249</v>
      </c>
      <c r="VN33">
        <v>73</v>
      </c>
      <c r="VO33">
        <v>44333</v>
      </c>
      <c r="VP33">
        <v>90398</v>
      </c>
      <c r="VQ33">
        <v>45</v>
      </c>
      <c r="VR33">
        <v>44334</v>
      </c>
      <c r="VS33">
        <v>90687</v>
      </c>
      <c r="VT33">
        <v>86</v>
      </c>
      <c r="VU33">
        <v>44336</v>
      </c>
      <c r="VV33">
        <v>90946</v>
      </c>
      <c r="VW33">
        <v>0</v>
      </c>
      <c r="VX33">
        <v>44336</v>
      </c>
      <c r="VY33">
        <v>91157</v>
      </c>
      <c r="VZ33">
        <v>76</v>
      </c>
      <c r="WA33">
        <v>44337</v>
      </c>
      <c r="WB33">
        <v>91405</v>
      </c>
      <c r="WC33">
        <v>82</v>
      </c>
      <c r="WD33">
        <v>44338</v>
      </c>
      <c r="WE33">
        <v>91526</v>
      </c>
      <c r="WF33">
        <v>63</v>
      </c>
      <c r="WG33">
        <v>44339</v>
      </c>
      <c r="WH33">
        <v>91619</v>
      </c>
      <c r="WI33">
        <v>57</v>
      </c>
      <c r="WJ33">
        <v>44341</v>
      </c>
      <c r="WK33">
        <v>91744</v>
      </c>
      <c r="WL33">
        <v>0</v>
      </c>
      <c r="WM33">
        <v>44341</v>
      </c>
      <c r="WN33">
        <v>91964</v>
      </c>
      <c r="WO33">
        <v>85</v>
      </c>
      <c r="WP33">
        <v>44344</v>
      </c>
      <c r="WQ33">
        <v>92062</v>
      </c>
      <c r="WR33">
        <v>0</v>
      </c>
      <c r="WS33">
        <v>44345</v>
      </c>
      <c r="WT33">
        <v>92432</v>
      </c>
      <c r="WU33">
        <v>27</v>
      </c>
      <c r="WV33">
        <v>44346</v>
      </c>
      <c r="WW33">
        <v>92488</v>
      </c>
      <c r="WX33">
        <v>43</v>
      </c>
      <c r="WY33">
        <v>44347</v>
      </c>
      <c r="WZ33">
        <v>92642</v>
      </c>
      <c r="XA33">
        <v>51</v>
      </c>
      <c r="XB33">
        <v>44348</v>
      </c>
      <c r="XC33">
        <v>92770</v>
      </c>
      <c r="XD33">
        <v>59</v>
      </c>
      <c r="XE33">
        <v>44350</v>
      </c>
      <c r="XF33">
        <v>92913</v>
      </c>
      <c r="XG33">
        <v>0</v>
      </c>
      <c r="XH33">
        <v>44350</v>
      </c>
      <c r="XI33">
        <v>93038</v>
      </c>
      <c r="XJ33">
        <v>58</v>
      </c>
      <c r="XK33">
        <v>44351</v>
      </c>
      <c r="XL33">
        <v>93158</v>
      </c>
      <c r="XM33">
        <v>50</v>
      </c>
      <c r="XN33">
        <v>44352</v>
      </c>
      <c r="XO33">
        <v>93226</v>
      </c>
      <c r="XP33">
        <v>35</v>
      </c>
      <c r="XQ33">
        <v>44353</v>
      </c>
      <c r="XR33">
        <v>93281</v>
      </c>
      <c r="XS33">
        <v>39</v>
      </c>
      <c r="XT33">
        <v>44354</v>
      </c>
      <c r="XU33">
        <v>93394</v>
      </c>
      <c r="XV33">
        <v>74</v>
      </c>
      <c r="XW33">
        <v>44355</v>
      </c>
      <c r="XX33">
        <v>93520</v>
      </c>
      <c r="XY33">
        <v>50</v>
      </c>
      <c r="XZ33">
        <v>44356</v>
      </c>
      <c r="YA33">
        <v>93613</v>
      </c>
      <c r="YB33">
        <v>41</v>
      </c>
      <c r="YC33">
        <v>44358</v>
      </c>
      <c r="YD33">
        <v>93660</v>
      </c>
      <c r="YE33">
        <v>0</v>
      </c>
      <c r="YF33">
        <v>44359</v>
      </c>
      <c r="YG33">
        <v>93821</v>
      </c>
      <c r="YH33">
        <v>17</v>
      </c>
      <c r="YI33">
        <v>44360</v>
      </c>
      <c r="YJ33">
        <v>93850</v>
      </c>
      <c r="YK33">
        <v>19</v>
      </c>
      <c r="YL33">
        <v>44361</v>
      </c>
      <c r="YM33">
        <v>93923</v>
      </c>
      <c r="YN33">
        <v>35</v>
      </c>
      <c r="YO33">
        <v>44362</v>
      </c>
      <c r="YP33">
        <v>94026</v>
      </c>
      <c r="YQ33">
        <v>41</v>
      </c>
      <c r="YR33">
        <v>44363</v>
      </c>
      <c r="YS33">
        <v>94081</v>
      </c>
      <c r="YT33">
        <v>31</v>
      </c>
      <c r="YU33">
        <v>44364</v>
      </c>
      <c r="YV33">
        <v>94154</v>
      </c>
      <c r="YW33">
        <v>35</v>
      </c>
    </row>
    <row r="34" spans="2:673" s="10" customFormat="1">
      <c r="B34" t="str">
        <f t="shared" ca="1" si="2"/>
        <v>18.6</v>
      </c>
      <c r="C34" s="9">
        <f t="shared" ca="1" si="0"/>
        <v>44365</v>
      </c>
      <c r="D34" s="10">
        <f t="shared" ca="1" si="1"/>
        <v>94269</v>
      </c>
      <c r="E34" s="10">
        <f t="shared" ca="1" si="3"/>
        <v>34</v>
      </c>
      <c r="F34" s="10">
        <f t="shared" ca="1" si="4"/>
        <v>34</v>
      </c>
      <c r="G34" s="10">
        <f t="shared" ca="1" si="5"/>
        <v>0</v>
      </c>
      <c r="K34" s="9"/>
      <c r="L34" s="14"/>
      <c r="N34" s="17">
        <v>44365</v>
      </c>
      <c r="O34" s="10">
        <v>94154</v>
      </c>
      <c r="P34" s="10">
        <v>0</v>
      </c>
      <c r="Q34" s="17">
        <v>44365</v>
      </c>
      <c r="R34" s="10">
        <v>94154</v>
      </c>
      <c r="S34" s="10">
        <v>0</v>
      </c>
      <c r="T34" s="17">
        <v>44112</v>
      </c>
      <c r="U34" s="10">
        <v>11345</v>
      </c>
      <c r="V34" s="10">
        <v>0</v>
      </c>
      <c r="W34" s="17">
        <v>44113</v>
      </c>
      <c r="X34" s="10">
        <v>11580</v>
      </c>
      <c r="Y34" s="10">
        <v>0</v>
      </c>
      <c r="Z34" s="17">
        <v>44114</v>
      </c>
      <c r="AA34" s="10">
        <v>11849</v>
      </c>
      <c r="AB34" s="10">
        <v>0</v>
      </c>
      <c r="AC34" s="17">
        <v>44115</v>
      </c>
      <c r="AD34" s="10">
        <v>11998</v>
      </c>
      <c r="AE34" s="10">
        <v>0</v>
      </c>
      <c r="AF34" s="17">
        <v>44116</v>
      </c>
      <c r="AG34" s="10">
        <v>12212</v>
      </c>
      <c r="AH34" s="10">
        <v>0</v>
      </c>
      <c r="AI34" s="17">
        <v>44117</v>
      </c>
      <c r="AJ34" s="10">
        <v>12499</v>
      </c>
      <c r="AK34" s="10">
        <v>0</v>
      </c>
      <c r="AL34" s="17">
        <v>44118</v>
      </c>
      <c r="AM34" s="10">
        <v>12703</v>
      </c>
      <c r="AN34" s="10">
        <v>0</v>
      </c>
      <c r="AO34" s="17">
        <v>44119</v>
      </c>
      <c r="AP34" s="10">
        <v>12944</v>
      </c>
      <c r="AQ34" s="10">
        <v>0</v>
      </c>
      <c r="AR34" s="17">
        <v>44120</v>
      </c>
      <c r="AS34" s="10">
        <v>13133</v>
      </c>
      <c r="AT34" s="10">
        <v>0</v>
      </c>
      <c r="AU34" s="17">
        <v>44121</v>
      </c>
      <c r="AV34" s="10">
        <v>13293</v>
      </c>
      <c r="AW34" s="10">
        <v>0</v>
      </c>
      <c r="AX34" s="17">
        <v>44122</v>
      </c>
      <c r="AY34" s="10">
        <v>13424</v>
      </c>
      <c r="AZ34" s="10">
        <v>0</v>
      </c>
      <c r="BA34" s="17">
        <v>44123</v>
      </c>
      <c r="BB34" s="10">
        <v>13555</v>
      </c>
      <c r="BC34" s="10">
        <v>0</v>
      </c>
      <c r="BD34" s="17">
        <v>44124</v>
      </c>
      <c r="BE34" s="10">
        <v>13849</v>
      </c>
      <c r="BF34" s="10">
        <v>0</v>
      </c>
      <c r="BG34" s="17">
        <v>44125</v>
      </c>
      <c r="BH34" s="10">
        <v>14071</v>
      </c>
      <c r="BI34" s="10">
        <v>0</v>
      </c>
      <c r="BJ34" s="17">
        <v>44126</v>
      </c>
      <c r="BK34" s="10">
        <v>14255</v>
      </c>
      <c r="BL34" s="10">
        <v>0</v>
      </c>
      <c r="BM34" s="17">
        <v>44127</v>
      </c>
      <c r="BN34" s="10">
        <v>14474</v>
      </c>
      <c r="BO34" s="10">
        <v>0</v>
      </c>
      <c r="BP34" s="17">
        <v>44128</v>
      </c>
      <c r="BQ34" s="10">
        <v>14652</v>
      </c>
      <c r="BR34" s="10">
        <v>0</v>
      </c>
      <c r="BS34" s="17">
        <v>44129</v>
      </c>
      <c r="BT34" s="10">
        <v>14848</v>
      </c>
      <c r="BU34" s="10">
        <v>0</v>
      </c>
      <c r="BV34" s="17">
        <v>44131</v>
      </c>
      <c r="BW34" s="10">
        <v>14970</v>
      </c>
      <c r="BX34" s="10">
        <v>0</v>
      </c>
      <c r="BY34" s="17">
        <v>44132</v>
      </c>
      <c r="BZ34" s="10">
        <v>15378</v>
      </c>
      <c r="CA34" s="10">
        <v>0</v>
      </c>
      <c r="CB34" s="17">
        <v>44133</v>
      </c>
      <c r="CC34" s="10">
        <v>15566</v>
      </c>
      <c r="CD34" s="10">
        <v>0</v>
      </c>
      <c r="CE34" s="17">
        <v>44134</v>
      </c>
      <c r="CF34" s="10">
        <v>15910</v>
      </c>
      <c r="CG34" s="10">
        <v>0</v>
      </c>
      <c r="CH34" s="17">
        <v>44135</v>
      </c>
      <c r="CI34" s="10">
        <v>16113</v>
      </c>
      <c r="CJ34" s="10">
        <v>0</v>
      </c>
      <c r="CK34" s="17">
        <v>44136</v>
      </c>
      <c r="CL34" s="10">
        <v>16291</v>
      </c>
      <c r="CM34" s="10">
        <v>0</v>
      </c>
      <c r="CN34" s="17">
        <v>44137</v>
      </c>
      <c r="CO34" s="10">
        <v>16400</v>
      </c>
      <c r="CP34" s="10">
        <v>0</v>
      </c>
      <c r="CQ34" s="17">
        <v>44138</v>
      </c>
      <c r="CR34" s="10">
        <v>16637</v>
      </c>
      <c r="CS34" s="10">
        <v>0</v>
      </c>
      <c r="CT34" s="17">
        <v>44139</v>
      </c>
      <c r="CU34" s="10">
        <v>16930</v>
      </c>
      <c r="CV34" s="10">
        <v>1</v>
      </c>
      <c r="CW34" s="17">
        <v>44140</v>
      </c>
      <c r="CX34" s="10">
        <v>17119</v>
      </c>
      <c r="CY34" s="10">
        <v>0</v>
      </c>
      <c r="CZ34" s="17">
        <v>44142</v>
      </c>
      <c r="DA34" s="10">
        <v>17385</v>
      </c>
      <c r="DB34" s="10">
        <v>0</v>
      </c>
      <c r="DC34" s="17">
        <v>44143</v>
      </c>
      <c r="DD34" s="10">
        <v>17797</v>
      </c>
      <c r="DE34" s="10">
        <v>0</v>
      </c>
      <c r="DF34" s="17">
        <v>44144</v>
      </c>
      <c r="DG34" s="10">
        <v>17887</v>
      </c>
      <c r="DH34" s="10">
        <v>0</v>
      </c>
      <c r="DI34" s="17">
        <v>44145</v>
      </c>
      <c r="DJ34" s="10">
        <v>18107</v>
      </c>
      <c r="DK34" s="10">
        <v>0</v>
      </c>
      <c r="DL34" s="17">
        <v>44146</v>
      </c>
      <c r="DM34" s="10">
        <v>18345</v>
      </c>
      <c r="DN34" s="10">
        <v>0</v>
      </c>
      <c r="DO34" s="17">
        <v>44147</v>
      </c>
      <c r="DP34" s="10">
        <v>18542</v>
      </c>
      <c r="DQ34" s="10">
        <v>0</v>
      </c>
      <c r="DR34" s="17">
        <v>44148</v>
      </c>
      <c r="DS34" s="10">
        <v>18858</v>
      </c>
      <c r="DT34" s="10">
        <v>0</v>
      </c>
      <c r="DU34" s="17">
        <v>44149</v>
      </c>
      <c r="DV34" s="10">
        <v>19102</v>
      </c>
      <c r="DW34" s="10">
        <v>0</v>
      </c>
      <c r="DX34" s="17">
        <v>44150</v>
      </c>
      <c r="DY34" s="10">
        <v>19315</v>
      </c>
      <c r="DZ34" s="10">
        <v>0</v>
      </c>
      <c r="EA34" s="17">
        <v>44151</v>
      </c>
      <c r="EB34" s="10">
        <v>19419</v>
      </c>
      <c r="EC34" s="10">
        <v>0</v>
      </c>
      <c r="ED34" s="17">
        <v>44152</v>
      </c>
      <c r="EE34" s="10">
        <v>19647</v>
      </c>
      <c r="EF34" s="10">
        <v>0</v>
      </c>
      <c r="EG34" s="17">
        <v>44153</v>
      </c>
      <c r="EH34" s="10">
        <v>19935</v>
      </c>
      <c r="EI34" s="10">
        <v>0</v>
      </c>
      <c r="EJ34" s="17">
        <v>44154</v>
      </c>
      <c r="EK34" s="10">
        <v>20286</v>
      </c>
      <c r="EL34" s="10">
        <v>0</v>
      </c>
      <c r="EM34" s="17">
        <v>44155</v>
      </c>
      <c r="EN34" s="10">
        <v>20747</v>
      </c>
      <c r="EO34" s="10">
        <v>0</v>
      </c>
      <c r="EP34" s="17">
        <v>44156</v>
      </c>
      <c r="EQ34" s="10">
        <v>21216</v>
      </c>
      <c r="ER34" s="10">
        <v>0</v>
      </c>
      <c r="ES34" s="17">
        <v>44157</v>
      </c>
      <c r="ET34" s="10">
        <v>21639</v>
      </c>
      <c r="EU34" s="10">
        <v>0</v>
      </c>
      <c r="EV34" s="17">
        <v>44158</v>
      </c>
      <c r="EW34" s="10">
        <v>21936</v>
      </c>
      <c r="EX34" s="10">
        <v>0</v>
      </c>
      <c r="EY34" s="17">
        <v>44159</v>
      </c>
      <c r="EZ34" s="10">
        <v>22289</v>
      </c>
      <c r="FA34" s="10">
        <v>0</v>
      </c>
      <c r="FB34" s="17">
        <v>44160</v>
      </c>
      <c r="FC34" s="10">
        <v>22652</v>
      </c>
      <c r="FD34" s="10">
        <v>0</v>
      </c>
      <c r="FE34" s="17">
        <v>44161</v>
      </c>
      <c r="FF34" s="10">
        <v>23148</v>
      </c>
      <c r="FG34" s="10">
        <v>1</v>
      </c>
      <c r="FH34" s="17">
        <v>44162</v>
      </c>
      <c r="FI34" s="10">
        <v>23766</v>
      </c>
      <c r="FJ34" s="10">
        <v>0</v>
      </c>
      <c r="FK34" s="17">
        <v>44163</v>
      </c>
      <c r="FL34" s="10">
        <v>24307</v>
      </c>
      <c r="FM34" s="10">
        <v>0</v>
      </c>
      <c r="FN34" s="17">
        <v>44164</v>
      </c>
      <c r="FO34" s="10">
        <v>24629</v>
      </c>
      <c r="FP34" s="10">
        <v>0</v>
      </c>
      <c r="FQ34" s="17">
        <v>44165</v>
      </c>
      <c r="FR34" s="10">
        <v>24912</v>
      </c>
      <c r="FS34" s="10">
        <v>0</v>
      </c>
      <c r="FT34" s="17">
        <v>44166</v>
      </c>
      <c r="FU34" s="10">
        <v>25462</v>
      </c>
      <c r="FV34" s="10">
        <v>0</v>
      </c>
      <c r="FW34" s="17">
        <v>44167</v>
      </c>
      <c r="FX34" s="10">
        <v>25882</v>
      </c>
      <c r="FY34" s="10">
        <v>0</v>
      </c>
      <c r="FZ34" s="17">
        <v>44168</v>
      </c>
      <c r="GA34" s="10">
        <v>26422</v>
      </c>
      <c r="GB34" s="10">
        <v>0</v>
      </c>
      <c r="GC34" s="17">
        <v>44169</v>
      </c>
      <c r="GD34" s="10">
        <v>26758</v>
      </c>
      <c r="GE34" s="10">
        <v>0</v>
      </c>
      <c r="GF34" s="17">
        <v>44170</v>
      </c>
      <c r="GG34" s="10">
        <v>27218</v>
      </c>
      <c r="GH34" s="10">
        <v>1</v>
      </c>
      <c r="GI34" s="17">
        <v>44171</v>
      </c>
      <c r="GJ34" s="10">
        <v>27631</v>
      </c>
      <c r="GK34" s="10">
        <v>0</v>
      </c>
      <c r="GL34" s="17">
        <v>44172</v>
      </c>
      <c r="GM34" s="10">
        <v>27881</v>
      </c>
      <c r="GN34" s="10">
        <v>2</v>
      </c>
      <c r="GO34" s="17">
        <v>44173</v>
      </c>
      <c r="GP34" s="10">
        <v>28242</v>
      </c>
      <c r="GQ34" s="10">
        <v>0</v>
      </c>
      <c r="GR34" s="17">
        <v>44174</v>
      </c>
      <c r="GS34" s="10">
        <v>28732</v>
      </c>
      <c r="GT34" s="10">
        <v>0</v>
      </c>
      <c r="GU34" s="17">
        <v>44175</v>
      </c>
      <c r="GV34" s="10">
        <v>29572</v>
      </c>
      <c r="GW34" s="10">
        <v>0</v>
      </c>
      <c r="GX34" s="17">
        <v>44176</v>
      </c>
      <c r="GY34" s="10">
        <v>30073</v>
      </c>
      <c r="GZ34" s="10">
        <v>1</v>
      </c>
      <c r="HA34" s="17">
        <v>44177</v>
      </c>
      <c r="HB34" s="10">
        <v>30450</v>
      </c>
      <c r="HC34" s="10">
        <v>0</v>
      </c>
      <c r="HD34" s="17">
        <v>44178</v>
      </c>
      <c r="HE34" s="10">
        <v>30810</v>
      </c>
      <c r="HF34" s="10">
        <v>0</v>
      </c>
      <c r="HG34" s="17">
        <v>44179</v>
      </c>
      <c r="HH34" s="10">
        <v>31110</v>
      </c>
      <c r="HI34" s="10">
        <v>0</v>
      </c>
      <c r="HJ34" s="17">
        <v>44180</v>
      </c>
      <c r="HK34" s="10">
        <v>31459</v>
      </c>
      <c r="HL34" s="10">
        <v>0</v>
      </c>
      <c r="HM34" s="17">
        <v>44181</v>
      </c>
      <c r="HN34" s="10">
        <v>31870</v>
      </c>
      <c r="HO34" s="10">
        <v>0</v>
      </c>
      <c r="HP34" s="17">
        <v>44182</v>
      </c>
      <c r="HQ34" s="10">
        <v>32228</v>
      </c>
      <c r="HR34" s="10">
        <v>0</v>
      </c>
      <c r="HS34" s="17">
        <v>44183</v>
      </c>
      <c r="HT34" s="10">
        <v>32582</v>
      </c>
      <c r="HU34" s="10">
        <v>0</v>
      </c>
      <c r="HV34" s="17">
        <v>44184</v>
      </c>
      <c r="HW34" s="10">
        <v>32853</v>
      </c>
      <c r="HX34" s="10">
        <v>0</v>
      </c>
      <c r="HY34" s="17">
        <v>44185</v>
      </c>
      <c r="HZ34" s="10">
        <v>33162</v>
      </c>
      <c r="IA34" s="10">
        <v>0</v>
      </c>
      <c r="IB34" s="17">
        <v>44186</v>
      </c>
      <c r="IC34" s="10">
        <v>33414</v>
      </c>
      <c r="ID34" s="10">
        <v>0</v>
      </c>
      <c r="IE34" s="17">
        <v>44187</v>
      </c>
      <c r="IF34" s="10">
        <v>33717</v>
      </c>
      <c r="IG34" s="10">
        <v>0</v>
      </c>
      <c r="IH34" s="17">
        <v>44188</v>
      </c>
      <c r="II34" s="10">
        <v>34084</v>
      </c>
      <c r="IJ34" s="10">
        <v>1</v>
      </c>
      <c r="IK34" s="17">
        <v>44189</v>
      </c>
      <c r="IL34" s="10">
        <v>34447</v>
      </c>
      <c r="IM34" s="10">
        <v>0</v>
      </c>
      <c r="IN34" s="17">
        <v>44190</v>
      </c>
      <c r="IO34" s="10">
        <v>34648</v>
      </c>
      <c r="IP34" s="10">
        <v>0</v>
      </c>
      <c r="IQ34" s="17">
        <v>44191</v>
      </c>
      <c r="IR34" s="10">
        <v>34821</v>
      </c>
      <c r="IS34" s="10">
        <v>0</v>
      </c>
      <c r="IT34" s="17">
        <v>44192</v>
      </c>
      <c r="IU34" s="10">
        <v>34977</v>
      </c>
      <c r="IV34" s="10">
        <v>0</v>
      </c>
      <c r="IW34" s="17">
        <v>44193</v>
      </c>
      <c r="IX34" s="10">
        <v>35137</v>
      </c>
      <c r="IY34" s="10">
        <v>0</v>
      </c>
      <c r="IZ34" s="17">
        <v>44194</v>
      </c>
      <c r="JA34" s="10">
        <v>35420</v>
      </c>
      <c r="JB34" s="10">
        <v>0</v>
      </c>
      <c r="JC34" s="17">
        <v>44198</v>
      </c>
      <c r="JD34" s="10">
        <v>35858</v>
      </c>
      <c r="JE34" s="10">
        <v>0</v>
      </c>
      <c r="JF34" s="17">
        <v>44202</v>
      </c>
      <c r="JG34" s="10">
        <v>36772</v>
      </c>
      <c r="JH34" s="10">
        <v>0</v>
      </c>
      <c r="JI34" s="17">
        <v>44203</v>
      </c>
      <c r="JJ34" s="10">
        <v>37772</v>
      </c>
      <c r="JK34" s="10">
        <v>1</v>
      </c>
      <c r="JL34" s="17">
        <v>44204</v>
      </c>
      <c r="JM34" s="10">
        <v>38068</v>
      </c>
      <c r="JN34" s="10">
        <v>1</v>
      </c>
      <c r="JO34" s="17">
        <v>44205</v>
      </c>
      <c r="JP34" s="10">
        <v>38392</v>
      </c>
      <c r="JQ34" s="10">
        <v>0</v>
      </c>
      <c r="JR34" s="17">
        <v>44207</v>
      </c>
      <c r="JS34" s="10">
        <v>38590</v>
      </c>
      <c r="JT34" s="10">
        <v>0</v>
      </c>
      <c r="JU34" s="17">
        <v>44207</v>
      </c>
      <c r="JV34" s="10">
        <v>38790</v>
      </c>
      <c r="JW34" s="10">
        <v>0</v>
      </c>
      <c r="JX34" s="17">
        <v>44209</v>
      </c>
      <c r="JY34" s="10">
        <v>39011</v>
      </c>
      <c r="JZ34" s="10">
        <v>0</v>
      </c>
      <c r="KA34" s="17">
        <v>44221</v>
      </c>
      <c r="KB34" s="10">
        <v>39593</v>
      </c>
      <c r="KC34" s="10">
        <v>0</v>
      </c>
      <c r="KD34" s="17">
        <v>44221</v>
      </c>
      <c r="KE34" s="10">
        <v>42772</v>
      </c>
      <c r="KF34" s="10">
        <v>0</v>
      </c>
      <c r="KG34" s="17">
        <v>44222</v>
      </c>
      <c r="KH34" s="10">
        <v>43120</v>
      </c>
      <c r="KI34" s="10">
        <v>0</v>
      </c>
      <c r="KJ34" s="17">
        <v>44224</v>
      </c>
      <c r="KK34" s="10">
        <v>43616</v>
      </c>
      <c r="KL34" s="10">
        <v>0</v>
      </c>
      <c r="KM34" s="17">
        <v>44225</v>
      </c>
      <c r="KN34" s="10">
        <v>44402</v>
      </c>
      <c r="KO34" s="10">
        <v>0</v>
      </c>
      <c r="KP34" s="17">
        <v>44229</v>
      </c>
      <c r="KQ34" s="10">
        <v>44871</v>
      </c>
      <c r="KR34" s="10">
        <v>0</v>
      </c>
      <c r="KS34" s="17">
        <v>44230</v>
      </c>
      <c r="KT34" s="10">
        <v>46049</v>
      </c>
      <c r="KU34" s="10">
        <v>0</v>
      </c>
      <c r="KV34" s="17">
        <v>44231</v>
      </c>
      <c r="KW34" s="10">
        <v>46493</v>
      </c>
      <c r="KX34" s="10">
        <v>0</v>
      </c>
      <c r="KY34" s="17">
        <v>44233</v>
      </c>
      <c r="KZ34" s="10">
        <v>46894</v>
      </c>
      <c r="LA34" s="10">
        <v>0</v>
      </c>
      <c r="LB34" s="17">
        <v>44234</v>
      </c>
      <c r="LC34" s="10">
        <v>47616</v>
      </c>
      <c r="LD34" s="10">
        <v>0</v>
      </c>
      <c r="LE34" s="17">
        <v>44235</v>
      </c>
      <c r="LF34" s="10">
        <v>47969</v>
      </c>
      <c r="LG34" s="10">
        <v>0</v>
      </c>
      <c r="LH34" s="17">
        <v>44237</v>
      </c>
      <c r="LI34" s="10">
        <v>48407</v>
      </c>
      <c r="LJ34" s="10">
        <v>0</v>
      </c>
      <c r="LK34" s="17">
        <v>44237</v>
      </c>
      <c r="LL34" s="10">
        <v>48807</v>
      </c>
      <c r="LM34" s="10">
        <v>0</v>
      </c>
      <c r="LN34" s="17">
        <v>44239</v>
      </c>
      <c r="LO34" s="10">
        <v>49165</v>
      </c>
      <c r="LP34" s="10">
        <v>0</v>
      </c>
      <c r="LQ34" s="17">
        <v>44240</v>
      </c>
      <c r="LR34" s="10">
        <v>50007</v>
      </c>
      <c r="LS34" s="10">
        <v>0</v>
      </c>
      <c r="LT34" s="17">
        <v>44241</v>
      </c>
      <c r="LU34" s="10">
        <v>50319</v>
      </c>
      <c r="LV34" s="10">
        <v>0</v>
      </c>
      <c r="LW34" s="17">
        <v>44242</v>
      </c>
      <c r="LX34" s="10">
        <v>50662</v>
      </c>
      <c r="LY34" s="10">
        <v>0</v>
      </c>
      <c r="LZ34" s="17">
        <v>44243</v>
      </c>
      <c r="MA34" s="10">
        <v>51047</v>
      </c>
      <c r="MB34" s="10">
        <v>0</v>
      </c>
      <c r="MC34" s="17">
        <v>44244</v>
      </c>
      <c r="MD34" s="10">
        <v>51595</v>
      </c>
      <c r="ME34" s="10">
        <v>0</v>
      </c>
      <c r="MF34" s="17">
        <v>44246</v>
      </c>
      <c r="MG34" s="10">
        <v>52209</v>
      </c>
      <c r="MH34" s="10">
        <v>0</v>
      </c>
      <c r="MI34" s="17">
        <v>44246</v>
      </c>
      <c r="MJ34" s="10">
        <v>52653</v>
      </c>
      <c r="MK34" s="10">
        <v>0</v>
      </c>
      <c r="ML34" s="17">
        <v>44247</v>
      </c>
      <c r="MM34" s="10">
        <v>53285</v>
      </c>
      <c r="MN34" s="10">
        <v>0</v>
      </c>
      <c r="MO34" s="17">
        <v>44248</v>
      </c>
      <c r="MP34" s="10">
        <v>53742</v>
      </c>
      <c r="MQ34" s="10">
        <v>0</v>
      </c>
      <c r="MR34" s="17">
        <v>44249</v>
      </c>
      <c r="MS34" s="10">
        <v>54132</v>
      </c>
      <c r="MT34" s="10">
        <v>1</v>
      </c>
      <c r="MU34" s="17">
        <v>44250</v>
      </c>
      <c r="MV34" s="10">
        <v>54532</v>
      </c>
      <c r="MW34" s="10">
        <v>0</v>
      </c>
      <c r="MX34" s="17">
        <v>44251</v>
      </c>
      <c r="MY34" s="10">
        <v>55122</v>
      </c>
      <c r="MZ34" s="10">
        <v>0</v>
      </c>
      <c r="NA34" s="17">
        <v>44251</v>
      </c>
      <c r="NB34" s="10">
        <v>55686</v>
      </c>
      <c r="NC34" s="10">
        <v>251</v>
      </c>
      <c r="ND34" s="17">
        <v>44254</v>
      </c>
      <c r="NE34" s="10">
        <v>56407</v>
      </c>
      <c r="NF34" s="10">
        <v>0</v>
      </c>
      <c r="NG34" s="17">
        <v>44254</v>
      </c>
      <c r="NH34" s="10">
        <v>57052</v>
      </c>
      <c r="NI34" s="10">
        <v>0</v>
      </c>
      <c r="NJ34" s="17">
        <v>44256</v>
      </c>
      <c r="NK34" s="10">
        <v>57672</v>
      </c>
      <c r="NL34" s="10">
        <v>0</v>
      </c>
      <c r="NM34" s="17">
        <v>44256</v>
      </c>
      <c r="NN34" s="10">
        <v>58064</v>
      </c>
      <c r="NO34" s="10">
        <v>0</v>
      </c>
      <c r="NP34" s="17">
        <v>44258</v>
      </c>
      <c r="NQ34" s="10">
        <v>58645</v>
      </c>
      <c r="NR34" s="10">
        <v>0</v>
      </c>
      <c r="NS34" s="17">
        <v>44259</v>
      </c>
      <c r="NT34" s="10">
        <v>60200</v>
      </c>
      <c r="NU34" s="10">
        <v>1</v>
      </c>
      <c r="NV34" s="17">
        <v>44260</v>
      </c>
      <c r="NW34" s="10">
        <v>60904</v>
      </c>
      <c r="NX34" s="10">
        <v>0</v>
      </c>
      <c r="NY34" s="17">
        <v>44261</v>
      </c>
      <c r="NZ34" s="10">
        <v>61552</v>
      </c>
      <c r="OA34" s="10">
        <v>0</v>
      </c>
      <c r="OB34" s="17">
        <v>44262</v>
      </c>
      <c r="OC34" s="10">
        <v>62063</v>
      </c>
      <c r="OD34" s="10">
        <v>0</v>
      </c>
      <c r="OE34" s="17">
        <v>44263</v>
      </c>
      <c r="OF34" s="10">
        <v>62522</v>
      </c>
      <c r="OG34" s="10">
        <v>0</v>
      </c>
      <c r="OH34" s="17">
        <v>44264</v>
      </c>
      <c r="OI34" s="10">
        <v>63110</v>
      </c>
      <c r="OJ34" s="10">
        <v>0</v>
      </c>
      <c r="OK34" s="17">
        <v>44265</v>
      </c>
      <c r="OL34" s="10">
        <v>63889</v>
      </c>
      <c r="OM34" s="10">
        <v>0</v>
      </c>
      <c r="ON34" s="17">
        <v>44266</v>
      </c>
      <c r="OO34" s="10">
        <v>64609</v>
      </c>
      <c r="OP34" s="10">
        <v>0</v>
      </c>
      <c r="OQ34" s="17">
        <v>44267</v>
      </c>
      <c r="OR34" s="10">
        <v>65315</v>
      </c>
      <c r="OS34" s="10">
        <v>0</v>
      </c>
      <c r="OT34" s="17">
        <v>44268</v>
      </c>
      <c r="OU34" s="10">
        <v>66006</v>
      </c>
      <c r="OV34" s="10">
        <v>0</v>
      </c>
      <c r="OW34" s="17">
        <v>44269</v>
      </c>
      <c r="OX34" s="10">
        <v>66869</v>
      </c>
      <c r="OY34" s="10">
        <v>0</v>
      </c>
      <c r="OZ34" s="17">
        <v>44270</v>
      </c>
      <c r="PA34" s="10">
        <v>67334</v>
      </c>
      <c r="PB34" s="10">
        <v>0</v>
      </c>
      <c r="PC34" s="17">
        <v>44271</v>
      </c>
      <c r="PD34" s="10">
        <v>67851</v>
      </c>
      <c r="PE34" s="10">
        <v>0</v>
      </c>
      <c r="PF34" s="17">
        <v>44272</v>
      </c>
      <c r="PG34" s="10">
        <v>68693</v>
      </c>
      <c r="PH34" s="10">
        <v>0</v>
      </c>
      <c r="PI34" s="17">
        <v>44273</v>
      </c>
      <c r="PJ34" s="10">
        <v>69497</v>
      </c>
      <c r="PK34" s="10">
        <v>1</v>
      </c>
      <c r="PL34" s="17">
        <v>44274</v>
      </c>
      <c r="PM34" s="10">
        <v>70267</v>
      </c>
      <c r="PN34" s="10">
        <v>0</v>
      </c>
      <c r="PO34" s="17">
        <v>44275</v>
      </c>
      <c r="PP34" s="10">
        <v>71123</v>
      </c>
      <c r="PQ34" s="10">
        <v>0</v>
      </c>
      <c r="PR34" s="17">
        <v>44276</v>
      </c>
      <c r="PS34" s="10">
        <v>71643</v>
      </c>
      <c r="PT34" s="10">
        <v>1</v>
      </c>
      <c r="PU34" s="17">
        <v>44277</v>
      </c>
      <c r="PV34" s="10">
        <v>72073</v>
      </c>
      <c r="PW34" s="10">
        <v>1</v>
      </c>
      <c r="PX34" s="17">
        <v>44278</v>
      </c>
      <c r="PY34" s="10">
        <v>72713</v>
      </c>
      <c r="PZ34" s="10">
        <v>0</v>
      </c>
      <c r="QA34" s="17">
        <v>44279</v>
      </c>
      <c r="QB34" s="10">
        <v>73516</v>
      </c>
      <c r="QC34" s="10">
        <v>0</v>
      </c>
      <c r="QD34" s="17">
        <v>44280</v>
      </c>
      <c r="QE34" s="10">
        <v>74242</v>
      </c>
      <c r="QF34" s="10">
        <v>0</v>
      </c>
      <c r="QG34" s="17">
        <v>44281</v>
      </c>
      <c r="QH34" s="10">
        <v>74754</v>
      </c>
      <c r="QI34" s="10">
        <v>0</v>
      </c>
      <c r="QJ34" s="17">
        <v>44282</v>
      </c>
      <c r="QK34" s="10">
        <v>75545</v>
      </c>
      <c r="QL34" s="10">
        <v>0</v>
      </c>
      <c r="QM34" s="17">
        <v>44283</v>
      </c>
      <c r="QN34" s="10">
        <v>76003</v>
      </c>
      <c r="QO34" s="10">
        <v>0</v>
      </c>
      <c r="QP34" s="17">
        <v>44284</v>
      </c>
      <c r="QQ34" s="10">
        <v>76425</v>
      </c>
      <c r="QR34" s="10">
        <v>0</v>
      </c>
      <c r="QS34" s="17">
        <v>44285</v>
      </c>
      <c r="QT34" s="10">
        <v>76845</v>
      </c>
      <c r="QU34" s="10">
        <v>0</v>
      </c>
      <c r="QV34" s="17">
        <v>44286</v>
      </c>
      <c r="QW34" s="10">
        <v>77452</v>
      </c>
      <c r="QX34" s="10">
        <v>0</v>
      </c>
      <c r="QY34" s="17">
        <v>44287</v>
      </c>
      <c r="QZ34" s="10">
        <v>78106</v>
      </c>
      <c r="RA34" s="10">
        <v>0</v>
      </c>
      <c r="RB34" s="17">
        <v>44288</v>
      </c>
      <c r="RC34" s="10">
        <v>78672</v>
      </c>
      <c r="RD34" s="10">
        <v>1</v>
      </c>
      <c r="RE34" s="17">
        <v>44289</v>
      </c>
      <c r="RF34" s="10">
        <v>79094</v>
      </c>
      <c r="RG34" s="10">
        <v>0</v>
      </c>
      <c r="RH34" s="17">
        <v>44290</v>
      </c>
      <c r="RI34" s="10">
        <v>79396</v>
      </c>
      <c r="RJ34" s="10">
        <v>0</v>
      </c>
      <c r="RK34" s="17">
        <v>44291</v>
      </c>
      <c r="RL34" s="10">
        <v>79737</v>
      </c>
      <c r="RM34" s="10">
        <v>0</v>
      </c>
      <c r="RN34" s="17">
        <v>44293</v>
      </c>
      <c r="RO34" s="10">
        <v>80068</v>
      </c>
      <c r="RP34" s="10">
        <v>0</v>
      </c>
      <c r="RQ34" s="17">
        <v>44294</v>
      </c>
      <c r="RR34" s="10">
        <v>80842</v>
      </c>
      <c r="RS34" s="10">
        <v>0</v>
      </c>
      <c r="RT34" s="10">
        <v>44295</v>
      </c>
      <c r="RU34" s="10">
        <v>81261</v>
      </c>
      <c r="RV34" s="10">
        <v>0</v>
      </c>
      <c r="RW34" s="10">
        <v>44296</v>
      </c>
      <c r="RX34" s="10">
        <v>81707</v>
      </c>
      <c r="RY34" s="10">
        <v>0</v>
      </c>
      <c r="RZ34" s="10">
        <v>44297</v>
      </c>
      <c r="SA34" s="10">
        <v>82053</v>
      </c>
      <c r="SB34" s="10">
        <v>0</v>
      </c>
      <c r="SC34" s="10">
        <v>44298</v>
      </c>
      <c r="SD34" s="10">
        <v>82278</v>
      </c>
      <c r="SE34" s="10">
        <v>0</v>
      </c>
      <c r="SF34" s="10">
        <v>44299</v>
      </c>
      <c r="SG34" s="10">
        <v>82564</v>
      </c>
      <c r="SH34" s="10">
        <v>0</v>
      </c>
      <c r="SI34" s="10">
        <v>44300</v>
      </c>
      <c r="SJ34" s="10">
        <v>82964</v>
      </c>
      <c r="SK34" s="10">
        <v>0</v>
      </c>
      <c r="SL34" s="10">
        <v>44302</v>
      </c>
      <c r="SM34" s="10">
        <v>83253</v>
      </c>
      <c r="SN34" s="10">
        <v>0</v>
      </c>
      <c r="SO34" s="10">
        <v>44303</v>
      </c>
      <c r="SP34" s="10">
        <v>83633</v>
      </c>
      <c r="SQ34" s="10">
        <v>0</v>
      </c>
      <c r="SR34" s="10">
        <v>44304</v>
      </c>
      <c r="SS34" s="10">
        <v>84131</v>
      </c>
      <c r="ST34" s="10">
        <v>0</v>
      </c>
      <c r="SU34" s="10">
        <v>44305</v>
      </c>
      <c r="SV34" s="10">
        <v>84287</v>
      </c>
      <c r="SW34" s="10">
        <v>0</v>
      </c>
      <c r="SX34" s="10">
        <v>44307</v>
      </c>
      <c r="SY34" s="10">
        <v>84501</v>
      </c>
      <c r="SZ34" s="10">
        <v>0</v>
      </c>
      <c r="TA34" s="10">
        <v>44308</v>
      </c>
      <c r="TB34" s="10">
        <v>85077</v>
      </c>
      <c r="TC34" s="10">
        <v>0</v>
      </c>
      <c r="TD34" s="10">
        <v>44310</v>
      </c>
      <c r="TE34" s="10">
        <v>85344</v>
      </c>
      <c r="TF34" s="10">
        <v>0</v>
      </c>
      <c r="TG34" s="10">
        <v>44311</v>
      </c>
      <c r="TH34" s="10">
        <v>85804</v>
      </c>
      <c r="TI34" s="10">
        <v>0</v>
      </c>
      <c r="TJ34" s="10">
        <v>44312</v>
      </c>
      <c r="TK34" s="10">
        <v>85937</v>
      </c>
      <c r="TL34" s="10">
        <v>0</v>
      </c>
      <c r="TM34" s="10">
        <v>44313</v>
      </c>
      <c r="TN34" s="10">
        <v>86161</v>
      </c>
      <c r="TO34" s="10">
        <v>0</v>
      </c>
      <c r="TP34" s="10">
        <v>44315</v>
      </c>
      <c r="TQ34" s="10">
        <v>86405</v>
      </c>
      <c r="TR34" s="10">
        <v>0</v>
      </c>
      <c r="TS34" s="10">
        <v>44316</v>
      </c>
      <c r="TT34" s="10">
        <v>86613</v>
      </c>
      <c r="TU34" s="10">
        <v>0</v>
      </c>
      <c r="TV34" s="10">
        <v>44316</v>
      </c>
      <c r="TW34" s="10">
        <v>86808</v>
      </c>
      <c r="TX34" s="10">
        <v>0</v>
      </c>
      <c r="TY34" s="10">
        <v>44317</v>
      </c>
      <c r="TZ34" s="10">
        <v>87096</v>
      </c>
      <c r="UA34" s="10">
        <v>0</v>
      </c>
      <c r="UB34" s="10">
        <v>44319</v>
      </c>
      <c r="UC34" s="10">
        <v>87228</v>
      </c>
      <c r="UD34" s="10">
        <v>0</v>
      </c>
      <c r="UE34" s="10">
        <v>44319</v>
      </c>
      <c r="UF34" s="10">
        <v>87345</v>
      </c>
      <c r="UG34" s="10">
        <v>0</v>
      </c>
      <c r="UH34" s="10">
        <v>44320</v>
      </c>
      <c r="UI34" s="10">
        <v>87529</v>
      </c>
      <c r="UJ34" s="10">
        <v>0</v>
      </c>
      <c r="UK34" s="10">
        <v>44321</v>
      </c>
      <c r="UL34" s="10">
        <v>87798</v>
      </c>
      <c r="UM34" s="10">
        <v>0</v>
      </c>
      <c r="UN34" s="10">
        <v>44325</v>
      </c>
      <c r="UO34" s="10">
        <v>88078</v>
      </c>
      <c r="UP34" s="10">
        <v>0</v>
      </c>
      <c r="UQ34" s="10">
        <v>44326</v>
      </c>
      <c r="UR34" s="10">
        <v>88866</v>
      </c>
      <c r="US34" s="10">
        <v>0</v>
      </c>
      <c r="UT34" s="10">
        <v>44327</v>
      </c>
      <c r="UU34" s="10">
        <v>88990</v>
      </c>
      <c r="UV34" s="10">
        <v>0</v>
      </c>
      <c r="UW34" s="10">
        <v>44328</v>
      </c>
      <c r="UX34" s="10">
        <v>89270</v>
      </c>
      <c r="UY34" s="10">
        <v>0</v>
      </c>
      <c r="UZ34" s="10">
        <v>44330</v>
      </c>
      <c r="VA34" s="10">
        <v>89532</v>
      </c>
      <c r="VB34" s="10">
        <v>0</v>
      </c>
      <c r="VC34" s="10">
        <v>44330</v>
      </c>
      <c r="VD34" s="10">
        <v>89686</v>
      </c>
      <c r="VE34" s="10">
        <v>0</v>
      </c>
      <c r="VF34" s="10">
        <v>44331</v>
      </c>
      <c r="VG34" s="10">
        <v>89878</v>
      </c>
      <c r="VH34" s="10">
        <v>0</v>
      </c>
      <c r="VI34" s="10">
        <v>44333</v>
      </c>
      <c r="VJ34" s="10">
        <v>90105</v>
      </c>
      <c r="VK34" s="10">
        <v>0</v>
      </c>
      <c r="VL34" s="10">
        <v>44333</v>
      </c>
      <c r="VM34" s="10">
        <v>90249</v>
      </c>
      <c r="VN34" s="10">
        <v>0</v>
      </c>
      <c r="VO34" s="10">
        <v>44334</v>
      </c>
      <c r="VP34" s="10">
        <v>90398</v>
      </c>
      <c r="VQ34" s="10">
        <v>0</v>
      </c>
      <c r="VR34" s="10">
        <v>44335</v>
      </c>
      <c r="VS34" s="10">
        <v>90687</v>
      </c>
      <c r="VT34" s="10">
        <v>0</v>
      </c>
      <c r="VU34" s="10">
        <v>44337</v>
      </c>
      <c r="VV34" s="10">
        <v>90946</v>
      </c>
      <c r="VW34" s="10">
        <v>0</v>
      </c>
      <c r="VX34" s="10">
        <v>44337</v>
      </c>
      <c r="VY34" s="10">
        <v>91157</v>
      </c>
      <c r="VZ34" s="10">
        <v>0</v>
      </c>
      <c r="WA34" s="10">
        <v>44338</v>
      </c>
      <c r="WB34" s="10">
        <v>91405</v>
      </c>
      <c r="WC34" s="10">
        <v>0</v>
      </c>
      <c r="WD34" s="10">
        <v>44339</v>
      </c>
      <c r="WE34" s="10">
        <v>91526</v>
      </c>
      <c r="WF34" s="10">
        <v>0</v>
      </c>
      <c r="WG34" s="10">
        <v>44340</v>
      </c>
      <c r="WH34" s="10">
        <v>91619</v>
      </c>
      <c r="WI34" s="10">
        <v>0</v>
      </c>
      <c r="WJ34" s="10">
        <v>44342</v>
      </c>
      <c r="WK34" s="10">
        <v>91744</v>
      </c>
      <c r="WL34" s="10">
        <v>0</v>
      </c>
      <c r="WM34" s="10">
        <v>44342</v>
      </c>
      <c r="WN34" s="10">
        <v>91964</v>
      </c>
      <c r="WO34" s="10">
        <v>0</v>
      </c>
      <c r="WP34" s="10">
        <v>44345</v>
      </c>
      <c r="WQ34" s="10">
        <v>92062</v>
      </c>
      <c r="WR34" s="10">
        <v>0</v>
      </c>
      <c r="WS34" s="10">
        <v>44346</v>
      </c>
      <c r="WT34" s="10">
        <v>92432</v>
      </c>
      <c r="WU34" s="10">
        <v>0</v>
      </c>
      <c r="WV34" s="10">
        <v>44347</v>
      </c>
      <c r="WW34" s="10">
        <v>92488</v>
      </c>
      <c r="WX34" s="10">
        <v>0</v>
      </c>
      <c r="WY34" s="10">
        <v>44348</v>
      </c>
      <c r="WZ34" s="10">
        <v>92642</v>
      </c>
      <c r="XA34" s="10">
        <v>0</v>
      </c>
      <c r="XB34" s="10">
        <v>44349</v>
      </c>
      <c r="XC34" s="10">
        <v>92770</v>
      </c>
      <c r="XD34" s="10">
        <v>0</v>
      </c>
      <c r="XE34" s="10">
        <v>44351</v>
      </c>
      <c r="XF34" s="10">
        <v>92913</v>
      </c>
      <c r="XG34" s="10">
        <v>0</v>
      </c>
      <c r="XH34" s="10">
        <v>44351</v>
      </c>
      <c r="XI34" s="10">
        <v>93038</v>
      </c>
      <c r="XJ34" s="10">
        <v>0</v>
      </c>
      <c r="XK34" s="10">
        <v>44352</v>
      </c>
      <c r="XL34" s="10">
        <v>93158</v>
      </c>
      <c r="XM34" s="10">
        <v>0</v>
      </c>
      <c r="XN34" s="10">
        <v>44353</v>
      </c>
      <c r="XO34" s="10">
        <v>93226</v>
      </c>
      <c r="XP34" s="10">
        <v>0</v>
      </c>
      <c r="XQ34" s="10">
        <v>44354</v>
      </c>
      <c r="XR34" s="10">
        <v>93281</v>
      </c>
      <c r="XS34" s="10">
        <v>0</v>
      </c>
      <c r="XT34" s="10">
        <v>44355</v>
      </c>
      <c r="XU34" s="10">
        <v>93394</v>
      </c>
      <c r="XV34" s="10">
        <v>0</v>
      </c>
      <c r="XW34" s="10">
        <v>44356</v>
      </c>
      <c r="XX34" s="10">
        <v>93520</v>
      </c>
      <c r="XY34" s="10">
        <v>0</v>
      </c>
      <c r="XZ34" s="10">
        <v>44357</v>
      </c>
      <c r="YA34" s="10">
        <v>93613</v>
      </c>
      <c r="YB34" s="10">
        <v>0</v>
      </c>
      <c r="YC34" s="10">
        <v>44359</v>
      </c>
      <c r="YD34" s="10">
        <v>93660</v>
      </c>
      <c r="YE34" s="10">
        <v>0</v>
      </c>
      <c r="YF34" s="10">
        <v>44360</v>
      </c>
      <c r="YG34" s="10">
        <v>93821</v>
      </c>
      <c r="YH34" s="10">
        <v>0</v>
      </c>
      <c r="YI34" s="10">
        <v>44361</v>
      </c>
      <c r="YJ34" s="10">
        <v>93850</v>
      </c>
      <c r="YK34" s="10">
        <v>0</v>
      </c>
      <c r="YL34" s="10">
        <v>44362</v>
      </c>
      <c r="YM34" s="10">
        <v>93923</v>
      </c>
      <c r="YN34" s="10">
        <v>0</v>
      </c>
      <c r="YO34" s="10">
        <v>44363</v>
      </c>
      <c r="YP34" s="10">
        <v>94026</v>
      </c>
      <c r="YQ34" s="10">
        <v>0</v>
      </c>
      <c r="YR34" s="10">
        <v>44364</v>
      </c>
      <c r="YS34" s="10">
        <v>94081</v>
      </c>
      <c r="YT34" s="10">
        <v>0</v>
      </c>
      <c r="YU34" s="10">
        <v>44365</v>
      </c>
      <c r="YV34" s="10">
        <v>94154</v>
      </c>
      <c r="YW34" s="10">
        <v>0</v>
      </c>
    </row>
    <row r="35" spans="2:673">
      <c r="B35" t="str">
        <f t="shared" ca="1" si="2"/>
        <v>19.6</v>
      </c>
      <c r="C35" s="12">
        <f ca="1">FLOOR(NOW(),1)</f>
        <v>44366</v>
      </c>
      <c r="D35" s="11">
        <f t="shared" ca="1" si="1"/>
        <v>94269</v>
      </c>
      <c r="E35" s="11">
        <f t="shared" ca="1" si="3"/>
        <v>0</v>
      </c>
      <c r="F35" s="11">
        <f t="shared" ca="1" si="4"/>
        <v>0</v>
      </c>
      <c r="G35" s="11">
        <f t="shared" ca="1" si="5"/>
        <v>0</v>
      </c>
      <c r="N35" s="16">
        <v>44366</v>
      </c>
      <c r="O35">
        <v>94154</v>
      </c>
      <c r="P35" s="11">
        <v>0</v>
      </c>
      <c r="Q35" s="16">
        <v>44366</v>
      </c>
      <c r="R35">
        <v>94154</v>
      </c>
      <c r="S35">
        <v>0</v>
      </c>
      <c r="T35" s="16">
        <v>44113</v>
      </c>
      <c r="U35">
        <v>11345</v>
      </c>
      <c r="V35">
        <v>0</v>
      </c>
      <c r="W35" s="16">
        <v>44114</v>
      </c>
      <c r="X35">
        <v>11580</v>
      </c>
      <c r="Y35">
        <v>0</v>
      </c>
      <c r="Z35" s="16">
        <v>44115</v>
      </c>
      <c r="AA35">
        <v>11849</v>
      </c>
      <c r="AB35">
        <v>0</v>
      </c>
      <c r="AC35" s="16">
        <v>44116</v>
      </c>
      <c r="AD35">
        <v>11998</v>
      </c>
      <c r="AE35">
        <v>0</v>
      </c>
      <c r="AF35" s="16">
        <v>44117</v>
      </c>
      <c r="AG35">
        <v>12212</v>
      </c>
      <c r="AH35">
        <v>0</v>
      </c>
      <c r="AI35" s="16">
        <v>44118</v>
      </c>
      <c r="AJ35">
        <v>12499</v>
      </c>
      <c r="AK35">
        <v>0</v>
      </c>
      <c r="AL35" s="16">
        <v>44119</v>
      </c>
      <c r="AM35">
        <v>12703</v>
      </c>
      <c r="AN35">
        <v>0</v>
      </c>
      <c r="AO35" s="16">
        <v>44120</v>
      </c>
      <c r="AP35">
        <v>12944</v>
      </c>
      <c r="AQ35">
        <v>0</v>
      </c>
      <c r="AR35" s="16">
        <v>44121</v>
      </c>
      <c r="AS35">
        <v>13133</v>
      </c>
      <c r="AT35">
        <v>0</v>
      </c>
      <c r="AU35" s="16">
        <v>44122</v>
      </c>
      <c r="AV35">
        <v>13293</v>
      </c>
      <c r="AW35">
        <v>0</v>
      </c>
      <c r="AX35" s="16">
        <v>44123</v>
      </c>
      <c r="AY35">
        <v>13424</v>
      </c>
      <c r="AZ35">
        <v>0</v>
      </c>
      <c r="BA35" s="16">
        <v>44124</v>
      </c>
      <c r="BB35">
        <v>13555</v>
      </c>
      <c r="BC35">
        <v>0</v>
      </c>
      <c r="BD35" s="16">
        <v>44125</v>
      </c>
      <c r="BE35">
        <v>13849</v>
      </c>
      <c r="BF35">
        <v>0</v>
      </c>
      <c r="BG35" s="16">
        <v>44126</v>
      </c>
      <c r="BH35">
        <v>14071</v>
      </c>
      <c r="BI35">
        <v>0</v>
      </c>
      <c r="BJ35" s="16">
        <v>44127</v>
      </c>
      <c r="BK35">
        <v>14255</v>
      </c>
      <c r="BL35">
        <v>0</v>
      </c>
      <c r="BM35" s="16">
        <v>44128</v>
      </c>
      <c r="BN35">
        <v>14474</v>
      </c>
      <c r="BO35">
        <v>0</v>
      </c>
      <c r="BP35" s="16">
        <v>44129</v>
      </c>
      <c r="BQ35">
        <v>14652</v>
      </c>
      <c r="BR35">
        <v>0</v>
      </c>
      <c r="BS35" s="16">
        <v>44130</v>
      </c>
      <c r="BT35">
        <v>14848</v>
      </c>
      <c r="BU35">
        <v>0</v>
      </c>
      <c r="BV35" s="16">
        <v>44132</v>
      </c>
      <c r="BW35">
        <v>14970</v>
      </c>
      <c r="BX35">
        <v>0</v>
      </c>
      <c r="BY35" s="16">
        <v>44133</v>
      </c>
      <c r="BZ35">
        <v>15378</v>
      </c>
      <c r="CA35">
        <v>0</v>
      </c>
      <c r="CB35" s="16">
        <v>44134</v>
      </c>
      <c r="CC35">
        <v>15566</v>
      </c>
      <c r="CD35">
        <v>0</v>
      </c>
      <c r="CE35" s="16">
        <v>44135</v>
      </c>
      <c r="CF35">
        <v>15910</v>
      </c>
      <c r="CG35">
        <v>0</v>
      </c>
      <c r="CH35" s="16">
        <v>44136</v>
      </c>
      <c r="CI35">
        <v>16113</v>
      </c>
      <c r="CJ35">
        <v>0</v>
      </c>
      <c r="CK35" s="16">
        <v>44137</v>
      </c>
      <c r="CL35">
        <v>16291</v>
      </c>
      <c r="CM35">
        <v>0</v>
      </c>
      <c r="CN35" s="16">
        <v>44138</v>
      </c>
      <c r="CO35">
        <v>16400</v>
      </c>
      <c r="CP35">
        <v>0</v>
      </c>
      <c r="CQ35" s="16">
        <v>44139</v>
      </c>
      <c r="CR35">
        <v>16637</v>
      </c>
      <c r="CS35">
        <v>0</v>
      </c>
      <c r="CT35" s="16">
        <v>44140</v>
      </c>
      <c r="CU35">
        <v>16930</v>
      </c>
      <c r="CV35">
        <v>0</v>
      </c>
      <c r="CW35" s="16">
        <v>44141</v>
      </c>
      <c r="CX35">
        <v>17119</v>
      </c>
      <c r="CY35">
        <v>0</v>
      </c>
      <c r="CZ35" s="16">
        <v>44143</v>
      </c>
      <c r="DA35">
        <v>17385</v>
      </c>
      <c r="DB35">
        <v>0</v>
      </c>
      <c r="DC35" s="16">
        <v>44144</v>
      </c>
      <c r="DD35">
        <v>17797</v>
      </c>
      <c r="DE35">
        <v>0</v>
      </c>
      <c r="DF35" s="16">
        <v>44145</v>
      </c>
      <c r="DG35">
        <v>17887</v>
      </c>
      <c r="DH35">
        <v>0</v>
      </c>
      <c r="DI35" s="16">
        <v>44146</v>
      </c>
      <c r="DJ35">
        <v>18107</v>
      </c>
      <c r="DK35">
        <v>0</v>
      </c>
      <c r="DL35" s="16">
        <v>44147</v>
      </c>
      <c r="DM35">
        <v>18345</v>
      </c>
      <c r="DN35">
        <v>0</v>
      </c>
      <c r="DO35" s="16">
        <v>44148</v>
      </c>
      <c r="DP35">
        <v>18542</v>
      </c>
      <c r="DQ35">
        <v>0</v>
      </c>
      <c r="DR35" s="16">
        <v>44149</v>
      </c>
      <c r="DS35">
        <v>18858</v>
      </c>
      <c r="DT35">
        <v>0</v>
      </c>
      <c r="DU35" s="16">
        <v>44150</v>
      </c>
      <c r="DV35">
        <v>19102</v>
      </c>
      <c r="DW35">
        <v>0</v>
      </c>
      <c r="DX35" s="16">
        <v>44151</v>
      </c>
      <c r="DY35">
        <v>19315</v>
      </c>
      <c r="DZ35">
        <v>0</v>
      </c>
      <c r="EA35" s="16">
        <v>44152</v>
      </c>
      <c r="EB35">
        <v>19419</v>
      </c>
      <c r="EC35">
        <v>0</v>
      </c>
      <c r="ED35" s="16">
        <v>44153</v>
      </c>
      <c r="EE35">
        <v>19647</v>
      </c>
      <c r="EF35">
        <v>0</v>
      </c>
      <c r="EG35" s="16">
        <v>44154</v>
      </c>
      <c r="EH35">
        <v>19935</v>
      </c>
      <c r="EI35">
        <v>0</v>
      </c>
      <c r="EJ35" s="16">
        <v>44155</v>
      </c>
      <c r="EK35">
        <v>20286</v>
      </c>
      <c r="EL35">
        <v>0</v>
      </c>
      <c r="EM35" s="16">
        <v>44156</v>
      </c>
      <c r="EN35">
        <v>20747</v>
      </c>
      <c r="EO35">
        <v>0</v>
      </c>
      <c r="EP35" s="16">
        <v>44157</v>
      </c>
      <c r="EQ35">
        <v>21216</v>
      </c>
      <c r="ER35">
        <v>0</v>
      </c>
      <c r="ES35" s="16">
        <v>44158</v>
      </c>
      <c r="ET35">
        <v>21639</v>
      </c>
      <c r="EU35">
        <v>0</v>
      </c>
      <c r="EV35" s="16">
        <v>44159</v>
      </c>
      <c r="EW35">
        <v>21936</v>
      </c>
      <c r="EX35">
        <v>0</v>
      </c>
      <c r="EY35" s="16">
        <v>44160</v>
      </c>
      <c r="EZ35">
        <v>22289</v>
      </c>
      <c r="FA35">
        <v>0</v>
      </c>
      <c r="FB35" s="16">
        <v>44161</v>
      </c>
      <c r="FC35">
        <v>22652</v>
      </c>
      <c r="FD35">
        <v>0</v>
      </c>
      <c r="FE35" s="16">
        <v>44162</v>
      </c>
      <c r="FF35">
        <v>23148</v>
      </c>
      <c r="FG35">
        <v>0</v>
      </c>
      <c r="FH35" s="16">
        <v>44163</v>
      </c>
      <c r="FI35">
        <v>23766</v>
      </c>
      <c r="FJ35">
        <v>0</v>
      </c>
      <c r="FK35" s="16">
        <v>44164</v>
      </c>
      <c r="FL35">
        <v>24307</v>
      </c>
      <c r="FM35">
        <v>0</v>
      </c>
      <c r="FN35" s="16">
        <v>44165</v>
      </c>
      <c r="FO35">
        <v>24629</v>
      </c>
      <c r="FP35">
        <v>0</v>
      </c>
      <c r="FQ35" s="16">
        <v>44166</v>
      </c>
      <c r="FR35">
        <v>24912</v>
      </c>
      <c r="FS35">
        <v>0</v>
      </c>
      <c r="FT35" s="16">
        <v>44167</v>
      </c>
      <c r="FU35">
        <v>25462</v>
      </c>
      <c r="FV35">
        <v>0</v>
      </c>
      <c r="FW35" s="16">
        <v>44168</v>
      </c>
      <c r="FX35">
        <v>25882</v>
      </c>
      <c r="FY35">
        <v>0</v>
      </c>
      <c r="FZ35" s="16">
        <v>44169</v>
      </c>
      <c r="GA35">
        <v>26422</v>
      </c>
      <c r="GB35">
        <v>0</v>
      </c>
      <c r="GC35" s="16">
        <v>44170</v>
      </c>
      <c r="GD35">
        <v>26758</v>
      </c>
      <c r="GE35">
        <v>0</v>
      </c>
      <c r="GF35" s="16">
        <v>44171</v>
      </c>
      <c r="GG35">
        <v>27218</v>
      </c>
      <c r="GH35">
        <v>0</v>
      </c>
      <c r="GI35" s="16">
        <v>44172</v>
      </c>
      <c r="GJ35">
        <v>27631</v>
      </c>
      <c r="GK35">
        <v>0</v>
      </c>
      <c r="GL35" s="16">
        <v>44173</v>
      </c>
      <c r="GM35">
        <v>27881</v>
      </c>
      <c r="GN35">
        <v>0</v>
      </c>
      <c r="GO35" s="16">
        <v>44174</v>
      </c>
      <c r="GP35">
        <v>28242</v>
      </c>
      <c r="GQ35">
        <v>0</v>
      </c>
      <c r="GR35" s="16">
        <v>44175</v>
      </c>
      <c r="GS35">
        <v>28732</v>
      </c>
      <c r="GT35">
        <v>0</v>
      </c>
      <c r="GU35" s="16">
        <v>44176</v>
      </c>
      <c r="GV35">
        <v>29572</v>
      </c>
      <c r="GW35">
        <v>0</v>
      </c>
      <c r="GX35" s="16">
        <v>44177</v>
      </c>
      <c r="GY35">
        <v>30073</v>
      </c>
      <c r="GZ35">
        <v>0</v>
      </c>
      <c r="HA35" s="16">
        <v>44178</v>
      </c>
      <c r="HB35">
        <v>30450</v>
      </c>
      <c r="HC35">
        <v>0</v>
      </c>
      <c r="HD35" s="16">
        <v>44179</v>
      </c>
      <c r="HE35">
        <v>30810</v>
      </c>
      <c r="HF35">
        <v>0</v>
      </c>
      <c r="HG35" s="16">
        <v>44180</v>
      </c>
      <c r="HH35">
        <v>31110</v>
      </c>
      <c r="HI35">
        <v>0</v>
      </c>
      <c r="HJ35" s="16">
        <v>44181</v>
      </c>
      <c r="HK35">
        <v>31459</v>
      </c>
      <c r="HL35">
        <v>0</v>
      </c>
      <c r="HM35" s="16">
        <v>44182</v>
      </c>
      <c r="HN35">
        <v>31870</v>
      </c>
      <c r="HO35">
        <v>0</v>
      </c>
      <c r="HP35" s="16">
        <v>44183</v>
      </c>
      <c r="HQ35">
        <v>32228</v>
      </c>
      <c r="HR35">
        <v>0</v>
      </c>
      <c r="HS35" s="16">
        <v>44184</v>
      </c>
      <c r="HT35">
        <v>32582</v>
      </c>
      <c r="HU35">
        <v>0</v>
      </c>
      <c r="HV35" s="16">
        <v>44185</v>
      </c>
      <c r="HW35">
        <v>32853</v>
      </c>
      <c r="HX35">
        <v>0</v>
      </c>
      <c r="HY35" s="16">
        <v>44186</v>
      </c>
      <c r="HZ35">
        <v>33162</v>
      </c>
      <c r="IA35">
        <v>0</v>
      </c>
      <c r="IB35" s="16">
        <v>44187</v>
      </c>
      <c r="IC35">
        <v>33414</v>
      </c>
      <c r="ID35">
        <v>0</v>
      </c>
      <c r="IE35" s="16">
        <v>44188</v>
      </c>
      <c r="IF35">
        <v>33717</v>
      </c>
      <c r="IG35">
        <v>0</v>
      </c>
      <c r="IH35" s="16">
        <v>44189</v>
      </c>
      <c r="II35">
        <v>34084</v>
      </c>
      <c r="IJ35">
        <v>0</v>
      </c>
      <c r="IK35" s="16">
        <v>44190</v>
      </c>
      <c r="IL35">
        <v>34447</v>
      </c>
      <c r="IM35">
        <v>0</v>
      </c>
      <c r="IN35" s="16">
        <v>44191</v>
      </c>
      <c r="IO35">
        <v>34648</v>
      </c>
      <c r="IP35">
        <v>0</v>
      </c>
      <c r="IQ35" s="16">
        <v>44192</v>
      </c>
      <c r="IR35">
        <v>34821</v>
      </c>
      <c r="IS35">
        <v>0</v>
      </c>
      <c r="IT35" s="16">
        <v>44193</v>
      </c>
      <c r="IU35">
        <v>34977</v>
      </c>
      <c r="IV35">
        <v>0</v>
      </c>
      <c r="IW35" s="16">
        <v>44194</v>
      </c>
      <c r="IX35">
        <v>35137</v>
      </c>
      <c r="IY35">
        <v>0</v>
      </c>
      <c r="IZ35" s="16">
        <v>44195</v>
      </c>
      <c r="JA35">
        <v>35420</v>
      </c>
      <c r="JB35">
        <v>0</v>
      </c>
      <c r="JC35" s="16">
        <v>44199</v>
      </c>
      <c r="JD35">
        <v>35858</v>
      </c>
      <c r="JE35">
        <v>0</v>
      </c>
      <c r="JF35" s="16">
        <v>44203</v>
      </c>
      <c r="JG35">
        <v>36772</v>
      </c>
      <c r="JH35">
        <v>0</v>
      </c>
      <c r="JI35" s="16">
        <v>44204</v>
      </c>
      <c r="JJ35">
        <v>37772</v>
      </c>
      <c r="JK35">
        <v>0</v>
      </c>
      <c r="JL35" s="16">
        <v>44205</v>
      </c>
      <c r="JM35">
        <v>38068</v>
      </c>
      <c r="JN35">
        <v>0</v>
      </c>
      <c r="JO35" s="16">
        <v>44206</v>
      </c>
      <c r="JP35">
        <v>38392</v>
      </c>
      <c r="JQ35">
        <v>0</v>
      </c>
      <c r="JR35" s="16">
        <v>44208</v>
      </c>
      <c r="JS35">
        <v>38590</v>
      </c>
      <c r="JT35">
        <v>0</v>
      </c>
      <c r="JU35" s="16">
        <v>44208</v>
      </c>
      <c r="JV35">
        <v>38790</v>
      </c>
      <c r="JW35">
        <v>0</v>
      </c>
      <c r="JX35" s="16">
        <v>44210</v>
      </c>
      <c r="JY35">
        <v>39011</v>
      </c>
      <c r="JZ35">
        <v>0</v>
      </c>
      <c r="KA35" s="16">
        <v>44222</v>
      </c>
      <c r="KB35">
        <v>39593</v>
      </c>
      <c r="KC35">
        <v>0</v>
      </c>
      <c r="KD35" s="16">
        <v>44222</v>
      </c>
      <c r="KE35">
        <v>42772</v>
      </c>
      <c r="KF35">
        <v>0</v>
      </c>
      <c r="KG35" s="16">
        <v>44223</v>
      </c>
      <c r="KH35">
        <v>43120</v>
      </c>
      <c r="KI35">
        <v>0</v>
      </c>
      <c r="KJ35" s="16">
        <v>44225</v>
      </c>
      <c r="KK35">
        <v>43616</v>
      </c>
      <c r="KL35">
        <v>0</v>
      </c>
      <c r="KM35" s="16">
        <v>44226</v>
      </c>
      <c r="KN35">
        <v>44402</v>
      </c>
      <c r="KO35">
        <v>0</v>
      </c>
      <c r="KP35" s="16">
        <v>44230</v>
      </c>
      <c r="KQ35">
        <v>44871</v>
      </c>
      <c r="KR35">
        <v>0</v>
      </c>
      <c r="KS35" s="16">
        <v>44231</v>
      </c>
      <c r="KT35">
        <v>46049</v>
      </c>
      <c r="KU35">
        <v>0</v>
      </c>
      <c r="KV35" s="16">
        <v>44232</v>
      </c>
      <c r="KW35">
        <v>46493</v>
      </c>
      <c r="KX35">
        <v>0</v>
      </c>
      <c r="KY35" s="16">
        <v>44234</v>
      </c>
      <c r="KZ35">
        <v>46894</v>
      </c>
      <c r="LA35">
        <v>0</v>
      </c>
      <c r="LB35" s="16">
        <v>44235</v>
      </c>
      <c r="LC35">
        <v>47616</v>
      </c>
      <c r="LD35">
        <v>0</v>
      </c>
      <c r="LE35" s="16">
        <v>44236</v>
      </c>
      <c r="LF35">
        <v>47969</v>
      </c>
      <c r="LG35">
        <v>0</v>
      </c>
      <c r="LH35" s="16">
        <v>44238</v>
      </c>
      <c r="LI35">
        <v>48407</v>
      </c>
      <c r="LJ35">
        <v>0</v>
      </c>
      <c r="LK35" s="16">
        <v>44238</v>
      </c>
      <c r="LL35">
        <v>48807</v>
      </c>
      <c r="LM35">
        <v>0</v>
      </c>
      <c r="LN35" s="16">
        <v>44240</v>
      </c>
      <c r="LO35">
        <v>49165</v>
      </c>
      <c r="LP35">
        <v>0</v>
      </c>
      <c r="LQ35" s="16">
        <v>44241</v>
      </c>
      <c r="LR35">
        <v>50007</v>
      </c>
      <c r="LS35">
        <v>0</v>
      </c>
      <c r="LT35" s="16">
        <v>44242</v>
      </c>
      <c r="LU35">
        <v>50319</v>
      </c>
      <c r="LV35">
        <v>0</v>
      </c>
      <c r="LW35" s="16">
        <v>44243</v>
      </c>
      <c r="LX35">
        <v>50662</v>
      </c>
      <c r="LY35">
        <v>0</v>
      </c>
      <c r="LZ35" s="16">
        <v>44244</v>
      </c>
      <c r="MA35">
        <v>51047</v>
      </c>
      <c r="MB35">
        <v>0</v>
      </c>
      <c r="MC35" s="16">
        <v>44245</v>
      </c>
      <c r="MD35">
        <v>51595</v>
      </c>
      <c r="ME35">
        <v>0</v>
      </c>
      <c r="MF35" s="16">
        <v>44247</v>
      </c>
      <c r="MG35">
        <v>52209</v>
      </c>
      <c r="MH35">
        <v>0</v>
      </c>
      <c r="MI35" s="16">
        <v>44247</v>
      </c>
      <c r="MJ35">
        <v>52653</v>
      </c>
      <c r="MK35">
        <v>0</v>
      </c>
      <c r="ML35" s="16">
        <v>44248</v>
      </c>
      <c r="MM35">
        <v>53285</v>
      </c>
      <c r="MN35">
        <v>0</v>
      </c>
      <c r="MO35" s="16">
        <v>44249</v>
      </c>
      <c r="MP35">
        <v>53742</v>
      </c>
      <c r="MQ35">
        <v>0</v>
      </c>
      <c r="MR35" s="16">
        <v>44250</v>
      </c>
      <c r="MS35">
        <v>54132</v>
      </c>
      <c r="MT35">
        <v>0</v>
      </c>
      <c r="MU35" s="16">
        <v>44251</v>
      </c>
      <c r="MV35">
        <v>54532</v>
      </c>
      <c r="MW35">
        <v>0</v>
      </c>
      <c r="MX35" s="16">
        <v>44252</v>
      </c>
      <c r="MY35">
        <v>55122</v>
      </c>
      <c r="MZ35">
        <v>0</v>
      </c>
      <c r="NA35" s="16">
        <v>44252</v>
      </c>
      <c r="NB35">
        <v>55687</v>
      </c>
      <c r="NC35">
        <v>1</v>
      </c>
      <c r="ND35" s="16">
        <v>44255</v>
      </c>
      <c r="NE35">
        <v>56407</v>
      </c>
      <c r="NF35">
        <v>0</v>
      </c>
      <c r="NG35" s="16">
        <v>44255</v>
      </c>
      <c r="NH35">
        <v>57052</v>
      </c>
      <c r="NI35">
        <v>0</v>
      </c>
      <c r="NJ35" s="16">
        <v>44257</v>
      </c>
      <c r="NK35">
        <v>57672</v>
      </c>
      <c r="NL35">
        <v>0</v>
      </c>
      <c r="NM35" s="16">
        <v>44257</v>
      </c>
      <c r="NN35">
        <v>58064</v>
      </c>
      <c r="NO35">
        <v>0</v>
      </c>
      <c r="NP35" s="16">
        <v>44259</v>
      </c>
      <c r="NQ35">
        <v>58645</v>
      </c>
      <c r="NR35">
        <v>0</v>
      </c>
      <c r="NS35" s="16">
        <v>44260</v>
      </c>
      <c r="NT35">
        <v>60200</v>
      </c>
      <c r="NU35">
        <v>0</v>
      </c>
      <c r="NV35" s="16">
        <v>44261</v>
      </c>
      <c r="NW35">
        <v>60904</v>
      </c>
      <c r="NX35">
        <v>0</v>
      </c>
      <c r="NY35" s="16">
        <v>44262</v>
      </c>
      <c r="NZ35">
        <v>61552</v>
      </c>
      <c r="OA35">
        <v>0</v>
      </c>
      <c r="OB35" s="16">
        <v>44263</v>
      </c>
      <c r="OC35">
        <v>62063</v>
      </c>
      <c r="OD35">
        <v>0</v>
      </c>
      <c r="OE35" s="16">
        <v>44264</v>
      </c>
      <c r="OF35">
        <v>62522</v>
      </c>
      <c r="OG35">
        <v>0</v>
      </c>
      <c r="OH35" s="16">
        <v>44265</v>
      </c>
      <c r="OI35">
        <v>63110</v>
      </c>
      <c r="OJ35">
        <v>0</v>
      </c>
      <c r="OK35" s="16">
        <v>44266</v>
      </c>
      <c r="OL35">
        <v>63889</v>
      </c>
      <c r="OM35">
        <v>0</v>
      </c>
      <c r="ON35" s="16">
        <v>44267</v>
      </c>
      <c r="OO35">
        <v>64609</v>
      </c>
      <c r="OP35">
        <v>0</v>
      </c>
      <c r="OQ35" s="16">
        <v>44268</v>
      </c>
      <c r="OR35">
        <v>65315</v>
      </c>
      <c r="OS35">
        <v>0</v>
      </c>
      <c r="OT35" s="16">
        <v>44269</v>
      </c>
      <c r="OU35">
        <v>66006</v>
      </c>
      <c r="OV35">
        <v>0</v>
      </c>
      <c r="OW35" s="16">
        <v>44270</v>
      </c>
      <c r="OX35">
        <v>66869</v>
      </c>
      <c r="OY35">
        <v>0</v>
      </c>
      <c r="OZ35" s="16">
        <v>44271</v>
      </c>
      <c r="PA35">
        <v>67334</v>
      </c>
      <c r="PB35">
        <v>0</v>
      </c>
      <c r="PC35" s="16">
        <v>44272</v>
      </c>
      <c r="PD35">
        <v>67851</v>
      </c>
      <c r="PE35">
        <v>0</v>
      </c>
      <c r="PF35" s="16">
        <v>44273</v>
      </c>
      <c r="PG35">
        <v>68693</v>
      </c>
      <c r="PH35">
        <v>0</v>
      </c>
      <c r="PI35" s="16">
        <v>44274</v>
      </c>
      <c r="PJ35">
        <v>69497</v>
      </c>
      <c r="PK35">
        <v>0</v>
      </c>
      <c r="PL35" s="16">
        <v>44275</v>
      </c>
      <c r="PM35">
        <v>70267</v>
      </c>
      <c r="PN35">
        <v>0</v>
      </c>
      <c r="PO35" s="16">
        <v>44276</v>
      </c>
      <c r="PP35">
        <v>71123</v>
      </c>
      <c r="PQ35">
        <v>0</v>
      </c>
      <c r="PR35" s="16">
        <v>44277</v>
      </c>
      <c r="PS35">
        <v>71643</v>
      </c>
      <c r="PT35">
        <v>0</v>
      </c>
      <c r="PU35" s="16">
        <v>44278</v>
      </c>
      <c r="PV35">
        <v>72073</v>
      </c>
      <c r="PW35">
        <v>0</v>
      </c>
      <c r="PX35" s="16">
        <v>44279</v>
      </c>
      <c r="PY35">
        <v>72713</v>
      </c>
      <c r="PZ35">
        <v>0</v>
      </c>
      <c r="QA35" s="16">
        <v>44280</v>
      </c>
      <c r="QB35">
        <v>73516</v>
      </c>
      <c r="QC35">
        <v>0</v>
      </c>
      <c r="QD35" s="16">
        <v>44281</v>
      </c>
      <c r="QE35">
        <v>74242</v>
      </c>
      <c r="QF35">
        <v>0</v>
      </c>
      <c r="QG35" s="16">
        <v>44282</v>
      </c>
      <c r="QH35">
        <v>74754</v>
      </c>
      <c r="QI35">
        <v>0</v>
      </c>
      <c r="QJ35" s="16">
        <v>44283</v>
      </c>
      <c r="QK35">
        <v>75545</v>
      </c>
      <c r="QL35">
        <v>0</v>
      </c>
      <c r="QM35" s="16">
        <v>44284</v>
      </c>
      <c r="QN35">
        <v>76003</v>
      </c>
      <c r="QO35">
        <v>0</v>
      </c>
      <c r="QP35" s="16">
        <v>44285</v>
      </c>
      <c r="QQ35">
        <v>76425</v>
      </c>
      <c r="QR35">
        <v>0</v>
      </c>
      <c r="QS35" s="16">
        <v>44286</v>
      </c>
      <c r="QT35">
        <v>76845</v>
      </c>
      <c r="QU35">
        <v>0</v>
      </c>
      <c r="QV35" s="16">
        <v>44287</v>
      </c>
      <c r="QW35">
        <v>77452</v>
      </c>
      <c r="QX35">
        <v>0</v>
      </c>
      <c r="QY35" s="16">
        <v>44288</v>
      </c>
      <c r="QZ35">
        <v>78106</v>
      </c>
      <c r="RA35">
        <v>0</v>
      </c>
      <c r="RB35" s="16">
        <v>44289</v>
      </c>
      <c r="RC35">
        <v>78672</v>
      </c>
      <c r="RD35">
        <v>0</v>
      </c>
      <c r="RE35" s="16">
        <v>44290</v>
      </c>
      <c r="RF35">
        <v>79094</v>
      </c>
      <c r="RG35">
        <v>0</v>
      </c>
      <c r="RH35" s="16">
        <v>44291</v>
      </c>
      <c r="RI35">
        <v>79396</v>
      </c>
      <c r="RJ35">
        <v>0</v>
      </c>
      <c r="RK35" s="16">
        <v>44292</v>
      </c>
      <c r="RL35">
        <v>79737</v>
      </c>
      <c r="RM35">
        <v>0</v>
      </c>
      <c r="RN35" s="16">
        <v>44294</v>
      </c>
      <c r="RO35">
        <v>80068</v>
      </c>
      <c r="RP35">
        <v>0</v>
      </c>
      <c r="RQ35" s="16">
        <v>44295</v>
      </c>
      <c r="RR35">
        <v>80842</v>
      </c>
      <c r="RS35">
        <v>0</v>
      </c>
      <c r="RT35">
        <v>44296</v>
      </c>
      <c r="RU35">
        <v>81261</v>
      </c>
      <c r="RV35">
        <v>0</v>
      </c>
      <c r="RW35">
        <v>44297</v>
      </c>
      <c r="RX35">
        <v>81707</v>
      </c>
      <c r="RY35">
        <v>0</v>
      </c>
      <c r="RZ35">
        <v>44298</v>
      </c>
      <c r="SA35">
        <v>82053</v>
      </c>
      <c r="SB35">
        <v>0</v>
      </c>
      <c r="SC35">
        <v>44299</v>
      </c>
      <c r="SD35">
        <v>82278</v>
      </c>
      <c r="SE35">
        <v>0</v>
      </c>
      <c r="SF35">
        <v>44300</v>
      </c>
      <c r="SG35">
        <v>82564</v>
      </c>
      <c r="SH35">
        <v>0</v>
      </c>
      <c r="SI35">
        <v>44301</v>
      </c>
      <c r="SJ35">
        <v>82964</v>
      </c>
      <c r="SK35">
        <v>0</v>
      </c>
      <c r="SL35">
        <v>44303</v>
      </c>
      <c r="SM35">
        <v>83253</v>
      </c>
      <c r="SN35">
        <v>0</v>
      </c>
      <c r="SO35">
        <v>44304</v>
      </c>
      <c r="SP35">
        <v>83633</v>
      </c>
      <c r="SQ35">
        <v>0</v>
      </c>
      <c r="SR35">
        <v>44305</v>
      </c>
      <c r="SS35">
        <v>84131</v>
      </c>
      <c r="ST35">
        <v>0</v>
      </c>
      <c r="SU35">
        <v>44306</v>
      </c>
      <c r="SV35">
        <v>84287</v>
      </c>
      <c r="SW35">
        <v>0</v>
      </c>
      <c r="SX35">
        <v>44308</v>
      </c>
      <c r="SY35">
        <v>84501</v>
      </c>
      <c r="SZ35">
        <v>0</v>
      </c>
      <c r="TA35">
        <v>44309</v>
      </c>
      <c r="TB35">
        <v>85077</v>
      </c>
      <c r="TC35">
        <v>0</v>
      </c>
      <c r="TD35">
        <v>44311</v>
      </c>
      <c r="TE35">
        <v>85344</v>
      </c>
      <c r="TF35">
        <v>0</v>
      </c>
      <c r="TG35">
        <v>44312</v>
      </c>
      <c r="TH35">
        <v>85804</v>
      </c>
      <c r="TI35">
        <v>0</v>
      </c>
      <c r="TJ35">
        <v>44313</v>
      </c>
      <c r="TK35">
        <v>85937</v>
      </c>
      <c r="TL35">
        <v>0</v>
      </c>
      <c r="TM35">
        <v>44314</v>
      </c>
      <c r="TN35">
        <v>86161</v>
      </c>
      <c r="TO35">
        <v>0</v>
      </c>
      <c r="TP35">
        <v>44316</v>
      </c>
      <c r="TQ35">
        <v>86405</v>
      </c>
      <c r="TR35">
        <v>0</v>
      </c>
      <c r="TS35">
        <v>44317</v>
      </c>
      <c r="TT35">
        <v>86613</v>
      </c>
      <c r="TU35">
        <v>0</v>
      </c>
      <c r="TV35">
        <v>44317</v>
      </c>
      <c r="TW35">
        <v>86808</v>
      </c>
      <c r="TX35">
        <v>0</v>
      </c>
      <c r="TY35">
        <v>44318</v>
      </c>
      <c r="TZ35">
        <v>87096</v>
      </c>
      <c r="UA35">
        <v>0</v>
      </c>
      <c r="UB35">
        <v>44320</v>
      </c>
      <c r="UC35">
        <v>87228</v>
      </c>
      <c r="UD35">
        <v>0</v>
      </c>
      <c r="UE35">
        <v>44320</v>
      </c>
      <c r="UF35">
        <v>87345</v>
      </c>
      <c r="UG35">
        <v>0</v>
      </c>
      <c r="UH35">
        <v>44321</v>
      </c>
      <c r="UI35">
        <v>87529</v>
      </c>
      <c r="UJ35">
        <v>0</v>
      </c>
      <c r="UK35">
        <v>44322</v>
      </c>
      <c r="UL35">
        <v>87798</v>
      </c>
      <c r="UM35">
        <v>0</v>
      </c>
      <c r="UN35">
        <v>44326</v>
      </c>
      <c r="UO35">
        <v>88078</v>
      </c>
      <c r="UP35">
        <v>0</v>
      </c>
      <c r="UQ35">
        <v>44327</v>
      </c>
      <c r="UR35">
        <v>88866</v>
      </c>
      <c r="US35">
        <v>0</v>
      </c>
      <c r="UT35">
        <v>44328</v>
      </c>
      <c r="UU35">
        <v>88990</v>
      </c>
      <c r="UV35">
        <v>0</v>
      </c>
      <c r="UW35">
        <v>44329</v>
      </c>
      <c r="UX35">
        <v>89270</v>
      </c>
      <c r="UY35">
        <v>0</v>
      </c>
      <c r="UZ35">
        <v>44331</v>
      </c>
      <c r="VA35">
        <v>89532</v>
      </c>
      <c r="VB35">
        <v>0</v>
      </c>
      <c r="VC35">
        <v>44331</v>
      </c>
      <c r="VD35">
        <v>89686</v>
      </c>
      <c r="VE35">
        <v>0</v>
      </c>
      <c r="VF35">
        <v>44332</v>
      </c>
      <c r="VG35">
        <v>89878</v>
      </c>
      <c r="VH35">
        <v>0</v>
      </c>
      <c r="VI35">
        <v>44334</v>
      </c>
      <c r="VJ35">
        <v>90105</v>
      </c>
      <c r="VK35">
        <v>0</v>
      </c>
      <c r="VL35">
        <v>44334</v>
      </c>
      <c r="VM35">
        <v>90249</v>
      </c>
      <c r="VN35">
        <v>0</v>
      </c>
      <c r="VO35">
        <v>44335</v>
      </c>
      <c r="VP35">
        <v>90398</v>
      </c>
      <c r="VQ35">
        <v>0</v>
      </c>
      <c r="VR35">
        <v>44336</v>
      </c>
      <c r="VS35">
        <v>90687</v>
      </c>
      <c r="VT35">
        <v>0</v>
      </c>
      <c r="VU35">
        <v>44338</v>
      </c>
      <c r="VV35">
        <v>90946</v>
      </c>
      <c r="VW35">
        <v>0</v>
      </c>
      <c r="VX35">
        <v>44338</v>
      </c>
      <c r="VY35">
        <v>91157</v>
      </c>
      <c r="VZ35">
        <v>0</v>
      </c>
      <c r="WA35">
        <v>44339</v>
      </c>
      <c r="WB35">
        <v>91405</v>
      </c>
      <c r="WC35">
        <v>0</v>
      </c>
      <c r="WD35">
        <v>44340</v>
      </c>
      <c r="WE35">
        <v>91526</v>
      </c>
      <c r="WF35">
        <v>0</v>
      </c>
      <c r="WG35">
        <v>44341</v>
      </c>
      <c r="WH35">
        <v>91619</v>
      </c>
      <c r="WI35">
        <v>0</v>
      </c>
      <c r="WJ35">
        <v>44343</v>
      </c>
      <c r="WK35">
        <v>91744</v>
      </c>
      <c r="WL35">
        <v>0</v>
      </c>
      <c r="WM35">
        <v>44343</v>
      </c>
      <c r="WN35">
        <v>91964</v>
      </c>
      <c r="WO35">
        <v>0</v>
      </c>
      <c r="WP35">
        <v>44346</v>
      </c>
      <c r="WQ35">
        <v>92062</v>
      </c>
      <c r="WR35">
        <v>0</v>
      </c>
      <c r="WS35">
        <v>44347</v>
      </c>
      <c r="WT35">
        <v>92432</v>
      </c>
      <c r="WU35">
        <v>0</v>
      </c>
      <c r="WV35">
        <v>44348</v>
      </c>
      <c r="WW35">
        <v>92488</v>
      </c>
      <c r="WX35">
        <v>0</v>
      </c>
      <c r="WY35">
        <v>44349</v>
      </c>
      <c r="WZ35">
        <v>92642</v>
      </c>
      <c r="XA35">
        <v>0</v>
      </c>
      <c r="XB35">
        <v>44350</v>
      </c>
      <c r="XC35">
        <v>92770</v>
      </c>
      <c r="XD35">
        <v>0</v>
      </c>
      <c r="XE35">
        <v>44352</v>
      </c>
      <c r="XF35">
        <v>92913</v>
      </c>
      <c r="XG35">
        <v>0</v>
      </c>
      <c r="XH35">
        <v>44352</v>
      </c>
      <c r="XI35">
        <v>93038</v>
      </c>
      <c r="XJ35">
        <v>0</v>
      </c>
      <c r="XK35">
        <v>44353</v>
      </c>
      <c r="XL35">
        <v>93158</v>
      </c>
      <c r="XM35">
        <v>0</v>
      </c>
      <c r="XN35">
        <v>44354</v>
      </c>
      <c r="XO35">
        <v>93226</v>
      </c>
      <c r="XP35">
        <v>0</v>
      </c>
      <c r="XQ35">
        <v>44355</v>
      </c>
      <c r="XR35">
        <v>93281</v>
      </c>
      <c r="XS35">
        <v>0</v>
      </c>
      <c r="XT35">
        <v>44356</v>
      </c>
      <c r="XU35">
        <v>93394</v>
      </c>
      <c r="XV35">
        <v>0</v>
      </c>
      <c r="XW35">
        <v>44357</v>
      </c>
      <c r="XX35">
        <v>93520</v>
      </c>
      <c r="XY35">
        <v>0</v>
      </c>
      <c r="XZ35">
        <v>44358</v>
      </c>
      <c r="YA35">
        <v>93613</v>
      </c>
      <c r="YB35">
        <v>0</v>
      </c>
      <c r="YC35">
        <v>44360</v>
      </c>
      <c r="YD35">
        <v>93660</v>
      </c>
      <c r="YE35">
        <v>0</v>
      </c>
      <c r="YF35">
        <v>44361</v>
      </c>
      <c r="YG35">
        <v>93821</v>
      </c>
      <c r="YH35">
        <v>0</v>
      </c>
      <c r="YI35">
        <v>44362</v>
      </c>
      <c r="YJ35">
        <v>93850</v>
      </c>
      <c r="YK35">
        <v>0</v>
      </c>
      <c r="YL35">
        <v>44363</v>
      </c>
      <c r="YM35">
        <v>93923</v>
      </c>
      <c r="YN35">
        <v>0</v>
      </c>
      <c r="YO35">
        <v>44364</v>
      </c>
      <c r="YP35">
        <v>94026</v>
      </c>
      <c r="YQ35">
        <v>0</v>
      </c>
      <c r="YR35">
        <v>44365</v>
      </c>
      <c r="YS35">
        <v>94081</v>
      </c>
      <c r="YT35">
        <v>0</v>
      </c>
      <c r="YU35">
        <v>44366</v>
      </c>
      <c r="YV35">
        <v>94154</v>
      </c>
      <c r="YW35">
        <v>0</v>
      </c>
    </row>
    <row r="36" spans="2:673" s="24" customFormat="1">
      <c r="Q36" s="24">
        <f>Q35</f>
        <v>44366</v>
      </c>
      <c r="T36" s="24">
        <f>T35</f>
        <v>44113</v>
      </c>
      <c r="W36" s="24">
        <f>W35</f>
        <v>44114</v>
      </c>
      <c r="Z36" s="24">
        <f>Z35</f>
        <v>44115</v>
      </c>
      <c r="AC36" s="24">
        <f>AC35</f>
        <v>44116</v>
      </c>
      <c r="AF36" s="24">
        <f>AF35</f>
        <v>44117</v>
      </c>
      <c r="AI36" s="24">
        <f>AI35</f>
        <v>44118</v>
      </c>
      <c r="AL36" s="24">
        <f>AL35</f>
        <v>44119</v>
      </c>
      <c r="AO36" s="24">
        <f>AO35</f>
        <v>44120</v>
      </c>
      <c r="AR36" s="24">
        <f>AR35</f>
        <v>44121</v>
      </c>
      <c r="AU36" s="24">
        <f>AU35</f>
        <v>44122</v>
      </c>
      <c r="AX36" s="24">
        <f>AX35</f>
        <v>44123</v>
      </c>
      <c r="BA36" s="24">
        <f>BA35</f>
        <v>44124</v>
      </c>
      <c r="BD36" s="24">
        <f>BD35</f>
        <v>44125</v>
      </c>
      <c r="BG36" s="24">
        <f>BG35</f>
        <v>44126</v>
      </c>
      <c r="BJ36" s="24">
        <f>BJ35</f>
        <v>44127</v>
      </c>
      <c r="BM36" s="24">
        <f>BM35</f>
        <v>44128</v>
      </c>
      <c r="BP36" s="24">
        <f>BP35</f>
        <v>44129</v>
      </c>
      <c r="BS36" s="24">
        <f>BS35</f>
        <v>44130</v>
      </c>
      <c r="BV36" s="24">
        <f>BV35</f>
        <v>44132</v>
      </c>
      <c r="BY36" s="24">
        <f>BY35</f>
        <v>44133</v>
      </c>
      <c r="CB36" s="24">
        <f>CB35</f>
        <v>44134</v>
      </c>
      <c r="CE36" s="24">
        <f>CE35</f>
        <v>44135</v>
      </c>
      <c r="CH36" s="24">
        <f>CH35</f>
        <v>44136</v>
      </c>
      <c r="CK36" s="24">
        <f>CK35</f>
        <v>44137</v>
      </c>
      <c r="CN36" s="24">
        <f>CN35</f>
        <v>44138</v>
      </c>
      <c r="CQ36" s="24">
        <f>CQ35</f>
        <v>44139</v>
      </c>
      <c r="CT36" s="24">
        <f>CT35</f>
        <v>44140</v>
      </c>
      <c r="CW36" s="24">
        <f>CW35</f>
        <v>44141</v>
      </c>
      <c r="CZ36" s="24">
        <f>CZ35</f>
        <v>44143</v>
      </c>
      <c r="DC36" s="24">
        <f>DC35</f>
        <v>44144</v>
      </c>
      <c r="DF36" s="24">
        <f>DF35</f>
        <v>44145</v>
      </c>
      <c r="DI36" s="24">
        <f>DI35</f>
        <v>44146</v>
      </c>
      <c r="DL36" s="24">
        <f>DL35</f>
        <v>44147</v>
      </c>
      <c r="DO36" s="24">
        <f>DO35</f>
        <v>44148</v>
      </c>
      <c r="DR36" s="24">
        <f>DR35</f>
        <v>44149</v>
      </c>
      <c r="DU36" s="24">
        <f>DU35</f>
        <v>44150</v>
      </c>
      <c r="DX36" s="24">
        <f>DX35</f>
        <v>44151</v>
      </c>
      <c r="EA36" s="24">
        <f>EA35</f>
        <v>44152</v>
      </c>
      <c r="ED36" s="24">
        <f>ED35</f>
        <v>44153</v>
      </c>
      <c r="EG36" s="24">
        <f>EG35</f>
        <v>44154</v>
      </c>
      <c r="EJ36" s="24">
        <f>EJ35</f>
        <v>44155</v>
      </c>
      <c r="EM36" s="24">
        <f>EM35</f>
        <v>44156</v>
      </c>
      <c r="EP36" s="24">
        <f>EP35</f>
        <v>44157</v>
      </c>
      <c r="ES36" s="24">
        <f>ES35</f>
        <v>44158</v>
      </c>
      <c r="EV36" s="24">
        <f>EV35</f>
        <v>44159</v>
      </c>
      <c r="EY36" s="24">
        <f>EY35</f>
        <v>44160</v>
      </c>
      <c r="FB36" s="24">
        <f>FB35</f>
        <v>44161</v>
      </c>
      <c r="FE36" s="24">
        <f>FE35</f>
        <v>44162</v>
      </c>
      <c r="FH36" s="24">
        <f>FH35</f>
        <v>44163</v>
      </c>
      <c r="FK36" s="24">
        <f>FK35</f>
        <v>44164</v>
      </c>
      <c r="FN36" s="24">
        <f>FN35</f>
        <v>44165</v>
      </c>
      <c r="FQ36" s="24">
        <f>FQ35</f>
        <v>44166</v>
      </c>
      <c r="FT36" s="24">
        <f>FT35</f>
        <v>44167</v>
      </c>
      <c r="FW36" s="24">
        <f>FW35</f>
        <v>44168</v>
      </c>
      <c r="FZ36" s="24">
        <f>FZ35</f>
        <v>44169</v>
      </c>
      <c r="GC36" s="24">
        <f>GC35</f>
        <v>44170</v>
      </c>
      <c r="GF36" s="24">
        <f>GF35</f>
        <v>44171</v>
      </c>
      <c r="GI36" s="24">
        <f>GI35</f>
        <v>44172</v>
      </c>
      <c r="GL36" s="24">
        <f>GL35</f>
        <v>44173</v>
      </c>
      <c r="GO36" s="24">
        <f>GO35</f>
        <v>44174</v>
      </c>
      <c r="GR36" s="24">
        <f>GR35</f>
        <v>44175</v>
      </c>
      <c r="GU36" s="24">
        <f>GU35</f>
        <v>44176</v>
      </c>
      <c r="GX36" s="24">
        <f>GX35</f>
        <v>44177</v>
      </c>
      <c r="HA36" s="24">
        <f>HA35</f>
        <v>44178</v>
      </c>
      <c r="HD36" s="24">
        <f>HD35</f>
        <v>44179</v>
      </c>
      <c r="HG36" s="24">
        <f>HG35</f>
        <v>44180</v>
      </c>
      <c r="HJ36" s="24">
        <f>HJ35</f>
        <v>44181</v>
      </c>
      <c r="HM36" s="24">
        <f>HM35</f>
        <v>44182</v>
      </c>
      <c r="HP36" s="24">
        <f>HP35</f>
        <v>44183</v>
      </c>
      <c r="HS36" s="24">
        <f>HS35</f>
        <v>44184</v>
      </c>
      <c r="HV36" s="24">
        <f>HV35</f>
        <v>44185</v>
      </c>
      <c r="HY36" s="24">
        <f>HY35</f>
        <v>44186</v>
      </c>
      <c r="IB36" s="24">
        <f>IB35</f>
        <v>44187</v>
      </c>
      <c r="IE36" s="24">
        <f>IE35</f>
        <v>44188</v>
      </c>
      <c r="IH36" s="24">
        <f>IH35</f>
        <v>44189</v>
      </c>
      <c r="IK36" s="24">
        <f>IK35</f>
        <v>44190</v>
      </c>
      <c r="IN36" s="24">
        <f>IN35</f>
        <v>44191</v>
      </c>
      <c r="IQ36" s="24">
        <f>IQ35</f>
        <v>44192</v>
      </c>
      <c r="IT36" s="24">
        <f>IT35</f>
        <v>44193</v>
      </c>
      <c r="IW36" s="24">
        <f>IW35</f>
        <v>44194</v>
      </c>
      <c r="IZ36" s="24">
        <f>IZ35</f>
        <v>44195</v>
      </c>
      <c r="JC36" s="24">
        <f>JC35</f>
        <v>44199</v>
      </c>
      <c r="JF36" s="24">
        <f>JF35</f>
        <v>44203</v>
      </c>
      <c r="JI36" s="24">
        <f>JI35</f>
        <v>44204</v>
      </c>
      <c r="JL36" s="24">
        <f>JL35</f>
        <v>44205</v>
      </c>
      <c r="JO36" s="24">
        <f>JO35</f>
        <v>44206</v>
      </c>
      <c r="JR36" s="24">
        <f>JR35</f>
        <v>44208</v>
      </c>
      <c r="JU36" s="24">
        <f>JU35</f>
        <v>44208</v>
      </c>
      <c r="JX36" s="24">
        <f>JX35</f>
        <v>44210</v>
      </c>
      <c r="KA36" s="24">
        <f>KA35</f>
        <v>44222</v>
      </c>
      <c r="KD36" s="24">
        <f>KD35</f>
        <v>44222</v>
      </c>
      <c r="KG36" s="24">
        <f>KG35</f>
        <v>44223</v>
      </c>
      <c r="KJ36" s="24">
        <f>KJ35</f>
        <v>44225</v>
      </c>
      <c r="KM36" s="24">
        <f>KM35</f>
        <v>44226</v>
      </c>
      <c r="KP36" s="24">
        <f>KP35</f>
        <v>44230</v>
      </c>
      <c r="KS36" s="24">
        <f>KS35</f>
        <v>44231</v>
      </c>
      <c r="KV36" s="24">
        <f>KV35</f>
        <v>44232</v>
      </c>
      <c r="KY36" s="24">
        <f>KY35</f>
        <v>44234</v>
      </c>
      <c r="LB36" s="24">
        <f>LB35</f>
        <v>44235</v>
      </c>
      <c r="LE36" s="24">
        <f>LE35</f>
        <v>44236</v>
      </c>
      <c r="LH36" s="24">
        <f>LH35</f>
        <v>44238</v>
      </c>
      <c r="LK36" s="24">
        <f>LK35</f>
        <v>44238</v>
      </c>
      <c r="LN36" s="24">
        <f>LN35</f>
        <v>44240</v>
      </c>
      <c r="LQ36" s="24">
        <f>LQ35</f>
        <v>44241</v>
      </c>
      <c r="LT36" s="24">
        <f>LT35</f>
        <v>44242</v>
      </c>
      <c r="LW36" s="24">
        <f>LW35</f>
        <v>44243</v>
      </c>
      <c r="LZ36" s="24">
        <f>LZ35</f>
        <v>44244</v>
      </c>
      <c r="MC36" s="24">
        <f>MC35</f>
        <v>44245</v>
      </c>
      <c r="MF36" s="24">
        <f>MF35</f>
        <v>44247</v>
      </c>
      <c r="MI36" s="24">
        <f>MI35</f>
        <v>44247</v>
      </c>
      <c r="ML36" s="24">
        <f>ML35</f>
        <v>44248</v>
      </c>
      <c r="MO36" s="24">
        <f>MO35</f>
        <v>44249</v>
      </c>
      <c r="MR36" s="24">
        <f>MR35</f>
        <v>44250</v>
      </c>
      <c r="MU36" s="24">
        <f>MU35</f>
        <v>44251</v>
      </c>
      <c r="MX36" s="24">
        <f>MX35</f>
        <v>44252</v>
      </c>
      <c r="NA36" s="24">
        <f>NA35</f>
        <v>44252</v>
      </c>
      <c r="ND36" s="24">
        <f>ND35</f>
        <v>44255</v>
      </c>
      <c r="NG36" s="24">
        <f>NG35</f>
        <v>44255</v>
      </c>
      <c r="NJ36" s="24">
        <f>NJ35</f>
        <v>44257</v>
      </c>
      <c r="NM36" s="24">
        <f>NM35</f>
        <v>44257</v>
      </c>
      <c r="NP36" s="24">
        <f>NP35</f>
        <v>44259</v>
      </c>
      <c r="NS36" s="24">
        <f>NS35</f>
        <v>44260</v>
      </c>
      <c r="NV36" s="24">
        <f>NV35</f>
        <v>44261</v>
      </c>
      <c r="NY36" s="24">
        <f>NY35</f>
        <v>44262</v>
      </c>
      <c r="OB36" s="24">
        <f>OB35</f>
        <v>44263</v>
      </c>
      <c r="OE36" s="24">
        <f>OE35</f>
        <v>44264</v>
      </c>
      <c r="OH36" s="24">
        <f>OH35</f>
        <v>44265</v>
      </c>
      <c r="OK36" s="24">
        <f>OK35</f>
        <v>44266</v>
      </c>
      <c r="ON36" s="24">
        <f>ON35</f>
        <v>44267</v>
      </c>
      <c r="OQ36" s="24">
        <f>OQ35</f>
        <v>44268</v>
      </c>
      <c r="OT36" s="24">
        <f>OT35</f>
        <v>44269</v>
      </c>
      <c r="OW36" s="24">
        <f>OW35</f>
        <v>44270</v>
      </c>
      <c r="OZ36" s="24">
        <f>OZ35</f>
        <v>44271</v>
      </c>
      <c r="PC36" s="24">
        <f>PC35</f>
        <v>44272</v>
      </c>
      <c r="PF36" s="24">
        <f>PF35</f>
        <v>44273</v>
      </c>
      <c r="PI36" s="24">
        <f>PI35</f>
        <v>44274</v>
      </c>
      <c r="PL36" s="24">
        <f>PL35</f>
        <v>44275</v>
      </c>
      <c r="PO36" s="24">
        <f>PO35</f>
        <v>44276</v>
      </c>
      <c r="PR36" s="24">
        <f>PR35</f>
        <v>44277</v>
      </c>
      <c r="PU36" s="24">
        <f>PU35</f>
        <v>44278</v>
      </c>
      <c r="PX36" s="24">
        <f>PX35</f>
        <v>44279</v>
      </c>
      <c r="QA36" s="24">
        <f>QA35</f>
        <v>44280</v>
      </c>
      <c r="QD36" s="24">
        <f>QD35</f>
        <v>44281</v>
      </c>
      <c r="QG36" s="24">
        <f>QG35</f>
        <v>44282</v>
      </c>
      <c r="QJ36" s="24">
        <f>QJ35</f>
        <v>44283</v>
      </c>
      <c r="QM36" s="24">
        <f>QM35</f>
        <v>44284</v>
      </c>
      <c r="QP36" s="24">
        <f>QP35</f>
        <v>44285</v>
      </c>
      <c r="QS36" s="24">
        <f>QS35</f>
        <v>44286</v>
      </c>
      <c r="QV36" s="24">
        <f>QV35</f>
        <v>44287</v>
      </c>
      <c r="QY36" s="24">
        <f>QY35</f>
        <v>44288</v>
      </c>
      <c r="RB36" s="24">
        <f>RB35</f>
        <v>44289</v>
      </c>
      <c r="RE36" s="24">
        <f>RE35</f>
        <v>44290</v>
      </c>
      <c r="RH36" s="24">
        <f>RH35</f>
        <v>44291</v>
      </c>
      <c r="RK36" s="24">
        <f>RK35</f>
        <v>44292</v>
      </c>
      <c r="RN36" s="24">
        <f>RN35</f>
        <v>44294</v>
      </c>
      <c r="RQ36" s="24">
        <f>RQ35</f>
        <v>44295</v>
      </c>
      <c r="RT36" s="24">
        <f>RT35</f>
        <v>44296</v>
      </c>
      <c r="RW36" s="24">
        <f>RW35</f>
        <v>44297</v>
      </c>
      <c r="RZ36" s="24">
        <f>RZ35</f>
        <v>44298</v>
      </c>
      <c r="SC36" s="24">
        <f>SC35</f>
        <v>44299</v>
      </c>
      <c r="SF36" s="24">
        <f>SF35</f>
        <v>44300</v>
      </c>
      <c r="SI36" s="24">
        <f>SI35</f>
        <v>44301</v>
      </c>
      <c r="SL36" s="24">
        <f>SL35</f>
        <v>44303</v>
      </c>
      <c r="SO36" s="24">
        <f>SO35</f>
        <v>44304</v>
      </c>
      <c r="SR36" s="24">
        <f>SR35</f>
        <v>44305</v>
      </c>
      <c r="SU36" s="24">
        <f>SU35</f>
        <v>44306</v>
      </c>
      <c r="SX36" s="24">
        <f>SX35</f>
        <v>44308</v>
      </c>
      <c r="TA36" s="24">
        <f>TA35</f>
        <v>44309</v>
      </c>
      <c r="TD36" s="24">
        <f>TD35</f>
        <v>44311</v>
      </c>
      <c r="TG36" s="24">
        <f>TG35</f>
        <v>44312</v>
      </c>
      <c r="TJ36" s="24">
        <f>TJ35</f>
        <v>44313</v>
      </c>
      <c r="TM36" s="24">
        <f>TM35</f>
        <v>44314</v>
      </c>
      <c r="TP36" s="24">
        <f>TP35</f>
        <v>44316</v>
      </c>
      <c r="TS36" s="24">
        <f>TS35</f>
        <v>44317</v>
      </c>
      <c r="TV36" s="24">
        <f>TV35</f>
        <v>44317</v>
      </c>
      <c r="TY36" s="24">
        <f>TY35</f>
        <v>44318</v>
      </c>
      <c r="UB36" s="24">
        <f>UB35</f>
        <v>44320</v>
      </c>
      <c r="UE36" s="24">
        <f>UE35</f>
        <v>44320</v>
      </c>
      <c r="UH36" s="24">
        <f>UH35</f>
        <v>44321</v>
      </c>
      <c r="UK36" s="24">
        <f>UK35</f>
        <v>44322</v>
      </c>
      <c r="UN36" s="24">
        <f>UN35</f>
        <v>44326</v>
      </c>
      <c r="UQ36" s="24">
        <f>UQ35</f>
        <v>44327</v>
      </c>
      <c r="UT36" s="24">
        <f>UT35</f>
        <v>44328</v>
      </c>
      <c r="UW36" s="24">
        <f>UW35</f>
        <v>44329</v>
      </c>
      <c r="UZ36" s="24">
        <f>UZ35</f>
        <v>44331</v>
      </c>
      <c r="VC36" s="24">
        <f>VC35</f>
        <v>44331</v>
      </c>
      <c r="VF36" s="24">
        <f>VF35</f>
        <v>44332</v>
      </c>
      <c r="VI36" s="24">
        <f>VI35</f>
        <v>44334</v>
      </c>
      <c r="VL36" s="24">
        <f>VL35</f>
        <v>44334</v>
      </c>
      <c r="VO36" s="24">
        <f>VO35</f>
        <v>44335</v>
      </c>
      <c r="VR36" s="24">
        <f>VR35</f>
        <v>44336</v>
      </c>
      <c r="VU36" s="24">
        <f>VU35</f>
        <v>44338</v>
      </c>
      <c r="VX36" s="24">
        <f>VX35</f>
        <v>44338</v>
      </c>
      <c r="WA36" s="24">
        <f>WA35</f>
        <v>44339</v>
      </c>
      <c r="WD36" s="24">
        <f>WD35</f>
        <v>44340</v>
      </c>
      <c r="WG36" s="24">
        <f>WG35</f>
        <v>44341</v>
      </c>
      <c r="WJ36" s="24">
        <f>WJ35</f>
        <v>44343</v>
      </c>
      <c r="WM36" s="24">
        <f>WM35</f>
        <v>44343</v>
      </c>
      <c r="WP36" s="24">
        <f>WP35</f>
        <v>44346</v>
      </c>
      <c r="WS36" s="24">
        <f>WS35</f>
        <v>44347</v>
      </c>
      <c r="WV36" s="24">
        <f>WV35</f>
        <v>44348</v>
      </c>
      <c r="WY36" s="24">
        <f>WY35</f>
        <v>44349</v>
      </c>
      <c r="XB36" s="24">
        <f>XB35</f>
        <v>44350</v>
      </c>
      <c r="XE36" s="24">
        <f>XE35</f>
        <v>44352</v>
      </c>
      <c r="XH36" s="24">
        <f>XH35</f>
        <v>44352</v>
      </c>
      <c r="XK36" s="24">
        <f>XK35</f>
        <v>44353</v>
      </c>
    </row>
    <row r="37" spans="2:673" s="25" customFormat="1">
      <c r="B37" s="25">
        <v>1</v>
      </c>
      <c r="C37" s="25">
        <v>2</v>
      </c>
      <c r="D37" s="25">
        <v>3</v>
      </c>
      <c r="E37" s="25">
        <v>4</v>
      </c>
      <c r="F37" s="25">
        <v>5</v>
      </c>
      <c r="G37" s="25">
        <v>6</v>
      </c>
      <c r="H37" s="25">
        <v>7</v>
      </c>
      <c r="I37" s="25">
        <v>8</v>
      </c>
      <c r="J37" s="25">
        <v>9</v>
      </c>
      <c r="K37" s="25">
        <v>10</v>
      </c>
      <c r="L37" s="25">
        <v>11</v>
      </c>
      <c r="M37" s="25">
        <v>12</v>
      </c>
      <c r="O37" s="25" t="s">
        <v>352</v>
      </c>
      <c r="Q37" s="25">
        <f ca="1">D35-O35</f>
        <v>115</v>
      </c>
      <c r="S37" s="25" t="s">
        <v>353</v>
      </c>
      <c r="T37" s="25">
        <f>X35-U35</f>
        <v>235</v>
      </c>
      <c r="V37" s="24"/>
      <c r="W37" s="25">
        <f>AA35-X35</f>
        <v>269</v>
      </c>
      <c r="Y37" s="24"/>
      <c r="Z37" s="25">
        <f>AD35-AA35</f>
        <v>149</v>
      </c>
      <c r="AB37" s="24"/>
      <c r="AC37" s="26">
        <f>AG35-AD35</f>
        <v>214</v>
      </c>
      <c r="AE37" s="24"/>
      <c r="AF37" s="25">
        <f>AJ35-AG35</f>
        <v>287</v>
      </c>
      <c r="AH37" s="24"/>
      <c r="AI37" s="25">
        <f>AM35-AJ35</f>
        <v>204</v>
      </c>
      <c r="AK37" s="24"/>
      <c r="AL37" s="25">
        <f>AP35-AM35</f>
        <v>241</v>
      </c>
      <c r="AN37" s="24"/>
      <c r="AO37" s="25">
        <f>AS35-AP35</f>
        <v>189</v>
      </c>
      <c r="AQ37" s="24"/>
      <c r="AR37" s="25">
        <f>AV35-AS35</f>
        <v>160</v>
      </c>
      <c r="AT37" s="24"/>
      <c r="AU37" s="25">
        <f>AY35-AV35</f>
        <v>131</v>
      </c>
      <c r="AW37" s="24"/>
      <c r="AX37" s="26">
        <f>BB35-AY35</f>
        <v>131</v>
      </c>
      <c r="AZ37" s="24"/>
      <c r="BA37" s="25">
        <f>BE35-BB35</f>
        <v>294</v>
      </c>
      <c r="BC37" s="24"/>
      <c r="BD37" s="25">
        <f>BH35-BE35</f>
        <v>222</v>
      </c>
      <c r="BG37" s="25">
        <f>BK35-BH35</f>
        <v>184</v>
      </c>
      <c r="BI37" s="24"/>
      <c r="BJ37" s="25">
        <f>BN35-BK35</f>
        <v>219</v>
      </c>
      <c r="BL37" s="24"/>
      <c r="BM37" s="25">
        <f>BQ35-BN35</f>
        <v>178</v>
      </c>
      <c r="BP37" s="25">
        <f>BT35-BQ35</f>
        <v>196</v>
      </c>
      <c r="BS37" s="25">
        <f>BW35-BT35</f>
        <v>122</v>
      </c>
      <c r="BV37" s="25">
        <f>BZ35-BW35</f>
        <v>408</v>
      </c>
      <c r="BY37" s="25">
        <f>CC35-BZ35</f>
        <v>188</v>
      </c>
      <c r="CB37" s="25">
        <f>CF35-CC35</f>
        <v>344</v>
      </c>
      <c r="CE37" s="25">
        <f>CI35-CF35</f>
        <v>203</v>
      </c>
      <c r="CH37" s="25">
        <f>CL35-CI35</f>
        <v>178</v>
      </c>
      <c r="CK37" s="25">
        <f>CO35-CL35</f>
        <v>109</v>
      </c>
      <c r="CM37" s="24"/>
      <c r="CN37" s="25">
        <f>CR35-CO35</f>
        <v>237</v>
      </c>
      <c r="CP37" s="24"/>
      <c r="CQ37" s="25">
        <f>CU35-CR35</f>
        <v>293</v>
      </c>
      <c r="CS37" s="24"/>
      <c r="CT37" s="26">
        <f>CX35-CU35</f>
        <v>189</v>
      </c>
      <c r="CV37" s="24"/>
      <c r="CW37" s="25">
        <f>DA35-CX35</f>
        <v>266</v>
      </c>
      <c r="CY37" s="24"/>
      <c r="CZ37" s="25">
        <f>DD35-DA35</f>
        <v>412</v>
      </c>
      <c r="DB37" s="24"/>
      <c r="DC37" s="25">
        <f>DG35-DD35</f>
        <v>90</v>
      </c>
      <c r="DE37" s="24"/>
      <c r="DF37" s="25">
        <f>DJ35-DG35</f>
        <v>220</v>
      </c>
      <c r="DH37" s="24"/>
      <c r="DI37" s="25">
        <f>DM35-DJ35</f>
        <v>238</v>
      </c>
      <c r="DK37" s="24"/>
      <c r="DL37" s="25">
        <f>DP35-DM35</f>
        <v>197</v>
      </c>
      <c r="DN37" s="24"/>
      <c r="DO37" s="26">
        <f>DS35-DP35</f>
        <v>316</v>
      </c>
      <c r="DQ37" s="24"/>
      <c r="DR37" s="25">
        <f>DV35-DS35</f>
        <v>244</v>
      </c>
      <c r="DT37" s="24"/>
      <c r="DU37" s="25">
        <f>DY35-DV35</f>
        <v>213</v>
      </c>
      <c r="DX37" s="25">
        <f>EB35-DY35</f>
        <v>104</v>
      </c>
      <c r="DZ37" s="24"/>
      <c r="EA37" s="25">
        <f>EE35-EB35</f>
        <v>228</v>
      </c>
      <c r="EC37" s="24"/>
      <c r="ED37" s="25">
        <f>EH35-EE35</f>
        <v>288</v>
      </c>
      <c r="EG37" s="25">
        <f>EK35-EH35</f>
        <v>351</v>
      </c>
      <c r="EJ37" s="25">
        <f>EN35-EK35</f>
        <v>461</v>
      </c>
      <c r="EM37" s="25">
        <f>EQ35-EN35</f>
        <v>469</v>
      </c>
      <c r="EP37" s="25">
        <f>ET35-EQ35</f>
        <v>423</v>
      </c>
      <c r="ES37" s="25">
        <f>EW35-ET35</f>
        <v>297</v>
      </c>
      <c r="EV37" s="25">
        <f>EZ35-EW35</f>
        <v>353</v>
      </c>
      <c r="EY37" s="25">
        <f>FC35-EZ35</f>
        <v>363</v>
      </c>
      <c r="FB37" s="25">
        <f>FF35-FC35</f>
        <v>496</v>
      </c>
      <c r="FE37" s="25">
        <f>FI35-FF35</f>
        <v>618</v>
      </c>
      <c r="FH37" s="25">
        <f>FL35-FI35</f>
        <v>541</v>
      </c>
      <c r="FK37" s="25">
        <f>FO35-FL35</f>
        <v>322</v>
      </c>
      <c r="FN37" s="25">
        <f>FR35-FO35</f>
        <v>283</v>
      </c>
      <c r="FQ37" s="25">
        <f>FU35-FR35</f>
        <v>550</v>
      </c>
      <c r="FT37" s="25">
        <f>FX35-FU35</f>
        <v>420</v>
      </c>
      <c r="FW37" s="25">
        <f>GA35-FX35</f>
        <v>540</v>
      </c>
      <c r="FZ37" s="25">
        <f>GD35-GA35</f>
        <v>336</v>
      </c>
      <c r="GC37" s="25">
        <f>GG35-GD35</f>
        <v>460</v>
      </c>
      <c r="GF37" s="25">
        <f>GJ35-GG35</f>
        <v>413</v>
      </c>
      <c r="GI37" s="25">
        <f>GM35-GJ35</f>
        <v>250</v>
      </c>
      <c r="GL37" s="25">
        <f>GP35-GM35</f>
        <v>361</v>
      </c>
      <c r="GO37" s="25">
        <f>GS35-GP35</f>
        <v>490</v>
      </c>
      <c r="GR37" s="25">
        <f>GV35-GS35</f>
        <v>840</v>
      </c>
      <c r="GU37" s="25">
        <f>GY35-GV35</f>
        <v>501</v>
      </c>
      <c r="GX37" s="25">
        <f>HB35-GY35</f>
        <v>377</v>
      </c>
      <c r="HA37" s="25">
        <f>HE35-HB35</f>
        <v>360</v>
      </c>
      <c r="HD37" s="25">
        <f>HH35-HE35</f>
        <v>300</v>
      </c>
      <c r="HG37" s="25">
        <f>HK35-HH35</f>
        <v>349</v>
      </c>
      <c r="HJ37" s="25">
        <f>HN35-HK35</f>
        <v>411</v>
      </c>
      <c r="HM37" s="25">
        <f>HQ35-HN35</f>
        <v>358</v>
      </c>
      <c r="HP37" s="25">
        <f>HT35-HQ35</f>
        <v>354</v>
      </c>
      <c r="HS37" s="25">
        <f>HW35-HT35</f>
        <v>271</v>
      </c>
      <c r="HV37" s="25">
        <f>HZ35-HW35</f>
        <v>309</v>
      </c>
      <c r="HY37" s="25">
        <f>IC35-HZ35</f>
        <v>252</v>
      </c>
      <c r="IB37" s="25">
        <f>IF35-IC35</f>
        <v>303</v>
      </c>
      <c r="IE37" s="25">
        <f>II35-IF35</f>
        <v>367</v>
      </c>
      <c r="IH37" s="25">
        <f>IL35-II35</f>
        <v>363</v>
      </c>
      <c r="IK37" s="25">
        <f>IO35-IL35</f>
        <v>201</v>
      </c>
      <c r="IN37" s="25">
        <f>IR35-IO35</f>
        <v>173</v>
      </c>
      <c r="IQ37" s="25">
        <f>IU35-IR35</f>
        <v>156</v>
      </c>
      <c r="IT37" s="25">
        <f>IX35-IU35</f>
        <v>160</v>
      </c>
      <c r="IW37" s="25">
        <f>JA35-IX35</f>
        <v>283</v>
      </c>
      <c r="IZ37" s="25">
        <f>JD35-JA35</f>
        <v>438</v>
      </c>
      <c r="JC37" s="25">
        <f>JG35-JD35</f>
        <v>914</v>
      </c>
      <c r="JF37" s="25">
        <f>JJ35-JG35</f>
        <v>1000</v>
      </c>
      <c r="JI37" s="25">
        <f>JM35-JJ35</f>
        <v>296</v>
      </c>
      <c r="JL37" s="25">
        <f>JP35-JM35</f>
        <v>324</v>
      </c>
      <c r="JN37" s="24"/>
      <c r="JO37" s="25">
        <f>JS35-JP35</f>
        <v>198</v>
      </c>
      <c r="JQ37" s="24"/>
      <c r="JR37" s="25">
        <f>JV35-JS35</f>
        <v>200</v>
      </c>
      <c r="JT37" s="24"/>
      <c r="JU37" s="26">
        <f>JY35-JV35</f>
        <v>221</v>
      </c>
      <c r="JW37" s="24"/>
      <c r="JX37" s="25">
        <f>KB35-JY35</f>
        <v>582</v>
      </c>
      <c r="JZ37" s="24"/>
      <c r="KA37" s="25">
        <f>KE35-KB35</f>
        <v>3179</v>
      </c>
      <c r="KC37" s="24"/>
      <c r="KD37" s="25">
        <f>KH35-KE35</f>
        <v>348</v>
      </c>
      <c r="KF37" s="24"/>
      <c r="KG37" s="25">
        <f>KK35-KH35</f>
        <v>496</v>
      </c>
      <c r="KI37" s="24"/>
      <c r="KJ37" s="25">
        <f>KN35-KK35</f>
        <v>786</v>
      </c>
      <c r="KL37" s="24"/>
      <c r="KM37" s="25">
        <f>KQ35-KN35</f>
        <v>469</v>
      </c>
      <c r="KO37" s="24"/>
      <c r="KP37" s="26">
        <f>KT35-KQ35</f>
        <v>1178</v>
      </c>
      <c r="KR37" s="24"/>
      <c r="KS37" s="25">
        <f>KW35-KT35</f>
        <v>444</v>
      </c>
      <c r="KU37" s="24"/>
      <c r="KV37" s="25">
        <f>KZ35-KW35</f>
        <v>401</v>
      </c>
      <c r="KY37" s="25">
        <f>LC35-KZ35</f>
        <v>722</v>
      </c>
      <c r="LA37" s="24"/>
      <c r="LB37" s="25">
        <f>LF35-LC35</f>
        <v>353</v>
      </c>
      <c r="LD37" s="24"/>
      <c r="LE37" s="25">
        <f>LI35-LF35</f>
        <v>438</v>
      </c>
      <c r="LH37" s="25">
        <f>LL35-LI35</f>
        <v>400</v>
      </c>
      <c r="LK37" s="25">
        <f>LO35-LL35</f>
        <v>358</v>
      </c>
      <c r="LN37" s="25">
        <f>LR35-LO35</f>
        <v>842</v>
      </c>
      <c r="LQ37" s="25">
        <f>LU35-LR35</f>
        <v>312</v>
      </c>
      <c r="LT37" s="25">
        <f>LX35-LU35</f>
        <v>343</v>
      </c>
      <c r="LW37" s="25">
        <f>MA35-LX35</f>
        <v>385</v>
      </c>
      <c r="LZ37" s="25">
        <f>MD35-MA35</f>
        <v>548</v>
      </c>
      <c r="MC37" s="25">
        <f>MG35-MD35</f>
        <v>614</v>
      </c>
      <c r="ME37" s="24"/>
      <c r="MF37" s="25">
        <f>MJ35-MG35</f>
        <v>444</v>
      </c>
      <c r="MH37" s="24"/>
      <c r="MI37" s="25">
        <f>MM35-MJ35</f>
        <v>632</v>
      </c>
      <c r="MK37" s="24"/>
      <c r="ML37" s="26">
        <f>MP35-MM35</f>
        <v>457</v>
      </c>
      <c r="MN37" s="24"/>
      <c r="MO37" s="25">
        <f>MS35-MP35</f>
        <v>390</v>
      </c>
      <c r="MQ37" s="24"/>
      <c r="MR37" s="25">
        <f>MV35-MS35</f>
        <v>400</v>
      </c>
      <c r="MT37" s="24"/>
      <c r="MU37" s="25">
        <f>MY35-MV35</f>
        <v>590</v>
      </c>
      <c r="MW37" s="24"/>
      <c r="MX37" s="25">
        <f>NB35-MY35</f>
        <v>565</v>
      </c>
      <c r="MZ37" s="24"/>
      <c r="NA37" s="25">
        <f>NE35-NB35</f>
        <v>720</v>
      </c>
      <c r="NC37" s="24"/>
      <c r="ND37" s="25">
        <f>NH35-NE35</f>
        <v>645</v>
      </c>
      <c r="NF37" s="24"/>
      <c r="NG37" s="26">
        <f>NK35-NH35</f>
        <v>620</v>
      </c>
      <c r="NI37" s="24"/>
      <c r="NJ37" s="25">
        <f>NN35-NK35</f>
        <v>392</v>
      </c>
      <c r="NL37" s="24"/>
      <c r="NM37" s="25">
        <f>NQ35-NN35</f>
        <v>581</v>
      </c>
      <c r="NP37" s="25">
        <f>NT35-NQ35</f>
        <v>1555</v>
      </c>
      <c r="NR37" s="24"/>
      <c r="NS37" s="25">
        <f>NW35-NT35</f>
        <v>704</v>
      </c>
      <c r="NU37" s="24"/>
      <c r="NV37" s="25">
        <f>NZ35-NW35</f>
        <v>648</v>
      </c>
      <c r="NY37" s="25">
        <f>OC35-NZ35</f>
        <v>511</v>
      </c>
      <c r="OB37" s="25">
        <f>OF35-OC35</f>
        <v>459</v>
      </c>
      <c r="OE37" s="25">
        <f>OI35-OF35</f>
        <v>588</v>
      </c>
      <c r="OH37" s="25">
        <f>OL35-OI35</f>
        <v>779</v>
      </c>
      <c r="OK37" s="25">
        <f>OO35-OL35</f>
        <v>720</v>
      </c>
      <c r="ON37" s="25">
        <f>OR35-OO35</f>
        <v>706</v>
      </c>
      <c r="OQ37" s="25">
        <f>OU35-OR35</f>
        <v>691</v>
      </c>
      <c r="OT37" s="25">
        <f>OX35-OU35</f>
        <v>863</v>
      </c>
      <c r="OW37" s="25">
        <f>PA35-OX35</f>
        <v>465</v>
      </c>
      <c r="OZ37" s="25">
        <f>PD35-PA35</f>
        <v>517</v>
      </c>
      <c r="PC37" s="25">
        <f>PG35-PD35</f>
        <v>842</v>
      </c>
      <c r="PF37" s="25">
        <f>PJ35-PG35</f>
        <v>804</v>
      </c>
      <c r="PI37" s="25">
        <f>PM35-PJ35</f>
        <v>770</v>
      </c>
      <c r="PL37" s="25">
        <f>PP35-PM35</f>
        <v>856</v>
      </c>
      <c r="PO37" s="25">
        <f>PS35-PP35</f>
        <v>520</v>
      </c>
      <c r="PR37" s="25">
        <f>PV35-PS35</f>
        <v>430</v>
      </c>
      <c r="PU37" s="25">
        <f>PY35-PV35</f>
        <v>640</v>
      </c>
      <c r="PX37" s="25">
        <f>QB35-PY35</f>
        <v>803</v>
      </c>
      <c r="QA37" s="25">
        <f>QE35-QB35</f>
        <v>726</v>
      </c>
      <c r="QD37" s="25">
        <f>QH35-QE35</f>
        <v>512</v>
      </c>
      <c r="QG37" s="25">
        <f>QK35-QH35</f>
        <v>791</v>
      </c>
      <c r="QJ37" s="25">
        <f>QN35-QK35</f>
        <v>458</v>
      </c>
      <c r="QM37" s="25">
        <f>QQ35-QN35</f>
        <v>422</v>
      </c>
      <c r="QP37" s="25">
        <f>QT35-QQ35</f>
        <v>420</v>
      </c>
      <c r="QS37" s="25">
        <f>QW35-QT35</f>
        <v>607</v>
      </c>
      <c r="QV37" s="25">
        <f>QZ35-QW35</f>
        <v>654</v>
      </c>
      <c r="QY37" s="25">
        <f>RC35-QZ35</f>
        <v>566</v>
      </c>
      <c r="RB37" s="25">
        <f>RF35-RC35</f>
        <v>422</v>
      </c>
      <c r="RE37" s="25">
        <f>RI35-RF35</f>
        <v>302</v>
      </c>
      <c r="RH37" s="25">
        <f>RL35-RI35</f>
        <v>341</v>
      </c>
      <c r="RK37" s="25">
        <f>RO35-RL35</f>
        <v>331</v>
      </c>
      <c r="RN37" s="25">
        <f>RR35-RO35</f>
        <v>774</v>
      </c>
      <c r="RQ37" s="25">
        <f>RU35-RR35</f>
        <v>419</v>
      </c>
      <c r="RT37" s="25">
        <f>RX35-RU35</f>
        <v>446</v>
      </c>
      <c r="RW37" s="25">
        <f>SA35-RX35</f>
        <v>346</v>
      </c>
      <c r="RZ37" s="25">
        <f>SD35-SA35</f>
        <v>225</v>
      </c>
      <c r="SC37" s="25">
        <f>SG35-SD35</f>
        <v>286</v>
      </c>
      <c r="SF37" s="25">
        <f>SJ35-SG35</f>
        <v>400</v>
      </c>
      <c r="SI37" s="25">
        <f>SM35-SJ35</f>
        <v>289</v>
      </c>
      <c r="SL37" s="25">
        <f>SP35-SM35</f>
        <v>380</v>
      </c>
      <c r="SO37" s="25">
        <f>SS35-SP35</f>
        <v>498</v>
      </c>
      <c r="SR37" s="25">
        <f>SV35-SS35</f>
        <v>156</v>
      </c>
      <c r="SU37" s="25">
        <f>SY35-SV35</f>
        <v>214</v>
      </c>
      <c r="SX37" s="25">
        <f>TB35-SY35</f>
        <v>576</v>
      </c>
      <c r="TA37" s="25">
        <f>TE35-TB35</f>
        <v>267</v>
      </c>
      <c r="TD37" s="25">
        <f>TH35-TE35</f>
        <v>460</v>
      </c>
      <c r="TG37" s="25">
        <f>TK35-TH35</f>
        <v>133</v>
      </c>
      <c r="TJ37" s="25">
        <f>TN35-TK35</f>
        <v>224</v>
      </c>
      <c r="TM37" s="25">
        <f>TQ35-TN35</f>
        <v>244</v>
      </c>
      <c r="TP37" s="25">
        <f>TT35-TQ35</f>
        <v>208</v>
      </c>
      <c r="TS37" s="25">
        <f>TW35-TT35</f>
        <v>195</v>
      </c>
      <c r="TV37" s="25">
        <f>TZ35-TW35</f>
        <v>288</v>
      </c>
      <c r="TY37" s="25">
        <f>UC35-TZ35</f>
        <v>132</v>
      </c>
      <c r="UB37" s="25">
        <f>UF35-UC35</f>
        <v>117</v>
      </c>
      <c r="UE37" s="25">
        <f>UI35-UF35</f>
        <v>184</v>
      </c>
      <c r="UH37" s="25">
        <f>UL35-UI35</f>
        <v>269</v>
      </c>
      <c r="UK37" s="25">
        <f>UO35-UL35</f>
        <v>280</v>
      </c>
      <c r="UN37" s="25">
        <f>UR35-UO35</f>
        <v>788</v>
      </c>
      <c r="UQ37" s="25">
        <f>UU35-UR35</f>
        <v>124</v>
      </c>
      <c r="UT37" s="25">
        <f>UX35-UU35</f>
        <v>280</v>
      </c>
      <c r="UW37" s="25">
        <f>VA35-UX35</f>
        <v>262</v>
      </c>
      <c r="UZ37" s="25">
        <f>VD35-VA35</f>
        <v>154</v>
      </c>
      <c r="VC37" s="25">
        <f>VG35-VD35</f>
        <v>192</v>
      </c>
      <c r="VF37" s="25">
        <f>VJ35-VG35</f>
        <v>227</v>
      </c>
      <c r="VI37" s="25">
        <f>VM35-VJ35</f>
        <v>144</v>
      </c>
      <c r="VL37" s="25">
        <f>VP35-VM35</f>
        <v>149</v>
      </c>
      <c r="VO37" s="25">
        <f>VS35-VP35</f>
        <v>289</v>
      </c>
      <c r="VR37" s="25">
        <f>VV35-VS35</f>
        <v>259</v>
      </c>
      <c r="VU37" s="25">
        <f>VY35-VV35</f>
        <v>211</v>
      </c>
      <c r="VX37" s="25">
        <f>WB35-VY35</f>
        <v>248</v>
      </c>
      <c r="WA37" s="25">
        <f>WE35-WB35</f>
        <v>121</v>
      </c>
      <c r="WD37" s="25">
        <f>WH35-WE35</f>
        <v>93</v>
      </c>
      <c r="WG37" s="25">
        <f>WK35-WH35</f>
        <v>125</v>
      </c>
      <c r="WJ37" s="25">
        <f>WN35-WK35</f>
        <v>220</v>
      </c>
      <c r="WM37" s="25">
        <f>WQ35-WN35</f>
        <v>98</v>
      </c>
      <c r="WP37" s="25">
        <f>WT35-WQ35</f>
        <v>370</v>
      </c>
      <c r="WS37" s="25">
        <f>WW35-WT35</f>
        <v>56</v>
      </c>
      <c r="WV37" s="25">
        <f>WZ35-WW35</f>
        <v>154</v>
      </c>
      <c r="WY37" s="25">
        <f>XC35-WZ35</f>
        <v>128</v>
      </c>
      <c r="XB37" s="25">
        <f>XF35-XC35</f>
        <v>143</v>
      </c>
      <c r="XE37" s="25">
        <f>XI35-XF35</f>
        <v>125</v>
      </c>
      <c r="XH37" s="25">
        <f>XL35-XI35</f>
        <v>120</v>
      </c>
      <c r="XK37" s="25">
        <f>XO35-XL35</f>
        <v>68</v>
      </c>
    </row>
    <row r="38" spans="2:673" s="35" customFormat="1">
      <c r="L38" s="36"/>
      <c r="N38" s="27"/>
      <c r="O38" s="35" t="s">
        <v>359</v>
      </c>
      <c r="Q38" s="35">
        <f ca="1">MAX(37:37)</f>
        <v>3179</v>
      </c>
      <c r="T38" s="27" t="str">
        <f>IF(WEEKDAY(T36,2)=1,"Mo","")</f>
        <v/>
      </c>
      <c r="W38" s="27" t="str">
        <f>IF(WEEKDAY(W36,2)=1,"Ma","")</f>
        <v/>
      </c>
      <c r="Z38" s="27" t="str">
        <f>IF(WEEKDAY(Z36,2)=1,"Ma","")</f>
        <v/>
      </c>
      <c r="AC38" s="27" t="str">
        <f>IF(WEEKDAY(AC36,2)=1,"Ma","")</f>
        <v>Ma</v>
      </c>
      <c r="AF38" s="27"/>
      <c r="AI38" s="27"/>
      <c r="AL38" s="27"/>
      <c r="AO38" s="27"/>
      <c r="AR38" s="27"/>
      <c r="AU38" s="27"/>
      <c r="AX38" s="27"/>
      <c r="BA38" s="27"/>
      <c r="BD38" s="27"/>
      <c r="BG38" s="27"/>
      <c r="BJ38" s="27"/>
      <c r="BM38" s="27"/>
      <c r="BP38" s="27"/>
      <c r="BS38" s="27"/>
      <c r="BV38" s="27"/>
      <c r="BY38" s="27"/>
      <c r="CB38" s="27"/>
      <c r="CE38" s="27"/>
      <c r="CH38" s="27"/>
      <c r="CK38" s="27"/>
      <c r="DX38" s="27" t="str">
        <f>IF(WEEKDAY(DX36,2)=1,"Ma","")</f>
        <v>Ma</v>
      </c>
      <c r="EA38" s="27" t="str">
        <f>IF(WEEKDAY(EA36,2)=1,"Ma","")</f>
        <v/>
      </c>
      <c r="ED38" s="27" t="str">
        <f>IF(WEEKDAY(ED36,2)=1,"Ma","")</f>
        <v/>
      </c>
      <c r="EG38" s="27" t="str">
        <f>IF(WEEKDAY(EG36,2)=1,"Ma","")</f>
        <v/>
      </c>
      <c r="EJ38" s="27" t="str">
        <f>IF(WEEKDAY(EJ36,2)=1,"Ma","")</f>
        <v/>
      </c>
      <c r="EM38" s="27" t="str">
        <f>IF(WEEKDAY(EM36,2)=1,"Ma","")</f>
        <v/>
      </c>
      <c r="EP38" s="27" t="str">
        <f>IF(WEEKDAY(EP36,2)=1,"Ma","")</f>
        <v/>
      </c>
      <c r="ES38" s="27" t="str">
        <f>IF(WEEKDAY(ES36,2)=1,"Ma","")</f>
        <v>Ma</v>
      </c>
      <c r="EV38" s="27" t="str">
        <f>IF(WEEKDAY(EV36,2)=1,"Ma","")</f>
        <v/>
      </c>
      <c r="EY38" s="27" t="str">
        <f>IF(WEEKDAY(EY36,2)=1,"Ma","")</f>
        <v/>
      </c>
      <c r="FB38" s="27" t="str">
        <f>IF(WEEKDAY(FB36,2)=1,"Ma","")</f>
        <v/>
      </c>
      <c r="FE38" s="27" t="str">
        <f>IF(WEEKDAY(FE36,2)=1,"Ma","")</f>
        <v/>
      </c>
      <c r="FH38" s="27" t="str">
        <f>IF(WEEKDAY(FH36,2)=1,"Ma","")</f>
        <v/>
      </c>
      <c r="FK38" s="27" t="str">
        <f>IF(WEEKDAY(FK36,2)=1,"Ma","")</f>
        <v/>
      </c>
      <c r="FN38" s="27" t="str">
        <f>IF(WEEKDAY(FN36,2)=1,"Ma","")</f>
        <v>Ma</v>
      </c>
      <c r="FQ38" s="27" t="str">
        <f>IF(WEEKDAY(FQ36,2)=1,"Ma","")</f>
        <v/>
      </c>
      <c r="FT38" s="27" t="str">
        <f>IF(WEEKDAY(FT36,2)=1,"Ma","")</f>
        <v/>
      </c>
      <c r="FW38" s="27" t="str">
        <f>IF(WEEKDAY(FW36,2)=1,"Ma","")</f>
        <v/>
      </c>
      <c r="FZ38" s="27" t="str">
        <f>IF(WEEKDAY(FZ36,2)=1,"Ma","")</f>
        <v/>
      </c>
      <c r="GC38" s="27" t="str">
        <f>IF(WEEKDAY(GC36,2)=1,"Ma","")</f>
        <v/>
      </c>
      <c r="GF38" s="27" t="str">
        <f>IF(WEEKDAY(GF36,2)=1,"Ma","")</f>
        <v/>
      </c>
      <c r="GI38" s="27" t="str">
        <f>IF(WEEKDAY(GI36,2)=1,"Ma","")</f>
        <v>Ma</v>
      </c>
      <c r="GL38" s="27" t="str">
        <f>IF(WEEKDAY(GL36,2)=1,"Ma","")</f>
        <v/>
      </c>
      <c r="GO38" s="27" t="str">
        <f>IF(WEEKDAY(GO36,2)=1,"Ma","")</f>
        <v/>
      </c>
      <c r="GR38" s="27" t="str">
        <f>IF(WEEKDAY(GR36,2)=1,"Ma","")</f>
        <v/>
      </c>
      <c r="GU38" s="27" t="str">
        <f>IF(WEEKDAY(GU36,2)=1,"Ma","")</f>
        <v/>
      </c>
      <c r="GX38" s="27" t="str">
        <f>IF(WEEKDAY(GX36,2)=1,"Ma","")</f>
        <v/>
      </c>
      <c r="HA38" s="27" t="str">
        <f>IF(WEEKDAY(HA36,2)=1,"Ma","")</f>
        <v/>
      </c>
      <c r="HD38" s="27" t="str">
        <f>IF(WEEKDAY(HD36,2)=1,"Ma","")</f>
        <v>Ma</v>
      </c>
      <c r="HG38" s="27" t="str">
        <f>IF(WEEKDAY(HG36,2)=1,"Ma","")</f>
        <v/>
      </c>
      <c r="HJ38" s="27" t="str">
        <f>IF(WEEKDAY(HJ36,2)=1,"Ma","")</f>
        <v/>
      </c>
      <c r="HM38" s="27" t="str">
        <f>IF(WEEKDAY(HM36,2)=1,"Ma","")</f>
        <v/>
      </c>
      <c r="HP38" s="27" t="str">
        <f>IF(WEEKDAY(HP36,2)=1,"Ma","")</f>
        <v/>
      </c>
      <c r="HS38" s="27" t="str">
        <f>IF(WEEKDAY(HS36,2)=1,"Ma","")</f>
        <v/>
      </c>
      <c r="HV38" s="27" t="str">
        <f>IF(WEEKDAY(HV36,2)=1,"Ma","")</f>
        <v/>
      </c>
      <c r="HY38" s="27" t="str">
        <f>IF(WEEKDAY(HY36,2)=1,"Ma","")</f>
        <v>Ma</v>
      </c>
      <c r="IB38" s="27" t="str">
        <f>IF(WEEKDAY(IB36,2)=1,"Ma","")</f>
        <v/>
      </c>
      <c r="IE38" s="27" t="str">
        <f>IF(WEEKDAY(IE36,2)=1,"Ma","")</f>
        <v/>
      </c>
      <c r="IH38" s="27" t="str">
        <f>IF(WEEKDAY(IH36,2)=1,"Ma","")</f>
        <v/>
      </c>
      <c r="IK38" s="27" t="str">
        <f>IF(WEEKDAY(IK36,2)=1,"Ma","")</f>
        <v/>
      </c>
      <c r="IN38" s="27" t="str">
        <f>IF(WEEKDAY(IN36,2)=1,"Ma","")</f>
        <v/>
      </c>
      <c r="IQ38" s="27" t="str">
        <f>IF(WEEKDAY(IQ36,2)=1,"Ma","")</f>
        <v/>
      </c>
      <c r="IT38" s="27" t="str">
        <f>IF(WEEKDAY(IT36,2)=1,"Ma","")</f>
        <v>Ma</v>
      </c>
      <c r="IW38" s="27" t="str">
        <f>IF(WEEKDAY(IW36,2)=1,"Ma","")</f>
        <v/>
      </c>
      <c r="IZ38" s="27" t="str">
        <f>IF(WEEKDAY(IZ36,2)=1,"Ma","")</f>
        <v/>
      </c>
      <c r="JC38" s="27" t="str">
        <f>IF(WEEKDAY(JC36,2)=1,"Ma","")</f>
        <v/>
      </c>
      <c r="JF38" s="27" t="str">
        <f>IF(WEEKDAY(JF36,2)=1,"Ma","")</f>
        <v/>
      </c>
      <c r="JI38" s="27" t="str">
        <f>IF(WEEKDAY(JI36,2)=1,"Ma","")</f>
        <v/>
      </c>
      <c r="JL38" s="27" t="str">
        <f>IF(WEEKDAY(JL36,2)=1,"Mo","")</f>
        <v/>
      </c>
      <c r="JO38" s="27" t="str">
        <f>IF(WEEKDAY(JO36,2)=1,"Ma","")</f>
        <v/>
      </c>
      <c r="JR38" s="27" t="str">
        <f>IF(WEEKDAY(JR36,2)=1,"Ma","")</f>
        <v/>
      </c>
      <c r="JU38" s="27" t="str">
        <f>IF(WEEKDAY(JU36,2)=1,"Ma","")</f>
        <v/>
      </c>
      <c r="JX38" s="27" t="str">
        <f>IF(WEEKDAY(JX36,2)=1,"Ma","")</f>
        <v/>
      </c>
      <c r="KA38" s="27" t="str">
        <f>IF(WEEKDAY(KA36,2)=1,"Ma","")</f>
        <v/>
      </c>
      <c r="KD38" s="27" t="str">
        <f>IF(WEEKDAY(KD36,2)=1,"Ma","")</f>
        <v/>
      </c>
      <c r="KG38" s="27" t="str">
        <f>IF(WEEKDAY(KG36,2)=1,"Ma","")</f>
        <v/>
      </c>
      <c r="KJ38" s="27" t="str">
        <f>IF(WEEKDAY(KJ36,2)=1,"Ma","")</f>
        <v/>
      </c>
      <c r="KM38" s="27" t="str">
        <f>IF(WEEKDAY(KM36,2)=1,"Ma","")</f>
        <v/>
      </c>
      <c r="KP38" s="27" t="str">
        <f>IF(WEEKDAY(KP36,2)=1,"Ma","")</f>
        <v/>
      </c>
      <c r="KS38" s="27" t="str">
        <f>IF(WEEKDAY(KS36,2)=1,"Ma","")</f>
        <v/>
      </c>
      <c r="KV38" s="27" t="str">
        <f>IF(WEEKDAY(KV36,2)=1,"Ma","")</f>
        <v/>
      </c>
      <c r="KY38" s="27" t="str">
        <f>IF(WEEKDAY(KY36,2)=1,"Ma","")</f>
        <v/>
      </c>
      <c r="LB38" s="27" t="str">
        <f>IF(WEEKDAY(LB36,2)=1,"Ma","")</f>
        <v>Ma</v>
      </c>
      <c r="LE38" s="27" t="str">
        <f>IF(WEEKDAY(LE36,2)=1,"Ma","")</f>
        <v/>
      </c>
      <c r="LH38" s="27" t="str">
        <f>IF(WEEKDAY(LH36,2)=1,"Ma","")</f>
        <v/>
      </c>
      <c r="LK38" s="27" t="str">
        <f>IF(WEEKDAY(LK36,2)=1,"Ma","")</f>
        <v/>
      </c>
      <c r="LN38" s="27" t="str">
        <f>IF(WEEKDAY(LN36,2)=1,"Ma","")</f>
        <v/>
      </c>
      <c r="LQ38" s="27" t="str">
        <f>IF(WEEKDAY(LQ36,2)=1,"Ma","")</f>
        <v/>
      </c>
      <c r="LT38" s="27" t="str">
        <f>IF(WEEKDAY(LT36,2)=1,"Ma","")</f>
        <v>Ma</v>
      </c>
      <c r="LW38" s="27" t="str">
        <f>IF(WEEKDAY(LW36,2)=1,"Ma","")</f>
        <v/>
      </c>
      <c r="LZ38" s="27" t="str">
        <f>IF(WEEKDAY(LZ36,2)=1,"Ma","")</f>
        <v/>
      </c>
      <c r="MC38" s="27" t="str">
        <f>IF(WEEKDAY(MC36,2)=1,"Ma","")</f>
        <v/>
      </c>
      <c r="MF38" s="27" t="str">
        <f>IF(WEEKDAY(MF36,2)=1,"Ma","")</f>
        <v/>
      </c>
      <c r="MI38" s="27" t="str">
        <f>IF(WEEKDAY(MI36,2)=1,"Ma","")</f>
        <v/>
      </c>
      <c r="ML38" s="27" t="str">
        <f>IF(WEEKDAY(ML36,2)=1,"Ma","")</f>
        <v/>
      </c>
      <c r="MO38" s="27" t="str">
        <f>IF(WEEKDAY(MO36,2)=1,"Ma","")</f>
        <v>Ma</v>
      </c>
      <c r="MR38" s="27" t="str">
        <f>IF(WEEKDAY(MR36,2)=1,"Ma","")</f>
        <v/>
      </c>
      <c r="MU38" s="27" t="str">
        <f>IF(WEEKDAY(MU36,2)=1,"Ma","")</f>
        <v/>
      </c>
      <c r="MX38" s="27" t="str">
        <f>IF(WEEKDAY(MX36,2)=1,"Ma","")</f>
        <v/>
      </c>
      <c r="NA38" s="27" t="str">
        <f>IF(WEEKDAY(NA36,2)=1,"Ma","")</f>
        <v/>
      </c>
      <c r="ND38" s="27" t="str">
        <f>IF(WEEKDAY(ND36,2)=1,"Ma","")</f>
        <v/>
      </c>
      <c r="NG38" s="27" t="str">
        <f>IF(WEEKDAY(NG36,2)=1,"Ma","")</f>
        <v/>
      </c>
      <c r="NJ38" s="27" t="str">
        <f>IF(WEEKDAY(NJ36,2)=1,"Ma","")</f>
        <v/>
      </c>
      <c r="NM38" s="27" t="str">
        <f>IF(WEEKDAY(NM36,2)=1,"Ma","")</f>
        <v/>
      </c>
      <c r="NP38" s="27" t="str">
        <f>IF(WEEKDAY(NP36,2)=1,"Ma","")</f>
        <v/>
      </c>
      <c r="NS38" s="27" t="str">
        <f>IF(WEEKDAY(NS36,2)=1,"Ma","")</f>
        <v/>
      </c>
      <c r="NV38" s="27" t="str">
        <f>IF(WEEKDAY(NV36,2)=1,"Ma","")</f>
        <v/>
      </c>
      <c r="NY38" s="27" t="str">
        <f>IF(WEEKDAY(NY36,2)=1,"Ma","")</f>
        <v/>
      </c>
      <c r="OB38" s="27" t="str">
        <f>IF(WEEKDAY(OB36,2)=1,"Ma","")</f>
        <v>Ma</v>
      </c>
      <c r="OE38" s="27" t="str">
        <f>IF(WEEKDAY(OE36,2)=1,"Ma","")</f>
        <v/>
      </c>
      <c r="OH38" s="27" t="str">
        <f>IF(WEEKDAY(OH36,2)=1,"Ma","")</f>
        <v/>
      </c>
      <c r="OK38" s="27" t="str">
        <f>IF(WEEKDAY(OK36,2)=1,"Ma","")</f>
        <v/>
      </c>
      <c r="ON38" s="27" t="str">
        <f>IF(WEEKDAY(ON36,2)=1,"Ma","")</f>
        <v/>
      </c>
      <c r="OQ38" s="27" t="str">
        <f>IF(WEEKDAY(OQ36,2)=1,"Ma","")</f>
        <v/>
      </c>
      <c r="OT38" s="27" t="str">
        <f>IF(WEEKDAY(OT36,2)=1,"Ma","")</f>
        <v/>
      </c>
      <c r="OW38" s="27" t="str">
        <f>IF(WEEKDAY(OW36,2)=1,"Ma","")</f>
        <v>Ma</v>
      </c>
      <c r="OZ38" s="27" t="str">
        <f>IF(WEEKDAY(OZ36,2)=1,"Ma","")</f>
        <v/>
      </c>
      <c r="PC38" s="27" t="str">
        <f>IF(WEEKDAY(PC36,2)=1,"Ma","")</f>
        <v/>
      </c>
      <c r="PF38" s="27" t="str">
        <f>IF(WEEKDAY(PF36,2)=1,"Ma","")</f>
        <v/>
      </c>
      <c r="PI38" s="27" t="str">
        <f>IF(WEEKDAY(PI36,2)=1,"Ma","")</f>
        <v/>
      </c>
      <c r="PL38" s="27" t="str">
        <f>IF(WEEKDAY(PL36,2)=1,"Ma","")</f>
        <v/>
      </c>
      <c r="PO38" s="27" t="str">
        <f>IF(WEEKDAY(PO36,2)=1,"Ma","")</f>
        <v/>
      </c>
      <c r="PR38" s="27" t="str">
        <f>IF(WEEKDAY(PR36,2)=1,"Ma","")</f>
        <v>Ma</v>
      </c>
      <c r="PU38" s="27" t="str">
        <f>IF(WEEKDAY(PU36,2)=1,"Ma","")</f>
        <v/>
      </c>
      <c r="PX38" s="27" t="str">
        <f>IF(WEEKDAY(PX36,2)=1,"Ma","")</f>
        <v/>
      </c>
      <c r="QA38" s="27" t="str">
        <f>IF(WEEKDAY(QA36,2)=1,"Ma","")</f>
        <v/>
      </c>
      <c r="QD38" s="27" t="str">
        <f>IF(WEEKDAY(QD36,2)=1,"Ma","")</f>
        <v/>
      </c>
      <c r="QG38" s="27" t="str">
        <f>IF(WEEKDAY(QG36,2)=1,"Ma","")</f>
        <v/>
      </c>
      <c r="QJ38" s="27" t="str">
        <f>IF(WEEKDAY(QJ36,2)=1,"Ma","")</f>
        <v/>
      </c>
      <c r="QM38" s="27" t="str">
        <f>IF(WEEKDAY(QM36,2)=1,"Ma","")</f>
        <v>Ma</v>
      </c>
      <c r="QP38" s="27" t="str">
        <f>IF(WEEKDAY(QP36,2)=1,"Ma","")</f>
        <v/>
      </c>
      <c r="QS38" s="27" t="str">
        <f>IF(WEEKDAY(QS36,2)=1,"Ma","")</f>
        <v/>
      </c>
      <c r="QV38" s="27" t="str">
        <f>IF(WEEKDAY(QV36,2)=1,"Ma","")</f>
        <v/>
      </c>
      <c r="QY38" s="27" t="str">
        <f>IF(WEEKDAY(QY36,2)=1,"Ma","")</f>
        <v/>
      </c>
      <c r="RB38" s="27" t="str">
        <f>IF(WEEKDAY(RB36,2)=1,"Ma","")</f>
        <v/>
      </c>
      <c r="RE38" s="27" t="str">
        <f>IF(WEEKDAY(RE36,2)=1,"Ma","")</f>
        <v/>
      </c>
      <c r="RH38" s="27" t="str">
        <f>IF(WEEKDAY(RH36,2)=1,"Ma","")</f>
        <v>Ma</v>
      </c>
      <c r="RK38" s="27" t="str">
        <f>IF(WEEKDAY(RK36,2)=1,"Ma","")</f>
        <v/>
      </c>
      <c r="RN38" s="27" t="str">
        <f>IF(WEEKDAY(RN36,2)=1,"Ma","")</f>
        <v/>
      </c>
      <c r="RQ38" s="27" t="str">
        <f>IF(WEEKDAY(RQ36,2)=1,"Ma","")</f>
        <v/>
      </c>
      <c r="RT38" s="27" t="str">
        <f>IF(WEEKDAY(RT36,2)=1,"Ma","")</f>
        <v/>
      </c>
      <c r="RW38" s="27" t="str">
        <f>IF(WEEKDAY(RW36,2)=1,"Ma","")</f>
        <v/>
      </c>
      <c r="RZ38" s="27" t="str">
        <f>IF(WEEKDAY(RZ36,2)=1,"Ma","")</f>
        <v>Ma</v>
      </c>
      <c r="SC38" s="27" t="str">
        <f>IF(WEEKDAY(SC36,2)=1,"Ma","")</f>
        <v/>
      </c>
      <c r="SF38" s="27" t="str">
        <f>IF(WEEKDAY(SF36,2)=1,"Ma","")</f>
        <v/>
      </c>
      <c r="SI38" s="27" t="str">
        <f>IF(WEEKDAY(SI36,2)=1,"Ma","")</f>
        <v/>
      </c>
      <c r="SL38" s="27" t="str">
        <f>IF(WEEKDAY(SL36,2)=1,"Ma","")</f>
        <v/>
      </c>
      <c r="SO38" s="27" t="str">
        <f>IF(WEEKDAY(SO36,2)=1,"Ma","")</f>
        <v/>
      </c>
      <c r="SR38" s="27" t="str">
        <f>IF(WEEKDAY(SR36,2)=1,"Ma","")</f>
        <v>Ma</v>
      </c>
      <c r="SU38" s="27" t="str">
        <f>IF(WEEKDAY(SU36,2)=1,"Ma","")</f>
        <v/>
      </c>
      <c r="SX38" s="27" t="str">
        <f>IF(WEEKDAY(SX36,2)=1,"Ma","")</f>
        <v/>
      </c>
      <c r="TA38" s="27" t="str">
        <f>IF(WEEKDAY(TA36,2)=1,"Ma","")</f>
        <v/>
      </c>
      <c r="TD38" s="27" t="str">
        <f>IF(WEEKDAY(TD36,2)=1,"Ma","")</f>
        <v/>
      </c>
    </row>
    <row r="39" spans="2:673">
      <c r="Q39" s="20"/>
      <c r="T39" s="20"/>
    </row>
    <row r="40" spans="2:673">
      <c r="B40" s="21">
        <f>Q36</f>
        <v>44366</v>
      </c>
      <c r="C40">
        <f t="shared" ref="C40:C47" ca="1" si="6">HLOOKUP(B40,$36:$37,2,FALSE)</f>
        <v>115</v>
      </c>
      <c r="D40" s="16"/>
      <c r="G40" s="16"/>
      <c r="J40" s="16"/>
      <c r="L40"/>
      <c r="M40" s="16"/>
      <c r="N40"/>
      <c r="P40" s="16"/>
      <c r="Q40"/>
      <c r="S40" s="16"/>
      <c r="T40"/>
      <c r="V40" s="16"/>
      <c r="W40"/>
      <c r="Y40" s="16"/>
      <c r="Z40"/>
      <c r="AB40" s="16"/>
      <c r="AC40"/>
      <c r="AE40" s="16"/>
      <c r="AF40"/>
      <c r="AH40" s="16"/>
      <c r="AI40"/>
      <c r="AK40" s="16"/>
      <c r="AL40"/>
      <c r="AN40" s="16"/>
      <c r="AO40"/>
      <c r="AQ40" s="16"/>
      <c r="AR40"/>
      <c r="AT40" s="16"/>
    </row>
    <row r="41" spans="2:673">
      <c r="B41" s="21">
        <f>B40-7</f>
        <v>44359</v>
      </c>
      <c r="C41" t="e">
        <f t="shared" si="6"/>
        <v>#N/A</v>
      </c>
      <c r="D41" s="16"/>
      <c r="G41" s="16"/>
      <c r="J41" s="16"/>
      <c r="L41"/>
      <c r="M41" s="16"/>
      <c r="N41"/>
      <c r="P41" s="16"/>
      <c r="Q41"/>
      <c r="S41" s="16"/>
      <c r="T41"/>
      <c r="V41" s="16"/>
      <c r="W41"/>
      <c r="Y41" s="16"/>
      <c r="Z41"/>
      <c r="AB41" s="16"/>
      <c r="AC41"/>
      <c r="AE41" s="16"/>
      <c r="AF41"/>
      <c r="AH41" s="16"/>
      <c r="AI41"/>
      <c r="AK41" s="16"/>
      <c r="AL41"/>
      <c r="AN41" s="16"/>
      <c r="AO41"/>
      <c r="AQ41" s="16"/>
      <c r="AR41"/>
      <c r="AT41" s="16"/>
    </row>
    <row r="42" spans="2:673">
      <c r="B42" s="21">
        <f t="shared" ref="B42:B47" si="7">B41-7</f>
        <v>44352</v>
      </c>
      <c r="C42">
        <f t="shared" si="6"/>
        <v>125</v>
      </c>
      <c r="D42" s="16"/>
      <c r="G42" s="16"/>
      <c r="J42" s="16"/>
      <c r="L42"/>
      <c r="M42" s="16"/>
      <c r="N42"/>
      <c r="P42" s="16"/>
      <c r="Q42"/>
      <c r="S42" s="16"/>
      <c r="T42"/>
      <c r="V42" s="16"/>
      <c r="W42"/>
      <c r="Y42" s="16"/>
      <c r="Z42"/>
      <c r="AB42" s="16"/>
      <c r="AC42"/>
      <c r="AE42" s="16"/>
      <c r="AF42"/>
      <c r="AH42" s="16"/>
      <c r="AI42"/>
      <c r="AK42" s="16"/>
      <c r="AL42"/>
      <c r="AN42" s="16"/>
      <c r="AO42"/>
      <c r="AQ42" s="16"/>
      <c r="AR42"/>
      <c r="AT42" s="16"/>
    </row>
    <row r="43" spans="2:673">
      <c r="B43" s="21">
        <f t="shared" si="7"/>
        <v>44345</v>
      </c>
      <c r="C43" t="e">
        <f t="shared" si="6"/>
        <v>#N/A</v>
      </c>
      <c r="D43" s="16"/>
      <c r="G43" s="16"/>
      <c r="J43" s="16"/>
      <c r="L43"/>
      <c r="M43" s="16"/>
      <c r="N43"/>
      <c r="P43" s="16"/>
      <c r="Q43"/>
      <c r="S43" s="16"/>
      <c r="T43"/>
      <c r="V43" s="16"/>
      <c r="W43"/>
      <c r="Y43" s="16"/>
      <c r="Z43"/>
      <c r="AB43" s="16"/>
      <c r="AC43"/>
      <c r="AE43" s="16"/>
      <c r="AF43"/>
      <c r="AH43" s="16"/>
      <c r="AI43"/>
      <c r="AK43" s="16"/>
      <c r="AL43"/>
      <c r="AN43" s="16"/>
      <c r="AO43"/>
      <c r="AQ43" s="16"/>
      <c r="AR43"/>
      <c r="AT43" s="16"/>
    </row>
    <row r="44" spans="2:673">
      <c r="B44" s="21">
        <f t="shared" si="7"/>
        <v>44338</v>
      </c>
      <c r="C44">
        <f t="shared" si="6"/>
        <v>211</v>
      </c>
      <c r="D44" s="16"/>
      <c r="G44" s="16"/>
      <c r="J44" s="16"/>
      <c r="L44"/>
      <c r="M44" s="16"/>
      <c r="N44"/>
      <c r="P44" s="16"/>
      <c r="Q44"/>
      <c r="S44" s="16"/>
      <c r="T44"/>
      <c r="V44" s="16"/>
      <c r="W44"/>
      <c r="Y44" s="16"/>
      <c r="Z44"/>
      <c r="AB44" s="16"/>
      <c r="AC44"/>
      <c r="AE44" s="16"/>
      <c r="AF44"/>
      <c r="AH44" s="16"/>
      <c r="AI44"/>
      <c r="AK44" s="16"/>
      <c r="AL44"/>
      <c r="AN44" s="16"/>
      <c r="AO44"/>
      <c r="AQ44" s="16"/>
      <c r="AR44"/>
      <c r="AT44" s="16"/>
    </row>
    <row r="45" spans="2:673">
      <c r="B45" s="21">
        <f t="shared" si="7"/>
        <v>44331</v>
      </c>
      <c r="C45">
        <f t="shared" si="6"/>
        <v>154</v>
      </c>
      <c r="D45" s="16"/>
      <c r="G45" s="16"/>
      <c r="J45" s="16"/>
      <c r="L45"/>
      <c r="M45" s="16"/>
      <c r="N45"/>
      <c r="P45" s="16"/>
      <c r="Q45"/>
      <c r="S45" s="16"/>
      <c r="T45"/>
      <c r="V45" s="16"/>
      <c r="W45"/>
      <c r="Y45" s="16"/>
      <c r="Z45"/>
      <c r="AB45" s="16"/>
      <c r="AC45"/>
      <c r="AE45" s="16"/>
      <c r="AF45"/>
      <c r="AH45" s="16"/>
      <c r="AI45"/>
      <c r="AK45" s="16"/>
      <c r="AL45"/>
      <c r="AN45" s="16"/>
      <c r="AO45"/>
      <c r="AQ45" s="16"/>
      <c r="AR45"/>
      <c r="AT45" s="16"/>
    </row>
    <row r="46" spans="2:673">
      <c r="B46" s="21">
        <f t="shared" si="7"/>
        <v>44324</v>
      </c>
      <c r="C46" t="e">
        <f t="shared" si="6"/>
        <v>#N/A</v>
      </c>
      <c r="D46" s="16"/>
      <c r="G46" s="16"/>
      <c r="J46" s="16"/>
      <c r="L46"/>
      <c r="M46" s="16"/>
      <c r="N46"/>
      <c r="P46" s="16"/>
      <c r="Q46"/>
      <c r="S46" s="16"/>
      <c r="T46"/>
      <c r="V46" s="16"/>
      <c r="W46"/>
      <c r="Y46" s="16"/>
      <c r="Z46"/>
      <c r="AB46" s="16"/>
      <c r="AC46"/>
      <c r="AE46" s="16"/>
      <c r="AF46"/>
      <c r="AH46" s="16"/>
      <c r="AI46"/>
      <c r="AK46" s="16"/>
      <c r="AL46"/>
      <c r="AN46" s="16"/>
      <c r="AO46"/>
      <c r="AQ46" s="16"/>
      <c r="AR46"/>
      <c r="AT46" s="16"/>
    </row>
    <row r="47" spans="2:673">
      <c r="B47" s="21">
        <f t="shared" si="7"/>
        <v>44317</v>
      </c>
      <c r="C47">
        <f t="shared" si="6"/>
        <v>195</v>
      </c>
      <c r="D47" s="16"/>
      <c r="G47" s="16"/>
      <c r="J47" s="16"/>
      <c r="L47"/>
      <c r="M47" s="16"/>
      <c r="N47"/>
      <c r="P47" s="16"/>
      <c r="Q47"/>
      <c r="S47" s="16"/>
      <c r="T47"/>
      <c r="V47" s="16"/>
      <c r="W47"/>
      <c r="Y47" s="16"/>
      <c r="Z47"/>
      <c r="AB47" s="16"/>
      <c r="AC47"/>
      <c r="AE47" s="16"/>
      <c r="AF47"/>
      <c r="AH47" s="16"/>
      <c r="AI47"/>
      <c r="AK47" s="16"/>
      <c r="AL47"/>
      <c r="AN47" s="16"/>
      <c r="AO47"/>
      <c r="AQ47" s="16"/>
      <c r="AR47"/>
      <c r="AT47" s="16"/>
    </row>
    <row r="48" spans="2:673">
      <c r="B48" s="16"/>
      <c r="D48" s="16"/>
      <c r="G48" s="16"/>
      <c r="J48" s="16"/>
      <c r="L48"/>
      <c r="M48" s="16"/>
      <c r="N48"/>
      <c r="P48" s="16"/>
      <c r="Q48"/>
      <c r="S48" s="16"/>
      <c r="T48"/>
      <c r="V48" s="16"/>
      <c r="W48"/>
      <c r="Y48" s="16"/>
      <c r="Z48"/>
      <c r="AB48" s="16"/>
      <c r="AC48"/>
      <c r="AE48" s="16"/>
      <c r="AF48"/>
      <c r="AH48" s="16"/>
      <c r="AI48"/>
      <c r="AK48" s="16"/>
      <c r="AL48"/>
      <c r="AN48" s="16"/>
      <c r="AO48"/>
      <c r="AQ48" s="16"/>
      <c r="AR48"/>
      <c r="AT48" s="16"/>
    </row>
    <row r="49" spans="2:46">
      <c r="B49" s="13" t="s">
        <v>7</v>
      </c>
      <c r="D49" s="16"/>
      <c r="F49" s="13" t="s">
        <v>7</v>
      </c>
      <c r="H49" s="16"/>
      <c r="J49" t="s">
        <v>7</v>
      </c>
      <c r="L49" s="16"/>
      <c r="N49" t="s">
        <v>7</v>
      </c>
      <c r="P49" s="16"/>
      <c r="Q49"/>
      <c r="R49" t="s">
        <v>7</v>
      </c>
      <c r="V49" t="s">
        <v>7</v>
      </c>
      <c r="W49"/>
      <c r="X49" s="16"/>
      <c r="Z49" t="s">
        <v>7</v>
      </c>
      <c r="AB49" s="16"/>
      <c r="AC49"/>
      <c r="AD49" t="s">
        <v>7</v>
      </c>
      <c r="AH49" s="16"/>
      <c r="AI49"/>
      <c r="AK49" s="16"/>
      <c r="AL49"/>
      <c r="AN49" s="16"/>
      <c r="AO49"/>
      <c r="AQ49" s="16"/>
      <c r="AR49"/>
      <c r="AT49" s="16"/>
    </row>
    <row r="50" spans="2:46">
      <c r="B50" s="13">
        <f>(B40-4)+15/24</f>
        <v>44362.625</v>
      </c>
      <c r="C50">
        <f>DMAX(_xlnm.Database,"n",B49:B50)</f>
        <v>77</v>
      </c>
      <c r="D50" s="21">
        <f>B50</f>
        <v>44362.625</v>
      </c>
      <c r="E50">
        <f>C50</f>
        <v>77</v>
      </c>
      <c r="F50" s="13">
        <f>B50-1</f>
        <v>44361.625</v>
      </c>
      <c r="G50">
        <f>DMAX(_xlnm.Database,"n",F49:F50)</f>
        <v>88</v>
      </c>
      <c r="H50" s="21">
        <f>F50</f>
        <v>44361.625</v>
      </c>
      <c r="I50">
        <f>G50</f>
        <v>88</v>
      </c>
      <c r="J50" s="13">
        <f>F50-1</f>
        <v>44360.625</v>
      </c>
      <c r="K50">
        <f>DMAX(_xlnm.Database,"n",J49:J50)</f>
        <v>47</v>
      </c>
      <c r="L50" s="21">
        <f>J50</f>
        <v>44360.625</v>
      </c>
      <c r="M50">
        <f>K50</f>
        <v>47</v>
      </c>
      <c r="N50" s="22">
        <f>J50-1</f>
        <v>44359.625</v>
      </c>
      <c r="O50">
        <f>DMAX(_xlnm.Database,"n",N49:N50)</f>
        <v>45</v>
      </c>
      <c r="P50" s="21">
        <f>N50</f>
        <v>44359.625</v>
      </c>
      <c r="Q50">
        <f>O50</f>
        <v>45</v>
      </c>
      <c r="R50" s="22">
        <f>N50-1</f>
        <v>44358.625</v>
      </c>
      <c r="S50">
        <f>DMAX(_xlnm.Database,"n",R49:R50)</f>
        <v>70</v>
      </c>
      <c r="T50" s="21">
        <f>R50</f>
        <v>44358.625</v>
      </c>
      <c r="U50">
        <f>S50</f>
        <v>70</v>
      </c>
      <c r="V50" s="22">
        <f>R50-1</f>
        <v>44357.625</v>
      </c>
      <c r="W50">
        <f>DMAX(_xlnm.Database,"n",V49:V50)</f>
        <v>76</v>
      </c>
      <c r="X50" s="21">
        <f>V50</f>
        <v>44357.625</v>
      </c>
      <c r="Y50">
        <f>W50</f>
        <v>76</v>
      </c>
      <c r="Z50" s="22">
        <f>V50-1</f>
        <v>44356.625</v>
      </c>
      <c r="AA50">
        <f>DMAX(_xlnm.Database,"n",Z49:Z50)</f>
        <v>82</v>
      </c>
      <c r="AB50" s="21">
        <f>Z50</f>
        <v>44356.625</v>
      </c>
      <c r="AC50">
        <f>AA50</f>
        <v>82</v>
      </c>
      <c r="AD50" s="22">
        <f>Z50-1</f>
        <v>44355.625</v>
      </c>
      <c r="AE50">
        <f>DMAX(_xlnm.Database,"n",AD49:AD50)</f>
        <v>101</v>
      </c>
      <c r="AF50" s="21">
        <f>AD50</f>
        <v>44355.625</v>
      </c>
      <c r="AG50">
        <f>AE50</f>
        <v>101</v>
      </c>
      <c r="AH50" s="16"/>
      <c r="AI50"/>
      <c r="AK50" s="16"/>
      <c r="AL50"/>
      <c r="AN50" s="16"/>
      <c r="AO50"/>
      <c r="AQ50" s="16"/>
      <c r="AR50"/>
      <c r="AT50" s="16"/>
    </row>
    <row r="51" spans="2:46">
      <c r="B51" s="13" t="s">
        <v>7</v>
      </c>
      <c r="D51" s="16">
        <f>D50-7</f>
        <v>44355.625</v>
      </c>
      <c r="E51">
        <f>C52</f>
        <v>101</v>
      </c>
      <c r="F51" s="13" t="s">
        <v>7</v>
      </c>
      <c r="H51" s="16">
        <f>H50-7</f>
        <v>44354.625</v>
      </c>
      <c r="I51">
        <f>G52</f>
        <v>136</v>
      </c>
      <c r="J51" s="13" t="s">
        <v>7</v>
      </c>
      <c r="L51" s="16">
        <f>L50-7</f>
        <v>44353.625</v>
      </c>
      <c r="M51">
        <f>K52</f>
        <v>59</v>
      </c>
      <c r="N51" t="s">
        <v>7</v>
      </c>
      <c r="P51" s="16">
        <f>P50-7</f>
        <v>44352.625</v>
      </c>
      <c r="Q51">
        <f>O52</f>
        <v>65</v>
      </c>
      <c r="R51" t="s">
        <v>7</v>
      </c>
      <c r="T51" s="16">
        <f>T50-7</f>
        <v>44351.625</v>
      </c>
      <c r="U51">
        <f>S52</f>
        <v>101</v>
      </c>
      <c r="V51" t="s">
        <v>7</v>
      </c>
      <c r="W51"/>
      <c r="X51" s="16">
        <f>X50-7</f>
        <v>44350.625</v>
      </c>
      <c r="Y51">
        <f>W52</f>
        <v>111</v>
      </c>
      <c r="Z51" t="s">
        <v>7</v>
      </c>
      <c r="AB51" s="16">
        <f>AB50-7</f>
        <v>44349.625</v>
      </c>
      <c r="AC51">
        <f>AA52</f>
        <v>118</v>
      </c>
      <c r="AD51" t="s">
        <v>7</v>
      </c>
      <c r="AF51" s="16">
        <f>AF50-7</f>
        <v>44348.625</v>
      </c>
      <c r="AG51">
        <f>AE52</f>
        <v>121</v>
      </c>
      <c r="AH51" s="16"/>
      <c r="AI51"/>
      <c r="AK51" s="16"/>
      <c r="AL51"/>
      <c r="AN51" s="16"/>
      <c r="AO51"/>
      <c r="AQ51" s="16"/>
      <c r="AR51"/>
      <c r="AT51" s="16"/>
    </row>
    <row r="52" spans="2:46">
      <c r="B52" s="13">
        <f>B50-7</f>
        <v>44355.625</v>
      </c>
      <c r="C52">
        <f>DMAX(_xlnm.Database,"n",B51:B52)</f>
        <v>101</v>
      </c>
      <c r="D52" s="16">
        <f t="shared" ref="D52:D59" si="8">D51-7</f>
        <v>44348.625</v>
      </c>
      <c r="E52">
        <f>C54</f>
        <v>121</v>
      </c>
      <c r="F52" s="13">
        <f>F50-7</f>
        <v>44354.625</v>
      </c>
      <c r="G52">
        <f>DMAX(_xlnm.Database,"n",F51:F52)</f>
        <v>136</v>
      </c>
      <c r="H52" s="16">
        <f t="shared" ref="H52:H59" si="9">H51-7</f>
        <v>44347.625</v>
      </c>
      <c r="I52">
        <f>G54</f>
        <v>145</v>
      </c>
      <c r="J52" s="13">
        <f>J50-7</f>
        <v>44353.625</v>
      </c>
      <c r="K52">
        <f>DMAX(_xlnm.Database,"n",J51:J52)</f>
        <v>59</v>
      </c>
      <c r="L52" s="16">
        <f t="shared" ref="L52:L59" si="10">L51-7</f>
        <v>44346.625</v>
      </c>
      <c r="M52">
        <f>K54</f>
        <v>79</v>
      </c>
      <c r="N52" s="22">
        <f>N50-7</f>
        <v>44352.625</v>
      </c>
      <c r="O52">
        <f>DMAX(_xlnm.Database,"n",N51:N52)</f>
        <v>65</v>
      </c>
      <c r="P52" s="16">
        <f t="shared" ref="P52:P59" si="11">P51-7</f>
        <v>44345.625</v>
      </c>
      <c r="Q52">
        <f>O54</f>
        <v>64</v>
      </c>
      <c r="R52" s="22">
        <f>R50-7</f>
        <v>44351.625</v>
      </c>
      <c r="S52">
        <f>DMAX(_xlnm.Database,"n",R51:R52)</f>
        <v>101</v>
      </c>
      <c r="T52" s="16">
        <f t="shared" ref="T52:T59" si="12">T51-7</f>
        <v>44344.625</v>
      </c>
      <c r="U52">
        <f>S54</f>
        <v>136</v>
      </c>
      <c r="V52" s="22">
        <f>V50-7</f>
        <v>44350.625</v>
      </c>
      <c r="W52">
        <f>DMAX(_xlnm.Database,"n",V51:V52)</f>
        <v>111</v>
      </c>
      <c r="X52" s="16">
        <f t="shared" ref="X52:X59" si="13">X51-7</f>
        <v>44343.625</v>
      </c>
      <c r="Y52">
        <f>W54</f>
        <v>127</v>
      </c>
      <c r="Z52" s="22">
        <f>Z50-7</f>
        <v>44349.625</v>
      </c>
      <c r="AA52">
        <f>DMAX(_xlnm.Database,"n",Z51:Z52)</f>
        <v>118</v>
      </c>
      <c r="AB52" s="16">
        <f t="shared" ref="AB52:AB59" si="14">AB51-7</f>
        <v>44342.625</v>
      </c>
      <c r="AC52">
        <f>AA54</f>
        <v>142</v>
      </c>
      <c r="AD52" s="22">
        <f>AD50-7</f>
        <v>44348.625</v>
      </c>
      <c r="AE52">
        <f>DMAX(_xlnm.Database,"n",AD51:AD52)</f>
        <v>121</v>
      </c>
      <c r="AF52" s="16">
        <f t="shared" ref="AF52:AF59" si="15">AF51-7</f>
        <v>44341.625</v>
      </c>
      <c r="AG52">
        <f>AE54</f>
        <v>152</v>
      </c>
      <c r="AH52" s="16"/>
      <c r="AI52"/>
      <c r="AK52" s="16"/>
      <c r="AL52"/>
      <c r="AN52" s="16"/>
      <c r="AO52"/>
      <c r="AQ52" s="16"/>
      <c r="AR52"/>
      <c r="AT52" s="16"/>
    </row>
    <row r="53" spans="2:46">
      <c r="B53" s="13" t="s">
        <v>7</v>
      </c>
      <c r="D53" s="16">
        <f t="shared" si="8"/>
        <v>44341.625</v>
      </c>
      <c r="E53">
        <f>C56</f>
        <v>152</v>
      </c>
      <c r="F53" s="13" t="s">
        <v>7</v>
      </c>
      <c r="H53" s="16">
        <f t="shared" si="9"/>
        <v>44340.625</v>
      </c>
      <c r="I53">
        <f>G56</f>
        <v>188</v>
      </c>
      <c r="J53" s="13" t="s">
        <v>7</v>
      </c>
      <c r="L53" s="16">
        <f t="shared" si="10"/>
        <v>44339.625</v>
      </c>
      <c r="M53">
        <f>K56</f>
        <v>93</v>
      </c>
      <c r="N53" t="s">
        <v>7</v>
      </c>
      <c r="P53" s="16">
        <f t="shared" si="11"/>
        <v>44338.625</v>
      </c>
      <c r="Q53">
        <f>O56</f>
        <v>108</v>
      </c>
      <c r="R53" t="s">
        <v>7</v>
      </c>
      <c r="T53" s="16">
        <f t="shared" si="12"/>
        <v>44337.625</v>
      </c>
      <c r="U53">
        <f>S56</f>
        <v>168</v>
      </c>
      <c r="V53" t="s">
        <v>7</v>
      </c>
      <c r="W53"/>
      <c r="X53" s="16">
        <f t="shared" si="13"/>
        <v>44336.625</v>
      </c>
      <c r="Y53">
        <f>W56</f>
        <v>215</v>
      </c>
      <c r="Z53" t="s">
        <v>7</v>
      </c>
      <c r="AB53" s="16">
        <f t="shared" si="14"/>
        <v>44335.625</v>
      </c>
      <c r="AC53">
        <f>AA56</f>
        <v>230</v>
      </c>
      <c r="AD53" t="s">
        <v>7</v>
      </c>
      <c r="AF53" s="16">
        <f t="shared" si="15"/>
        <v>44334.625</v>
      </c>
      <c r="AG53">
        <f>AE56</f>
        <v>217</v>
      </c>
      <c r="AH53" s="16"/>
      <c r="AI53"/>
      <c r="AK53" s="16"/>
      <c r="AL53"/>
      <c r="AN53" s="16"/>
      <c r="AO53"/>
      <c r="AQ53" s="16"/>
      <c r="AR53"/>
      <c r="AT53" s="16"/>
    </row>
    <row r="54" spans="2:46">
      <c r="B54" s="13">
        <f>B52-7</f>
        <v>44348.625</v>
      </c>
      <c r="C54">
        <f>DMAX(_xlnm.Database,"n",B53:B54)</f>
        <v>121</v>
      </c>
      <c r="D54" s="16">
        <f t="shared" si="8"/>
        <v>44334.625</v>
      </c>
      <c r="E54">
        <f>C58</f>
        <v>217</v>
      </c>
      <c r="F54" s="13">
        <f>F52-7</f>
        <v>44347.625</v>
      </c>
      <c r="G54">
        <f>DMAX(_xlnm.Database,"n",F53:F54)</f>
        <v>145</v>
      </c>
      <c r="H54" s="16">
        <f t="shared" si="9"/>
        <v>44333.625</v>
      </c>
      <c r="I54">
        <f>G58</f>
        <v>284</v>
      </c>
      <c r="J54" s="13">
        <f>J52-7</f>
        <v>44346.625</v>
      </c>
      <c r="K54">
        <f>DMAX(_xlnm.Database,"n",J53:J54)</f>
        <v>79</v>
      </c>
      <c r="L54" s="16">
        <f t="shared" si="10"/>
        <v>44332.625</v>
      </c>
      <c r="M54">
        <f>K58</f>
        <v>133</v>
      </c>
      <c r="N54" s="22">
        <f>N52-7</f>
        <v>44345.625</v>
      </c>
      <c r="O54">
        <f>DMAX(_xlnm.Database,"n",N53:N54)</f>
        <v>64</v>
      </c>
      <c r="P54" s="16">
        <f t="shared" si="11"/>
        <v>44331.625</v>
      </c>
      <c r="Q54">
        <f>O58</f>
        <v>160</v>
      </c>
      <c r="R54" s="22">
        <f>R52-7</f>
        <v>44344.625</v>
      </c>
      <c r="S54">
        <f>DMAX(_xlnm.Database,"n",R53:R54)</f>
        <v>136</v>
      </c>
      <c r="T54" s="16">
        <f t="shared" si="12"/>
        <v>44330.625</v>
      </c>
      <c r="U54">
        <f>S58</f>
        <v>245</v>
      </c>
      <c r="V54" s="22">
        <f>V52-7</f>
        <v>44343.625</v>
      </c>
      <c r="W54">
        <f>DMAX(_xlnm.Database,"n",V53:V54)</f>
        <v>127</v>
      </c>
      <c r="X54" s="16">
        <f t="shared" si="13"/>
        <v>44329.625</v>
      </c>
      <c r="Y54">
        <f>W58</f>
        <v>156</v>
      </c>
      <c r="Z54" s="22">
        <f>Z52-7</f>
        <v>44342.625</v>
      </c>
      <c r="AA54">
        <f>DMAX(_xlnm.Database,"n",Z53:Z54)</f>
        <v>142</v>
      </c>
      <c r="AB54" s="16">
        <f t="shared" si="14"/>
        <v>44328.625</v>
      </c>
      <c r="AC54">
        <f>AA58</f>
        <v>256</v>
      </c>
      <c r="AD54" s="22">
        <f>AD52-7</f>
        <v>44341.625</v>
      </c>
      <c r="AE54">
        <f>DMAX(_xlnm.Database,"n",AD53:AD54)</f>
        <v>152</v>
      </c>
      <c r="AF54" s="16">
        <f t="shared" si="15"/>
        <v>44327.625</v>
      </c>
      <c r="AG54">
        <f>AE58</f>
        <v>216</v>
      </c>
      <c r="AH54" s="16"/>
      <c r="AI54"/>
      <c r="AK54" s="16"/>
      <c r="AL54"/>
      <c r="AN54" s="16"/>
      <c r="AO54"/>
      <c r="AQ54" s="16"/>
      <c r="AR54"/>
      <c r="AT54" s="16"/>
    </row>
    <row r="55" spans="2:46">
      <c r="B55" s="13" t="s">
        <v>7</v>
      </c>
      <c r="D55" s="16">
        <f t="shared" si="8"/>
        <v>44327.625</v>
      </c>
      <c r="E55">
        <f>C60</f>
        <v>216</v>
      </c>
      <c r="F55" s="13" t="s">
        <v>7</v>
      </c>
      <c r="H55" s="16">
        <f t="shared" si="9"/>
        <v>44326.625</v>
      </c>
      <c r="I55">
        <f>G60</f>
        <v>257</v>
      </c>
      <c r="J55" s="13" t="s">
        <v>7</v>
      </c>
      <c r="L55" s="16">
        <f t="shared" si="10"/>
        <v>44325.625</v>
      </c>
      <c r="M55">
        <f>K60</f>
        <v>130</v>
      </c>
      <c r="N55" t="s">
        <v>7</v>
      </c>
      <c r="P55" s="16">
        <f t="shared" si="11"/>
        <v>44324.625</v>
      </c>
      <c r="Q55">
        <f>O60</f>
        <v>131</v>
      </c>
      <c r="R55" t="s">
        <v>7</v>
      </c>
      <c r="T55" s="16">
        <f t="shared" si="12"/>
        <v>44323.625</v>
      </c>
      <c r="U55">
        <f>S60</f>
        <v>214</v>
      </c>
      <c r="V55" t="s">
        <v>7</v>
      </c>
      <c r="W55"/>
      <c r="X55" s="16">
        <f t="shared" si="13"/>
        <v>44322.625</v>
      </c>
      <c r="Y55">
        <f>W60</f>
        <v>239</v>
      </c>
      <c r="Z55" t="s">
        <v>7</v>
      </c>
      <c r="AB55" s="16">
        <f t="shared" si="14"/>
        <v>44321.625</v>
      </c>
      <c r="AC55">
        <f>AA60</f>
        <v>266</v>
      </c>
      <c r="AD55" t="s">
        <v>7</v>
      </c>
      <c r="AF55" s="16">
        <f t="shared" si="15"/>
        <v>44320.625</v>
      </c>
      <c r="AG55">
        <f>AE60</f>
        <v>205</v>
      </c>
      <c r="AH55" s="16"/>
      <c r="AI55"/>
      <c r="AK55" s="16"/>
      <c r="AL55"/>
      <c r="AN55" s="16"/>
      <c r="AO55"/>
      <c r="AQ55" s="16"/>
      <c r="AR55"/>
      <c r="AT55" s="16"/>
    </row>
    <row r="56" spans="2:46">
      <c r="B56" s="13">
        <f>B54-7</f>
        <v>44341.625</v>
      </c>
      <c r="C56">
        <f>DMAX(_xlnm.Database,"n",B55:B56)</f>
        <v>152</v>
      </c>
      <c r="D56" s="16">
        <f t="shared" si="8"/>
        <v>44320.625</v>
      </c>
      <c r="E56">
        <f>C62</f>
        <v>205</v>
      </c>
      <c r="F56" s="13">
        <f>F54-7</f>
        <v>44340.625</v>
      </c>
      <c r="G56">
        <f>DMAX(_xlnm.Database,"n",F55:F56)</f>
        <v>188</v>
      </c>
      <c r="H56" s="16">
        <f t="shared" si="9"/>
        <v>44319.625</v>
      </c>
      <c r="I56">
        <f>G62</f>
        <v>318</v>
      </c>
      <c r="J56" s="13">
        <f>J54-7</f>
        <v>44339.625</v>
      </c>
      <c r="K56">
        <f>DMAX(_xlnm.Database,"n",J55:J56)</f>
        <v>93</v>
      </c>
      <c r="L56" s="16">
        <f t="shared" si="10"/>
        <v>44318.625</v>
      </c>
      <c r="M56">
        <f>K62</f>
        <v>135</v>
      </c>
      <c r="N56" s="22">
        <f>N54-7</f>
        <v>44338.625</v>
      </c>
      <c r="O56">
        <f>DMAX(_xlnm.Database,"n",N55:N56)</f>
        <v>108</v>
      </c>
      <c r="P56" s="16">
        <f t="shared" si="11"/>
        <v>44317.625</v>
      </c>
      <c r="Q56">
        <f>O62</f>
        <v>108</v>
      </c>
      <c r="R56" s="22">
        <f>R54-7</f>
        <v>44337.625</v>
      </c>
      <c r="S56">
        <f>DMAX(_xlnm.Database,"n",R55:R56)</f>
        <v>168</v>
      </c>
      <c r="T56" s="16">
        <f t="shared" si="12"/>
        <v>44316.625</v>
      </c>
      <c r="U56">
        <f>S62</f>
        <v>197</v>
      </c>
      <c r="V56" s="22">
        <f>V54-7</f>
        <v>44336.625</v>
      </c>
      <c r="W56">
        <f>DMAX(_xlnm.Database,"n",V55:V56)</f>
        <v>215</v>
      </c>
      <c r="X56" s="16">
        <f t="shared" si="13"/>
        <v>44315.625</v>
      </c>
      <c r="Y56">
        <f>W62</f>
        <v>201</v>
      </c>
      <c r="Z56" s="22">
        <f>Z54-7</f>
        <v>44335.625</v>
      </c>
      <c r="AA56">
        <f>DMAX(_xlnm.Database,"n",Z55:Z56)</f>
        <v>230</v>
      </c>
      <c r="AB56" s="16">
        <f t="shared" si="14"/>
        <v>44314.625</v>
      </c>
      <c r="AC56">
        <f>AA62</f>
        <v>274</v>
      </c>
      <c r="AD56" s="22">
        <f>AD54-7</f>
        <v>44334.625</v>
      </c>
      <c r="AE56">
        <f>DMAX(_xlnm.Database,"n",AD55:AD56)</f>
        <v>217</v>
      </c>
      <c r="AF56" s="16">
        <f t="shared" si="15"/>
        <v>44313.625</v>
      </c>
      <c r="AG56">
        <f>AE62</f>
        <v>228</v>
      </c>
      <c r="AH56" s="16"/>
      <c r="AI56"/>
      <c r="AK56" s="16"/>
      <c r="AL56"/>
      <c r="AN56" s="16"/>
      <c r="AO56"/>
      <c r="AQ56" s="16"/>
      <c r="AR56"/>
      <c r="AT56" s="16"/>
    </row>
    <row r="57" spans="2:46">
      <c r="B57" s="13" t="s">
        <v>7</v>
      </c>
      <c r="D57" s="16">
        <f t="shared" si="8"/>
        <v>44313.625</v>
      </c>
      <c r="E57">
        <f>C64</f>
        <v>228</v>
      </c>
      <c r="F57" s="13" t="s">
        <v>7</v>
      </c>
      <c r="H57" s="16">
        <f t="shared" si="9"/>
        <v>44312.625</v>
      </c>
      <c r="I57">
        <f>G64</f>
        <v>243</v>
      </c>
      <c r="J57" s="13" t="s">
        <v>7</v>
      </c>
      <c r="L57" s="16">
        <f t="shared" si="10"/>
        <v>44311.625</v>
      </c>
      <c r="M57">
        <f>K64</f>
        <v>140</v>
      </c>
      <c r="N57" t="s">
        <v>7</v>
      </c>
      <c r="P57" s="16">
        <f t="shared" si="11"/>
        <v>44310.625</v>
      </c>
      <c r="Q57">
        <f>O64</f>
        <v>155</v>
      </c>
      <c r="R57" t="s">
        <v>7</v>
      </c>
      <c r="T57" s="16">
        <f t="shared" si="12"/>
        <v>44309.625</v>
      </c>
      <c r="U57">
        <f>S64</f>
        <v>255</v>
      </c>
      <c r="V57" t="s">
        <v>7</v>
      </c>
      <c r="W57"/>
      <c r="X57" s="16">
        <f t="shared" si="13"/>
        <v>44308.625</v>
      </c>
      <c r="Y57">
        <f>W64</f>
        <v>258</v>
      </c>
      <c r="Z57" t="s">
        <v>7</v>
      </c>
      <c r="AB57" s="16">
        <f t="shared" si="14"/>
        <v>44307.625</v>
      </c>
      <c r="AC57">
        <f>AA64</f>
        <v>233</v>
      </c>
      <c r="AD57" t="s">
        <v>7</v>
      </c>
      <c r="AF57" s="16">
        <f t="shared" si="15"/>
        <v>44306.625</v>
      </c>
      <c r="AG57">
        <f>AE64</f>
        <v>285</v>
      </c>
      <c r="AH57" s="16"/>
      <c r="AI57"/>
      <c r="AK57" s="16"/>
      <c r="AL57"/>
      <c r="AN57" s="16"/>
      <c r="AO57"/>
      <c r="AQ57" s="16"/>
      <c r="AR57"/>
      <c r="AT57" s="16"/>
    </row>
    <row r="58" spans="2:46">
      <c r="B58" s="13">
        <f>B56-7</f>
        <v>44334.625</v>
      </c>
      <c r="C58">
        <f>DMAX(_xlnm.Database,"n",B57:B58)</f>
        <v>217</v>
      </c>
      <c r="D58" s="16">
        <f>D57-7</f>
        <v>44306.625</v>
      </c>
      <c r="E58">
        <f>C66</f>
        <v>285</v>
      </c>
      <c r="F58" s="13">
        <f>F56-7</f>
        <v>44333.625</v>
      </c>
      <c r="G58">
        <f>DMAX(_xlnm.Database,"n",F57:F58)</f>
        <v>284</v>
      </c>
      <c r="H58" s="16">
        <f>H57-7</f>
        <v>44305.625</v>
      </c>
      <c r="I58">
        <f>G66</f>
        <v>284</v>
      </c>
      <c r="J58" s="13">
        <f>J56-7</f>
        <v>44332.625</v>
      </c>
      <c r="K58">
        <f>DMAX(_xlnm.Database,"n",J57:J58)</f>
        <v>133</v>
      </c>
      <c r="L58" s="16">
        <f>L57-7</f>
        <v>44304.625</v>
      </c>
      <c r="M58">
        <f>K66</f>
        <v>156</v>
      </c>
      <c r="N58" s="22">
        <f>N56-7</f>
        <v>44331.625</v>
      </c>
      <c r="O58">
        <f>DMAX(_xlnm.Database,"n",N57:N58)</f>
        <v>160</v>
      </c>
      <c r="P58" s="16">
        <f>P57-7</f>
        <v>44303.625</v>
      </c>
      <c r="Q58">
        <f>O66</f>
        <v>171</v>
      </c>
      <c r="R58" s="22">
        <f>R56-7</f>
        <v>44330.625</v>
      </c>
      <c r="S58">
        <f>DMAX(_xlnm.Database,"n",R57:R58)</f>
        <v>245</v>
      </c>
      <c r="T58" s="16">
        <f>T57-7</f>
        <v>44302.625</v>
      </c>
      <c r="U58">
        <f>S66</f>
        <v>264</v>
      </c>
      <c r="V58" s="22">
        <f>V56-7</f>
        <v>44329.625</v>
      </c>
      <c r="W58">
        <f>DMAX(_xlnm.Database,"n",V57:V58)</f>
        <v>156</v>
      </c>
      <c r="X58" s="16">
        <f>X57-7</f>
        <v>44301.625</v>
      </c>
      <c r="Y58">
        <f>W66</f>
        <v>274</v>
      </c>
      <c r="Z58" s="22">
        <f>Z56-7</f>
        <v>44328.625</v>
      </c>
      <c r="AA58">
        <f>DMAX(_xlnm.Database,"n",Z57:Z58)</f>
        <v>256</v>
      </c>
      <c r="AB58" s="16">
        <f>AB57-7</f>
        <v>44300.625</v>
      </c>
      <c r="AC58">
        <f>AA66</f>
        <v>345</v>
      </c>
      <c r="AD58" s="22">
        <f>AD56-7</f>
        <v>44327.625</v>
      </c>
      <c r="AE58">
        <f>DMAX(_xlnm.Database,"n",AD57:AD58)</f>
        <v>216</v>
      </c>
      <c r="AF58" s="16">
        <f>AF57-7</f>
        <v>44299.625</v>
      </c>
      <c r="AG58">
        <f>AE66</f>
        <v>325</v>
      </c>
      <c r="AH58" s="16"/>
      <c r="AI58"/>
      <c r="AK58" s="16"/>
      <c r="AL58"/>
      <c r="AN58" s="16"/>
      <c r="AO58"/>
      <c r="AQ58" s="16"/>
      <c r="AR58"/>
      <c r="AT58" s="16"/>
    </row>
    <row r="59" spans="2:46">
      <c r="B59" s="13" t="s">
        <v>7</v>
      </c>
      <c r="D59" s="16">
        <f t="shared" si="8"/>
        <v>44299.625</v>
      </c>
      <c r="E59">
        <f>C68</f>
        <v>325</v>
      </c>
      <c r="F59" s="13" t="s">
        <v>7</v>
      </c>
      <c r="H59" s="16">
        <f t="shared" si="9"/>
        <v>44298.625</v>
      </c>
      <c r="I59">
        <f>G68</f>
        <v>398</v>
      </c>
      <c r="J59" s="13" t="s">
        <v>7</v>
      </c>
      <c r="L59" s="16">
        <f t="shared" si="10"/>
        <v>44297.625</v>
      </c>
      <c r="M59">
        <f>K68</f>
        <v>239</v>
      </c>
      <c r="N59" t="s">
        <v>7</v>
      </c>
      <c r="P59" s="16">
        <f t="shared" si="11"/>
        <v>44296.625</v>
      </c>
      <c r="Q59">
        <f>O68</f>
        <v>226</v>
      </c>
      <c r="R59" t="s">
        <v>7</v>
      </c>
      <c r="T59" s="16">
        <f t="shared" si="12"/>
        <v>44295.625</v>
      </c>
      <c r="U59">
        <f>S68</f>
        <v>351</v>
      </c>
      <c r="V59" t="s">
        <v>7</v>
      </c>
      <c r="W59"/>
      <c r="X59" s="16">
        <f t="shared" si="13"/>
        <v>44294.625</v>
      </c>
      <c r="Y59">
        <f>W68</f>
        <v>407</v>
      </c>
      <c r="Z59" t="s">
        <v>7</v>
      </c>
      <c r="AB59" s="16">
        <f t="shared" si="14"/>
        <v>44293.625</v>
      </c>
      <c r="AC59">
        <f>AA68</f>
        <v>426</v>
      </c>
      <c r="AD59" t="s">
        <v>7</v>
      </c>
      <c r="AF59" s="16">
        <f t="shared" si="15"/>
        <v>44292.625</v>
      </c>
      <c r="AG59">
        <f>AE68</f>
        <v>545</v>
      </c>
      <c r="AH59" s="16"/>
      <c r="AI59"/>
      <c r="AK59" s="16"/>
      <c r="AL59"/>
      <c r="AN59" s="16"/>
      <c r="AO59"/>
      <c r="AQ59" s="16"/>
      <c r="AR59"/>
      <c r="AT59" s="16"/>
    </row>
    <row r="60" spans="2:46">
      <c r="B60" s="13">
        <f>B58-7</f>
        <v>44327.625</v>
      </c>
      <c r="C60">
        <f>DMAX(_xlnm.Database,"n",B59:B60)</f>
        <v>216</v>
      </c>
      <c r="D60" s="16"/>
      <c r="F60" s="13">
        <f>F58-7</f>
        <v>44326.625</v>
      </c>
      <c r="G60">
        <f>DMAX(_xlnm.Database,"n",F59:F60)</f>
        <v>257</v>
      </c>
      <c r="H60" s="16"/>
      <c r="J60" s="13">
        <f>J58-7</f>
        <v>44325.625</v>
      </c>
      <c r="K60">
        <f>DMAX(_xlnm.Database,"n",J59:J60)</f>
        <v>130</v>
      </c>
      <c r="L60" s="16"/>
      <c r="N60" s="22">
        <f>N58-7</f>
        <v>44324.625</v>
      </c>
      <c r="O60">
        <f>DMAX(_xlnm.Database,"n",N59:N60)</f>
        <v>131</v>
      </c>
      <c r="P60" s="16"/>
      <c r="Q60"/>
      <c r="R60" s="22">
        <f>R58-7</f>
        <v>44323.625</v>
      </c>
      <c r="S60">
        <f>DMAX(_xlnm.Database,"n",R59:R60)</f>
        <v>214</v>
      </c>
      <c r="V60" s="22">
        <f>V58-7</f>
        <v>44322.625</v>
      </c>
      <c r="W60">
        <f>DMAX(_xlnm.Database,"n",V59:V60)</f>
        <v>239</v>
      </c>
      <c r="X60" s="16"/>
      <c r="Z60" s="22">
        <f>Z58-7</f>
        <v>44321.625</v>
      </c>
      <c r="AA60">
        <f>DMAX(_xlnm.Database,"n",Z59:Z60)</f>
        <v>266</v>
      </c>
      <c r="AB60" s="16"/>
      <c r="AC60"/>
      <c r="AD60" s="22">
        <f>AD58-7</f>
        <v>44320.625</v>
      </c>
      <c r="AE60">
        <f>DMAX(_xlnm.Database,"n",AD59:AD60)</f>
        <v>205</v>
      </c>
      <c r="AH60" s="16"/>
      <c r="AI60"/>
      <c r="AK60" s="16"/>
      <c r="AL60"/>
      <c r="AN60" s="16"/>
      <c r="AO60"/>
      <c r="AQ60" s="16"/>
      <c r="AR60"/>
      <c r="AT60" s="16"/>
    </row>
    <row r="61" spans="2:46">
      <c r="B61" s="13" t="s">
        <v>7</v>
      </c>
      <c r="D61" s="16"/>
      <c r="F61" s="13" t="s">
        <v>7</v>
      </c>
      <c r="H61" s="16"/>
      <c r="J61" s="13" t="s">
        <v>7</v>
      </c>
      <c r="L61" s="16"/>
      <c r="N61" t="s">
        <v>7</v>
      </c>
      <c r="P61" s="16"/>
      <c r="Q61"/>
      <c r="R61" t="s">
        <v>7</v>
      </c>
      <c r="V61" t="s">
        <v>7</v>
      </c>
      <c r="W61"/>
      <c r="X61" s="16"/>
      <c r="Z61" t="s">
        <v>7</v>
      </c>
      <c r="AB61" s="16"/>
      <c r="AC61"/>
      <c r="AD61" t="s">
        <v>7</v>
      </c>
      <c r="AH61" s="16"/>
      <c r="AI61"/>
      <c r="AK61" s="16"/>
      <c r="AL61"/>
      <c r="AN61" s="16"/>
      <c r="AO61"/>
      <c r="AQ61" s="16"/>
      <c r="AR61"/>
      <c r="AT61" s="16"/>
    </row>
    <row r="62" spans="2:46">
      <c r="B62" s="13">
        <f>B60-7</f>
        <v>44320.625</v>
      </c>
      <c r="C62">
        <f>DMAX(_xlnm.Database,"n",B61:B62)</f>
        <v>205</v>
      </c>
      <c r="D62" s="16"/>
      <c r="F62" s="13">
        <f>F60-7</f>
        <v>44319.625</v>
      </c>
      <c r="G62">
        <f>DMAX(_xlnm.Database,"n",F61:F62)</f>
        <v>318</v>
      </c>
      <c r="H62" s="16"/>
      <c r="J62" s="13">
        <f>J60-7</f>
        <v>44318.625</v>
      </c>
      <c r="K62">
        <f>DMAX(_xlnm.Database,"n",J61:J62)</f>
        <v>135</v>
      </c>
      <c r="L62" s="16"/>
      <c r="N62" s="22">
        <f>N60-7</f>
        <v>44317.625</v>
      </c>
      <c r="O62">
        <f>DMAX(_xlnm.Database,"n",N61:N62)</f>
        <v>108</v>
      </c>
      <c r="P62" s="16"/>
      <c r="Q62"/>
      <c r="R62" s="22">
        <f>R60-7</f>
        <v>44316.625</v>
      </c>
      <c r="S62">
        <f>DMAX(_xlnm.Database,"n",R61:R62)</f>
        <v>197</v>
      </c>
      <c r="V62" s="22">
        <f>V60-7</f>
        <v>44315.625</v>
      </c>
      <c r="W62">
        <f>DMAX(_xlnm.Database,"n",V61:V62)</f>
        <v>201</v>
      </c>
      <c r="X62" s="16"/>
      <c r="Z62" s="22">
        <f>Z60-7</f>
        <v>44314.625</v>
      </c>
      <c r="AA62">
        <f>DMAX(_xlnm.Database,"n",Z61:Z62)</f>
        <v>274</v>
      </c>
      <c r="AB62" s="16"/>
      <c r="AC62"/>
      <c r="AD62" s="22">
        <f>AD60-7</f>
        <v>44313.625</v>
      </c>
      <c r="AE62">
        <f>DMAX(_xlnm.Database,"n",AD61:AD62)</f>
        <v>228</v>
      </c>
      <c r="AH62" s="16"/>
      <c r="AI62"/>
      <c r="AK62" s="16"/>
      <c r="AL62"/>
      <c r="AN62" s="16"/>
      <c r="AO62"/>
      <c r="AQ62" s="16"/>
      <c r="AR62"/>
      <c r="AT62" s="16"/>
    </row>
    <row r="63" spans="2:46">
      <c r="B63" s="13" t="s">
        <v>7</v>
      </c>
      <c r="D63" s="16"/>
      <c r="F63" s="13" t="s">
        <v>7</v>
      </c>
      <c r="H63" s="16"/>
      <c r="J63" s="13" t="s">
        <v>7</v>
      </c>
      <c r="L63" s="16"/>
      <c r="N63" t="s">
        <v>7</v>
      </c>
      <c r="P63" s="16"/>
      <c r="Q63"/>
      <c r="R63" t="s">
        <v>7</v>
      </c>
      <c r="V63" t="s">
        <v>7</v>
      </c>
      <c r="W63"/>
      <c r="X63" s="16"/>
      <c r="Z63" t="s">
        <v>7</v>
      </c>
      <c r="AB63" s="16"/>
      <c r="AC63"/>
      <c r="AD63" t="s">
        <v>7</v>
      </c>
      <c r="AH63" s="16"/>
      <c r="AI63"/>
      <c r="AK63" s="16"/>
      <c r="AL63"/>
      <c r="AN63" s="16"/>
      <c r="AO63"/>
      <c r="AQ63" s="16"/>
      <c r="AR63"/>
      <c r="AT63" s="16"/>
    </row>
    <row r="64" spans="2:46">
      <c r="B64" s="13">
        <f>B62-7</f>
        <v>44313.625</v>
      </c>
      <c r="C64">
        <f>DMAX(_xlnm.Database,"n",B63:B64)</f>
        <v>228</v>
      </c>
      <c r="D64" s="16"/>
      <c r="F64" s="13">
        <f>F62-7</f>
        <v>44312.625</v>
      </c>
      <c r="G64">
        <f>DMAX(_xlnm.Database,"n",F63:F64)</f>
        <v>243</v>
      </c>
      <c r="H64" s="16"/>
      <c r="J64" s="13">
        <f>J62-7</f>
        <v>44311.625</v>
      </c>
      <c r="K64">
        <f>DMAX(_xlnm.Database,"n",J63:J64)</f>
        <v>140</v>
      </c>
      <c r="L64" s="16"/>
      <c r="N64" s="22">
        <f>N62-7</f>
        <v>44310.625</v>
      </c>
      <c r="O64">
        <f>DMAX(_xlnm.Database,"n",N63:N64)</f>
        <v>155</v>
      </c>
      <c r="P64" s="16"/>
      <c r="Q64"/>
      <c r="R64" s="22">
        <f>R62-7</f>
        <v>44309.625</v>
      </c>
      <c r="S64">
        <f>DMAX(_xlnm.Database,"n",R63:R64)</f>
        <v>255</v>
      </c>
      <c r="V64" s="22">
        <f>V62-7</f>
        <v>44308.625</v>
      </c>
      <c r="W64">
        <f>DMAX(_xlnm.Database,"n",V63:V64)</f>
        <v>258</v>
      </c>
      <c r="X64" s="16"/>
      <c r="Z64" s="22">
        <f>Z62-7</f>
        <v>44307.625</v>
      </c>
      <c r="AA64">
        <f>DMAX(_xlnm.Database,"n",Z63:Z64)</f>
        <v>233</v>
      </c>
      <c r="AB64" s="16"/>
      <c r="AC64"/>
      <c r="AD64" s="22">
        <f>AD62-7</f>
        <v>44306.625</v>
      </c>
      <c r="AE64">
        <f>DMAX(_xlnm.Database,"n",AD63:AD64)</f>
        <v>285</v>
      </c>
      <c r="AH64" s="16"/>
      <c r="AI64"/>
      <c r="AK64" s="16"/>
      <c r="AL64"/>
      <c r="AN64" s="16"/>
      <c r="AO64"/>
      <c r="AQ64" s="16"/>
      <c r="AR64"/>
      <c r="AT64" s="16"/>
    </row>
    <row r="65" spans="2:46">
      <c r="B65" s="13" t="s">
        <v>7</v>
      </c>
      <c r="D65" s="16"/>
      <c r="F65" s="13" t="s">
        <v>7</v>
      </c>
      <c r="H65" s="16"/>
      <c r="J65" s="13" t="s">
        <v>7</v>
      </c>
      <c r="L65" s="16"/>
      <c r="N65" t="s">
        <v>7</v>
      </c>
      <c r="P65" s="16"/>
      <c r="Q65"/>
      <c r="R65" t="s">
        <v>7</v>
      </c>
      <c r="V65" t="s">
        <v>7</v>
      </c>
      <c r="W65"/>
      <c r="X65" s="16"/>
      <c r="Z65" t="s">
        <v>7</v>
      </c>
      <c r="AB65" s="16"/>
      <c r="AC65"/>
      <c r="AD65" t="s">
        <v>7</v>
      </c>
      <c r="AH65" s="16"/>
      <c r="AI65"/>
      <c r="AK65" s="16"/>
      <c r="AL65"/>
      <c r="AN65" s="16"/>
      <c r="AO65"/>
      <c r="AQ65" s="16"/>
      <c r="AR65"/>
      <c r="AT65" s="16"/>
    </row>
    <row r="66" spans="2:46">
      <c r="B66" s="13">
        <f>B64-7</f>
        <v>44306.625</v>
      </c>
      <c r="C66">
        <f>DMAX(_xlnm.Database,"n",B65:B66)</f>
        <v>285</v>
      </c>
      <c r="D66" s="16"/>
      <c r="F66" s="13">
        <f>F64-7</f>
        <v>44305.625</v>
      </c>
      <c r="G66">
        <f>DMAX(_xlnm.Database,"n",F65:F66)</f>
        <v>284</v>
      </c>
      <c r="H66" s="16"/>
      <c r="J66" s="13">
        <f>J64-7</f>
        <v>44304.625</v>
      </c>
      <c r="K66">
        <f>DMAX(_xlnm.Database,"n",J65:J66)</f>
        <v>156</v>
      </c>
      <c r="L66" s="16"/>
      <c r="N66" s="22">
        <f>N64-7</f>
        <v>44303.625</v>
      </c>
      <c r="O66">
        <f>DMAX(_xlnm.Database,"n",N65:N66)</f>
        <v>171</v>
      </c>
      <c r="P66" s="16"/>
      <c r="Q66"/>
      <c r="R66" s="22">
        <f>R64-7</f>
        <v>44302.625</v>
      </c>
      <c r="S66">
        <f>DMAX(_xlnm.Database,"n",R65:R66)</f>
        <v>264</v>
      </c>
      <c r="V66" s="22">
        <f>V64-7</f>
        <v>44301.625</v>
      </c>
      <c r="W66">
        <f>DMAX(_xlnm.Database,"n",V65:V66)</f>
        <v>274</v>
      </c>
      <c r="X66" s="16"/>
      <c r="Z66" s="22">
        <f>Z64-7</f>
        <v>44300.625</v>
      </c>
      <c r="AA66">
        <f>DMAX(_xlnm.Database,"n",Z65:Z66)</f>
        <v>345</v>
      </c>
      <c r="AB66" s="16"/>
      <c r="AC66"/>
      <c r="AD66" s="22">
        <f>AD64-7</f>
        <v>44299.625</v>
      </c>
      <c r="AE66">
        <f>DMAX(_xlnm.Database,"n",AD65:AD66)</f>
        <v>325</v>
      </c>
      <c r="AH66" s="16"/>
      <c r="AI66"/>
      <c r="AK66" s="16"/>
      <c r="AL66"/>
      <c r="AN66" s="16"/>
      <c r="AO66"/>
      <c r="AQ66" s="16"/>
      <c r="AR66"/>
      <c r="AT66" s="16"/>
    </row>
    <row r="67" spans="2:46">
      <c r="B67" s="13" t="s">
        <v>7</v>
      </c>
      <c r="D67" s="16"/>
      <c r="F67" s="13" t="s">
        <v>7</v>
      </c>
      <c r="H67" s="16"/>
      <c r="J67" s="13" t="s">
        <v>7</v>
      </c>
      <c r="L67" s="16"/>
      <c r="N67" t="s">
        <v>7</v>
      </c>
      <c r="P67" s="16"/>
      <c r="Q67"/>
      <c r="R67" t="s">
        <v>7</v>
      </c>
      <c r="V67" t="s">
        <v>7</v>
      </c>
      <c r="W67"/>
      <c r="X67" s="16"/>
      <c r="Z67" t="s">
        <v>7</v>
      </c>
      <c r="AB67" s="16"/>
      <c r="AC67"/>
      <c r="AD67" t="s">
        <v>7</v>
      </c>
      <c r="AH67" s="16"/>
      <c r="AI67"/>
      <c r="AK67" s="16"/>
      <c r="AL67"/>
      <c r="AN67" s="16"/>
      <c r="AO67"/>
      <c r="AQ67" s="16"/>
      <c r="AR67"/>
      <c r="AT67" s="16"/>
    </row>
    <row r="68" spans="2:46">
      <c r="B68" s="13">
        <f>B66-7</f>
        <v>44299.625</v>
      </c>
      <c r="C68">
        <f>DMAX(_xlnm.Database,"n",B67:B68)</f>
        <v>325</v>
      </c>
      <c r="D68" s="16"/>
      <c r="F68" s="13">
        <f>F66-7</f>
        <v>44298.625</v>
      </c>
      <c r="G68">
        <f>DMAX(_xlnm.Database,"n",F67:F68)</f>
        <v>398</v>
      </c>
      <c r="H68" s="16"/>
      <c r="J68" s="13">
        <f>J66-7</f>
        <v>44297.625</v>
      </c>
      <c r="K68">
        <f>DMAX(_xlnm.Database,"n",J67:J68)</f>
        <v>239</v>
      </c>
      <c r="L68" s="16"/>
      <c r="N68" s="22">
        <f>N66-7</f>
        <v>44296.625</v>
      </c>
      <c r="O68">
        <f>DMAX(_xlnm.Database,"n",N67:N68)</f>
        <v>226</v>
      </c>
      <c r="P68" s="16"/>
      <c r="Q68"/>
      <c r="R68" s="22">
        <f>R66-7</f>
        <v>44295.625</v>
      </c>
      <c r="S68">
        <f>DMAX(_xlnm.Database,"n",R67:R68)</f>
        <v>351</v>
      </c>
      <c r="V68" s="22">
        <f>V66-7</f>
        <v>44294.625</v>
      </c>
      <c r="W68">
        <f>DMAX(_xlnm.Database,"n",V67:V68)</f>
        <v>407</v>
      </c>
      <c r="X68" s="16"/>
      <c r="Z68" s="22">
        <f>Z66-7</f>
        <v>44293.625</v>
      </c>
      <c r="AA68">
        <f>DMAX(_xlnm.Database,"n",Z67:Z68)</f>
        <v>426</v>
      </c>
      <c r="AB68" s="16"/>
      <c r="AC68"/>
      <c r="AD68" s="22">
        <f>AD66-7</f>
        <v>44292.625</v>
      </c>
      <c r="AE68">
        <f>DMAX(_xlnm.Database,"n",AD67:AD68)</f>
        <v>545</v>
      </c>
      <c r="AH68" s="16"/>
      <c r="AI68"/>
      <c r="AK68" s="16"/>
      <c r="AL68"/>
      <c r="AN68" s="16"/>
      <c r="AO68"/>
      <c r="AQ68" s="16"/>
      <c r="AR68"/>
      <c r="AT68" s="16"/>
    </row>
    <row r="69" spans="2:46">
      <c r="D69" s="16"/>
      <c r="G69" s="16"/>
      <c r="J69" s="16"/>
      <c r="L69"/>
      <c r="M69" s="16"/>
      <c r="N69"/>
      <c r="P69" s="16"/>
      <c r="Q69"/>
      <c r="S69" s="16"/>
      <c r="T69"/>
      <c r="V69" s="16"/>
      <c r="W69"/>
      <c r="Y69" s="16"/>
      <c r="Z69"/>
      <c r="AB69" s="16"/>
      <c r="AC69"/>
      <c r="AE69" s="16"/>
      <c r="AF69"/>
      <c r="AH69" s="16"/>
      <c r="AI69"/>
      <c r="AK69" s="16"/>
      <c r="AL69"/>
      <c r="AN69" s="16"/>
      <c r="AO69"/>
      <c r="AQ69" s="16"/>
      <c r="AR69"/>
      <c r="AT69" s="16"/>
    </row>
    <row r="70" spans="2:46">
      <c r="D70" s="16"/>
      <c r="G70" s="16"/>
      <c r="J70" s="16"/>
      <c r="L70"/>
      <c r="M70" s="16"/>
      <c r="N70"/>
      <c r="P70" s="16"/>
      <c r="Q70"/>
      <c r="S70" s="16"/>
      <c r="T70"/>
      <c r="V70" s="16"/>
      <c r="W70"/>
      <c r="Y70" s="16"/>
      <c r="Z70"/>
      <c r="AB70" s="16"/>
      <c r="AC70"/>
      <c r="AE70" s="16"/>
      <c r="AF70"/>
      <c r="AH70" s="16"/>
      <c r="AI70"/>
      <c r="AK70" s="16"/>
      <c r="AL70"/>
      <c r="AN70" s="16"/>
      <c r="AO70"/>
      <c r="AQ70" s="16"/>
      <c r="AR70"/>
      <c r="AT70" s="16"/>
    </row>
    <row r="71" spans="2:46">
      <c r="D71" s="16"/>
      <c r="G71" s="16"/>
      <c r="J71" s="16"/>
      <c r="L71"/>
      <c r="M71" s="16"/>
      <c r="N71"/>
      <c r="P71" s="16"/>
      <c r="Q71"/>
      <c r="S71" s="16"/>
      <c r="T71"/>
      <c r="V71" s="16"/>
      <c r="W71"/>
      <c r="Y71" s="16"/>
      <c r="Z71"/>
      <c r="AB71" s="16"/>
      <c r="AC71"/>
      <c r="AE71" s="16"/>
      <c r="AF71"/>
      <c r="AH71" s="16"/>
      <c r="AI71"/>
      <c r="AK71" s="16"/>
      <c r="AL71"/>
      <c r="AN71" s="16"/>
      <c r="AO71"/>
      <c r="AQ71" s="16"/>
      <c r="AR71"/>
      <c r="AT71" s="16"/>
    </row>
    <row r="72" spans="2:46">
      <c r="B72" s="30" t="s">
        <v>7</v>
      </c>
      <c r="D72" s="16"/>
      <c r="G72" s="16"/>
      <c r="J72" s="16"/>
      <c r="L72"/>
      <c r="M72" s="16"/>
      <c r="N72"/>
      <c r="P72" s="16"/>
      <c r="Q72"/>
      <c r="S72" s="16"/>
      <c r="T72"/>
      <c r="V72" s="16"/>
      <c r="W72"/>
      <c r="Y72" s="16"/>
      <c r="Z72"/>
      <c r="AB72" s="16"/>
      <c r="AC72"/>
      <c r="AE72" s="16"/>
      <c r="AF72"/>
      <c r="AH72" s="16"/>
      <c r="AI72"/>
      <c r="AK72" s="16"/>
      <c r="AL72"/>
      <c r="AN72" s="16"/>
      <c r="AO72"/>
      <c r="AQ72" s="16"/>
      <c r="AR72"/>
      <c r="AT72" s="16"/>
    </row>
    <row r="73" spans="2:46">
      <c r="B73" s="30">
        <f>B50</f>
        <v>44362.625</v>
      </c>
      <c r="C73">
        <f>DMAX(_xlnm.Database,"n",B72:B73)</f>
        <v>77</v>
      </c>
      <c r="D73" s="21">
        <f>B73</f>
        <v>44362.625</v>
      </c>
      <c r="E73">
        <f>C73</f>
        <v>77</v>
      </c>
      <c r="J73" s="16"/>
      <c r="L73"/>
      <c r="M73" s="16"/>
      <c r="N73"/>
      <c r="P73" s="16"/>
      <c r="Q73"/>
      <c r="S73" s="16"/>
      <c r="T73"/>
      <c r="V73" s="16"/>
      <c r="W73"/>
      <c r="Y73" s="16"/>
      <c r="Z73"/>
      <c r="AB73" s="16"/>
      <c r="AC73"/>
      <c r="AE73" s="16"/>
      <c r="AF73"/>
      <c r="AH73" s="16"/>
      <c r="AI73"/>
      <c r="AK73" s="16"/>
      <c r="AL73"/>
      <c r="AN73" s="16"/>
      <c r="AO73"/>
      <c r="AQ73" s="16"/>
      <c r="AR73"/>
      <c r="AT73" s="16"/>
    </row>
    <row r="74" spans="2:46">
      <c r="B74" s="30" t="s">
        <v>7</v>
      </c>
      <c r="D74" s="16">
        <f>D73-1</f>
        <v>44361.625</v>
      </c>
      <c r="E74">
        <f>C75</f>
        <v>88</v>
      </c>
      <c r="J74" s="16"/>
      <c r="L74"/>
      <c r="M74" s="16"/>
      <c r="N74"/>
      <c r="P74" s="16"/>
      <c r="Q74"/>
      <c r="S74" s="16"/>
      <c r="T74"/>
      <c r="V74" s="16"/>
      <c r="W74"/>
      <c r="Y74" s="16"/>
      <c r="Z74"/>
      <c r="AB74" s="16"/>
      <c r="AC74"/>
      <c r="AE74" s="16"/>
      <c r="AF74"/>
      <c r="AH74" s="16"/>
      <c r="AI74"/>
      <c r="AK74" s="16"/>
      <c r="AL74"/>
      <c r="AN74" s="16"/>
      <c r="AO74"/>
      <c r="AQ74" s="16"/>
      <c r="AR74"/>
      <c r="AT74" s="16"/>
    </row>
    <row r="75" spans="2:46">
      <c r="B75" s="30">
        <f>B73-1</f>
        <v>44361.625</v>
      </c>
      <c r="C75">
        <f>DMAX(_xlnm.Database,"n",B74:B75)</f>
        <v>88</v>
      </c>
      <c r="D75" s="16">
        <f t="shared" ref="D75:D109" si="16">D74-1</f>
        <v>44360.625</v>
      </c>
      <c r="E75">
        <f>C77</f>
        <v>47</v>
      </c>
      <c r="J75" s="16"/>
      <c r="L75"/>
      <c r="M75" s="16"/>
      <c r="N75"/>
      <c r="P75" s="16"/>
      <c r="Q75"/>
      <c r="S75" s="16"/>
      <c r="T75"/>
      <c r="V75" s="16"/>
      <c r="W75"/>
      <c r="Y75" s="16"/>
      <c r="Z75"/>
      <c r="AB75" s="16"/>
      <c r="AC75"/>
      <c r="AE75" s="16"/>
      <c r="AF75"/>
      <c r="AH75" s="16"/>
      <c r="AI75"/>
      <c r="AK75" s="16"/>
      <c r="AL75"/>
      <c r="AN75" s="16"/>
      <c r="AO75"/>
      <c r="AQ75" s="16"/>
      <c r="AR75"/>
      <c r="AT75" s="16"/>
    </row>
    <row r="76" spans="2:46">
      <c r="B76" s="30" t="s">
        <v>7</v>
      </c>
      <c r="D76" s="16">
        <f t="shared" si="16"/>
        <v>44359.625</v>
      </c>
      <c r="E76">
        <f>C79</f>
        <v>45</v>
      </c>
      <c r="J76" s="16"/>
      <c r="L76"/>
      <c r="M76" s="16"/>
      <c r="N76"/>
      <c r="P76" s="16"/>
      <c r="Q76"/>
      <c r="S76" s="16"/>
      <c r="T76"/>
      <c r="V76" s="16"/>
      <c r="W76"/>
      <c r="Y76" s="16"/>
      <c r="Z76"/>
      <c r="AB76" s="16"/>
      <c r="AC76"/>
      <c r="AE76" s="16"/>
      <c r="AF76"/>
      <c r="AH76" s="16"/>
      <c r="AI76"/>
      <c r="AK76" s="16"/>
      <c r="AL76"/>
      <c r="AN76" s="16"/>
      <c r="AO76"/>
      <c r="AQ76" s="16"/>
      <c r="AR76"/>
      <c r="AT76" s="16"/>
    </row>
    <row r="77" spans="2:46">
      <c r="B77" s="30">
        <f>B75-1</f>
        <v>44360.625</v>
      </c>
      <c r="C77">
        <f>DMAX(_xlnm.Database,"n",B76:B77)</f>
        <v>47</v>
      </c>
      <c r="D77" s="16">
        <f t="shared" si="16"/>
        <v>44358.625</v>
      </c>
      <c r="E77">
        <f>C81</f>
        <v>70</v>
      </c>
      <c r="J77" s="16"/>
      <c r="L77"/>
      <c r="M77" s="16"/>
      <c r="N77"/>
      <c r="P77" s="16"/>
      <c r="Q77"/>
      <c r="S77" s="16"/>
      <c r="T77"/>
      <c r="V77" s="16"/>
      <c r="W77"/>
      <c r="Y77" s="16"/>
      <c r="Z77"/>
      <c r="AB77" s="16"/>
      <c r="AC77"/>
      <c r="AE77" s="16"/>
      <c r="AF77"/>
      <c r="AH77" s="16"/>
      <c r="AI77"/>
      <c r="AK77" s="16"/>
      <c r="AL77"/>
      <c r="AN77" s="16"/>
      <c r="AO77"/>
      <c r="AQ77" s="16"/>
      <c r="AR77"/>
      <c r="AT77" s="16"/>
    </row>
    <row r="78" spans="2:46">
      <c r="B78" s="30" t="s">
        <v>7</v>
      </c>
      <c r="D78" s="16">
        <f t="shared" si="16"/>
        <v>44357.625</v>
      </c>
      <c r="E78">
        <f>C83</f>
        <v>76</v>
      </c>
      <c r="J78" s="16"/>
      <c r="L78"/>
      <c r="M78" s="16"/>
      <c r="N78"/>
      <c r="P78" s="16"/>
      <c r="Q78"/>
      <c r="S78" s="16"/>
      <c r="T78"/>
      <c r="V78" s="16"/>
      <c r="W78"/>
      <c r="Y78" s="16"/>
      <c r="Z78"/>
      <c r="AB78" s="16"/>
      <c r="AC78"/>
      <c r="AE78" s="16"/>
      <c r="AF78"/>
      <c r="AH78" s="16"/>
      <c r="AI78"/>
      <c r="AK78" s="16"/>
      <c r="AL78"/>
      <c r="AN78" s="16"/>
      <c r="AO78"/>
      <c r="AQ78" s="16"/>
      <c r="AR78"/>
      <c r="AT78" s="16"/>
    </row>
    <row r="79" spans="2:46">
      <c r="B79" s="30">
        <f>B77-1</f>
        <v>44359.625</v>
      </c>
      <c r="C79">
        <f>DMAX(_xlnm.Database,"n",B78:B79)</f>
        <v>45</v>
      </c>
      <c r="D79" s="16">
        <f t="shared" si="16"/>
        <v>44356.625</v>
      </c>
      <c r="E79">
        <f>C85</f>
        <v>82</v>
      </c>
      <c r="J79" s="16"/>
      <c r="L79"/>
      <c r="M79" s="16"/>
      <c r="N79"/>
      <c r="P79" s="16"/>
      <c r="Q79"/>
      <c r="S79" s="16"/>
      <c r="T79"/>
      <c r="V79" s="16"/>
      <c r="W79"/>
      <c r="Y79" s="16"/>
      <c r="Z79"/>
      <c r="AB79" s="16"/>
      <c r="AC79"/>
      <c r="AE79" s="16"/>
      <c r="AF79"/>
      <c r="AH79" s="16"/>
      <c r="AI79"/>
      <c r="AK79" s="16"/>
      <c r="AL79"/>
      <c r="AN79" s="16"/>
      <c r="AO79"/>
      <c r="AQ79" s="16"/>
      <c r="AR79"/>
      <c r="AT79" s="16"/>
    </row>
    <row r="80" spans="2:46">
      <c r="B80" s="30" t="s">
        <v>7</v>
      </c>
      <c r="D80" s="16">
        <f t="shared" si="16"/>
        <v>44355.625</v>
      </c>
      <c r="E80">
        <f>C87</f>
        <v>101</v>
      </c>
      <c r="J80" s="16"/>
      <c r="L80"/>
      <c r="M80" s="16"/>
      <c r="N80"/>
      <c r="P80" s="16"/>
      <c r="Q80"/>
      <c r="S80" s="16"/>
      <c r="T80"/>
      <c r="V80" s="16"/>
      <c r="W80"/>
      <c r="Y80" s="16"/>
      <c r="Z80"/>
      <c r="AB80" s="16"/>
      <c r="AC80"/>
      <c r="AE80" s="16"/>
      <c r="AF80"/>
      <c r="AH80" s="16"/>
      <c r="AI80"/>
      <c r="AK80" s="16"/>
      <c r="AL80"/>
      <c r="AN80" s="16"/>
      <c r="AO80"/>
      <c r="AQ80" s="16"/>
      <c r="AR80"/>
      <c r="AT80" s="16"/>
    </row>
    <row r="81" spans="2:46">
      <c r="B81" s="30">
        <f>B79-1</f>
        <v>44358.625</v>
      </c>
      <c r="C81">
        <f>DMAX(_xlnm.Database,"n",B80:B81)</f>
        <v>70</v>
      </c>
      <c r="D81" s="16">
        <f t="shared" si="16"/>
        <v>44354.625</v>
      </c>
      <c r="E81">
        <f>C89</f>
        <v>136</v>
      </c>
      <c r="J81" s="16"/>
      <c r="L81"/>
      <c r="M81" s="16"/>
      <c r="N81"/>
      <c r="P81" s="16"/>
      <c r="Q81"/>
      <c r="S81" s="16"/>
      <c r="T81"/>
      <c r="V81" s="16"/>
      <c r="W81"/>
      <c r="Y81" s="16"/>
      <c r="Z81"/>
      <c r="AB81" s="16"/>
      <c r="AC81"/>
      <c r="AE81" s="16"/>
      <c r="AF81"/>
      <c r="AH81" s="16"/>
      <c r="AI81"/>
      <c r="AK81" s="16"/>
      <c r="AL81"/>
      <c r="AN81" s="16"/>
      <c r="AO81"/>
      <c r="AQ81" s="16"/>
      <c r="AR81"/>
      <c r="AT81" s="16"/>
    </row>
    <row r="82" spans="2:46">
      <c r="B82" s="30" t="s">
        <v>7</v>
      </c>
      <c r="D82" s="16">
        <f t="shared" si="16"/>
        <v>44353.625</v>
      </c>
      <c r="E82">
        <f>C91</f>
        <v>59</v>
      </c>
      <c r="J82" s="16"/>
      <c r="L82"/>
      <c r="M82" s="16"/>
      <c r="N82"/>
      <c r="P82" s="16"/>
      <c r="Q82"/>
      <c r="S82" s="16"/>
      <c r="T82"/>
      <c r="V82" s="16"/>
      <c r="W82"/>
      <c r="Y82" s="16"/>
      <c r="Z82"/>
      <c r="AB82" s="16"/>
      <c r="AC82"/>
      <c r="AE82" s="16"/>
      <c r="AF82"/>
      <c r="AH82" s="16"/>
      <c r="AI82"/>
      <c r="AK82" s="16"/>
      <c r="AL82"/>
      <c r="AN82" s="16"/>
      <c r="AO82"/>
      <c r="AQ82" s="16"/>
      <c r="AR82"/>
      <c r="AT82" s="16"/>
    </row>
    <row r="83" spans="2:46">
      <c r="B83" s="30">
        <f>B81-1</f>
        <v>44357.625</v>
      </c>
      <c r="C83">
        <f>DMAX(_xlnm.Database,"n",B82:B83)</f>
        <v>76</v>
      </c>
      <c r="D83" s="16">
        <f t="shared" si="16"/>
        <v>44352.625</v>
      </c>
      <c r="E83">
        <f>C93</f>
        <v>65</v>
      </c>
      <c r="J83" s="16"/>
      <c r="L83"/>
      <c r="M83" s="16"/>
      <c r="N83"/>
      <c r="P83" s="16"/>
      <c r="Q83"/>
      <c r="S83" s="16"/>
      <c r="T83"/>
      <c r="V83" s="16"/>
      <c r="W83"/>
      <c r="Y83" s="16"/>
      <c r="Z83"/>
      <c r="AB83" s="16"/>
      <c r="AC83"/>
      <c r="AE83" s="16"/>
      <c r="AF83"/>
      <c r="AH83" s="16"/>
      <c r="AI83"/>
      <c r="AK83" s="16"/>
      <c r="AL83"/>
      <c r="AN83" s="16"/>
      <c r="AO83"/>
      <c r="AQ83" s="16"/>
      <c r="AR83"/>
      <c r="AT83" s="16"/>
    </row>
    <row r="84" spans="2:46">
      <c r="B84" s="30" t="s">
        <v>7</v>
      </c>
      <c r="D84" s="16">
        <f t="shared" si="16"/>
        <v>44351.625</v>
      </c>
      <c r="E84">
        <f>C95</f>
        <v>101</v>
      </c>
      <c r="J84" s="16"/>
      <c r="L84"/>
      <c r="M84" s="16"/>
      <c r="N84"/>
      <c r="P84" s="16"/>
      <c r="Q84"/>
      <c r="S84" s="16"/>
      <c r="T84"/>
      <c r="V84" s="16"/>
      <c r="W84"/>
      <c r="Y84" s="16"/>
      <c r="Z84"/>
      <c r="AB84" s="16"/>
      <c r="AC84"/>
      <c r="AE84" s="16"/>
      <c r="AF84"/>
      <c r="AH84" s="16"/>
      <c r="AI84"/>
      <c r="AK84" s="16"/>
      <c r="AL84"/>
      <c r="AN84" s="16"/>
      <c r="AO84"/>
      <c r="AQ84" s="16"/>
      <c r="AR84"/>
      <c r="AT84" s="16"/>
    </row>
    <row r="85" spans="2:46">
      <c r="B85" s="30">
        <f>B83-1</f>
        <v>44356.625</v>
      </c>
      <c r="C85">
        <f>DMAX(_xlnm.Database,"n",B84:B85)</f>
        <v>82</v>
      </c>
      <c r="D85" s="16">
        <f t="shared" si="16"/>
        <v>44350.625</v>
      </c>
      <c r="E85">
        <f>C97</f>
        <v>111</v>
      </c>
      <c r="J85" s="16"/>
      <c r="L85"/>
      <c r="M85" s="16"/>
      <c r="N85"/>
      <c r="P85" s="16"/>
      <c r="Q85"/>
      <c r="S85" s="16"/>
      <c r="T85"/>
      <c r="V85" s="16"/>
      <c r="W85"/>
      <c r="Y85" s="16"/>
      <c r="Z85"/>
      <c r="AB85" s="16"/>
      <c r="AC85"/>
      <c r="AE85" s="16"/>
      <c r="AF85"/>
      <c r="AH85" s="16"/>
      <c r="AI85"/>
      <c r="AK85" s="16"/>
      <c r="AL85"/>
      <c r="AN85" s="16"/>
      <c r="AO85"/>
      <c r="AQ85" s="16"/>
      <c r="AR85"/>
      <c r="AT85" s="16"/>
    </row>
    <row r="86" spans="2:46">
      <c r="B86" s="30" t="s">
        <v>7</v>
      </c>
      <c r="D86" s="16">
        <f t="shared" si="16"/>
        <v>44349.625</v>
      </c>
      <c r="E86">
        <f>C99</f>
        <v>118</v>
      </c>
      <c r="J86" s="16"/>
      <c r="L86"/>
      <c r="M86" s="16"/>
      <c r="N86"/>
      <c r="P86" s="16"/>
      <c r="Q86"/>
      <c r="S86" s="16"/>
      <c r="T86"/>
      <c r="V86" s="16"/>
      <c r="W86"/>
      <c r="Y86" s="16"/>
      <c r="Z86"/>
      <c r="AB86" s="16"/>
      <c r="AC86"/>
      <c r="AE86" s="16"/>
      <c r="AF86"/>
      <c r="AH86" s="16"/>
      <c r="AI86"/>
      <c r="AK86" s="16"/>
      <c r="AL86"/>
      <c r="AN86" s="16"/>
      <c r="AO86"/>
      <c r="AQ86" s="16"/>
      <c r="AR86"/>
      <c r="AT86" s="16"/>
    </row>
    <row r="87" spans="2:46">
      <c r="B87" s="30">
        <f>B85-1</f>
        <v>44355.625</v>
      </c>
      <c r="C87">
        <f>DMAX(_xlnm.Database,"n",B86:B87)</f>
        <v>101</v>
      </c>
      <c r="D87" s="16">
        <f t="shared" si="16"/>
        <v>44348.625</v>
      </c>
      <c r="E87">
        <f>C101</f>
        <v>121</v>
      </c>
      <c r="J87" s="16"/>
      <c r="L87"/>
      <c r="M87" s="16"/>
      <c r="N87"/>
      <c r="P87" s="16"/>
      <c r="Q87"/>
      <c r="S87" s="16"/>
      <c r="T87"/>
      <c r="V87" s="16"/>
      <c r="W87"/>
      <c r="Y87" s="16"/>
      <c r="Z87"/>
      <c r="AB87" s="16"/>
      <c r="AC87"/>
      <c r="AE87" s="16"/>
      <c r="AF87"/>
      <c r="AH87" s="16"/>
      <c r="AI87"/>
      <c r="AK87" s="16"/>
      <c r="AL87"/>
      <c r="AN87" s="16"/>
      <c r="AO87"/>
      <c r="AQ87" s="16"/>
      <c r="AR87"/>
      <c r="AT87" s="16"/>
    </row>
    <row r="88" spans="2:46">
      <c r="B88" s="30" t="s">
        <v>7</v>
      </c>
      <c r="D88" s="16">
        <f t="shared" si="16"/>
        <v>44347.625</v>
      </c>
      <c r="E88">
        <f>C103</f>
        <v>145</v>
      </c>
      <c r="J88" s="16"/>
      <c r="L88"/>
      <c r="M88" s="16"/>
      <c r="N88"/>
      <c r="P88" s="16"/>
      <c r="Q88"/>
      <c r="S88" s="16"/>
      <c r="T88"/>
      <c r="V88" s="16"/>
      <c r="W88"/>
      <c r="Y88" s="16"/>
      <c r="Z88"/>
      <c r="AB88" s="16"/>
      <c r="AC88"/>
      <c r="AE88" s="16"/>
      <c r="AF88"/>
      <c r="AH88" s="16"/>
      <c r="AI88"/>
      <c r="AK88" s="16"/>
      <c r="AL88"/>
      <c r="AN88" s="16"/>
      <c r="AO88"/>
      <c r="AQ88" s="16"/>
      <c r="AR88"/>
      <c r="AT88" s="16"/>
    </row>
    <row r="89" spans="2:46">
      <c r="B89" s="30">
        <f>B87-1</f>
        <v>44354.625</v>
      </c>
      <c r="C89">
        <f>DMAX(_xlnm.Database,"n",B88:B89)</f>
        <v>136</v>
      </c>
      <c r="D89" s="16">
        <f t="shared" si="16"/>
        <v>44346.625</v>
      </c>
      <c r="E89">
        <f>C105</f>
        <v>79</v>
      </c>
      <c r="J89" s="16"/>
      <c r="L89"/>
      <c r="M89" s="16"/>
      <c r="N89"/>
      <c r="P89" s="16"/>
      <c r="Q89"/>
      <c r="S89" s="16"/>
      <c r="T89"/>
      <c r="V89" s="16"/>
      <c r="W89"/>
      <c r="Y89" s="16"/>
      <c r="Z89"/>
      <c r="AB89" s="16"/>
      <c r="AC89"/>
      <c r="AE89" s="16"/>
      <c r="AF89"/>
      <c r="AH89" s="16"/>
      <c r="AI89"/>
      <c r="AK89" s="16"/>
      <c r="AL89"/>
      <c r="AN89" s="16"/>
      <c r="AO89"/>
      <c r="AQ89" s="16"/>
      <c r="AR89"/>
      <c r="AT89" s="16"/>
    </row>
    <row r="90" spans="2:46">
      <c r="B90" s="30" t="s">
        <v>7</v>
      </c>
      <c r="D90" s="16">
        <f t="shared" si="16"/>
        <v>44345.625</v>
      </c>
      <c r="E90">
        <f>C107</f>
        <v>64</v>
      </c>
      <c r="J90" s="16"/>
      <c r="L90"/>
      <c r="M90" s="16"/>
      <c r="N90"/>
      <c r="P90" s="16"/>
      <c r="Q90"/>
      <c r="S90" s="16"/>
      <c r="T90"/>
      <c r="V90" s="16"/>
      <c r="W90"/>
      <c r="Y90" s="16"/>
      <c r="Z90"/>
      <c r="AB90" s="16"/>
      <c r="AC90"/>
      <c r="AE90" s="16"/>
      <c r="AF90"/>
      <c r="AH90" s="16"/>
      <c r="AI90"/>
      <c r="AK90" s="16"/>
      <c r="AL90"/>
      <c r="AN90" s="16"/>
      <c r="AO90"/>
      <c r="AQ90" s="16"/>
      <c r="AR90"/>
      <c r="AT90" s="16"/>
    </row>
    <row r="91" spans="2:46">
      <c r="B91" s="30">
        <f>B89-1</f>
        <v>44353.625</v>
      </c>
      <c r="C91">
        <f>DMAX(_xlnm.Database,"n",B90:B91)</f>
        <v>59</v>
      </c>
      <c r="D91" s="16">
        <f t="shared" si="16"/>
        <v>44344.625</v>
      </c>
      <c r="E91">
        <f>C109</f>
        <v>136</v>
      </c>
      <c r="J91" s="16"/>
      <c r="L91"/>
      <c r="M91" s="16"/>
      <c r="N91"/>
      <c r="P91" s="16"/>
      <c r="Q91"/>
      <c r="S91" s="16"/>
      <c r="T91"/>
      <c r="V91" s="16"/>
      <c r="W91"/>
      <c r="Y91" s="16"/>
      <c r="Z91"/>
      <c r="AB91" s="16"/>
      <c r="AC91"/>
      <c r="AE91" s="16"/>
      <c r="AF91"/>
      <c r="AH91" s="16"/>
      <c r="AI91"/>
      <c r="AK91" s="16"/>
      <c r="AL91"/>
      <c r="AN91" s="16"/>
      <c r="AO91"/>
      <c r="AQ91" s="16"/>
      <c r="AR91"/>
      <c r="AT91" s="16"/>
    </row>
    <row r="92" spans="2:46">
      <c r="B92" s="30" t="s">
        <v>7</v>
      </c>
      <c r="D92" s="16">
        <f t="shared" si="16"/>
        <v>44343.625</v>
      </c>
      <c r="E92">
        <f>C111</f>
        <v>127</v>
      </c>
      <c r="J92" s="16"/>
      <c r="L92"/>
      <c r="M92" s="16"/>
      <c r="N92"/>
      <c r="P92" s="16"/>
      <c r="Q92"/>
      <c r="S92" s="16"/>
      <c r="T92"/>
      <c r="V92" s="16"/>
      <c r="W92"/>
      <c r="Y92" s="16"/>
      <c r="Z92"/>
      <c r="AB92" s="16"/>
      <c r="AC92"/>
      <c r="AE92" s="16"/>
      <c r="AF92"/>
      <c r="AH92" s="16"/>
      <c r="AI92"/>
      <c r="AK92" s="16"/>
      <c r="AL92"/>
      <c r="AN92" s="16"/>
      <c r="AO92"/>
      <c r="AQ92" s="16"/>
      <c r="AR92"/>
      <c r="AT92" s="16"/>
    </row>
    <row r="93" spans="2:46">
      <c r="B93" s="30">
        <f>B91-1</f>
        <v>44352.625</v>
      </c>
      <c r="C93">
        <f>DMAX(_xlnm.Database,"n",B92:B93)</f>
        <v>65</v>
      </c>
      <c r="D93" s="16">
        <f t="shared" si="16"/>
        <v>44342.625</v>
      </c>
      <c r="E93">
        <f>C113</f>
        <v>142</v>
      </c>
      <c r="J93" s="16"/>
      <c r="L93"/>
      <c r="M93" s="16"/>
      <c r="N93"/>
      <c r="P93" s="16"/>
      <c r="Q93"/>
      <c r="S93" s="16"/>
      <c r="T93"/>
      <c r="V93" s="16"/>
      <c r="W93"/>
      <c r="Y93" s="16"/>
      <c r="Z93"/>
      <c r="AB93" s="16"/>
      <c r="AC93"/>
      <c r="AE93" s="16"/>
      <c r="AF93"/>
      <c r="AH93" s="16"/>
      <c r="AI93"/>
      <c r="AK93" s="16"/>
      <c r="AL93"/>
      <c r="AN93" s="16"/>
      <c r="AO93"/>
      <c r="AQ93" s="16"/>
      <c r="AR93"/>
      <c r="AT93" s="16"/>
    </row>
    <row r="94" spans="2:46">
      <c r="B94" s="30" t="s">
        <v>7</v>
      </c>
      <c r="D94" s="16">
        <f t="shared" si="16"/>
        <v>44341.625</v>
      </c>
      <c r="E94">
        <f>C115</f>
        <v>152</v>
      </c>
      <c r="J94" s="16"/>
      <c r="L94"/>
      <c r="M94" s="16"/>
      <c r="N94"/>
      <c r="P94" s="16"/>
      <c r="Q94"/>
      <c r="S94" s="16"/>
      <c r="T94"/>
      <c r="V94" s="16"/>
      <c r="W94"/>
      <c r="Y94" s="16"/>
      <c r="Z94"/>
      <c r="AB94" s="16"/>
      <c r="AC94"/>
      <c r="AE94" s="16"/>
      <c r="AF94"/>
      <c r="AH94" s="16"/>
      <c r="AI94"/>
      <c r="AK94" s="16"/>
      <c r="AL94"/>
      <c r="AN94" s="16"/>
      <c r="AO94"/>
      <c r="AQ94" s="16"/>
      <c r="AR94"/>
      <c r="AT94" s="16"/>
    </row>
    <row r="95" spans="2:46">
      <c r="B95" s="30">
        <f>B93-1</f>
        <v>44351.625</v>
      </c>
      <c r="C95">
        <f>DMAX(_xlnm.Database,"n",B94:B95)</f>
        <v>101</v>
      </c>
      <c r="D95" s="16">
        <f t="shared" si="16"/>
        <v>44340.625</v>
      </c>
      <c r="E95">
        <f>C117</f>
        <v>188</v>
      </c>
      <c r="J95" s="16"/>
      <c r="L95"/>
      <c r="M95" s="16"/>
      <c r="N95"/>
      <c r="P95" s="16"/>
      <c r="Q95"/>
      <c r="S95" s="16"/>
      <c r="T95"/>
      <c r="V95" s="16"/>
      <c r="W95"/>
      <c r="Y95" s="16"/>
      <c r="Z95"/>
      <c r="AB95" s="16"/>
      <c r="AC95"/>
      <c r="AE95" s="16"/>
      <c r="AF95"/>
      <c r="AH95" s="16"/>
      <c r="AI95"/>
      <c r="AK95" s="16"/>
      <c r="AL95"/>
      <c r="AN95" s="16"/>
      <c r="AO95"/>
      <c r="AQ95" s="16"/>
      <c r="AR95"/>
      <c r="AT95" s="16"/>
    </row>
    <row r="96" spans="2:46">
      <c r="B96" s="30" t="s">
        <v>7</v>
      </c>
      <c r="D96" s="16">
        <f t="shared" si="16"/>
        <v>44339.625</v>
      </c>
      <c r="E96">
        <f>C119</f>
        <v>93</v>
      </c>
      <c r="J96" s="16"/>
      <c r="L96"/>
      <c r="M96" s="16"/>
      <c r="N96"/>
      <c r="P96" s="16"/>
      <c r="Q96"/>
      <c r="S96" s="16"/>
      <c r="T96"/>
      <c r="V96" s="16"/>
      <c r="W96"/>
      <c r="Y96" s="16"/>
      <c r="Z96"/>
      <c r="AB96" s="16"/>
      <c r="AC96"/>
      <c r="AE96" s="16"/>
      <c r="AF96"/>
      <c r="AH96" s="16"/>
      <c r="AI96"/>
      <c r="AK96" s="16"/>
      <c r="AL96"/>
      <c r="AN96" s="16"/>
      <c r="AO96"/>
      <c r="AQ96" s="16"/>
      <c r="AR96"/>
      <c r="AT96" s="16"/>
    </row>
    <row r="97" spans="2:46">
      <c r="B97" s="30">
        <f>B95-1</f>
        <v>44350.625</v>
      </c>
      <c r="C97">
        <f>DMAX(_xlnm.Database,"n",B96:B97)</f>
        <v>111</v>
      </c>
      <c r="D97" s="16">
        <f t="shared" si="16"/>
        <v>44338.625</v>
      </c>
      <c r="E97">
        <f>C121</f>
        <v>108</v>
      </c>
      <c r="J97" s="16"/>
      <c r="L97"/>
      <c r="M97" s="16"/>
      <c r="N97"/>
      <c r="P97" s="16"/>
      <c r="Q97"/>
      <c r="S97" s="16"/>
      <c r="T97"/>
      <c r="V97" s="16"/>
      <c r="W97"/>
      <c r="Y97" s="16"/>
      <c r="Z97"/>
      <c r="AB97" s="16"/>
      <c r="AC97"/>
      <c r="AE97" s="16"/>
      <c r="AF97"/>
      <c r="AH97" s="16"/>
      <c r="AI97"/>
      <c r="AK97" s="16"/>
      <c r="AL97"/>
      <c r="AN97" s="16"/>
      <c r="AO97"/>
      <c r="AQ97" s="16"/>
      <c r="AR97"/>
      <c r="AT97" s="16"/>
    </row>
    <row r="98" spans="2:46">
      <c r="B98" s="30" t="s">
        <v>7</v>
      </c>
      <c r="D98" s="16">
        <f t="shared" si="16"/>
        <v>44337.625</v>
      </c>
      <c r="E98">
        <f>C123</f>
        <v>168</v>
      </c>
      <c r="J98" s="16"/>
      <c r="L98"/>
      <c r="M98" s="16"/>
      <c r="N98"/>
      <c r="P98" s="16"/>
      <c r="Q98"/>
      <c r="S98" s="16"/>
      <c r="T98"/>
      <c r="V98" s="16"/>
      <c r="W98"/>
      <c r="Y98" s="16"/>
      <c r="Z98"/>
      <c r="AB98" s="16"/>
      <c r="AC98"/>
      <c r="AE98" s="16"/>
      <c r="AF98"/>
      <c r="AH98" s="16"/>
      <c r="AI98"/>
      <c r="AK98" s="16"/>
      <c r="AL98"/>
      <c r="AN98" s="16"/>
      <c r="AO98"/>
      <c r="AQ98" s="16"/>
      <c r="AR98"/>
      <c r="AT98" s="16"/>
    </row>
    <row r="99" spans="2:46">
      <c r="B99" s="30">
        <f>B97-1</f>
        <v>44349.625</v>
      </c>
      <c r="C99">
        <f>DMAX(_xlnm.Database,"n",B98:B99)</f>
        <v>118</v>
      </c>
      <c r="D99" s="16">
        <f t="shared" si="16"/>
        <v>44336.625</v>
      </c>
      <c r="E99">
        <f>C125</f>
        <v>215</v>
      </c>
      <c r="J99" s="16"/>
      <c r="L99"/>
      <c r="M99" s="16"/>
      <c r="N99"/>
      <c r="P99" s="16"/>
      <c r="Q99"/>
      <c r="S99" s="16"/>
      <c r="T99"/>
      <c r="V99" s="16"/>
      <c r="W99"/>
      <c r="Y99" s="16"/>
      <c r="Z99"/>
      <c r="AB99" s="16"/>
      <c r="AC99"/>
      <c r="AE99" s="16"/>
      <c r="AF99"/>
      <c r="AH99" s="16"/>
      <c r="AI99"/>
      <c r="AK99" s="16"/>
      <c r="AL99"/>
      <c r="AN99" s="16"/>
      <c r="AO99"/>
      <c r="AQ99" s="16"/>
      <c r="AR99"/>
      <c r="AT99" s="16"/>
    </row>
    <row r="100" spans="2:46">
      <c r="B100" s="30" t="s">
        <v>7</v>
      </c>
      <c r="D100" s="16">
        <f t="shared" si="16"/>
        <v>44335.625</v>
      </c>
      <c r="E100">
        <f>C127</f>
        <v>230</v>
      </c>
      <c r="J100" s="16"/>
      <c r="L100"/>
      <c r="M100" s="16"/>
      <c r="N100"/>
      <c r="P100" s="16"/>
      <c r="Q100"/>
      <c r="S100" s="16"/>
      <c r="T100"/>
      <c r="V100" s="16"/>
      <c r="W100"/>
      <c r="Y100" s="16"/>
      <c r="Z100"/>
      <c r="AB100" s="16"/>
      <c r="AC100"/>
      <c r="AE100" s="16"/>
      <c r="AF100"/>
      <c r="AH100" s="16"/>
      <c r="AI100"/>
      <c r="AK100" s="16"/>
      <c r="AL100"/>
      <c r="AN100" s="16"/>
      <c r="AO100"/>
      <c r="AQ100" s="16"/>
      <c r="AR100"/>
      <c r="AT100" s="16"/>
    </row>
    <row r="101" spans="2:46">
      <c r="B101" s="30">
        <f>B99-1</f>
        <v>44348.625</v>
      </c>
      <c r="C101">
        <f>DMAX(_xlnm.Database,"n",B100:B101)</f>
        <v>121</v>
      </c>
      <c r="D101" s="16">
        <f t="shared" si="16"/>
        <v>44334.625</v>
      </c>
      <c r="E101">
        <f>C129</f>
        <v>217</v>
      </c>
      <c r="J101" s="16"/>
      <c r="L101"/>
      <c r="M101" s="16"/>
      <c r="N101"/>
      <c r="P101" s="16"/>
      <c r="Q101"/>
      <c r="S101" s="16"/>
      <c r="T101"/>
      <c r="V101" s="16"/>
      <c r="W101"/>
      <c r="Y101" s="16"/>
      <c r="Z101"/>
      <c r="AB101" s="16"/>
      <c r="AC101"/>
      <c r="AE101" s="16"/>
      <c r="AF101"/>
      <c r="AH101" s="16"/>
      <c r="AI101"/>
      <c r="AK101" s="16"/>
      <c r="AL101"/>
      <c r="AN101" s="16"/>
      <c r="AO101"/>
      <c r="AQ101" s="16"/>
      <c r="AR101"/>
      <c r="AT101" s="16"/>
    </row>
    <row r="102" spans="2:46">
      <c r="B102" s="30" t="s">
        <v>7</v>
      </c>
      <c r="D102" s="16">
        <f t="shared" si="16"/>
        <v>44333.625</v>
      </c>
      <c r="E102">
        <f>C131</f>
        <v>284</v>
      </c>
      <c r="J102" s="16"/>
      <c r="L102"/>
      <c r="M102" s="16"/>
      <c r="N102"/>
      <c r="P102" s="16"/>
      <c r="Q102"/>
      <c r="S102" s="16"/>
      <c r="T102"/>
      <c r="V102" s="16"/>
      <c r="W102"/>
      <c r="Y102" s="16"/>
      <c r="Z102"/>
      <c r="AB102" s="16"/>
      <c r="AC102"/>
      <c r="AE102" s="16"/>
      <c r="AF102"/>
      <c r="AH102" s="16"/>
      <c r="AI102"/>
      <c r="AK102" s="16"/>
      <c r="AL102"/>
      <c r="AN102" s="16"/>
      <c r="AO102"/>
      <c r="AQ102" s="16"/>
      <c r="AR102"/>
      <c r="AT102" s="16"/>
    </row>
    <row r="103" spans="2:46">
      <c r="B103" s="30">
        <f>B101-1</f>
        <v>44347.625</v>
      </c>
      <c r="C103">
        <f>DMAX(_xlnm.Database,"n",B102:B103)</f>
        <v>145</v>
      </c>
      <c r="D103" s="16">
        <f t="shared" si="16"/>
        <v>44332.625</v>
      </c>
      <c r="E103">
        <f>C133</f>
        <v>133</v>
      </c>
      <c r="J103" s="16"/>
      <c r="L103"/>
      <c r="M103" s="16"/>
      <c r="N103"/>
      <c r="P103" s="16"/>
      <c r="Q103"/>
      <c r="S103" s="16"/>
      <c r="T103"/>
      <c r="V103" s="16"/>
      <c r="W103"/>
      <c r="Y103" s="16"/>
      <c r="Z103"/>
      <c r="AB103" s="16"/>
      <c r="AC103"/>
      <c r="AE103" s="16"/>
      <c r="AF103"/>
      <c r="AH103" s="16"/>
      <c r="AI103"/>
      <c r="AK103" s="16"/>
      <c r="AL103"/>
      <c r="AN103" s="16"/>
      <c r="AO103"/>
      <c r="AQ103" s="16"/>
      <c r="AR103"/>
      <c r="AT103" s="16"/>
    </row>
    <row r="104" spans="2:46">
      <c r="B104" s="30" t="s">
        <v>7</v>
      </c>
      <c r="D104" s="16">
        <f t="shared" si="16"/>
        <v>44331.625</v>
      </c>
      <c r="E104">
        <f>C135</f>
        <v>160</v>
      </c>
      <c r="J104" s="16"/>
      <c r="L104"/>
      <c r="M104" s="16"/>
      <c r="N104"/>
      <c r="P104" s="16"/>
      <c r="Q104"/>
      <c r="S104" s="16"/>
      <c r="T104"/>
      <c r="V104" s="16"/>
      <c r="W104"/>
      <c r="Y104" s="16"/>
      <c r="Z104"/>
      <c r="AB104" s="16"/>
      <c r="AC104"/>
      <c r="AE104" s="16"/>
      <c r="AF104"/>
      <c r="AH104" s="16"/>
      <c r="AI104"/>
      <c r="AK104" s="16"/>
      <c r="AL104"/>
      <c r="AN104" s="16"/>
      <c r="AO104"/>
      <c r="AQ104" s="16"/>
      <c r="AR104"/>
      <c r="AT104" s="16"/>
    </row>
    <row r="105" spans="2:46">
      <c r="B105" s="30">
        <f>B103-1</f>
        <v>44346.625</v>
      </c>
      <c r="C105">
        <f>DMAX(_xlnm.Database,"n",B104:B105)</f>
        <v>79</v>
      </c>
      <c r="D105" s="16">
        <f t="shared" si="16"/>
        <v>44330.625</v>
      </c>
      <c r="E105">
        <f>C137</f>
        <v>245</v>
      </c>
      <c r="J105" s="16"/>
      <c r="L105"/>
      <c r="M105" s="16"/>
      <c r="N105"/>
      <c r="P105" s="16"/>
      <c r="Q105"/>
      <c r="S105" s="16"/>
      <c r="T105"/>
      <c r="V105" s="16"/>
      <c r="W105"/>
      <c r="Y105" s="16"/>
      <c r="Z105"/>
      <c r="AB105" s="16"/>
      <c r="AC105"/>
      <c r="AE105" s="16"/>
      <c r="AF105"/>
      <c r="AH105" s="16"/>
      <c r="AI105"/>
      <c r="AK105" s="16"/>
      <c r="AL105"/>
      <c r="AN105" s="16"/>
      <c r="AO105"/>
      <c r="AQ105" s="16"/>
      <c r="AR105"/>
      <c r="AT105" s="16"/>
    </row>
    <row r="106" spans="2:46">
      <c r="B106" s="30" t="s">
        <v>7</v>
      </c>
      <c r="D106" s="16">
        <f t="shared" si="16"/>
        <v>44329.625</v>
      </c>
      <c r="E106">
        <f>C139</f>
        <v>156</v>
      </c>
      <c r="J106" s="16"/>
      <c r="L106"/>
      <c r="M106" s="16"/>
      <c r="N106"/>
      <c r="P106" s="16"/>
      <c r="Q106"/>
      <c r="S106" s="16"/>
      <c r="T106"/>
      <c r="V106" s="16"/>
      <c r="W106"/>
      <c r="Y106" s="16"/>
      <c r="Z106"/>
      <c r="AB106" s="16"/>
      <c r="AC106"/>
      <c r="AE106" s="16"/>
      <c r="AF106"/>
      <c r="AH106" s="16"/>
      <c r="AI106"/>
      <c r="AK106" s="16"/>
      <c r="AL106"/>
      <c r="AN106" s="16"/>
      <c r="AO106"/>
      <c r="AQ106" s="16"/>
      <c r="AR106"/>
      <c r="AT106" s="16"/>
    </row>
    <row r="107" spans="2:46">
      <c r="B107" s="30">
        <f>B105-1</f>
        <v>44345.625</v>
      </c>
      <c r="C107">
        <f>DMAX(_xlnm.Database,"n",B106:B107)</f>
        <v>64</v>
      </c>
      <c r="D107" s="16">
        <f t="shared" si="16"/>
        <v>44328.625</v>
      </c>
      <c r="E107">
        <f>C141</f>
        <v>256</v>
      </c>
      <c r="J107" s="16"/>
      <c r="L107"/>
      <c r="M107" s="16"/>
      <c r="N107"/>
      <c r="P107" s="16"/>
      <c r="Q107"/>
      <c r="S107" s="16"/>
      <c r="T107"/>
      <c r="V107" s="16"/>
      <c r="W107"/>
      <c r="Y107" s="16"/>
      <c r="Z107"/>
      <c r="AB107" s="16"/>
      <c r="AC107"/>
      <c r="AE107" s="16"/>
      <c r="AF107"/>
      <c r="AH107" s="16"/>
      <c r="AI107"/>
      <c r="AK107" s="16"/>
      <c r="AL107"/>
      <c r="AN107" s="16"/>
      <c r="AO107"/>
      <c r="AQ107" s="16"/>
      <c r="AR107"/>
      <c r="AT107" s="16"/>
    </row>
    <row r="108" spans="2:46">
      <c r="B108" s="30" t="s">
        <v>7</v>
      </c>
      <c r="D108" s="16">
        <f t="shared" si="16"/>
        <v>44327.625</v>
      </c>
      <c r="E108">
        <f>C143</f>
        <v>216</v>
      </c>
      <c r="J108" s="16"/>
      <c r="L108"/>
      <c r="M108" s="16"/>
      <c r="N108"/>
      <c r="P108" s="16"/>
      <c r="Q108"/>
      <c r="S108" s="16"/>
      <c r="T108"/>
      <c r="V108" s="16"/>
      <c r="W108"/>
      <c r="Y108" s="16"/>
      <c r="Z108"/>
      <c r="AB108" s="16"/>
      <c r="AC108"/>
      <c r="AE108" s="16"/>
      <c r="AF108"/>
      <c r="AH108" s="16"/>
      <c r="AI108"/>
      <c r="AK108" s="16"/>
      <c r="AL108"/>
      <c r="AN108" s="16"/>
      <c r="AO108"/>
      <c r="AQ108" s="16"/>
      <c r="AR108"/>
      <c r="AT108" s="16"/>
    </row>
    <row r="109" spans="2:46">
      <c r="B109" s="30">
        <f>B107-1</f>
        <v>44344.625</v>
      </c>
      <c r="C109">
        <f>DMAX(_xlnm.Database,"n",B108:B109)</f>
        <v>136</v>
      </c>
      <c r="D109" s="16">
        <f t="shared" si="16"/>
        <v>44326.625</v>
      </c>
      <c r="E109">
        <f>C145</f>
        <v>257</v>
      </c>
      <c r="J109" s="16"/>
      <c r="L109"/>
      <c r="M109" s="16"/>
      <c r="N109"/>
      <c r="P109" s="16"/>
      <c r="Q109"/>
      <c r="S109" s="16"/>
      <c r="T109"/>
      <c r="V109" s="16"/>
      <c r="W109"/>
      <c r="Y109" s="16"/>
      <c r="Z109"/>
      <c r="AB109" s="16"/>
      <c r="AC109"/>
      <c r="AE109" s="16"/>
      <c r="AF109"/>
      <c r="AH109" s="16"/>
      <c r="AI109"/>
      <c r="AK109" s="16"/>
      <c r="AL109"/>
      <c r="AN109" s="16"/>
      <c r="AO109"/>
      <c r="AQ109" s="16"/>
      <c r="AR109"/>
      <c r="AT109" s="16"/>
    </row>
    <row r="110" spans="2:46">
      <c r="B110" s="30" t="s">
        <v>7</v>
      </c>
      <c r="J110" s="16"/>
      <c r="L110"/>
      <c r="M110" s="16"/>
      <c r="N110"/>
      <c r="P110" s="16"/>
      <c r="Q110"/>
      <c r="S110" s="16"/>
      <c r="T110"/>
      <c r="V110" s="16"/>
      <c r="W110"/>
      <c r="Y110" s="16"/>
      <c r="Z110"/>
      <c r="AB110" s="16"/>
      <c r="AC110"/>
      <c r="AE110" s="16"/>
      <c r="AF110"/>
      <c r="AH110" s="16"/>
      <c r="AI110"/>
      <c r="AK110" s="16"/>
      <c r="AL110"/>
      <c r="AN110" s="16"/>
      <c r="AO110"/>
      <c r="AQ110" s="16"/>
      <c r="AR110"/>
      <c r="AT110" s="16"/>
    </row>
    <row r="111" spans="2:46">
      <c r="B111" s="30">
        <f>B109-1</f>
        <v>44343.625</v>
      </c>
      <c r="C111">
        <f>DMAX(_xlnm.Database,"n",B110:B111)</f>
        <v>127</v>
      </c>
      <c r="J111" s="16"/>
      <c r="L111"/>
      <c r="M111" s="16"/>
      <c r="N111"/>
      <c r="P111" s="16"/>
      <c r="Q111"/>
      <c r="S111" s="16"/>
      <c r="T111"/>
      <c r="V111" s="16"/>
      <c r="W111"/>
      <c r="Y111" s="16"/>
      <c r="Z111"/>
      <c r="AB111" s="16"/>
      <c r="AC111"/>
      <c r="AE111" s="16"/>
      <c r="AF111"/>
      <c r="AH111" s="16"/>
      <c r="AI111"/>
      <c r="AK111" s="16"/>
      <c r="AL111"/>
      <c r="AN111" s="16"/>
      <c r="AO111"/>
      <c r="AQ111" s="16"/>
      <c r="AR111"/>
      <c r="AT111" s="16"/>
    </row>
    <row r="112" spans="2:46">
      <c r="B112" s="30" t="s">
        <v>7</v>
      </c>
      <c r="J112" s="16"/>
      <c r="L112"/>
      <c r="M112" s="16"/>
      <c r="N112"/>
      <c r="P112" s="16"/>
      <c r="Q112"/>
      <c r="S112" s="16"/>
      <c r="T112"/>
      <c r="V112" s="16"/>
      <c r="W112"/>
      <c r="Y112" s="16"/>
      <c r="Z112"/>
      <c r="AB112" s="16"/>
      <c r="AC112"/>
      <c r="AE112" s="16"/>
      <c r="AF112"/>
      <c r="AH112" s="16"/>
      <c r="AI112"/>
      <c r="AK112" s="16"/>
      <c r="AL112"/>
      <c r="AN112" s="16"/>
      <c r="AO112"/>
      <c r="AQ112" s="16"/>
      <c r="AR112"/>
      <c r="AT112" s="16"/>
    </row>
    <row r="113" spans="2:46">
      <c r="B113" s="30">
        <f>B111-1</f>
        <v>44342.625</v>
      </c>
      <c r="C113">
        <f>DMAX(_xlnm.Database,"n",B112:B113)</f>
        <v>142</v>
      </c>
      <c r="J113" s="16"/>
      <c r="L113"/>
      <c r="M113" s="16"/>
      <c r="N113"/>
      <c r="P113" s="16"/>
      <c r="Q113"/>
      <c r="S113" s="16"/>
      <c r="T113"/>
      <c r="V113" s="16"/>
      <c r="W113"/>
      <c r="Y113" s="16"/>
      <c r="Z113"/>
      <c r="AB113" s="16"/>
      <c r="AC113"/>
      <c r="AE113" s="16"/>
      <c r="AF113"/>
      <c r="AH113" s="16"/>
      <c r="AI113"/>
      <c r="AK113" s="16"/>
      <c r="AL113"/>
      <c r="AN113" s="16"/>
      <c r="AO113"/>
      <c r="AQ113" s="16"/>
      <c r="AR113"/>
      <c r="AT113" s="16"/>
    </row>
    <row r="114" spans="2:46">
      <c r="B114" s="30" t="s">
        <v>7</v>
      </c>
      <c r="J114" s="16"/>
      <c r="L114"/>
      <c r="M114" s="16"/>
      <c r="N114"/>
      <c r="P114" s="16"/>
      <c r="Q114"/>
      <c r="S114" s="16"/>
      <c r="T114"/>
      <c r="V114" s="16"/>
      <c r="W114"/>
      <c r="Y114" s="16"/>
      <c r="Z114"/>
      <c r="AB114" s="16"/>
      <c r="AC114"/>
      <c r="AE114" s="16"/>
      <c r="AF114"/>
      <c r="AH114" s="16"/>
      <c r="AI114"/>
      <c r="AK114" s="16"/>
      <c r="AL114"/>
      <c r="AN114" s="16"/>
      <c r="AO114"/>
      <c r="AQ114" s="16"/>
      <c r="AR114"/>
      <c r="AT114" s="16"/>
    </row>
    <row r="115" spans="2:46">
      <c r="B115" s="30">
        <f>B113-1</f>
        <v>44341.625</v>
      </c>
      <c r="C115">
        <f>DMAX(_xlnm.Database,"n",B114:B115)</f>
        <v>152</v>
      </c>
      <c r="J115" s="16"/>
      <c r="L115"/>
      <c r="M115" s="16"/>
      <c r="N115"/>
      <c r="P115" s="16"/>
      <c r="Q115"/>
      <c r="S115" s="16"/>
      <c r="T115"/>
      <c r="V115" s="16"/>
      <c r="W115"/>
      <c r="Y115" s="16"/>
      <c r="Z115"/>
      <c r="AB115" s="16"/>
      <c r="AC115"/>
      <c r="AE115" s="16"/>
      <c r="AF115"/>
      <c r="AH115" s="16"/>
      <c r="AI115"/>
      <c r="AK115" s="16"/>
      <c r="AL115"/>
      <c r="AN115" s="16"/>
      <c r="AO115"/>
      <c r="AQ115" s="16"/>
      <c r="AR115"/>
      <c r="AT115" s="16"/>
    </row>
    <row r="116" spans="2:46">
      <c r="B116" s="30" t="s">
        <v>7</v>
      </c>
      <c r="J116" s="16"/>
      <c r="L116"/>
      <c r="M116" s="16"/>
      <c r="N116"/>
      <c r="P116" s="16"/>
      <c r="Q116"/>
      <c r="S116" s="16"/>
      <c r="T116"/>
      <c r="V116" s="16"/>
      <c r="W116"/>
      <c r="Y116" s="16"/>
      <c r="Z116"/>
      <c r="AB116" s="16"/>
      <c r="AC116"/>
      <c r="AE116" s="16"/>
      <c r="AF116"/>
      <c r="AH116" s="16"/>
      <c r="AI116"/>
      <c r="AK116" s="16"/>
      <c r="AL116"/>
      <c r="AN116" s="16"/>
      <c r="AO116"/>
      <c r="AQ116" s="16"/>
      <c r="AR116"/>
      <c r="AT116" s="16"/>
    </row>
    <row r="117" spans="2:46">
      <c r="B117" s="30">
        <f>B115-1</f>
        <v>44340.625</v>
      </c>
      <c r="C117">
        <f>DMAX(_xlnm.Database,"n",B116:B117)</f>
        <v>188</v>
      </c>
      <c r="J117" s="16"/>
      <c r="L117"/>
      <c r="M117" s="16"/>
      <c r="N117"/>
      <c r="P117" s="16"/>
      <c r="Q117"/>
      <c r="S117" s="16"/>
      <c r="T117"/>
      <c r="V117" s="16"/>
      <c r="W117"/>
      <c r="Y117" s="16"/>
      <c r="Z117"/>
      <c r="AB117" s="16"/>
      <c r="AC117"/>
      <c r="AE117" s="16"/>
      <c r="AF117"/>
      <c r="AH117" s="16"/>
      <c r="AI117"/>
      <c r="AK117" s="16"/>
      <c r="AL117"/>
      <c r="AN117" s="16"/>
      <c r="AO117"/>
      <c r="AQ117" s="16"/>
      <c r="AR117"/>
      <c r="AT117" s="16"/>
    </row>
    <row r="118" spans="2:46">
      <c r="B118" s="30" t="s">
        <v>7</v>
      </c>
      <c r="J118" s="16"/>
      <c r="L118"/>
      <c r="M118" s="16"/>
      <c r="N118"/>
      <c r="P118" s="16"/>
      <c r="Q118"/>
      <c r="S118" s="16"/>
      <c r="T118"/>
      <c r="V118" s="16"/>
      <c r="W118"/>
      <c r="Y118" s="16"/>
      <c r="Z118"/>
      <c r="AB118" s="16"/>
      <c r="AC118"/>
      <c r="AE118" s="16"/>
      <c r="AF118"/>
      <c r="AH118" s="16"/>
      <c r="AI118"/>
      <c r="AK118" s="16"/>
      <c r="AL118"/>
      <c r="AN118" s="16"/>
      <c r="AO118"/>
      <c r="AQ118" s="16"/>
      <c r="AR118"/>
      <c r="AT118" s="16"/>
    </row>
    <row r="119" spans="2:46">
      <c r="B119" s="30">
        <f>B117-1</f>
        <v>44339.625</v>
      </c>
      <c r="C119">
        <f>DMAX(_xlnm.Database,"n",B118:B119)</f>
        <v>93</v>
      </c>
      <c r="J119" s="16"/>
      <c r="L119"/>
      <c r="M119" s="16"/>
      <c r="N119"/>
      <c r="P119" s="16"/>
      <c r="Q119"/>
      <c r="S119" s="16"/>
      <c r="T119"/>
      <c r="V119" s="16"/>
      <c r="W119"/>
      <c r="Y119" s="16"/>
      <c r="Z119"/>
      <c r="AB119" s="16"/>
      <c r="AC119"/>
      <c r="AE119" s="16"/>
      <c r="AF119"/>
      <c r="AH119" s="16"/>
      <c r="AI119"/>
      <c r="AK119" s="16"/>
      <c r="AL119"/>
      <c r="AN119" s="16"/>
      <c r="AO119"/>
      <c r="AQ119" s="16"/>
      <c r="AR119"/>
      <c r="AT119" s="16"/>
    </row>
    <row r="120" spans="2:46">
      <c r="B120" s="30" t="s">
        <v>7</v>
      </c>
      <c r="J120" s="16"/>
      <c r="L120"/>
      <c r="M120" s="16"/>
      <c r="N120"/>
      <c r="P120" s="16"/>
      <c r="Q120"/>
      <c r="S120" s="16"/>
      <c r="T120"/>
      <c r="V120" s="16"/>
      <c r="W120"/>
      <c r="Y120" s="16"/>
      <c r="Z120"/>
      <c r="AB120" s="16"/>
      <c r="AC120"/>
      <c r="AE120" s="16"/>
      <c r="AF120"/>
      <c r="AH120" s="16"/>
      <c r="AI120"/>
      <c r="AK120" s="16"/>
      <c r="AL120"/>
      <c r="AN120" s="16"/>
      <c r="AO120"/>
      <c r="AQ120" s="16"/>
      <c r="AR120"/>
      <c r="AT120" s="16"/>
    </row>
    <row r="121" spans="2:46">
      <c r="B121" s="30">
        <f>B119-1</f>
        <v>44338.625</v>
      </c>
      <c r="C121">
        <f>DMAX(_xlnm.Database,"n",B120:B121)</f>
        <v>108</v>
      </c>
      <c r="J121" s="16"/>
      <c r="L121"/>
      <c r="M121" s="16"/>
      <c r="N121"/>
      <c r="P121" s="16"/>
      <c r="Q121"/>
      <c r="S121" s="16"/>
      <c r="T121"/>
      <c r="V121" s="16"/>
      <c r="W121"/>
      <c r="Y121" s="16"/>
      <c r="Z121"/>
      <c r="AB121" s="16"/>
      <c r="AC121"/>
      <c r="AE121" s="16"/>
      <c r="AF121"/>
      <c r="AH121" s="16"/>
      <c r="AI121"/>
      <c r="AK121" s="16"/>
      <c r="AL121"/>
      <c r="AN121" s="16"/>
      <c r="AO121"/>
      <c r="AQ121" s="16"/>
      <c r="AR121"/>
      <c r="AT121" s="16"/>
    </row>
    <row r="122" spans="2:46">
      <c r="B122" s="30" t="s">
        <v>7</v>
      </c>
      <c r="J122" s="16"/>
      <c r="L122"/>
      <c r="M122" s="16"/>
      <c r="N122"/>
      <c r="P122" s="16"/>
      <c r="Q122"/>
      <c r="S122" s="16"/>
      <c r="T122"/>
      <c r="V122" s="16"/>
      <c r="W122"/>
      <c r="Y122" s="16"/>
      <c r="Z122"/>
      <c r="AB122" s="16"/>
      <c r="AC122"/>
      <c r="AE122" s="16"/>
      <c r="AF122"/>
      <c r="AH122" s="16"/>
      <c r="AI122"/>
      <c r="AK122" s="16"/>
      <c r="AL122"/>
      <c r="AN122" s="16"/>
      <c r="AO122"/>
      <c r="AQ122" s="16"/>
      <c r="AR122"/>
      <c r="AT122" s="16"/>
    </row>
    <row r="123" spans="2:46">
      <c r="B123" s="30">
        <f>B121-1</f>
        <v>44337.625</v>
      </c>
      <c r="C123">
        <f>DMAX(_xlnm.Database,"n",B122:B123)</f>
        <v>168</v>
      </c>
      <c r="J123" s="16"/>
      <c r="L123"/>
      <c r="M123" s="16"/>
      <c r="N123"/>
      <c r="P123" s="16"/>
      <c r="Q123"/>
      <c r="S123" s="16"/>
      <c r="T123"/>
      <c r="V123" s="16"/>
      <c r="W123"/>
      <c r="Y123" s="16"/>
      <c r="Z123"/>
      <c r="AB123" s="16"/>
      <c r="AC123"/>
      <c r="AE123" s="16"/>
      <c r="AF123"/>
      <c r="AH123" s="16"/>
      <c r="AI123"/>
      <c r="AK123" s="16"/>
      <c r="AL123"/>
      <c r="AN123" s="16"/>
      <c r="AO123"/>
      <c r="AQ123" s="16"/>
      <c r="AR123"/>
      <c r="AT123" s="16"/>
    </row>
    <row r="124" spans="2:46">
      <c r="B124" s="30" t="s">
        <v>7</v>
      </c>
      <c r="J124" s="16"/>
      <c r="L124"/>
      <c r="M124" s="16"/>
      <c r="N124"/>
      <c r="P124" s="16"/>
      <c r="Q124"/>
      <c r="S124" s="16"/>
      <c r="T124"/>
      <c r="V124" s="16"/>
      <c r="W124"/>
      <c r="Y124" s="16"/>
      <c r="Z124"/>
      <c r="AB124" s="16"/>
      <c r="AC124"/>
      <c r="AE124" s="16"/>
      <c r="AF124"/>
      <c r="AH124" s="16"/>
      <c r="AI124"/>
      <c r="AK124" s="16"/>
      <c r="AL124"/>
      <c r="AN124" s="16"/>
      <c r="AO124"/>
      <c r="AQ124" s="16"/>
      <c r="AR124"/>
      <c r="AT124" s="16"/>
    </row>
    <row r="125" spans="2:46">
      <c r="B125" s="30">
        <f>B123-1</f>
        <v>44336.625</v>
      </c>
      <c r="C125">
        <f>DMAX(_xlnm.Database,"n",B124:B125)</f>
        <v>215</v>
      </c>
      <c r="J125" s="16"/>
      <c r="L125"/>
      <c r="M125" s="16"/>
      <c r="N125"/>
      <c r="P125" s="16"/>
      <c r="Q125"/>
      <c r="S125" s="16"/>
      <c r="T125"/>
      <c r="V125" s="16"/>
      <c r="W125"/>
      <c r="Y125" s="16"/>
      <c r="Z125"/>
      <c r="AB125" s="16"/>
      <c r="AC125"/>
      <c r="AE125" s="16"/>
      <c r="AF125"/>
      <c r="AH125" s="16"/>
      <c r="AI125"/>
      <c r="AK125" s="16"/>
      <c r="AL125"/>
      <c r="AN125" s="16"/>
      <c r="AO125"/>
      <c r="AQ125" s="16"/>
      <c r="AR125"/>
      <c r="AT125" s="16"/>
    </row>
    <row r="126" spans="2:46">
      <c r="B126" s="30" t="s">
        <v>7</v>
      </c>
      <c r="J126" s="16"/>
      <c r="L126"/>
      <c r="M126" s="16"/>
      <c r="N126"/>
      <c r="P126" s="16"/>
      <c r="Q126"/>
      <c r="S126" s="16"/>
      <c r="T126"/>
      <c r="V126" s="16"/>
      <c r="W126"/>
      <c r="Y126" s="16"/>
      <c r="Z126"/>
      <c r="AB126" s="16"/>
      <c r="AC126"/>
      <c r="AE126" s="16"/>
      <c r="AF126"/>
      <c r="AH126" s="16"/>
      <c r="AI126"/>
      <c r="AK126" s="16"/>
      <c r="AL126"/>
      <c r="AN126" s="16"/>
      <c r="AO126"/>
      <c r="AQ126" s="16"/>
      <c r="AR126"/>
      <c r="AT126" s="16"/>
    </row>
    <row r="127" spans="2:46">
      <c r="B127" s="30">
        <f>B125-1</f>
        <v>44335.625</v>
      </c>
      <c r="C127">
        <f>DMAX(_xlnm.Database,"n",B126:B127)</f>
        <v>230</v>
      </c>
      <c r="J127" s="16"/>
      <c r="L127"/>
      <c r="M127" s="16"/>
      <c r="N127"/>
      <c r="P127" s="16"/>
      <c r="Q127"/>
      <c r="S127" s="16"/>
      <c r="T127"/>
      <c r="V127" s="16"/>
      <c r="W127"/>
      <c r="Y127" s="16"/>
      <c r="Z127"/>
      <c r="AB127" s="16"/>
      <c r="AC127"/>
      <c r="AE127" s="16"/>
      <c r="AF127"/>
      <c r="AH127" s="16"/>
      <c r="AI127"/>
      <c r="AK127" s="16"/>
      <c r="AL127"/>
      <c r="AN127" s="16"/>
      <c r="AO127"/>
      <c r="AQ127" s="16"/>
      <c r="AR127"/>
      <c r="AT127" s="16"/>
    </row>
    <row r="128" spans="2:46">
      <c r="B128" s="30" t="s">
        <v>7</v>
      </c>
      <c r="J128" s="16"/>
      <c r="L128"/>
      <c r="M128" s="16"/>
      <c r="N128"/>
      <c r="P128" s="16"/>
      <c r="Q128"/>
      <c r="S128" s="16"/>
      <c r="T128"/>
      <c r="V128" s="16"/>
      <c r="W128"/>
      <c r="Y128" s="16"/>
      <c r="Z128"/>
      <c r="AB128" s="16"/>
      <c r="AC128"/>
      <c r="AE128" s="16"/>
      <c r="AF128"/>
      <c r="AH128" s="16"/>
      <c r="AI128"/>
      <c r="AK128" s="16"/>
      <c r="AL128"/>
      <c r="AN128" s="16"/>
      <c r="AO128"/>
      <c r="AQ128" s="16"/>
      <c r="AR128"/>
      <c r="AT128" s="16"/>
    </row>
    <row r="129" spans="2:46">
      <c r="B129" s="30">
        <f>B127-1</f>
        <v>44334.625</v>
      </c>
      <c r="C129">
        <f>DMAX(_xlnm.Database,"n",B128:B129)</f>
        <v>217</v>
      </c>
      <c r="J129" s="16"/>
      <c r="L129"/>
      <c r="M129" s="16"/>
      <c r="N129"/>
      <c r="P129" s="16"/>
      <c r="Q129"/>
      <c r="S129" s="16"/>
      <c r="T129"/>
      <c r="V129" s="16"/>
      <c r="W129"/>
      <c r="Y129" s="16"/>
      <c r="Z129"/>
      <c r="AB129" s="16"/>
      <c r="AC129"/>
      <c r="AE129" s="16"/>
      <c r="AF129"/>
      <c r="AH129" s="16"/>
      <c r="AI129"/>
      <c r="AK129" s="16"/>
      <c r="AL129"/>
      <c r="AN129" s="16"/>
      <c r="AO129"/>
      <c r="AQ129" s="16"/>
      <c r="AR129"/>
      <c r="AT129" s="16"/>
    </row>
    <row r="130" spans="2:46">
      <c r="B130" s="30" t="s">
        <v>7</v>
      </c>
      <c r="J130" s="16"/>
      <c r="L130"/>
      <c r="M130" s="16"/>
      <c r="N130"/>
      <c r="P130" s="16"/>
      <c r="Q130"/>
      <c r="S130" s="16"/>
      <c r="T130"/>
      <c r="V130" s="16"/>
      <c r="W130"/>
      <c r="Y130" s="16"/>
      <c r="Z130"/>
      <c r="AB130" s="16"/>
      <c r="AC130"/>
      <c r="AE130" s="16"/>
      <c r="AF130"/>
      <c r="AH130" s="16"/>
      <c r="AI130"/>
      <c r="AK130" s="16"/>
      <c r="AL130"/>
      <c r="AN130" s="16"/>
      <c r="AO130"/>
      <c r="AQ130" s="16"/>
      <c r="AR130"/>
      <c r="AT130" s="16"/>
    </row>
    <row r="131" spans="2:46">
      <c r="B131" s="30">
        <f>B129-1</f>
        <v>44333.625</v>
      </c>
      <c r="C131">
        <f>DMAX(_xlnm.Database,"n",B130:B131)</f>
        <v>284</v>
      </c>
      <c r="J131" s="16"/>
      <c r="L131"/>
      <c r="M131" s="16"/>
      <c r="N131"/>
      <c r="P131" s="16"/>
      <c r="Q131"/>
      <c r="S131" s="16"/>
      <c r="T131"/>
      <c r="V131" s="16"/>
      <c r="W131"/>
      <c r="Y131" s="16"/>
      <c r="Z131"/>
      <c r="AB131" s="16"/>
      <c r="AC131"/>
      <c r="AE131" s="16"/>
      <c r="AF131"/>
      <c r="AH131" s="16"/>
      <c r="AI131"/>
      <c r="AK131" s="16"/>
      <c r="AL131"/>
      <c r="AN131" s="16"/>
      <c r="AO131"/>
      <c r="AQ131" s="16"/>
      <c r="AR131"/>
      <c r="AT131" s="16"/>
    </row>
    <row r="132" spans="2:46">
      <c r="B132" s="30" t="s">
        <v>7</v>
      </c>
      <c r="J132" s="16"/>
      <c r="L132"/>
      <c r="M132" s="16"/>
      <c r="N132"/>
      <c r="P132" s="16"/>
      <c r="Q132"/>
      <c r="S132" s="16"/>
      <c r="T132"/>
      <c r="V132" s="16"/>
      <c r="W132"/>
      <c r="Y132" s="16"/>
      <c r="Z132"/>
      <c r="AB132" s="16"/>
      <c r="AC132"/>
      <c r="AE132" s="16"/>
      <c r="AF132"/>
      <c r="AH132" s="16"/>
      <c r="AI132"/>
      <c r="AK132" s="16"/>
      <c r="AL132"/>
      <c r="AN132" s="16"/>
      <c r="AO132"/>
      <c r="AQ132" s="16"/>
      <c r="AR132"/>
      <c r="AT132" s="16"/>
    </row>
    <row r="133" spans="2:46">
      <c r="B133" s="30">
        <f>B131-1</f>
        <v>44332.625</v>
      </c>
      <c r="C133">
        <f>DMAX(_xlnm.Database,"n",B132:B133)</f>
        <v>133</v>
      </c>
      <c r="J133" s="16"/>
      <c r="L133"/>
      <c r="M133" s="16"/>
      <c r="N133"/>
      <c r="P133" s="16"/>
      <c r="Q133"/>
      <c r="S133" s="16"/>
      <c r="T133"/>
      <c r="V133" s="16"/>
      <c r="W133"/>
      <c r="Y133" s="16"/>
      <c r="Z133"/>
      <c r="AB133" s="16"/>
      <c r="AC133"/>
      <c r="AE133" s="16"/>
      <c r="AF133"/>
      <c r="AH133" s="16"/>
      <c r="AI133"/>
      <c r="AK133" s="16"/>
      <c r="AL133"/>
      <c r="AN133" s="16"/>
      <c r="AO133"/>
      <c r="AQ133" s="16"/>
      <c r="AR133"/>
      <c r="AT133" s="16"/>
    </row>
    <row r="134" spans="2:46">
      <c r="B134" s="30" t="s">
        <v>7</v>
      </c>
      <c r="J134" s="16"/>
      <c r="L134"/>
      <c r="M134" s="16"/>
      <c r="N134"/>
      <c r="P134" s="16"/>
      <c r="Q134"/>
      <c r="S134" s="16"/>
      <c r="T134"/>
      <c r="V134" s="16"/>
      <c r="W134"/>
      <c r="Y134" s="16"/>
      <c r="Z134"/>
      <c r="AB134" s="16"/>
      <c r="AC134"/>
      <c r="AE134" s="16"/>
      <c r="AF134"/>
      <c r="AH134" s="16"/>
      <c r="AI134"/>
      <c r="AK134" s="16"/>
      <c r="AL134"/>
      <c r="AN134" s="16"/>
      <c r="AO134"/>
      <c r="AQ134" s="16"/>
      <c r="AR134"/>
      <c r="AT134" s="16"/>
    </row>
    <row r="135" spans="2:46">
      <c r="B135" s="30">
        <f>B133-1</f>
        <v>44331.625</v>
      </c>
      <c r="C135">
        <f>DMAX(_xlnm.Database,"n",B134:B135)</f>
        <v>160</v>
      </c>
      <c r="J135" s="16"/>
      <c r="L135"/>
      <c r="M135" s="16"/>
      <c r="N135"/>
      <c r="P135" s="16"/>
      <c r="Q135"/>
      <c r="S135" s="16"/>
      <c r="T135"/>
      <c r="V135" s="16"/>
      <c r="W135"/>
      <c r="Y135" s="16"/>
      <c r="Z135"/>
      <c r="AB135" s="16"/>
      <c r="AC135"/>
      <c r="AE135" s="16"/>
      <c r="AF135"/>
      <c r="AH135" s="16"/>
      <c r="AI135"/>
      <c r="AK135" s="16"/>
      <c r="AL135"/>
      <c r="AN135" s="16"/>
      <c r="AO135"/>
      <c r="AQ135" s="16"/>
      <c r="AR135"/>
      <c r="AT135" s="16"/>
    </row>
    <row r="136" spans="2:46">
      <c r="B136" s="30" t="s">
        <v>7</v>
      </c>
      <c r="J136" s="16"/>
      <c r="L136"/>
      <c r="M136" s="16"/>
      <c r="N136"/>
      <c r="P136" s="16"/>
      <c r="Q136"/>
      <c r="S136" s="16"/>
      <c r="T136"/>
      <c r="V136" s="16"/>
      <c r="W136"/>
      <c r="Y136" s="16"/>
      <c r="Z136"/>
      <c r="AB136" s="16"/>
      <c r="AC136"/>
      <c r="AE136" s="16"/>
      <c r="AF136"/>
      <c r="AH136" s="16"/>
      <c r="AI136"/>
      <c r="AK136" s="16"/>
      <c r="AL136"/>
      <c r="AN136" s="16"/>
      <c r="AO136"/>
      <c r="AQ136" s="16"/>
      <c r="AR136"/>
      <c r="AT136" s="16"/>
    </row>
    <row r="137" spans="2:46">
      <c r="B137" s="30">
        <f>B135-1</f>
        <v>44330.625</v>
      </c>
      <c r="C137">
        <f>DMAX(_xlnm.Database,"n",B136:B137)</f>
        <v>245</v>
      </c>
      <c r="J137" s="16"/>
      <c r="L137"/>
      <c r="M137" s="16"/>
      <c r="N137"/>
      <c r="P137" s="16"/>
      <c r="Q137"/>
      <c r="S137" s="16"/>
      <c r="T137"/>
      <c r="V137" s="16"/>
      <c r="W137"/>
      <c r="Y137" s="16"/>
      <c r="Z137"/>
      <c r="AB137" s="16"/>
      <c r="AC137"/>
      <c r="AE137" s="16"/>
      <c r="AF137"/>
      <c r="AH137" s="16"/>
      <c r="AI137"/>
      <c r="AK137" s="16"/>
      <c r="AL137"/>
      <c r="AN137" s="16"/>
      <c r="AO137"/>
      <c r="AQ137" s="16"/>
      <c r="AR137"/>
      <c r="AT137" s="16"/>
    </row>
    <row r="138" spans="2:46">
      <c r="B138" s="30" t="s">
        <v>7</v>
      </c>
      <c r="J138" s="16"/>
      <c r="L138"/>
      <c r="M138" s="16"/>
      <c r="N138"/>
      <c r="P138" s="16"/>
      <c r="Q138"/>
      <c r="S138" s="16"/>
      <c r="T138"/>
      <c r="V138" s="16"/>
      <c r="W138"/>
      <c r="Y138" s="16"/>
      <c r="Z138"/>
      <c r="AB138" s="16"/>
      <c r="AC138"/>
      <c r="AE138" s="16"/>
      <c r="AF138"/>
      <c r="AH138" s="16"/>
      <c r="AI138"/>
      <c r="AK138" s="16"/>
      <c r="AL138"/>
      <c r="AN138" s="16"/>
      <c r="AO138"/>
      <c r="AQ138" s="16"/>
      <c r="AR138"/>
      <c r="AT138" s="16"/>
    </row>
    <row r="139" spans="2:46">
      <c r="B139" s="30">
        <f>B137-1</f>
        <v>44329.625</v>
      </c>
      <c r="C139">
        <f>DMAX(_xlnm.Database,"n",B138:B139)</f>
        <v>156</v>
      </c>
      <c r="J139" s="16"/>
      <c r="L139"/>
      <c r="M139" s="16"/>
      <c r="N139"/>
      <c r="P139" s="16"/>
      <c r="Q139"/>
      <c r="S139" s="16"/>
      <c r="T139"/>
      <c r="V139" s="16"/>
      <c r="W139"/>
      <c r="Y139" s="16"/>
      <c r="Z139"/>
      <c r="AB139" s="16"/>
      <c r="AC139"/>
      <c r="AE139" s="16"/>
      <c r="AF139"/>
      <c r="AH139" s="16"/>
      <c r="AI139"/>
      <c r="AK139" s="16"/>
      <c r="AL139"/>
      <c r="AN139" s="16"/>
      <c r="AO139"/>
      <c r="AQ139" s="16"/>
      <c r="AR139"/>
      <c r="AT139" s="16"/>
    </row>
    <row r="140" spans="2:46">
      <c r="B140" s="30" t="s">
        <v>7</v>
      </c>
      <c r="J140" s="16"/>
      <c r="L140"/>
      <c r="M140" s="16"/>
      <c r="N140"/>
      <c r="P140" s="16"/>
      <c r="Q140"/>
      <c r="S140" s="16"/>
      <c r="T140"/>
      <c r="V140" s="16"/>
      <c r="W140"/>
      <c r="Y140" s="16"/>
      <c r="Z140"/>
      <c r="AB140" s="16"/>
      <c r="AC140"/>
      <c r="AE140" s="16"/>
      <c r="AF140"/>
      <c r="AH140" s="16"/>
      <c r="AI140"/>
      <c r="AK140" s="16"/>
      <c r="AL140"/>
      <c r="AN140" s="16"/>
      <c r="AO140"/>
      <c r="AQ140" s="16"/>
      <c r="AR140"/>
      <c r="AT140" s="16"/>
    </row>
    <row r="141" spans="2:46">
      <c r="B141" s="30">
        <f>B139-1</f>
        <v>44328.625</v>
      </c>
      <c r="C141">
        <f>DMAX(_xlnm.Database,"n",B140:B141)</f>
        <v>256</v>
      </c>
      <c r="J141" s="16"/>
      <c r="L141"/>
      <c r="M141" s="16"/>
      <c r="N141"/>
      <c r="P141" s="16"/>
      <c r="Q141"/>
      <c r="S141" s="16"/>
      <c r="T141"/>
      <c r="V141" s="16"/>
      <c r="W141"/>
      <c r="Y141" s="16"/>
      <c r="Z141"/>
      <c r="AB141" s="16"/>
      <c r="AC141"/>
      <c r="AE141" s="16"/>
      <c r="AF141"/>
      <c r="AH141" s="16"/>
      <c r="AI141"/>
      <c r="AK141" s="16"/>
      <c r="AL141"/>
      <c r="AN141" s="16"/>
      <c r="AO141"/>
      <c r="AQ141" s="16"/>
      <c r="AR141"/>
      <c r="AT141" s="16"/>
    </row>
    <row r="142" spans="2:46">
      <c r="B142" s="30" t="s">
        <v>7</v>
      </c>
      <c r="J142" s="16"/>
      <c r="L142"/>
      <c r="M142" s="16"/>
      <c r="N142"/>
      <c r="P142" s="16"/>
      <c r="Q142"/>
      <c r="S142" s="16"/>
      <c r="T142"/>
      <c r="V142" s="16"/>
      <c r="W142"/>
      <c r="Y142" s="16"/>
      <c r="Z142"/>
      <c r="AB142" s="16"/>
      <c r="AC142"/>
      <c r="AE142" s="16"/>
      <c r="AF142"/>
      <c r="AH142" s="16"/>
      <c r="AI142"/>
      <c r="AK142" s="16"/>
      <c r="AL142"/>
      <c r="AN142" s="16"/>
      <c r="AO142"/>
      <c r="AQ142" s="16"/>
      <c r="AR142"/>
      <c r="AT142" s="16"/>
    </row>
    <row r="143" spans="2:46">
      <c r="B143" s="30">
        <f>B141-1</f>
        <v>44327.625</v>
      </c>
      <c r="C143">
        <f>DMAX(_xlnm.Database,"n",B142:B143)</f>
        <v>216</v>
      </c>
      <c r="J143" s="16"/>
      <c r="L143"/>
      <c r="M143" s="16"/>
      <c r="N143"/>
      <c r="P143" s="16"/>
      <c r="Q143"/>
      <c r="S143" s="16"/>
      <c r="T143"/>
      <c r="V143" s="16"/>
      <c r="W143"/>
      <c r="Y143" s="16"/>
      <c r="Z143"/>
      <c r="AB143" s="16"/>
      <c r="AC143"/>
      <c r="AE143" s="16"/>
      <c r="AF143"/>
      <c r="AH143" s="16"/>
      <c r="AI143"/>
      <c r="AK143" s="16"/>
      <c r="AL143"/>
      <c r="AN143" s="16"/>
      <c r="AO143"/>
      <c r="AQ143" s="16"/>
      <c r="AR143"/>
      <c r="AT143" s="16"/>
    </row>
    <row r="144" spans="2:46">
      <c r="B144" s="30" t="s">
        <v>7</v>
      </c>
      <c r="J144" s="16"/>
      <c r="L144"/>
      <c r="M144" s="16"/>
      <c r="N144"/>
      <c r="P144" s="16"/>
      <c r="Q144"/>
      <c r="S144" s="16"/>
      <c r="T144"/>
      <c r="V144" s="16"/>
      <c r="W144"/>
      <c r="Y144" s="16"/>
      <c r="Z144"/>
      <c r="AB144" s="16"/>
      <c r="AC144"/>
      <c r="AE144" s="16"/>
      <c r="AF144"/>
      <c r="AH144" s="16"/>
      <c r="AI144"/>
      <c r="AK144" s="16"/>
      <c r="AL144"/>
      <c r="AN144" s="16"/>
      <c r="AO144"/>
      <c r="AQ144" s="16"/>
      <c r="AR144"/>
      <c r="AT144" s="16"/>
    </row>
    <row r="145" spans="2:46">
      <c r="B145" s="30">
        <f>B143-1</f>
        <v>44326.625</v>
      </c>
      <c r="C145">
        <f>DMAX(_xlnm.Database,"n",B144:B145)</f>
        <v>257</v>
      </c>
      <c r="J145" s="16"/>
      <c r="L145"/>
      <c r="M145" s="16"/>
      <c r="N145"/>
      <c r="P145" s="16"/>
      <c r="Q145"/>
      <c r="S145" s="16"/>
      <c r="T145"/>
      <c r="V145" s="16"/>
      <c r="W145"/>
      <c r="Y145" s="16"/>
      <c r="Z145"/>
      <c r="AB145" s="16"/>
      <c r="AC145"/>
      <c r="AE145" s="16"/>
      <c r="AF145"/>
      <c r="AH145" s="16"/>
      <c r="AI145"/>
      <c r="AK145" s="16"/>
      <c r="AL145"/>
      <c r="AN145" s="16"/>
      <c r="AO145"/>
      <c r="AQ145" s="16"/>
      <c r="AR145"/>
      <c r="AT145" s="16"/>
    </row>
    <row r="146" spans="2:46">
      <c r="D146" s="16"/>
      <c r="J146" s="16"/>
      <c r="L146"/>
      <c r="M146" s="16"/>
      <c r="N146"/>
      <c r="P146" s="16"/>
      <c r="Q146"/>
      <c r="S146" s="16"/>
      <c r="T146"/>
      <c r="V146" s="16"/>
      <c r="W146"/>
      <c r="Y146" s="16"/>
      <c r="Z146"/>
      <c r="AB146" s="16"/>
      <c r="AC146"/>
      <c r="AE146" s="16"/>
      <c r="AF146"/>
      <c r="AH146" s="16"/>
      <c r="AI146"/>
      <c r="AK146" s="16"/>
      <c r="AL146"/>
      <c r="AN146" s="16"/>
      <c r="AO146"/>
      <c r="AQ146" s="16"/>
      <c r="AR146"/>
      <c r="AT146" s="16"/>
    </row>
    <row r="147" spans="2:46">
      <c r="D147" s="16"/>
      <c r="F147" s="30"/>
      <c r="G147" s="16"/>
      <c r="J147" s="16"/>
      <c r="L147"/>
      <c r="M147" s="16"/>
      <c r="N147"/>
      <c r="P147" s="16"/>
      <c r="Q147"/>
      <c r="S147" s="16"/>
      <c r="T147"/>
      <c r="V147" s="16"/>
      <c r="W147"/>
      <c r="Y147" s="16"/>
      <c r="Z147"/>
      <c r="AB147" s="16"/>
      <c r="AC147"/>
      <c r="AE147" s="16"/>
      <c r="AF147"/>
      <c r="AH147" s="16"/>
      <c r="AI147"/>
      <c r="AK147" s="16"/>
      <c r="AL147"/>
      <c r="AN147" s="16"/>
      <c r="AO147"/>
      <c r="AQ147" s="16"/>
      <c r="AR147"/>
      <c r="AT147" s="16"/>
    </row>
    <row r="148" spans="2:46">
      <c r="D148" s="16"/>
      <c r="G148" s="16"/>
      <c r="J148" s="16"/>
      <c r="L148"/>
      <c r="M148" s="16"/>
      <c r="N148"/>
      <c r="P148" s="16"/>
      <c r="Q148"/>
      <c r="S148" s="16"/>
      <c r="T148"/>
      <c r="V148" s="16"/>
      <c r="W148"/>
      <c r="Y148" s="16"/>
      <c r="Z148"/>
      <c r="AB148" s="16"/>
      <c r="AC148"/>
      <c r="AE148" s="16"/>
      <c r="AF148"/>
      <c r="AH148" s="16"/>
      <c r="AI148"/>
      <c r="AK148" s="16"/>
      <c r="AL148"/>
      <c r="AN148" s="16"/>
      <c r="AO148"/>
      <c r="AQ148" s="16"/>
      <c r="AR148"/>
      <c r="AT148" s="16"/>
    </row>
    <row r="149" spans="2:46">
      <c r="D149" s="16"/>
      <c r="G149" s="16"/>
      <c r="J149" s="16"/>
      <c r="L149"/>
      <c r="M149" s="16"/>
      <c r="N149"/>
      <c r="P149" s="16"/>
      <c r="Q149"/>
      <c r="S149" s="16"/>
      <c r="T149"/>
      <c r="V149" s="16"/>
      <c r="W149"/>
      <c r="Y149" s="16"/>
      <c r="Z149"/>
      <c r="AB149" s="16"/>
      <c r="AC149"/>
      <c r="AE149" s="16"/>
      <c r="AF149"/>
      <c r="AH149" s="16"/>
      <c r="AI149"/>
      <c r="AK149" s="16"/>
      <c r="AL149"/>
      <c r="AN149" s="16"/>
      <c r="AO149"/>
      <c r="AQ149" s="16"/>
      <c r="AR149"/>
      <c r="AT149" s="16"/>
    </row>
    <row r="150" spans="2:46">
      <c r="D150" s="16"/>
      <c r="G150" s="16"/>
      <c r="J150" s="16"/>
      <c r="L150"/>
      <c r="M150" s="16"/>
      <c r="N150"/>
      <c r="P150" s="16"/>
      <c r="Q150"/>
      <c r="S150" s="16"/>
      <c r="T150"/>
      <c r="V150" s="16"/>
      <c r="W150"/>
      <c r="Y150" s="16"/>
      <c r="Z150"/>
      <c r="AB150" s="16"/>
      <c r="AC150"/>
      <c r="AE150" s="16"/>
      <c r="AF150"/>
      <c r="AH150" s="16"/>
      <c r="AI150"/>
      <c r="AK150" s="16"/>
      <c r="AL150"/>
      <c r="AN150" s="16"/>
      <c r="AO150"/>
      <c r="AQ150" s="16"/>
      <c r="AR150"/>
      <c r="AT150" s="16"/>
    </row>
    <row r="151" spans="2:46">
      <c r="D151" s="16"/>
      <c r="G151" s="16"/>
      <c r="J151" s="16"/>
      <c r="L151"/>
      <c r="M151" s="16"/>
      <c r="N151"/>
      <c r="P151" s="16"/>
      <c r="Q151"/>
      <c r="S151" s="16"/>
      <c r="T151"/>
      <c r="V151" s="16"/>
      <c r="W151"/>
      <c r="Y151" s="16"/>
      <c r="Z151"/>
      <c r="AB151" s="16"/>
      <c r="AC151"/>
      <c r="AE151" s="16"/>
      <c r="AF151"/>
      <c r="AH151" s="16"/>
      <c r="AI151"/>
      <c r="AK151" s="16"/>
      <c r="AL151"/>
      <c r="AN151" s="16"/>
      <c r="AO151"/>
      <c r="AQ151" s="16"/>
      <c r="AR151"/>
      <c r="AT151" s="16"/>
    </row>
    <row r="152" spans="2:46">
      <c r="D152" s="16"/>
      <c r="G152" s="16"/>
      <c r="J152" s="16"/>
      <c r="L152"/>
      <c r="M152" s="16"/>
      <c r="N152"/>
      <c r="P152" s="16"/>
      <c r="Q152"/>
      <c r="S152" s="16"/>
      <c r="T152"/>
      <c r="V152" s="16"/>
      <c r="W152"/>
      <c r="Y152" s="16"/>
      <c r="Z152"/>
      <c r="AB152" s="16"/>
      <c r="AC152"/>
      <c r="AE152" s="16"/>
      <c r="AF152"/>
      <c r="AH152" s="16"/>
      <c r="AI152"/>
      <c r="AK152" s="16"/>
      <c r="AL152"/>
      <c r="AN152" s="16"/>
      <c r="AO152"/>
      <c r="AQ152" s="16"/>
      <c r="AR152"/>
      <c r="AT152" s="16"/>
    </row>
    <row r="153" spans="2:46">
      <c r="D153" s="16"/>
      <c r="G153" s="16"/>
      <c r="J153" s="16"/>
      <c r="L153"/>
      <c r="M153" s="16"/>
      <c r="N153"/>
      <c r="P153" s="16"/>
      <c r="Q153"/>
      <c r="S153" s="16"/>
      <c r="T153"/>
      <c r="V153" s="16"/>
      <c r="W153"/>
      <c r="Y153" s="16"/>
      <c r="Z153"/>
      <c r="AB153" s="16"/>
      <c r="AC153"/>
      <c r="AE153" s="16"/>
      <c r="AF153"/>
      <c r="AH153" s="16"/>
      <c r="AI153"/>
      <c r="AK153" s="16"/>
      <c r="AL153"/>
      <c r="AN153" s="16"/>
      <c r="AO153"/>
      <c r="AQ153" s="16"/>
      <c r="AR153"/>
      <c r="AT153" s="16"/>
    </row>
    <row r="154" spans="2:46">
      <c r="D154" s="16"/>
      <c r="G154" s="16"/>
      <c r="J154" s="16"/>
      <c r="L154"/>
      <c r="M154" s="16"/>
      <c r="N154"/>
      <c r="P154" s="16"/>
      <c r="Q154"/>
      <c r="S154" s="16"/>
      <c r="T154"/>
      <c r="V154" s="16"/>
      <c r="W154"/>
      <c r="Y154" s="16"/>
      <c r="Z154"/>
      <c r="AB154" s="16"/>
      <c r="AC154"/>
      <c r="AE154" s="16"/>
      <c r="AF154"/>
      <c r="AH154" s="16"/>
      <c r="AI154"/>
      <c r="AK154" s="16"/>
      <c r="AL154"/>
      <c r="AN154" s="16"/>
      <c r="AO154"/>
      <c r="AQ154" s="16"/>
      <c r="AR154"/>
      <c r="AT154" s="16"/>
    </row>
    <row r="155" spans="2:46">
      <c r="D155" s="16"/>
      <c r="G155" s="16"/>
      <c r="J155" s="16"/>
      <c r="L155"/>
      <c r="M155" s="16"/>
      <c r="N155"/>
      <c r="P155" s="16"/>
      <c r="Q155"/>
      <c r="S155" s="16"/>
      <c r="T155"/>
      <c r="V155" s="16"/>
      <c r="W155"/>
      <c r="Y155" s="16"/>
      <c r="Z155"/>
      <c r="AB155" s="16"/>
      <c r="AC155"/>
      <c r="AE155" s="16"/>
      <c r="AF155"/>
      <c r="AH155" s="16"/>
      <c r="AI155"/>
      <c r="AK155" s="16"/>
      <c r="AL155"/>
      <c r="AN155" s="16"/>
      <c r="AO155"/>
      <c r="AQ155" s="16"/>
      <c r="AR155"/>
      <c r="AT155" s="16"/>
    </row>
    <row r="156" spans="2:46">
      <c r="D156" s="16"/>
      <c r="G156" s="16"/>
      <c r="J156" s="16"/>
      <c r="L156"/>
      <c r="M156" s="16"/>
      <c r="N156"/>
      <c r="P156" s="16"/>
      <c r="Q156"/>
      <c r="S156" s="16"/>
      <c r="T156"/>
      <c r="V156" s="16"/>
      <c r="W156"/>
      <c r="Y156" s="16"/>
      <c r="Z156"/>
      <c r="AB156" s="16"/>
      <c r="AC156"/>
      <c r="AE156" s="16"/>
      <c r="AF156"/>
      <c r="AH156" s="16"/>
      <c r="AI156"/>
      <c r="AK156" s="16"/>
      <c r="AL156"/>
      <c r="AN156" s="16"/>
      <c r="AO156"/>
      <c r="AQ156" s="16"/>
      <c r="AR156"/>
      <c r="AT156" s="16"/>
    </row>
    <row r="157" spans="2:46">
      <c r="D157" s="16"/>
      <c r="G157" s="16"/>
      <c r="J157" s="16"/>
      <c r="L157"/>
      <c r="M157" s="16"/>
      <c r="N157"/>
      <c r="P157" s="16"/>
      <c r="Q157"/>
      <c r="S157" s="16"/>
      <c r="T157"/>
      <c r="V157" s="16"/>
      <c r="W157"/>
      <c r="Y157" s="16"/>
      <c r="Z157"/>
      <c r="AB157" s="16"/>
      <c r="AC157"/>
      <c r="AE157" s="16"/>
      <c r="AF157"/>
      <c r="AH157" s="16"/>
      <c r="AI157"/>
      <c r="AK157" s="16"/>
      <c r="AL157"/>
      <c r="AN157" s="16"/>
      <c r="AO157"/>
      <c r="AQ157" s="16"/>
      <c r="AR157"/>
      <c r="AT157" s="16"/>
    </row>
    <row r="158" spans="2:46">
      <c r="D158" s="16"/>
      <c r="G158" s="16"/>
      <c r="J158" s="16"/>
      <c r="L158"/>
      <c r="M158" s="16"/>
      <c r="N158"/>
      <c r="P158" s="16"/>
      <c r="Q158"/>
      <c r="S158" s="16"/>
      <c r="T158"/>
      <c r="V158" s="16"/>
      <c r="W158"/>
      <c r="Y158" s="16"/>
      <c r="Z158"/>
      <c r="AB158" s="16"/>
      <c r="AC158"/>
      <c r="AE158" s="16"/>
      <c r="AF158"/>
      <c r="AH158" s="16"/>
      <c r="AI158"/>
      <c r="AK158" s="16"/>
      <c r="AL158"/>
      <c r="AN158" s="16"/>
      <c r="AO158"/>
      <c r="AQ158" s="16"/>
      <c r="AR158"/>
      <c r="AT158" s="16"/>
    </row>
    <row r="159" spans="2:46">
      <c r="D159" s="16"/>
      <c r="G159" s="16"/>
      <c r="J159" s="16"/>
      <c r="L159"/>
      <c r="M159" s="16"/>
      <c r="N159"/>
      <c r="P159" s="16"/>
      <c r="Q159"/>
      <c r="S159" s="16"/>
      <c r="T159"/>
      <c r="V159" s="16"/>
      <c r="W159"/>
      <c r="Y159" s="16"/>
      <c r="Z159"/>
      <c r="AB159" s="16"/>
      <c r="AC159"/>
      <c r="AE159" s="16"/>
      <c r="AF159"/>
      <c r="AH159" s="16"/>
      <c r="AI159"/>
      <c r="AK159" s="16"/>
      <c r="AL159"/>
      <c r="AN159" s="16"/>
      <c r="AO159"/>
      <c r="AQ159" s="16"/>
      <c r="AR159"/>
      <c r="AT159" s="16"/>
    </row>
    <row r="160" spans="2:46">
      <c r="D160" s="16"/>
      <c r="G160" s="16"/>
      <c r="J160" s="16"/>
      <c r="L160"/>
      <c r="M160" s="16"/>
      <c r="N160"/>
      <c r="P160" s="16"/>
      <c r="Q160"/>
      <c r="S160" s="16"/>
      <c r="T160"/>
      <c r="V160" s="16"/>
      <c r="W160"/>
      <c r="Y160" s="16"/>
      <c r="Z160"/>
      <c r="AB160" s="16"/>
      <c r="AC160"/>
      <c r="AE160" s="16"/>
      <c r="AF160"/>
      <c r="AH160" s="16"/>
      <c r="AI160"/>
      <c r="AK160" s="16"/>
      <c r="AL160"/>
      <c r="AN160" s="16"/>
      <c r="AO160"/>
      <c r="AQ160" s="16"/>
      <c r="AR160"/>
      <c r="AT160" s="16"/>
    </row>
    <row r="161" spans="4:46">
      <c r="D161" s="16"/>
      <c r="G161" s="16"/>
      <c r="J161" s="16"/>
      <c r="L161"/>
      <c r="M161" s="16"/>
      <c r="N161"/>
      <c r="P161" s="16"/>
      <c r="Q161"/>
      <c r="S161" s="16"/>
      <c r="T161"/>
      <c r="V161" s="16"/>
      <c r="W161"/>
      <c r="Y161" s="16"/>
      <c r="Z161"/>
      <c r="AB161" s="16"/>
      <c r="AC161"/>
      <c r="AE161" s="16"/>
      <c r="AF161"/>
      <c r="AH161" s="16"/>
      <c r="AI161"/>
      <c r="AK161" s="16"/>
      <c r="AL161"/>
      <c r="AN161" s="16"/>
      <c r="AO161"/>
      <c r="AQ161" s="16"/>
      <c r="AR161"/>
      <c r="AT161" s="16"/>
    </row>
    <row r="162" spans="4:46">
      <c r="D162" s="16"/>
      <c r="G162" s="16"/>
      <c r="J162" s="16"/>
      <c r="L162"/>
      <c r="M162" s="16"/>
      <c r="N162"/>
      <c r="P162" s="16"/>
      <c r="Q162"/>
      <c r="S162" s="16"/>
      <c r="T162"/>
      <c r="V162" s="16"/>
      <c r="W162"/>
      <c r="Y162" s="16"/>
      <c r="Z162"/>
      <c r="AB162" s="16"/>
      <c r="AC162"/>
      <c r="AE162" s="16"/>
      <c r="AF162"/>
      <c r="AH162" s="16"/>
      <c r="AI162"/>
      <c r="AK162" s="16"/>
      <c r="AL162"/>
      <c r="AN162" s="16"/>
      <c r="AO162"/>
      <c r="AQ162" s="16"/>
      <c r="AR162"/>
      <c r="AT162" s="16"/>
    </row>
    <row r="163" spans="4:46">
      <c r="D163" s="16"/>
      <c r="G163" s="16"/>
      <c r="J163" s="16"/>
      <c r="L163"/>
      <c r="M163" s="16"/>
      <c r="N163"/>
      <c r="P163" s="16"/>
      <c r="Q163"/>
      <c r="S163" s="16"/>
      <c r="T163"/>
      <c r="V163" s="16"/>
      <c r="W163"/>
      <c r="Y163" s="16"/>
      <c r="Z163"/>
      <c r="AB163" s="16"/>
      <c r="AC163"/>
      <c r="AE163" s="16"/>
      <c r="AF163"/>
      <c r="AH163" s="16"/>
      <c r="AI163"/>
      <c r="AK163" s="16"/>
      <c r="AL163"/>
      <c r="AN163" s="16"/>
      <c r="AO163"/>
      <c r="AQ163" s="16"/>
      <c r="AR163"/>
      <c r="AT163" s="16"/>
    </row>
    <row r="164" spans="4:46">
      <c r="D164" s="16"/>
      <c r="G164" s="16"/>
      <c r="J164" s="16"/>
      <c r="L164"/>
      <c r="M164" s="16"/>
      <c r="N164"/>
      <c r="P164" s="16"/>
      <c r="Q164"/>
      <c r="S164" s="16"/>
      <c r="T164"/>
      <c r="V164" s="16"/>
      <c r="W164"/>
      <c r="Y164" s="16"/>
      <c r="Z164"/>
      <c r="AB164" s="16"/>
      <c r="AC164"/>
      <c r="AE164" s="16"/>
      <c r="AF164"/>
      <c r="AH164" s="16"/>
      <c r="AI164"/>
      <c r="AK164" s="16"/>
      <c r="AL164"/>
      <c r="AN164" s="16"/>
      <c r="AO164"/>
      <c r="AQ164" s="16"/>
      <c r="AR164"/>
      <c r="AT164" s="16"/>
    </row>
    <row r="165" spans="4:46">
      <c r="D165" s="16"/>
      <c r="G165" s="16"/>
      <c r="J165" s="16"/>
      <c r="L165"/>
      <c r="M165" s="16"/>
      <c r="N165"/>
      <c r="P165" s="16"/>
      <c r="Q165"/>
      <c r="S165" s="16"/>
      <c r="T165"/>
      <c r="V165" s="16"/>
      <c r="W165"/>
      <c r="Y165" s="16"/>
      <c r="Z165"/>
      <c r="AB165" s="16"/>
      <c r="AC165"/>
      <c r="AE165" s="16"/>
      <c r="AF165"/>
      <c r="AH165" s="16"/>
      <c r="AI165"/>
      <c r="AK165" s="16"/>
      <c r="AL165"/>
      <c r="AN165" s="16"/>
      <c r="AO165"/>
      <c r="AQ165" s="16"/>
      <c r="AR165"/>
      <c r="AT165" s="16"/>
    </row>
    <row r="166" spans="4:46">
      <c r="D166" s="16"/>
      <c r="G166" s="16"/>
      <c r="J166" s="16"/>
      <c r="L166"/>
      <c r="M166" s="16"/>
      <c r="N166"/>
      <c r="P166" s="16"/>
      <c r="Q166"/>
      <c r="S166" s="16"/>
      <c r="T166"/>
      <c r="V166" s="16"/>
      <c r="W166"/>
      <c r="Y166" s="16"/>
      <c r="Z166"/>
      <c r="AB166" s="16"/>
      <c r="AC166"/>
      <c r="AE166" s="16"/>
      <c r="AF166"/>
      <c r="AH166" s="16"/>
      <c r="AI166"/>
      <c r="AK166" s="16"/>
      <c r="AL166"/>
      <c r="AN166" s="16"/>
      <c r="AO166"/>
      <c r="AQ166" s="16"/>
      <c r="AR166"/>
      <c r="AT166" s="16"/>
    </row>
    <row r="167" spans="4:46">
      <c r="D167" s="16"/>
      <c r="G167" s="16"/>
      <c r="J167" s="16"/>
      <c r="L167"/>
      <c r="M167" s="16"/>
      <c r="N167"/>
      <c r="P167" s="16"/>
      <c r="Q167"/>
      <c r="S167" s="16"/>
      <c r="T167"/>
      <c r="V167" s="16"/>
      <c r="W167"/>
      <c r="Y167" s="16"/>
      <c r="Z167"/>
      <c r="AB167" s="16"/>
      <c r="AC167"/>
      <c r="AE167" s="16"/>
      <c r="AF167"/>
      <c r="AH167" s="16"/>
      <c r="AI167"/>
      <c r="AK167" s="16"/>
      <c r="AL167"/>
      <c r="AN167" s="16"/>
      <c r="AO167"/>
      <c r="AQ167" s="16"/>
      <c r="AR167"/>
      <c r="AT167" s="16"/>
    </row>
    <row r="168" spans="4:46">
      <c r="D168" s="16"/>
      <c r="G168" s="16"/>
      <c r="J168" s="16"/>
      <c r="L168"/>
      <c r="M168" s="16"/>
      <c r="N168"/>
      <c r="P168" s="16"/>
      <c r="Q168"/>
      <c r="S168" s="16"/>
      <c r="T168"/>
      <c r="V168" s="16"/>
      <c r="W168"/>
      <c r="Y168" s="16"/>
      <c r="Z168"/>
      <c r="AB168" s="16"/>
      <c r="AC168"/>
      <c r="AE168" s="16"/>
      <c r="AF168"/>
      <c r="AH168" s="16"/>
      <c r="AI168"/>
      <c r="AK168" s="16"/>
      <c r="AL168"/>
      <c r="AN168" s="16"/>
      <c r="AO168"/>
      <c r="AQ168" s="16"/>
      <c r="AR168"/>
      <c r="AT168" s="16"/>
    </row>
    <row r="169" spans="4:46">
      <c r="D169" s="16"/>
      <c r="G169" s="16"/>
      <c r="J169" s="16"/>
      <c r="L169"/>
      <c r="M169" s="16"/>
      <c r="N169"/>
      <c r="P169" s="16"/>
      <c r="Q169"/>
      <c r="S169" s="16"/>
      <c r="T169"/>
      <c r="V169" s="16"/>
      <c r="W169"/>
      <c r="Y169" s="16"/>
      <c r="Z169"/>
      <c r="AB169" s="16"/>
      <c r="AC169"/>
      <c r="AE169" s="16"/>
      <c r="AF169"/>
      <c r="AH169" s="16"/>
      <c r="AI169"/>
      <c r="AK169" s="16"/>
      <c r="AL169"/>
      <c r="AN169" s="16"/>
      <c r="AO169"/>
      <c r="AQ169" s="16"/>
      <c r="AR169"/>
      <c r="AT169" s="16"/>
    </row>
    <row r="170" spans="4:46">
      <c r="D170" s="16"/>
      <c r="G170" s="16"/>
      <c r="J170" s="16"/>
      <c r="L170"/>
      <c r="M170" s="16"/>
      <c r="N170"/>
      <c r="P170" s="16"/>
      <c r="Q170"/>
      <c r="S170" s="16"/>
      <c r="T170"/>
      <c r="V170" s="16"/>
      <c r="W170"/>
      <c r="Y170" s="16"/>
      <c r="Z170"/>
      <c r="AB170" s="16"/>
      <c r="AC170"/>
      <c r="AE170" s="16"/>
      <c r="AF170"/>
      <c r="AH170" s="16"/>
      <c r="AI170"/>
      <c r="AK170" s="16"/>
      <c r="AL170"/>
      <c r="AN170" s="16"/>
      <c r="AO170"/>
      <c r="AQ170" s="16"/>
      <c r="AR170"/>
      <c r="AT170" s="16"/>
    </row>
    <row r="171" spans="4:46">
      <c r="D171" s="16"/>
      <c r="G171" s="16"/>
      <c r="J171" s="16"/>
      <c r="L171"/>
      <c r="M171" s="16"/>
      <c r="N171"/>
      <c r="P171" s="16"/>
      <c r="Q171"/>
      <c r="S171" s="16"/>
      <c r="T171"/>
      <c r="V171" s="16"/>
      <c r="W171"/>
      <c r="Y171" s="16"/>
      <c r="Z171"/>
      <c r="AB171" s="16"/>
      <c r="AC171"/>
      <c r="AE171" s="16"/>
      <c r="AF171"/>
      <c r="AH171" s="16"/>
      <c r="AI171"/>
      <c r="AK171" s="16"/>
      <c r="AL171"/>
      <c r="AN171" s="16"/>
      <c r="AO171"/>
      <c r="AQ171" s="16"/>
      <c r="AR171"/>
      <c r="AT171" s="16"/>
    </row>
    <row r="172" spans="4:46">
      <c r="D172" s="16"/>
      <c r="G172" s="16"/>
      <c r="J172" s="16"/>
      <c r="L172"/>
      <c r="M172" s="16"/>
      <c r="N172"/>
      <c r="P172" s="16"/>
      <c r="Q172"/>
      <c r="S172" s="16"/>
      <c r="T172"/>
      <c r="V172" s="16"/>
      <c r="W172"/>
      <c r="Y172" s="16"/>
      <c r="Z172"/>
      <c r="AB172" s="16"/>
      <c r="AC172"/>
      <c r="AE172" s="16"/>
      <c r="AF172"/>
      <c r="AH172" s="16"/>
      <c r="AI172"/>
      <c r="AK172" s="16"/>
      <c r="AL172"/>
      <c r="AN172" s="16"/>
      <c r="AO172"/>
      <c r="AQ172" s="16"/>
      <c r="AR172"/>
      <c r="AT172" s="16"/>
    </row>
    <row r="173" spans="4:46">
      <c r="D173" s="16"/>
      <c r="G173" s="16"/>
      <c r="J173" s="16"/>
      <c r="L173"/>
      <c r="M173" s="16"/>
      <c r="N173"/>
      <c r="P173" s="16"/>
      <c r="Q173"/>
      <c r="S173" s="16"/>
      <c r="T173"/>
      <c r="V173" s="16"/>
      <c r="W173"/>
      <c r="Y173" s="16"/>
      <c r="Z173"/>
      <c r="AB173" s="16"/>
      <c r="AC173"/>
      <c r="AE173" s="16"/>
      <c r="AF173"/>
      <c r="AH173" s="16"/>
      <c r="AI173"/>
      <c r="AK173" s="16"/>
      <c r="AL173"/>
      <c r="AN173" s="16"/>
      <c r="AO173"/>
      <c r="AQ173" s="16"/>
      <c r="AR173"/>
      <c r="AT173" s="16"/>
    </row>
    <row r="174" spans="4:46">
      <c r="D174" s="16"/>
      <c r="G174" s="16"/>
      <c r="J174" s="16"/>
      <c r="L174"/>
      <c r="M174" s="16"/>
      <c r="N174"/>
      <c r="P174" s="16"/>
      <c r="Q174"/>
      <c r="S174" s="16"/>
      <c r="T174"/>
      <c r="V174" s="16"/>
      <c r="W174"/>
      <c r="Y174" s="16"/>
      <c r="Z174"/>
      <c r="AB174" s="16"/>
      <c r="AC174"/>
      <c r="AE174" s="16"/>
      <c r="AF174"/>
      <c r="AH174" s="16"/>
      <c r="AI174"/>
      <c r="AK174" s="16"/>
      <c r="AL174"/>
      <c r="AN174" s="16"/>
      <c r="AO174"/>
      <c r="AQ174" s="16"/>
      <c r="AR174"/>
      <c r="AT174" s="16"/>
    </row>
    <row r="175" spans="4:46">
      <c r="D175" s="16"/>
      <c r="G175" s="16"/>
      <c r="J175" s="16"/>
      <c r="L175"/>
      <c r="M175" s="16"/>
      <c r="N175"/>
      <c r="P175" s="16"/>
      <c r="Q175"/>
      <c r="S175" s="16"/>
      <c r="T175"/>
      <c r="V175" s="16"/>
      <c r="W175"/>
      <c r="Y175" s="16"/>
      <c r="Z175"/>
      <c r="AB175" s="16"/>
      <c r="AC175"/>
      <c r="AE175" s="16"/>
      <c r="AF175"/>
      <c r="AH175" s="16"/>
      <c r="AI175"/>
      <c r="AK175" s="16"/>
      <c r="AL175"/>
      <c r="AN175" s="16"/>
      <c r="AO175"/>
      <c r="AQ175" s="16"/>
      <c r="AR175"/>
      <c r="AT175" s="16"/>
    </row>
    <row r="176" spans="4:46">
      <c r="D176" s="16"/>
      <c r="G176" s="16"/>
      <c r="J176" s="16"/>
      <c r="L176"/>
      <c r="M176" s="16"/>
      <c r="N176"/>
      <c r="P176" s="16"/>
      <c r="Q176"/>
      <c r="S176" s="16"/>
      <c r="T176"/>
      <c r="V176" s="16"/>
      <c r="W176"/>
      <c r="Y176" s="16"/>
      <c r="Z176"/>
      <c r="AB176" s="16"/>
      <c r="AC176"/>
      <c r="AE176" s="16"/>
      <c r="AF176"/>
      <c r="AH176" s="16"/>
      <c r="AI176"/>
      <c r="AK176" s="16"/>
      <c r="AL176"/>
      <c r="AN176" s="16"/>
      <c r="AO176"/>
      <c r="AQ176" s="16"/>
      <c r="AR176"/>
      <c r="AT176" s="16"/>
    </row>
    <row r="177" spans="4:46">
      <c r="D177" s="16"/>
      <c r="G177" s="16"/>
      <c r="J177" s="16"/>
      <c r="L177"/>
      <c r="M177" s="16"/>
      <c r="N177"/>
      <c r="P177" s="16"/>
      <c r="Q177"/>
      <c r="S177" s="16"/>
      <c r="T177"/>
      <c r="V177" s="16"/>
      <c r="W177"/>
      <c r="Y177" s="16"/>
      <c r="Z177"/>
      <c r="AB177" s="16"/>
      <c r="AC177"/>
      <c r="AE177" s="16"/>
      <c r="AF177"/>
      <c r="AH177" s="16"/>
      <c r="AI177"/>
      <c r="AK177" s="16"/>
      <c r="AL177"/>
      <c r="AN177" s="16"/>
      <c r="AO177"/>
      <c r="AQ177" s="16"/>
      <c r="AR177"/>
      <c r="AT177" s="16"/>
    </row>
    <row r="178" spans="4:46">
      <c r="D178" s="16"/>
      <c r="G178" s="16"/>
      <c r="J178" s="16"/>
      <c r="L178"/>
      <c r="M178" s="16"/>
      <c r="N178"/>
      <c r="P178" s="16"/>
      <c r="Q178"/>
      <c r="S178" s="16"/>
      <c r="T178"/>
      <c r="V178" s="16"/>
      <c r="W178"/>
      <c r="Y178" s="16"/>
      <c r="Z178"/>
      <c r="AB178" s="16"/>
      <c r="AC178"/>
      <c r="AE178" s="16"/>
      <c r="AF178"/>
      <c r="AH178" s="16"/>
      <c r="AI178"/>
      <c r="AK178" s="16"/>
      <c r="AL178"/>
      <c r="AN178" s="16"/>
      <c r="AO178"/>
      <c r="AQ178" s="16"/>
      <c r="AR178"/>
      <c r="AT178" s="16"/>
    </row>
    <row r="179" spans="4:46">
      <c r="D179" s="16"/>
      <c r="G179" s="16"/>
      <c r="J179" s="16"/>
      <c r="L179"/>
      <c r="M179" s="16"/>
      <c r="N179"/>
      <c r="P179" s="16"/>
      <c r="Q179"/>
      <c r="S179" s="16"/>
      <c r="T179"/>
      <c r="V179" s="16"/>
      <c r="W179"/>
      <c r="Y179" s="16"/>
      <c r="Z179"/>
      <c r="AB179" s="16"/>
      <c r="AC179"/>
      <c r="AE179" s="16"/>
      <c r="AF179"/>
      <c r="AH179" s="16"/>
      <c r="AI179"/>
      <c r="AK179" s="16"/>
      <c r="AL179"/>
      <c r="AN179" s="16"/>
      <c r="AO179"/>
      <c r="AQ179" s="16"/>
      <c r="AR179"/>
      <c r="AT179" s="16"/>
    </row>
    <row r="180" spans="4:46">
      <c r="D180" s="16"/>
      <c r="G180" s="16"/>
      <c r="J180" s="16"/>
      <c r="L180"/>
      <c r="M180" s="16"/>
      <c r="N180"/>
      <c r="P180" s="16"/>
      <c r="Q180"/>
      <c r="S180" s="16"/>
      <c r="T180"/>
      <c r="V180" s="16"/>
      <c r="W180"/>
      <c r="Y180" s="16"/>
      <c r="Z180"/>
      <c r="AB180" s="16"/>
      <c r="AC180"/>
      <c r="AE180" s="16"/>
      <c r="AF180"/>
      <c r="AH180" s="16"/>
      <c r="AI180"/>
      <c r="AK180" s="16"/>
      <c r="AL180"/>
      <c r="AN180" s="16"/>
      <c r="AO180"/>
      <c r="AQ180" s="16"/>
      <c r="AR180"/>
      <c r="AT180" s="16"/>
    </row>
    <row r="181" spans="4:46">
      <c r="D181" s="16"/>
      <c r="G181" s="16"/>
      <c r="J181" s="16"/>
      <c r="L181"/>
      <c r="M181" s="16"/>
      <c r="N181"/>
      <c r="P181" s="16"/>
      <c r="Q181"/>
      <c r="S181" s="16"/>
      <c r="T181"/>
      <c r="V181" s="16"/>
      <c r="W181"/>
      <c r="Y181" s="16"/>
      <c r="Z181"/>
      <c r="AB181" s="16"/>
      <c r="AC181"/>
      <c r="AE181" s="16"/>
      <c r="AF181"/>
      <c r="AH181" s="16"/>
      <c r="AI181"/>
      <c r="AK181" s="16"/>
      <c r="AL181"/>
      <c r="AN181" s="16"/>
      <c r="AO181"/>
      <c r="AQ181" s="16"/>
      <c r="AR181"/>
      <c r="AT181" s="16"/>
    </row>
    <row r="182" spans="4:46">
      <c r="D182" s="16"/>
      <c r="G182" s="16"/>
      <c r="J182" s="16"/>
      <c r="L182"/>
      <c r="M182" s="16"/>
      <c r="N182"/>
      <c r="P182" s="16"/>
      <c r="Q182"/>
      <c r="S182" s="16"/>
      <c r="T182"/>
      <c r="V182" s="16"/>
      <c r="W182"/>
      <c r="Y182" s="16"/>
      <c r="Z182"/>
      <c r="AB182" s="16"/>
      <c r="AC182"/>
      <c r="AE182" s="16"/>
      <c r="AF182"/>
      <c r="AH182" s="16"/>
      <c r="AI182"/>
      <c r="AK182" s="16"/>
      <c r="AL182"/>
      <c r="AN182" s="16"/>
      <c r="AO182"/>
      <c r="AQ182" s="16"/>
      <c r="AR182"/>
      <c r="AT182" s="16"/>
    </row>
    <row r="183" spans="4:46">
      <c r="D183" s="16"/>
      <c r="G183" s="16"/>
      <c r="J183" s="16"/>
      <c r="L183"/>
      <c r="M183" s="16"/>
      <c r="N183"/>
      <c r="P183" s="16"/>
      <c r="Q183"/>
      <c r="S183" s="16"/>
      <c r="T183"/>
      <c r="V183" s="16"/>
      <c r="W183"/>
      <c r="Y183" s="16"/>
      <c r="Z183"/>
      <c r="AB183" s="16"/>
      <c r="AC183"/>
      <c r="AE183" s="16"/>
      <c r="AF183"/>
      <c r="AH183" s="16"/>
      <c r="AI183"/>
      <c r="AK183" s="16"/>
      <c r="AL183"/>
      <c r="AN183" s="16"/>
      <c r="AO183"/>
      <c r="AQ183" s="16"/>
      <c r="AR183"/>
      <c r="AT183" s="16"/>
    </row>
    <row r="184" spans="4:46">
      <c r="D184" s="16"/>
      <c r="G184" s="16"/>
      <c r="J184" s="16"/>
      <c r="L184"/>
      <c r="M184" s="16"/>
      <c r="N184"/>
      <c r="P184" s="16"/>
      <c r="Q184"/>
      <c r="S184" s="16"/>
      <c r="T184"/>
      <c r="V184" s="16"/>
      <c r="W184"/>
      <c r="Y184" s="16"/>
      <c r="Z184"/>
      <c r="AB184" s="16"/>
      <c r="AC184"/>
      <c r="AE184" s="16"/>
      <c r="AF184"/>
      <c r="AH184" s="16"/>
      <c r="AI184"/>
      <c r="AK184" s="16"/>
      <c r="AL184"/>
      <c r="AN184" s="16"/>
      <c r="AO184"/>
      <c r="AQ184" s="16"/>
      <c r="AR184"/>
      <c r="AT184" s="16"/>
    </row>
    <row r="185" spans="4:46">
      <c r="D185" s="16"/>
      <c r="G185" s="16"/>
      <c r="J185" s="16"/>
      <c r="L185"/>
      <c r="M185" s="16"/>
      <c r="N185"/>
      <c r="P185" s="16"/>
      <c r="Q185"/>
      <c r="S185" s="16"/>
      <c r="T185"/>
      <c r="V185" s="16"/>
      <c r="W185"/>
      <c r="Y185" s="16"/>
      <c r="Z185"/>
      <c r="AB185" s="16"/>
      <c r="AC185"/>
      <c r="AE185" s="16"/>
      <c r="AF185"/>
      <c r="AH185" s="16"/>
      <c r="AI185"/>
      <c r="AK185" s="16"/>
      <c r="AL185"/>
      <c r="AN185" s="16"/>
      <c r="AO185"/>
      <c r="AQ185" s="16"/>
      <c r="AR185"/>
      <c r="AT185" s="16"/>
    </row>
    <row r="186" spans="4:46">
      <c r="D186" s="16"/>
      <c r="G186" s="16"/>
      <c r="J186" s="16"/>
      <c r="L186"/>
      <c r="M186" s="16"/>
      <c r="N186"/>
      <c r="P186" s="16"/>
      <c r="Q186"/>
      <c r="S186" s="16"/>
      <c r="T186"/>
      <c r="V186" s="16"/>
      <c r="W186"/>
      <c r="Y186" s="16"/>
      <c r="Z186"/>
      <c r="AB186" s="16"/>
      <c r="AC186"/>
      <c r="AE186" s="16"/>
      <c r="AF186"/>
      <c r="AH186" s="16"/>
      <c r="AI186"/>
      <c r="AK186" s="16"/>
      <c r="AL186"/>
      <c r="AN186" s="16"/>
      <c r="AO186"/>
      <c r="AQ186" s="16"/>
      <c r="AR186"/>
      <c r="AT186" s="16"/>
    </row>
    <row r="187" spans="4:46">
      <c r="K187" s="4"/>
      <c r="L187"/>
      <c r="M187" s="16"/>
      <c r="N187"/>
      <c r="P187" s="16"/>
      <c r="Q187"/>
      <c r="S187" s="16"/>
      <c r="T187"/>
      <c r="V187" s="16"/>
      <c r="W187"/>
      <c r="Y187" s="16"/>
      <c r="Z187"/>
      <c r="AB187" s="16"/>
      <c r="AC187"/>
      <c r="AE187" s="16"/>
      <c r="AF187"/>
      <c r="AH187" s="16"/>
      <c r="AI187"/>
      <c r="AK187" s="16"/>
      <c r="AL187"/>
      <c r="AN187" s="16"/>
      <c r="AO187"/>
      <c r="AQ187" s="16"/>
      <c r="AR187"/>
      <c r="AT187" s="16"/>
    </row>
    <row r="188" spans="4:46">
      <c r="K188" s="4"/>
      <c r="L188"/>
      <c r="M188" s="16"/>
      <c r="N188"/>
      <c r="P188" s="16"/>
      <c r="Q188"/>
      <c r="S188" s="16"/>
      <c r="T188"/>
      <c r="V188" s="16"/>
      <c r="W188"/>
      <c r="Y188" s="16"/>
      <c r="Z188"/>
      <c r="AB188" s="16"/>
      <c r="AC188"/>
      <c r="AE188" s="16"/>
      <c r="AF188"/>
      <c r="AH188" s="16"/>
      <c r="AI188"/>
      <c r="AK188" s="16"/>
      <c r="AL188"/>
      <c r="AN188" s="16"/>
      <c r="AO188"/>
      <c r="AQ188" s="16"/>
      <c r="AR188"/>
      <c r="AT188" s="16"/>
    </row>
    <row r="189" spans="4:46">
      <c r="K189" s="4"/>
      <c r="L189"/>
      <c r="M189" s="16"/>
      <c r="N189"/>
      <c r="P189" s="16"/>
      <c r="Q189"/>
      <c r="S189" s="16"/>
      <c r="T189"/>
      <c r="V189" s="16"/>
      <c r="W189"/>
      <c r="Y189" s="16"/>
      <c r="Z189"/>
      <c r="AB189" s="16"/>
      <c r="AC189"/>
      <c r="AE189" s="16"/>
      <c r="AF189"/>
      <c r="AH189" s="16"/>
      <c r="AI189"/>
      <c r="AK189" s="16"/>
      <c r="AL189"/>
      <c r="AN189" s="16"/>
      <c r="AO189"/>
      <c r="AQ189" s="16"/>
      <c r="AR189"/>
      <c r="AT189" s="16"/>
    </row>
    <row r="190" spans="4:46">
      <c r="K190" s="4"/>
      <c r="L190"/>
      <c r="M190" s="16"/>
      <c r="N190"/>
      <c r="P190" s="16"/>
      <c r="Q190"/>
      <c r="S190" s="16"/>
      <c r="T190"/>
      <c r="V190" s="16"/>
      <c r="W190"/>
      <c r="Y190" s="16"/>
      <c r="Z190"/>
      <c r="AB190" s="16"/>
      <c r="AC190"/>
      <c r="AE190" s="16"/>
      <c r="AF190"/>
      <c r="AH190" s="16"/>
      <c r="AI190"/>
      <c r="AK190" s="16"/>
      <c r="AL190"/>
      <c r="AN190" s="16"/>
      <c r="AO190"/>
      <c r="AQ190" s="16"/>
      <c r="AR190"/>
      <c r="AT190" s="16"/>
    </row>
    <row r="191" spans="4:46">
      <c r="K191" s="4"/>
      <c r="L191"/>
      <c r="M191" s="16"/>
      <c r="N191"/>
      <c r="P191" s="16"/>
      <c r="Q191"/>
      <c r="S191" s="16"/>
      <c r="T191"/>
      <c r="V191" s="16"/>
      <c r="W191"/>
      <c r="Y191" s="16"/>
      <c r="Z191"/>
      <c r="AB191" s="16"/>
      <c r="AC191"/>
      <c r="AE191" s="16"/>
      <c r="AF191"/>
      <c r="AH191" s="16"/>
      <c r="AI191"/>
      <c r="AK191" s="16"/>
      <c r="AL191"/>
      <c r="AN191" s="16"/>
      <c r="AO191"/>
      <c r="AQ191" s="16"/>
      <c r="AR191"/>
      <c r="AT191" s="16"/>
    </row>
    <row r="192" spans="4:46">
      <c r="K192" s="4"/>
      <c r="L192"/>
      <c r="M192" s="16"/>
      <c r="N192"/>
      <c r="P192" s="16"/>
      <c r="Q192"/>
      <c r="S192" s="16"/>
      <c r="T192"/>
      <c r="V192" s="16"/>
      <c r="W192"/>
      <c r="Y192" s="16"/>
      <c r="Z192"/>
      <c r="AB192" s="16"/>
      <c r="AC192"/>
      <c r="AE192" s="16"/>
      <c r="AF192"/>
      <c r="AH192" s="16"/>
      <c r="AI192"/>
      <c r="AK192" s="16"/>
      <c r="AL192"/>
      <c r="AN192" s="16"/>
      <c r="AO192"/>
      <c r="AQ192" s="16"/>
      <c r="AR192"/>
      <c r="AT192" s="16"/>
    </row>
    <row r="193" spans="11:46">
      <c r="K193" s="4"/>
      <c r="L193"/>
      <c r="M193" s="16"/>
      <c r="N193"/>
      <c r="P193" s="16"/>
      <c r="Q193"/>
      <c r="S193" s="16"/>
      <c r="T193"/>
      <c r="V193" s="16"/>
      <c r="W193"/>
      <c r="Y193" s="16"/>
      <c r="Z193"/>
      <c r="AB193" s="16"/>
      <c r="AC193"/>
      <c r="AE193" s="16"/>
      <c r="AF193"/>
      <c r="AH193" s="16"/>
      <c r="AI193"/>
      <c r="AK193" s="16"/>
      <c r="AL193"/>
      <c r="AN193" s="16"/>
      <c r="AO193"/>
      <c r="AQ193" s="16"/>
      <c r="AR193"/>
      <c r="AT193" s="16"/>
    </row>
    <row r="194" spans="11:46">
      <c r="K194" s="4"/>
      <c r="L194"/>
      <c r="M194" s="16"/>
      <c r="N194"/>
      <c r="P194" s="16"/>
      <c r="Q194"/>
      <c r="S194" s="16"/>
      <c r="T194"/>
      <c r="V194" s="16"/>
      <c r="W194"/>
      <c r="Y194" s="16"/>
      <c r="Z194"/>
      <c r="AB194" s="16"/>
      <c r="AC194"/>
      <c r="AE194" s="16"/>
      <c r="AF194"/>
      <c r="AH194" s="16"/>
      <c r="AI194"/>
      <c r="AK194" s="16"/>
      <c r="AL194"/>
      <c r="AN194" s="16"/>
      <c r="AO194"/>
      <c r="AQ194" s="16"/>
      <c r="AR194"/>
      <c r="AT194" s="16"/>
    </row>
    <row r="195" spans="11:46">
      <c r="K195" s="4"/>
      <c r="L195"/>
      <c r="M195" s="16"/>
      <c r="N195"/>
      <c r="P195" s="16"/>
      <c r="Q195"/>
      <c r="S195" s="16"/>
      <c r="T195"/>
      <c r="V195" s="16"/>
      <c r="W195"/>
      <c r="Y195" s="16"/>
      <c r="Z195"/>
      <c r="AB195" s="16"/>
      <c r="AC195"/>
      <c r="AE195" s="16"/>
      <c r="AF195"/>
      <c r="AH195" s="16"/>
      <c r="AI195"/>
      <c r="AK195" s="16"/>
      <c r="AL195"/>
      <c r="AN195" s="16"/>
      <c r="AO195"/>
      <c r="AQ195" s="16"/>
      <c r="AR195"/>
      <c r="AT195" s="16"/>
    </row>
    <row r="196" spans="11:46">
      <c r="K196" s="4"/>
      <c r="L196"/>
      <c r="M196" s="16"/>
      <c r="N196"/>
      <c r="P196" s="16"/>
      <c r="Q196"/>
      <c r="S196" s="16"/>
      <c r="T196"/>
      <c r="V196" s="16"/>
      <c r="W196"/>
      <c r="Y196" s="16"/>
      <c r="Z196"/>
      <c r="AB196" s="16"/>
      <c r="AC196"/>
      <c r="AE196" s="16"/>
      <c r="AF196"/>
      <c r="AH196" s="16"/>
      <c r="AI196"/>
      <c r="AK196" s="16"/>
      <c r="AL196"/>
      <c r="AN196" s="16"/>
      <c r="AO196"/>
      <c r="AQ196" s="16"/>
      <c r="AR196"/>
      <c r="AT196" s="16"/>
    </row>
    <row r="197" spans="11:46">
      <c r="K197" s="4"/>
      <c r="L197"/>
      <c r="M197" s="16"/>
      <c r="N197"/>
      <c r="P197" s="16"/>
      <c r="Q197"/>
      <c r="S197" s="16"/>
      <c r="T197"/>
      <c r="V197" s="16"/>
      <c r="W197"/>
      <c r="Y197" s="16"/>
      <c r="Z197"/>
      <c r="AB197" s="16"/>
      <c r="AC197"/>
      <c r="AE197" s="16"/>
      <c r="AF197"/>
      <c r="AH197" s="16"/>
      <c r="AI197"/>
      <c r="AK197" s="16"/>
      <c r="AL197"/>
      <c r="AN197" s="16"/>
      <c r="AO197"/>
      <c r="AQ197" s="16"/>
      <c r="AR197"/>
      <c r="AT197" s="16"/>
    </row>
    <row r="198" spans="11:46">
      <c r="K198" s="4"/>
      <c r="L198"/>
      <c r="M198" s="16"/>
      <c r="N198"/>
      <c r="P198" s="16"/>
      <c r="Q198"/>
      <c r="S198" s="16"/>
      <c r="T198"/>
      <c r="V198" s="16"/>
      <c r="W198"/>
      <c r="Y198" s="16"/>
      <c r="Z198"/>
      <c r="AB198" s="16"/>
      <c r="AC198"/>
      <c r="AE198" s="16"/>
      <c r="AF198"/>
      <c r="AH198" s="16"/>
      <c r="AI198"/>
      <c r="AK198" s="16"/>
      <c r="AL198"/>
      <c r="AN198" s="16"/>
      <c r="AO198"/>
      <c r="AQ198" s="16"/>
      <c r="AR198"/>
      <c r="AT198" s="16"/>
    </row>
    <row r="199" spans="11:46">
      <c r="K199" s="4"/>
      <c r="L199"/>
      <c r="M199" s="16"/>
      <c r="N199"/>
      <c r="P199" s="16"/>
      <c r="Q199"/>
      <c r="S199" s="16"/>
      <c r="T199"/>
      <c r="V199" s="16"/>
      <c r="W199"/>
      <c r="Y199" s="16"/>
      <c r="Z199"/>
      <c r="AB199" s="16"/>
      <c r="AC199"/>
      <c r="AE199" s="16"/>
      <c r="AF199"/>
      <c r="AH199" s="16"/>
      <c r="AI199"/>
      <c r="AK199" s="16"/>
      <c r="AL199"/>
      <c r="AN199" s="16"/>
      <c r="AO199"/>
      <c r="AQ199" s="16"/>
      <c r="AR199"/>
      <c r="AT199" s="16"/>
    </row>
    <row r="200" spans="11:46">
      <c r="K200" s="4"/>
      <c r="L200"/>
      <c r="M200" s="16"/>
      <c r="N200"/>
      <c r="P200" s="16"/>
      <c r="Q200"/>
      <c r="S200" s="16"/>
      <c r="T200"/>
      <c r="V200" s="16"/>
      <c r="W200"/>
      <c r="Y200" s="16"/>
      <c r="Z200"/>
      <c r="AB200" s="16"/>
      <c r="AC200"/>
      <c r="AE200" s="16"/>
      <c r="AF200"/>
      <c r="AH200" s="16"/>
      <c r="AI200"/>
      <c r="AK200" s="16"/>
      <c r="AL200"/>
      <c r="AN200" s="16"/>
      <c r="AO200"/>
      <c r="AQ200" s="16"/>
      <c r="AR200"/>
      <c r="AT200" s="16"/>
    </row>
    <row r="201" spans="11:46">
      <c r="K201" s="4"/>
      <c r="L201"/>
      <c r="M201" s="16"/>
      <c r="N201"/>
      <c r="P201" s="16"/>
      <c r="Q201"/>
      <c r="S201" s="16"/>
      <c r="T201"/>
      <c r="V201" s="16"/>
      <c r="W201"/>
      <c r="Y201" s="16"/>
      <c r="Z201"/>
      <c r="AB201" s="16"/>
      <c r="AC201"/>
      <c r="AE201" s="16"/>
      <c r="AF201"/>
      <c r="AH201" s="16"/>
      <c r="AI201"/>
      <c r="AK201" s="16"/>
      <c r="AL201"/>
      <c r="AN201" s="16"/>
      <c r="AO201"/>
      <c r="AQ201" s="16"/>
      <c r="AR201"/>
      <c r="AT201" s="16"/>
    </row>
    <row r="202" spans="11:46">
      <c r="K202" s="4"/>
      <c r="L202"/>
      <c r="M202" s="16"/>
      <c r="N202"/>
      <c r="P202" s="16"/>
      <c r="Q202"/>
      <c r="S202" s="16"/>
      <c r="T202"/>
      <c r="V202" s="16"/>
      <c r="W202"/>
      <c r="Y202" s="16"/>
      <c r="Z202"/>
      <c r="AB202" s="16"/>
      <c r="AC202"/>
      <c r="AE202" s="16"/>
      <c r="AF202"/>
      <c r="AH202" s="16"/>
      <c r="AI202"/>
      <c r="AK202" s="16"/>
      <c r="AL202"/>
      <c r="AN202" s="16"/>
      <c r="AO202"/>
      <c r="AQ202" s="16"/>
      <c r="AR202"/>
      <c r="AT202" s="16"/>
    </row>
    <row r="203" spans="11:46">
      <c r="K203" s="4"/>
      <c r="L203"/>
      <c r="M203" s="16"/>
      <c r="N203"/>
      <c r="P203" s="16"/>
      <c r="Q203"/>
      <c r="S203" s="16"/>
      <c r="T203"/>
      <c r="V203" s="16"/>
      <c r="W203"/>
      <c r="Y203" s="16"/>
      <c r="Z203"/>
      <c r="AB203" s="16"/>
      <c r="AC203"/>
      <c r="AE203" s="16"/>
      <c r="AF203"/>
      <c r="AH203" s="16"/>
      <c r="AI203"/>
      <c r="AK203" s="16"/>
      <c r="AL203"/>
      <c r="AN203" s="16"/>
      <c r="AO203"/>
      <c r="AQ203" s="16"/>
      <c r="AR203"/>
      <c r="AT203" s="16"/>
    </row>
    <row r="204" spans="11:46">
      <c r="K204" s="4"/>
      <c r="L204"/>
      <c r="M204" s="16"/>
      <c r="N204"/>
      <c r="P204" s="16"/>
      <c r="Q204"/>
      <c r="S204" s="16"/>
      <c r="T204"/>
      <c r="V204" s="16"/>
      <c r="W204"/>
      <c r="Y204" s="16"/>
      <c r="Z204"/>
      <c r="AB204" s="16"/>
      <c r="AC204"/>
      <c r="AE204" s="16"/>
      <c r="AF204"/>
      <c r="AH204" s="16"/>
      <c r="AI204"/>
      <c r="AK204" s="16"/>
      <c r="AL204"/>
      <c r="AN204" s="16"/>
      <c r="AO204"/>
      <c r="AQ204" s="16"/>
      <c r="AR204"/>
      <c r="AT204" s="16"/>
    </row>
    <row r="205" spans="11:46">
      <c r="K205" s="4"/>
      <c r="L205"/>
      <c r="M205" s="16"/>
      <c r="N205"/>
      <c r="P205" s="16"/>
      <c r="Q205"/>
      <c r="S205" s="16"/>
      <c r="T205"/>
      <c r="V205" s="16"/>
      <c r="W205"/>
      <c r="Y205" s="16"/>
      <c r="Z205"/>
      <c r="AB205" s="16"/>
      <c r="AC205"/>
      <c r="AE205" s="16"/>
      <c r="AF205"/>
      <c r="AH205" s="16"/>
      <c r="AI205"/>
      <c r="AK205" s="16"/>
      <c r="AL205"/>
      <c r="AN205" s="16"/>
      <c r="AO205"/>
      <c r="AQ205" s="16"/>
      <c r="AR205"/>
      <c r="AT205" s="16"/>
    </row>
    <row r="206" spans="11:46">
      <c r="K206" s="4"/>
      <c r="L206"/>
      <c r="M206" s="16"/>
      <c r="N206"/>
      <c r="P206" s="16"/>
      <c r="Q206"/>
      <c r="S206" s="16"/>
      <c r="T206"/>
      <c r="V206" s="16"/>
      <c r="W206"/>
      <c r="Y206" s="16"/>
      <c r="Z206"/>
      <c r="AB206" s="16"/>
      <c r="AC206"/>
      <c r="AE206" s="16"/>
      <c r="AF206"/>
      <c r="AH206" s="16"/>
      <c r="AI206"/>
      <c r="AK206" s="16"/>
      <c r="AL206"/>
      <c r="AN206" s="16"/>
      <c r="AO206"/>
      <c r="AQ206" s="16"/>
      <c r="AR206"/>
      <c r="AT206" s="16"/>
    </row>
    <row r="207" spans="11:46">
      <c r="K207" s="4"/>
      <c r="L207"/>
      <c r="M207" s="16"/>
      <c r="N207"/>
      <c r="P207" s="16"/>
      <c r="Q207"/>
      <c r="S207" s="16"/>
      <c r="T207"/>
      <c r="V207" s="16"/>
      <c r="W207"/>
      <c r="Y207" s="16"/>
      <c r="Z207"/>
      <c r="AB207" s="16"/>
      <c r="AC207"/>
      <c r="AE207" s="16"/>
      <c r="AF207"/>
      <c r="AH207" s="16"/>
      <c r="AI207"/>
      <c r="AK207" s="16"/>
      <c r="AL207"/>
      <c r="AN207" s="16"/>
      <c r="AO207"/>
      <c r="AQ207" s="16"/>
      <c r="AR207"/>
      <c r="AT207" s="16"/>
    </row>
    <row r="208" spans="11:46">
      <c r="K208" s="4"/>
      <c r="L208"/>
      <c r="M208" s="16"/>
      <c r="N208"/>
      <c r="P208" s="16"/>
      <c r="Q208"/>
      <c r="S208" s="16"/>
      <c r="T208"/>
      <c r="V208" s="16"/>
      <c r="W208"/>
      <c r="Y208" s="16"/>
      <c r="Z208"/>
      <c r="AB208" s="16"/>
      <c r="AC208"/>
      <c r="AE208" s="16"/>
      <c r="AF208"/>
      <c r="AH208" s="16"/>
      <c r="AI208"/>
      <c r="AK208" s="16"/>
      <c r="AL208"/>
      <c r="AN208" s="16"/>
      <c r="AO208"/>
      <c r="AQ208" s="16"/>
      <c r="AR208"/>
      <c r="AT208" s="16"/>
    </row>
    <row r="209" spans="11:46">
      <c r="K209" s="4"/>
      <c r="L209"/>
      <c r="M209" s="16"/>
      <c r="N209"/>
      <c r="P209" s="16"/>
      <c r="Q209"/>
      <c r="S209" s="16"/>
      <c r="T209"/>
      <c r="V209" s="16"/>
      <c r="W209"/>
      <c r="Y209" s="16"/>
      <c r="Z209"/>
      <c r="AB209" s="16"/>
      <c r="AC209"/>
      <c r="AE209" s="16"/>
      <c r="AF209"/>
      <c r="AH209" s="16"/>
      <c r="AI209"/>
      <c r="AK209" s="16"/>
      <c r="AL209"/>
      <c r="AN209" s="16"/>
      <c r="AO209"/>
      <c r="AQ209" s="16"/>
      <c r="AR209"/>
      <c r="AT209" s="16"/>
    </row>
    <row r="210" spans="11:46">
      <c r="K210" s="4"/>
      <c r="L210"/>
      <c r="M210" s="16"/>
      <c r="N210"/>
      <c r="P210" s="16"/>
      <c r="Q210"/>
      <c r="S210" s="16"/>
      <c r="T210"/>
      <c r="V210" s="16"/>
      <c r="W210"/>
      <c r="Y210" s="16"/>
      <c r="Z210"/>
      <c r="AB210" s="16"/>
      <c r="AC210"/>
      <c r="AE210" s="16"/>
      <c r="AF210"/>
      <c r="AH210" s="16"/>
      <c r="AI210"/>
      <c r="AK210" s="16"/>
      <c r="AL210"/>
      <c r="AN210" s="16"/>
      <c r="AO210"/>
      <c r="AQ210" s="16"/>
      <c r="AR210"/>
      <c r="AT210" s="16"/>
    </row>
    <row r="211" spans="11:46">
      <c r="K211" s="4"/>
      <c r="L211"/>
      <c r="M211" s="16"/>
      <c r="N211"/>
      <c r="P211" s="16"/>
      <c r="Q211"/>
      <c r="S211" s="16"/>
      <c r="T211"/>
      <c r="V211" s="16"/>
      <c r="W211"/>
      <c r="Y211" s="16"/>
      <c r="Z211"/>
      <c r="AB211" s="16"/>
      <c r="AC211"/>
      <c r="AE211" s="16"/>
      <c r="AF211"/>
      <c r="AH211" s="16"/>
      <c r="AI211"/>
      <c r="AK211" s="16"/>
      <c r="AL211"/>
      <c r="AN211" s="16"/>
      <c r="AO211"/>
      <c r="AQ211" s="16"/>
      <c r="AR211"/>
      <c r="AT211" s="16"/>
    </row>
    <row r="212" spans="11:46">
      <c r="K212" s="4"/>
      <c r="L212"/>
      <c r="M212" s="16"/>
      <c r="N212"/>
      <c r="P212" s="16"/>
      <c r="Q212"/>
      <c r="S212" s="16"/>
      <c r="T212"/>
      <c r="V212" s="16"/>
      <c r="W212"/>
      <c r="Y212" s="16"/>
      <c r="Z212"/>
      <c r="AB212" s="16"/>
      <c r="AC212"/>
      <c r="AE212" s="16"/>
      <c r="AF212"/>
      <c r="AH212" s="16"/>
      <c r="AI212"/>
      <c r="AK212" s="16"/>
      <c r="AL212"/>
      <c r="AN212" s="16"/>
      <c r="AO212"/>
      <c r="AQ212" s="16"/>
      <c r="AR212"/>
      <c r="AT212" s="16"/>
    </row>
    <row r="213" spans="11:46">
      <c r="K213" s="4"/>
      <c r="L213"/>
      <c r="M213" s="16"/>
      <c r="N213"/>
      <c r="P213" s="16"/>
      <c r="Q213"/>
      <c r="S213" s="16"/>
      <c r="T213"/>
      <c r="V213" s="16"/>
      <c r="W213"/>
      <c r="Y213" s="16"/>
      <c r="Z213"/>
      <c r="AB213" s="16"/>
      <c r="AC213"/>
      <c r="AE213" s="16"/>
      <c r="AF213"/>
      <c r="AH213" s="16"/>
      <c r="AI213"/>
      <c r="AK213" s="16"/>
      <c r="AL213"/>
      <c r="AN213" s="16"/>
      <c r="AO213"/>
      <c r="AQ213" s="16"/>
      <c r="AR213"/>
      <c r="AT213" s="16"/>
    </row>
    <row r="214" spans="11:46">
      <c r="K214" s="4"/>
      <c r="L214"/>
      <c r="M214" s="16"/>
      <c r="N214"/>
      <c r="P214" s="16"/>
      <c r="Q214"/>
      <c r="S214" s="16"/>
      <c r="T214"/>
      <c r="V214" s="16"/>
      <c r="W214"/>
      <c r="Y214" s="16"/>
      <c r="Z214"/>
      <c r="AB214" s="16"/>
      <c r="AC214"/>
      <c r="AE214" s="16"/>
      <c r="AF214"/>
      <c r="AH214" s="16"/>
      <c r="AI214"/>
      <c r="AK214" s="16"/>
      <c r="AL214"/>
      <c r="AN214" s="16"/>
      <c r="AO214"/>
      <c r="AQ214" s="16"/>
      <c r="AR214"/>
      <c r="AT214" s="16"/>
    </row>
    <row r="215" spans="11:46">
      <c r="K215" s="4"/>
      <c r="L215"/>
      <c r="M215" s="16"/>
      <c r="N215"/>
      <c r="P215" s="16"/>
      <c r="Q215"/>
      <c r="S215" s="16"/>
      <c r="T215"/>
      <c r="V215" s="16"/>
      <c r="W215"/>
      <c r="Y215" s="16"/>
      <c r="Z215"/>
      <c r="AB215" s="16"/>
      <c r="AC215"/>
      <c r="AE215" s="16"/>
      <c r="AF215"/>
      <c r="AH215" s="16"/>
      <c r="AI215"/>
      <c r="AK215" s="16"/>
      <c r="AL215"/>
      <c r="AN215" s="16"/>
      <c r="AO215"/>
      <c r="AQ215" s="16"/>
      <c r="AR215"/>
      <c r="AT215" s="16"/>
    </row>
    <row r="216" spans="11:46">
      <c r="K216" s="4"/>
      <c r="L216"/>
      <c r="M216" s="16"/>
      <c r="N216"/>
      <c r="P216" s="16"/>
      <c r="Q216"/>
      <c r="S216" s="16"/>
      <c r="T216"/>
      <c r="V216" s="16"/>
      <c r="W216"/>
      <c r="Y216" s="16"/>
      <c r="Z216"/>
      <c r="AB216" s="16"/>
      <c r="AC216"/>
      <c r="AE216" s="16"/>
      <c r="AF216"/>
      <c r="AH216" s="16"/>
      <c r="AI216"/>
      <c r="AK216" s="16"/>
      <c r="AL216"/>
      <c r="AN216" s="16"/>
      <c r="AO216"/>
      <c r="AQ216" s="16"/>
      <c r="AR216"/>
      <c r="AT216" s="16"/>
    </row>
    <row r="217" spans="11:46">
      <c r="K217" s="4"/>
      <c r="L217"/>
      <c r="M217" s="16"/>
      <c r="N217"/>
      <c r="P217" s="16"/>
      <c r="Q217"/>
      <c r="S217" s="16"/>
      <c r="T217"/>
      <c r="V217" s="16"/>
      <c r="W217"/>
      <c r="Y217" s="16"/>
      <c r="Z217"/>
      <c r="AB217" s="16"/>
      <c r="AC217"/>
      <c r="AE217" s="16"/>
      <c r="AF217"/>
      <c r="AH217" s="16"/>
      <c r="AI217"/>
      <c r="AK217" s="16"/>
      <c r="AL217"/>
      <c r="AN217" s="16"/>
      <c r="AO217"/>
      <c r="AQ217" s="16"/>
      <c r="AR217"/>
      <c r="AT217" s="16"/>
    </row>
    <row r="218" spans="11:46">
      <c r="K218" s="4"/>
      <c r="L218"/>
      <c r="M218" s="16"/>
      <c r="N218"/>
      <c r="P218" s="16"/>
      <c r="Q218"/>
      <c r="S218" s="16"/>
      <c r="T218"/>
      <c r="V218" s="16"/>
      <c r="W218"/>
      <c r="Y218" s="16"/>
      <c r="Z218"/>
      <c r="AB218" s="16"/>
      <c r="AC218"/>
      <c r="AE218" s="16"/>
      <c r="AF218"/>
      <c r="AH218" s="16"/>
      <c r="AI218"/>
      <c r="AK218" s="16"/>
      <c r="AL218"/>
      <c r="AN218" s="16"/>
      <c r="AO218"/>
      <c r="AQ218" s="16"/>
      <c r="AR218"/>
      <c r="AT218" s="16"/>
    </row>
    <row r="219" spans="11:46">
      <c r="K219" s="4"/>
      <c r="L219"/>
      <c r="M219" s="16"/>
      <c r="N219"/>
      <c r="P219" s="16"/>
      <c r="Q219"/>
      <c r="S219" s="16"/>
      <c r="T219"/>
      <c r="V219" s="16"/>
      <c r="W219"/>
      <c r="Y219" s="16"/>
      <c r="Z219"/>
      <c r="AB219" s="16"/>
      <c r="AC219"/>
      <c r="AE219" s="16"/>
      <c r="AF219"/>
      <c r="AH219" s="16"/>
      <c r="AI219"/>
      <c r="AK219" s="16"/>
      <c r="AL219"/>
      <c r="AN219" s="16"/>
      <c r="AO219"/>
      <c r="AQ219" s="16"/>
      <c r="AR219"/>
      <c r="AT219" s="16"/>
    </row>
    <row r="220" spans="11:46">
      <c r="K220" s="4"/>
      <c r="L220"/>
      <c r="M220" s="16"/>
      <c r="N220"/>
      <c r="P220" s="16"/>
      <c r="Q220"/>
      <c r="S220" s="16"/>
      <c r="T220"/>
      <c r="V220" s="16"/>
      <c r="W220"/>
      <c r="Y220" s="16"/>
      <c r="Z220"/>
      <c r="AB220" s="16"/>
      <c r="AC220"/>
      <c r="AE220" s="16"/>
      <c r="AF220"/>
      <c r="AH220" s="16"/>
      <c r="AI220"/>
      <c r="AK220" s="16"/>
      <c r="AL220"/>
      <c r="AN220" s="16"/>
      <c r="AO220"/>
      <c r="AQ220" s="16"/>
      <c r="AR220"/>
      <c r="AT220" s="16"/>
    </row>
    <row r="221" spans="11:46">
      <c r="K221" s="4"/>
      <c r="L221"/>
      <c r="M221" s="16"/>
      <c r="N221"/>
      <c r="P221" s="16"/>
      <c r="Q221"/>
      <c r="S221" s="16"/>
      <c r="T221"/>
      <c r="V221" s="16"/>
      <c r="W221"/>
      <c r="Y221" s="16"/>
      <c r="Z221"/>
      <c r="AB221" s="16"/>
      <c r="AC221"/>
      <c r="AE221" s="16"/>
      <c r="AF221"/>
      <c r="AH221" s="16"/>
      <c r="AI221"/>
      <c r="AK221" s="16"/>
      <c r="AL221"/>
      <c r="AN221" s="16"/>
      <c r="AO221"/>
      <c r="AQ221" s="16"/>
      <c r="AR221"/>
      <c r="AT221" s="16"/>
    </row>
    <row r="222" spans="11:46">
      <c r="K222" s="4"/>
      <c r="L222"/>
      <c r="M222" s="16"/>
      <c r="N222"/>
      <c r="P222" s="16"/>
      <c r="Q222"/>
      <c r="S222" s="16"/>
      <c r="T222"/>
      <c r="V222" s="16"/>
      <c r="W222"/>
      <c r="Y222" s="16"/>
      <c r="Z222"/>
      <c r="AB222" s="16"/>
      <c r="AC222"/>
      <c r="AE222" s="16"/>
      <c r="AF222"/>
      <c r="AH222" s="16"/>
      <c r="AI222"/>
      <c r="AK222" s="16"/>
      <c r="AL222"/>
      <c r="AN222" s="16"/>
      <c r="AO222"/>
      <c r="AQ222" s="16"/>
      <c r="AR222"/>
      <c r="AT222" s="16"/>
    </row>
    <row r="223" spans="11:46">
      <c r="K223" s="4"/>
      <c r="L223"/>
      <c r="M223" s="16"/>
      <c r="N223"/>
      <c r="P223" s="16"/>
      <c r="Q223"/>
      <c r="S223" s="16"/>
      <c r="T223"/>
      <c r="V223" s="16"/>
      <c r="W223"/>
      <c r="Y223" s="16"/>
      <c r="Z223"/>
      <c r="AB223" s="16"/>
      <c r="AC223"/>
      <c r="AE223" s="16"/>
      <c r="AF223"/>
      <c r="AH223" s="16"/>
      <c r="AI223"/>
      <c r="AK223" s="16"/>
      <c r="AL223"/>
      <c r="AN223" s="16"/>
      <c r="AO223"/>
      <c r="AQ223" s="16"/>
      <c r="AR223"/>
      <c r="AT223" s="16"/>
    </row>
    <row r="224" spans="11:46">
      <c r="K224" s="4"/>
      <c r="L224"/>
      <c r="M224" s="16"/>
      <c r="N224"/>
      <c r="P224" s="16"/>
      <c r="Q224"/>
      <c r="S224" s="16"/>
      <c r="T224"/>
      <c r="V224" s="16"/>
      <c r="W224"/>
      <c r="Y224" s="16"/>
      <c r="Z224"/>
      <c r="AB224" s="16"/>
      <c r="AC224"/>
      <c r="AE224" s="16"/>
      <c r="AF224"/>
      <c r="AH224" s="16"/>
      <c r="AI224"/>
      <c r="AK224" s="16"/>
      <c r="AL224"/>
      <c r="AN224" s="16"/>
      <c r="AO224"/>
      <c r="AQ224" s="16"/>
      <c r="AR224"/>
      <c r="AT224" s="16"/>
    </row>
    <row r="225" spans="11:46">
      <c r="K225" s="4"/>
      <c r="L225"/>
      <c r="M225" s="16"/>
      <c r="N225"/>
      <c r="P225" s="16"/>
      <c r="Q225"/>
      <c r="S225" s="16"/>
      <c r="T225"/>
      <c r="V225" s="16"/>
      <c r="W225"/>
      <c r="Y225" s="16"/>
      <c r="Z225"/>
      <c r="AB225" s="16"/>
      <c r="AC225"/>
      <c r="AE225" s="16"/>
      <c r="AF225"/>
      <c r="AH225" s="16"/>
      <c r="AI225"/>
      <c r="AK225" s="16"/>
      <c r="AL225"/>
      <c r="AN225" s="16"/>
      <c r="AO225"/>
      <c r="AQ225" s="16"/>
      <c r="AR225"/>
      <c r="AT225" s="16"/>
    </row>
    <row r="226" spans="11:46">
      <c r="K226" s="4"/>
      <c r="L226"/>
      <c r="M226" s="16"/>
      <c r="N226"/>
      <c r="P226" s="16"/>
      <c r="Q226"/>
      <c r="S226" s="16"/>
      <c r="T226"/>
      <c r="V226" s="16"/>
      <c r="W226"/>
      <c r="Y226" s="16"/>
      <c r="Z226"/>
      <c r="AB226" s="16"/>
      <c r="AC226"/>
      <c r="AE226" s="16"/>
      <c r="AF226"/>
      <c r="AH226" s="16"/>
      <c r="AI226"/>
      <c r="AK226" s="16"/>
      <c r="AL226"/>
      <c r="AN226" s="16"/>
      <c r="AO226"/>
      <c r="AQ226" s="16"/>
      <c r="AR226"/>
      <c r="AT226" s="16"/>
    </row>
    <row r="227" spans="11:46">
      <c r="K227" s="4"/>
      <c r="L227"/>
      <c r="M227" s="16"/>
      <c r="N227"/>
      <c r="P227" s="16"/>
      <c r="Q227"/>
      <c r="S227" s="16"/>
      <c r="T227"/>
      <c r="V227" s="16"/>
      <c r="W227"/>
      <c r="Y227" s="16"/>
      <c r="Z227"/>
      <c r="AB227" s="16"/>
      <c r="AC227"/>
      <c r="AE227" s="16"/>
      <c r="AF227"/>
      <c r="AH227" s="16"/>
      <c r="AI227"/>
      <c r="AK227" s="16"/>
      <c r="AL227"/>
      <c r="AN227" s="16"/>
      <c r="AO227"/>
      <c r="AQ227" s="16"/>
      <c r="AR227"/>
      <c r="AT227" s="16"/>
    </row>
    <row r="228" spans="11:46">
      <c r="K228" s="4"/>
      <c r="L228"/>
      <c r="M228" s="16"/>
      <c r="N228"/>
      <c r="P228" s="16"/>
      <c r="Q228"/>
      <c r="S228" s="16"/>
      <c r="T228"/>
      <c r="V228" s="16"/>
      <c r="W228"/>
      <c r="Y228" s="16"/>
      <c r="Z228"/>
      <c r="AB228" s="16"/>
      <c r="AC228"/>
      <c r="AE228" s="16"/>
      <c r="AF228"/>
      <c r="AH228" s="16"/>
      <c r="AI228"/>
      <c r="AK228" s="16"/>
      <c r="AL228"/>
      <c r="AN228" s="16"/>
      <c r="AO228"/>
      <c r="AQ228" s="16"/>
      <c r="AR228"/>
      <c r="AT228" s="16"/>
    </row>
    <row r="229" spans="11:46">
      <c r="K229" s="4"/>
      <c r="L229"/>
      <c r="M229" s="16"/>
      <c r="N229"/>
      <c r="P229" s="16"/>
      <c r="Q229"/>
      <c r="S229" s="16"/>
      <c r="T229"/>
      <c r="V229" s="16"/>
      <c r="W229"/>
      <c r="Y229" s="16"/>
      <c r="Z229"/>
      <c r="AB229" s="16"/>
      <c r="AC229"/>
      <c r="AE229" s="16"/>
      <c r="AF229"/>
      <c r="AH229" s="16"/>
      <c r="AI229"/>
      <c r="AK229" s="16"/>
      <c r="AL229"/>
      <c r="AN229" s="16"/>
      <c r="AO229"/>
      <c r="AQ229" s="16"/>
      <c r="AR229"/>
      <c r="AT229" s="16"/>
    </row>
    <row r="230" spans="11:46">
      <c r="K230" s="4"/>
      <c r="L230"/>
      <c r="M230" s="16"/>
      <c r="N230"/>
      <c r="P230" s="16"/>
      <c r="Q230"/>
      <c r="S230" s="16"/>
      <c r="T230"/>
      <c r="V230" s="16"/>
      <c r="W230"/>
      <c r="Y230" s="16"/>
      <c r="Z230"/>
      <c r="AB230" s="16"/>
      <c r="AC230"/>
      <c r="AE230" s="16"/>
      <c r="AF230"/>
      <c r="AH230" s="16"/>
      <c r="AI230"/>
      <c r="AK230" s="16"/>
      <c r="AL230"/>
      <c r="AN230" s="16"/>
      <c r="AO230"/>
      <c r="AQ230" s="16"/>
      <c r="AR230"/>
      <c r="AT230" s="16"/>
    </row>
    <row r="231" spans="11:46">
      <c r="K231" s="4"/>
      <c r="L231"/>
      <c r="M231" s="16"/>
      <c r="N231"/>
      <c r="P231" s="16"/>
      <c r="Q231"/>
      <c r="S231" s="16"/>
      <c r="T231"/>
      <c r="V231" s="16"/>
      <c r="W231"/>
      <c r="Y231" s="16"/>
      <c r="Z231"/>
      <c r="AB231" s="16"/>
      <c r="AC231"/>
      <c r="AE231" s="16"/>
      <c r="AF231"/>
      <c r="AH231" s="16"/>
      <c r="AI231"/>
      <c r="AK231" s="16"/>
      <c r="AL231"/>
      <c r="AN231" s="16"/>
      <c r="AO231"/>
      <c r="AQ231" s="16"/>
      <c r="AR231"/>
      <c r="AT231" s="16"/>
    </row>
    <row r="232" spans="11:46">
      <c r="K232" s="4"/>
      <c r="L232"/>
      <c r="M232" s="16"/>
      <c r="N232"/>
      <c r="P232" s="16"/>
      <c r="Q232"/>
      <c r="S232" s="16"/>
      <c r="T232"/>
      <c r="V232" s="16"/>
      <c r="W232"/>
      <c r="Y232" s="16"/>
      <c r="Z232"/>
      <c r="AB232" s="16"/>
      <c r="AC232"/>
      <c r="AE232" s="16"/>
      <c r="AF232"/>
      <c r="AH232" s="16"/>
      <c r="AI232"/>
      <c r="AK232" s="16"/>
      <c r="AL232"/>
      <c r="AN232" s="16"/>
      <c r="AO232"/>
      <c r="AQ232" s="16"/>
      <c r="AR232"/>
      <c r="AT232" s="16"/>
    </row>
    <row r="233" spans="11:46">
      <c r="K233" s="4"/>
      <c r="L233"/>
      <c r="M233" s="16"/>
      <c r="N233"/>
      <c r="P233" s="16"/>
      <c r="Q233"/>
      <c r="S233" s="16"/>
      <c r="T233"/>
      <c r="V233" s="16"/>
      <c r="W233"/>
      <c r="Y233" s="16"/>
      <c r="Z233"/>
      <c r="AB233" s="16"/>
      <c r="AC233"/>
      <c r="AE233" s="16"/>
      <c r="AF233"/>
      <c r="AH233" s="16"/>
      <c r="AI233"/>
      <c r="AK233" s="16"/>
      <c r="AL233"/>
      <c r="AN233" s="16"/>
      <c r="AO233"/>
      <c r="AQ233" s="16"/>
      <c r="AR233"/>
      <c r="AT233" s="16"/>
    </row>
    <row r="234" spans="11:46">
      <c r="K234" s="4"/>
      <c r="L234"/>
      <c r="M234" s="16"/>
      <c r="N234"/>
      <c r="P234" s="16"/>
      <c r="Q234"/>
      <c r="S234" s="16"/>
      <c r="T234"/>
      <c r="V234" s="16"/>
      <c r="W234"/>
      <c r="Y234" s="16"/>
      <c r="Z234"/>
      <c r="AB234" s="16"/>
      <c r="AC234"/>
      <c r="AE234" s="16"/>
      <c r="AF234"/>
      <c r="AH234" s="16"/>
      <c r="AI234"/>
      <c r="AK234" s="16"/>
      <c r="AL234"/>
      <c r="AN234" s="16"/>
      <c r="AO234"/>
      <c r="AQ234" s="16"/>
      <c r="AR234"/>
      <c r="AT234" s="16"/>
    </row>
    <row r="235" spans="11:46">
      <c r="K235" s="4"/>
      <c r="L235"/>
      <c r="M235" s="16"/>
      <c r="N235"/>
      <c r="P235" s="16"/>
      <c r="Q235"/>
      <c r="S235" s="16"/>
      <c r="T235"/>
      <c r="V235" s="16"/>
      <c r="W235"/>
      <c r="Y235" s="16"/>
      <c r="Z235"/>
      <c r="AB235" s="16"/>
      <c r="AC235"/>
      <c r="AE235" s="16"/>
      <c r="AF235"/>
      <c r="AH235" s="16"/>
      <c r="AI235"/>
      <c r="AK235" s="16"/>
      <c r="AL235"/>
      <c r="AN235" s="16"/>
      <c r="AO235"/>
      <c r="AQ235" s="16"/>
      <c r="AR235"/>
      <c r="AT235" s="16"/>
    </row>
    <row r="236" spans="11:46">
      <c r="K236" s="4"/>
      <c r="L236"/>
      <c r="M236" s="16"/>
      <c r="N236"/>
      <c r="P236" s="16"/>
      <c r="Q236"/>
      <c r="S236" s="16"/>
      <c r="T236"/>
      <c r="V236" s="16"/>
      <c r="W236"/>
      <c r="Y236" s="16"/>
      <c r="Z236"/>
      <c r="AB236" s="16"/>
      <c r="AC236"/>
      <c r="AE236" s="16"/>
      <c r="AF236"/>
      <c r="AH236" s="16"/>
      <c r="AI236"/>
      <c r="AK236" s="16"/>
      <c r="AL236"/>
      <c r="AN236" s="16"/>
      <c r="AO236"/>
      <c r="AQ236" s="16"/>
      <c r="AR236"/>
      <c r="AT236" s="16"/>
    </row>
    <row r="237" spans="11:46">
      <c r="K237" s="4"/>
      <c r="L237"/>
      <c r="M237" s="16"/>
      <c r="N237"/>
      <c r="P237" s="16"/>
      <c r="Q237"/>
      <c r="S237" s="16"/>
      <c r="T237"/>
      <c r="V237" s="16"/>
      <c r="W237"/>
      <c r="Y237" s="16"/>
      <c r="Z237"/>
      <c r="AB237" s="16"/>
      <c r="AC237"/>
      <c r="AE237" s="16"/>
      <c r="AF237"/>
      <c r="AH237" s="16"/>
      <c r="AI237"/>
      <c r="AK237" s="16"/>
      <c r="AL237"/>
      <c r="AN237" s="16"/>
      <c r="AO237"/>
      <c r="AQ237" s="16"/>
      <c r="AR237"/>
      <c r="AT237" s="16"/>
    </row>
    <row r="238" spans="11:46">
      <c r="K238" s="4"/>
      <c r="L238"/>
      <c r="M238" s="16"/>
      <c r="N238"/>
      <c r="P238" s="16"/>
      <c r="Q238"/>
      <c r="S238" s="16"/>
      <c r="T238"/>
      <c r="V238" s="16"/>
      <c r="W238"/>
      <c r="Y238" s="16"/>
      <c r="Z238"/>
      <c r="AB238" s="16"/>
      <c r="AC238"/>
      <c r="AE238" s="16"/>
      <c r="AF238"/>
      <c r="AH238" s="16"/>
      <c r="AI238"/>
      <c r="AK238" s="16"/>
      <c r="AL238"/>
      <c r="AN238" s="16"/>
      <c r="AO238"/>
      <c r="AQ238" s="16"/>
      <c r="AR238"/>
      <c r="AT238" s="16"/>
    </row>
    <row r="239" spans="11:46">
      <c r="K239" s="4"/>
      <c r="L239"/>
      <c r="M239" s="16"/>
      <c r="N239"/>
      <c r="P239" s="16"/>
      <c r="Q239"/>
      <c r="S239" s="16"/>
      <c r="T239"/>
      <c r="V239" s="16"/>
      <c r="W239"/>
      <c r="Y239" s="16"/>
      <c r="Z239"/>
      <c r="AB239" s="16"/>
      <c r="AC239"/>
      <c r="AE239" s="16"/>
      <c r="AF239"/>
      <c r="AH239" s="16"/>
      <c r="AI239"/>
      <c r="AK239" s="16"/>
      <c r="AL239"/>
      <c r="AN239" s="16"/>
      <c r="AO239"/>
      <c r="AQ239" s="16"/>
      <c r="AR239"/>
      <c r="AT239" s="16"/>
    </row>
    <row r="240" spans="11:46">
      <c r="K240" s="4"/>
      <c r="L240"/>
      <c r="M240" s="16"/>
      <c r="N240"/>
      <c r="P240" s="16"/>
      <c r="Q240"/>
      <c r="S240" s="16"/>
      <c r="T240"/>
      <c r="V240" s="16"/>
      <c r="W240"/>
      <c r="Y240" s="16"/>
      <c r="Z240"/>
      <c r="AB240" s="16"/>
      <c r="AC240"/>
      <c r="AE240" s="16"/>
      <c r="AF240"/>
      <c r="AH240" s="16"/>
      <c r="AI240"/>
      <c r="AK240" s="16"/>
      <c r="AL240"/>
      <c r="AN240" s="16"/>
      <c r="AO240"/>
      <c r="AQ240" s="16"/>
      <c r="AR240"/>
      <c r="AT240" s="16"/>
    </row>
    <row r="241" spans="11:46">
      <c r="K241" s="4"/>
      <c r="L241"/>
      <c r="M241" s="16"/>
      <c r="N241"/>
      <c r="P241" s="16"/>
      <c r="Q241"/>
      <c r="S241" s="16"/>
      <c r="T241"/>
      <c r="V241" s="16"/>
      <c r="W241"/>
      <c r="Y241" s="16"/>
      <c r="Z241"/>
      <c r="AB241" s="16"/>
      <c r="AC241"/>
      <c r="AE241" s="16"/>
      <c r="AF241"/>
      <c r="AH241" s="16"/>
      <c r="AI241"/>
      <c r="AK241" s="16"/>
      <c r="AL241"/>
      <c r="AN241" s="16"/>
      <c r="AO241"/>
      <c r="AQ241" s="16"/>
      <c r="AR241"/>
      <c r="AT241" s="16"/>
    </row>
    <row r="242" spans="11:46">
      <c r="K242" s="4"/>
      <c r="L242"/>
      <c r="M242" s="16"/>
      <c r="N242"/>
      <c r="P242" s="16"/>
      <c r="Q242"/>
      <c r="S242" s="16"/>
      <c r="T242"/>
      <c r="V242" s="16"/>
      <c r="W242"/>
      <c r="Y242" s="16"/>
      <c r="Z242"/>
      <c r="AB242" s="16"/>
      <c r="AC242"/>
      <c r="AE242" s="16"/>
      <c r="AF242"/>
      <c r="AH242" s="16"/>
      <c r="AI242"/>
      <c r="AK242" s="16"/>
      <c r="AL242"/>
      <c r="AN242" s="16"/>
      <c r="AO242"/>
      <c r="AQ242" s="16"/>
      <c r="AR242"/>
      <c r="AT242" s="16"/>
    </row>
    <row r="243" spans="11:46">
      <c r="K243" s="4"/>
      <c r="L243"/>
      <c r="M243" s="16"/>
      <c r="N243"/>
      <c r="P243" s="16"/>
      <c r="Q243"/>
      <c r="S243" s="16"/>
      <c r="T243"/>
      <c r="V243" s="16"/>
      <c r="W243"/>
      <c r="Y243" s="16"/>
      <c r="Z243"/>
      <c r="AB243" s="16"/>
      <c r="AC243"/>
      <c r="AE243" s="16"/>
      <c r="AF243"/>
      <c r="AH243" s="16"/>
      <c r="AI243"/>
      <c r="AK243" s="16"/>
      <c r="AL243"/>
      <c r="AN243" s="16"/>
      <c r="AO243"/>
      <c r="AQ243" s="16"/>
      <c r="AR243"/>
      <c r="AT243" s="16"/>
    </row>
    <row r="244" spans="11:46">
      <c r="K244" s="4"/>
      <c r="L244"/>
      <c r="M244" s="16"/>
      <c r="N244"/>
      <c r="P244" s="16"/>
      <c r="Q244"/>
      <c r="S244" s="16"/>
      <c r="T244"/>
      <c r="V244" s="16"/>
      <c r="W244"/>
      <c r="Y244" s="16"/>
      <c r="Z244"/>
      <c r="AB244" s="16"/>
      <c r="AC244"/>
      <c r="AE244" s="16"/>
      <c r="AF244"/>
      <c r="AH244" s="16"/>
      <c r="AI244"/>
      <c r="AK244" s="16"/>
      <c r="AL244"/>
      <c r="AN244" s="16"/>
      <c r="AO244"/>
      <c r="AQ244" s="16"/>
      <c r="AR244"/>
      <c r="AT244" s="16"/>
    </row>
    <row r="245" spans="11:46">
      <c r="K245" s="4"/>
      <c r="L245"/>
      <c r="M245" s="16"/>
      <c r="N245"/>
      <c r="P245" s="16"/>
      <c r="Q245"/>
      <c r="S245" s="16"/>
      <c r="T245"/>
      <c r="V245" s="16"/>
      <c r="W245"/>
      <c r="Y245" s="16"/>
      <c r="Z245"/>
      <c r="AB245" s="16"/>
      <c r="AC245"/>
      <c r="AE245" s="16"/>
      <c r="AF245"/>
      <c r="AH245" s="16"/>
      <c r="AI245"/>
      <c r="AK245" s="16"/>
      <c r="AL245"/>
      <c r="AN245" s="16"/>
      <c r="AO245"/>
      <c r="AQ245" s="16"/>
      <c r="AR245"/>
      <c r="AT245" s="16"/>
    </row>
    <row r="246" spans="11:46">
      <c r="K246" s="4"/>
      <c r="L246"/>
      <c r="M246" s="16"/>
      <c r="N246"/>
      <c r="P246" s="16"/>
      <c r="Q246"/>
      <c r="S246" s="16"/>
      <c r="T246"/>
      <c r="V246" s="16"/>
      <c r="W246"/>
      <c r="Y246" s="16"/>
      <c r="Z246"/>
      <c r="AB246" s="16"/>
      <c r="AC246"/>
      <c r="AE246" s="16"/>
      <c r="AF246"/>
      <c r="AH246" s="16"/>
      <c r="AI246"/>
      <c r="AK246" s="16"/>
      <c r="AL246"/>
      <c r="AN246" s="16"/>
      <c r="AO246"/>
      <c r="AQ246" s="16"/>
      <c r="AR246"/>
      <c r="AT246" s="16"/>
    </row>
    <row r="247" spans="11:46">
      <c r="K247" s="4"/>
      <c r="L247"/>
      <c r="M247" s="16"/>
      <c r="N247"/>
      <c r="P247" s="16"/>
      <c r="Q247"/>
      <c r="S247" s="16"/>
      <c r="T247"/>
      <c r="V247" s="16"/>
      <c r="W247"/>
      <c r="Y247" s="16"/>
      <c r="Z247"/>
      <c r="AB247" s="16"/>
      <c r="AC247"/>
      <c r="AE247" s="16"/>
      <c r="AF247"/>
      <c r="AH247" s="16"/>
      <c r="AI247"/>
      <c r="AK247" s="16"/>
      <c r="AL247"/>
      <c r="AN247" s="16"/>
      <c r="AO247"/>
      <c r="AQ247" s="16"/>
      <c r="AR247"/>
      <c r="AT247" s="16"/>
    </row>
    <row r="248" spans="11:46">
      <c r="K248" s="4"/>
      <c r="L248"/>
      <c r="M248" s="16"/>
      <c r="N248"/>
      <c r="P248" s="16"/>
      <c r="Q248"/>
      <c r="S248" s="16"/>
      <c r="T248"/>
      <c r="V248" s="16"/>
      <c r="W248"/>
      <c r="Y248" s="16"/>
      <c r="Z248"/>
      <c r="AB248" s="16"/>
      <c r="AC248"/>
      <c r="AE248" s="16"/>
      <c r="AF248"/>
      <c r="AH248" s="16"/>
      <c r="AI248"/>
      <c r="AK248" s="16"/>
      <c r="AL248"/>
      <c r="AN248" s="16"/>
      <c r="AO248"/>
      <c r="AQ248" s="16"/>
      <c r="AR248"/>
      <c r="AT248" s="16"/>
    </row>
    <row r="249" spans="11:46">
      <c r="K249" s="4"/>
      <c r="L249"/>
      <c r="M249" s="16"/>
      <c r="N249"/>
      <c r="P249" s="16"/>
      <c r="Q249"/>
      <c r="S249" s="16"/>
      <c r="T249"/>
      <c r="V249" s="16"/>
      <c r="W249"/>
      <c r="Y249" s="16"/>
      <c r="Z249"/>
      <c r="AB249" s="16"/>
      <c r="AC249"/>
      <c r="AE249" s="16"/>
      <c r="AF249"/>
      <c r="AH249" s="16"/>
      <c r="AI249"/>
      <c r="AK249" s="16"/>
      <c r="AL249"/>
      <c r="AN249" s="16"/>
      <c r="AO249"/>
      <c r="AQ249" s="16"/>
      <c r="AR249"/>
      <c r="AT249" s="16"/>
    </row>
    <row r="250" spans="11:46">
      <c r="K250" s="4"/>
      <c r="L250"/>
      <c r="M250" s="16"/>
      <c r="N250"/>
      <c r="P250" s="16"/>
      <c r="Q250"/>
      <c r="S250" s="16"/>
      <c r="T250"/>
      <c r="V250" s="16"/>
      <c r="W250"/>
      <c r="Y250" s="16"/>
      <c r="Z250"/>
      <c r="AB250" s="16"/>
      <c r="AC250"/>
      <c r="AE250" s="16"/>
      <c r="AF250"/>
      <c r="AH250" s="16"/>
      <c r="AI250"/>
      <c r="AK250" s="16"/>
      <c r="AL250"/>
      <c r="AN250" s="16"/>
      <c r="AO250"/>
      <c r="AQ250" s="16"/>
      <c r="AR250"/>
      <c r="AT250" s="16"/>
    </row>
    <row r="251" spans="11:46">
      <c r="K251" s="4"/>
      <c r="L251"/>
      <c r="M251" s="16"/>
      <c r="N251"/>
      <c r="P251" s="16"/>
      <c r="Q251"/>
      <c r="S251" s="16"/>
      <c r="T251"/>
      <c r="V251" s="16"/>
      <c r="W251"/>
      <c r="Y251" s="16"/>
      <c r="Z251"/>
      <c r="AB251" s="16"/>
      <c r="AC251"/>
      <c r="AE251" s="16"/>
      <c r="AF251"/>
      <c r="AH251" s="16"/>
      <c r="AI251"/>
      <c r="AK251" s="16"/>
      <c r="AL251"/>
      <c r="AN251" s="16"/>
      <c r="AO251"/>
      <c r="AQ251" s="16"/>
      <c r="AR251"/>
      <c r="AT251" s="16"/>
    </row>
    <row r="252" spans="11:46">
      <c r="K252" s="4"/>
      <c r="L252"/>
      <c r="M252" s="16"/>
      <c r="N252"/>
      <c r="P252" s="16"/>
      <c r="Q252"/>
      <c r="S252" s="16"/>
      <c r="T252"/>
      <c r="V252" s="16"/>
      <c r="W252"/>
      <c r="Y252" s="16"/>
      <c r="Z252"/>
      <c r="AB252" s="16"/>
      <c r="AC252"/>
      <c r="AE252" s="16"/>
      <c r="AF252"/>
      <c r="AH252" s="16"/>
      <c r="AI252"/>
      <c r="AK252" s="16"/>
      <c r="AL252"/>
      <c r="AN252" s="16"/>
      <c r="AO252"/>
      <c r="AQ252" s="16"/>
      <c r="AR252"/>
      <c r="AT252" s="16"/>
    </row>
    <row r="253" spans="11:46">
      <c r="K253" s="4"/>
      <c r="L253"/>
      <c r="M253" s="16"/>
      <c r="N253"/>
      <c r="P253" s="16"/>
      <c r="Q253"/>
      <c r="S253" s="16"/>
      <c r="T253"/>
      <c r="V253" s="16"/>
      <c r="W253"/>
      <c r="Y253" s="16"/>
      <c r="Z253"/>
      <c r="AB253" s="16"/>
      <c r="AC253"/>
      <c r="AE253" s="16"/>
      <c r="AF253"/>
      <c r="AH253" s="16"/>
      <c r="AI253"/>
      <c r="AK253" s="16"/>
      <c r="AL253"/>
      <c r="AN253" s="16"/>
      <c r="AO253"/>
      <c r="AQ253" s="16"/>
      <c r="AR253"/>
      <c r="AT253" s="16"/>
    </row>
    <row r="254" spans="11:46">
      <c r="K254" s="4"/>
      <c r="L254"/>
      <c r="M254" s="16"/>
      <c r="N254"/>
      <c r="P254" s="16"/>
      <c r="Q254"/>
      <c r="S254" s="16"/>
      <c r="T254"/>
      <c r="V254" s="16"/>
      <c r="W254"/>
      <c r="Y254" s="16"/>
      <c r="Z254"/>
      <c r="AB254" s="16"/>
      <c r="AC254"/>
      <c r="AE254" s="16"/>
      <c r="AF254"/>
      <c r="AH254" s="16"/>
      <c r="AI254"/>
      <c r="AK254" s="16"/>
      <c r="AL254"/>
      <c r="AN254" s="16"/>
      <c r="AO254"/>
      <c r="AQ254" s="16"/>
      <c r="AR254"/>
      <c r="AT254" s="16"/>
    </row>
    <row r="255" spans="11:46">
      <c r="K255" s="4"/>
      <c r="L255"/>
      <c r="M255" s="16"/>
      <c r="N255"/>
      <c r="P255" s="16"/>
      <c r="Q255"/>
      <c r="S255" s="16"/>
      <c r="T255"/>
      <c r="V255" s="16"/>
      <c r="W255"/>
      <c r="Y255" s="16"/>
      <c r="Z255"/>
      <c r="AB255" s="16"/>
      <c r="AC255"/>
      <c r="AE255" s="16"/>
      <c r="AF255"/>
      <c r="AH255" s="16"/>
      <c r="AI255"/>
      <c r="AK255" s="16"/>
      <c r="AL255"/>
      <c r="AN255" s="16"/>
      <c r="AO255"/>
      <c r="AQ255" s="16"/>
      <c r="AR255"/>
      <c r="AT255" s="16"/>
    </row>
    <row r="256" spans="11:46">
      <c r="K256" s="4"/>
      <c r="L256"/>
      <c r="M256" s="16"/>
      <c r="N256"/>
      <c r="P256" s="16"/>
      <c r="Q256"/>
      <c r="S256" s="16"/>
      <c r="T256"/>
      <c r="V256" s="16"/>
      <c r="W256"/>
      <c r="Y256" s="16"/>
      <c r="Z256"/>
      <c r="AB256" s="16"/>
      <c r="AC256"/>
      <c r="AE256" s="16"/>
      <c r="AF256"/>
      <c r="AH256" s="16"/>
      <c r="AI256"/>
      <c r="AK256" s="16"/>
      <c r="AL256"/>
      <c r="AN256" s="16"/>
      <c r="AO256"/>
      <c r="AQ256" s="16"/>
      <c r="AR256"/>
      <c r="AT256" s="16"/>
    </row>
    <row r="257" spans="11:46">
      <c r="K257" s="4"/>
      <c r="L257"/>
      <c r="M257" s="16"/>
      <c r="N257"/>
      <c r="P257" s="16"/>
      <c r="Q257"/>
      <c r="S257" s="16"/>
      <c r="T257"/>
      <c r="V257" s="16"/>
      <c r="W257"/>
      <c r="Y257" s="16"/>
      <c r="Z257"/>
      <c r="AB257" s="16"/>
      <c r="AC257"/>
      <c r="AE257" s="16"/>
      <c r="AF257"/>
      <c r="AH257" s="16"/>
      <c r="AI257"/>
      <c r="AK257" s="16"/>
      <c r="AL257"/>
      <c r="AN257" s="16"/>
      <c r="AO257"/>
      <c r="AQ257" s="16"/>
      <c r="AR257"/>
      <c r="AT257" s="1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2</xdr:col>
                    <xdr:colOff>28575</xdr:colOff>
                    <xdr:row>0</xdr:row>
                    <xdr:rowOff>114300</xdr:rowOff>
                  </from>
                  <to>
                    <xdr:col>3</xdr:col>
                    <xdr:colOff>314325</xdr:colOff>
                    <xdr:row>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V80"/>
  <sheetViews>
    <sheetView tabSelected="1" topLeftCell="A73" workbookViewId="0">
      <selection activeCell="A81" sqref="A81"/>
    </sheetView>
  </sheetViews>
  <sheetFormatPr defaultRowHeight="15"/>
  <cols>
    <col min="1" max="1" width="6.140625" customWidth="1"/>
    <col min="16" max="17" width="10.140625" bestFit="1" customWidth="1"/>
    <col min="18" max="18" width="9.85546875" customWidth="1"/>
    <col min="19" max="19" width="10.140625" bestFit="1" customWidth="1"/>
  </cols>
  <sheetData>
    <row r="1" spans="1:1">
      <c r="A1" t="s">
        <v>454</v>
      </c>
    </row>
    <row r="2" spans="1:1" ht="19.5" customHeight="1"/>
    <row r="22" spans="2:22">
      <c r="B22" s="11"/>
    </row>
    <row r="24" spans="2:22">
      <c r="L24" t="s">
        <v>298</v>
      </c>
      <c r="N24" t="s">
        <v>420</v>
      </c>
      <c r="O24" t="s">
        <v>449</v>
      </c>
      <c r="R24" s="13"/>
      <c r="T24" s="3" t="s">
        <v>290</v>
      </c>
      <c r="U24" t="s">
        <v>299</v>
      </c>
    </row>
    <row r="25" spans="2:22">
      <c r="L25">
        <v>1</v>
      </c>
      <c r="M25" t="s">
        <v>430</v>
      </c>
      <c r="N25" s="29">
        <f>AVERAGEIF(Kaikki!E:E,L25,DataN)</f>
        <v>230.69736842105263</v>
      </c>
      <c r="O25" s="32">
        <f>T25</f>
        <v>892</v>
      </c>
      <c r="P25" s="13">
        <f>S25</f>
        <v>44270.625</v>
      </c>
      <c r="R25" s="13"/>
      <c r="S25" s="30">
        <f>DMAX(_xlnm.Database,"aika",T24:U25)</f>
        <v>44270.625</v>
      </c>
      <c r="T25" s="3">
        <f>DMAX(_xlnm.Database,"n",U24:U25)</f>
        <v>892</v>
      </c>
      <c r="U25">
        <v>1</v>
      </c>
      <c r="V25" s="3"/>
    </row>
    <row r="26" spans="2:22">
      <c r="L26">
        <v>2</v>
      </c>
      <c r="M26" t="s">
        <v>431</v>
      </c>
      <c r="N26" s="29">
        <f>AVERAGEIF(Kaikki!E:E,L26,DataN)</f>
        <v>198.5</v>
      </c>
      <c r="O26" s="32">
        <f>T27</f>
        <v>773</v>
      </c>
      <c r="P26" s="13">
        <f>S27</f>
        <v>44264.625</v>
      </c>
      <c r="R26" s="13"/>
      <c r="T26" s="3" t="s">
        <v>290</v>
      </c>
      <c r="U26" t="s">
        <v>299</v>
      </c>
    </row>
    <row r="27" spans="2:22">
      <c r="L27">
        <v>3</v>
      </c>
      <c r="M27" t="s">
        <v>432</v>
      </c>
      <c r="N27" s="29">
        <f>AVERAGEIF(Kaikki!E:E,L27,DataN)</f>
        <v>198.3896103896104</v>
      </c>
      <c r="O27" s="32">
        <f>T29</f>
        <v>822</v>
      </c>
      <c r="P27" s="13">
        <f>S29</f>
        <v>44265.625</v>
      </c>
      <c r="R27" s="13"/>
      <c r="S27" s="30">
        <f>DMAX(_xlnm.Database,"aika",T26:U27)</f>
        <v>44264.625</v>
      </c>
      <c r="T27" s="3">
        <f>DMAX(_xlnm.Database,"n",U26:U27)</f>
        <v>773</v>
      </c>
      <c r="U27">
        <v>2</v>
      </c>
      <c r="V27" s="3"/>
    </row>
    <row r="28" spans="2:22">
      <c r="L28">
        <v>4</v>
      </c>
      <c r="M28" t="s">
        <v>433</v>
      </c>
      <c r="N28" s="29">
        <f>AVERAGEIF(Kaikki!E:E,L28,DataN)</f>
        <v>188.37662337662337</v>
      </c>
      <c r="O28" s="32">
        <f>T31</f>
        <v>779</v>
      </c>
      <c r="P28" s="13">
        <f>S31</f>
        <v>44266.625</v>
      </c>
      <c r="R28" s="13"/>
      <c r="T28" s="3" t="s">
        <v>290</v>
      </c>
      <c r="U28" t="s">
        <v>299</v>
      </c>
    </row>
    <row r="29" spans="2:22">
      <c r="L29">
        <v>5</v>
      </c>
      <c r="M29" t="s">
        <v>434</v>
      </c>
      <c r="N29" s="29">
        <f>AVERAGEIF(Kaikki!E:E,L29,DataN)</f>
        <v>181.35064935064935</v>
      </c>
      <c r="O29" s="32">
        <f>T33</f>
        <v>808</v>
      </c>
      <c r="P29" s="13">
        <f>S33</f>
        <v>44267.625</v>
      </c>
      <c r="R29" s="13"/>
      <c r="S29" s="30">
        <f>DMAX(_xlnm.Database,"aika",T28:U29)</f>
        <v>44265.625</v>
      </c>
      <c r="T29" s="3">
        <f>DMAX(_xlnm.Database,"n",U28:U29)</f>
        <v>822</v>
      </c>
      <c r="U29">
        <v>3</v>
      </c>
      <c r="V29" s="3"/>
    </row>
    <row r="30" spans="2:22">
      <c r="L30">
        <v>6</v>
      </c>
      <c r="M30" t="s">
        <v>435</v>
      </c>
      <c r="N30" s="29">
        <f>AVERAGEIF(Kaikki!E:E,L30,DataN)</f>
        <v>113.14285714285714</v>
      </c>
      <c r="O30" s="32">
        <f>T35</f>
        <v>491</v>
      </c>
      <c r="P30" s="13">
        <f>S35</f>
        <v>44268.625</v>
      </c>
      <c r="R30" s="13"/>
      <c r="T30" s="3" t="s">
        <v>290</v>
      </c>
      <c r="U30" t="s">
        <v>299</v>
      </c>
    </row>
    <row r="31" spans="2:22">
      <c r="L31">
        <v>7</v>
      </c>
      <c r="M31" t="s">
        <v>436</v>
      </c>
      <c r="N31" s="29">
        <f>AVERAGEIF(Kaikki!E:E,L31,DataN)</f>
        <v>120.96052631578948</v>
      </c>
      <c r="O31" s="32">
        <f>T37</f>
        <v>434</v>
      </c>
      <c r="P31" s="13">
        <f>S37</f>
        <v>44269.625</v>
      </c>
      <c r="R31" s="13"/>
      <c r="S31" s="30">
        <f>DMAX(_xlnm.Database,"aika",T30:U31)</f>
        <v>44266.625</v>
      </c>
      <c r="T31" s="3">
        <f>DMAX(_xlnm.Database,"n",U30:U31)</f>
        <v>779</v>
      </c>
      <c r="U31">
        <v>4</v>
      </c>
      <c r="V31" s="3"/>
    </row>
    <row r="32" spans="2:22">
      <c r="R32" s="13"/>
      <c r="T32" s="3" t="s">
        <v>290</v>
      </c>
      <c r="U32" t="s">
        <v>299</v>
      </c>
    </row>
    <row r="33" spans="2:21">
      <c r="L33" t="s">
        <v>453</v>
      </c>
      <c r="R33" s="13"/>
      <c r="S33" s="30">
        <f>DMAX(_xlnm.Database,"aika",T32:U33)</f>
        <v>44267.625</v>
      </c>
      <c r="T33" s="3">
        <f>DMAX(_xlnm.Database,"n",U32:U33)</f>
        <v>808</v>
      </c>
      <c r="U33">
        <v>5</v>
      </c>
    </row>
    <row r="34" spans="2:21">
      <c r="R34" s="13"/>
      <c r="T34" s="3" t="s">
        <v>290</v>
      </c>
      <c r="U34" t="s">
        <v>299</v>
      </c>
    </row>
    <row r="35" spans="2:21">
      <c r="M35" t="s">
        <v>467</v>
      </c>
      <c r="N35" t="s">
        <v>468</v>
      </c>
      <c r="O35" s="3"/>
      <c r="R35" s="13"/>
      <c r="S35" s="30">
        <f>DMAX(_xlnm.Database,"aika",T34:U35)</f>
        <v>44268.625</v>
      </c>
      <c r="T35" s="3">
        <f>DMAX(_xlnm.Database,"n",U34:U35)</f>
        <v>491</v>
      </c>
      <c r="U35">
        <v>6</v>
      </c>
    </row>
    <row r="36" spans="2:21">
      <c r="M36" s="33">
        <f>MAX(Kaikki!H$2:H10000)</f>
        <v>4941</v>
      </c>
      <c r="N36" s="30">
        <f>DMAX(_xlnm.Database,"aika",M35:M36)</f>
        <v>44263.625</v>
      </c>
      <c r="O36" s="37"/>
      <c r="R36" s="13"/>
      <c r="T36" s="3" t="s">
        <v>290</v>
      </c>
      <c r="U36" t="s">
        <v>299</v>
      </c>
    </row>
    <row r="37" spans="2:21">
      <c r="R37" s="13"/>
      <c r="S37" s="30">
        <f>DMAX(_xlnm.Database,"aika",T36:U37)</f>
        <v>44269.625</v>
      </c>
      <c r="T37" s="3">
        <f>DMAX(_xlnm.Database,"n",U36:U37)</f>
        <v>434</v>
      </c>
      <c r="U37">
        <v>7</v>
      </c>
    </row>
    <row r="39" spans="2:21">
      <c r="P39" s="13"/>
    </row>
    <row r="40" spans="2:21">
      <c r="B40" t="str">
        <f ca="1">IF((Lisäys!D35-Lisäys!O35-Lisäys!F5)&lt;&gt;0," (joista vanhoja yli 28 päivän takaisia kirjauksia "&amp;(Lisäys!D35-Lisäys!O35-Lisäys!F5)&amp;")","")</f>
        <v/>
      </c>
    </row>
    <row r="41" spans="2:21">
      <c r="B41" t="str">
        <f ca="1">"Uusia COVID-19 tapauksia "&amp;TEXT(MAX(Lisäys!N:N),"[$-40B]p.k")&amp;" n="&amp;(Lisäys!D$35-Lisäys!O$35)&amp;Kuvaajat!B$40&amp;". Yhteensä N="&amp;Lisäys!D$34&amp;". Edelliset 7 päivää "&amp;Lisäys!H$28&amp;" (päivittyy), "&amp;Lisäys!H$21&amp;" (muutos "&amp;Lisäys!I$21&amp;"), "&amp;Lisäys!H$14&amp;" ("&amp;Lisäys!I$14&amp;") ja "&amp;Lisäys!H$7&amp;" https://github.com/jussivirkkala/excel/tree/master/hs-koronavirus-avoindata"</f>
        <v>Uusia COVID-19 tapauksia 19.6 n=115. Yhteensä N=94269. Edelliset 7 päivää 417 (päivittyy), 589 (muutos -20 %), 739 (-22 %) ja 946 https://github.com/jussivirkkala/excel/tree/master/hs-koronavirus-avoindata</v>
      </c>
    </row>
    <row r="58" spans="2:2">
      <c r="B58" t="str">
        <f ca="1">"Näytteenottopäivän mukaan COVID-19 tapauksia N="&amp;Lisäys!D$34&amp;". Uusimmat "&amp;TEXT(MAX(Lisäys!N:N),"p.k.vvvv")&amp;" lisäykset "&amp;(Lisäys!D$35-Lisäys!O$35)&amp;" punaisella."</f>
        <v>Näytteenottopäivän mukaan COVID-19 tapauksia N=94269. Uusimmat 19.6.2021 lisäykset 115 punaisella.</v>
      </c>
    </row>
    <row r="59" spans="2:2">
      <c r="B59" t="str">
        <f ca="1">"Uusia COVID-19 tapauksia "&amp;TEXT(MAX(Lisäys!N:N),"p.k.vvvv")&amp;" n="&amp;(Lisäys!D$35-Lisäys!O$35)&amp;Kuvaajat!B$40&amp;". Yhteensä N="&amp;Lisäys!D$34&amp;". Melko pysyvät 7 päivää "&amp;TEXT(Lisäys!C25,"p.k")&amp;"-"&amp;TEXT(Lisäys!C31,"p.k")&amp;" yhteensä "&amp;Lisäys!K$25&amp;" (muutos "&amp;Lisäys!L25&amp;"), aiemmat 7 päivää "&amp;Lisäys!K$18&amp;" ("&amp;Lisäys!L$18&amp;") ja "&amp;Lisäys!K$11&amp;" https://github.com/jussivirkkala/excel/tree/master/hs-koronavirus-avoindata"</f>
        <v>Uusia COVID-19 tapauksia 19.6.2021 n=115. Yhteensä N=94269. Melko pysyvät 7 päivää 9.6-15.6 yhteensä 485 (muutos -30 %), aiemmat 7 päivää 691 (-15 %) ja 814 https://github.com/jussivirkkala/excel/tree/master/hs-koronavirus-avoindata</v>
      </c>
    </row>
    <row r="80" spans="2:2" ht="18.75">
      <c r="B80" s="23" t="str">
        <f>" COVID-19 tapauksia 7 päivän välein "&amp;TEXT(Lisäys!B73,"p.k.vvvv")&amp;" saakka (- uusin ... vanhin)."</f>
        <v xml:space="preserve"> COVID-19 tapauksia 7 päivän välein 15.6.2021 saakka (- uusin ... vanhin).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UpdateDialog">
                <anchor moveWithCells="1" sizeWithCells="1">
                  <from>
                    <xdr:col>1</xdr:col>
                    <xdr:colOff>104775</xdr:colOff>
                    <xdr:row>1</xdr:row>
                    <xdr:rowOff>76200</xdr:rowOff>
                  </from>
                  <to>
                    <xdr:col>2</xdr:col>
                    <xdr:colOff>447675</xdr:colOff>
                    <xdr:row>3</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Ohje</vt:lpstr>
      <vt:lpstr>Tested</vt:lpstr>
      <vt:lpstr>Kaikki</vt:lpstr>
      <vt:lpstr>HUS</vt:lpstr>
      <vt:lpstr>Vertailu</vt:lpstr>
      <vt:lpstr>Lisäys</vt:lpstr>
      <vt:lpstr>Kuvaajat</vt:lpstr>
      <vt:lpstr>aika</vt:lpstr>
      <vt:lpstr>Database</vt:lpstr>
      <vt:lpstr>DataN</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2021-06-19T14:17:45Z</dcterms:modified>
</cp:coreProperties>
</file>