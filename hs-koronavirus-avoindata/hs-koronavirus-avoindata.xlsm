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ctrlProps/ctrlProp2.xml" ContentType="application/vnd.ms-excel.controlpropertie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231" codeName="{4470D2CD-2249-CD33-4A35-6F278624656F}"/>
  <workbookPr codeName="ThisWorkbook" defaultThemeVersion="166925"/>
  <mc:AlternateContent xmlns:mc="http://schemas.openxmlformats.org/markup-compatibility/2006">
    <mc:Choice Requires="x15">
      <x15ac:absPath xmlns:x15ac="http://schemas.microsoft.com/office/spreadsheetml/2010/11/ac" url="C:\Users\jussi\OneDrive\Projects\Covid-2019\excel-github\hs-koronavirus-avoindata\"/>
    </mc:Choice>
  </mc:AlternateContent>
  <xr:revisionPtr revIDLastSave="0" documentId="13_ncr:1_{4915026C-50CB-4F9B-A8B9-595A075502A2}" xr6:coauthVersionLast="45" xr6:coauthVersionMax="45" xr10:uidLastSave="{00000000-0000-0000-0000-000000000000}"/>
  <bookViews>
    <workbookView xWindow="831" yWindow="-103" windowWidth="21215" windowHeight="12549" activeTab="2" xr2:uid="{82C78EB1-05E2-4CA6-8C68-96C547AF1CC6}"/>
  </bookViews>
  <sheets>
    <sheet name="Ohje" sheetId="3" r:id="rId1"/>
    <sheet name="Data" sheetId="1" r:id="rId2"/>
    <sheet name="Kuvaajat" sheetId="2" r:id="rId3"/>
  </sheets>
  <definedNames>
    <definedName name="_xlnm._FilterDatabase" localSheetId="1" hidden="1">Data!$A$1:$F$281</definedName>
    <definedName name="aika">Data!$F:$F</definedName>
    <definedName name="alue">Data!$C:$C</definedName>
    <definedName name="_xlnm.database">Data!$A:$F</definedName>
    <definedName name="Id">Data!$A:$A</definedName>
    <definedName name="maa">Data!$D:$D</definedName>
    <definedName name="Paivitetty">Data!$I$1</definedName>
    <definedName name="Plot">Data!$A$2:OFFSET(Data!$A$2,Data!$M$1,0)</definedName>
    <definedName name="Previous">Kuvaajat!$M$37:$O$65</definedName>
    <definedName name="Tapauksia">Data!$H$1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Z67" i="2" l="1"/>
  <c r="AW67" i="2"/>
  <c r="AT67" i="2" l="1"/>
  <c r="AQ67" i="2"/>
  <c r="M1" i="1" l="1"/>
  <c r="AN67" i="2" l="1"/>
  <c r="AK67" i="2"/>
  <c r="AB67" i="2"/>
  <c r="AH67" i="2" l="1"/>
  <c r="AE67" i="2"/>
  <c r="P67" i="2" l="1"/>
  <c r="Y67" i="2" l="1"/>
  <c r="V67" i="2" l="1"/>
  <c r="E3" i="1" l="1"/>
  <c r="E4" i="1"/>
  <c r="E5" i="1"/>
  <c r="E6" i="1"/>
  <c r="E7" i="1"/>
  <c r="E8" i="1"/>
  <c r="E9" i="1"/>
  <c r="E10" i="1"/>
  <c r="E11" i="1"/>
  <c r="E12" i="1"/>
  <c r="E13" i="1"/>
  <c r="E14" i="1"/>
  <c r="E15" i="1"/>
  <c r="E16" i="1"/>
  <c r="E17" i="1"/>
  <c r="E18" i="1"/>
  <c r="E19" i="1"/>
  <c r="E20" i="1"/>
  <c r="E21" i="1"/>
  <c r="E22" i="1"/>
  <c r="E23" i="1"/>
  <c r="E24" i="1"/>
  <c r="E25" i="1"/>
  <c r="E26" i="1"/>
  <c r="E27" i="1"/>
  <c r="E28" i="1"/>
  <c r="E29" i="1"/>
  <c r="E30" i="1"/>
  <c r="E31" i="1"/>
  <c r="E32" i="1"/>
  <c r="E33" i="1"/>
  <c r="E34" i="1"/>
  <c r="E35" i="1"/>
  <c r="E36" i="1"/>
  <c r="E37" i="1"/>
  <c r="E38" i="1"/>
  <c r="E39" i="1"/>
  <c r="E40" i="1"/>
  <c r="E41" i="1"/>
  <c r="E42" i="1"/>
  <c r="E43" i="1"/>
  <c r="E44" i="1"/>
  <c r="E45" i="1"/>
  <c r="E46" i="1"/>
  <c r="E47" i="1"/>
  <c r="E48" i="1"/>
  <c r="E49" i="1"/>
  <c r="E50" i="1"/>
  <c r="E51" i="1"/>
  <c r="E52" i="1"/>
  <c r="E53" i="1"/>
  <c r="E54" i="1"/>
  <c r="E55" i="1"/>
  <c r="E56" i="1"/>
  <c r="E57" i="1"/>
  <c r="E58" i="1"/>
  <c r="E59" i="1"/>
  <c r="E60" i="1"/>
  <c r="E61" i="1"/>
  <c r="E62" i="1"/>
  <c r="E63" i="1"/>
  <c r="E64" i="1"/>
  <c r="E65" i="1"/>
  <c r="E66" i="1"/>
  <c r="E67" i="1"/>
  <c r="E68" i="1"/>
  <c r="E69" i="1"/>
  <c r="E70" i="1"/>
  <c r="E71" i="1"/>
  <c r="E72" i="1"/>
  <c r="E73" i="1"/>
  <c r="E74" i="1"/>
  <c r="E75" i="1"/>
  <c r="E76" i="1"/>
  <c r="E77" i="1"/>
  <c r="E78" i="1"/>
  <c r="E79" i="1"/>
  <c r="E80" i="1"/>
  <c r="E81" i="1"/>
  <c r="E82" i="1"/>
  <c r="E83" i="1"/>
  <c r="E84" i="1"/>
  <c r="E85" i="1"/>
  <c r="E86" i="1"/>
  <c r="E87" i="1"/>
  <c r="E88" i="1"/>
  <c r="E89" i="1"/>
  <c r="E90" i="1"/>
  <c r="E91" i="1"/>
  <c r="E92" i="1"/>
  <c r="E93" i="1"/>
  <c r="E94" i="1"/>
  <c r="E95" i="1"/>
  <c r="E96" i="1"/>
  <c r="E97" i="1"/>
  <c r="E98" i="1"/>
  <c r="E99" i="1"/>
  <c r="E100" i="1"/>
  <c r="E101" i="1"/>
  <c r="E102" i="1"/>
  <c r="E103" i="1"/>
  <c r="E104" i="1"/>
  <c r="E105" i="1"/>
  <c r="E106" i="1"/>
  <c r="E107" i="1"/>
  <c r="E108" i="1"/>
  <c r="E109" i="1"/>
  <c r="E110" i="1"/>
  <c r="E111" i="1"/>
  <c r="E112" i="1"/>
  <c r="E113" i="1"/>
  <c r="E114" i="1"/>
  <c r="E115" i="1"/>
  <c r="E116" i="1"/>
  <c r="E117" i="1"/>
  <c r="E118" i="1"/>
  <c r="E119" i="1"/>
  <c r="E120" i="1"/>
  <c r="E121" i="1"/>
  <c r="E122" i="1"/>
  <c r="E123" i="1"/>
  <c r="E124" i="1"/>
  <c r="E125" i="1"/>
  <c r="E126" i="1"/>
  <c r="E127" i="1"/>
  <c r="E128" i="1"/>
  <c r="E129" i="1"/>
  <c r="E130" i="1"/>
  <c r="E131" i="1"/>
  <c r="E132" i="1"/>
  <c r="E133" i="1"/>
  <c r="E134" i="1"/>
  <c r="E135" i="1"/>
  <c r="E136" i="1"/>
  <c r="E137" i="1"/>
  <c r="E138" i="1"/>
  <c r="E139" i="1"/>
  <c r="E140" i="1"/>
  <c r="E141" i="1"/>
  <c r="E142" i="1"/>
  <c r="E143" i="1"/>
  <c r="E144" i="1"/>
  <c r="E145" i="1"/>
  <c r="E146" i="1"/>
  <c r="E147" i="1"/>
  <c r="E148" i="1"/>
  <c r="E149" i="1"/>
  <c r="E150" i="1"/>
  <c r="E151" i="1"/>
  <c r="E152" i="1"/>
  <c r="E153" i="1"/>
  <c r="E154" i="1"/>
  <c r="E155" i="1"/>
  <c r="E156" i="1"/>
  <c r="E157" i="1"/>
  <c r="E158" i="1"/>
  <c r="E159" i="1"/>
  <c r="E160" i="1"/>
  <c r="E161" i="1"/>
  <c r="E162" i="1"/>
  <c r="E163" i="1"/>
  <c r="E164" i="1"/>
  <c r="E165" i="1"/>
  <c r="E166" i="1"/>
  <c r="E167" i="1"/>
  <c r="E168" i="1"/>
  <c r="E169" i="1"/>
  <c r="E170" i="1"/>
  <c r="E171" i="1"/>
  <c r="E172" i="1"/>
  <c r="E173" i="1"/>
  <c r="E174" i="1"/>
  <c r="E175" i="1"/>
  <c r="E176" i="1"/>
  <c r="E177" i="1"/>
  <c r="E178" i="1"/>
  <c r="E179" i="1"/>
  <c r="E180" i="1"/>
  <c r="E181" i="1"/>
  <c r="E182" i="1"/>
  <c r="E183" i="1"/>
  <c r="E184" i="1"/>
  <c r="E185" i="1"/>
  <c r="E186" i="1"/>
  <c r="E187" i="1"/>
  <c r="E188" i="1"/>
  <c r="E189" i="1"/>
  <c r="E190" i="1"/>
  <c r="E191" i="1"/>
  <c r="E192" i="1"/>
  <c r="E193" i="1"/>
  <c r="E194" i="1"/>
  <c r="E195" i="1"/>
  <c r="E196" i="1"/>
  <c r="E197" i="1"/>
  <c r="E198" i="1"/>
  <c r="E199" i="1"/>
  <c r="E200" i="1"/>
  <c r="E201" i="1"/>
  <c r="E202" i="1"/>
  <c r="E203" i="1"/>
  <c r="E204" i="1"/>
  <c r="E205" i="1"/>
  <c r="E206" i="1"/>
  <c r="E207" i="1"/>
  <c r="E208" i="1"/>
  <c r="E209" i="1"/>
  <c r="E210" i="1"/>
  <c r="E211" i="1"/>
  <c r="E212" i="1"/>
  <c r="E213" i="1"/>
  <c r="E214" i="1"/>
  <c r="E215" i="1"/>
  <c r="E216" i="1"/>
  <c r="E217" i="1"/>
  <c r="E218" i="1"/>
  <c r="E219" i="1"/>
  <c r="E220" i="1"/>
  <c r="E221" i="1"/>
  <c r="E222" i="1"/>
  <c r="E223" i="1"/>
  <c r="E224" i="1"/>
  <c r="E225" i="1"/>
  <c r="E226" i="1"/>
  <c r="E227" i="1"/>
  <c r="E228" i="1"/>
  <c r="E229" i="1"/>
  <c r="E230" i="1"/>
  <c r="E231" i="1"/>
  <c r="E232" i="1"/>
  <c r="E233" i="1"/>
  <c r="E234" i="1"/>
  <c r="E235" i="1"/>
  <c r="E236" i="1"/>
  <c r="E237" i="1"/>
  <c r="E238" i="1"/>
  <c r="E239" i="1"/>
  <c r="E240" i="1"/>
  <c r="E241" i="1"/>
  <c r="E242" i="1"/>
  <c r="E243" i="1"/>
  <c r="E244" i="1"/>
  <c r="E245" i="1"/>
  <c r="E246" i="1"/>
  <c r="E247" i="1"/>
  <c r="E248" i="1"/>
  <c r="E249" i="1"/>
  <c r="E250" i="1"/>
  <c r="E251" i="1"/>
  <c r="E252" i="1"/>
  <c r="E253" i="1"/>
  <c r="E254" i="1"/>
  <c r="E255" i="1"/>
  <c r="E256" i="1"/>
  <c r="E257" i="1"/>
  <c r="E258" i="1"/>
  <c r="E259" i="1"/>
  <c r="E260" i="1"/>
  <c r="E261" i="1"/>
  <c r="E262" i="1"/>
  <c r="E263" i="1"/>
  <c r="E264" i="1"/>
  <c r="E265" i="1"/>
  <c r="E266" i="1"/>
  <c r="E267" i="1"/>
  <c r="E268" i="1"/>
  <c r="E269" i="1"/>
  <c r="E270" i="1"/>
  <c r="E271" i="1"/>
  <c r="E272" i="1"/>
  <c r="E273" i="1"/>
  <c r="E274" i="1"/>
  <c r="E275" i="1"/>
  <c r="E276" i="1"/>
  <c r="E277" i="1"/>
  <c r="E278" i="1"/>
  <c r="E279" i="1"/>
  <c r="E280" i="1"/>
  <c r="E281" i="1"/>
  <c r="E282" i="1"/>
  <c r="E283" i="1"/>
  <c r="E284" i="1"/>
  <c r="E285" i="1"/>
  <c r="E2" i="1"/>
  <c r="K36" i="1" l="1"/>
  <c r="K31" i="1"/>
  <c r="K33" i="1"/>
  <c r="K30" i="1"/>
  <c r="K34" i="1"/>
  <c r="K35" i="1"/>
  <c r="K32" i="1"/>
  <c r="J1" i="1" l="1"/>
  <c r="K1" i="1" l="1"/>
  <c r="L1" i="1" s="1"/>
  <c r="H1" i="1"/>
  <c r="B65" i="2" l="1"/>
  <c r="A65" i="2" s="1"/>
  <c r="C65" i="2" l="1"/>
  <c r="F65" i="2"/>
  <c r="L65" i="2" l="1"/>
  <c r="A33" i="2" s="1"/>
  <c r="B64" i="2"/>
  <c r="A64" i="2" s="1"/>
  <c r="C64" i="2" l="1"/>
  <c r="F64" i="2"/>
  <c r="B63" i="2"/>
  <c r="A63" i="2" s="1"/>
  <c r="F63" i="2" l="1"/>
  <c r="C63" i="2"/>
  <c r="B62" i="2"/>
  <c r="A62" i="2" s="1"/>
  <c r="F62" i="2" l="1"/>
  <c r="C62" i="2"/>
  <c r="B61" i="2"/>
  <c r="A61" i="2" s="1"/>
  <c r="F61" i="2" l="1"/>
  <c r="C61" i="2"/>
  <c r="B60" i="2"/>
  <c r="A60" i="2" s="1"/>
  <c r="F60" i="2" l="1"/>
  <c r="C60" i="2"/>
  <c r="B59" i="2"/>
  <c r="A59" i="2" s="1"/>
  <c r="F59" i="2" l="1"/>
  <c r="C59" i="2"/>
  <c r="B58" i="2"/>
  <c r="A58" i="2" s="1"/>
  <c r="F58" i="2" l="1"/>
  <c r="C58" i="2"/>
  <c r="B57" i="2"/>
  <c r="A57" i="2" s="1"/>
  <c r="D63" i="2"/>
  <c r="E63" i="2" s="1"/>
  <c r="F57" i="2" l="1"/>
  <c r="C57" i="2"/>
  <c r="D58" i="2" s="1"/>
  <c r="B56" i="2"/>
  <c r="A56" i="2" s="1"/>
  <c r="D60" i="2"/>
  <c r="E60" i="2" s="1"/>
  <c r="D61" i="2"/>
  <c r="E61" i="2" s="1"/>
  <c r="D59" i="2"/>
  <c r="E59" i="2" s="1"/>
  <c r="D64" i="2"/>
  <c r="E64" i="2" s="1"/>
  <c r="D62" i="2"/>
  <c r="E62" i="2" s="1"/>
  <c r="D65" i="2"/>
  <c r="E65" i="2" s="1"/>
  <c r="G58" i="2" l="1"/>
  <c r="E58" i="2"/>
  <c r="F56" i="2"/>
  <c r="C56" i="2"/>
  <c r="D57" i="2" s="1"/>
  <c r="E57" i="2" s="1"/>
  <c r="B55" i="2"/>
  <c r="A55" i="2" s="1"/>
  <c r="F55" i="2" l="1"/>
  <c r="C55" i="2"/>
  <c r="D56" i="2" s="1"/>
  <c r="E56" i="2" s="1"/>
  <c r="B54" i="2"/>
  <c r="A54" i="2" s="1"/>
  <c r="F54" i="2" l="1"/>
  <c r="C54" i="2"/>
  <c r="D55" i="2" s="1"/>
  <c r="E55" i="2" s="1"/>
  <c r="B53" i="2"/>
  <c r="A53" i="2" s="1"/>
  <c r="F53" i="2" l="1"/>
  <c r="C53" i="2"/>
  <c r="D54" i="2" s="1"/>
  <c r="E54" i="2" s="1"/>
  <c r="B52" i="2"/>
  <c r="A52" i="2" s="1"/>
  <c r="F52" i="2" l="1"/>
  <c r="C52" i="2"/>
  <c r="D53" i="2" s="1"/>
  <c r="E53" i="2" s="1"/>
  <c r="B51" i="2"/>
  <c r="A51" i="2" s="1"/>
  <c r="F51" i="2" l="1"/>
  <c r="C51" i="2"/>
  <c r="D52" i="2" s="1"/>
  <c r="E52" i="2" s="1"/>
  <c r="B50" i="2"/>
  <c r="A50" i="2" l="1"/>
  <c r="F50" i="2"/>
  <c r="C50" i="2"/>
  <c r="D51" i="2" s="1"/>
  <c r="G51" i="2" s="1"/>
  <c r="B49" i="2"/>
  <c r="A49" i="2" s="1"/>
  <c r="E51" i="2" l="1"/>
  <c r="I51" i="2"/>
  <c r="F49" i="2"/>
  <c r="C49" i="2"/>
  <c r="D50" i="2" s="1"/>
  <c r="E50" i="2" s="1"/>
  <c r="B48" i="2"/>
  <c r="A48" i="2" s="1"/>
  <c r="F48" i="2" l="1"/>
  <c r="C48" i="2"/>
  <c r="D49" i="2" s="1"/>
  <c r="E49" i="2" s="1"/>
  <c r="B47" i="2"/>
  <c r="A47" i="2" s="1"/>
  <c r="F47" i="2" l="1"/>
  <c r="C47" i="2"/>
  <c r="D48" i="2" s="1"/>
  <c r="E48" i="2" s="1"/>
  <c r="B46" i="2"/>
  <c r="A46" i="2" s="1"/>
  <c r="F46" i="2" l="1"/>
  <c r="C46" i="2"/>
  <c r="D47" i="2" s="1"/>
  <c r="E47" i="2" s="1"/>
  <c r="B45" i="2"/>
  <c r="A45" i="2" s="1"/>
  <c r="F45" i="2" l="1"/>
  <c r="C45" i="2"/>
  <c r="D46" i="2" s="1"/>
  <c r="E46" i="2" s="1"/>
  <c r="B44" i="2"/>
  <c r="A44" i="2" s="1"/>
  <c r="F44" i="2" l="1"/>
  <c r="C44" i="2"/>
  <c r="D45" i="2" s="1"/>
  <c r="E45" i="2" s="1"/>
  <c r="B43" i="2"/>
  <c r="A43" i="2" s="1"/>
  <c r="F43" i="2" l="1"/>
  <c r="C43" i="2"/>
  <c r="D44" i="2" s="1"/>
  <c r="G44" i="2" s="1"/>
  <c r="B42" i="2"/>
  <c r="A42" i="2" s="1"/>
  <c r="E44" i="2" l="1"/>
  <c r="I44" i="2"/>
  <c r="F42" i="2"/>
  <c r="C42" i="2"/>
  <c r="D43" i="2" s="1"/>
  <c r="E43" i="2" s="1"/>
  <c r="B41" i="2"/>
  <c r="A41" i="2" s="1"/>
  <c r="H51" i="2" l="1"/>
  <c r="F41" i="2"/>
  <c r="C41" i="2"/>
  <c r="D42" i="2" s="1"/>
  <c r="E42" i="2" s="1"/>
  <c r="B40" i="2"/>
  <c r="A40" i="2" s="1"/>
  <c r="F40" i="2" l="1"/>
  <c r="C40" i="2"/>
  <c r="D41" i="2" s="1"/>
  <c r="E41" i="2" s="1"/>
  <c r="B39" i="2"/>
  <c r="A39" i="2" s="1"/>
  <c r="F39" i="2" l="1"/>
  <c r="C39" i="2"/>
  <c r="D40" i="2" s="1"/>
  <c r="E40" i="2" s="1"/>
  <c r="B38" i="2"/>
  <c r="A38" i="2" s="1"/>
  <c r="F38" i="2" l="1"/>
  <c r="C38" i="2"/>
  <c r="D39" i="2" s="1"/>
  <c r="E39" i="2" s="1"/>
  <c r="B37" i="2"/>
  <c r="A37" i="2" l="1"/>
  <c r="F37" i="2"/>
  <c r="C37" i="2"/>
  <c r="D38" i="2" s="1"/>
  <c r="E38" i="2" s="1"/>
  <c r="B36" i="2"/>
  <c r="C36" i="2" l="1"/>
  <c r="D37" i="2" s="1"/>
  <c r="A36" i="2"/>
  <c r="I37" i="2" l="1"/>
  <c r="G37" i="2"/>
  <c r="H44" i="2" s="1"/>
  <c r="E37" i="2"/>
  <c r="E35" i="2" s="1"/>
  <c r="A31" i="2" l="1"/>
</calcChain>
</file>

<file path=xl/sharedStrings.xml><?xml version="1.0" encoding="utf-8"?>
<sst xmlns="http://schemas.openxmlformats.org/spreadsheetml/2006/main" count="618" uniqueCount="324">
  <si>
    <t>Tapauksia</t>
  </si>
  <si>
    <t>date</t>
  </si>
  <si>
    <t>https://twitter.com/jussivirkkala</t>
  </si>
  <si>
    <t>https://github.com/HS-Datadesk/koronavirus-avoindata</t>
  </si>
  <si>
    <t>https://github.com/jussivirkkala/excel/</t>
  </si>
  <si>
    <t>Päivä</t>
  </si>
  <si>
    <t>Uusia</t>
  </si>
  <si>
    <t>aika</t>
  </si>
  <si>
    <t>Kaikki sairaanhoitopiirit</t>
  </si>
  <si>
    <t>alue</t>
  </si>
  <si>
    <t>Hakee HS datasta Korona tapaukset. Tietojen hakuun makrot ovat oltava sallittu. Makrot eivät toimi puhelimessa, iPad, Chromebook eikä Mac. Data vällehdellä on haettu data. Kellonajat UTC. Muilla välilehdellä on esimerkkejä tilastoista, visualisoinneista.</t>
  </si>
  <si>
    <t>2020-01-28T15:00:00.000Z</t>
  </si>
  <si>
    <t>2020-02-10T15:00:00.000Z</t>
  </si>
  <si>
    <t>2020-02-22T15:00:00.000Z</t>
  </si>
  <si>
    <t>2020-02-25T15:00:00.000Z</t>
  </si>
  <si>
    <t>2020-02-27T15:00:00.000Z</t>
  </si>
  <si>
    <t>2020-02-28T15:00:00.000Z</t>
  </si>
  <si>
    <t>2020-02-29T15:00:00.000Z</t>
  </si>
  <si>
    <t>2020-03-01T15:00:00.000Z</t>
  </si>
  <si>
    <t>2020-03-03T15:00:00.000Z</t>
  </si>
  <si>
    <t>2020-03-04T15:00:00.000Z</t>
  </si>
  <si>
    <t>2020-03-05T15:00:00.000Z</t>
  </si>
  <si>
    <t>2020-03-06T15:00:00.000Z</t>
  </si>
  <si>
    <t>2020-03-07T15:00:00.000Z</t>
  </si>
  <si>
    <t>2020-03-08T15:00:00.000Z</t>
  </si>
  <si>
    <t>2020-03-09T15:00:00.000Z</t>
  </si>
  <si>
    <t>2020-03-10T15:00:00.000Z</t>
  </si>
  <si>
    <t>2020-03-11T15:00:00.000Z</t>
  </si>
  <si>
    <t>2020-03-12T15:00:00.000Z</t>
  </si>
  <si>
    <t>2020-03-13T15:00:00.000Z</t>
  </si>
  <si>
    <t>2020-03-14T15:00:00.000Z</t>
  </si>
  <si>
    <t>2020-03-15T15:00:00.000Z</t>
  </si>
  <si>
    <t>2020-03-16T15:00:00.000Z</t>
  </si>
  <si>
    <t>2020-03-17T15:00:00.000Z</t>
  </si>
  <si>
    <t>2020-03-18T15:00:00.000Z</t>
  </si>
  <si>
    <t>2020-03-19T15:00:00.000Z</t>
  </si>
  <si>
    <t>2020-03-20T15:00:00.000Z</t>
  </si>
  <si>
    <t>2020-03-21T15:00:00.000Z</t>
  </si>
  <si>
    <t>2020-03-22T15:00:00.000Z</t>
  </si>
  <si>
    <t>2020-03-23T15:00:00.000Z</t>
  </si>
  <si>
    <t>2020-03-24T15:00:00.000Z</t>
  </si>
  <si>
    <t>2020-03-25T15:00:00.000Z</t>
  </si>
  <si>
    <t>2020-03-26T15:00:00.000Z</t>
  </si>
  <si>
    <t>2020-03-27T15:00:00.000Z</t>
  </si>
  <si>
    <t>2020-03-28T15:00:00.000Z</t>
  </si>
  <si>
    <t>2020-03-29T15:00:00.000Z</t>
  </si>
  <si>
    <t>2020-03-30T15:00:00.000Z</t>
  </si>
  <si>
    <t>2020-03-31T15:00:00.000Z</t>
  </si>
  <si>
    <t>2020-04-01T15:00:00.000Z</t>
  </si>
  <si>
    <t>2020-04-02T15:00:00.000Z</t>
  </si>
  <si>
    <t>2020-04-03T15:00:00.000Z</t>
  </si>
  <si>
    <t>2020-04-04T15:00:00.000Z</t>
  </si>
  <si>
    <t>2020-04-05T15:00:00.000Z</t>
  </si>
  <si>
    <t>2020-04-06T15:00:00.000Z</t>
  </si>
  <si>
    <t>2020-04-07T15:00:00.000Z</t>
  </si>
  <si>
    <t>2020-04-08T15:00:00.000Z</t>
  </si>
  <si>
    <t>2020-04-09T15:00:00.000Z</t>
  </si>
  <si>
    <t>2020-04-10T15:00:00.000Z</t>
  </si>
  <si>
    <t>2020-04-11T15:00:00.000Z</t>
  </si>
  <si>
    <t>2020-04-12T15:00:00.000Z</t>
  </si>
  <si>
    <t>2020-04-13T15:00:00.000Z</t>
  </si>
  <si>
    <t>2020-04-14T15:00:00.000Z</t>
  </si>
  <si>
    <t>2020-04-15T15:00:00.000Z</t>
  </si>
  <si>
    <t>2020-04-16T15:00:00.000Z</t>
  </si>
  <si>
    <t>2020-04-17T15:00:00.000Z</t>
  </si>
  <si>
    <t>2020-04-18T15:00:00.000Z</t>
  </si>
  <si>
    <t>2020-04-19T15:00:00.000Z</t>
  </si>
  <si>
    <t>2020-04-20T15:00:00.000Z</t>
  </si>
  <si>
    <t>2020-04-21T15:00:00.000Z</t>
  </si>
  <si>
    <t>2020-04-22T15:00:00.000Z</t>
  </si>
  <si>
    <t>2020-04-23T15:00:00.000Z</t>
  </si>
  <si>
    <t>2020-04-24T15:00:00.000Z</t>
  </si>
  <si>
    <t>2020-04-25T15:00:00.000Z</t>
  </si>
  <si>
    <t>2020-04-26T15:00:00.000Z</t>
  </si>
  <si>
    <t>2020-04-27T15:00:00.000Z</t>
  </si>
  <si>
    <t>2020-04-28T15:00:00.000Z</t>
  </si>
  <si>
    <t>2020-04-29T15:00:00.000Z</t>
  </si>
  <si>
    <t>2020-04-30T15:00:00.000Z</t>
  </si>
  <si>
    <t>2020-05-01T15:00:00.000Z</t>
  </si>
  <si>
    <t>2020-05-02T15:00:00.000Z</t>
  </si>
  <si>
    <t>2020-05-03T15:00:00.000Z</t>
  </si>
  <si>
    <t>2020-05-04T15:00:00.000Z</t>
  </si>
  <si>
    <t>2020-05-05T15:00:00.000Z</t>
  </si>
  <si>
    <t>2020-05-06T15:00:00.000Z</t>
  </si>
  <si>
    <t>2020-05-07T15:00:00.000Z</t>
  </si>
  <si>
    <t>2020-05-08T15:00:00.000Z</t>
  </si>
  <si>
    <t>2020-05-09T15:00:00.000Z</t>
  </si>
  <si>
    <t>2020-05-10T15:00:00.000Z</t>
  </si>
  <si>
    <t>2020-05-11T15:00:00.000Z</t>
  </si>
  <si>
    <t>2020-05-12T15:00:00.000Z</t>
  </si>
  <si>
    <t>2020-05-13T15:00:00.000Z</t>
  </si>
  <si>
    <t>2020-05-14T15:00:00.000Z</t>
  </si>
  <si>
    <t>2020-05-15T15:00:00.000Z</t>
  </si>
  <si>
    <t>2020-05-16T15:00:00.000Z</t>
  </si>
  <si>
    <t>2020-05-17T15:00:00.000Z</t>
  </si>
  <si>
    <t>2020-05-18T15:00:00.000Z</t>
  </si>
  <si>
    <t>2020-05-19T15:00:00.000Z</t>
  </si>
  <si>
    <t>2020-05-20T15:00:00.000Z</t>
  </si>
  <si>
    <t>2020-05-21T15:00:00.000Z</t>
  </si>
  <si>
    <t>2020-05-22T15:00:00.000Z</t>
  </si>
  <si>
    <t>2020-05-23T15:00:00.000Z</t>
  </si>
  <si>
    <t>2020-05-24T15:00:00.000Z</t>
  </si>
  <si>
    <t>2020-05-25T15:00:00.000Z</t>
  </si>
  <si>
    <t>2020-05-26T15:00:00.000Z</t>
  </si>
  <si>
    <t>2020-05-27T15:00:00.000Z</t>
  </si>
  <si>
    <t>2020-05-28T15:00:00.000Z</t>
  </si>
  <si>
    <t>2020-05-29T15:00:00.000Z</t>
  </si>
  <si>
    <t>2020-05-30T15:00:00.000Z</t>
  </si>
  <si>
    <t>2020-05-31T15:00:00.000Z</t>
  </si>
  <si>
    <t>2020-06-01T15:00:00.000Z</t>
  </si>
  <si>
    <t>2020-06-02T15:00:00.000Z</t>
  </si>
  <si>
    <t>2020-06-03T15:00:00.000Z</t>
  </si>
  <si>
    <t>2020-06-04T15:00:00.000Z</t>
  </si>
  <si>
    <t>2020-06-05T15:00:00.000Z</t>
  </si>
  <si>
    <t>2020-06-06T15:00:00.000Z</t>
  </si>
  <si>
    <t>2020-06-07T15:00:00.000Z</t>
  </si>
  <si>
    <t>2020-06-08T15:00:00.000Z</t>
  </si>
  <si>
    <t>2020-06-09T15:00:00.000Z</t>
  </si>
  <si>
    <t>2020-06-10T15:00:00.000Z</t>
  </si>
  <si>
    <t>2020-06-11T15:00:00.000Z</t>
  </si>
  <si>
    <t>2020-06-12T15:00:00.000Z</t>
  </si>
  <si>
    <t>2020-06-13T15:00:00.000Z</t>
  </si>
  <si>
    <t>2020-06-14T15:00:00.000Z</t>
  </si>
  <si>
    <t>2020-06-15T15:00:00.000Z</t>
  </si>
  <si>
    <t>2020-06-16T15:00:00.000Z</t>
  </si>
  <si>
    <t>2020-06-17T15:00:00.000Z</t>
  </si>
  <si>
    <t>2020-06-18T15:00:00.000Z</t>
  </si>
  <si>
    <t>2020-06-20T15:00:00.000Z</t>
  </si>
  <si>
    <t>2020-06-21T15:00:00.000Z</t>
  </si>
  <si>
    <t>2020-06-22T15:00:00.000Z</t>
  </si>
  <si>
    <t>2020-06-23T15:00:00.000Z</t>
  </si>
  <si>
    <t>2020-06-24T15:00:00.000Z</t>
  </si>
  <si>
    <t>2020-06-25T15:00:00.000Z</t>
  </si>
  <si>
    <t>2020-06-26T15:00:00.000Z</t>
  </si>
  <si>
    <t>2020-06-27T15:00:00.000Z</t>
  </si>
  <si>
    <t>2020-06-28T15:00:00.000Z</t>
  </si>
  <si>
    <t>2020-06-29T15:00:00.000Z</t>
  </si>
  <si>
    <t>2020-06-30T15:00:00.000Z</t>
  </si>
  <si>
    <t>2020-07-01T15:00:00.000Z</t>
  </si>
  <si>
    <t>2020-07-02T15:00:00.000Z</t>
  </si>
  <si>
    <t>2020-07-03T15:00:00.000Z</t>
  </si>
  <si>
    <t>2020-07-04T15:00:00.000Z</t>
  </si>
  <si>
    <t>2020-07-05T15:00:00.000Z</t>
  </si>
  <si>
    <t>2020-07-06T15:00:00.000Z</t>
  </si>
  <si>
    <t>2020-07-07T15:00:00.000Z</t>
  </si>
  <si>
    <t>2020-07-08T15:00:00.000Z</t>
  </si>
  <si>
    <t>2020-07-09T15:00:00.000Z</t>
  </si>
  <si>
    <t>2020-07-10T15:00:00.000Z</t>
  </si>
  <si>
    <t>2020-07-12T15:00:00.000Z</t>
  </si>
  <si>
    <t>2020-07-13T15:00:00.000Z</t>
  </si>
  <si>
    <t>2020-07-14T15:00:00.000Z</t>
  </si>
  <si>
    <t>2020-07-15T15:00:00.000Z</t>
  </si>
  <si>
    <t>2020-07-16T15:00:00.000Z</t>
  </si>
  <si>
    <t>2020-07-17T15:00:00.000Z</t>
  </si>
  <si>
    <t>2020-07-18T15:00:00.000Z</t>
  </si>
  <si>
    <t>2020-07-19T15:00:00.000Z</t>
  </si>
  <si>
    <t>2020-07-20T15:00:00.000Z</t>
  </si>
  <si>
    <t>2020-07-21T15:00:00.000Z</t>
  </si>
  <si>
    <t>2020-07-22T15:00:00.000Z</t>
  </si>
  <si>
    <t>2020-07-23T15:00:00.000Z</t>
  </si>
  <si>
    <t>2020-07-24T15:00:00.000Z</t>
  </si>
  <si>
    <t>2020-07-25T15:00:00.000Z</t>
  </si>
  <si>
    <t>2020-07-26T15:00:00.000Z</t>
  </si>
  <si>
    <t>2020-07-27T15:00:00.000Z</t>
  </si>
  <si>
    <t>2020-07-28T15:00:00.000Z</t>
  </si>
  <si>
    <t>2020-07-29T15:00:00.000Z</t>
  </si>
  <si>
    <t>2020-07-30T15:00:00.000Z</t>
  </si>
  <si>
    <t>2020-07-31T15:00:00.000Z</t>
  </si>
  <si>
    <t>2020-08-01T15:00:00.000Z</t>
  </si>
  <si>
    <t>2020-08-02T15:00:00.000Z</t>
  </si>
  <si>
    <t>2020-08-03T15:00:00.000Z</t>
  </si>
  <si>
    <t>2020-08-04T15:00:00.000Z</t>
  </si>
  <si>
    <t>2020-08-05T15:00:00.000Z</t>
  </si>
  <si>
    <t>2020-08-06T15:00:00.000Z</t>
  </si>
  <si>
    <t>2020-08-07T15:00:00.000Z</t>
  </si>
  <si>
    <t>2020-08-08T15:00:00.000Z</t>
  </si>
  <si>
    <t>2020-08-09T15:00:00.000Z</t>
  </si>
  <si>
    <t>2020-08-10T15:00:00.000Z</t>
  </si>
  <si>
    <t>2020-08-11T15:00:00.000Z</t>
  </si>
  <si>
    <t>2020-08-12T15:00:00.000Z</t>
  </si>
  <si>
    <t>2020-08-13T15:00:00.000Z</t>
  </si>
  <si>
    <t>2020-08-14T15:00:00.000Z</t>
  </si>
  <si>
    <t>2020-08-15T15:00:00.000Z</t>
  </si>
  <si>
    <t>2020-08-16T15:00:00.000Z</t>
  </si>
  <si>
    <t>2020-08-17T15:00:00.000Z</t>
  </si>
  <si>
    <t>2020-08-18T15:00:00.000Z</t>
  </si>
  <si>
    <t>2020-08-19T15:00:00.000Z</t>
  </si>
  <si>
    <t>2020-08-20T15:00:00.000Z</t>
  </si>
  <si>
    <t>2020-08-21T15:00:00.000Z</t>
  </si>
  <si>
    <t>2020-08-22T15:00:00.000Z</t>
  </si>
  <si>
    <t>2020-08-23T15:00:00.000Z</t>
  </si>
  <si>
    <t>2020-08-24T15:00:00.000Z</t>
  </si>
  <si>
    <t>2020-08-25T15:00:00.000Z</t>
  </si>
  <si>
    <t>2020-08-26T15:00:00.000Z</t>
  </si>
  <si>
    <t>2020-08-27T15:00:00.000Z</t>
  </si>
  <si>
    <t>2020-08-28T15:00:00.000Z</t>
  </si>
  <si>
    <t>2020-08-29T15:00:00.000Z</t>
  </si>
  <si>
    <t>2020-08-30T15:00:00.000Z</t>
  </si>
  <si>
    <t>2020-08-31T15:00:00.000Z</t>
  </si>
  <si>
    <t>2020-09-01T15:00:00.000Z</t>
  </si>
  <si>
    <t>2020-09-02T15:00:00.000Z</t>
  </si>
  <si>
    <t>2020-09-03T15:00:00.000Z</t>
  </si>
  <si>
    <t>2020-09-04T15:00:00.000Z</t>
  </si>
  <si>
    <t>2020-09-05T15:00:00.000Z</t>
  </si>
  <si>
    <t>2020-09-06T15:00:00.000Z</t>
  </si>
  <si>
    <t>2020-09-07T15:00:00.000Z</t>
  </si>
  <si>
    <t>2020-09-08T15:00:00.000Z</t>
  </si>
  <si>
    <t>2020-09-09T15:00:00.000Z</t>
  </si>
  <si>
    <t>2020-09-10T15:00:00.000Z</t>
  </si>
  <si>
    <t>2020-09-11T15:00:00.000Z</t>
  </si>
  <si>
    <t>2020-09-12T15:00:00.000Z</t>
  </si>
  <si>
    <t>2020-09-13T15:00:00.000Z</t>
  </si>
  <si>
    <t>2020-09-14T15:00:00.000Z</t>
  </si>
  <si>
    <t>2020-09-15T15:00:00.000Z</t>
  </si>
  <si>
    <t>2020-09-16T15:00:00.000Z</t>
  </si>
  <si>
    <t>2020-09-17T15:00:00.000Z</t>
  </si>
  <si>
    <t>2020-09-18T15:00:00.000Z</t>
  </si>
  <si>
    <t>2020-09-19T15:00:00.000Z</t>
  </si>
  <si>
    <t>2020-09-20T15:00:00.000Z</t>
  </si>
  <si>
    <t>2020-09-21T15:00:00.000Z</t>
  </si>
  <si>
    <t>2020-09-22T15:00:00.000Z</t>
  </si>
  <si>
    <t>2020-09-23T15:00:00.000Z</t>
  </si>
  <si>
    <t>2020-09-24T15:00:00.000Z</t>
  </si>
  <si>
    <t>2020-09-25T15:00:00.000Z</t>
  </si>
  <si>
    <t>2020-09-26T15:00:00.000Z</t>
  </si>
  <si>
    <t>2020-09-27T15:00:00.000Z</t>
  </si>
  <si>
    <t>2020-09-28T15:00:00.000Z</t>
  </si>
  <si>
    <t>2020-09-29T15:00:00.000Z</t>
  </si>
  <si>
    <t>Vanhat</t>
  </si>
  <si>
    <t>2020-09-30T15:00:00.000Z</t>
  </si>
  <si>
    <t>Data välilehdellä sarakkeet A-F riviltä 2 lähtien päivitetään. Data välilehdellä oltava Tapauksia muuttuja counta(a:a)</t>
  </si>
  <si>
    <t>2020-10-01T15:00:00.000Z</t>
  </si>
  <si>
    <t>2020-10-02T15:00:00.000Z</t>
  </si>
  <si>
    <t>https://w3qa5ydb4l.execute-api.eu-west-1.amazonaws.com/prod/processedThlData</t>
  </si>
  <si>
    <t>2020-10-03T15:00:00.000Z</t>
  </si>
  <si>
    <t>2020-01-01T15:00:00.000Z</t>
  </si>
  <si>
    <t>2020-01-02T15:00:00.000Z</t>
  </si>
  <si>
    <t>2020-01-03T15:00:00.000Z</t>
  </si>
  <si>
    <t>2020-01-04T15:00:00.000Z</t>
  </si>
  <si>
    <t>2020-01-05T15:00:00.000Z</t>
  </si>
  <si>
    <t>2020-01-06T15:00:00.000Z</t>
  </si>
  <si>
    <t>2020-01-07T15:00:00.000Z</t>
  </si>
  <si>
    <t>2020-01-08T15:00:00.000Z</t>
  </si>
  <si>
    <t>2020-01-09T15:00:00.000Z</t>
  </si>
  <si>
    <t>2020-01-10T15:00:00.000Z</t>
  </si>
  <si>
    <t>2020-01-11T15:00:00.000Z</t>
  </si>
  <si>
    <t>2020-01-12T15:00:00.000Z</t>
  </si>
  <si>
    <t>2020-01-13T15:00:00.000Z</t>
  </si>
  <si>
    <t>2020-01-14T15:00:00.000Z</t>
  </si>
  <si>
    <t>2020-01-15T15:00:00.000Z</t>
  </si>
  <si>
    <t>2020-01-16T15:00:00.000Z</t>
  </si>
  <si>
    <t>2020-01-17T15:00:00.000Z</t>
  </si>
  <si>
    <t>2020-01-18T15:00:00.000Z</t>
  </si>
  <si>
    <t>2020-01-19T15:00:00.000Z</t>
  </si>
  <si>
    <t>2020-01-20T15:00:00.000Z</t>
  </si>
  <si>
    <t>2020-01-21T15:00:00.000Z</t>
  </si>
  <si>
    <t>2020-01-22T15:00:00.000Z</t>
  </si>
  <si>
    <t>2020-01-23T15:00:00.000Z</t>
  </si>
  <si>
    <t>2020-01-24T15:00:00.000Z</t>
  </si>
  <si>
    <t>2020-01-25T15:00:00.000Z</t>
  </si>
  <si>
    <t>2020-01-26T15:00:00.000Z</t>
  </si>
  <si>
    <t>2020-01-27T15:00:00.000Z</t>
  </si>
  <si>
    <t>2020-01-29T15:00:00.000Z</t>
  </si>
  <si>
    <t>2020-01-30T15:00:00.000Z</t>
  </si>
  <si>
    <t>2020-01-31T15:00:00.000Z</t>
  </si>
  <si>
    <t>2020-02-01T15:00:00.000Z</t>
  </si>
  <si>
    <t>2020-02-02T15:00:00.000Z</t>
  </si>
  <si>
    <t>2020-02-03T15:00:00.000Z</t>
  </si>
  <si>
    <t>2020-02-04T15:00:00.000Z</t>
  </si>
  <si>
    <t>2020-02-05T15:00:00.000Z</t>
  </si>
  <si>
    <t>2020-02-06T15:00:00.000Z</t>
  </si>
  <si>
    <t>2020-02-07T15:00:00.000Z</t>
  </si>
  <si>
    <t>2020-02-08T15:00:00.000Z</t>
  </si>
  <si>
    <t>2020-02-09T15:00:00.000Z</t>
  </si>
  <si>
    <t>2020-02-11T15:00:00.000Z</t>
  </si>
  <si>
    <t>2020-02-12T15:00:00.000Z</t>
  </si>
  <si>
    <t>2020-02-13T15:00:00.000Z</t>
  </si>
  <si>
    <t>2020-02-14T15:00:00.000Z</t>
  </si>
  <si>
    <t>2020-02-15T15:00:00.000Z</t>
  </si>
  <si>
    <t>2020-02-16T15:00:00.000Z</t>
  </si>
  <si>
    <t>2020-02-17T15:00:00.000Z</t>
  </si>
  <si>
    <t>2020-02-18T15:00:00.000Z</t>
  </si>
  <si>
    <t>2020-02-19T15:00:00.000Z</t>
  </si>
  <si>
    <t>2020-02-20T15:00:00.000Z</t>
  </si>
  <si>
    <t>2020-02-21T15:00:00.000Z</t>
  </si>
  <si>
    <t>2020-02-23T15:00:00.000Z</t>
  </si>
  <si>
    <t>2020-02-24T15:00:00.000Z</t>
  </si>
  <si>
    <t>2020-02-26T15:00:00.000Z</t>
  </si>
  <si>
    <t>2020-03-02T15:00:00.000Z</t>
  </si>
  <si>
    <t>2020-06-19T15:00:00.000Z</t>
  </si>
  <si>
    <t>2020-07-11T15:00:00.000Z</t>
  </si>
  <si>
    <t>n</t>
  </si>
  <si>
    <t>.</t>
  </si>
  <si>
    <t>2020-10-04T15:00:00.000Z</t>
  </si>
  <si>
    <t>2020-10-05T15:00:00.000Z</t>
  </si>
  <si>
    <t>2020-10-06T15:00:00.000Z</t>
  </si>
  <si>
    <t>2020-10-07T15:00:00.000Z</t>
  </si>
  <si>
    <t>2020-10-08T15:00:00.000Z</t>
  </si>
  <si>
    <t>2020-10-09T15:00:00.000Z</t>
  </si>
  <si>
    <t>Weekday</t>
  </si>
  <si>
    <t>Sum</t>
  </si>
  <si>
    <t>WeekdayMo1</t>
  </si>
  <si>
    <t>Monday</t>
  </si>
  <si>
    <t>Tuesday</t>
  </si>
  <si>
    <t>Wednesday</t>
  </si>
  <si>
    <t>Thrusday</t>
  </si>
  <si>
    <t>Friday</t>
  </si>
  <si>
    <t>Saturday</t>
  </si>
  <si>
    <t>Sunday</t>
  </si>
  <si>
    <t>Lisäys</t>
  </si>
  <si>
    <t>2020-10-10T15:00:00.000Z</t>
  </si>
  <si>
    <t>2020-10-11T15:00:00.000Z</t>
  </si>
  <si>
    <t>Previous</t>
  </si>
  <si>
    <t>Current</t>
  </si>
  <si>
    <t>Earliest</t>
  </si>
  <si>
    <t>2020-10-12T15:00:00.000Z</t>
  </si>
  <si>
    <t>2020-10-13T15:00:00.000Z</t>
  </si>
  <si>
    <t>2020-10-14T15:00:00.000Z</t>
  </si>
  <si>
    <t>2020-10-15T15:00:00.000Z</t>
  </si>
  <si>
    <t>2020-10-16T15:00:00.000Z</t>
  </si>
  <si>
    <t>2020-10-17T15:00:00.000Z</t>
  </si>
  <si>
    <t>2020-10-18T15:00:00.000Z</t>
  </si>
  <si>
    <t>2020-10-19T15:00:00.000Z</t>
  </si>
  <si>
    <t>2020-10-20T08:52:02.822Z</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</si>
</sst>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d/m/yyyy;@"/>
    <numFmt numFmtId="165" formatCode="d/m\ hh:mm"/>
  </numFmts>
  <fonts count="5">
    <font>
      <sz val="11"/>
      <color theme="1"/>
      <name val="Calibri"/>
      <family val="2"/>
      <scheme val="minor"/>
    </font>
    <font>
      <sz val="10"/>
      <color rgb="FF000000"/>
      <name val="Arial Unicode MS"/>
    </font>
    <font>
      <u/>
      <sz val="11"/>
      <color theme="10"/>
      <name val="Calibri"/>
      <family val="2"/>
      <scheme val="minor"/>
    </font>
    <font>
      <sz val="11"/>
      <color rgb="FF000000"/>
      <name val="Calibri"/>
      <family val="2"/>
    </font>
    <font>
      <b/>
      <sz val="11"/>
      <color theme="1"/>
      <name val="Calibri"/>
      <family val="2"/>
      <scheme val="minor"/>
    </font>
  </fonts>
  <fills count="2">
    <fill>
      <patternFill patternType="none"/>
    </fill>
    <fill>
      <patternFill patternType="gray125"/>
    </fill>
  </fills>
  <borders count="1">
    <border>
      <left/>
      <right/>
      <top/>
      <bottom/>
      <diagonal/>
    </border>
  </borders>
  <cellStyleXfs count="2">
    <xf numFmtId="0" fontId="0" fillId="0" borderId="0"/>
    <xf numFmtId="0" fontId="2" fillId="0" borderId="0" applyNumberFormat="0" applyFill="0" applyBorder="0" applyAlignment="0" applyProtection="0"/>
  </cellStyleXfs>
  <cellXfs count="19">
    <xf numFmtId="0" fontId="0" fillId="0" borderId="0" xfId="0"/>
    <xf numFmtId="0" fontId="1" fillId="0" borderId="0" xfId="0" applyFont="1" applyAlignment="1">
      <alignment vertical="center"/>
    </xf>
    <xf numFmtId="0" fontId="2" fillId="0" borderId="0" xfId="1"/>
    <xf numFmtId="0" fontId="0" fillId="0" borderId="0" xfId="0" applyNumberFormat="1"/>
    <xf numFmtId="164" fontId="0" fillId="0" borderId="0" xfId="0" applyNumberFormat="1"/>
    <xf numFmtId="165" fontId="0" fillId="0" borderId="0" xfId="0" applyNumberFormat="1"/>
    <xf numFmtId="165" fontId="1" fillId="0" borderId="0" xfId="0" applyNumberFormat="1" applyFont="1" applyAlignment="1">
      <alignment vertical="center"/>
    </xf>
    <xf numFmtId="0" fontId="0" fillId="0" borderId="0" xfId="0" applyAlignment="1">
      <alignment vertical="center"/>
    </xf>
    <xf numFmtId="22" fontId="0" fillId="0" borderId="0" xfId="0" applyNumberFormat="1" applyAlignment="1">
      <alignment vertical="center"/>
    </xf>
    <xf numFmtId="164" fontId="4" fillId="0" borderId="0" xfId="0" applyNumberFormat="1" applyFont="1"/>
    <xf numFmtId="0" fontId="4" fillId="0" borderId="0" xfId="0" applyFont="1"/>
    <xf numFmtId="0" fontId="0" fillId="0" borderId="0" xfId="0" applyFont="1"/>
    <xf numFmtId="164" fontId="0" fillId="0" borderId="0" xfId="0" applyNumberFormat="1" applyFont="1"/>
    <xf numFmtId="14" fontId="0" fillId="0" borderId="0" xfId="0" applyNumberFormat="1"/>
    <xf numFmtId="0" fontId="4" fillId="0" borderId="0" xfId="0" applyNumberFormat="1" applyFont="1"/>
    <xf numFmtId="14" fontId="4" fillId="0" borderId="0" xfId="0" applyNumberFormat="1" applyFont="1"/>
    <xf numFmtId="164" fontId="0" fillId="0" borderId="0" xfId="0" applyNumberFormat="1" applyAlignment="1">
      <alignment vertical="center"/>
    </xf>
    <xf numFmtId="0" fontId="0" fillId="0" borderId="0" xfId="0" applyAlignment="1">
      <alignment horizontal="left" vertical="top" wrapText="1"/>
    </xf>
    <xf numFmtId="0" fontId="0" fillId="0" borderId="0" xfId="0" applyAlignment="1">
      <alignment wrapText="1"/>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Data!$L$1</c:f>
          <c:strCache>
            <c:ptCount val="1"/>
            <c:pt idx="0">
              <c:v>Päivittäisiä Korona tapauksia vuoden 2020 alusta lähtien 15.10 saakka. Suurin arvo 309, joka 7.10. Uusimpien 5 päivien arvot tulevat viiveellä, joten ne jätetty pois.</c:v>
            </c:pt>
          </c:strCache>
        </c:strRef>
      </c:tx>
      <c:layout>
        <c:manualLayout>
          <c:xMode val="edge"/>
          <c:yMode val="edge"/>
          <c:x val="0.14700553994502313"/>
          <c:y val="3.093068482241037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none"/>
          </c:marker>
          <c:val>
            <c:numRef>
              <c:f>[0]!Plot</c:f>
              <c:numCache>
                <c:formatCode>General</c:formatCode>
                <c:ptCount val="28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1</c:v>
                </c:pt>
                <c:pt idx="28">
                  <c:v>0</c:v>
                </c:pt>
                <c:pt idx="29">
                  <c:v>0</c:v>
                </c:pt>
                <c:pt idx="30">
                  <c:v>0</c:v>
                </c:pt>
                <c:pt idx="31">
                  <c:v>0</c:v>
                </c:pt>
                <c:pt idx="32">
                  <c:v>0</c:v>
                </c:pt>
                <c:pt idx="33">
                  <c:v>0</c:v>
                </c:pt>
                <c:pt idx="34">
                  <c:v>0</c:v>
                </c:pt>
                <c:pt idx="35">
                  <c:v>0</c:v>
                </c:pt>
                <c:pt idx="36">
                  <c:v>0</c:v>
                </c:pt>
                <c:pt idx="37">
                  <c:v>0</c:v>
                </c:pt>
                <c:pt idx="38">
                  <c:v>0</c:v>
                </c:pt>
                <c:pt idx="39">
                  <c:v>0</c:v>
                </c:pt>
                <c:pt idx="40">
                  <c:v>1</c:v>
                </c:pt>
                <c:pt idx="41">
                  <c:v>0</c:v>
                </c:pt>
                <c:pt idx="42">
                  <c:v>0</c:v>
                </c:pt>
                <c:pt idx="43">
                  <c:v>0</c:v>
                </c:pt>
                <c:pt idx="44">
                  <c:v>0</c:v>
                </c:pt>
                <c:pt idx="45">
                  <c:v>0</c:v>
                </c:pt>
                <c:pt idx="46">
                  <c:v>0</c:v>
                </c:pt>
                <c:pt idx="47">
                  <c:v>0</c:v>
                </c:pt>
                <c:pt idx="48">
                  <c:v>0</c:v>
                </c:pt>
                <c:pt idx="49">
                  <c:v>0</c:v>
                </c:pt>
                <c:pt idx="50">
                  <c:v>0</c:v>
                </c:pt>
                <c:pt idx="51">
                  <c:v>0</c:v>
                </c:pt>
                <c:pt idx="52">
                  <c:v>1</c:v>
                </c:pt>
                <c:pt idx="53">
                  <c:v>0</c:v>
                </c:pt>
                <c:pt idx="54">
                  <c:v>0</c:v>
                </c:pt>
                <c:pt idx="55">
                  <c:v>1</c:v>
                </c:pt>
                <c:pt idx="56">
                  <c:v>0</c:v>
                </c:pt>
                <c:pt idx="57">
                  <c:v>1</c:v>
                </c:pt>
                <c:pt idx="58">
                  <c:v>3</c:v>
                </c:pt>
                <c:pt idx="59">
                  <c:v>1</c:v>
                </c:pt>
                <c:pt idx="60">
                  <c:v>1</c:v>
                </c:pt>
                <c:pt idx="61">
                  <c:v>0</c:v>
                </c:pt>
                <c:pt idx="62">
                  <c:v>5</c:v>
                </c:pt>
                <c:pt idx="63">
                  <c:v>6</c:v>
                </c:pt>
                <c:pt idx="64">
                  <c:v>1</c:v>
                </c:pt>
                <c:pt idx="65">
                  <c:v>7</c:v>
                </c:pt>
                <c:pt idx="66">
                  <c:v>7</c:v>
                </c:pt>
                <c:pt idx="67">
                  <c:v>9</c:v>
                </c:pt>
                <c:pt idx="68">
                  <c:v>17</c:v>
                </c:pt>
                <c:pt idx="69">
                  <c:v>54</c:v>
                </c:pt>
                <c:pt idx="70">
                  <c:v>76</c:v>
                </c:pt>
                <c:pt idx="71">
                  <c:v>61</c:v>
                </c:pt>
                <c:pt idx="72">
                  <c:v>28</c:v>
                </c:pt>
                <c:pt idx="73">
                  <c:v>29</c:v>
                </c:pt>
                <c:pt idx="74">
                  <c:v>53</c:v>
                </c:pt>
                <c:pt idx="75">
                  <c:v>52</c:v>
                </c:pt>
                <c:pt idx="76">
                  <c:v>47</c:v>
                </c:pt>
                <c:pt idx="77">
                  <c:v>90</c:v>
                </c:pt>
                <c:pt idx="78">
                  <c:v>100</c:v>
                </c:pt>
                <c:pt idx="79">
                  <c:v>87</c:v>
                </c:pt>
                <c:pt idx="80">
                  <c:v>87</c:v>
                </c:pt>
                <c:pt idx="81">
                  <c:v>78</c:v>
                </c:pt>
                <c:pt idx="82">
                  <c:v>84</c:v>
                </c:pt>
                <c:pt idx="83">
                  <c:v>99</c:v>
                </c:pt>
                <c:pt idx="84">
                  <c:v>103</c:v>
                </c:pt>
                <c:pt idx="85">
                  <c:v>114</c:v>
                </c:pt>
                <c:pt idx="86">
                  <c:v>95</c:v>
                </c:pt>
                <c:pt idx="87">
                  <c:v>77</c:v>
                </c:pt>
                <c:pt idx="88">
                  <c:v>70</c:v>
                </c:pt>
                <c:pt idx="89">
                  <c:v>129</c:v>
                </c:pt>
                <c:pt idx="90">
                  <c:v>125</c:v>
                </c:pt>
                <c:pt idx="91">
                  <c:v>149</c:v>
                </c:pt>
                <c:pt idx="92">
                  <c:v>161</c:v>
                </c:pt>
                <c:pt idx="93">
                  <c:v>199</c:v>
                </c:pt>
                <c:pt idx="94">
                  <c:v>81</c:v>
                </c:pt>
                <c:pt idx="95">
                  <c:v>120</c:v>
                </c:pt>
                <c:pt idx="96">
                  <c:v>210</c:v>
                </c:pt>
                <c:pt idx="97">
                  <c:v>199</c:v>
                </c:pt>
                <c:pt idx="98">
                  <c:v>138</c:v>
                </c:pt>
                <c:pt idx="99">
                  <c:v>158</c:v>
                </c:pt>
                <c:pt idx="100">
                  <c:v>71</c:v>
                </c:pt>
                <c:pt idx="101">
                  <c:v>75</c:v>
                </c:pt>
                <c:pt idx="102">
                  <c:v>79</c:v>
                </c:pt>
                <c:pt idx="103">
                  <c:v>117</c:v>
                </c:pt>
                <c:pt idx="104">
                  <c:v>175</c:v>
                </c:pt>
                <c:pt idx="105">
                  <c:v>129</c:v>
                </c:pt>
                <c:pt idx="106">
                  <c:v>120</c:v>
                </c:pt>
                <c:pt idx="107">
                  <c:v>125</c:v>
                </c:pt>
                <c:pt idx="108">
                  <c:v>56</c:v>
                </c:pt>
                <c:pt idx="109">
                  <c:v>67</c:v>
                </c:pt>
                <c:pt idx="110">
                  <c:v>143</c:v>
                </c:pt>
                <c:pt idx="111">
                  <c:v>112</c:v>
                </c:pt>
                <c:pt idx="112">
                  <c:v>124</c:v>
                </c:pt>
                <c:pt idx="113">
                  <c:v>116</c:v>
                </c:pt>
                <c:pt idx="114">
                  <c:v>93</c:v>
                </c:pt>
                <c:pt idx="115">
                  <c:v>76</c:v>
                </c:pt>
                <c:pt idx="116">
                  <c:v>73</c:v>
                </c:pt>
                <c:pt idx="117">
                  <c:v>124</c:v>
                </c:pt>
                <c:pt idx="118">
                  <c:v>139</c:v>
                </c:pt>
                <c:pt idx="119">
                  <c:v>106</c:v>
                </c:pt>
                <c:pt idx="120">
                  <c:v>86</c:v>
                </c:pt>
                <c:pt idx="121">
                  <c:v>48</c:v>
                </c:pt>
                <c:pt idx="122">
                  <c:v>56</c:v>
                </c:pt>
                <c:pt idx="123">
                  <c:v>61</c:v>
                </c:pt>
                <c:pt idx="124">
                  <c:v>133</c:v>
                </c:pt>
                <c:pt idx="125">
                  <c:v>125</c:v>
                </c:pt>
                <c:pt idx="126">
                  <c:v>94</c:v>
                </c:pt>
                <c:pt idx="127">
                  <c:v>108</c:v>
                </c:pt>
                <c:pt idx="128">
                  <c:v>81</c:v>
                </c:pt>
                <c:pt idx="129">
                  <c:v>47</c:v>
                </c:pt>
                <c:pt idx="130">
                  <c:v>28</c:v>
                </c:pt>
                <c:pt idx="131">
                  <c:v>93</c:v>
                </c:pt>
                <c:pt idx="132">
                  <c:v>67</c:v>
                </c:pt>
                <c:pt idx="133">
                  <c:v>79</c:v>
                </c:pt>
                <c:pt idx="134">
                  <c:v>51</c:v>
                </c:pt>
                <c:pt idx="135">
                  <c:v>55</c:v>
                </c:pt>
                <c:pt idx="136">
                  <c:v>25</c:v>
                </c:pt>
                <c:pt idx="137">
                  <c:v>30</c:v>
                </c:pt>
                <c:pt idx="138">
                  <c:v>45</c:v>
                </c:pt>
                <c:pt idx="139">
                  <c:v>41</c:v>
                </c:pt>
                <c:pt idx="140">
                  <c:v>43</c:v>
                </c:pt>
                <c:pt idx="141">
                  <c:v>22</c:v>
                </c:pt>
                <c:pt idx="142">
                  <c:v>32</c:v>
                </c:pt>
                <c:pt idx="143">
                  <c:v>17</c:v>
                </c:pt>
                <c:pt idx="144">
                  <c:v>19</c:v>
                </c:pt>
                <c:pt idx="145">
                  <c:v>45</c:v>
                </c:pt>
                <c:pt idx="146">
                  <c:v>33</c:v>
                </c:pt>
                <c:pt idx="147">
                  <c:v>12</c:v>
                </c:pt>
                <c:pt idx="148">
                  <c:v>30</c:v>
                </c:pt>
                <c:pt idx="149">
                  <c:v>21</c:v>
                </c:pt>
                <c:pt idx="150">
                  <c:v>10</c:v>
                </c:pt>
                <c:pt idx="151">
                  <c:v>12</c:v>
                </c:pt>
                <c:pt idx="152">
                  <c:v>17</c:v>
                </c:pt>
                <c:pt idx="153">
                  <c:v>15</c:v>
                </c:pt>
                <c:pt idx="154">
                  <c:v>25</c:v>
                </c:pt>
                <c:pt idx="155">
                  <c:v>12</c:v>
                </c:pt>
                <c:pt idx="156">
                  <c:v>13</c:v>
                </c:pt>
                <c:pt idx="157">
                  <c:v>13</c:v>
                </c:pt>
                <c:pt idx="158">
                  <c:v>4</c:v>
                </c:pt>
                <c:pt idx="159">
                  <c:v>10</c:v>
                </c:pt>
                <c:pt idx="160">
                  <c:v>8</c:v>
                </c:pt>
                <c:pt idx="161">
                  <c:v>7</c:v>
                </c:pt>
                <c:pt idx="162">
                  <c:v>9</c:v>
                </c:pt>
                <c:pt idx="163">
                  <c:v>13</c:v>
                </c:pt>
                <c:pt idx="164">
                  <c:v>2</c:v>
                </c:pt>
                <c:pt idx="165">
                  <c:v>5</c:v>
                </c:pt>
                <c:pt idx="166">
                  <c:v>15</c:v>
                </c:pt>
                <c:pt idx="167">
                  <c:v>8</c:v>
                </c:pt>
                <c:pt idx="168">
                  <c:v>3</c:v>
                </c:pt>
                <c:pt idx="169">
                  <c:v>8</c:v>
                </c:pt>
                <c:pt idx="170">
                  <c:v>0</c:v>
                </c:pt>
                <c:pt idx="171">
                  <c:v>2</c:v>
                </c:pt>
                <c:pt idx="172">
                  <c:v>13</c:v>
                </c:pt>
                <c:pt idx="173">
                  <c:v>5</c:v>
                </c:pt>
                <c:pt idx="174">
                  <c:v>5</c:v>
                </c:pt>
                <c:pt idx="175">
                  <c:v>16</c:v>
                </c:pt>
                <c:pt idx="176">
                  <c:v>14</c:v>
                </c:pt>
                <c:pt idx="177">
                  <c:v>3</c:v>
                </c:pt>
                <c:pt idx="178">
                  <c:v>2</c:v>
                </c:pt>
                <c:pt idx="179">
                  <c:v>7</c:v>
                </c:pt>
                <c:pt idx="180">
                  <c:v>15</c:v>
                </c:pt>
                <c:pt idx="181">
                  <c:v>10</c:v>
                </c:pt>
                <c:pt idx="182">
                  <c:v>2</c:v>
                </c:pt>
                <c:pt idx="183">
                  <c:v>7</c:v>
                </c:pt>
                <c:pt idx="184">
                  <c:v>5</c:v>
                </c:pt>
                <c:pt idx="185">
                  <c:v>2</c:v>
                </c:pt>
                <c:pt idx="186">
                  <c:v>3</c:v>
                </c:pt>
                <c:pt idx="187">
                  <c:v>6</c:v>
                </c:pt>
                <c:pt idx="188">
                  <c:v>3</c:v>
                </c:pt>
                <c:pt idx="189">
                  <c:v>9</c:v>
                </c:pt>
                <c:pt idx="190">
                  <c:v>8</c:v>
                </c:pt>
                <c:pt idx="191">
                  <c:v>7</c:v>
                </c:pt>
                <c:pt idx="192">
                  <c:v>0</c:v>
                </c:pt>
                <c:pt idx="193">
                  <c:v>4</c:v>
                </c:pt>
                <c:pt idx="194">
                  <c:v>7</c:v>
                </c:pt>
                <c:pt idx="195">
                  <c:v>5</c:v>
                </c:pt>
                <c:pt idx="196">
                  <c:v>5</c:v>
                </c:pt>
                <c:pt idx="197">
                  <c:v>9</c:v>
                </c:pt>
                <c:pt idx="198">
                  <c:v>6</c:v>
                </c:pt>
                <c:pt idx="199">
                  <c:v>7</c:v>
                </c:pt>
                <c:pt idx="200">
                  <c:v>5</c:v>
                </c:pt>
                <c:pt idx="201">
                  <c:v>12</c:v>
                </c:pt>
                <c:pt idx="202">
                  <c:v>8</c:v>
                </c:pt>
                <c:pt idx="203">
                  <c:v>11</c:v>
                </c:pt>
                <c:pt idx="204">
                  <c:v>3</c:v>
                </c:pt>
                <c:pt idx="205">
                  <c:v>10</c:v>
                </c:pt>
                <c:pt idx="206">
                  <c:v>4</c:v>
                </c:pt>
                <c:pt idx="207">
                  <c:v>8</c:v>
                </c:pt>
                <c:pt idx="208">
                  <c:v>13</c:v>
                </c:pt>
                <c:pt idx="209">
                  <c:v>9</c:v>
                </c:pt>
                <c:pt idx="210">
                  <c:v>12</c:v>
                </c:pt>
                <c:pt idx="211">
                  <c:v>8</c:v>
                </c:pt>
                <c:pt idx="212">
                  <c:v>18</c:v>
                </c:pt>
                <c:pt idx="213">
                  <c:v>14</c:v>
                </c:pt>
                <c:pt idx="214">
                  <c:v>10</c:v>
                </c:pt>
                <c:pt idx="215">
                  <c:v>35</c:v>
                </c:pt>
                <c:pt idx="216">
                  <c:v>21</c:v>
                </c:pt>
                <c:pt idx="217">
                  <c:v>29</c:v>
                </c:pt>
                <c:pt idx="218">
                  <c:v>22</c:v>
                </c:pt>
                <c:pt idx="219">
                  <c:v>17</c:v>
                </c:pt>
                <c:pt idx="220">
                  <c:v>9</c:v>
                </c:pt>
                <c:pt idx="221">
                  <c:v>35</c:v>
                </c:pt>
                <c:pt idx="222">
                  <c:v>15</c:v>
                </c:pt>
                <c:pt idx="223">
                  <c:v>27</c:v>
                </c:pt>
                <c:pt idx="224">
                  <c:v>26</c:v>
                </c:pt>
                <c:pt idx="225">
                  <c:v>22</c:v>
                </c:pt>
                <c:pt idx="226">
                  <c:v>27</c:v>
                </c:pt>
                <c:pt idx="227">
                  <c:v>13</c:v>
                </c:pt>
                <c:pt idx="228">
                  <c:v>43</c:v>
                </c:pt>
                <c:pt idx="229">
                  <c:v>27</c:v>
                </c:pt>
                <c:pt idx="230">
                  <c:v>39</c:v>
                </c:pt>
                <c:pt idx="231">
                  <c:v>47</c:v>
                </c:pt>
                <c:pt idx="232">
                  <c:v>26</c:v>
                </c:pt>
                <c:pt idx="233">
                  <c:v>25</c:v>
                </c:pt>
                <c:pt idx="234">
                  <c:v>16</c:v>
                </c:pt>
                <c:pt idx="235">
                  <c:v>10</c:v>
                </c:pt>
                <c:pt idx="236">
                  <c:v>17</c:v>
                </c:pt>
                <c:pt idx="237">
                  <c:v>15</c:v>
                </c:pt>
                <c:pt idx="238">
                  <c:v>20</c:v>
                </c:pt>
                <c:pt idx="239">
                  <c:v>32</c:v>
                </c:pt>
                <c:pt idx="240">
                  <c:v>33</c:v>
                </c:pt>
                <c:pt idx="241">
                  <c:v>19</c:v>
                </c:pt>
                <c:pt idx="242">
                  <c:v>18</c:v>
                </c:pt>
                <c:pt idx="243">
                  <c:v>48</c:v>
                </c:pt>
                <c:pt idx="244">
                  <c:v>29</c:v>
                </c:pt>
                <c:pt idx="245">
                  <c:v>26</c:v>
                </c:pt>
                <c:pt idx="246">
                  <c:v>35</c:v>
                </c:pt>
                <c:pt idx="247">
                  <c:v>42</c:v>
                </c:pt>
                <c:pt idx="248">
                  <c:v>22</c:v>
                </c:pt>
                <c:pt idx="249">
                  <c:v>33</c:v>
                </c:pt>
                <c:pt idx="250">
                  <c:v>45</c:v>
                </c:pt>
                <c:pt idx="251">
                  <c:v>57</c:v>
                </c:pt>
                <c:pt idx="252">
                  <c:v>55</c:v>
                </c:pt>
                <c:pt idx="253">
                  <c:v>52</c:v>
                </c:pt>
                <c:pt idx="254">
                  <c:v>57</c:v>
                </c:pt>
                <c:pt idx="255">
                  <c:v>41</c:v>
                </c:pt>
                <c:pt idx="256">
                  <c:v>46</c:v>
                </c:pt>
                <c:pt idx="257">
                  <c:v>59</c:v>
                </c:pt>
                <c:pt idx="258">
                  <c:v>53</c:v>
                </c:pt>
                <c:pt idx="259">
                  <c:v>57</c:v>
                </c:pt>
                <c:pt idx="260">
                  <c:v>85</c:v>
                </c:pt>
                <c:pt idx="261">
                  <c:v>77</c:v>
                </c:pt>
                <c:pt idx="262">
                  <c:v>61</c:v>
                </c:pt>
                <c:pt idx="263">
                  <c:v>73</c:v>
                </c:pt>
                <c:pt idx="264">
                  <c:v>119</c:v>
                </c:pt>
                <c:pt idx="265">
                  <c:v>104</c:v>
                </c:pt>
                <c:pt idx="266">
                  <c:v>118</c:v>
                </c:pt>
                <c:pt idx="267">
                  <c:v>97</c:v>
                </c:pt>
                <c:pt idx="268">
                  <c:v>127</c:v>
                </c:pt>
                <c:pt idx="269">
                  <c:v>73</c:v>
                </c:pt>
                <c:pt idx="270">
                  <c:v>71</c:v>
                </c:pt>
                <c:pt idx="271">
                  <c:v>122</c:v>
                </c:pt>
                <c:pt idx="272">
                  <c:v>133</c:v>
                </c:pt>
                <c:pt idx="273">
                  <c:v>165</c:v>
                </c:pt>
                <c:pt idx="274">
                  <c:v>188</c:v>
                </c:pt>
                <c:pt idx="275">
                  <c:v>187</c:v>
                </c:pt>
                <c:pt idx="276">
                  <c:v>169</c:v>
                </c:pt>
                <c:pt idx="277">
                  <c:v>147</c:v>
                </c:pt>
                <c:pt idx="278">
                  <c:v>289</c:v>
                </c:pt>
                <c:pt idx="279">
                  <c:v>299</c:v>
                </c:pt>
                <c:pt idx="280">
                  <c:v>309</c:v>
                </c:pt>
                <c:pt idx="281">
                  <c:v>261</c:v>
                </c:pt>
                <c:pt idx="282">
                  <c:v>227</c:v>
                </c:pt>
                <c:pt idx="283">
                  <c:v>113</c:v>
                </c:pt>
                <c:pt idx="284">
                  <c:v>132</c:v>
                </c:pt>
                <c:pt idx="285">
                  <c:v>238</c:v>
                </c:pt>
                <c:pt idx="286">
                  <c:v>188</c:v>
                </c:pt>
                <c:pt idx="287">
                  <c:v>196</c:v>
                </c:pt>
                <c:pt idx="288">
                  <c:v>181</c:v>
                </c:pt>
              </c:numCache>
            </c:numRef>
          </c:val>
          <c:smooth val="0"/>
          <c:extLst>
            <c:ext xmlns:c16="http://schemas.microsoft.com/office/drawing/2014/chart" uri="{C3380CC4-5D6E-409C-BE32-E72D297353CC}">
              <c16:uniqueId val="{00000003-EF7F-428A-A82B-C3FD003DE2F3}"/>
            </c:ext>
          </c:extLst>
        </c:ser>
        <c:dLbls>
          <c:showLegendKey val="0"/>
          <c:showVal val="0"/>
          <c:showCatName val="0"/>
          <c:showSerName val="0"/>
          <c:showPercent val="0"/>
          <c:showBubbleSize val="0"/>
        </c:dLbls>
        <c:smooth val="0"/>
        <c:axId val="402518440"/>
        <c:axId val="402525000"/>
      </c:lineChart>
      <c:catAx>
        <c:axId val="402518440"/>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2525000"/>
        <c:crosses val="autoZero"/>
        <c:auto val="1"/>
        <c:lblAlgn val="ctr"/>
        <c:lblOffset val="100"/>
        <c:noMultiLvlLbl val="0"/>
      </c:catAx>
      <c:valAx>
        <c:axId val="4025250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25184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Cases</a:t>
            </a:r>
            <a:r>
              <a:rPr lang="en-US" baseline="0"/>
              <a:t> by day</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1"/>
            </a:solidFill>
            <a:ln>
              <a:noFill/>
            </a:ln>
            <a:effectLst/>
          </c:spPr>
          <c:invertIfNegative val="0"/>
          <c:cat>
            <c:strRef>
              <c:f>Data!$J$30:$J$36</c:f>
              <c:strCache>
                <c:ptCount val="7"/>
                <c:pt idx="0">
                  <c:v>Monday</c:v>
                </c:pt>
                <c:pt idx="1">
                  <c:v>Tuesday</c:v>
                </c:pt>
                <c:pt idx="2">
                  <c:v>Wednesday</c:v>
                </c:pt>
                <c:pt idx="3">
                  <c:v>Thrusday</c:v>
                </c:pt>
                <c:pt idx="4">
                  <c:v>Friday</c:v>
                </c:pt>
                <c:pt idx="5">
                  <c:v>Saturday</c:v>
                </c:pt>
                <c:pt idx="6">
                  <c:v>Sunday</c:v>
                </c:pt>
              </c:strCache>
            </c:strRef>
          </c:cat>
          <c:val>
            <c:numRef>
              <c:f>Data!$K$30:$K$36</c:f>
              <c:numCache>
                <c:formatCode>General</c:formatCode>
                <c:ptCount val="7"/>
                <c:pt idx="0">
                  <c:v>2069</c:v>
                </c:pt>
                <c:pt idx="1">
                  <c:v>2071</c:v>
                </c:pt>
                <c:pt idx="2">
                  <c:v>2091</c:v>
                </c:pt>
                <c:pt idx="3">
                  <c:v>2027</c:v>
                </c:pt>
                <c:pt idx="4">
                  <c:v>1839</c:v>
                </c:pt>
                <c:pt idx="5">
                  <c:v>1227</c:v>
                </c:pt>
                <c:pt idx="6">
                  <c:v>1235</c:v>
                </c:pt>
              </c:numCache>
            </c:numRef>
          </c:val>
          <c:extLst>
            <c:ext xmlns:c16="http://schemas.microsoft.com/office/drawing/2014/chart" uri="{C3380CC4-5D6E-409C-BE32-E72D297353CC}">
              <c16:uniqueId val="{00000000-FD4E-4508-965C-532DBF9E1A6C}"/>
            </c:ext>
          </c:extLst>
        </c:ser>
        <c:dLbls>
          <c:showLegendKey val="0"/>
          <c:showVal val="0"/>
          <c:showCatName val="0"/>
          <c:showSerName val="0"/>
          <c:showPercent val="0"/>
          <c:showBubbleSize val="0"/>
        </c:dLbls>
        <c:gapWidth val="219"/>
        <c:overlap val="-27"/>
        <c:axId val="503641592"/>
        <c:axId val="503636672"/>
      </c:barChart>
      <c:catAx>
        <c:axId val="5036415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636672"/>
        <c:crosses val="autoZero"/>
        <c:auto val="1"/>
        <c:lblAlgn val="ctr"/>
        <c:lblOffset val="100"/>
        <c:noMultiLvlLbl val="0"/>
      </c:catAx>
      <c:valAx>
        <c:axId val="5036366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64159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Kirjattuja tapauksia tilastointipäivänä</a:t>
            </a:r>
          </a:p>
        </c:rich>
      </c:tx>
      <c:layout>
        <c:manualLayout>
          <c:xMode val="edge"/>
          <c:yMode val="edge"/>
          <c:x val="5.3556907274659761E-2"/>
          <c:y val="5.591862858862902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1540417190574698E-2"/>
          <c:y val="7.1458963852229135E-2"/>
          <c:w val="0.92334933055709068"/>
          <c:h val="0.76281094980412478"/>
        </c:manualLayout>
      </c:layout>
      <c:barChart>
        <c:barDir val="col"/>
        <c:grouping val="clustered"/>
        <c:varyColors val="0"/>
        <c:ser>
          <c:idx val="0"/>
          <c:order val="0"/>
          <c:tx>
            <c:strRef>
              <c:f>Kuvaajat!$D$35</c:f>
              <c:strCache>
                <c:ptCount val="1"/>
                <c:pt idx="0">
                  <c:v>Uusia</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Kuvaajat!$B$37:$B$64</c:f>
              <c:numCache>
                <c:formatCode>d/m/yyyy;@</c:formatCode>
                <c:ptCount val="28"/>
                <c:pt idx="0">
                  <c:v>44096</c:v>
                </c:pt>
                <c:pt idx="1">
                  <c:v>44097</c:v>
                </c:pt>
                <c:pt idx="2">
                  <c:v>44098</c:v>
                </c:pt>
                <c:pt idx="3">
                  <c:v>44099</c:v>
                </c:pt>
                <c:pt idx="4">
                  <c:v>44100</c:v>
                </c:pt>
                <c:pt idx="5">
                  <c:v>44101</c:v>
                </c:pt>
                <c:pt idx="6">
                  <c:v>44102</c:v>
                </c:pt>
                <c:pt idx="7">
                  <c:v>44103</c:v>
                </c:pt>
                <c:pt idx="8">
                  <c:v>44104</c:v>
                </c:pt>
                <c:pt idx="9">
                  <c:v>44105</c:v>
                </c:pt>
                <c:pt idx="10">
                  <c:v>44106</c:v>
                </c:pt>
                <c:pt idx="11">
                  <c:v>44107</c:v>
                </c:pt>
                <c:pt idx="12">
                  <c:v>44108</c:v>
                </c:pt>
                <c:pt idx="13">
                  <c:v>44109</c:v>
                </c:pt>
                <c:pt idx="14">
                  <c:v>44110</c:v>
                </c:pt>
                <c:pt idx="15">
                  <c:v>44111</c:v>
                </c:pt>
                <c:pt idx="16">
                  <c:v>44112</c:v>
                </c:pt>
                <c:pt idx="17">
                  <c:v>44113</c:v>
                </c:pt>
                <c:pt idx="18">
                  <c:v>44114</c:v>
                </c:pt>
                <c:pt idx="19">
                  <c:v>44115</c:v>
                </c:pt>
                <c:pt idx="20">
                  <c:v>44116</c:v>
                </c:pt>
                <c:pt idx="21">
                  <c:v>44117</c:v>
                </c:pt>
                <c:pt idx="22">
                  <c:v>44118</c:v>
                </c:pt>
                <c:pt idx="23">
                  <c:v>44119</c:v>
                </c:pt>
                <c:pt idx="24">
                  <c:v>44120</c:v>
                </c:pt>
                <c:pt idx="25">
                  <c:v>44121</c:v>
                </c:pt>
                <c:pt idx="26">
                  <c:v>44122</c:v>
                </c:pt>
                <c:pt idx="27">
                  <c:v>44123</c:v>
                </c:pt>
              </c:numCache>
            </c:numRef>
          </c:cat>
          <c:val>
            <c:numRef>
              <c:f>Kuvaajat!$D$37:$D$64</c:f>
              <c:numCache>
                <c:formatCode>General</c:formatCode>
                <c:ptCount val="28"/>
                <c:pt idx="0">
                  <c:v>104</c:v>
                </c:pt>
                <c:pt idx="1">
                  <c:v>118</c:v>
                </c:pt>
                <c:pt idx="2">
                  <c:v>97</c:v>
                </c:pt>
                <c:pt idx="3">
                  <c:v>127</c:v>
                </c:pt>
                <c:pt idx="4">
                  <c:v>73</c:v>
                </c:pt>
                <c:pt idx="5">
                  <c:v>71</c:v>
                </c:pt>
                <c:pt idx="6">
                  <c:v>122</c:v>
                </c:pt>
                <c:pt idx="7">
                  <c:v>133</c:v>
                </c:pt>
                <c:pt idx="8">
                  <c:v>165</c:v>
                </c:pt>
                <c:pt idx="9">
                  <c:v>188</c:v>
                </c:pt>
                <c:pt idx="10">
                  <c:v>187</c:v>
                </c:pt>
                <c:pt idx="11">
                  <c:v>169</c:v>
                </c:pt>
                <c:pt idx="12">
                  <c:v>147</c:v>
                </c:pt>
                <c:pt idx="13">
                  <c:v>289</c:v>
                </c:pt>
                <c:pt idx="14">
                  <c:v>299</c:v>
                </c:pt>
                <c:pt idx="15">
                  <c:v>309</c:v>
                </c:pt>
                <c:pt idx="16">
                  <c:v>261</c:v>
                </c:pt>
                <c:pt idx="17">
                  <c:v>227</c:v>
                </c:pt>
                <c:pt idx="18">
                  <c:v>113</c:v>
                </c:pt>
                <c:pt idx="19">
                  <c:v>132</c:v>
                </c:pt>
                <c:pt idx="20">
                  <c:v>238</c:v>
                </c:pt>
                <c:pt idx="21">
                  <c:v>188</c:v>
                </c:pt>
                <c:pt idx="22">
                  <c:v>196</c:v>
                </c:pt>
                <c:pt idx="23">
                  <c:v>181</c:v>
                </c:pt>
                <c:pt idx="24">
                  <c:v>176</c:v>
                </c:pt>
                <c:pt idx="25">
                  <c:v>77</c:v>
                </c:pt>
                <c:pt idx="26">
                  <c:v>88</c:v>
                </c:pt>
                <c:pt idx="27">
                  <c:v>14</c:v>
                </c:pt>
              </c:numCache>
            </c:numRef>
          </c:val>
          <c:extLst>
            <c:ext xmlns:c16="http://schemas.microsoft.com/office/drawing/2014/chart" uri="{C3380CC4-5D6E-409C-BE32-E72D297353CC}">
              <c16:uniqueId val="{00000000-0412-4813-B0A9-A85C88F98EAF}"/>
            </c:ext>
          </c:extLst>
        </c:ser>
        <c:dLbls>
          <c:showLegendKey val="0"/>
          <c:showVal val="0"/>
          <c:showCatName val="0"/>
          <c:showSerName val="0"/>
          <c:showPercent val="0"/>
          <c:showBubbleSize val="0"/>
        </c:dLbls>
        <c:gapWidth val="219"/>
        <c:overlap val="-27"/>
        <c:axId val="480642560"/>
        <c:axId val="480647152"/>
      </c:barChart>
      <c:dateAx>
        <c:axId val="480642560"/>
        <c:scaling>
          <c:orientation val="minMax"/>
        </c:scaling>
        <c:delete val="0"/>
        <c:axPos val="b"/>
        <c:numFmt formatCode="d/m/;@" sourceLinked="0"/>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647152"/>
        <c:crosses val="autoZero"/>
        <c:auto val="1"/>
        <c:lblOffset val="100"/>
        <c:baseTimeUnit val="days"/>
      </c:dateAx>
      <c:valAx>
        <c:axId val="4806471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64256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Kuvaajat!$A$33</c:f>
          <c:strCache>
            <c:ptCount val="1"/>
            <c:pt idx="0">
              <c:v>Kirjattuja COVID-19 tapauksia N=13849._x000d_Uusimmat lisäykset punaisella n=294.</c:v>
            </c:pt>
          </c:strCache>
        </c:strRef>
      </c:tx>
      <c:layout>
        <c:manualLayout>
          <c:xMode val="edge"/>
          <c:yMode val="edge"/>
          <c:x val="3.0686941588646169E-2"/>
          <c:y val="3.7342527329822323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1424125580687726E-2"/>
          <c:y val="2.4654741884523265E-2"/>
          <c:w val="0.9553305744471261"/>
          <c:h val="0.73824600974697219"/>
        </c:manualLayout>
      </c:layout>
      <c:barChart>
        <c:barDir val="col"/>
        <c:grouping val="clustered"/>
        <c:varyColors val="0"/>
        <c:ser>
          <c:idx val="0"/>
          <c:order val="0"/>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Kuvaajat!$B$37:$B$64</c:f>
              <c:numCache>
                <c:formatCode>d/m/yyyy;@</c:formatCode>
                <c:ptCount val="28"/>
                <c:pt idx="0">
                  <c:v>44096</c:v>
                </c:pt>
                <c:pt idx="1">
                  <c:v>44097</c:v>
                </c:pt>
                <c:pt idx="2">
                  <c:v>44098</c:v>
                </c:pt>
                <c:pt idx="3">
                  <c:v>44099</c:v>
                </c:pt>
                <c:pt idx="4">
                  <c:v>44100</c:v>
                </c:pt>
                <c:pt idx="5">
                  <c:v>44101</c:v>
                </c:pt>
                <c:pt idx="6">
                  <c:v>44102</c:v>
                </c:pt>
                <c:pt idx="7">
                  <c:v>44103</c:v>
                </c:pt>
                <c:pt idx="8">
                  <c:v>44104</c:v>
                </c:pt>
                <c:pt idx="9">
                  <c:v>44105</c:v>
                </c:pt>
                <c:pt idx="10">
                  <c:v>44106</c:v>
                </c:pt>
                <c:pt idx="11">
                  <c:v>44107</c:v>
                </c:pt>
                <c:pt idx="12">
                  <c:v>44108</c:v>
                </c:pt>
                <c:pt idx="13">
                  <c:v>44109</c:v>
                </c:pt>
                <c:pt idx="14">
                  <c:v>44110</c:v>
                </c:pt>
                <c:pt idx="15">
                  <c:v>44111</c:v>
                </c:pt>
                <c:pt idx="16">
                  <c:v>44112</c:v>
                </c:pt>
                <c:pt idx="17">
                  <c:v>44113</c:v>
                </c:pt>
                <c:pt idx="18">
                  <c:v>44114</c:v>
                </c:pt>
                <c:pt idx="19">
                  <c:v>44115</c:v>
                </c:pt>
                <c:pt idx="20">
                  <c:v>44116</c:v>
                </c:pt>
                <c:pt idx="21">
                  <c:v>44117</c:v>
                </c:pt>
                <c:pt idx="22">
                  <c:v>44118</c:v>
                </c:pt>
                <c:pt idx="23">
                  <c:v>44119</c:v>
                </c:pt>
                <c:pt idx="24">
                  <c:v>44120</c:v>
                </c:pt>
                <c:pt idx="25">
                  <c:v>44121</c:v>
                </c:pt>
                <c:pt idx="26">
                  <c:v>44122</c:v>
                </c:pt>
                <c:pt idx="27">
                  <c:v>44123</c:v>
                </c:pt>
              </c:numCache>
            </c:numRef>
          </c:cat>
          <c:val>
            <c:numRef>
              <c:f>Kuvaajat!$D$37:$D$64</c:f>
              <c:numCache>
                <c:formatCode>General</c:formatCode>
                <c:ptCount val="28"/>
                <c:pt idx="0">
                  <c:v>104</c:v>
                </c:pt>
                <c:pt idx="1">
                  <c:v>118</c:v>
                </c:pt>
                <c:pt idx="2">
                  <c:v>97</c:v>
                </c:pt>
                <c:pt idx="3">
                  <c:v>127</c:v>
                </c:pt>
                <c:pt idx="4">
                  <c:v>73</c:v>
                </c:pt>
                <c:pt idx="5">
                  <c:v>71</c:v>
                </c:pt>
                <c:pt idx="6">
                  <c:v>122</c:v>
                </c:pt>
                <c:pt idx="7">
                  <c:v>133</c:v>
                </c:pt>
                <c:pt idx="8">
                  <c:v>165</c:v>
                </c:pt>
                <c:pt idx="9">
                  <c:v>188</c:v>
                </c:pt>
                <c:pt idx="10">
                  <c:v>187</c:v>
                </c:pt>
                <c:pt idx="11">
                  <c:v>169</c:v>
                </c:pt>
                <c:pt idx="12">
                  <c:v>147</c:v>
                </c:pt>
                <c:pt idx="13">
                  <c:v>289</c:v>
                </c:pt>
                <c:pt idx="14">
                  <c:v>299</c:v>
                </c:pt>
                <c:pt idx="15">
                  <c:v>309</c:v>
                </c:pt>
                <c:pt idx="16">
                  <c:v>261</c:v>
                </c:pt>
                <c:pt idx="17">
                  <c:v>227</c:v>
                </c:pt>
                <c:pt idx="18">
                  <c:v>113</c:v>
                </c:pt>
                <c:pt idx="19">
                  <c:v>132</c:v>
                </c:pt>
                <c:pt idx="20">
                  <c:v>238</c:v>
                </c:pt>
                <c:pt idx="21">
                  <c:v>188</c:v>
                </c:pt>
                <c:pt idx="22">
                  <c:v>196</c:v>
                </c:pt>
                <c:pt idx="23">
                  <c:v>181</c:v>
                </c:pt>
                <c:pt idx="24">
                  <c:v>176</c:v>
                </c:pt>
                <c:pt idx="25">
                  <c:v>77</c:v>
                </c:pt>
                <c:pt idx="26">
                  <c:v>88</c:v>
                </c:pt>
                <c:pt idx="27">
                  <c:v>14</c:v>
                </c:pt>
              </c:numCache>
            </c:numRef>
          </c:val>
          <c:extLst>
            <c:ext xmlns:c16="http://schemas.microsoft.com/office/drawing/2014/chart" uri="{C3380CC4-5D6E-409C-BE32-E72D297353CC}">
              <c16:uniqueId val="{00000000-8404-4412-A023-FFC5688AA051}"/>
            </c:ext>
          </c:extLst>
        </c:ser>
        <c:ser>
          <c:idx val="1"/>
          <c:order val="1"/>
          <c:spPr>
            <a:solidFill>
              <a:srgbClr val="FF0000"/>
            </a:solidFill>
            <a:ln>
              <a:solidFill>
                <a:srgbClr val="FF0000"/>
              </a:solidFill>
            </a:ln>
            <a:effectLst/>
          </c:spPr>
          <c:invertIfNegative val="0"/>
          <c:dLbls>
            <c:dLbl>
              <c:idx val="20"/>
              <c:layout>
                <c:manualLayout>
                  <c:x val="6.8130020833837499E-3"/>
                  <c:y val="0.10265926507775007"/>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B1BF-40F3-ACCA-3BA4D519DB9F}"/>
                </c:ext>
              </c:extLst>
            </c:dLbl>
            <c:dLbl>
              <c:idx val="21"/>
              <c:layout>
                <c:manualLayout>
                  <c:x val="1.36260041667677E-3"/>
                  <c:y val="0.11158615769320668"/>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B1BF-40F3-ACCA-3BA4D519DB9F}"/>
                </c:ext>
              </c:extLst>
            </c:dLbl>
            <c:dLbl>
              <c:idx val="26"/>
              <c:layout>
                <c:manualLayout>
                  <c:x val="1.2595590427598989E-2"/>
                  <c:y val="0"/>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8A9-466C-AC51-1FE78B903D8D}"/>
                </c:ext>
              </c:extLst>
            </c:dLbl>
            <c:dLbl>
              <c:idx val="27"/>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2.3805665908162525E-2"/>
                      <c:h val="0.10616854259622106"/>
                    </c:manualLayout>
                  </c15:layout>
                </c:ext>
                <c:ext xmlns:c16="http://schemas.microsoft.com/office/drawing/2014/chart" uri="{C3380CC4-5D6E-409C-BE32-E72D297353CC}">
                  <c16:uniqueId val="{00000001-08A9-466C-AC51-1FE78B903D8D}"/>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Kuvaajat!$B$37:$B$64</c:f>
              <c:numCache>
                <c:formatCode>d/m/yyyy;@</c:formatCode>
                <c:ptCount val="28"/>
                <c:pt idx="0">
                  <c:v>44096</c:v>
                </c:pt>
                <c:pt idx="1">
                  <c:v>44097</c:v>
                </c:pt>
                <c:pt idx="2">
                  <c:v>44098</c:v>
                </c:pt>
                <c:pt idx="3">
                  <c:v>44099</c:v>
                </c:pt>
                <c:pt idx="4">
                  <c:v>44100</c:v>
                </c:pt>
                <c:pt idx="5">
                  <c:v>44101</c:v>
                </c:pt>
                <c:pt idx="6">
                  <c:v>44102</c:v>
                </c:pt>
                <c:pt idx="7">
                  <c:v>44103</c:v>
                </c:pt>
                <c:pt idx="8">
                  <c:v>44104</c:v>
                </c:pt>
                <c:pt idx="9">
                  <c:v>44105</c:v>
                </c:pt>
                <c:pt idx="10">
                  <c:v>44106</c:v>
                </c:pt>
                <c:pt idx="11">
                  <c:v>44107</c:v>
                </c:pt>
                <c:pt idx="12">
                  <c:v>44108</c:v>
                </c:pt>
                <c:pt idx="13">
                  <c:v>44109</c:v>
                </c:pt>
                <c:pt idx="14">
                  <c:v>44110</c:v>
                </c:pt>
                <c:pt idx="15">
                  <c:v>44111</c:v>
                </c:pt>
                <c:pt idx="16">
                  <c:v>44112</c:v>
                </c:pt>
                <c:pt idx="17">
                  <c:v>44113</c:v>
                </c:pt>
                <c:pt idx="18">
                  <c:v>44114</c:v>
                </c:pt>
                <c:pt idx="19">
                  <c:v>44115</c:v>
                </c:pt>
                <c:pt idx="20">
                  <c:v>44116</c:v>
                </c:pt>
                <c:pt idx="21">
                  <c:v>44117</c:v>
                </c:pt>
                <c:pt idx="22">
                  <c:v>44118</c:v>
                </c:pt>
                <c:pt idx="23">
                  <c:v>44119</c:v>
                </c:pt>
                <c:pt idx="24">
                  <c:v>44120</c:v>
                </c:pt>
                <c:pt idx="25">
                  <c:v>44121</c:v>
                </c:pt>
                <c:pt idx="26">
                  <c:v>44122</c:v>
                </c:pt>
                <c:pt idx="27">
                  <c:v>44123</c:v>
                </c:pt>
              </c:numCache>
            </c:numRef>
          </c:cat>
          <c:val>
            <c:numRef>
              <c:f>Kuvaajat!$E$37:$E$64</c:f>
              <c:numCache>
                <c:formatCode>General</c:formatCode>
                <c:ptCount val="28"/>
                <c:pt idx="0">
                  <c:v>0</c:v>
                </c:pt>
                <c:pt idx="1">
                  <c:v>0</c:v>
                </c:pt>
                <c:pt idx="2">
                  <c:v>0</c:v>
                </c:pt>
                <c:pt idx="3">
                  <c:v>0</c:v>
                </c:pt>
                <c:pt idx="4">
                  <c:v>0</c:v>
                </c:pt>
                <c:pt idx="5">
                  <c:v>0</c:v>
                </c:pt>
                <c:pt idx="6">
                  <c:v>0</c:v>
                </c:pt>
                <c:pt idx="7">
                  <c:v>0</c:v>
                </c:pt>
                <c:pt idx="8">
                  <c:v>0</c:v>
                </c:pt>
                <c:pt idx="9">
                  <c:v>0</c:v>
                </c:pt>
                <c:pt idx="10">
                  <c:v>0</c:v>
                </c:pt>
                <c:pt idx="11">
                  <c:v>0</c:v>
                </c:pt>
                <c:pt idx="12">
                  <c:v>0</c:v>
                </c:pt>
                <c:pt idx="13">
                  <c:v>3</c:v>
                </c:pt>
                <c:pt idx="14">
                  <c:v>0</c:v>
                </c:pt>
                <c:pt idx="15">
                  <c:v>1</c:v>
                </c:pt>
                <c:pt idx="16">
                  <c:v>0</c:v>
                </c:pt>
                <c:pt idx="17">
                  <c:v>-1</c:v>
                </c:pt>
                <c:pt idx="18">
                  <c:v>1</c:v>
                </c:pt>
                <c:pt idx="19">
                  <c:v>2</c:v>
                </c:pt>
                <c:pt idx="20">
                  <c:v>30</c:v>
                </c:pt>
                <c:pt idx="21">
                  <c:v>36</c:v>
                </c:pt>
                <c:pt idx="22">
                  <c:v>44</c:v>
                </c:pt>
                <c:pt idx="23">
                  <c:v>45</c:v>
                </c:pt>
                <c:pt idx="24">
                  <c:v>37</c:v>
                </c:pt>
                <c:pt idx="25">
                  <c:v>22</c:v>
                </c:pt>
                <c:pt idx="26">
                  <c:v>60</c:v>
                </c:pt>
                <c:pt idx="27">
                  <c:v>14</c:v>
                </c:pt>
              </c:numCache>
            </c:numRef>
          </c:val>
          <c:extLst>
            <c:ext xmlns:c16="http://schemas.microsoft.com/office/drawing/2014/chart" uri="{C3380CC4-5D6E-409C-BE32-E72D297353CC}">
              <c16:uniqueId val="{00000001-8404-4412-A023-FFC5688AA051}"/>
            </c:ext>
          </c:extLst>
        </c:ser>
        <c:dLbls>
          <c:showLegendKey val="0"/>
          <c:showVal val="0"/>
          <c:showCatName val="0"/>
          <c:showSerName val="0"/>
          <c:showPercent val="0"/>
          <c:showBubbleSize val="0"/>
        </c:dLbls>
        <c:gapWidth val="219"/>
        <c:overlap val="-27"/>
        <c:axId val="499878640"/>
        <c:axId val="499876016"/>
      </c:barChart>
      <c:catAx>
        <c:axId val="499878640"/>
        <c:scaling>
          <c:orientation val="minMax"/>
        </c:scaling>
        <c:delete val="0"/>
        <c:axPos val="b"/>
        <c:numFmt formatCode="d/m/;@" sourceLinked="0"/>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t"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876016"/>
        <c:crosses val="autoZero"/>
        <c:auto val="0"/>
        <c:lblAlgn val="ctr"/>
        <c:lblOffset val="100"/>
        <c:noMultiLvlLbl val="0"/>
      </c:catAx>
      <c:valAx>
        <c:axId val="499876016"/>
        <c:scaling>
          <c:orientation val="minMax"/>
          <c:min val="-5"/>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low"/>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8786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348343</xdr:colOff>
          <xdr:row>0</xdr:row>
          <xdr:rowOff>43543</xdr:rowOff>
        </xdr:from>
        <xdr:to>
          <xdr:col>1</xdr:col>
          <xdr:colOff>1355271</xdr:colOff>
          <xdr:row>0</xdr:row>
          <xdr:rowOff>419100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Päivitä</a:t>
              </a:r>
            </a:p>
          </xdr:txBody>
        </xdr:sp>
        <xdr:clientData fPrintsWithSheet="0"/>
      </xdr:twoCellAnchor>
    </mc:Choice>
    <mc:Fallback/>
  </mc:AlternateContent>
  <xdr:twoCellAnchor>
    <xdr:from>
      <xdr:col>1</xdr:col>
      <xdr:colOff>386441</xdr:colOff>
      <xdr:row>7</xdr:row>
      <xdr:rowOff>21771</xdr:rowOff>
    </xdr:from>
    <xdr:to>
      <xdr:col>11</xdr:col>
      <xdr:colOff>462642</xdr:colOff>
      <xdr:row>24</xdr:row>
      <xdr:rowOff>160564</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527957</xdr:colOff>
      <xdr:row>26</xdr:row>
      <xdr:rowOff>157842</xdr:rowOff>
    </xdr:from>
    <xdr:to>
      <xdr:col>5</xdr:col>
      <xdr:colOff>103414</xdr:colOff>
      <xdr:row>41</xdr:row>
      <xdr:rowOff>125185</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163286</xdr:colOff>
      <xdr:row>0</xdr:row>
      <xdr:rowOff>92529</xdr:rowOff>
    </xdr:from>
    <xdr:to>
      <xdr:col>9</xdr:col>
      <xdr:colOff>119744</xdr:colOff>
      <xdr:row>12</xdr:row>
      <xdr:rowOff>102455</xdr:rowOff>
    </xdr:to>
    <xdr:graphicFrame macro="">
      <xdr:nvGraphicFramePr>
        <xdr:cNvPr id="2" name="Chart 1">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359229</xdr:colOff>
          <xdr:row>9</xdr:row>
          <xdr:rowOff>103414</xdr:rowOff>
        </xdr:from>
        <xdr:to>
          <xdr:col>11</xdr:col>
          <xdr:colOff>59871</xdr:colOff>
          <xdr:row>11</xdr:row>
          <xdr:rowOff>108857</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Päivitä</a:t>
              </a:r>
            </a:p>
          </xdr:txBody>
        </xdr:sp>
        <xdr:clientData fPrintsWithSheet="0"/>
      </xdr:twoCellAnchor>
    </mc:Choice>
    <mc:Fallback/>
  </mc:AlternateContent>
  <xdr:twoCellAnchor>
    <xdr:from>
      <xdr:col>0</xdr:col>
      <xdr:colOff>163284</xdr:colOff>
      <xdr:row>13</xdr:row>
      <xdr:rowOff>112059</xdr:rowOff>
    </xdr:from>
    <xdr:to>
      <xdr:col>13</xdr:col>
      <xdr:colOff>615043</xdr:colOff>
      <xdr:row>28</xdr:row>
      <xdr:rowOff>171932</xdr:rowOff>
    </xdr:to>
    <xdr:graphicFrame macro="">
      <xdr:nvGraphicFramePr>
        <xdr:cNvPr id="3" name="Chart 2">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615043</xdr:colOff>
      <xdr:row>29</xdr:row>
      <xdr:rowOff>32656</xdr:rowOff>
    </xdr:from>
    <xdr:to>
      <xdr:col>3</xdr:col>
      <xdr:colOff>506185</xdr:colOff>
      <xdr:row>29</xdr:row>
      <xdr:rowOff>48985</xdr:rowOff>
    </xdr:to>
    <xdr:cxnSp macro="">
      <xdr:nvCxnSpPr>
        <xdr:cNvPr id="9" name="Straight Arrow Connector 8">
          <a:extLst>
            <a:ext uri="{FF2B5EF4-FFF2-40B4-BE49-F238E27FC236}">
              <a16:creationId xmlns:a16="http://schemas.microsoft.com/office/drawing/2014/main" id="{00000000-0008-0000-0200-000009000000}"/>
            </a:ext>
          </a:extLst>
        </xdr:cNvPr>
        <xdr:cNvCxnSpPr/>
      </xdr:nvCxnSpPr>
      <xdr:spPr>
        <a:xfrm flipV="1">
          <a:off x="615043" y="5540827"/>
          <a:ext cx="1850571" cy="16329"/>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580143</xdr:colOff>
      <xdr:row>29</xdr:row>
      <xdr:rowOff>73637</xdr:rowOff>
    </xdr:from>
    <xdr:to>
      <xdr:col>13</xdr:col>
      <xdr:colOff>438629</xdr:colOff>
      <xdr:row>29</xdr:row>
      <xdr:rowOff>79080</xdr:rowOff>
    </xdr:to>
    <xdr:cxnSp macro="">
      <xdr:nvCxnSpPr>
        <xdr:cNvPr id="17" name="Straight Arrow Connector 16">
          <a:extLst>
            <a:ext uri="{FF2B5EF4-FFF2-40B4-BE49-F238E27FC236}">
              <a16:creationId xmlns:a16="http://schemas.microsoft.com/office/drawing/2014/main" id="{00000000-0008-0000-0200-000011000000}"/>
            </a:ext>
          </a:extLst>
        </xdr:cNvPr>
        <xdr:cNvCxnSpPr/>
      </xdr:nvCxnSpPr>
      <xdr:spPr>
        <a:xfrm>
          <a:off x="7284462" y="5414041"/>
          <a:ext cx="2022822" cy="5443"/>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377798</xdr:colOff>
      <xdr:row>29</xdr:row>
      <xdr:rowOff>57630</xdr:rowOff>
    </xdr:from>
    <xdr:to>
      <xdr:col>10</xdr:col>
      <xdr:colOff>383240</xdr:colOff>
      <xdr:row>29</xdr:row>
      <xdr:rowOff>62752</xdr:rowOff>
    </xdr:to>
    <xdr:cxnSp macro="">
      <xdr:nvCxnSpPr>
        <xdr:cNvPr id="19" name="Straight Arrow Connector 18">
          <a:extLst>
            <a:ext uri="{FF2B5EF4-FFF2-40B4-BE49-F238E27FC236}">
              <a16:creationId xmlns:a16="http://schemas.microsoft.com/office/drawing/2014/main" id="{00000000-0008-0000-0200-000013000000}"/>
            </a:ext>
          </a:extLst>
        </xdr:cNvPr>
        <xdr:cNvCxnSpPr/>
      </xdr:nvCxnSpPr>
      <xdr:spPr>
        <a:xfrm>
          <a:off x="5122689" y="5398034"/>
          <a:ext cx="1964870" cy="5122"/>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96051</xdr:colOff>
      <xdr:row>29</xdr:row>
      <xdr:rowOff>32016</xdr:rowOff>
    </xdr:from>
    <xdr:to>
      <xdr:col>7</xdr:col>
      <xdr:colOff>57630</xdr:colOff>
      <xdr:row>29</xdr:row>
      <xdr:rowOff>70436</xdr:rowOff>
    </xdr:to>
    <xdr:cxnSp macro="">
      <xdr:nvCxnSpPr>
        <xdr:cNvPr id="20" name="Straight Arrow Connector 19">
          <a:extLst>
            <a:ext uri="{FF2B5EF4-FFF2-40B4-BE49-F238E27FC236}">
              <a16:creationId xmlns:a16="http://schemas.microsoft.com/office/drawing/2014/main" id="{00000000-0008-0000-0200-000014000000}"/>
            </a:ext>
          </a:extLst>
        </xdr:cNvPr>
        <xdr:cNvCxnSpPr/>
      </xdr:nvCxnSpPr>
      <xdr:spPr>
        <a:xfrm>
          <a:off x="2881513" y="5372420"/>
          <a:ext cx="1921008" cy="38420"/>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jussivirkkala/excel/" TargetMode="External"/><Relationship Id="rId2" Type="http://schemas.openxmlformats.org/officeDocument/2006/relationships/hyperlink" Target="https://github.com/HS-Datadesk/koronavirus-avoindata" TargetMode="External"/><Relationship Id="rId1" Type="http://schemas.openxmlformats.org/officeDocument/2006/relationships/hyperlink" Target="https://twitter.com/jussivirkkala" TargetMode="External"/><Relationship Id="rId5" Type="http://schemas.openxmlformats.org/officeDocument/2006/relationships/printerSettings" Target="../printerSettings/printerSettings1.bin"/><Relationship Id="rId4" Type="http://schemas.openxmlformats.org/officeDocument/2006/relationships/hyperlink" Target="https://w3qa5ydb4l.execute-api.eu-west-1.amazonaws.com/prod/processedThlData"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64088F-245B-4E79-B515-7C94FED28A0F}">
  <sheetPr codeName="Sheet3"/>
  <dimension ref="A2:G15"/>
  <sheetViews>
    <sheetView workbookViewId="0">
      <selection activeCell="A17" sqref="A17"/>
    </sheetView>
  </sheetViews>
  <sheetFormatPr defaultRowHeight="14.6"/>
  <sheetData>
    <row r="2" spans="1:7" ht="14.6" customHeight="1">
      <c r="A2" s="17" t="s">
        <v>10</v>
      </c>
      <c r="B2" s="18"/>
      <c r="C2" s="18"/>
      <c r="D2" s="18"/>
      <c r="E2" s="18"/>
      <c r="F2" s="18"/>
      <c r="G2" s="18"/>
    </row>
    <row r="3" spans="1:7">
      <c r="A3" s="18"/>
      <c r="B3" s="18"/>
      <c r="C3" s="18"/>
      <c r="D3" s="18"/>
      <c r="E3" s="18"/>
      <c r="F3" s="18"/>
      <c r="G3" s="18"/>
    </row>
    <row r="4" spans="1:7">
      <c r="A4" s="18"/>
      <c r="B4" s="18"/>
      <c r="C4" s="18"/>
      <c r="D4" s="18"/>
      <c r="E4" s="18"/>
      <c r="F4" s="18"/>
      <c r="G4" s="18"/>
    </row>
    <row r="5" spans="1:7">
      <c r="A5" s="18"/>
      <c r="B5" s="18"/>
      <c r="C5" s="18"/>
      <c r="D5" s="18"/>
      <c r="E5" s="18"/>
      <c r="F5" s="18"/>
      <c r="G5" s="18"/>
    </row>
    <row r="6" spans="1:7">
      <c r="A6" s="18"/>
      <c r="B6" s="18"/>
      <c r="C6" s="18"/>
      <c r="D6" s="18"/>
      <c r="E6" s="18"/>
      <c r="F6" s="18"/>
      <c r="G6" s="18"/>
    </row>
    <row r="7" spans="1:7">
      <c r="A7" s="18"/>
      <c r="B7" s="18"/>
      <c r="C7" s="18"/>
      <c r="D7" s="18"/>
      <c r="E7" s="18"/>
      <c r="F7" s="18"/>
      <c r="G7" s="18"/>
    </row>
    <row r="8" spans="1:7">
      <c r="E8" s="3"/>
      <c r="F8" s="5"/>
    </row>
    <row r="9" spans="1:7">
      <c r="A9" s="2" t="s">
        <v>3</v>
      </c>
      <c r="E9" s="3"/>
    </row>
    <row r="10" spans="1:7">
      <c r="A10" s="2" t="s">
        <v>233</v>
      </c>
      <c r="E10" s="3"/>
      <c r="F10" s="5"/>
    </row>
    <row r="11" spans="1:7">
      <c r="E11" s="3"/>
      <c r="F11" s="5"/>
    </row>
    <row r="12" spans="1:7">
      <c r="A12" s="2" t="s">
        <v>4</v>
      </c>
      <c r="E12" s="3"/>
      <c r="F12" s="5"/>
    </row>
    <row r="13" spans="1:7">
      <c r="A13" s="2" t="s">
        <v>2</v>
      </c>
      <c r="E13" s="3"/>
      <c r="F13" s="5"/>
    </row>
    <row r="15" spans="1:7">
      <c r="A15" t="s">
        <v>230</v>
      </c>
    </row>
  </sheetData>
  <mergeCells count="1">
    <mergeCell ref="A2:G7"/>
  </mergeCells>
  <hyperlinks>
    <hyperlink ref="A13" r:id="rId1" xr:uid="{F8FA84BD-A594-4E50-8533-EFEB1B4E2616}"/>
    <hyperlink ref="A9" r:id="rId2" xr:uid="{3C641F14-022E-4A09-BCA3-F517507E4420}"/>
    <hyperlink ref="A12" r:id="rId3" xr:uid="{A2A2D222-8F1A-41CF-A12E-D0174C77E917}"/>
    <hyperlink ref="A10" r:id="rId4" xr:uid="{463C0BF0-7367-4C34-802B-5C0500A4F227}"/>
  </hyperlinks>
  <pageMargins left="0.7" right="0.7" top="0.75" bottom="0.75" header="0.3" footer="0.3"/>
  <pageSetup paperSize="9" orientation="portrait" horizontalDpi="300" verticalDpi="300" r:id="rId5"/>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0CF48C-E45F-4CC9-BCBF-EA577CECB1AD}">
  <sheetPr codeName="Sheet1"/>
  <dimension ref="A1:M295"/>
  <sheetViews>
    <sheetView workbookViewId="0">
      <pane ySplit="1" topLeftCell="A2" activePane="bottomLeft" state="frozen"/>
      <selection pane="bottomLeft" activeCell="G5" sqref="G5"/>
    </sheetView>
  </sheetViews>
  <sheetFormatPr defaultRowHeight="14.6"/>
  <cols>
    <col min="2" max="2" width="22.84375" bestFit="1" customWidth="1"/>
    <col min="3" max="3" width="17.15234375" bestFit="1" customWidth="1"/>
    <col min="4" max="4" width="6.07421875" customWidth="1"/>
    <col min="5" max="5" width="15.3046875" style="3" bestFit="1" customWidth="1"/>
    <col min="6" max="6" width="14" style="5" bestFit="1" customWidth="1"/>
    <col min="8" max="8" width="5.921875" style="4" customWidth="1"/>
    <col min="9" max="9" width="16.765625" customWidth="1"/>
    <col min="12" max="12" width="14" bestFit="1" customWidth="1"/>
  </cols>
  <sheetData>
    <row r="1" spans="1:13" s="7" customFormat="1" ht="40" customHeight="1">
      <c r="A1" s="7" t="s">
        <v>291</v>
      </c>
      <c r="B1" s="1" t="s">
        <v>1</v>
      </c>
      <c r="C1" s="1" t="s">
        <v>9</v>
      </c>
      <c r="D1" s="1" t="s">
        <v>292</v>
      </c>
      <c r="E1" s="1" t="s">
        <v>301</v>
      </c>
      <c r="F1" s="6" t="s">
        <v>7</v>
      </c>
      <c r="G1" s="1" t="s">
        <v>0</v>
      </c>
      <c r="H1" s="7">
        <f>SUM(A:A)</f>
        <v>13849</v>
      </c>
      <c r="I1" s="8">
        <v>44124.492731481485</v>
      </c>
      <c r="J1" s="7">
        <f>MAX(Id)</f>
        <v>309</v>
      </c>
      <c r="K1" s="16">
        <f>VLOOKUP(J1,A:F,6,FALSE)</f>
        <v>44111.625</v>
      </c>
      <c r="L1" s="7" t="str">
        <f>"Päivittäisiä Korona tapauksia vuoden 2020 alusta lähtien "&amp;TEXT(MAX(F:F)-5,"p.kk")&amp;" saakka. Suurin arvo "&amp;J1&amp;", joka "&amp;TEXT(K1,"p.kk")&amp;". Uusimpien 5 päivien arvot tulevat viiveellä, joten ne jätetty pois."</f>
        <v>Päivittäisiä Korona tapauksia vuoden 2020 alusta lähtien 15.10 saakka. Suurin arvo 309, joka 7.10. Uusimpien 5 päivien arvot tulevat viiveellä, joten ne jätetty pois.</v>
      </c>
      <c r="M1" s="7">
        <f>COUNTA(Id)-2-5</f>
        <v>288</v>
      </c>
    </row>
    <row r="2" spans="1:13">
      <c r="A2">
        <v>0</v>
      </c>
      <c r="B2" t="s">
        <v>235</v>
      </c>
      <c r="C2" t="s">
        <v>8</v>
      </c>
      <c r="E2" s="3">
        <f>WEEKDAY(F2,2)</f>
        <v>3</v>
      </c>
      <c r="F2" s="5">
        <v>43831.625</v>
      </c>
    </row>
    <row r="3" spans="1:13">
      <c r="A3">
        <v>0</v>
      </c>
      <c r="B3" t="s">
        <v>236</v>
      </c>
      <c r="C3" t="s">
        <v>8</v>
      </c>
      <c r="E3" s="3">
        <f t="shared" ref="E3:E66" si="0">WEEKDAY(F3,2)</f>
        <v>4</v>
      </c>
      <c r="F3" s="5">
        <v>43832.625</v>
      </c>
    </row>
    <row r="4" spans="1:13">
      <c r="A4">
        <v>0</v>
      </c>
      <c r="B4" t="s">
        <v>237</v>
      </c>
      <c r="C4" t="s">
        <v>8</v>
      </c>
      <c r="E4" s="3">
        <f t="shared" si="0"/>
        <v>5</v>
      </c>
      <c r="F4" s="5">
        <v>43833.625</v>
      </c>
    </row>
    <row r="5" spans="1:13">
      <c r="A5">
        <v>0</v>
      </c>
      <c r="B5" t="s">
        <v>238</v>
      </c>
      <c r="C5" t="s">
        <v>8</v>
      </c>
      <c r="E5" s="3">
        <f t="shared" si="0"/>
        <v>6</v>
      </c>
      <c r="F5" s="5">
        <v>43834.625</v>
      </c>
    </row>
    <row r="6" spans="1:13">
      <c r="A6">
        <v>0</v>
      </c>
      <c r="B6" t="s">
        <v>239</v>
      </c>
      <c r="C6" t="s">
        <v>8</v>
      </c>
      <c r="E6" s="3">
        <f t="shared" si="0"/>
        <v>7</v>
      </c>
      <c r="F6" s="5">
        <v>43835.625</v>
      </c>
    </row>
    <row r="7" spans="1:13">
      <c r="A7">
        <v>0</v>
      </c>
      <c r="B7" t="s">
        <v>240</v>
      </c>
      <c r="C7" t="s">
        <v>8</v>
      </c>
      <c r="E7" s="3">
        <f t="shared" si="0"/>
        <v>1</v>
      </c>
      <c r="F7" s="5">
        <v>43836.625</v>
      </c>
    </row>
    <row r="8" spans="1:13">
      <c r="A8">
        <v>0</v>
      </c>
      <c r="B8" t="s">
        <v>241</v>
      </c>
      <c r="C8" t="s">
        <v>8</v>
      </c>
      <c r="E8" s="3">
        <f t="shared" si="0"/>
        <v>2</v>
      </c>
      <c r="F8" s="5">
        <v>43837.625</v>
      </c>
      <c r="H8"/>
    </row>
    <row r="9" spans="1:13">
      <c r="A9">
        <v>0</v>
      </c>
      <c r="B9" t="s">
        <v>242</v>
      </c>
      <c r="C9" t="s">
        <v>8</v>
      </c>
      <c r="E9" s="3">
        <f t="shared" si="0"/>
        <v>3</v>
      </c>
      <c r="F9" s="5">
        <v>43838.625</v>
      </c>
      <c r="H9"/>
    </row>
    <row r="10" spans="1:13">
      <c r="A10">
        <v>0</v>
      </c>
      <c r="B10" t="s">
        <v>243</v>
      </c>
      <c r="C10" t="s">
        <v>8</v>
      </c>
      <c r="E10" s="3">
        <f t="shared" si="0"/>
        <v>4</v>
      </c>
      <c r="F10" s="5">
        <v>43839.625</v>
      </c>
      <c r="H10"/>
    </row>
    <row r="11" spans="1:13">
      <c r="A11">
        <v>0</v>
      </c>
      <c r="B11" t="s">
        <v>244</v>
      </c>
      <c r="C11" t="s">
        <v>8</v>
      </c>
      <c r="E11" s="3">
        <f t="shared" si="0"/>
        <v>5</v>
      </c>
      <c r="F11" s="5">
        <v>43840.625</v>
      </c>
    </row>
    <row r="12" spans="1:13">
      <c r="A12">
        <v>0</v>
      </c>
      <c r="B12" t="s">
        <v>245</v>
      </c>
      <c r="C12" t="s">
        <v>8</v>
      </c>
      <c r="E12" s="3">
        <f t="shared" si="0"/>
        <v>6</v>
      </c>
      <c r="F12" s="5">
        <v>43841.625</v>
      </c>
    </row>
    <row r="13" spans="1:13">
      <c r="A13">
        <v>0</v>
      </c>
      <c r="B13" t="s">
        <v>246</v>
      </c>
      <c r="C13" t="s">
        <v>8</v>
      </c>
      <c r="E13" s="3">
        <f t="shared" si="0"/>
        <v>7</v>
      </c>
      <c r="F13" s="5">
        <v>43842.625</v>
      </c>
    </row>
    <row r="14" spans="1:13">
      <c r="A14">
        <v>0</v>
      </c>
      <c r="B14" t="s">
        <v>247</v>
      </c>
      <c r="C14" t="s">
        <v>8</v>
      </c>
      <c r="E14" s="3">
        <f t="shared" si="0"/>
        <v>1</v>
      </c>
      <c r="F14" s="5">
        <v>43843.625</v>
      </c>
    </row>
    <row r="15" spans="1:13">
      <c r="A15">
        <v>0</v>
      </c>
      <c r="B15" t="s">
        <v>248</v>
      </c>
      <c r="C15" t="s">
        <v>8</v>
      </c>
      <c r="E15" s="3">
        <f t="shared" si="0"/>
        <v>2</v>
      </c>
      <c r="F15" s="5">
        <v>43844.625</v>
      </c>
    </row>
    <row r="16" spans="1:13">
      <c r="A16">
        <v>0</v>
      </c>
      <c r="B16" t="s">
        <v>249</v>
      </c>
      <c r="C16" t="s">
        <v>8</v>
      </c>
      <c r="E16" s="3">
        <f t="shared" si="0"/>
        <v>3</v>
      </c>
      <c r="F16" s="5">
        <v>43845.625</v>
      </c>
    </row>
    <row r="17" spans="1:11">
      <c r="A17">
        <v>0</v>
      </c>
      <c r="B17" t="s">
        <v>250</v>
      </c>
      <c r="C17" t="s">
        <v>8</v>
      </c>
      <c r="E17" s="3">
        <f t="shared" si="0"/>
        <v>4</v>
      </c>
      <c r="F17" s="5">
        <v>43846.625</v>
      </c>
    </row>
    <row r="18" spans="1:11">
      <c r="A18">
        <v>0</v>
      </c>
      <c r="B18" t="s">
        <v>251</v>
      </c>
      <c r="C18" t="s">
        <v>8</v>
      </c>
      <c r="E18" s="3">
        <f t="shared" si="0"/>
        <v>5</v>
      </c>
      <c r="F18" s="5">
        <v>43847.625</v>
      </c>
    </row>
    <row r="19" spans="1:11">
      <c r="A19">
        <v>0</v>
      </c>
      <c r="B19" t="s">
        <v>252</v>
      </c>
      <c r="C19" t="s">
        <v>8</v>
      </c>
      <c r="E19" s="3">
        <f t="shared" si="0"/>
        <v>6</v>
      </c>
      <c r="F19" s="5">
        <v>43848.625</v>
      </c>
    </row>
    <row r="20" spans="1:11">
      <c r="A20">
        <v>0</v>
      </c>
      <c r="B20" t="s">
        <v>253</v>
      </c>
      <c r="C20" t="s">
        <v>8</v>
      </c>
      <c r="E20" s="3">
        <f t="shared" si="0"/>
        <v>7</v>
      </c>
      <c r="F20" s="5">
        <v>43849.625</v>
      </c>
    </row>
    <row r="21" spans="1:11">
      <c r="A21">
        <v>0</v>
      </c>
      <c r="B21" t="s">
        <v>254</v>
      </c>
      <c r="C21" t="s">
        <v>8</v>
      </c>
      <c r="E21" s="3">
        <f t="shared" si="0"/>
        <v>1</v>
      </c>
      <c r="F21" s="5">
        <v>43850.625</v>
      </c>
    </row>
    <row r="22" spans="1:11">
      <c r="A22">
        <v>0</v>
      </c>
      <c r="B22" t="s">
        <v>255</v>
      </c>
      <c r="C22" t="s">
        <v>8</v>
      </c>
      <c r="E22" s="3">
        <f t="shared" si="0"/>
        <v>2</v>
      </c>
      <c r="F22" s="5">
        <v>43851.625</v>
      </c>
    </row>
    <row r="23" spans="1:11">
      <c r="A23">
        <v>0</v>
      </c>
      <c r="B23" t="s">
        <v>256</v>
      </c>
      <c r="C23" t="s">
        <v>8</v>
      </c>
      <c r="E23" s="3">
        <f t="shared" si="0"/>
        <v>3</v>
      </c>
      <c r="F23" s="5">
        <v>43852.625</v>
      </c>
    </row>
    <row r="24" spans="1:11">
      <c r="A24">
        <v>0</v>
      </c>
      <c r="B24" t="s">
        <v>257</v>
      </c>
      <c r="C24" t="s">
        <v>8</v>
      </c>
      <c r="E24" s="3">
        <f t="shared" si="0"/>
        <v>4</v>
      </c>
      <c r="F24" s="5">
        <v>43853.625</v>
      </c>
    </row>
    <row r="25" spans="1:11">
      <c r="A25">
        <v>0</v>
      </c>
      <c r="B25" t="s">
        <v>258</v>
      </c>
      <c r="C25" t="s">
        <v>8</v>
      </c>
      <c r="E25" s="3">
        <f t="shared" si="0"/>
        <v>5</v>
      </c>
      <c r="F25" s="5">
        <v>43854.625</v>
      </c>
    </row>
    <row r="26" spans="1:11">
      <c r="A26">
        <v>0</v>
      </c>
      <c r="B26" t="s">
        <v>259</v>
      </c>
      <c r="C26" t="s">
        <v>8</v>
      </c>
      <c r="E26" s="3">
        <f t="shared" si="0"/>
        <v>6</v>
      </c>
      <c r="F26" s="5">
        <v>43855.625</v>
      </c>
    </row>
    <row r="27" spans="1:11">
      <c r="A27">
        <v>0</v>
      </c>
      <c r="B27" t="s">
        <v>260</v>
      </c>
      <c r="C27" t="s">
        <v>8</v>
      </c>
      <c r="E27" s="3">
        <f t="shared" si="0"/>
        <v>7</v>
      </c>
      <c r="F27" s="5">
        <v>43856.625</v>
      </c>
    </row>
    <row r="28" spans="1:11">
      <c r="A28">
        <v>0</v>
      </c>
      <c r="B28" t="s">
        <v>261</v>
      </c>
      <c r="C28" t="s">
        <v>8</v>
      </c>
      <c r="E28" s="3">
        <f t="shared" si="0"/>
        <v>1</v>
      </c>
      <c r="F28" s="5">
        <v>43857.625</v>
      </c>
    </row>
    <row r="29" spans="1:11">
      <c r="A29">
        <v>1</v>
      </c>
      <c r="B29" t="s">
        <v>11</v>
      </c>
      <c r="C29" t="s">
        <v>8</v>
      </c>
      <c r="E29" s="3">
        <f t="shared" si="0"/>
        <v>2</v>
      </c>
      <c r="F29" s="5">
        <v>43858.625</v>
      </c>
      <c r="I29" t="s">
        <v>299</v>
      </c>
      <c r="K29" t="s">
        <v>300</v>
      </c>
    </row>
    <row r="30" spans="1:11">
      <c r="A30">
        <v>0</v>
      </c>
      <c r="B30" t="s">
        <v>262</v>
      </c>
      <c r="C30" t="s">
        <v>8</v>
      </c>
      <c r="E30" s="3">
        <f t="shared" si="0"/>
        <v>3</v>
      </c>
      <c r="F30" s="5">
        <v>43859.625</v>
      </c>
      <c r="I30">
        <v>1</v>
      </c>
      <c r="J30" t="s">
        <v>302</v>
      </c>
      <c r="K30">
        <f t="shared" ref="K30:K36" si="1">SUMIF(E:E,I30,Id)</f>
        <v>2069</v>
      </c>
    </row>
    <row r="31" spans="1:11">
      <c r="A31">
        <v>0</v>
      </c>
      <c r="B31" t="s">
        <v>263</v>
      </c>
      <c r="C31" t="s">
        <v>8</v>
      </c>
      <c r="E31" s="3">
        <f t="shared" si="0"/>
        <v>4</v>
      </c>
      <c r="F31" s="5">
        <v>43860.625</v>
      </c>
      <c r="I31">
        <v>2</v>
      </c>
      <c r="J31" t="s">
        <v>303</v>
      </c>
      <c r="K31">
        <f t="shared" si="1"/>
        <v>2071</v>
      </c>
    </row>
    <row r="32" spans="1:11">
      <c r="A32">
        <v>0</v>
      </c>
      <c r="B32" t="s">
        <v>264</v>
      </c>
      <c r="C32" t="s">
        <v>8</v>
      </c>
      <c r="E32" s="3">
        <f t="shared" si="0"/>
        <v>5</v>
      </c>
      <c r="F32" s="5">
        <v>43861.625</v>
      </c>
      <c r="I32">
        <v>3</v>
      </c>
      <c r="J32" t="s">
        <v>304</v>
      </c>
      <c r="K32">
        <f t="shared" si="1"/>
        <v>2091</v>
      </c>
    </row>
    <row r="33" spans="1:11">
      <c r="A33">
        <v>0</v>
      </c>
      <c r="B33" t="s">
        <v>265</v>
      </c>
      <c r="C33" t="s">
        <v>8</v>
      </c>
      <c r="E33" s="3">
        <f t="shared" si="0"/>
        <v>6</v>
      </c>
      <c r="F33" s="5">
        <v>43862.625</v>
      </c>
      <c r="I33">
        <v>4</v>
      </c>
      <c r="J33" t="s">
        <v>305</v>
      </c>
      <c r="K33">
        <f t="shared" si="1"/>
        <v>2027</v>
      </c>
    </row>
    <row r="34" spans="1:11">
      <c r="A34">
        <v>0</v>
      </c>
      <c r="B34" t="s">
        <v>266</v>
      </c>
      <c r="C34" t="s">
        <v>8</v>
      </c>
      <c r="E34" s="3">
        <f t="shared" si="0"/>
        <v>7</v>
      </c>
      <c r="F34" s="5">
        <v>43863.625</v>
      </c>
      <c r="I34">
        <v>5</v>
      </c>
      <c r="J34" t="s">
        <v>306</v>
      </c>
      <c r="K34">
        <f t="shared" si="1"/>
        <v>1839</v>
      </c>
    </row>
    <row r="35" spans="1:11">
      <c r="A35">
        <v>0</v>
      </c>
      <c r="B35" t="s">
        <v>267</v>
      </c>
      <c r="C35" t="s">
        <v>8</v>
      </c>
      <c r="E35" s="3">
        <f t="shared" si="0"/>
        <v>1</v>
      </c>
      <c r="F35" s="5">
        <v>43864.625</v>
      </c>
      <c r="I35">
        <v>6</v>
      </c>
      <c r="J35" t="s">
        <v>307</v>
      </c>
      <c r="K35">
        <f t="shared" si="1"/>
        <v>1227</v>
      </c>
    </row>
    <row r="36" spans="1:11">
      <c r="A36">
        <v>0</v>
      </c>
      <c r="B36" t="s">
        <v>268</v>
      </c>
      <c r="C36" t="s">
        <v>8</v>
      </c>
      <c r="E36" s="3">
        <f t="shared" si="0"/>
        <v>2</v>
      </c>
      <c r="F36" s="5">
        <v>43865.625</v>
      </c>
      <c r="I36">
        <v>7</v>
      </c>
      <c r="J36" t="s">
        <v>308</v>
      </c>
      <c r="K36">
        <f t="shared" si="1"/>
        <v>1235</v>
      </c>
    </row>
    <row r="37" spans="1:11">
      <c r="A37">
        <v>0</v>
      </c>
      <c r="B37" t="s">
        <v>269</v>
      </c>
      <c r="C37" t="s">
        <v>8</v>
      </c>
      <c r="E37" s="3">
        <f t="shared" si="0"/>
        <v>3</v>
      </c>
      <c r="F37" s="5">
        <v>43866.625</v>
      </c>
    </row>
    <row r="38" spans="1:11">
      <c r="A38">
        <v>0</v>
      </c>
      <c r="B38" t="s">
        <v>270</v>
      </c>
      <c r="C38" t="s">
        <v>8</v>
      </c>
      <c r="E38" s="3">
        <f t="shared" si="0"/>
        <v>4</v>
      </c>
      <c r="F38" s="5">
        <v>43867.625</v>
      </c>
    </row>
    <row r="39" spans="1:11">
      <c r="A39">
        <v>0</v>
      </c>
      <c r="B39" t="s">
        <v>271</v>
      </c>
      <c r="C39" t="s">
        <v>8</v>
      </c>
      <c r="E39" s="3">
        <f t="shared" si="0"/>
        <v>5</v>
      </c>
      <c r="F39" s="5">
        <v>43868.625</v>
      </c>
    </row>
    <row r="40" spans="1:11">
      <c r="A40">
        <v>0</v>
      </c>
      <c r="B40" t="s">
        <v>272</v>
      </c>
      <c r="C40" t="s">
        <v>8</v>
      </c>
      <c r="E40" s="3">
        <f t="shared" si="0"/>
        <v>6</v>
      </c>
      <c r="F40" s="5">
        <v>43869.625</v>
      </c>
    </row>
    <row r="41" spans="1:11">
      <c r="A41">
        <v>0</v>
      </c>
      <c r="B41" t="s">
        <v>273</v>
      </c>
      <c r="C41" t="s">
        <v>8</v>
      </c>
      <c r="E41" s="3">
        <f t="shared" si="0"/>
        <v>7</v>
      </c>
      <c r="F41" s="5">
        <v>43870.625</v>
      </c>
    </row>
    <row r="42" spans="1:11">
      <c r="A42">
        <v>1</v>
      </c>
      <c r="B42" t="s">
        <v>12</v>
      </c>
      <c r="C42" t="s">
        <v>8</v>
      </c>
      <c r="E42" s="3">
        <f t="shared" si="0"/>
        <v>1</v>
      </c>
      <c r="F42" s="5">
        <v>43871.625</v>
      </c>
    </row>
    <row r="43" spans="1:11">
      <c r="A43">
        <v>0</v>
      </c>
      <c r="B43" t="s">
        <v>274</v>
      </c>
      <c r="C43" t="s">
        <v>8</v>
      </c>
      <c r="E43" s="3">
        <f t="shared" si="0"/>
        <v>2</v>
      </c>
      <c r="F43" s="5">
        <v>43872.625</v>
      </c>
    </row>
    <row r="44" spans="1:11">
      <c r="A44">
        <v>0</v>
      </c>
      <c r="B44" t="s">
        <v>275</v>
      </c>
      <c r="C44" t="s">
        <v>8</v>
      </c>
      <c r="E44" s="3">
        <f t="shared" si="0"/>
        <v>3</v>
      </c>
      <c r="F44" s="5">
        <v>43873.625</v>
      </c>
    </row>
    <row r="45" spans="1:11">
      <c r="A45">
        <v>0</v>
      </c>
      <c r="B45" t="s">
        <v>276</v>
      </c>
      <c r="C45" t="s">
        <v>8</v>
      </c>
      <c r="E45" s="3">
        <f t="shared" si="0"/>
        <v>4</v>
      </c>
      <c r="F45" s="5">
        <v>43874.625</v>
      </c>
    </row>
    <row r="46" spans="1:11">
      <c r="A46">
        <v>0</v>
      </c>
      <c r="B46" t="s">
        <v>277</v>
      </c>
      <c r="C46" t="s">
        <v>8</v>
      </c>
      <c r="E46" s="3">
        <f t="shared" si="0"/>
        <v>5</v>
      </c>
      <c r="F46" s="5">
        <v>43875.625</v>
      </c>
    </row>
    <row r="47" spans="1:11">
      <c r="A47">
        <v>0</v>
      </c>
      <c r="B47" t="s">
        <v>278</v>
      </c>
      <c r="C47" t="s">
        <v>8</v>
      </c>
      <c r="E47" s="3">
        <f t="shared" si="0"/>
        <v>6</v>
      </c>
      <c r="F47" s="5">
        <v>43876.625</v>
      </c>
    </row>
    <row r="48" spans="1:11">
      <c r="A48">
        <v>0</v>
      </c>
      <c r="B48" t="s">
        <v>279</v>
      </c>
      <c r="C48" t="s">
        <v>8</v>
      </c>
      <c r="E48" s="3">
        <f t="shared" si="0"/>
        <v>7</v>
      </c>
      <c r="F48" s="5">
        <v>43877.625</v>
      </c>
    </row>
    <row r="49" spans="1:6">
      <c r="A49">
        <v>0</v>
      </c>
      <c r="B49" t="s">
        <v>280</v>
      </c>
      <c r="C49" t="s">
        <v>8</v>
      </c>
      <c r="E49" s="3">
        <f t="shared" si="0"/>
        <v>1</v>
      </c>
      <c r="F49" s="5">
        <v>43878.625</v>
      </c>
    </row>
    <row r="50" spans="1:6">
      <c r="A50">
        <v>0</v>
      </c>
      <c r="B50" t="s">
        <v>281</v>
      </c>
      <c r="C50" t="s">
        <v>8</v>
      </c>
      <c r="E50" s="3">
        <f t="shared" si="0"/>
        <v>2</v>
      </c>
      <c r="F50" s="5">
        <v>43879.625</v>
      </c>
    </row>
    <row r="51" spans="1:6">
      <c r="A51">
        <v>0</v>
      </c>
      <c r="B51" t="s">
        <v>282</v>
      </c>
      <c r="C51" t="s">
        <v>8</v>
      </c>
      <c r="E51" s="3">
        <f t="shared" si="0"/>
        <v>3</v>
      </c>
      <c r="F51" s="5">
        <v>43880.625</v>
      </c>
    </row>
    <row r="52" spans="1:6">
      <c r="A52">
        <v>0</v>
      </c>
      <c r="B52" t="s">
        <v>283</v>
      </c>
      <c r="C52" t="s">
        <v>8</v>
      </c>
      <c r="E52" s="3">
        <f t="shared" si="0"/>
        <v>4</v>
      </c>
      <c r="F52" s="5">
        <v>43881.625</v>
      </c>
    </row>
    <row r="53" spans="1:6">
      <c r="A53">
        <v>0</v>
      </c>
      <c r="B53" t="s">
        <v>284</v>
      </c>
      <c r="C53" t="s">
        <v>8</v>
      </c>
      <c r="E53" s="3">
        <f t="shared" si="0"/>
        <v>5</v>
      </c>
      <c r="F53" s="5">
        <v>43882.625</v>
      </c>
    </row>
    <row r="54" spans="1:6">
      <c r="A54">
        <v>1</v>
      </c>
      <c r="B54" t="s">
        <v>13</v>
      </c>
      <c r="C54" t="s">
        <v>8</v>
      </c>
      <c r="E54" s="3">
        <f t="shared" si="0"/>
        <v>6</v>
      </c>
      <c r="F54" s="5">
        <v>43883.625</v>
      </c>
    </row>
    <row r="55" spans="1:6">
      <c r="A55">
        <v>0</v>
      </c>
      <c r="B55" t="s">
        <v>285</v>
      </c>
      <c r="C55" t="s">
        <v>8</v>
      </c>
      <c r="E55" s="3">
        <f t="shared" si="0"/>
        <v>7</v>
      </c>
      <c r="F55" s="5">
        <v>43884.625</v>
      </c>
    </row>
    <row r="56" spans="1:6">
      <c r="A56">
        <v>0</v>
      </c>
      <c r="B56" t="s">
        <v>286</v>
      </c>
      <c r="C56" t="s">
        <v>8</v>
      </c>
      <c r="E56" s="3">
        <f t="shared" si="0"/>
        <v>1</v>
      </c>
      <c r="F56" s="5">
        <v>43885.625</v>
      </c>
    </row>
    <row r="57" spans="1:6">
      <c r="A57">
        <v>1</v>
      </c>
      <c r="B57" t="s">
        <v>14</v>
      </c>
      <c r="C57" t="s">
        <v>8</v>
      </c>
      <c r="E57" s="3">
        <f t="shared" si="0"/>
        <v>2</v>
      </c>
      <c r="F57" s="5">
        <v>43886.625</v>
      </c>
    </row>
    <row r="58" spans="1:6">
      <c r="A58">
        <v>0</v>
      </c>
      <c r="B58" t="s">
        <v>287</v>
      </c>
      <c r="C58" t="s">
        <v>8</v>
      </c>
      <c r="E58" s="3">
        <f t="shared" si="0"/>
        <v>3</v>
      </c>
      <c r="F58" s="5">
        <v>43887.625</v>
      </c>
    </row>
    <row r="59" spans="1:6">
      <c r="A59">
        <v>1</v>
      </c>
      <c r="B59" t="s">
        <v>15</v>
      </c>
      <c r="C59" t="s">
        <v>8</v>
      </c>
      <c r="E59" s="3">
        <f t="shared" si="0"/>
        <v>4</v>
      </c>
      <c r="F59" s="5">
        <v>43888.625</v>
      </c>
    </row>
    <row r="60" spans="1:6">
      <c r="A60">
        <v>3</v>
      </c>
      <c r="B60" t="s">
        <v>16</v>
      </c>
      <c r="C60" t="s">
        <v>8</v>
      </c>
      <c r="E60" s="3">
        <f t="shared" si="0"/>
        <v>5</v>
      </c>
      <c r="F60" s="5">
        <v>43889.625</v>
      </c>
    </row>
    <row r="61" spans="1:6">
      <c r="A61">
        <v>1</v>
      </c>
      <c r="B61" t="s">
        <v>17</v>
      </c>
      <c r="C61" t="s">
        <v>8</v>
      </c>
      <c r="E61" s="3">
        <f t="shared" si="0"/>
        <v>6</v>
      </c>
      <c r="F61" s="5">
        <v>43890.625</v>
      </c>
    </row>
    <row r="62" spans="1:6">
      <c r="A62">
        <v>1</v>
      </c>
      <c r="B62" t="s">
        <v>18</v>
      </c>
      <c r="C62" t="s">
        <v>8</v>
      </c>
      <c r="E62" s="3">
        <f t="shared" si="0"/>
        <v>7</v>
      </c>
      <c r="F62" s="5">
        <v>43891.625</v>
      </c>
    </row>
    <row r="63" spans="1:6">
      <c r="A63">
        <v>0</v>
      </c>
      <c r="B63" t="s">
        <v>288</v>
      </c>
      <c r="C63" t="s">
        <v>8</v>
      </c>
      <c r="E63" s="3">
        <f t="shared" si="0"/>
        <v>1</v>
      </c>
      <c r="F63" s="5">
        <v>43892.625</v>
      </c>
    </row>
    <row r="64" spans="1:6">
      <c r="A64">
        <v>5</v>
      </c>
      <c r="B64" t="s">
        <v>19</v>
      </c>
      <c r="C64" t="s">
        <v>8</v>
      </c>
      <c r="E64" s="3">
        <f t="shared" si="0"/>
        <v>2</v>
      </c>
      <c r="F64" s="5">
        <v>43893.625</v>
      </c>
    </row>
    <row r="65" spans="1:6">
      <c r="A65">
        <v>6</v>
      </c>
      <c r="B65" t="s">
        <v>20</v>
      </c>
      <c r="C65" t="s">
        <v>8</v>
      </c>
      <c r="E65" s="3">
        <f t="shared" si="0"/>
        <v>3</v>
      </c>
      <c r="F65" s="5">
        <v>43894.625</v>
      </c>
    </row>
    <row r="66" spans="1:6">
      <c r="A66">
        <v>1</v>
      </c>
      <c r="B66" t="s">
        <v>21</v>
      </c>
      <c r="C66" t="s">
        <v>8</v>
      </c>
      <c r="E66" s="3">
        <f t="shared" si="0"/>
        <v>4</v>
      </c>
      <c r="F66" s="5">
        <v>43895.625</v>
      </c>
    </row>
    <row r="67" spans="1:6">
      <c r="A67">
        <v>7</v>
      </c>
      <c r="B67" t="s">
        <v>22</v>
      </c>
      <c r="C67" t="s">
        <v>8</v>
      </c>
      <c r="E67" s="3">
        <f t="shared" ref="E67:E130" si="2">WEEKDAY(F67,2)</f>
        <v>5</v>
      </c>
      <c r="F67" s="5">
        <v>43896.625</v>
      </c>
    </row>
    <row r="68" spans="1:6">
      <c r="A68">
        <v>7</v>
      </c>
      <c r="B68" t="s">
        <v>23</v>
      </c>
      <c r="C68" t="s">
        <v>8</v>
      </c>
      <c r="E68" s="3">
        <f t="shared" si="2"/>
        <v>6</v>
      </c>
      <c r="F68" s="5">
        <v>43897.625</v>
      </c>
    </row>
    <row r="69" spans="1:6">
      <c r="A69">
        <v>9</v>
      </c>
      <c r="B69" t="s">
        <v>24</v>
      </c>
      <c r="C69" t="s">
        <v>8</v>
      </c>
      <c r="E69" s="3">
        <f t="shared" si="2"/>
        <v>7</v>
      </c>
      <c r="F69" s="5">
        <v>43898.625</v>
      </c>
    </row>
    <row r="70" spans="1:6">
      <c r="A70">
        <v>17</v>
      </c>
      <c r="B70" t="s">
        <v>25</v>
      </c>
      <c r="C70" t="s">
        <v>8</v>
      </c>
      <c r="E70" s="3">
        <f t="shared" si="2"/>
        <v>1</v>
      </c>
      <c r="F70" s="5">
        <v>43899.625</v>
      </c>
    </row>
    <row r="71" spans="1:6">
      <c r="A71">
        <v>54</v>
      </c>
      <c r="B71" t="s">
        <v>26</v>
      </c>
      <c r="C71" t="s">
        <v>8</v>
      </c>
      <c r="E71" s="3">
        <f t="shared" si="2"/>
        <v>2</v>
      </c>
      <c r="F71" s="5">
        <v>43900.625</v>
      </c>
    </row>
    <row r="72" spans="1:6">
      <c r="A72">
        <v>76</v>
      </c>
      <c r="B72" t="s">
        <v>27</v>
      </c>
      <c r="C72" t="s">
        <v>8</v>
      </c>
      <c r="E72" s="3">
        <f t="shared" si="2"/>
        <v>3</v>
      </c>
      <c r="F72" s="5">
        <v>43901.625</v>
      </c>
    </row>
    <row r="73" spans="1:6">
      <c r="A73">
        <v>61</v>
      </c>
      <c r="B73" t="s">
        <v>28</v>
      </c>
      <c r="C73" t="s">
        <v>8</v>
      </c>
      <c r="E73" s="3">
        <f t="shared" si="2"/>
        <v>4</v>
      </c>
      <c r="F73" s="5">
        <v>43902.625</v>
      </c>
    </row>
    <row r="74" spans="1:6">
      <c r="A74">
        <v>28</v>
      </c>
      <c r="B74" t="s">
        <v>29</v>
      </c>
      <c r="C74" t="s">
        <v>8</v>
      </c>
      <c r="E74" s="3">
        <f t="shared" si="2"/>
        <v>5</v>
      </c>
      <c r="F74" s="5">
        <v>43903.625</v>
      </c>
    </row>
    <row r="75" spans="1:6">
      <c r="A75">
        <v>29</v>
      </c>
      <c r="B75" t="s">
        <v>30</v>
      </c>
      <c r="C75" t="s">
        <v>8</v>
      </c>
      <c r="E75" s="3">
        <f t="shared" si="2"/>
        <v>6</v>
      </c>
      <c r="F75" s="5">
        <v>43904.625</v>
      </c>
    </row>
    <row r="76" spans="1:6">
      <c r="A76">
        <v>53</v>
      </c>
      <c r="B76" t="s">
        <v>31</v>
      </c>
      <c r="C76" t="s">
        <v>8</v>
      </c>
      <c r="E76" s="3">
        <f t="shared" si="2"/>
        <v>7</v>
      </c>
      <c r="F76" s="5">
        <v>43905.625</v>
      </c>
    </row>
    <row r="77" spans="1:6">
      <c r="A77">
        <v>52</v>
      </c>
      <c r="B77" t="s">
        <v>32</v>
      </c>
      <c r="C77" t="s">
        <v>8</v>
      </c>
      <c r="E77" s="3">
        <f t="shared" si="2"/>
        <v>1</v>
      </c>
      <c r="F77" s="5">
        <v>43906.625</v>
      </c>
    </row>
    <row r="78" spans="1:6">
      <c r="A78">
        <v>47</v>
      </c>
      <c r="B78" t="s">
        <v>33</v>
      </c>
      <c r="C78" t="s">
        <v>8</v>
      </c>
      <c r="E78" s="3">
        <f t="shared" si="2"/>
        <v>2</v>
      </c>
      <c r="F78" s="5">
        <v>43907.625</v>
      </c>
    </row>
    <row r="79" spans="1:6">
      <c r="A79">
        <v>90</v>
      </c>
      <c r="B79" t="s">
        <v>34</v>
      </c>
      <c r="C79" t="s">
        <v>8</v>
      </c>
      <c r="E79" s="3">
        <f t="shared" si="2"/>
        <v>3</v>
      </c>
      <c r="F79" s="5">
        <v>43908.625</v>
      </c>
    </row>
    <row r="80" spans="1:6">
      <c r="A80">
        <v>100</v>
      </c>
      <c r="B80" t="s">
        <v>35</v>
      </c>
      <c r="C80" t="s">
        <v>8</v>
      </c>
      <c r="E80" s="3">
        <f t="shared" si="2"/>
        <v>4</v>
      </c>
      <c r="F80" s="5">
        <v>43909.625</v>
      </c>
    </row>
    <row r="81" spans="1:6">
      <c r="A81">
        <v>87</v>
      </c>
      <c r="B81" t="s">
        <v>36</v>
      </c>
      <c r="C81" t="s">
        <v>8</v>
      </c>
      <c r="E81" s="3">
        <f t="shared" si="2"/>
        <v>5</v>
      </c>
      <c r="F81" s="5">
        <v>43910.625</v>
      </c>
    </row>
    <row r="82" spans="1:6">
      <c r="A82">
        <v>87</v>
      </c>
      <c r="B82" t="s">
        <v>37</v>
      </c>
      <c r="C82" t="s">
        <v>8</v>
      </c>
      <c r="E82" s="3">
        <f t="shared" si="2"/>
        <v>6</v>
      </c>
      <c r="F82" s="5">
        <v>43911.625</v>
      </c>
    </row>
    <row r="83" spans="1:6">
      <c r="A83">
        <v>78</v>
      </c>
      <c r="B83" t="s">
        <v>38</v>
      </c>
      <c r="C83" t="s">
        <v>8</v>
      </c>
      <c r="E83" s="3">
        <f t="shared" si="2"/>
        <v>7</v>
      </c>
      <c r="F83" s="5">
        <v>43912.625</v>
      </c>
    </row>
    <row r="84" spans="1:6">
      <c r="A84">
        <v>84</v>
      </c>
      <c r="B84" t="s">
        <v>39</v>
      </c>
      <c r="C84" t="s">
        <v>8</v>
      </c>
      <c r="E84" s="3">
        <f t="shared" si="2"/>
        <v>1</v>
      </c>
      <c r="F84" s="5">
        <v>43913.625</v>
      </c>
    </row>
    <row r="85" spans="1:6">
      <c r="A85">
        <v>99</v>
      </c>
      <c r="B85" t="s">
        <v>40</v>
      </c>
      <c r="C85" t="s">
        <v>8</v>
      </c>
      <c r="E85" s="3">
        <f t="shared" si="2"/>
        <v>2</v>
      </c>
      <c r="F85" s="5">
        <v>43914.625</v>
      </c>
    </row>
    <row r="86" spans="1:6">
      <c r="A86">
        <v>103</v>
      </c>
      <c r="B86" t="s">
        <v>41</v>
      </c>
      <c r="C86" t="s">
        <v>8</v>
      </c>
      <c r="E86" s="3">
        <f t="shared" si="2"/>
        <v>3</v>
      </c>
      <c r="F86" s="5">
        <v>43915.625</v>
      </c>
    </row>
    <row r="87" spans="1:6">
      <c r="A87">
        <v>114</v>
      </c>
      <c r="B87" t="s">
        <v>42</v>
      </c>
      <c r="C87" t="s">
        <v>8</v>
      </c>
      <c r="E87" s="3">
        <f t="shared" si="2"/>
        <v>4</v>
      </c>
      <c r="F87" s="5">
        <v>43916.625</v>
      </c>
    </row>
    <row r="88" spans="1:6">
      <c r="A88">
        <v>95</v>
      </c>
      <c r="B88" t="s">
        <v>43</v>
      </c>
      <c r="C88" t="s">
        <v>8</v>
      </c>
      <c r="E88" s="3">
        <f t="shared" si="2"/>
        <v>5</v>
      </c>
      <c r="F88" s="5">
        <v>43917.625</v>
      </c>
    </row>
    <row r="89" spans="1:6">
      <c r="A89">
        <v>77</v>
      </c>
      <c r="B89" t="s">
        <v>44</v>
      </c>
      <c r="C89" t="s">
        <v>8</v>
      </c>
      <c r="E89" s="3">
        <f t="shared" si="2"/>
        <v>6</v>
      </c>
      <c r="F89" s="5">
        <v>43918.625</v>
      </c>
    </row>
    <row r="90" spans="1:6">
      <c r="A90">
        <v>70</v>
      </c>
      <c r="B90" t="s">
        <v>45</v>
      </c>
      <c r="C90" t="s">
        <v>8</v>
      </c>
      <c r="E90" s="3">
        <f t="shared" si="2"/>
        <v>7</v>
      </c>
      <c r="F90" s="5">
        <v>43919.625</v>
      </c>
    </row>
    <row r="91" spans="1:6">
      <c r="A91">
        <v>129</v>
      </c>
      <c r="B91" t="s">
        <v>46</v>
      </c>
      <c r="C91" t="s">
        <v>8</v>
      </c>
      <c r="E91" s="3">
        <f t="shared" si="2"/>
        <v>1</v>
      </c>
      <c r="F91" s="5">
        <v>43920.625</v>
      </c>
    </row>
    <row r="92" spans="1:6">
      <c r="A92">
        <v>125</v>
      </c>
      <c r="B92" t="s">
        <v>47</v>
      </c>
      <c r="C92" t="s">
        <v>8</v>
      </c>
      <c r="E92" s="3">
        <f t="shared" si="2"/>
        <v>2</v>
      </c>
      <c r="F92" s="5">
        <v>43921.625</v>
      </c>
    </row>
    <row r="93" spans="1:6">
      <c r="A93">
        <v>149</v>
      </c>
      <c r="B93" t="s">
        <v>48</v>
      </c>
      <c r="C93" t="s">
        <v>8</v>
      </c>
      <c r="E93" s="3">
        <f t="shared" si="2"/>
        <v>3</v>
      </c>
      <c r="F93" s="5">
        <v>43922.625</v>
      </c>
    </row>
    <row r="94" spans="1:6">
      <c r="A94">
        <v>161</v>
      </c>
      <c r="B94" t="s">
        <v>49</v>
      </c>
      <c r="C94" t="s">
        <v>8</v>
      </c>
      <c r="E94" s="3">
        <f t="shared" si="2"/>
        <v>4</v>
      </c>
      <c r="F94" s="5">
        <v>43923.625</v>
      </c>
    </row>
    <row r="95" spans="1:6">
      <c r="A95">
        <v>199</v>
      </c>
      <c r="B95" t="s">
        <v>50</v>
      </c>
      <c r="C95" t="s">
        <v>8</v>
      </c>
      <c r="E95" s="3">
        <f t="shared" si="2"/>
        <v>5</v>
      </c>
      <c r="F95" s="5">
        <v>43924.625</v>
      </c>
    </row>
    <row r="96" spans="1:6">
      <c r="A96">
        <v>81</v>
      </c>
      <c r="B96" t="s">
        <v>51</v>
      </c>
      <c r="C96" t="s">
        <v>8</v>
      </c>
      <c r="E96" s="3">
        <f t="shared" si="2"/>
        <v>6</v>
      </c>
      <c r="F96" s="5">
        <v>43925.625</v>
      </c>
    </row>
    <row r="97" spans="1:6">
      <c r="A97">
        <v>120</v>
      </c>
      <c r="B97" s="1" t="s">
        <v>52</v>
      </c>
      <c r="C97" s="1" t="s">
        <v>8</v>
      </c>
      <c r="D97" s="1"/>
      <c r="E97" s="3">
        <f t="shared" si="2"/>
        <v>7</v>
      </c>
      <c r="F97" s="6">
        <v>43926.625</v>
      </c>
    </row>
    <row r="98" spans="1:6">
      <c r="A98">
        <v>210</v>
      </c>
      <c r="B98" t="s">
        <v>53</v>
      </c>
      <c r="C98" t="s">
        <v>8</v>
      </c>
      <c r="E98" s="3">
        <f t="shared" si="2"/>
        <v>1</v>
      </c>
      <c r="F98" s="5">
        <v>43927.625</v>
      </c>
    </row>
    <row r="99" spans="1:6">
      <c r="A99">
        <v>199</v>
      </c>
      <c r="B99" t="s">
        <v>54</v>
      </c>
      <c r="C99" t="s">
        <v>8</v>
      </c>
      <c r="E99" s="3">
        <f t="shared" si="2"/>
        <v>2</v>
      </c>
      <c r="F99" s="5">
        <v>43928.625</v>
      </c>
    </row>
    <row r="100" spans="1:6">
      <c r="A100">
        <v>138</v>
      </c>
      <c r="B100" t="s">
        <v>55</v>
      </c>
      <c r="C100" t="s">
        <v>8</v>
      </c>
      <c r="E100" s="3">
        <f t="shared" si="2"/>
        <v>3</v>
      </c>
      <c r="F100" s="5">
        <v>43929.625</v>
      </c>
    </row>
    <row r="101" spans="1:6">
      <c r="A101">
        <v>158</v>
      </c>
      <c r="B101" t="s">
        <v>56</v>
      </c>
      <c r="C101" t="s">
        <v>8</v>
      </c>
      <c r="E101" s="3">
        <f t="shared" si="2"/>
        <v>4</v>
      </c>
      <c r="F101" s="5">
        <v>43930.625</v>
      </c>
    </row>
    <row r="102" spans="1:6">
      <c r="A102">
        <v>71</v>
      </c>
      <c r="B102" t="s">
        <v>57</v>
      </c>
      <c r="C102" t="s">
        <v>8</v>
      </c>
      <c r="E102" s="3">
        <f t="shared" si="2"/>
        <v>5</v>
      </c>
      <c r="F102" s="5">
        <v>43931.625</v>
      </c>
    </row>
    <row r="103" spans="1:6">
      <c r="A103">
        <v>75</v>
      </c>
      <c r="B103" t="s">
        <v>58</v>
      </c>
      <c r="C103" t="s">
        <v>8</v>
      </c>
      <c r="E103" s="3">
        <f t="shared" si="2"/>
        <v>6</v>
      </c>
      <c r="F103" s="5">
        <v>43932.625</v>
      </c>
    </row>
    <row r="104" spans="1:6">
      <c r="A104">
        <v>79</v>
      </c>
      <c r="B104" t="s">
        <v>59</v>
      </c>
      <c r="C104" t="s">
        <v>8</v>
      </c>
      <c r="E104" s="3">
        <f t="shared" si="2"/>
        <v>7</v>
      </c>
      <c r="F104" s="5">
        <v>43933.625</v>
      </c>
    </row>
    <row r="105" spans="1:6">
      <c r="A105">
        <v>117</v>
      </c>
      <c r="B105" t="s">
        <v>60</v>
      </c>
      <c r="C105" t="s">
        <v>8</v>
      </c>
      <c r="E105" s="3">
        <f t="shared" si="2"/>
        <v>1</v>
      </c>
      <c r="F105" s="5">
        <v>43934.625</v>
      </c>
    </row>
    <row r="106" spans="1:6">
      <c r="A106">
        <v>175</v>
      </c>
      <c r="B106" t="s">
        <v>61</v>
      </c>
      <c r="C106" t="s">
        <v>8</v>
      </c>
      <c r="E106" s="3">
        <f t="shared" si="2"/>
        <v>2</v>
      </c>
      <c r="F106" s="5">
        <v>43935.625</v>
      </c>
    </row>
    <row r="107" spans="1:6">
      <c r="A107">
        <v>129</v>
      </c>
      <c r="B107" t="s">
        <v>62</v>
      </c>
      <c r="C107" t="s">
        <v>8</v>
      </c>
      <c r="E107" s="3">
        <f t="shared" si="2"/>
        <v>3</v>
      </c>
      <c r="F107" s="5">
        <v>43936.625</v>
      </c>
    </row>
    <row r="108" spans="1:6">
      <c r="A108">
        <v>120</v>
      </c>
      <c r="B108" t="s">
        <v>63</v>
      </c>
      <c r="C108" t="s">
        <v>8</v>
      </c>
      <c r="E108" s="3">
        <f t="shared" si="2"/>
        <v>4</v>
      </c>
      <c r="F108" s="5">
        <v>43937.625</v>
      </c>
    </row>
    <row r="109" spans="1:6">
      <c r="A109">
        <v>125</v>
      </c>
      <c r="B109" t="s">
        <v>64</v>
      </c>
      <c r="C109" t="s">
        <v>8</v>
      </c>
      <c r="E109" s="3">
        <f t="shared" si="2"/>
        <v>5</v>
      </c>
      <c r="F109" s="5">
        <v>43938.625</v>
      </c>
    </row>
    <row r="110" spans="1:6">
      <c r="A110">
        <v>56</v>
      </c>
      <c r="B110" t="s">
        <v>65</v>
      </c>
      <c r="C110" t="s">
        <v>8</v>
      </c>
      <c r="E110" s="3">
        <f t="shared" si="2"/>
        <v>6</v>
      </c>
      <c r="F110" s="5">
        <v>43939.625</v>
      </c>
    </row>
    <row r="111" spans="1:6">
      <c r="A111">
        <v>67</v>
      </c>
      <c r="B111" t="s">
        <v>66</v>
      </c>
      <c r="C111" t="s">
        <v>8</v>
      </c>
      <c r="E111" s="3">
        <f t="shared" si="2"/>
        <v>7</v>
      </c>
      <c r="F111" s="5">
        <v>43940.625</v>
      </c>
    </row>
    <row r="112" spans="1:6">
      <c r="A112">
        <v>143</v>
      </c>
      <c r="B112" t="s">
        <v>67</v>
      </c>
      <c r="C112" t="s">
        <v>8</v>
      </c>
      <c r="E112" s="3">
        <f t="shared" si="2"/>
        <v>1</v>
      </c>
      <c r="F112" s="5">
        <v>43941.625</v>
      </c>
    </row>
    <row r="113" spans="1:6">
      <c r="A113">
        <v>112</v>
      </c>
      <c r="B113" t="s">
        <v>68</v>
      </c>
      <c r="C113" t="s">
        <v>8</v>
      </c>
      <c r="E113" s="3">
        <f t="shared" si="2"/>
        <v>2</v>
      </c>
      <c r="F113" s="5">
        <v>43942.625</v>
      </c>
    </row>
    <row r="114" spans="1:6">
      <c r="A114">
        <v>124</v>
      </c>
      <c r="B114" t="s">
        <v>69</v>
      </c>
      <c r="C114" t="s">
        <v>8</v>
      </c>
      <c r="E114" s="3">
        <f t="shared" si="2"/>
        <v>3</v>
      </c>
      <c r="F114" s="5">
        <v>43943.625</v>
      </c>
    </row>
    <row r="115" spans="1:6">
      <c r="A115">
        <v>116</v>
      </c>
      <c r="B115" t="s">
        <v>70</v>
      </c>
      <c r="C115" t="s">
        <v>8</v>
      </c>
      <c r="E115" s="3">
        <f t="shared" si="2"/>
        <v>4</v>
      </c>
      <c r="F115" s="5">
        <v>43944.625</v>
      </c>
    </row>
    <row r="116" spans="1:6">
      <c r="A116">
        <v>93</v>
      </c>
      <c r="B116" t="s">
        <v>71</v>
      </c>
      <c r="C116" t="s">
        <v>8</v>
      </c>
      <c r="E116" s="3">
        <f t="shared" si="2"/>
        <v>5</v>
      </c>
      <c r="F116" s="5">
        <v>43945.625</v>
      </c>
    </row>
    <row r="117" spans="1:6">
      <c r="A117">
        <v>76</v>
      </c>
      <c r="B117" t="s">
        <v>72</v>
      </c>
      <c r="C117" t="s">
        <v>8</v>
      </c>
      <c r="E117" s="3">
        <f t="shared" si="2"/>
        <v>6</v>
      </c>
      <c r="F117" s="5">
        <v>43946.625</v>
      </c>
    </row>
    <row r="118" spans="1:6">
      <c r="A118">
        <v>73</v>
      </c>
      <c r="B118" t="s">
        <v>73</v>
      </c>
      <c r="C118" t="s">
        <v>8</v>
      </c>
      <c r="E118" s="3">
        <f t="shared" si="2"/>
        <v>7</v>
      </c>
      <c r="F118" s="5">
        <v>43947.625</v>
      </c>
    </row>
    <row r="119" spans="1:6">
      <c r="A119">
        <v>124</v>
      </c>
      <c r="B119" t="s">
        <v>74</v>
      </c>
      <c r="C119" t="s">
        <v>8</v>
      </c>
      <c r="E119" s="3">
        <f t="shared" si="2"/>
        <v>1</v>
      </c>
      <c r="F119" s="5">
        <v>43948.625</v>
      </c>
    </row>
    <row r="120" spans="1:6">
      <c r="A120">
        <v>139</v>
      </c>
      <c r="B120" t="s">
        <v>75</v>
      </c>
      <c r="C120" t="s">
        <v>8</v>
      </c>
      <c r="E120" s="3">
        <f t="shared" si="2"/>
        <v>2</v>
      </c>
      <c r="F120" s="5">
        <v>43949.625</v>
      </c>
    </row>
    <row r="121" spans="1:6">
      <c r="A121">
        <v>106</v>
      </c>
      <c r="B121" t="s">
        <v>76</v>
      </c>
      <c r="C121" t="s">
        <v>8</v>
      </c>
      <c r="E121" s="3">
        <f t="shared" si="2"/>
        <v>3</v>
      </c>
      <c r="F121" s="5">
        <v>43950.625</v>
      </c>
    </row>
    <row r="122" spans="1:6">
      <c r="A122">
        <v>86</v>
      </c>
      <c r="B122" t="s">
        <v>77</v>
      </c>
      <c r="C122" t="s">
        <v>8</v>
      </c>
      <c r="E122" s="3">
        <f t="shared" si="2"/>
        <v>4</v>
      </c>
      <c r="F122" s="5">
        <v>43951.625</v>
      </c>
    </row>
    <row r="123" spans="1:6">
      <c r="A123">
        <v>48</v>
      </c>
      <c r="B123" t="s">
        <v>78</v>
      </c>
      <c r="C123" t="s">
        <v>8</v>
      </c>
      <c r="E123" s="3">
        <f t="shared" si="2"/>
        <v>5</v>
      </c>
      <c r="F123" s="5">
        <v>43952.625</v>
      </c>
    </row>
    <row r="124" spans="1:6">
      <c r="A124">
        <v>56</v>
      </c>
      <c r="B124" t="s">
        <v>79</v>
      </c>
      <c r="C124" t="s">
        <v>8</v>
      </c>
      <c r="E124" s="3">
        <f t="shared" si="2"/>
        <v>6</v>
      </c>
      <c r="F124" s="5">
        <v>43953.625</v>
      </c>
    </row>
    <row r="125" spans="1:6">
      <c r="A125">
        <v>61</v>
      </c>
      <c r="B125" t="s">
        <v>80</v>
      </c>
      <c r="C125" t="s">
        <v>8</v>
      </c>
      <c r="E125" s="3">
        <f t="shared" si="2"/>
        <v>7</v>
      </c>
      <c r="F125" s="5">
        <v>43954.625</v>
      </c>
    </row>
    <row r="126" spans="1:6">
      <c r="A126">
        <v>133</v>
      </c>
      <c r="B126" t="s">
        <v>81</v>
      </c>
      <c r="C126" t="s">
        <v>8</v>
      </c>
      <c r="E126" s="3">
        <f t="shared" si="2"/>
        <v>1</v>
      </c>
      <c r="F126" s="5">
        <v>43955.625</v>
      </c>
    </row>
    <row r="127" spans="1:6">
      <c r="A127">
        <v>125</v>
      </c>
      <c r="B127" t="s">
        <v>82</v>
      </c>
      <c r="C127" t="s">
        <v>8</v>
      </c>
      <c r="E127" s="3">
        <f t="shared" si="2"/>
        <v>2</v>
      </c>
      <c r="F127" s="5">
        <v>43956.625</v>
      </c>
    </row>
    <row r="128" spans="1:6">
      <c r="A128">
        <v>94</v>
      </c>
      <c r="B128" t="s">
        <v>83</v>
      </c>
      <c r="C128" t="s">
        <v>8</v>
      </c>
      <c r="E128" s="3">
        <f t="shared" si="2"/>
        <v>3</v>
      </c>
      <c r="F128" s="5">
        <v>43957.625</v>
      </c>
    </row>
    <row r="129" spans="1:6">
      <c r="A129">
        <v>108</v>
      </c>
      <c r="B129" t="s">
        <v>84</v>
      </c>
      <c r="C129" t="s">
        <v>8</v>
      </c>
      <c r="E129" s="3">
        <f t="shared" si="2"/>
        <v>4</v>
      </c>
      <c r="F129" s="5">
        <v>43958.625</v>
      </c>
    </row>
    <row r="130" spans="1:6">
      <c r="A130">
        <v>81</v>
      </c>
      <c r="B130" t="s">
        <v>85</v>
      </c>
      <c r="C130" t="s">
        <v>8</v>
      </c>
      <c r="E130" s="3">
        <f t="shared" si="2"/>
        <v>5</v>
      </c>
      <c r="F130" s="5">
        <v>43959.625</v>
      </c>
    </row>
    <row r="131" spans="1:6">
      <c r="A131">
        <v>47</v>
      </c>
      <c r="B131" t="s">
        <v>86</v>
      </c>
      <c r="C131" t="s">
        <v>8</v>
      </c>
      <c r="E131" s="3">
        <f t="shared" ref="E131:E194" si="3">WEEKDAY(F131,2)</f>
        <v>6</v>
      </c>
      <c r="F131" s="5">
        <v>43960.625</v>
      </c>
    </row>
    <row r="132" spans="1:6">
      <c r="A132">
        <v>28</v>
      </c>
      <c r="B132" t="s">
        <v>87</v>
      </c>
      <c r="C132" t="s">
        <v>8</v>
      </c>
      <c r="E132" s="3">
        <f t="shared" si="3"/>
        <v>7</v>
      </c>
      <c r="F132" s="5">
        <v>43961.625</v>
      </c>
    </row>
    <row r="133" spans="1:6">
      <c r="A133">
        <v>93</v>
      </c>
      <c r="B133" t="s">
        <v>88</v>
      </c>
      <c r="C133" t="s">
        <v>8</v>
      </c>
      <c r="E133" s="3">
        <f t="shared" si="3"/>
        <v>1</v>
      </c>
      <c r="F133" s="5">
        <v>43962.625</v>
      </c>
    </row>
    <row r="134" spans="1:6">
      <c r="A134">
        <v>67</v>
      </c>
      <c r="B134" t="s">
        <v>89</v>
      </c>
      <c r="C134" t="s">
        <v>8</v>
      </c>
      <c r="E134" s="3">
        <f t="shared" si="3"/>
        <v>2</v>
      </c>
      <c r="F134" s="5">
        <v>43963.625</v>
      </c>
    </row>
    <row r="135" spans="1:6">
      <c r="A135">
        <v>79</v>
      </c>
      <c r="B135" t="s">
        <v>90</v>
      </c>
      <c r="C135" t="s">
        <v>8</v>
      </c>
      <c r="E135" s="3">
        <f t="shared" si="3"/>
        <v>3</v>
      </c>
      <c r="F135" s="5">
        <v>43964.625</v>
      </c>
    </row>
    <row r="136" spans="1:6">
      <c r="A136">
        <v>51</v>
      </c>
      <c r="B136" t="s">
        <v>91</v>
      </c>
      <c r="C136" t="s">
        <v>8</v>
      </c>
      <c r="E136" s="3">
        <f t="shared" si="3"/>
        <v>4</v>
      </c>
      <c r="F136" s="5">
        <v>43965.625</v>
      </c>
    </row>
    <row r="137" spans="1:6">
      <c r="A137">
        <v>55</v>
      </c>
      <c r="B137" t="s">
        <v>92</v>
      </c>
      <c r="C137" t="s">
        <v>8</v>
      </c>
      <c r="E137" s="3">
        <f t="shared" si="3"/>
        <v>5</v>
      </c>
      <c r="F137" s="5">
        <v>43966.625</v>
      </c>
    </row>
    <row r="138" spans="1:6">
      <c r="A138">
        <v>25</v>
      </c>
      <c r="B138" t="s">
        <v>93</v>
      </c>
      <c r="C138" t="s">
        <v>8</v>
      </c>
      <c r="E138" s="3">
        <f t="shared" si="3"/>
        <v>6</v>
      </c>
      <c r="F138" s="5">
        <v>43967.625</v>
      </c>
    </row>
    <row r="139" spans="1:6">
      <c r="A139">
        <v>30</v>
      </c>
      <c r="B139" t="s">
        <v>94</v>
      </c>
      <c r="C139" t="s">
        <v>8</v>
      </c>
      <c r="E139" s="3">
        <f t="shared" si="3"/>
        <v>7</v>
      </c>
      <c r="F139" s="5">
        <v>43968.625</v>
      </c>
    </row>
    <row r="140" spans="1:6">
      <c r="A140">
        <v>45</v>
      </c>
      <c r="B140" t="s">
        <v>95</v>
      </c>
      <c r="C140" t="s">
        <v>8</v>
      </c>
      <c r="E140" s="3">
        <f t="shared" si="3"/>
        <v>1</v>
      </c>
      <c r="F140" s="5">
        <v>43969.625</v>
      </c>
    </row>
    <row r="141" spans="1:6">
      <c r="A141">
        <v>41</v>
      </c>
      <c r="B141" t="s">
        <v>96</v>
      </c>
      <c r="C141" t="s">
        <v>8</v>
      </c>
      <c r="E141" s="3">
        <f t="shared" si="3"/>
        <v>2</v>
      </c>
      <c r="F141" s="5">
        <v>43970.625</v>
      </c>
    </row>
    <row r="142" spans="1:6">
      <c r="A142">
        <v>43</v>
      </c>
      <c r="B142" t="s">
        <v>97</v>
      </c>
      <c r="C142" t="s">
        <v>8</v>
      </c>
      <c r="E142" s="3">
        <f t="shared" si="3"/>
        <v>3</v>
      </c>
      <c r="F142" s="5">
        <v>43971.625</v>
      </c>
    </row>
    <row r="143" spans="1:6">
      <c r="A143">
        <v>22</v>
      </c>
      <c r="B143" t="s">
        <v>98</v>
      </c>
      <c r="C143" t="s">
        <v>8</v>
      </c>
      <c r="E143" s="3">
        <f t="shared" si="3"/>
        <v>4</v>
      </c>
      <c r="F143" s="5">
        <v>43972.625</v>
      </c>
    </row>
    <row r="144" spans="1:6">
      <c r="A144">
        <v>32</v>
      </c>
      <c r="B144" t="s">
        <v>99</v>
      </c>
      <c r="C144" t="s">
        <v>8</v>
      </c>
      <c r="E144" s="3">
        <f t="shared" si="3"/>
        <v>5</v>
      </c>
      <c r="F144" s="5">
        <v>43973.625</v>
      </c>
    </row>
    <row r="145" spans="1:6">
      <c r="A145">
        <v>17</v>
      </c>
      <c r="B145" t="s">
        <v>100</v>
      </c>
      <c r="C145" t="s">
        <v>8</v>
      </c>
      <c r="E145" s="3">
        <f t="shared" si="3"/>
        <v>6</v>
      </c>
      <c r="F145" s="5">
        <v>43974.625</v>
      </c>
    </row>
    <row r="146" spans="1:6">
      <c r="A146">
        <v>19</v>
      </c>
      <c r="B146" t="s">
        <v>101</v>
      </c>
      <c r="C146" t="s">
        <v>8</v>
      </c>
      <c r="E146" s="3">
        <f t="shared" si="3"/>
        <v>7</v>
      </c>
      <c r="F146" s="5">
        <v>43975.625</v>
      </c>
    </row>
    <row r="147" spans="1:6">
      <c r="A147">
        <v>45</v>
      </c>
      <c r="B147" t="s">
        <v>102</v>
      </c>
      <c r="C147" t="s">
        <v>8</v>
      </c>
      <c r="E147" s="3">
        <f t="shared" si="3"/>
        <v>1</v>
      </c>
      <c r="F147" s="5">
        <v>43976.625</v>
      </c>
    </row>
    <row r="148" spans="1:6">
      <c r="A148">
        <v>33</v>
      </c>
      <c r="B148" t="s">
        <v>103</v>
      </c>
      <c r="C148" t="s">
        <v>8</v>
      </c>
      <c r="E148" s="3">
        <f t="shared" si="3"/>
        <v>2</v>
      </c>
      <c r="F148" s="5">
        <v>43977.625</v>
      </c>
    </row>
    <row r="149" spans="1:6">
      <c r="A149">
        <v>12</v>
      </c>
      <c r="B149" t="s">
        <v>104</v>
      </c>
      <c r="C149" t="s">
        <v>8</v>
      </c>
      <c r="E149" s="3">
        <f t="shared" si="3"/>
        <v>3</v>
      </c>
      <c r="F149" s="5">
        <v>43978.625</v>
      </c>
    </row>
    <row r="150" spans="1:6">
      <c r="A150">
        <v>30</v>
      </c>
      <c r="B150" t="s">
        <v>105</v>
      </c>
      <c r="C150" t="s">
        <v>8</v>
      </c>
      <c r="E150" s="3">
        <f t="shared" si="3"/>
        <v>4</v>
      </c>
      <c r="F150" s="5">
        <v>43979.625</v>
      </c>
    </row>
    <row r="151" spans="1:6">
      <c r="A151">
        <v>21</v>
      </c>
      <c r="B151" t="s">
        <v>106</v>
      </c>
      <c r="C151" t="s">
        <v>8</v>
      </c>
      <c r="E151" s="3">
        <f t="shared" si="3"/>
        <v>5</v>
      </c>
      <c r="F151" s="5">
        <v>43980.625</v>
      </c>
    </row>
    <row r="152" spans="1:6">
      <c r="A152">
        <v>10</v>
      </c>
      <c r="B152" t="s">
        <v>107</v>
      </c>
      <c r="C152" t="s">
        <v>8</v>
      </c>
      <c r="E152" s="3">
        <f t="shared" si="3"/>
        <v>6</v>
      </c>
      <c r="F152" s="5">
        <v>43981.625</v>
      </c>
    </row>
    <row r="153" spans="1:6">
      <c r="A153">
        <v>12</v>
      </c>
      <c r="B153" t="s">
        <v>108</v>
      </c>
      <c r="C153" t="s">
        <v>8</v>
      </c>
      <c r="E153" s="3">
        <f t="shared" si="3"/>
        <v>7</v>
      </c>
      <c r="F153" s="5">
        <v>43982.625</v>
      </c>
    </row>
    <row r="154" spans="1:6">
      <c r="A154">
        <v>17</v>
      </c>
      <c r="B154" t="s">
        <v>109</v>
      </c>
      <c r="C154" t="s">
        <v>8</v>
      </c>
      <c r="E154" s="3">
        <f t="shared" si="3"/>
        <v>1</v>
      </c>
      <c r="F154" s="5">
        <v>43983.625</v>
      </c>
    </row>
    <row r="155" spans="1:6">
      <c r="A155">
        <v>15</v>
      </c>
      <c r="B155" t="s">
        <v>110</v>
      </c>
      <c r="C155" t="s">
        <v>8</v>
      </c>
      <c r="E155" s="3">
        <f t="shared" si="3"/>
        <v>2</v>
      </c>
      <c r="F155" s="5">
        <v>43984.625</v>
      </c>
    </row>
    <row r="156" spans="1:6">
      <c r="A156">
        <v>25</v>
      </c>
      <c r="B156" t="s">
        <v>111</v>
      </c>
      <c r="C156" t="s">
        <v>8</v>
      </c>
      <c r="E156" s="3">
        <f t="shared" si="3"/>
        <v>3</v>
      </c>
      <c r="F156" s="5">
        <v>43985.625</v>
      </c>
    </row>
    <row r="157" spans="1:6">
      <c r="A157">
        <v>12</v>
      </c>
      <c r="B157" t="s">
        <v>112</v>
      </c>
      <c r="C157" t="s">
        <v>8</v>
      </c>
      <c r="E157" s="3">
        <f t="shared" si="3"/>
        <v>4</v>
      </c>
      <c r="F157" s="5">
        <v>43986.625</v>
      </c>
    </row>
    <row r="158" spans="1:6">
      <c r="A158">
        <v>13</v>
      </c>
      <c r="B158" t="s">
        <v>113</v>
      </c>
      <c r="C158" t="s">
        <v>8</v>
      </c>
      <c r="E158" s="3">
        <f t="shared" si="3"/>
        <v>5</v>
      </c>
      <c r="F158" s="5">
        <v>43987.625</v>
      </c>
    </row>
    <row r="159" spans="1:6">
      <c r="A159">
        <v>13</v>
      </c>
      <c r="B159" t="s">
        <v>114</v>
      </c>
      <c r="C159" t="s">
        <v>8</v>
      </c>
      <c r="E159" s="3">
        <f t="shared" si="3"/>
        <v>6</v>
      </c>
      <c r="F159" s="5">
        <v>43988.625</v>
      </c>
    </row>
    <row r="160" spans="1:6">
      <c r="A160">
        <v>4</v>
      </c>
      <c r="B160" t="s">
        <v>115</v>
      </c>
      <c r="C160" t="s">
        <v>8</v>
      </c>
      <c r="E160" s="3">
        <f t="shared" si="3"/>
        <v>7</v>
      </c>
      <c r="F160" s="5">
        <v>43989.625</v>
      </c>
    </row>
    <row r="161" spans="1:6">
      <c r="A161">
        <v>10</v>
      </c>
      <c r="B161" t="s">
        <v>116</v>
      </c>
      <c r="C161" t="s">
        <v>8</v>
      </c>
      <c r="E161" s="3">
        <f t="shared" si="3"/>
        <v>1</v>
      </c>
      <c r="F161" s="5">
        <v>43990.625</v>
      </c>
    </row>
    <row r="162" spans="1:6">
      <c r="A162">
        <v>8</v>
      </c>
      <c r="B162" t="s">
        <v>117</v>
      </c>
      <c r="C162" t="s">
        <v>8</v>
      </c>
      <c r="E162" s="3">
        <f t="shared" si="3"/>
        <v>2</v>
      </c>
      <c r="F162" s="5">
        <v>43991.625</v>
      </c>
    </row>
    <row r="163" spans="1:6">
      <c r="A163">
        <v>7</v>
      </c>
      <c r="B163" t="s">
        <v>118</v>
      </c>
      <c r="C163" t="s">
        <v>8</v>
      </c>
      <c r="E163" s="3">
        <f t="shared" si="3"/>
        <v>3</v>
      </c>
      <c r="F163" s="5">
        <v>43992.625</v>
      </c>
    </row>
    <row r="164" spans="1:6">
      <c r="A164">
        <v>9</v>
      </c>
      <c r="B164" t="s">
        <v>119</v>
      </c>
      <c r="C164" t="s">
        <v>8</v>
      </c>
      <c r="E164" s="3">
        <f t="shared" si="3"/>
        <v>4</v>
      </c>
      <c r="F164" s="5">
        <v>43993.625</v>
      </c>
    </row>
    <row r="165" spans="1:6">
      <c r="A165">
        <v>13</v>
      </c>
      <c r="B165" t="s">
        <v>120</v>
      </c>
      <c r="C165" t="s">
        <v>8</v>
      </c>
      <c r="E165" s="3">
        <f t="shared" si="3"/>
        <v>5</v>
      </c>
      <c r="F165" s="5">
        <v>43994.625</v>
      </c>
    </row>
    <row r="166" spans="1:6">
      <c r="A166">
        <v>2</v>
      </c>
      <c r="B166" t="s">
        <v>121</v>
      </c>
      <c r="C166" t="s">
        <v>8</v>
      </c>
      <c r="E166" s="3">
        <f t="shared" si="3"/>
        <v>6</v>
      </c>
      <c r="F166" s="5">
        <v>43995.625</v>
      </c>
    </row>
    <row r="167" spans="1:6">
      <c r="A167">
        <v>5</v>
      </c>
      <c r="B167" t="s">
        <v>122</v>
      </c>
      <c r="C167" t="s">
        <v>8</v>
      </c>
      <c r="E167" s="3">
        <f t="shared" si="3"/>
        <v>7</v>
      </c>
      <c r="F167" s="5">
        <v>43996.625</v>
      </c>
    </row>
    <row r="168" spans="1:6">
      <c r="A168">
        <v>15</v>
      </c>
      <c r="B168" t="s">
        <v>123</v>
      </c>
      <c r="C168" t="s">
        <v>8</v>
      </c>
      <c r="E168" s="3">
        <f t="shared" si="3"/>
        <v>1</v>
      </c>
      <c r="F168" s="5">
        <v>43997.625</v>
      </c>
    </row>
    <row r="169" spans="1:6">
      <c r="A169">
        <v>8</v>
      </c>
      <c r="B169" t="s">
        <v>124</v>
      </c>
      <c r="C169" t="s">
        <v>8</v>
      </c>
      <c r="E169" s="3">
        <f t="shared" si="3"/>
        <v>2</v>
      </c>
      <c r="F169" s="5">
        <v>43998.625</v>
      </c>
    </row>
    <row r="170" spans="1:6">
      <c r="A170">
        <v>3</v>
      </c>
      <c r="B170" t="s">
        <v>125</v>
      </c>
      <c r="C170" t="s">
        <v>8</v>
      </c>
      <c r="E170" s="3">
        <f t="shared" si="3"/>
        <v>3</v>
      </c>
      <c r="F170" s="5">
        <v>43999.625</v>
      </c>
    </row>
    <row r="171" spans="1:6">
      <c r="A171">
        <v>8</v>
      </c>
      <c r="B171" t="s">
        <v>126</v>
      </c>
      <c r="C171" t="s">
        <v>8</v>
      </c>
      <c r="E171" s="3">
        <f t="shared" si="3"/>
        <v>4</v>
      </c>
      <c r="F171" s="5">
        <v>44000.625</v>
      </c>
    </row>
    <row r="172" spans="1:6">
      <c r="A172">
        <v>0</v>
      </c>
      <c r="B172" t="s">
        <v>289</v>
      </c>
      <c r="C172" t="s">
        <v>8</v>
      </c>
      <c r="E172" s="3">
        <f t="shared" si="3"/>
        <v>5</v>
      </c>
      <c r="F172" s="5">
        <v>44001.625</v>
      </c>
    </row>
    <row r="173" spans="1:6">
      <c r="A173">
        <v>2</v>
      </c>
      <c r="B173" t="s">
        <v>127</v>
      </c>
      <c r="C173" t="s">
        <v>8</v>
      </c>
      <c r="E173" s="3">
        <f t="shared" si="3"/>
        <v>6</v>
      </c>
      <c r="F173" s="5">
        <v>44002.625</v>
      </c>
    </row>
    <row r="174" spans="1:6">
      <c r="A174">
        <v>13</v>
      </c>
      <c r="B174" t="s">
        <v>128</v>
      </c>
      <c r="C174" t="s">
        <v>8</v>
      </c>
      <c r="E174" s="3">
        <f t="shared" si="3"/>
        <v>7</v>
      </c>
      <c r="F174" s="5">
        <v>44003.625</v>
      </c>
    </row>
    <row r="175" spans="1:6">
      <c r="A175">
        <v>5</v>
      </c>
      <c r="B175" t="s">
        <v>129</v>
      </c>
      <c r="C175" t="s">
        <v>8</v>
      </c>
      <c r="E175" s="3">
        <f t="shared" si="3"/>
        <v>1</v>
      </c>
      <c r="F175" s="5">
        <v>44004.625</v>
      </c>
    </row>
    <row r="176" spans="1:6">
      <c r="A176">
        <v>5</v>
      </c>
      <c r="B176" t="s">
        <v>130</v>
      </c>
      <c r="C176" t="s">
        <v>8</v>
      </c>
      <c r="E176" s="3">
        <f t="shared" si="3"/>
        <v>2</v>
      </c>
      <c r="F176" s="5">
        <v>44005.625</v>
      </c>
    </row>
    <row r="177" spans="1:6">
      <c r="A177">
        <v>16</v>
      </c>
      <c r="B177" t="s">
        <v>131</v>
      </c>
      <c r="C177" t="s">
        <v>8</v>
      </c>
      <c r="E177" s="3">
        <f t="shared" si="3"/>
        <v>3</v>
      </c>
      <c r="F177" s="5">
        <v>44006.625</v>
      </c>
    </row>
    <row r="178" spans="1:6">
      <c r="A178">
        <v>14</v>
      </c>
      <c r="B178" t="s">
        <v>132</v>
      </c>
      <c r="C178" t="s">
        <v>8</v>
      </c>
      <c r="E178" s="3">
        <f t="shared" si="3"/>
        <v>4</v>
      </c>
      <c r="F178" s="5">
        <v>44007.625</v>
      </c>
    </row>
    <row r="179" spans="1:6">
      <c r="A179">
        <v>3</v>
      </c>
      <c r="B179" t="s">
        <v>133</v>
      </c>
      <c r="C179" t="s">
        <v>8</v>
      </c>
      <c r="E179" s="3">
        <f t="shared" si="3"/>
        <v>5</v>
      </c>
      <c r="F179" s="5">
        <v>44008.625</v>
      </c>
    </row>
    <row r="180" spans="1:6">
      <c r="A180">
        <v>2</v>
      </c>
      <c r="B180" t="s">
        <v>134</v>
      </c>
      <c r="C180" t="s">
        <v>8</v>
      </c>
      <c r="E180" s="3">
        <f t="shared" si="3"/>
        <v>6</v>
      </c>
      <c r="F180" s="5">
        <v>44009.625</v>
      </c>
    </row>
    <row r="181" spans="1:6">
      <c r="A181">
        <v>7</v>
      </c>
      <c r="B181" t="s">
        <v>135</v>
      </c>
      <c r="C181" t="s">
        <v>8</v>
      </c>
      <c r="E181" s="3">
        <f t="shared" si="3"/>
        <v>7</v>
      </c>
      <c r="F181" s="5">
        <v>44010.625</v>
      </c>
    </row>
    <row r="182" spans="1:6">
      <c r="A182">
        <v>15</v>
      </c>
      <c r="B182" t="s">
        <v>136</v>
      </c>
      <c r="C182" t="s">
        <v>8</v>
      </c>
      <c r="E182" s="3">
        <f t="shared" si="3"/>
        <v>1</v>
      </c>
      <c r="F182" s="5">
        <v>44011.625</v>
      </c>
    </row>
    <row r="183" spans="1:6">
      <c r="A183">
        <v>10</v>
      </c>
      <c r="B183" t="s">
        <v>137</v>
      </c>
      <c r="C183" t="s">
        <v>8</v>
      </c>
      <c r="E183" s="3">
        <f t="shared" si="3"/>
        <v>2</v>
      </c>
      <c r="F183" s="5">
        <v>44012.625</v>
      </c>
    </row>
    <row r="184" spans="1:6">
      <c r="A184">
        <v>2</v>
      </c>
      <c r="B184" t="s">
        <v>138</v>
      </c>
      <c r="C184" t="s">
        <v>8</v>
      </c>
      <c r="E184" s="3">
        <f t="shared" si="3"/>
        <v>3</v>
      </c>
      <c r="F184" s="5">
        <v>44013.625</v>
      </c>
    </row>
    <row r="185" spans="1:6">
      <c r="A185">
        <v>7</v>
      </c>
      <c r="B185" t="s">
        <v>139</v>
      </c>
      <c r="C185" t="s">
        <v>8</v>
      </c>
      <c r="E185" s="3">
        <f t="shared" si="3"/>
        <v>4</v>
      </c>
      <c r="F185" s="5">
        <v>44014.625</v>
      </c>
    </row>
    <row r="186" spans="1:6">
      <c r="A186">
        <v>5</v>
      </c>
      <c r="B186" t="s">
        <v>140</v>
      </c>
      <c r="C186" t="s">
        <v>8</v>
      </c>
      <c r="E186" s="3">
        <f t="shared" si="3"/>
        <v>5</v>
      </c>
      <c r="F186" s="5">
        <v>44015.625</v>
      </c>
    </row>
    <row r="187" spans="1:6">
      <c r="A187">
        <v>2</v>
      </c>
      <c r="B187" t="s">
        <v>141</v>
      </c>
      <c r="C187" t="s">
        <v>8</v>
      </c>
      <c r="E187" s="3">
        <f t="shared" si="3"/>
        <v>6</v>
      </c>
      <c r="F187" s="5">
        <v>44016.625</v>
      </c>
    </row>
    <row r="188" spans="1:6">
      <c r="A188">
        <v>3</v>
      </c>
      <c r="B188" t="s">
        <v>142</v>
      </c>
      <c r="C188" t="s">
        <v>8</v>
      </c>
      <c r="E188" s="3">
        <f t="shared" si="3"/>
        <v>7</v>
      </c>
      <c r="F188" s="5">
        <v>44017.625</v>
      </c>
    </row>
    <row r="189" spans="1:6">
      <c r="A189">
        <v>6</v>
      </c>
      <c r="B189" t="s">
        <v>143</v>
      </c>
      <c r="C189" t="s">
        <v>8</v>
      </c>
      <c r="E189" s="3">
        <f t="shared" si="3"/>
        <v>1</v>
      </c>
      <c r="F189" s="5">
        <v>44018.625</v>
      </c>
    </row>
    <row r="190" spans="1:6">
      <c r="A190">
        <v>3</v>
      </c>
      <c r="B190" t="s">
        <v>144</v>
      </c>
      <c r="C190" t="s">
        <v>8</v>
      </c>
      <c r="E190" s="3">
        <f t="shared" si="3"/>
        <v>2</v>
      </c>
      <c r="F190" s="5">
        <v>44019.625</v>
      </c>
    </row>
    <row r="191" spans="1:6">
      <c r="A191">
        <v>9</v>
      </c>
      <c r="B191" t="s">
        <v>145</v>
      </c>
      <c r="C191" t="s">
        <v>8</v>
      </c>
      <c r="E191" s="3">
        <f t="shared" si="3"/>
        <v>3</v>
      </c>
      <c r="F191" s="5">
        <v>44020.625</v>
      </c>
    </row>
    <row r="192" spans="1:6">
      <c r="A192">
        <v>8</v>
      </c>
      <c r="B192" t="s">
        <v>146</v>
      </c>
      <c r="C192" t="s">
        <v>8</v>
      </c>
      <c r="E192" s="3">
        <f t="shared" si="3"/>
        <v>4</v>
      </c>
      <c r="F192" s="5">
        <v>44021.625</v>
      </c>
    </row>
    <row r="193" spans="1:6">
      <c r="A193">
        <v>7</v>
      </c>
      <c r="B193" t="s">
        <v>147</v>
      </c>
      <c r="C193" t="s">
        <v>8</v>
      </c>
      <c r="E193" s="3">
        <f t="shared" si="3"/>
        <v>5</v>
      </c>
      <c r="F193" s="5">
        <v>44022.625</v>
      </c>
    </row>
    <row r="194" spans="1:6">
      <c r="A194">
        <v>0</v>
      </c>
      <c r="B194" t="s">
        <v>290</v>
      </c>
      <c r="C194" t="s">
        <v>8</v>
      </c>
      <c r="E194" s="3">
        <f t="shared" si="3"/>
        <v>6</v>
      </c>
      <c r="F194" s="5">
        <v>44023.625</v>
      </c>
    </row>
    <row r="195" spans="1:6">
      <c r="A195">
        <v>4</v>
      </c>
      <c r="B195" t="s">
        <v>148</v>
      </c>
      <c r="C195" t="s">
        <v>8</v>
      </c>
      <c r="E195" s="3">
        <f t="shared" ref="E195:E258" si="4">WEEKDAY(F195,2)</f>
        <v>7</v>
      </c>
      <c r="F195" s="5">
        <v>44024.625</v>
      </c>
    </row>
    <row r="196" spans="1:6">
      <c r="A196">
        <v>7</v>
      </c>
      <c r="B196" t="s">
        <v>149</v>
      </c>
      <c r="C196" t="s">
        <v>8</v>
      </c>
      <c r="E196" s="3">
        <f t="shared" si="4"/>
        <v>1</v>
      </c>
      <c r="F196" s="5">
        <v>44025.625</v>
      </c>
    </row>
    <row r="197" spans="1:6">
      <c r="A197">
        <v>5</v>
      </c>
      <c r="B197" t="s">
        <v>150</v>
      </c>
      <c r="C197" t="s">
        <v>8</v>
      </c>
      <c r="E197" s="3">
        <f t="shared" si="4"/>
        <v>2</v>
      </c>
      <c r="F197" s="5">
        <v>44026.625</v>
      </c>
    </row>
    <row r="198" spans="1:6">
      <c r="A198">
        <v>5</v>
      </c>
      <c r="B198" t="s">
        <v>151</v>
      </c>
      <c r="C198" t="s">
        <v>8</v>
      </c>
      <c r="E198" s="3">
        <f t="shared" si="4"/>
        <v>3</v>
      </c>
      <c r="F198" s="5">
        <v>44027.625</v>
      </c>
    </row>
    <row r="199" spans="1:6">
      <c r="A199">
        <v>9</v>
      </c>
      <c r="B199" t="s">
        <v>152</v>
      </c>
      <c r="C199" t="s">
        <v>8</v>
      </c>
      <c r="E199" s="3">
        <f t="shared" si="4"/>
        <v>4</v>
      </c>
      <c r="F199" s="5">
        <v>44028.625</v>
      </c>
    </row>
    <row r="200" spans="1:6">
      <c r="A200">
        <v>6</v>
      </c>
      <c r="B200" t="s">
        <v>153</v>
      </c>
      <c r="C200" t="s">
        <v>8</v>
      </c>
      <c r="E200" s="3">
        <f t="shared" si="4"/>
        <v>5</v>
      </c>
      <c r="F200" s="5">
        <v>44029.625</v>
      </c>
    </row>
    <row r="201" spans="1:6">
      <c r="A201">
        <v>7</v>
      </c>
      <c r="B201" t="s">
        <v>154</v>
      </c>
      <c r="C201" t="s">
        <v>8</v>
      </c>
      <c r="E201" s="3">
        <f t="shared" si="4"/>
        <v>6</v>
      </c>
      <c r="F201" s="5">
        <v>44030.625</v>
      </c>
    </row>
    <row r="202" spans="1:6">
      <c r="A202">
        <v>5</v>
      </c>
      <c r="B202" t="s">
        <v>155</v>
      </c>
      <c r="C202" t="s">
        <v>8</v>
      </c>
      <c r="E202" s="3">
        <f t="shared" si="4"/>
        <v>7</v>
      </c>
      <c r="F202" s="5">
        <v>44031.625</v>
      </c>
    </row>
    <row r="203" spans="1:6">
      <c r="A203">
        <v>12</v>
      </c>
      <c r="B203" t="s">
        <v>156</v>
      </c>
      <c r="C203" t="s">
        <v>8</v>
      </c>
      <c r="E203" s="3">
        <f t="shared" si="4"/>
        <v>1</v>
      </c>
      <c r="F203" s="5">
        <v>44032.625</v>
      </c>
    </row>
    <row r="204" spans="1:6">
      <c r="A204">
        <v>8</v>
      </c>
      <c r="B204" t="s">
        <v>157</v>
      </c>
      <c r="C204" t="s">
        <v>8</v>
      </c>
      <c r="E204" s="3">
        <f t="shared" si="4"/>
        <v>2</v>
      </c>
      <c r="F204" s="5">
        <v>44033.625</v>
      </c>
    </row>
    <row r="205" spans="1:6">
      <c r="A205">
        <v>11</v>
      </c>
      <c r="B205" t="s">
        <v>158</v>
      </c>
      <c r="C205" t="s">
        <v>8</v>
      </c>
      <c r="E205" s="3">
        <f t="shared" si="4"/>
        <v>3</v>
      </c>
      <c r="F205" s="5">
        <v>44034.625</v>
      </c>
    </row>
    <row r="206" spans="1:6">
      <c r="A206">
        <v>3</v>
      </c>
      <c r="B206" t="s">
        <v>159</v>
      </c>
      <c r="C206" t="s">
        <v>8</v>
      </c>
      <c r="E206" s="3">
        <f t="shared" si="4"/>
        <v>4</v>
      </c>
      <c r="F206" s="5">
        <v>44035.625</v>
      </c>
    </row>
    <row r="207" spans="1:6">
      <c r="A207">
        <v>10</v>
      </c>
      <c r="B207" t="s">
        <v>160</v>
      </c>
      <c r="C207" t="s">
        <v>8</v>
      </c>
      <c r="E207" s="3">
        <f t="shared" si="4"/>
        <v>5</v>
      </c>
      <c r="F207" s="5">
        <v>44036.625</v>
      </c>
    </row>
    <row r="208" spans="1:6">
      <c r="A208">
        <v>4</v>
      </c>
      <c r="B208" t="s">
        <v>161</v>
      </c>
      <c r="C208" t="s">
        <v>8</v>
      </c>
      <c r="E208" s="3">
        <f t="shared" si="4"/>
        <v>6</v>
      </c>
      <c r="F208" s="5">
        <v>44037.625</v>
      </c>
    </row>
    <row r="209" spans="1:6">
      <c r="A209">
        <v>8</v>
      </c>
      <c r="B209" t="s">
        <v>162</v>
      </c>
      <c r="C209" t="s">
        <v>8</v>
      </c>
      <c r="E209" s="3">
        <f t="shared" si="4"/>
        <v>7</v>
      </c>
      <c r="F209" s="5">
        <v>44038.625</v>
      </c>
    </row>
    <row r="210" spans="1:6">
      <c r="A210">
        <v>13</v>
      </c>
      <c r="B210" t="s">
        <v>163</v>
      </c>
      <c r="C210" t="s">
        <v>8</v>
      </c>
      <c r="E210" s="3">
        <f t="shared" si="4"/>
        <v>1</v>
      </c>
      <c r="F210" s="5">
        <v>44039.625</v>
      </c>
    </row>
    <row r="211" spans="1:6">
      <c r="A211">
        <v>9</v>
      </c>
      <c r="B211" t="s">
        <v>164</v>
      </c>
      <c r="C211" t="s">
        <v>8</v>
      </c>
      <c r="E211" s="3">
        <f t="shared" si="4"/>
        <v>2</v>
      </c>
      <c r="F211" s="5">
        <v>44040.625</v>
      </c>
    </row>
    <row r="212" spans="1:6">
      <c r="A212">
        <v>12</v>
      </c>
      <c r="B212" t="s">
        <v>165</v>
      </c>
      <c r="C212" t="s">
        <v>8</v>
      </c>
      <c r="E212" s="3">
        <f t="shared" si="4"/>
        <v>3</v>
      </c>
      <c r="F212" s="5">
        <v>44041.625</v>
      </c>
    </row>
    <row r="213" spans="1:6">
      <c r="A213">
        <v>8</v>
      </c>
      <c r="B213" t="s">
        <v>166</v>
      </c>
      <c r="C213" t="s">
        <v>8</v>
      </c>
      <c r="E213" s="3">
        <f t="shared" si="4"/>
        <v>4</v>
      </c>
      <c r="F213" s="5">
        <v>44042.625</v>
      </c>
    </row>
    <row r="214" spans="1:6">
      <c r="A214">
        <v>18</v>
      </c>
      <c r="B214" t="s">
        <v>167</v>
      </c>
      <c r="C214" t="s">
        <v>8</v>
      </c>
      <c r="E214" s="3">
        <f t="shared" si="4"/>
        <v>5</v>
      </c>
      <c r="F214" s="5">
        <v>44043.625</v>
      </c>
    </row>
    <row r="215" spans="1:6">
      <c r="A215">
        <v>14</v>
      </c>
      <c r="B215" t="s">
        <v>168</v>
      </c>
      <c r="C215" t="s">
        <v>8</v>
      </c>
      <c r="E215" s="3">
        <f t="shared" si="4"/>
        <v>6</v>
      </c>
      <c r="F215" s="5">
        <v>44044.625</v>
      </c>
    </row>
    <row r="216" spans="1:6">
      <c r="A216">
        <v>10</v>
      </c>
      <c r="B216" t="s">
        <v>169</v>
      </c>
      <c r="C216" t="s">
        <v>8</v>
      </c>
      <c r="E216" s="3">
        <f t="shared" si="4"/>
        <v>7</v>
      </c>
      <c r="F216" s="5">
        <v>44045.625</v>
      </c>
    </row>
    <row r="217" spans="1:6">
      <c r="A217">
        <v>35</v>
      </c>
      <c r="B217" t="s">
        <v>170</v>
      </c>
      <c r="C217" t="s">
        <v>8</v>
      </c>
      <c r="E217" s="3">
        <f t="shared" si="4"/>
        <v>1</v>
      </c>
      <c r="F217" s="5">
        <v>44046.625</v>
      </c>
    </row>
    <row r="218" spans="1:6">
      <c r="A218">
        <v>21</v>
      </c>
      <c r="B218" t="s">
        <v>171</v>
      </c>
      <c r="C218" t="s">
        <v>8</v>
      </c>
      <c r="E218" s="3">
        <f t="shared" si="4"/>
        <v>2</v>
      </c>
      <c r="F218" s="5">
        <v>44047.625</v>
      </c>
    </row>
    <row r="219" spans="1:6">
      <c r="A219">
        <v>29</v>
      </c>
      <c r="B219" t="s">
        <v>172</v>
      </c>
      <c r="C219" t="s">
        <v>8</v>
      </c>
      <c r="E219" s="3">
        <f t="shared" si="4"/>
        <v>3</v>
      </c>
      <c r="F219" s="5">
        <v>44048.625</v>
      </c>
    </row>
    <row r="220" spans="1:6">
      <c r="A220">
        <v>22</v>
      </c>
      <c r="B220" t="s">
        <v>173</v>
      </c>
      <c r="C220" t="s">
        <v>8</v>
      </c>
      <c r="E220" s="3">
        <f t="shared" si="4"/>
        <v>4</v>
      </c>
      <c r="F220" s="5">
        <v>44049.625</v>
      </c>
    </row>
    <row r="221" spans="1:6">
      <c r="A221">
        <v>17</v>
      </c>
      <c r="B221" t="s">
        <v>174</v>
      </c>
      <c r="C221" t="s">
        <v>8</v>
      </c>
      <c r="E221" s="3">
        <f t="shared" si="4"/>
        <v>5</v>
      </c>
      <c r="F221" s="5">
        <v>44050.625</v>
      </c>
    </row>
    <row r="222" spans="1:6">
      <c r="A222">
        <v>9</v>
      </c>
      <c r="B222" t="s">
        <v>175</v>
      </c>
      <c r="C222" t="s">
        <v>8</v>
      </c>
      <c r="E222" s="3">
        <f t="shared" si="4"/>
        <v>6</v>
      </c>
      <c r="F222" s="5">
        <v>44051.625</v>
      </c>
    </row>
    <row r="223" spans="1:6">
      <c r="A223">
        <v>35</v>
      </c>
      <c r="B223" t="s">
        <v>176</v>
      </c>
      <c r="C223" t="s">
        <v>8</v>
      </c>
      <c r="E223" s="3">
        <f t="shared" si="4"/>
        <v>7</v>
      </c>
      <c r="F223" s="5">
        <v>44052.625</v>
      </c>
    </row>
    <row r="224" spans="1:6">
      <c r="A224">
        <v>15</v>
      </c>
      <c r="B224" t="s">
        <v>177</v>
      </c>
      <c r="C224" t="s">
        <v>8</v>
      </c>
      <c r="E224" s="3">
        <f t="shared" si="4"/>
        <v>1</v>
      </c>
      <c r="F224" s="5">
        <v>44053.625</v>
      </c>
    </row>
    <row r="225" spans="1:6">
      <c r="A225">
        <v>27</v>
      </c>
      <c r="B225" t="s">
        <v>178</v>
      </c>
      <c r="C225" t="s">
        <v>8</v>
      </c>
      <c r="E225" s="3">
        <f t="shared" si="4"/>
        <v>2</v>
      </c>
      <c r="F225" s="5">
        <v>44054.625</v>
      </c>
    </row>
    <row r="226" spans="1:6">
      <c r="A226">
        <v>26</v>
      </c>
      <c r="B226" t="s">
        <v>179</v>
      </c>
      <c r="C226" t="s">
        <v>8</v>
      </c>
      <c r="E226" s="3">
        <f t="shared" si="4"/>
        <v>3</v>
      </c>
      <c r="F226" s="5">
        <v>44055.625</v>
      </c>
    </row>
    <row r="227" spans="1:6">
      <c r="A227">
        <v>22</v>
      </c>
      <c r="B227" t="s">
        <v>180</v>
      </c>
      <c r="C227" t="s">
        <v>8</v>
      </c>
      <c r="E227" s="3">
        <f t="shared" si="4"/>
        <v>4</v>
      </c>
      <c r="F227" s="5">
        <v>44056.625</v>
      </c>
    </row>
    <row r="228" spans="1:6">
      <c r="A228">
        <v>27</v>
      </c>
      <c r="B228" t="s">
        <v>181</v>
      </c>
      <c r="C228" t="s">
        <v>8</v>
      </c>
      <c r="E228" s="3">
        <f t="shared" si="4"/>
        <v>5</v>
      </c>
      <c r="F228" s="5">
        <v>44057.625</v>
      </c>
    </row>
    <row r="229" spans="1:6">
      <c r="A229">
        <v>13</v>
      </c>
      <c r="B229" t="s">
        <v>182</v>
      </c>
      <c r="C229" t="s">
        <v>8</v>
      </c>
      <c r="E229" s="3">
        <f t="shared" si="4"/>
        <v>6</v>
      </c>
      <c r="F229" s="5">
        <v>44058.625</v>
      </c>
    </row>
    <row r="230" spans="1:6">
      <c r="A230">
        <v>43</v>
      </c>
      <c r="B230" t="s">
        <v>183</v>
      </c>
      <c r="C230" t="s">
        <v>8</v>
      </c>
      <c r="E230" s="3">
        <f t="shared" si="4"/>
        <v>7</v>
      </c>
      <c r="F230" s="5">
        <v>44059.625</v>
      </c>
    </row>
    <row r="231" spans="1:6">
      <c r="A231">
        <v>27</v>
      </c>
      <c r="B231" t="s">
        <v>184</v>
      </c>
      <c r="C231" t="s">
        <v>8</v>
      </c>
      <c r="E231" s="3">
        <f t="shared" si="4"/>
        <v>1</v>
      </c>
      <c r="F231" s="5">
        <v>44060.625</v>
      </c>
    </row>
    <row r="232" spans="1:6">
      <c r="A232">
        <v>39</v>
      </c>
      <c r="B232" t="s">
        <v>185</v>
      </c>
      <c r="C232" t="s">
        <v>8</v>
      </c>
      <c r="E232" s="3">
        <f t="shared" si="4"/>
        <v>2</v>
      </c>
      <c r="F232" s="5">
        <v>44061.625</v>
      </c>
    </row>
    <row r="233" spans="1:6">
      <c r="A233">
        <v>47</v>
      </c>
      <c r="B233" t="s">
        <v>186</v>
      </c>
      <c r="C233" t="s">
        <v>8</v>
      </c>
      <c r="E233" s="3">
        <f t="shared" si="4"/>
        <v>3</v>
      </c>
      <c r="F233" s="5">
        <v>44062.625</v>
      </c>
    </row>
    <row r="234" spans="1:6">
      <c r="A234">
        <v>26</v>
      </c>
      <c r="B234" t="s">
        <v>187</v>
      </c>
      <c r="C234" t="s">
        <v>8</v>
      </c>
      <c r="E234" s="3">
        <f t="shared" si="4"/>
        <v>4</v>
      </c>
      <c r="F234" s="5">
        <v>44063.625</v>
      </c>
    </row>
    <row r="235" spans="1:6">
      <c r="A235">
        <v>25</v>
      </c>
      <c r="B235" t="s">
        <v>188</v>
      </c>
      <c r="C235" t="s">
        <v>8</v>
      </c>
      <c r="E235" s="3">
        <f t="shared" si="4"/>
        <v>5</v>
      </c>
      <c r="F235" s="5">
        <v>44064.625</v>
      </c>
    </row>
    <row r="236" spans="1:6">
      <c r="A236">
        <v>16</v>
      </c>
      <c r="B236" t="s">
        <v>189</v>
      </c>
      <c r="C236" t="s">
        <v>8</v>
      </c>
      <c r="E236" s="3">
        <f t="shared" si="4"/>
        <v>6</v>
      </c>
      <c r="F236" s="5">
        <v>44065.625</v>
      </c>
    </row>
    <row r="237" spans="1:6">
      <c r="A237">
        <v>10</v>
      </c>
      <c r="B237" t="s">
        <v>190</v>
      </c>
      <c r="C237" t="s">
        <v>8</v>
      </c>
      <c r="E237" s="3">
        <f t="shared" si="4"/>
        <v>7</v>
      </c>
      <c r="F237" s="5">
        <v>44066.625</v>
      </c>
    </row>
    <row r="238" spans="1:6">
      <c r="A238">
        <v>17</v>
      </c>
      <c r="B238" t="s">
        <v>191</v>
      </c>
      <c r="C238" t="s">
        <v>8</v>
      </c>
      <c r="E238" s="3">
        <f t="shared" si="4"/>
        <v>1</v>
      </c>
      <c r="F238" s="5">
        <v>44067.625</v>
      </c>
    </row>
    <row r="239" spans="1:6">
      <c r="A239">
        <v>15</v>
      </c>
      <c r="B239" t="s">
        <v>192</v>
      </c>
      <c r="C239" t="s">
        <v>8</v>
      </c>
      <c r="E239" s="3">
        <f t="shared" si="4"/>
        <v>2</v>
      </c>
      <c r="F239" s="5">
        <v>44068.625</v>
      </c>
    </row>
    <row r="240" spans="1:6">
      <c r="A240">
        <v>20</v>
      </c>
      <c r="B240" t="s">
        <v>193</v>
      </c>
      <c r="C240" t="s">
        <v>8</v>
      </c>
      <c r="E240" s="3">
        <f t="shared" si="4"/>
        <v>3</v>
      </c>
      <c r="F240" s="5">
        <v>44069.625</v>
      </c>
    </row>
    <row r="241" spans="1:6">
      <c r="A241">
        <v>32</v>
      </c>
      <c r="B241" t="s">
        <v>194</v>
      </c>
      <c r="C241" t="s">
        <v>8</v>
      </c>
      <c r="E241" s="3">
        <f t="shared" si="4"/>
        <v>4</v>
      </c>
      <c r="F241" s="5">
        <v>44070.625</v>
      </c>
    </row>
    <row r="242" spans="1:6">
      <c r="A242">
        <v>33</v>
      </c>
      <c r="B242" t="s">
        <v>195</v>
      </c>
      <c r="C242" t="s">
        <v>8</v>
      </c>
      <c r="E242" s="3">
        <f t="shared" si="4"/>
        <v>5</v>
      </c>
      <c r="F242" s="5">
        <v>44071.625</v>
      </c>
    </row>
    <row r="243" spans="1:6">
      <c r="A243">
        <v>19</v>
      </c>
      <c r="B243" t="s">
        <v>196</v>
      </c>
      <c r="C243" t="s">
        <v>8</v>
      </c>
      <c r="E243" s="3">
        <f t="shared" si="4"/>
        <v>6</v>
      </c>
      <c r="F243" s="5">
        <v>44072.625</v>
      </c>
    </row>
    <row r="244" spans="1:6">
      <c r="A244">
        <v>18</v>
      </c>
      <c r="B244" t="s">
        <v>197</v>
      </c>
      <c r="C244" t="s">
        <v>8</v>
      </c>
      <c r="E244" s="3">
        <f t="shared" si="4"/>
        <v>7</v>
      </c>
      <c r="F244" s="5">
        <v>44073.625</v>
      </c>
    </row>
    <row r="245" spans="1:6">
      <c r="A245">
        <v>48</v>
      </c>
      <c r="B245" t="s">
        <v>198</v>
      </c>
      <c r="C245" t="s">
        <v>8</v>
      </c>
      <c r="E245" s="3">
        <f t="shared" si="4"/>
        <v>1</v>
      </c>
      <c r="F245" s="5">
        <v>44074.625</v>
      </c>
    </row>
    <row r="246" spans="1:6">
      <c r="A246">
        <v>29</v>
      </c>
      <c r="B246" t="s">
        <v>199</v>
      </c>
      <c r="C246" t="s">
        <v>8</v>
      </c>
      <c r="E246" s="3">
        <f t="shared" si="4"/>
        <v>2</v>
      </c>
      <c r="F246" s="5">
        <v>44075.625</v>
      </c>
    </row>
    <row r="247" spans="1:6">
      <c r="A247">
        <v>26</v>
      </c>
      <c r="B247" t="s">
        <v>200</v>
      </c>
      <c r="C247" t="s">
        <v>8</v>
      </c>
      <c r="E247" s="3">
        <f t="shared" si="4"/>
        <v>3</v>
      </c>
      <c r="F247" s="5">
        <v>44076.625</v>
      </c>
    </row>
    <row r="248" spans="1:6">
      <c r="A248">
        <v>35</v>
      </c>
      <c r="B248" t="s">
        <v>201</v>
      </c>
      <c r="C248" t="s">
        <v>8</v>
      </c>
      <c r="E248" s="3">
        <f t="shared" si="4"/>
        <v>4</v>
      </c>
      <c r="F248" s="5">
        <v>44077.625</v>
      </c>
    </row>
    <row r="249" spans="1:6">
      <c r="A249">
        <v>42</v>
      </c>
      <c r="B249" t="s">
        <v>202</v>
      </c>
      <c r="C249" t="s">
        <v>8</v>
      </c>
      <c r="E249" s="3">
        <f t="shared" si="4"/>
        <v>5</v>
      </c>
      <c r="F249" s="5">
        <v>44078.625</v>
      </c>
    </row>
    <row r="250" spans="1:6">
      <c r="A250">
        <v>22</v>
      </c>
      <c r="B250" t="s">
        <v>203</v>
      </c>
      <c r="C250" t="s">
        <v>8</v>
      </c>
      <c r="E250" s="3">
        <f t="shared" si="4"/>
        <v>6</v>
      </c>
      <c r="F250" s="5">
        <v>44079.625</v>
      </c>
    </row>
    <row r="251" spans="1:6">
      <c r="A251">
        <v>33</v>
      </c>
      <c r="B251" t="s">
        <v>204</v>
      </c>
      <c r="C251" t="s">
        <v>8</v>
      </c>
      <c r="E251" s="3">
        <f t="shared" si="4"/>
        <v>7</v>
      </c>
      <c r="F251" s="5">
        <v>44080.625</v>
      </c>
    </row>
    <row r="252" spans="1:6">
      <c r="A252">
        <v>45</v>
      </c>
      <c r="B252" t="s">
        <v>205</v>
      </c>
      <c r="C252" t="s">
        <v>8</v>
      </c>
      <c r="E252" s="3">
        <f t="shared" si="4"/>
        <v>1</v>
      </c>
      <c r="F252" s="5">
        <v>44081.625</v>
      </c>
    </row>
    <row r="253" spans="1:6">
      <c r="A253">
        <v>57</v>
      </c>
      <c r="B253" t="s">
        <v>206</v>
      </c>
      <c r="C253" t="s">
        <v>8</v>
      </c>
      <c r="E253" s="3">
        <f t="shared" si="4"/>
        <v>2</v>
      </c>
      <c r="F253" s="5">
        <v>44082.625</v>
      </c>
    </row>
    <row r="254" spans="1:6">
      <c r="A254">
        <v>55</v>
      </c>
      <c r="B254" t="s">
        <v>207</v>
      </c>
      <c r="C254" t="s">
        <v>8</v>
      </c>
      <c r="E254" s="3">
        <f t="shared" si="4"/>
        <v>3</v>
      </c>
      <c r="F254" s="5">
        <v>44083.625</v>
      </c>
    </row>
    <row r="255" spans="1:6">
      <c r="A255">
        <v>52</v>
      </c>
      <c r="B255" t="s">
        <v>208</v>
      </c>
      <c r="C255" t="s">
        <v>8</v>
      </c>
      <c r="E255" s="3">
        <f t="shared" si="4"/>
        <v>4</v>
      </c>
      <c r="F255" s="5">
        <v>44084.625</v>
      </c>
    </row>
    <row r="256" spans="1:6">
      <c r="A256">
        <v>57</v>
      </c>
      <c r="B256" t="s">
        <v>209</v>
      </c>
      <c r="C256" t="s">
        <v>8</v>
      </c>
      <c r="E256" s="3">
        <f t="shared" si="4"/>
        <v>5</v>
      </c>
      <c r="F256" s="5">
        <v>44085.625</v>
      </c>
    </row>
    <row r="257" spans="1:6">
      <c r="A257">
        <v>41</v>
      </c>
      <c r="B257" t="s">
        <v>210</v>
      </c>
      <c r="C257" t="s">
        <v>8</v>
      </c>
      <c r="E257" s="3">
        <f t="shared" si="4"/>
        <v>6</v>
      </c>
      <c r="F257" s="5">
        <v>44086.625</v>
      </c>
    </row>
    <row r="258" spans="1:6">
      <c r="A258">
        <v>46</v>
      </c>
      <c r="B258" t="s">
        <v>211</v>
      </c>
      <c r="C258" t="s">
        <v>8</v>
      </c>
      <c r="E258" s="3">
        <f t="shared" si="4"/>
        <v>7</v>
      </c>
      <c r="F258" s="5">
        <v>44087.625</v>
      </c>
    </row>
    <row r="259" spans="1:6">
      <c r="A259">
        <v>59</v>
      </c>
      <c r="B259" t="s">
        <v>212</v>
      </c>
      <c r="C259" t="s">
        <v>8</v>
      </c>
      <c r="E259" s="3">
        <f t="shared" ref="E259:E285" si="5">WEEKDAY(F259,2)</f>
        <v>1</v>
      </c>
      <c r="F259" s="5">
        <v>44088.625</v>
      </c>
    </row>
    <row r="260" spans="1:6">
      <c r="A260">
        <v>53</v>
      </c>
      <c r="B260" t="s">
        <v>213</v>
      </c>
      <c r="C260" t="s">
        <v>8</v>
      </c>
      <c r="E260" s="3">
        <f t="shared" si="5"/>
        <v>2</v>
      </c>
      <c r="F260" s="5">
        <v>44089.625</v>
      </c>
    </row>
    <row r="261" spans="1:6">
      <c r="A261">
        <v>57</v>
      </c>
      <c r="B261" t="s">
        <v>214</v>
      </c>
      <c r="C261" t="s">
        <v>8</v>
      </c>
      <c r="E261" s="3">
        <f t="shared" si="5"/>
        <v>3</v>
      </c>
      <c r="F261" s="5">
        <v>44090.625</v>
      </c>
    </row>
    <row r="262" spans="1:6">
      <c r="A262">
        <v>85</v>
      </c>
      <c r="B262" t="s">
        <v>215</v>
      </c>
      <c r="C262" t="s">
        <v>8</v>
      </c>
      <c r="E262" s="3">
        <f t="shared" si="5"/>
        <v>4</v>
      </c>
      <c r="F262" s="5">
        <v>44091.625</v>
      </c>
    </row>
    <row r="263" spans="1:6">
      <c r="A263">
        <v>77</v>
      </c>
      <c r="B263" t="s">
        <v>216</v>
      </c>
      <c r="C263" t="s">
        <v>8</v>
      </c>
      <c r="E263" s="3">
        <f t="shared" si="5"/>
        <v>5</v>
      </c>
      <c r="F263" s="5">
        <v>44092.625</v>
      </c>
    </row>
    <row r="264" spans="1:6">
      <c r="A264">
        <v>61</v>
      </c>
      <c r="B264" t="s">
        <v>217</v>
      </c>
      <c r="C264" t="s">
        <v>8</v>
      </c>
      <c r="E264" s="3">
        <f t="shared" si="5"/>
        <v>6</v>
      </c>
      <c r="F264" s="5">
        <v>44093.625</v>
      </c>
    </row>
    <row r="265" spans="1:6">
      <c r="A265">
        <v>73</v>
      </c>
      <c r="B265" t="s">
        <v>218</v>
      </c>
      <c r="C265" t="s">
        <v>8</v>
      </c>
      <c r="E265" s="3">
        <f t="shared" si="5"/>
        <v>7</v>
      </c>
      <c r="F265" s="5">
        <v>44094.625</v>
      </c>
    </row>
    <row r="266" spans="1:6">
      <c r="A266">
        <v>119</v>
      </c>
      <c r="B266" t="s">
        <v>219</v>
      </c>
      <c r="C266" t="s">
        <v>8</v>
      </c>
      <c r="E266" s="3">
        <f t="shared" si="5"/>
        <v>1</v>
      </c>
      <c r="F266" s="5">
        <v>44095.625</v>
      </c>
    </row>
    <row r="267" spans="1:6">
      <c r="A267">
        <v>104</v>
      </c>
      <c r="B267" t="s">
        <v>220</v>
      </c>
      <c r="C267" t="s">
        <v>8</v>
      </c>
      <c r="E267" s="3">
        <f t="shared" si="5"/>
        <v>2</v>
      </c>
      <c r="F267" s="5">
        <v>44096.625</v>
      </c>
    </row>
    <row r="268" spans="1:6">
      <c r="A268">
        <v>118</v>
      </c>
      <c r="B268" t="s">
        <v>221</v>
      </c>
      <c r="C268" t="s">
        <v>8</v>
      </c>
      <c r="E268" s="3">
        <f t="shared" si="5"/>
        <v>3</v>
      </c>
      <c r="F268" s="5">
        <v>44097.625</v>
      </c>
    </row>
    <row r="269" spans="1:6">
      <c r="A269">
        <v>97</v>
      </c>
      <c r="B269" t="s">
        <v>222</v>
      </c>
      <c r="C269" t="s">
        <v>8</v>
      </c>
      <c r="E269" s="3">
        <f t="shared" si="5"/>
        <v>4</v>
      </c>
      <c r="F269" s="5">
        <v>44098.625</v>
      </c>
    </row>
    <row r="270" spans="1:6">
      <c r="A270">
        <v>127</v>
      </c>
      <c r="B270" t="s">
        <v>223</v>
      </c>
      <c r="C270" t="s">
        <v>8</v>
      </c>
      <c r="E270" s="3">
        <f t="shared" si="5"/>
        <v>5</v>
      </c>
      <c r="F270" s="5">
        <v>44099.625</v>
      </c>
    </row>
    <row r="271" spans="1:6">
      <c r="A271">
        <v>73</v>
      </c>
      <c r="B271" t="s">
        <v>224</v>
      </c>
      <c r="C271" t="s">
        <v>8</v>
      </c>
      <c r="E271" s="3">
        <f t="shared" si="5"/>
        <v>6</v>
      </c>
      <c r="F271" s="5">
        <v>44100.625</v>
      </c>
    </row>
    <row r="272" spans="1:6">
      <c r="A272">
        <v>71</v>
      </c>
      <c r="B272" t="s">
        <v>225</v>
      </c>
      <c r="C272" t="s">
        <v>8</v>
      </c>
      <c r="E272" s="3">
        <f t="shared" si="5"/>
        <v>7</v>
      </c>
      <c r="F272" s="5">
        <v>44101.625</v>
      </c>
    </row>
    <row r="273" spans="1:6">
      <c r="A273">
        <v>122</v>
      </c>
      <c r="B273" t="s">
        <v>226</v>
      </c>
      <c r="C273" t="s">
        <v>8</v>
      </c>
      <c r="E273" s="3">
        <f t="shared" si="5"/>
        <v>1</v>
      </c>
      <c r="F273" s="5">
        <v>44102.625</v>
      </c>
    </row>
    <row r="274" spans="1:6">
      <c r="A274">
        <v>133</v>
      </c>
      <c r="B274" t="s">
        <v>227</v>
      </c>
      <c r="C274" t="s">
        <v>8</v>
      </c>
      <c r="E274" s="3">
        <f t="shared" si="5"/>
        <v>2</v>
      </c>
      <c r="F274" s="5">
        <v>44103.625</v>
      </c>
    </row>
    <row r="275" spans="1:6">
      <c r="A275">
        <v>165</v>
      </c>
      <c r="B275" t="s">
        <v>229</v>
      </c>
      <c r="C275" t="s">
        <v>8</v>
      </c>
      <c r="E275" s="3">
        <f t="shared" si="5"/>
        <v>3</v>
      </c>
      <c r="F275" s="5">
        <v>44104.625</v>
      </c>
    </row>
    <row r="276" spans="1:6">
      <c r="A276">
        <v>188</v>
      </c>
      <c r="B276" t="s">
        <v>231</v>
      </c>
      <c r="C276" t="s">
        <v>8</v>
      </c>
      <c r="E276" s="3">
        <f t="shared" si="5"/>
        <v>4</v>
      </c>
      <c r="F276" s="5">
        <v>44105.625</v>
      </c>
    </row>
    <row r="277" spans="1:6">
      <c r="A277">
        <v>187</v>
      </c>
      <c r="B277" t="s">
        <v>232</v>
      </c>
      <c r="C277" t="s">
        <v>8</v>
      </c>
      <c r="E277" s="3">
        <f t="shared" si="5"/>
        <v>5</v>
      </c>
      <c r="F277" s="5">
        <v>44106.625</v>
      </c>
    </row>
    <row r="278" spans="1:6">
      <c r="A278">
        <v>169</v>
      </c>
      <c r="B278" t="s">
        <v>234</v>
      </c>
      <c r="C278" t="s">
        <v>8</v>
      </c>
      <c r="E278" s="3">
        <f t="shared" si="5"/>
        <v>6</v>
      </c>
      <c r="F278" s="5">
        <v>44107.625</v>
      </c>
    </row>
    <row r="279" spans="1:6">
      <c r="A279">
        <v>147</v>
      </c>
      <c r="B279" t="s">
        <v>293</v>
      </c>
      <c r="C279" t="s">
        <v>8</v>
      </c>
      <c r="E279" s="3">
        <f t="shared" si="5"/>
        <v>7</v>
      </c>
      <c r="F279" s="5">
        <v>44108.625</v>
      </c>
    </row>
    <row r="280" spans="1:6">
      <c r="A280">
        <v>289</v>
      </c>
      <c r="B280" t="s">
        <v>294</v>
      </c>
      <c r="C280" t="s">
        <v>8</v>
      </c>
      <c r="E280" s="3">
        <f t="shared" si="5"/>
        <v>1</v>
      </c>
      <c r="F280" s="5">
        <v>44109.625</v>
      </c>
    </row>
    <row r="281" spans="1:6">
      <c r="A281">
        <v>299</v>
      </c>
      <c r="B281" t="s">
        <v>295</v>
      </c>
      <c r="C281" t="s">
        <v>8</v>
      </c>
      <c r="E281" s="3">
        <f t="shared" si="5"/>
        <v>2</v>
      </c>
      <c r="F281" s="5">
        <v>44110.625</v>
      </c>
    </row>
    <row r="282" spans="1:6">
      <c r="A282">
        <v>309</v>
      </c>
      <c r="B282" t="s">
        <v>296</v>
      </c>
      <c r="C282" t="s">
        <v>8</v>
      </c>
      <c r="E282" s="3">
        <f t="shared" si="5"/>
        <v>3</v>
      </c>
      <c r="F282" s="5">
        <v>44111.625</v>
      </c>
    </row>
    <row r="283" spans="1:6">
      <c r="A283">
        <v>261</v>
      </c>
      <c r="B283" t="s">
        <v>297</v>
      </c>
      <c r="C283" t="s">
        <v>8</v>
      </c>
      <c r="E283" s="3">
        <f t="shared" si="5"/>
        <v>4</v>
      </c>
      <c r="F283" s="5">
        <v>44112.625</v>
      </c>
    </row>
    <row r="284" spans="1:6">
      <c r="A284">
        <v>227</v>
      </c>
      <c r="B284" t="s">
        <v>298</v>
      </c>
      <c r="C284" t="s">
        <v>8</v>
      </c>
      <c r="E284" s="3">
        <f t="shared" si="5"/>
        <v>5</v>
      </c>
      <c r="F284" s="5">
        <v>44113.625</v>
      </c>
    </row>
    <row r="285" spans="1:6">
      <c r="A285">
        <v>113</v>
      </c>
      <c r="B285" t="s">
        <v>310</v>
      </c>
      <c r="C285" t="s">
        <v>8</v>
      </c>
      <c r="E285" s="3">
        <f t="shared" si="5"/>
        <v>6</v>
      </c>
      <c r="F285" s="5">
        <v>44114.625</v>
      </c>
    </row>
    <row r="286" spans="1:6">
      <c r="A286">
        <v>132</v>
      </c>
      <c r="B286" t="s">
        <v>311</v>
      </c>
      <c r="C286" t="s">
        <v>8</v>
      </c>
      <c r="F286" s="5">
        <v>44115.625</v>
      </c>
    </row>
    <row r="287" spans="1:6">
      <c r="A287">
        <v>238</v>
      </c>
      <c r="B287" t="s">
        <v>315</v>
      </c>
      <c r="C287" t="s">
        <v>8</v>
      </c>
      <c r="F287" s="5">
        <v>44116.625</v>
      </c>
    </row>
    <row r="288" spans="1:6">
      <c r="A288">
        <v>188</v>
      </c>
      <c r="B288" t="s">
        <v>316</v>
      </c>
      <c r="C288" t="s">
        <v>8</v>
      </c>
      <c r="F288" s="5">
        <v>44117.625</v>
      </c>
    </row>
    <row r="289" spans="1:6">
      <c r="A289">
        <v>196</v>
      </c>
      <c r="B289" t="s">
        <v>317</v>
      </c>
      <c r="C289" t="s">
        <v>8</v>
      </c>
      <c r="F289" s="5">
        <v>44118.625</v>
      </c>
    </row>
    <row r="290" spans="1:6">
      <c r="A290">
        <v>181</v>
      </c>
      <c r="B290" t="s">
        <v>318</v>
      </c>
      <c r="C290" t="s">
        <v>8</v>
      </c>
      <c r="F290" s="5">
        <v>44119.625</v>
      </c>
    </row>
    <row r="291" spans="1:6">
      <c r="A291">
        <v>176</v>
      </c>
      <c r="B291" t="s">
        <v>319</v>
      </c>
      <c r="C291" t="s">
        <v>8</v>
      </c>
      <c r="F291" s="5">
        <v>44120.625</v>
      </c>
    </row>
    <row r="292" spans="1:6">
      <c r="A292">
        <v>77</v>
      </c>
      <c r="B292" t="s">
        <v>320</v>
      </c>
      <c r="C292" t="s">
        <v>8</v>
      </c>
      <c r="F292" s="5">
        <v>44121.625</v>
      </c>
    </row>
    <row r="293" spans="1:6">
      <c r="A293">
        <v>88</v>
      </c>
      <c r="B293" t="s">
        <v>321</v>
      </c>
      <c r="C293" t="s">
        <v>8</v>
      </c>
      <c r="F293" s="5">
        <v>44122.625</v>
      </c>
    </row>
    <row r="294" spans="1:6">
      <c r="A294">
        <v>14</v>
      </c>
      <c r="B294" t="s">
        <v>322</v>
      </c>
      <c r="C294" t="s">
        <v>8</v>
      </c>
      <c r="F294" s="5">
        <v>44123.625</v>
      </c>
    </row>
    <row r="295" spans="1:6">
      <c r="A295">
        <v>0</v>
      </c>
      <c r="B295" t="s">
        <v>323</v>
      </c>
      <c r="C295" t="s">
        <v>8</v>
      </c>
      <c r="F295" s="5">
        <v>44124.369467592594</v>
      </c>
    </row>
  </sheetData>
  <autoFilter ref="A1:F281" xr:uid="{136F8AF3-8B2A-4AC6-9980-0AF3C69DCDC0}">
    <sortState xmlns:xlrd2="http://schemas.microsoft.com/office/spreadsheetml/2017/richdata2" ref="A61:F222">
      <sortCondition ref="D1:D226"/>
    </sortState>
  </autoFilter>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ThisWorkbook.UpdateDialog">
                <anchor moveWithCells="1" sizeWithCells="1">
                  <from>
                    <xdr:col>1</xdr:col>
                    <xdr:colOff>348343</xdr:colOff>
                    <xdr:row>0</xdr:row>
                    <xdr:rowOff>43543</xdr:rowOff>
                  </from>
                  <to>
                    <xdr:col>1</xdr:col>
                    <xdr:colOff>1355271</xdr:colOff>
                    <xdr:row>0</xdr:row>
                    <xdr:rowOff>419100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7A09FF-4F29-44F9-AE9F-B84096EBE962}">
  <sheetPr codeName="Sheet2"/>
  <dimension ref="A1:BB67"/>
  <sheetViews>
    <sheetView tabSelected="1" zoomScale="85" zoomScaleNormal="85" workbookViewId="0">
      <selection activeCell="K8" sqref="K8"/>
    </sheetView>
  </sheetViews>
  <sheetFormatPr defaultRowHeight="14.6"/>
  <cols>
    <col min="2" max="2" width="10.07421875" customWidth="1"/>
    <col min="3" max="3" width="10.84375" bestFit="1" customWidth="1"/>
    <col min="11" max="11" width="9.23046875" style="4"/>
    <col min="13" max="13" width="12.15234375" customWidth="1"/>
    <col min="16" max="16" width="9.84375" customWidth="1"/>
    <col min="19" max="19" width="9.84375" customWidth="1"/>
    <col min="22" max="22" width="12.15234375" customWidth="1"/>
    <col min="25" max="25" width="12.15234375" customWidth="1"/>
    <col min="28" max="28" width="12.15234375" customWidth="1"/>
    <col min="31" max="31" width="12.15234375" customWidth="1"/>
    <col min="34" max="34" width="12.15234375" customWidth="1"/>
    <col min="37" max="37" width="12.15234375" customWidth="1"/>
    <col min="40" max="40" width="12.15234375" customWidth="1"/>
  </cols>
  <sheetData>
    <row r="1" spans="2:2" ht="11.15" customHeight="1"/>
    <row r="2" spans="2:2">
      <c r="B2" s="4"/>
    </row>
    <row r="3" spans="2:2">
      <c r="B3" s="4"/>
    </row>
    <row r="4" spans="2:2">
      <c r="B4" s="4"/>
    </row>
    <row r="5" spans="2:2">
      <c r="B5" s="4"/>
    </row>
    <row r="6" spans="2:2">
      <c r="B6" s="4"/>
    </row>
    <row r="7" spans="2:2">
      <c r="B7" s="4"/>
    </row>
    <row r="8" spans="2:2">
      <c r="B8" s="4"/>
    </row>
    <row r="9" spans="2:2">
      <c r="B9" s="4"/>
    </row>
    <row r="10" spans="2:2">
      <c r="B10" s="4"/>
    </row>
    <row r="11" spans="2:2">
      <c r="B11" s="4"/>
    </row>
    <row r="12" spans="2:2">
      <c r="B12" s="4"/>
    </row>
    <row r="13" spans="2:2">
      <c r="B13" s="4"/>
    </row>
    <row r="14" spans="2:2">
      <c r="B14" s="4"/>
    </row>
    <row r="15" spans="2:2">
      <c r="B15" s="4"/>
    </row>
    <row r="16" spans="2:2">
      <c r="B16" s="4"/>
    </row>
    <row r="17" spans="1:2">
      <c r="B17" s="4"/>
    </row>
    <row r="18" spans="1:2">
      <c r="B18" s="4"/>
    </row>
    <row r="19" spans="1:2">
      <c r="B19" s="4"/>
    </row>
    <row r="20" spans="1:2">
      <c r="B20" s="4"/>
    </row>
    <row r="21" spans="1:2">
      <c r="B21" s="4"/>
    </row>
    <row r="22" spans="1:2">
      <c r="B22" s="4"/>
    </row>
    <row r="23" spans="1:2">
      <c r="B23" s="4"/>
    </row>
    <row r="24" spans="1:2">
      <c r="B24" s="4"/>
    </row>
    <row r="25" spans="1:2">
      <c r="B25" s="4"/>
    </row>
    <row r="26" spans="1:2">
      <c r="B26" s="4"/>
    </row>
    <row r="27" spans="1:2">
      <c r="B27" s="4"/>
    </row>
    <row r="28" spans="1:2">
      <c r="B28" s="4"/>
    </row>
    <row r="29" spans="1:2">
      <c r="B29" s="4"/>
    </row>
    <row r="30" spans="1:2">
      <c r="B30" s="4"/>
    </row>
    <row r="31" spans="1:2">
      <c r="A31" t="str">
        <f ca="1">"Uusia COVID-19 tapauksia n="&amp;(C65-N65)&amp;" (joista vanhoja yli 28 päivän takaisia kirjauksia "&amp;(C65-N65-E35)&amp;"). Yhteensä N="&amp;C64&amp;". Edelliset 7 päivää "&amp;G58&amp;" (päivittyy), "&amp;G51&amp;" (muutos "&amp;H51&amp;"), "&amp;G44&amp;" ("&amp;H44&amp;") ja "&amp;G37&amp;" https://github.com/jussivirkkala/excel/tree/master/hs-koronavirus-avoindata"</f>
        <v>Uusia COVID-19 tapauksia n=294 (joista vanhoja yli 28 päivän takaisia kirjauksia 0). Yhteensä N=13849. Edelliset 7 päivää 920 (päivittyy), 1579 (muutos 24 %), 1278 (79 %) ja 712 https://github.com/jussivirkkala/excel/tree/master/hs-koronavirus-avoindata</v>
      </c>
      <c r="B31" s="4"/>
    </row>
    <row r="32" spans="1:2">
      <c r="B32" s="4"/>
    </row>
    <row r="33" spans="1:54">
      <c r="A33" t="str">
        <f ca="1">"Kirjattuja COVID-19 tapauksia N="&amp;C65&amp;"."&amp;CHAR(13)&amp;"Uusimmat lisäykset punaisella n="&amp;L65&amp;"."</f>
        <v>Kirjattuja COVID-19 tapauksia N=13849._x000D_Uusimmat lisäykset punaisella n=294.</v>
      </c>
      <c r="B33" s="4"/>
    </row>
    <row r="34" spans="1:54">
      <c r="B34" s="4"/>
    </row>
    <row r="35" spans="1:54">
      <c r="B35" s="4" t="s">
        <v>5</v>
      </c>
      <c r="C35" t="s">
        <v>0</v>
      </c>
      <c r="D35" t="s">
        <v>6</v>
      </c>
      <c r="E35">
        <f ca="1">SUM(E37:E65)</f>
        <v>294</v>
      </c>
      <c r="F35" t="s">
        <v>228</v>
      </c>
      <c r="M35" t="s">
        <v>312</v>
      </c>
      <c r="P35" t="s">
        <v>313</v>
      </c>
      <c r="S35" t="s">
        <v>314</v>
      </c>
    </row>
    <row r="36" spans="1:54">
      <c r="A36" t="str">
        <f ca="1">IF(WEEKDAY(B36,2)=1,"Ma","")</f>
        <v>Ma</v>
      </c>
      <c r="B36" s="4">
        <f ca="1">B37-1</f>
        <v>44095</v>
      </c>
      <c r="C36" s="11">
        <f t="shared" ref="C36:C65" ca="1" si="0">SUMIF(aika,"&lt;"&amp;(B36+1),Id)</f>
        <v>9360</v>
      </c>
    </row>
    <row r="37" spans="1:54" s="10" customFormat="1">
      <c r="A37" t="str">
        <f t="shared" ref="A37:A60" ca="1" si="1">IF(WEEKDAY(B37,2)=1,"Ma","")</f>
        <v/>
      </c>
      <c r="B37" s="9">
        <f t="shared" ref="B37:B62" ca="1" si="2">B38-1</f>
        <v>44096</v>
      </c>
      <c r="C37" s="10">
        <f t="shared" ca="1" si="0"/>
        <v>9464</v>
      </c>
      <c r="D37" s="10">
        <f t="shared" ref="D37" ca="1" si="3">C37-C36</f>
        <v>104</v>
      </c>
      <c r="E37" s="10">
        <f t="shared" ref="E37:E64" ca="1" si="4">_xlfn.IFNA(D37-F37,"")</f>
        <v>0</v>
      </c>
      <c r="F37" s="10">
        <f ca="1">VLOOKUP(B37,Previous,3,FALSE)</f>
        <v>104</v>
      </c>
      <c r="G37" s="10">
        <f ca="1">SUM(D37:D43)</f>
        <v>712</v>
      </c>
      <c r="I37" s="10">
        <f ca="1">SUM(D37:D50)</f>
        <v>1990</v>
      </c>
      <c r="K37" s="14"/>
      <c r="M37" s="9">
        <v>44096</v>
      </c>
      <c r="N37" s="10">
        <v>9464</v>
      </c>
      <c r="O37" s="10">
        <v>104</v>
      </c>
      <c r="P37" s="15">
        <v>44096</v>
      </c>
      <c r="Q37" s="10">
        <v>9464</v>
      </c>
      <c r="R37" s="10">
        <v>104</v>
      </c>
      <c r="S37" s="15">
        <v>44085</v>
      </c>
      <c r="T37" s="10">
        <v>8688</v>
      </c>
      <c r="U37" s="10">
        <v>57</v>
      </c>
      <c r="V37" s="9">
        <v>44086</v>
      </c>
      <c r="W37" s="10">
        <v>8730</v>
      </c>
      <c r="X37" s="10">
        <v>41</v>
      </c>
      <c r="Y37" s="9">
        <v>44087</v>
      </c>
      <c r="Z37" s="10">
        <v>8776</v>
      </c>
      <c r="AA37" s="10">
        <v>46</v>
      </c>
      <c r="AB37" s="9">
        <v>44088</v>
      </c>
      <c r="AC37" s="10">
        <v>8835</v>
      </c>
      <c r="AD37" s="10">
        <v>59</v>
      </c>
      <c r="AE37" s="9">
        <v>44089</v>
      </c>
      <c r="AF37" s="10">
        <v>8888</v>
      </c>
      <c r="AG37" s="10">
        <v>53</v>
      </c>
      <c r="AH37" s="9">
        <v>44090</v>
      </c>
      <c r="AI37" s="10">
        <v>8946</v>
      </c>
      <c r="AJ37" s="10">
        <v>57</v>
      </c>
      <c r="AK37" s="9">
        <v>44091</v>
      </c>
      <c r="AL37" s="10">
        <v>9030</v>
      </c>
      <c r="AM37" s="10">
        <v>85</v>
      </c>
      <c r="AN37" s="9">
        <v>44092</v>
      </c>
      <c r="AO37" s="10">
        <v>9106</v>
      </c>
      <c r="AP37" s="10">
        <v>76</v>
      </c>
      <c r="AQ37" s="10">
        <v>44093</v>
      </c>
      <c r="AR37" s="10">
        <v>9167</v>
      </c>
      <c r="AS37" s="10">
        <v>61</v>
      </c>
      <c r="AT37" s="10">
        <v>44094</v>
      </c>
      <c r="AU37" s="10">
        <v>9240</v>
      </c>
      <c r="AV37" s="10">
        <v>73</v>
      </c>
      <c r="AW37" s="10">
        <v>44095</v>
      </c>
      <c r="AX37" s="10">
        <v>9360</v>
      </c>
      <c r="AY37" s="10">
        <v>119</v>
      </c>
      <c r="AZ37" s="10">
        <v>44096</v>
      </c>
      <c r="BA37" s="10">
        <v>9464</v>
      </c>
      <c r="BB37" s="10">
        <v>104</v>
      </c>
    </row>
    <row r="38" spans="1:54">
      <c r="A38" t="str">
        <f t="shared" ca="1" si="1"/>
        <v/>
      </c>
      <c r="B38" s="4">
        <f t="shared" ca="1" si="2"/>
        <v>44097</v>
      </c>
      <c r="C38" s="11">
        <f t="shared" ca="1" si="0"/>
        <v>9582</v>
      </c>
      <c r="D38">
        <f t="shared" ref="D38" ca="1" si="5">C38-C37</f>
        <v>118</v>
      </c>
      <c r="E38" s="11">
        <f t="shared" ca="1" si="4"/>
        <v>0</v>
      </c>
      <c r="F38" s="11">
        <f t="shared" ref="F38:F65" ca="1" si="6">VLOOKUP(B38,Previous,3,FALSE)</f>
        <v>118</v>
      </c>
      <c r="K38" s="3"/>
      <c r="M38" s="4">
        <v>44097</v>
      </c>
      <c r="N38">
        <v>9582</v>
      </c>
      <c r="O38">
        <v>118</v>
      </c>
      <c r="P38" s="13">
        <v>44097</v>
      </c>
      <c r="Q38">
        <v>9582</v>
      </c>
      <c r="R38">
        <v>118</v>
      </c>
      <c r="S38" s="13">
        <v>44086</v>
      </c>
      <c r="T38">
        <v>8729</v>
      </c>
      <c r="U38">
        <v>41</v>
      </c>
      <c r="V38" s="4">
        <v>44087</v>
      </c>
      <c r="W38">
        <v>8776</v>
      </c>
      <c r="X38">
        <v>46</v>
      </c>
      <c r="Y38" s="4">
        <v>44088</v>
      </c>
      <c r="Z38">
        <v>8836</v>
      </c>
      <c r="AA38">
        <v>59</v>
      </c>
      <c r="AB38" s="4">
        <v>44089</v>
      </c>
      <c r="AC38">
        <v>8888</v>
      </c>
      <c r="AD38">
        <v>53</v>
      </c>
      <c r="AE38" s="4">
        <v>44090</v>
      </c>
      <c r="AF38">
        <v>8945</v>
      </c>
      <c r="AG38">
        <v>57</v>
      </c>
      <c r="AH38" s="4">
        <v>44091</v>
      </c>
      <c r="AI38">
        <v>9031</v>
      </c>
      <c r="AJ38">
        <v>85</v>
      </c>
      <c r="AK38" s="4">
        <v>44092</v>
      </c>
      <c r="AL38">
        <v>9106</v>
      </c>
      <c r="AM38">
        <v>76</v>
      </c>
      <c r="AN38" s="4">
        <v>44093</v>
      </c>
      <c r="AO38">
        <v>9167</v>
      </c>
      <c r="AP38">
        <v>61</v>
      </c>
      <c r="AQ38">
        <v>44094</v>
      </c>
      <c r="AR38">
        <v>9240</v>
      </c>
      <c r="AS38">
        <v>73</v>
      </c>
      <c r="AT38">
        <v>44095</v>
      </c>
      <c r="AU38">
        <v>9359</v>
      </c>
      <c r="AV38">
        <v>119</v>
      </c>
      <c r="AW38">
        <v>44096</v>
      </c>
      <c r="AX38">
        <v>9464</v>
      </c>
      <c r="AY38">
        <v>104</v>
      </c>
      <c r="AZ38">
        <v>44097</v>
      </c>
      <c r="BA38">
        <v>9582</v>
      </c>
      <c r="BB38">
        <v>118</v>
      </c>
    </row>
    <row r="39" spans="1:54">
      <c r="A39" t="str">
        <f t="shared" ca="1" si="1"/>
        <v/>
      </c>
      <c r="B39" s="4">
        <f t="shared" ca="1" si="2"/>
        <v>44098</v>
      </c>
      <c r="C39" s="11">
        <f t="shared" ca="1" si="0"/>
        <v>9679</v>
      </c>
      <c r="D39">
        <f t="shared" ref="D39" ca="1" si="7">C39-C38</f>
        <v>97</v>
      </c>
      <c r="E39" s="11">
        <f t="shared" ca="1" si="4"/>
        <v>0</v>
      </c>
      <c r="F39" s="11">
        <f t="shared" ca="1" si="6"/>
        <v>97</v>
      </c>
      <c r="K39" s="3"/>
      <c r="M39" s="13">
        <v>44098</v>
      </c>
      <c r="N39">
        <v>9679</v>
      </c>
      <c r="O39">
        <v>97</v>
      </c>
      <c r="P39" s="13">
        <v>44098</v>
      </c>
      <c r="Q39">
        <v>9679</v>
      </c>
      <c r="R39">
        <v>97</v>
      </c>
      <c r="S39" s="13">
        <v>44087</v>
      </c>
      <c r="T39">
        <v>8775</v>
      </c>
      <c r="U39">
        <v>46</v>
      </c>
      <c r="V39" s="13">
        <v>44088</v>
      </c>
      <c r="W39">
        <v>8835</v>
      </c>
      <c r="X39">
        <v>59</v>
      </c>
      <c r="Y39" s="13">
        <v>44089</v>
      </c>
      <c r="Z39">
        <v>8889</v>
      </c>
      <c r="AA39">
        <v>53</v>
      </c>
      <c r="AB39" s="13">
        <v>44090</v>
      </c>
      <c r="AC39">
        <v>8945</v>
      </c>
      <c r="AD39">
        <v>57</v>
      </c>
      <c r="AE39" s="13">
        <v>44091</v>
      </c>
      <c r="AF39">
        <v>9030</v>
      </c>
      <c r="AG39">
        <v>85</v>
      </c>
      <c r="AH39" s="13">
        <v>44092</v>
      </c>
      <c r="AI39">
        <v>9107</v>
      </c>
      <c r="AJ39">
        <v>76</v>
      </c>
      <c r="AK39" s="13">
        <v>44093</v>
      </c>
      <c r="AL39">
        <v>9167</v>
      </c>
      <c r="AM39">
        <v>61</v>
      </c>
      <c r="AN39" s="13">
        <v>44094</v>
      </c>
      <c r="AO39">
        <v>9240</v>
      </c>
      <c r="AP39">
        <v>73</v>
      </c>
      <c r="AQ39">
        <v>44095</v>
      </c>
      <c r="AR39">
        <v>9359</v>
      </c>
      <c r="AS39">
        <v>119</v>
      </c>
      <c r="AT39">
        <v>44096</v>
      </c>
      <c r="AU39">
        <v>9464</v>
      </c>
      <c r="AV39">
        <v>105</v>
      </c>
      <c r="AW39">
        <v>44097</v>
      </c>
      <c r="AX39">
        <v>9582</v>
      </c>
      <c r="AY39">
        <v>118</v>
      </c>
      <c r="AZ39">
        <v>44098</v>
      </c>
      <c r="BA39">
        <v>9679</v>
      </c>
      <c r="BB39">
        <v>97</v>
      </c>
    </row>
    <row r="40" spans="1:54">
      <c r="A40" t="str">
        <f t="shared" ca="1" si="1"/>
        <v/>
      </c>
      <c r="B40" s="4">
        <f t="shared" ca="1" si="2"/>
        <v>44099</v>
      </c>
      <c r="C40" s="11">
        <f t="shared" ca="1" si="0"/>
        <v>9806</v>
      </c>
      <c r="D40">
        <f t="shared" ref="D40" ca="1" si="8">C40-C39</f>
        <v>127</v>
      </c>
      <c r="E40" s="11">
        <f t="shared" ca="1" si="4"/>
        <v>0</v>
      </c>
      <c r="F40" s="11">
        <f t="shared" ca="1" si="6"/>
        <v>127</v>
      </c>
      <c r="K40" s="3"/>
      <c r="M40" s="13">
        <v>44099</v>
      </c>
      <c r="N40">
        <v>9806</v>
      </c>
      <c r="O40">
        <v>127</v>
      </c>
      <c r="P40" s="13">
        <v>44099</v>
      </c>
      <c r="Q40">
        <v>9806</v>
      </c>
      <c r="R40">
        <v>127</v>
      </c>
      <c r="S40" s="13">
        <v>44088</v>
      </c>
      <c r="T40">
        <v>8834</v>
      </c>
      <c r="U40">
        <v>59</v>
      </c>
      <c r="V40" s="13">
        <v>44089</v>
      </c>
      <c r="W40">
        <v>8888</v>
      </c>
      <c r="X40">
        <v>53</v>
      </c>
      <c r="Y40" s="13">
        <v>44090</v>
      </c>
      <c r="Z40">
        <v>8946</v>
      </c>
      <c r="AA40">
        <v>57</v>
      </c>
      <c r="AB40" s="13">
        <v>44091</v>
      </c>
      <c r="AC40">
        <v>9030</v>
      </c>
      <c r="AD40">
        <v>85</v>
      </c>
      <c r="AE40" s="13">
        <v>44092</v>
      </c>
      <c r="AF40">
        <v>9106</v>
      </c>
      <c r="AG40">
        <v>76</v>
      </c>
      <c r="AH40" s="13">
        <v>44093</v>
      </c>
      <c r="AI40">
        <v>9168</v>
      </c>
      <c r="AJ40">
        <v>61</v>
      </c>
      <c r="AK40" s="13">
        <v>44094</v>
      </c>
      <c r="AL40">
        <v>9240</v>
      </c>
      <c r="AM40">
        <v>73</v>
      </c>
      <c r="AN40" s="13">
        <v>44095</v>
      </c>
      <c r="AO40">
        <v>9359</v>
      </c>
      <c r="AP40">
        <v>119</v>
      </c>
      <c r="AQ40">
        <v>44096</v>
      </c>
      <c r="AR40">
        <v>9464</v>
      </c>
      <c r="AS40">
        <v>105</v>
      </c>
      <c r="AT40">
        <v>44097</v>
      </c>
      <c r="AU40">
        <v>9582</v>
      </c>
      <c r="AV40">
        <v>118</v>
      </c>
      <c r="AW40">
        <v>44098</v>
      </c>
      <c r="AX40">
        <v>9679</v>
      </c>
      <c r="AY40">
        <v>97</v>
      </c>
      <c r="AZ40">
        <v>44099</v>
      </c>
      <c r="BA40">
        <v>9806</v>
      </c>
      <c r="BB40">
        <v>127</v>
      </c>
    </row>
    <row r="41" spans="1:54">
      <c r="A41" t="str">
        <f t="shared" ca="1" si="1"/>
        <v/>
      </c>
      <c r="B41" s="4">
        <f t="shared" ca="1" si="2"/>
        <v>44100</v>
      </c>
      <c r="C41" s="11">
        <f t="shared" ca="1" si="0"/>
        <v>9879</v>
      </c>
      <c r="D41">
        <f t="shared" ref="D41" ca="1" si="9">C41-C40</f>
        <v>73</v>
      </c>
      <c r="E41" s="11">
        <f t="shared" ca="1" si="4"/>
        <v>0</v>
      </c>
      <c r="F41" s="11">
        <f t="shared" ca="1" si="6"/>
        <v>73</v>
      </c>
      <c r="K41" s="3"/>
      <c r="M41" s="13">
        <v>44100</v>
      </c>
      <c r="N41">
        <v>9879</v>
      </c>
      <c r="O41">
        <v>73</v>
      </c>
      <c r="P41" s="13">
        <v>44100</v>
      </c>
      <c r="Q41">
        <v>9879</v>
      </c>
      <c r="R41">
        <v>73</v>
      </c>
      <c r="S41" s="13">
        <v>44089</v>
      </c>
      <c r="T41">
        <v>8887</v>
      </c>
      <c r="U41">
        <v>53</v>
      </c>
      <c r="V41" s="13">
        <v>44090</v>
      </c>
      <c r="W41">
        <v>8945</v>
      </c>
      <c r="X41">
        <v>57</v>
      </c>
      <c r="Y41" s="13">
        <v>44091</v>
      </c>
      <c r="Z41">
        <v>9031</v>
      </c>
      <c r="AA41">
        <v>85</v>
      </c>
      <c r="AB41" s="13">
        <v>44092</v>
      </c>
      <c r="AC41">
        <v>9106</v>
      </c>
      <c r="AD41">
        <v>76</v>
      </c>
      <c r="AE41" s="13">
        <v>44093</v>
      </c>
      <c r="AF41">
        <v>9167</v>
      </c>
      <c r="AG41">
        <v>61</v>
      </c>
      <c r="AH41" s="13">
        <v>44094</v>
      </c>
      <c r="AI41">
        <v>9241</v>
      </c>
      <c r="AJ41">
        <v>73</v>
      </c>
      <c r="AK41" s="13">
        <v>44095</v>
      </c>
      <c r="AL41">
        <v>9359</v>
      </c>
      <c r="AM41">
        <v>119</v>
      </c>
      <c r="AN41" s="13">
        <v>44096</v>
      </c>
      <c r="AO41">
        <v>9464</v>
      </c>
      <c r="AP41">
        <v>105</v>
      </c>
      <c r="AQ41">
        <v>44097</v>
      </c>
      <c r="AR41">
        <v>9582</v>
      </c>
      <c r="AS41">
        <v>118</v>
      </c>
      <c r="AT41">
        <v>44098</v>
      </c>
      <c r="AU41">
        <v>9679</v>
      </c>
      <c r="AV41">
        <v>97</v>
      </c>
      <c r="AW41">
        <v>44099</v>
      </c>
      <c r="AX41">
        <v>9806</v>
      </c>
      <c r="AY41">
        <v>127</v>
      </c>
      <c r="AZ41">
        <v>44100</v>
      </c>
      <c r="BA41">
        <v>9879</v>
      </c>
      <c r="BB41">
        <v>73</v>
      </c>
    </row>
    <row r="42" spans="1:54">
      <c r="A42" t="str">
        <f t="shared" ca="1" si="1"/>
        <v/>
      </c>
      <c r="B42" s="4">
        <f t="shared" ca="1" si="2"/>
        <v>44101</v>
      </c>
      <c r="C42" s="11">
        <f t="shared" ca="1" si="0"/>
        <v>9950</v>
      </c>
      <c r="D42">
        <f t="shared" ref="D42" ca="1" si="10">C42-C41</f>
        <v>71</v>
      </c>
      <c r="E42" s="11">
        <f t="shared" ca="1" si="4"/>
        <v>0</v>
      </c>
      <c r="F42" s="11">
        <f t="shared" ca="1" si="6"/>
        <v>71</v>
      </c>
      <c r="K42" s="3"/>
      <c r="M42" s="13">
        <v>44101</v>
      </c>
      <c r="N42">
        <v>9950</v>
      </c>
      <c r="O42">
        <v>71</v>
      </c>
      <c r="P42" s="13">
        <v>44101</v>
      </c>
      <c r="Q42">
        <v>9950</v>
      </c>
      <c r="R42">
        <v>71</v>
      </c>
      <c r="S42" s="13">
        <v>44090</v>
      </c>
      <c r="T42">
        <v>8944</v>
      </c>
      <c r="U42">
        <v>57</v>
      </c>
      <c r="V42" s="13">
        <v>44091</v>
      </c>
      <c r="W42">
        <v>9030</v>
      </c>
      <c r="X42">
        <v>85</v>
      </c>
      <c r="Y42" s="13">
        <v>44092</v>
      </c>
      <c r="Z42">
        <v>9107</v>
      </c>
      <c r="AA42">
        <v>76</v>
      </c>
      <c r="AB42" s="13">
        <v>44093</v>
      </c>
      <c r="AC42">
        <v>9167</v>
      </c>
      <c r="AD42">
        <v>61</v>
      </c>
      <c r="AE42" s="13">
        <v>44094</v>
      </c>
      <c r="AF42">
        <v>9240</v>
      </c>
      <c r="AG42">
        <v>73</v>
      </c>
      <c r="AH42" s="13">
        <v>44095</v>
      </c>
      <c r="AI42">
        <v>9360</v>
      </c>
      <c r="AJ42">
        <v>119</v>
      </c>
      <c r="AK42" s="13">
        <v>44096</v>
      </c>
      <c r="AL42">
        <v>9464</v>
      </c>
      <c r="AM42">
        <v>105</v>
      </c>
      <c r="AN42" s="13">
        <v>44097</v>
      </c>
      <c r="AO42">
        <v>9582</v>
      </c>
      <c r="AP42">
        <v>118</v>
      </c>
      <c r="AQ42">
        <v>44098</v>
      </c>
      <c r="AR42">
        <v>9679</v>
      </c>
      <c r="AS42">
        <v>97</v>
      </c>
      <c r="AT42">
        <v>44099</v>
      </c>
      <c r="AU42">
        <v>9806</v>
      </c>
      <c r="AV42">
        <v>127</v>
      </c>
      <c r="AW42">
        <v>44100</v>
      </c>
      <c r="AX42">
        <v>9879</v>
      </c>
      <c r="AY42">
        <v>73</v>
      </c>
      <c r="AZ42">
        <v>44101</v>
      </c>
      <c r="BA42">
        <v>9950</v>
      </c>
      <c r="BB42">
        <v>71</v>
      </c>
    </row>
    <row r="43" spans="1:54">
      <c r="A43" t="str">
        <f t="shared" ca="1" si="1"/>
        <v>Ma</v>
      </c>
      <c r="B43" s="4">
        <f t="shared" ca="1" si="2"/>
        <v>44102</v>
      </c>
      <c r="C43" s="11">
        <f t="shared" ca="1" si="0"/>
        <v>10072</v>
      </c>
      <c r="D43">
        <f t="shared" ref="D43" ca="1" si="11">C43-C42</f>
        <v>122</v>
      </c>
      <c r="E43" s="11">
        <f t="shared" ca="1" si="4"/>
        <v>0</v>
      </c>
      <c r="F43" s="11">
        <f t="shared" ca="1" si="6"/>
        <v>122</v>
      </c>
      <c r="G43" s="10"/>
      <c r="K43" s="3"/>
      <c r="M43" s="13">
        <v>44102</v>
      </c>
      <c r="N43">
        <v>10072</v>
      </c>
      <c r="O43">
        <v>122</v>
      </c>
      <c r="P43" s="13">
        <v>44102</v>
      </c>
      <c r="Q43">
        <v>10072</v>
      </c>
      <c r="R43">
        <v>122</v>
      </c>
      <c r="S43" s="13">
        <v>44091</v>
      </c>
      <c r="T43">
        <v>9029</v>
      </c>
      <c r="U43">
        <v>85</v>
      </c>
      <c r="V43" s="13">
        <v>44092</v>
      </c>
      <c r="W43">
        <v>9106</v>
      </c>
      <c r="X43">
        <v>76</v>
      </c>
      <c r="Y43" s="13">
        <v>44093</v>
      </c>
      <c r="Z43">
        <v>9168</v>
      </c>
      <c r="AA43">
        <v>61</v>
      </c>
      <c r="AB43" s="13">
        <v>44094</v>
      </c>
      <c r="AC43">
        <v>9240</v>
      </c>
      <c r="AD43">
        <v>73</v>
      </c>
      <c r="AE43" s="13">
        <v>44095</v>
      </c>
      <c r="AF43">
        <v>9359</v>
      </c>
      <c r="AG43">
        <v>119</v>
      </c>
      <c r="AH43" s="13">
        <v>44096</v>
      </c>
      <c r="AI43">
        <v>9465</v>
      </c>
      <c r="AJ43">
        <v>105</v>
      </c>
      <c r="AK43" s="13">
        <v>44097</v>
      </c>
      <c r="AL43">
        <v>9582</v>
      </c>
      <c r="AM43">
        <v>118</v>
      </c>
      <c r="AN43" s="13">
        <v>44098</v>
      </c>
      <c r="AO43">
        <v>9679</v>
      </c>
      <c r="AP43">
        <v>97</v>
      </c>
      <c r="AQ43">
        <v>44099</v>
      </c>
      <c r="AR43">
        <v>9806</v>
      </c>
      <c r="AS43">
        <v>127</v>
      </c>
      <c r="AT43">
        <v>44100</v>
      </c>
      <c r="AU43">
        <v>9879</v>
      </c>
      <c r="AV43">
        <v>73</v>
      </c>
      <c r="AW43">
        <v>44101</v>
      </c>
      <c r="AX43">
        <v>9950</v>
      </c>
      <c r="AY43">
        <v>71</v>
      </c>
      <c r="AZ43">
        <v>44102</v>
      </c>
      <c r="BA43">
        <v>10072</v>
      </c>
      <c r="BB43">
        <v>122</v>
      </c>
    </row>
    <row r="44" spans="1:54" s="10" customFormat="1">
      <c r="A44" t="str">
        <f t="shared" ca="1" si="1"/>
        <v/>
      </c>
      <c r="B44" s="9">
        <f t="shared" ca="1" si="2"/>
        <v>44103</v>
      </c>
      <c r="C44" s="10">
        <f t="shared" ca="1" si="0"/>
        <v>10205</v>
      </c>
      <c r="D44" s="10">
        <f t="shared" ref="D44" ca="1" si="12">C44-C43</f>
        <v>133</v>
      </c>
      <c r="E44" s="10">
        <f t="shared" ca="1" si="4"/>
        <v>0</v>
      </c>
      <c r="F44" s="10">
        <f t="shared" ca="1" si="6"/>
        <v>133</v>
      </c>
      <c r="G44" s="10">
        <f ca="1">SUM(D44:D50)</f>
        <v>1278</v>
      </c>
      <c r="H44" s="10" t="str">
        <f ca="1">TEXT(G44/G37-1,"0 %")</f>
        <v>79 %</v>
      </c>
      <c r="I44" s="10">
        <f ca="1">SUM(D44:D57)</f>
        <v>2857</v>
      </c>
      <c r="K44" s="14"/>
      <c r="L44"/>
      <c r="M44" s="15">
        <v>44103</v>
      </c>
      <c r="N44" s="10">
        <v>10205</v>
      </c>
      <c r="O44" s="10">
        <v>133</v>
      </c>
      <c r="P44" s="15">
        <v>44103</v>
      </c>
      <c r="Q44" s="10">
        <v>10205</v>
      </c>
      <c r="R44" s="10">
        <v>133</v>
      </c>
      <c r="S44" s="15">
        <v>44092</v>
      </c>
      <c r="T44" s="10">
        <v>9105</v>
      </c>
      <c r="U44" s="10">
        <v>76</v>
      </c>
      <c r="V44" s="15">
        <v>44093</v>
      </c>
      <c r="W44" s="10">
        <v>9167</v>
      </c>
      <c r="X44" s="10">
        <v>61</v>
      </c>
      <c r="Y44" s="15">
        <v>44094</v>
      </c>
      <c r="Z44" s="10">
        <v>9241</v>
      </c>
      <c r="AA44" s="10">
        <v>73</v>
      </c>
      <c r="AB44" s="15">
        <v>44095</v>
      </c>
      <c r="AC44" s="10">
        <v>9359</v>
      </c>
      <c r="AD44" s="10">
        <v>119</v>
      </c>
      <c r="AE44" s="15">
        <v>44096</v>
      </c>
      <c r="AF44" s="10">
        <v>9464</v>
      </c>
      <c r="AG44" s="10">
        <v>105</v>
      </c>
      <c r="AH44" s="15">
        <v>44097</v>
      </c>
      <c r="AI44" s="10">
        <v>9583</v>
      </c>
      <c r="AJ44" s="10">
        <v>118</v>
      </c>
      <c r="AK44" s="15">
        <v>44098</v>
      </c>
      <c r="AL44" s="10">
        <v>9679</v>
      </c>
      <c r="AM44" s="10">
        <v>97</v>
      </c>
      <c r="AN44" s="15">
        <v>44099</v>
      </c>
      <c r="AO44" s="10">
        <v>9806</v>
      </c>
      <c r="AP44" s="10">
        <v>127</v>
      </c>
      <c r="AQ44" s="10">
        <v>44100</v>
      </c>
      <c r="AR44" s="10">
        <v>9879</v>
      </c>
      <c r="AS44" s="10">
        <v>73</v>
      </c>
      <c r="AT44" s="10">
        <v>44101</v>
      </c>
      <c r="AU44" s="10">
        <v>9950</v>
      </c>
      <c r="AV44" s="10">
        <v>71</v>
      </c>
      <c r="AW44" s="10">
        <v>44102</v>
      </c>
      <c r="AX44" s="10">
        <v>10072</v>
      </c>
      <c r="AY44" s="10">
        <v>122</v>
      </c>
      <c r="AZ44" s="10">
        <v>44103</v>
      </c>
      <c r="BA44" s="10">
        <v>10205</v>
      </c>
      <c r="BB44" s="10">
        <v>133</v>
      </c>
    </row>
    <row r="45" spans="1:54">
      <c r="A45" t="str">
        <f t="shared" ca="1" si="1"/>
        <v/>
      </c>
      <c r="B45" s="4">
        <f t="shared" ca="1" si="2"/>
        <v>44104</v>
      </c>
      <c r="C45" s="11">
        <f t="shared" ca="1" si="0"/>
        <v>10370</v>
      </c>
      <c r="D45">
        <f t="shared" ref="D45" ca="1" si="13">C45-C44</f>
        <v>165</v>
      </c>
      <c r="E45" s="11">
        <f t="shared" ca="1" si="4"/>
        <v>0</v>
      </c>
      <c r="F45" s="11">
        <f t="shared" ca="1" si="6"/>
        <v>165</v>
      </c>
      <c r="K45" s="3"/>
      <c r="M45" s="13">
        <v>44104</v>
      </c>
      <c r="N45">
        <v>10370</v>
      </c>
      <c r="O45">
        <v>165</v>
      </c>
      <c r="P45" s="13">
        <v>44104</v>
      </c>
      <c r="Q45">
        <v>10370</v>
      </c>
      <c r="R45">
        <v>165</v>
      </c>
      <c r="S45" s="13">
        <v>44093</v>
      </c>
      <c r="T45">
        <v>9166</v>
      </c>
      <c r="U45">
        <v>61</v>
      </c>
      <c r="V45" s="13">
        <v>44094</v>
      </c>
      <c r="W45">
        <v>9240</v>
      </c>
      <c r="X45">
        <v>73</v>
      </c>
      <c r="Y45" s="13">
        <v>44095</v>
      </c>
      <c r="Z45">
        <v>9360</v>
      </c>
      <c r="AA45">
        <v>119</v>
      </c>
      <c r="AB45" s="13">
        <v>44096</v>
      </c>
      <c r="AC45">
        <v>9464</v>
      </c>
      <c r="AD45">
        <v>105</v>
      </c>
      <c r="AE45" s="13">
        <v>44097</v>
      </c>
      <c r="AF45">
        <v>9582</v>
      </c>
      <c r="AG45">
        <v>118</v>
      </c>
      <c r="AH45" s="13">
        <v>44098</v>
      </c>
      <c r="AI45">
        <v>9680</v>
      </c>
      <c r="AJ45">
        <v>97</v>
      </c>
      <c r="AK45" s="13">
        <v>44099</v>
      </c>
      <c r="AL45">
        <v>9806</v>
      </c>
      <c r="AM45">
        <v>127</v>
      </c>
      <c r="AN45" s="13">
        <v>44100</v>
      </c>
      <c r="AO45">
        <v>9880</v>
      </c>
      <c r="AP45">
        <v>74</v>
      </c>
      <c r="AQ45">
        <v>44101</v>
      </c>
      <c r="AR45">
        <v>9950</v>
      </c>
      <c r="AS45">
        <v>71</v>
      </c>
      <c r="AT45">
        <v>44102</v>
      </c>
      <c r="AU45">
        <v>10072</v>
      </c>
      <c r="AV45">
        <v>122</v>
      </c>
      <c r="AW45">
        <v>44103</v>
      </c>
      <c r="AX45">
        <v>10205</v>
      </c>
      <c r="AY45">
        <v>133</v>
      </c>
      <c r="AZ45">
        <v>44104</v>
      </c>
      <c r="BA45">
        <v>10370</v>
      </c>
      <c r="BB45">
        <v>165</v>
      </c>
    </row>
    <row r="46" spans="1:54">
      <c r="A46" t="str">
        <f t="shared" ca="1" si="1"/>
        <v/>
      </c>
      <c r="B46" s="4">
        <f t="shared" ca="1" si="2"/>
        <v>44105</v>
      </c>
      <c r="C46" s="11">
        <f t="shared" ca="1" si="0"/>
        <v>10558</v>
      </c>
      <c r="D46">
        <f t="shared" ref="D46" ca="1" si="14">C46-C45</f>
        <v>188</v>
      </c>
      <c r="E46" s="11">
        <f t="shared" ca="1" si="4"/>
        <v>0</v>
      </c>
      <c r="F46" s="11">
        <f t="shared" ca="1" si="6"/>
        <v>188</v>
      </c>
      <c r="K46" s="3"/>
      <c r="M46" s="13">
        <v>44105</v>
      </c>
      <c r="N46">
        <v>10558</v>
      </c>
      <c r="O46">
        <v>188</v>
      </c>
      <c r="P46" s="13">
        <v>44105</v>
      </c>
      <c r="Q46">
        <v>10558</v>
      </c>
      <c r="R46">
        <v>188</v>
      </c>
      <c r="S46" s="13">
        <v>44094</v>
      </c>
      <c r="T46">
        <v>9239</v>
      </c>
      <c r="U46">
        <v>73</v>
      </c>
      <c r="V46" s="13">
        <v>44095</v>
      </c>
      <c r="W46">
        <v>9359</v>
      </c>
      <c r="X46">
        <v>119</v>
      </c>
      <c r="Y46" s="13">
        <v>44096</v>
      </c>
      <c r="Z46">
        <v>9465</v>
      </c>
      <c r="AA46">
        <v>105</v>
      </c>
      <c r="AB46" s="13">
        <v>44097</v>
      </c>
      <c r="AC46">
        <v>9582</v>
      </c>
      <c r="AD46">
        <v>118</v>
      </c>
      <c r="AE46" s="13">
        <v>44098</v>
      </c>
      <c r="AF46">
        <v>9680</v>
      </c>
      <c r="AG46">
        <v>98</v>
      </c>
      <c r="AH46" s="13">
        <v>44099</v>
      </c>
      <c r="AI46">
        <v>9807</v>
      </c>
      <c r="AJ46">
        <v>127</v>
      </c>
      <c r="AK46" s="13">
        <v>44100</v>
      </c>
      <c r="AL46">
        <v>9880</v>
      </c>
      <c r="AM46">
        <v>74</v>
      </c>
      <c r="AN46" s="13">
        <v>44101</v>
      </c>
      <c r="AO46">
        <v>9951</v>
      </c>
      <c r="AP46">
        <v>71</v>
      </c>
      <c r="AQ46">
        <v>44102</v>
      </c>
      <c r="AR46">
        <v>10072</v>
      </c>
      <c r="AS46">
        <v>122</v>
      </c>
      <c r="AT46">
        <v>44103</v>
      </c>
      <c r="AU46">
        <v>10206</v>
      </c>
      <c r="AV46">
        <v>134</v>
      </c>
      <c r="AW46">
        <v>44104</v>
      </c>
      <c r="AX46">
        <v>10370</v>
      </c>
      <c r="AY46">
        <v>165</v>
      </c>
      <c r="AZ46">
        <v>44105</v>
      </c>
      <c r="BA46">
        <v>10558</v>
      </c>
      <c r="BB46">
        <v>188</v>
      </c>
    </row>
    <row r="47" spans="1:54">
      <c r="A47" t="str">
        <f t="shared" ca="1" si="1"/>
        <v/>
      </c>
      <c r="B47" s="4">
        <f t="shared" ca="1" si="2"/>
        <v>44106</v>
      </c>
      <c r="C47" s="11">
        <f t="shared" ca="1" si="0"/>
        <v>10745</v>
      </c>
      <c r="D47">
        <f t="shared" ref="D47" ca="1" si="15">C47-C46</f>
        <v>187</v>
      </c>
      <c r="E47" s="11">
        <f t="shared" ca="1" si="4"/>
        <v>0</v>
      </c>
      <c r="F47" s="11">
        <f t="shared" ca="1" si="6"/>
        <v>187</v>
      </c>
      <c r="K47" s="3"/>
      <c r="M47" s="13">
        <v>44106</v>
      </c>
      <c r="N47">
        <v>10745</v>
      </c>
      <c r="O47">
        <v>187</v>
      </c>
      <c r="P47" s="13">
        <v>44106</v>
      </c>
      <c r="Q47">
        <v>10745</v>
      </c>
      <c r="R47">
        <v>187</v>
      </c>
      <c r="S47" s="13">
        <v>44095</v>
      </c>
      <c r="T47">
        <v>9358</v>
      </c>
      <c r="U47">
        <v>119</v>
      </c>
      <c r="V47" s="13">
        <v>44096</v>
      </c>
      <c r="W47">
        <v>9464</v>
      </c>
      <c r="X47">
        <v>105</v>
      </c>
      <c r="Y47" s="13">
        <v>44097</v>
      </c>
      <c r="Z47">
        <v>9583</v>
      </c>
      <c r="AA47">
        <v>118</v>
      </c>
      <c r="AB47" s="13">
        <v>44098</v>
      </c>
      <c r="AC47">
        <v>9680</v>
      </c>
      <c r="AD47">
        <v>98</v>
      </c>
      <c r="AE47" s="13">
        <v>44099</v>
      </c>
      <c r="AF47">
        <v>9807</v>
      </c>
      <c r="AG47">
        <v>127</v>
      </c>
      <c r="AH47" s="13">
        <v>44100</v>
      </c>
      <c r="AI47">
        <v>9881</v>
      </c>
      <c r="AJ47">
        <v>74</v>
      </c>
      <c r="AK47" s="13">
        <v>44101</v>
      </c>
      <c r="AL47">
        <v>9951</v>
      </c>
      <c r="AM47">
        <v>71</v>
      </c>
      <c r="AN47" s="13">
        <v>44102</v>
      </c>
      <c r="AO47">
        <v>10073</v>
      </c>
      <c r="AP47">
        <v>122</v>
      </c>
      <c r="AQ47">
        <v>44103</v>
      </c>
      <c r="AR47">
        <v>10207</v>
      </c>
      <c r="AS47">
        <v>135</v>
      </c>
      <c r="AT47">
        <v>44104</v>
      </c>
      <c r="AU47">
        <v>10371</v>
      </c>
      <c r="AV47">
        <v>165</v>
      </c>
      <c r="AW47">
        <v>44105</v>
      </c>
      <c r="AX47">
        <v>10558</v>
      </c>
      <c r="AY47">
        <v>188</v>
      </c>
      <c r="AZ47">
        <v>44106</v>
      </c>
      <c r="BA47">
        <v>10745</v>
      </c>
      <c r="BB47">
        <v>187</v>
      </c>
    </row>
    <row r="48" spans="1:54">
      <c r="A48" t="str">
        <f t="shared" ca="1" si="1"/>
        <v/>
      </c>
      <c r="B48" s="4">
        <f t="shared" ca="1" si="2"/>
        <v>44107</v>
      </c>
      <c r="C48" s="11">
        <f t="shared" ca="1" si="0"/>
        <v>10914</v>
      </c>
      <c r="D48">
        <f t="shared" ref="D48" ca="1" si="16">C48-C47</f>
        <v>169</v>
      </c>
      <c r="E48" s="11">
        <f t="shared" ca="1" si="4"/>
        <v>0</v>
      </c>
      <c r="F48" s="11">
        <f t="shared" ca="1" si="6"/>
        <v>169</v>
      </c>
      <c r="K48" s="3"/>
      <c r="M48" s="13">
        <v>44107</v>
      </c>
      <c r="N48">
        <v>10914</v>
      </c>
      <c r="O48">
        <v>169</v>
      </c>
      <c r="P48" s="13">
        <v>44107</v>
      </c>
      <c r="Q48">
        <v>10914</v>
      </c>
      <c r="R48">
        <v>169</v>
      </c>
      <c r="S48" s="13">
        <v>44096</v>
      </c>
      <c r="T48">
        <v>9463</v>
      </c>
      <c r="U48">
        <v>105</v>
      </c>
      <c r="V48" s="13">
        <v>44097</v>
      </c>
      <c r="W48">
        <v>9582</v>
      </c>
      <c r="X48">
        <v>118</v>
      </c>
      <c r="Y48" s="13">
        <v>44098</v>
      </c>
      <c r="Z48">
        <v>9681</v>
      </c>
      <c r="AA48">
        <v>98</v>
      </c>
      <c r="AB48" s="13">
        <v>44099</v>
      </c>
      <c r="AC48">
        <v>9807</v>
      </c>
      <c r="AD48">
        <v>127</v>
      </c>
      <c r="AE48" s="13">
        <v>44100</v>
      </c>
      <c r="AF48">
        <v>9880</v>
      </c>
      <c r="AG48">
        <v>73</v>
      </c>
      <c r="AH48" s="13">
        <v>44101</v>
      </c>
      <c r="AI48">
        <v>9952</v>
      </c>
      <c r="AJ48">
        <v>71</v>
      </c>
      <c r="AK48" s="13">
        <v>44102</v>
      </c>
      <c r="AL48">
        <v>10073</v>
      </c>
      <c r="AM48">
        <v>122</v>
      </c>
      <c r="AN48" s="13">
        <v>44103</v>
      </c>
      <c r="AO48">
        <v>10208</v>
      </c>
      <c r="AP48">
        <v>135</v>
      </c>
      <c r="AQ48">
        <v>44104</v>
      </c>
      <c r="AR48">
        <v>10373</v>
      </c>
      <c r="AS48">
        <v>166</v>
      </c>
      <c r="AT48">
        <v>44105</v>
      </c>
      <c r="AU48">
        <v>10559</v>
      </c>
      <c r="AV48">
        <v>188</v>
      </c>
      <c r="AW48">
        <v>44106</v>
      </c>
      <c r="AX48">
        <v>10745</v>
      </c>
      <c r="AY48">
        <v>187</v>
      </c>
      <c r="AZ48">
        <v>44107</v>
      </c>
      <c r="BA48">
        <v>10914</v>
      </c>
      <c r="BB48">
        <v>169</v>
      </c>
    </row>
    <row r="49" spans="1:54">
      <c r="A49" t="str">
        <f t="shared" ca="1" si="1"/>
        <v/>
      </c>
      <c r="B49" s="4">
        <f t="shared" ca="1" si="2"/>
        <v>44108</v>
      </c>
      <c r="C49" s="11">
        <f t="shared" ca="1" si="0"/>
        <v>11061</v>
      </c>
      <c r="D49">
        <f t="shared" ref="D49" ca="1" si="17">C49-C48</f>
        <v>147</v>
      </c>
      <c r="E49" s="11">
        <f t="shared" ca="1" si="4"/>
        <v>0</v>
      </c>
      <c r="F49" s="11">
        <f t="shared" ca="1" si="6"/>
        <v>147</v>
      </c>
      <c r="K49" s="3"/>
      <c r="M49" s="13">
        <v>44108</v>
      </c>
      <c r="N49">
        <v>11061</v>
      </c>
      <c r="O49">
        <v>147</v>
      </c>
      <c r="P49" s="13">
        <v>44108</v>
      </c>
      <c r="Q49">
        <v>11061</v>
      </c>
      <c r="R49">
        <v>147</v>
      </c>
      <c r="S49" s="13">
        <v>44097</v>
      </c>
      <c r="T49">
        <v>9581</v>
      </c>
      <c r="U49">
        <v>118</v>
      </c>
      <c r="V49" s="13">
        <v>44098</v>
      </c>
      <c r="W49">
        <v>9680</v>
      </c>
      <c r="X49">
        <v>98</v>
      </c>
      <c r="Y49" s="13">
        <v>44099</v>
      </c>
      <c r="Z49">
        <v>9808</v>
      </c>
      <c r="AA49">
        <v>127</v>
      </c>
      <c r="AB49" s="13">
        <v>44100</v>
      </c>
      <c r="AC49">
        <v>9880</v>
      </c>
      <c r="AD49">
        <v>73</v>
      </c>
      <c r="AE49" s="13">
        <v>44101</v>
      </c>
      <c r="AF49">
        <v>9950</v>
      </c>
      <c r="AG49">
        <v>70</v>
      </c>
      <c r="AH49" s="13">
        <v>44102</v>
      </c>
      <c r="AI49">
        <v>10075</v>
      </c>
      <c r="AJ49">
        <v>123</v>
      </c>
      <c r="AK49" s="13">
        <v>44103</v>
      </c>
      <c r="AL49">
        <v>10208</v>
      </c>
      <c r="AM49">
        <v>135</v>
      </c>
      <c r="AN49" s="13">
        <v>44104</v>
      </c>
      <c r="AO49">
        <v>10374</v>
      </c>
      <c r="AP49">
        <v>166</v>
      </c>
      <c r="AQ49">
        <v>44105</v>
      </c>
      <c r="AR49">
        <v>10561</v>
      </c>
      <c r="AS49">
        <v>188</v>
      </c>
      <c r="AT49">
        <v>44106</v>
      </c>
      <c r="AU49">
        <v>10746</v>
      </c>
      <c r="AV49">
        <v>187</v>
      </c>
      <c r="AW49">
        <v>44107</v>
      </c>
      <c r="AX49">
        <v>10914</v>
      </c>
      <c r="AY49">
        <v>169</v>
      </c>
      <c r="AZ49">
        <v>44108</v>
      </c>
      <c r="BA49">
        <v>11061</v>
      </c>
      <c r="BB49">
        <v>147</v>
      </c>
    </row>
    <row r="50" spans="1:54">
      <c r="A50" t="str">
        <f t="shared" ca="1" si="1"/>
        <v>Ma</v>
      </c>
      <c r="B50" s="4">
        <f t="shared" ca="1" si="2"/>
        <v>44109</v>
      </c>
      <c r="C50" s="11">
        <f t="shared" ca="1" si="0"/>
        <v>11350</v>
      </c>
      <c r="D50">
        <f t="shared" ref="D50" ca="1" si="18">C50-C49</f>
        <v>289</v>
      </c>
      <c r="E50" s="11">
        <f t="shared" ca="1" si="4"/>
        <v>3</v>
      </c>
      <c r="F50" s="11">
        <f ca="1">VLOOKUP(B50,Previous,3,FALSE)</f>
        <v>286</v>
      </c>
      <c r="K50" s="3"/>
      <c r="M50" s="13">
        <v>44109</v>
      </c>
      <c r="N50">
        <v>11347</v>
      </c>
      <c r="O50">
        <v>286</v>
      </c>
      <c r="P50" s="13">
        <v>44109</v>
      </c>
      <c r="Q50">
        <v>11350</v>
      </c>
      <c r="R50">
        <v>289</v>
      </c>
      <c r="S50" s="13">
        <v>44098</v>
      </c>
      <c r="T50">
        <v>9679</v>
      </c>
      <c r="U50">
        <v>98</v>
      </c>
      <c r="V50" s="13">
        <v>44099</v>
      </c>
      <c r="W50">
        <v>9805</v>
      </c>
      <c r="X50">
        <v>125</v>
      </c>
      <c r="Y50" s="13">
        <v>44100</v>
      </c>
      <c r="Z50">
        <v>9881</v>
      </c>
      <c r="AA50">
        <v>73</v>
      </c>
      <c r="AB50" s="13">
        <v>44101</v>
      </c>
      <c r="AC50">
        <v>9950</v>
      </c>
      <c r="AD50">
        <v>70</v>
      </c>
      <c r="AE50" s="13">
        <v>44102</v>
      </c>
      <c r="AF50">
        <v>10074</v>
      </c>
      <c r="AG50">
        <v>124</v>
      </c>
      <c r="AH50" s="13">
        <v>44103</v>
      </c>
      <c r="AI50">
        <v>10210</v>
      </c>
      <c r="AJ50">
        <v>135</v>
      </c>
      <c r="AK50" s="13">
        <v>44104</v>
      </c>
      <c r="AL50">
        <v>10374</v>
      </c>
      <c r="AM50">
        <v>166</v>
      </c>
      <c r="AN50" s="13">
        <v>44105</v>
      </c>
      <c r="AO50">
        <v>10562</v>
      </c>
      <c r="AP50">
        <v>188</v>
      </c>
      <c r="AQ50">
        <v>44106</v>
      </c>
      <c r="AR50">
        <v>10748</v>
      </c>
      <c r="AS50">
        <v>187</v>
      </c>
      <c r="AT50">
        <v>44107</v>
      </c>
      <c r="AU50">
        <v>10915</v>
      </c>
      <c r="AV50">
        <v>169</v>
      </c>
      <c r="AW50">
        <v>44108</v>
      </c>
      <c r="AX50">
        <v>11061</v>
      </c>
      <c r="AY50">
        <v>147</v>
      </c>
      <c r="AZ50">
        <v>44109</v>
      </c>
      <c r="BA50">
        <v>11347</v>
      </c>
      <c r="BB50">
        <v>286</v>
      </c>
    </row>
    <row r="51" spans="1:54" s="10" customFormat="1">
      <c r="A51" t="str">
        <f t="shared" ca="1" si="1"/>
        <v/>
      </c>
      <c r="B51" s="9">
        <f t="shared" ca="1" si="2"/>
        <v>44110</v>
      </c>
      <c r="C51" s="10">
        <f t="shared" ca="1" si="0"/>
        <v>11649</v>
      </c>
      <c r="D51" s="10">
        <f t="shared" ref="D51" ca="1" si="19">C51-C50</f>
        <v>299</v>
      </c>
      <c r="E51" s="10">
        <f t="shared" ca="1" si="4"/>
        <v>0</v>
      </c>
      <c r="F51" s="10">
        <f t="shared" ca="1" si="6"/>
        <v>299</v>
      </c>
      <c r="G51" s="10">
        <f ca="1">SUM(D51:D57)</f>
        <v>1579</v>
      </c>
      <c r="H51" s="10" t="str">
        <f ca="1">TEXT(G51/G44-1,"0 %")</f>
        <v>24 %</v>
      </c>
      <c r="I51" s="10">
        <f ca="1">SUM(D51:D64)</f>
        <v>2499</v>
      </c>
      <c r="K51" s="14"/>
      <c r="L51"/>
      <c r="M51" s="15">
        <v>44110</v>
      </c>
      <c r="N51" s="10">
        <v>11646</v>
      </c>
      <c r="O51" s="10">
        <v>299</v>
      </c>
      <c r="P51" s="15">
        <v>44110</v>
      </c>
      <c r="Q51" s="10">
        <v>11649</v>
      </c>
      <c r="R51" s="10">
        <v>299</v>
      </c>
      <c r="S51" s="15">
        <v>44099</v>
      </c>
      <c r="T51" s="10">
        <v>9804</v>
      </c>
      <c r="U51" s="10">
        <v>125</v>
      </c>
      <c r="V51" s="15">
        <v>44100</v>
      </c>
      <c r="W51" s="10">
        <v>9878</v>
      </c>
      <c r="X51" s="10">
        <v>73</v>
      </c>
      <c r="Y51" s="15">
        <v>44101</v>
      </c>
      <c r="Z51" s="10">
        <v>9951</v>
      </c>
      <c r="AA51" s="10">
        <v>70</v>
      </c>
      <c r="AB51" s="15">
        <v>44102</v>
      </c>
      <c r="AC51" s="10">
        <v>10074</v>
      </c>
      <c r="AD51" s="10">
        <v>124</v>
      </c>
      <c r="AE51" s="15">
        <v>44103</v>
      </c>
      <c r="AF51" s="10">
        <v>10209</v>
      </c>
      <c r="AG51" s="10">
        <v>135</v>
      </c>
      <c r="AH51" s="15">
        <v>44104</v>
      </c>
      <c r="AI51" s="10">
        <v>10379</v>
      </c>
      <c r="AJ51" s="10">
        <v>169</v>
      </c>
      <c r="AK51" s="15">
        <v>44105</v>
      </c>
      <c r="AL51" s="10">
        <v>10562</v>
      </c>
      <c r="AM51" s="10">
        <v>188</v>
      </c>
      <c r="AN51" s="15">
        <v>44106</v>
      </c>
      <c r="AO51" s="10">
        <v>10749</v>
      </c>
      <c r="AP51" s="10">
        <v>187</v>
      </c>
      <c r="AQ51" s="10">
        <v>44107</v>
      </c>
      <c r="AR51" s="10">
        <v>10917</v>
      </c>
      <c r="AS51" s="10">
        <v>169</v>
      </c>
      <c r="AT51" s="10">
        <v>44108</v>
      </c>
      <c r="AU51" s="10">
        <v>11062</v>
      </c>
      <c r="AV51" s="10">
        <v>147</v>
      </c>
      <c r="AW51" s="10">
        <v>44109</v>
      </c>
      <c r="AX51" s="10">
        <v>11347</v>
      </c>
      <c r="AY51" s="10">
        <v>286</v>
      </c>
      <c r="AZ51" s="10">
        <v>44110</v>
      </c>
      <c r="BA51" s="10">
        <v>11646</v>
      </c>
      <c r="BB51" s="10">
        <v>299</v>
      </c>
    </row>
    <row r="52" spans="1:54">
      <c r="A52" t="str">
        <f t="shared" ca="1" si="1"/>
        <v/>
      </c>
      <c r="B52" s="4">
        <f t="shared" ca="1" si="2"/>
        <v>44111</v>
      </c>
      <c r="C52" s="11">
        <f t="shared" ca="1" si="0"/>
        <v>11958</v>
      </c>
      <c r="D52">
        <f t="shared" ref="D52:D63" ca="1" si="20">C52-C51</f>
        <v>309</v>
      </c>
      <c r="E52" s="11">
        <f t="shared" ca="1" si="4"/>
        <v>1</v>
      </c>
      <c r="F52" s="11">
        <f t="shared" ca="1" si="6"/>
        <v>308</v>
      </c>
      <c r="G52" s="10"/>
      <c r="K52" s="3"/>
      <c r="M52" s="13">
        <v>44111</v>
      </c>
      <c r="N52">
        <v>11954</v>
      </c>
      <c r="O52">
        <v>308</v>
      </c>
      <c r="P52" s="13">
        <v>44111</v>
      </c>
      <c r="Q52">
        <v>11958</v>
      </c>
      <c r="R52">
        <v>309</v>
      </c>
      <c r="S52" s="13">
        <v>44100</v>
      </c>
      <c r="T52">
        <v>9877</v>
      </c>
      <c r="U52">
        <v>73</v>
      </c>
      <c r="V52" s="13">
        <v>44101</v>
      </c>
      <c r="W52">
        <v>9947</v>
      </c>
      <c r="X52">
        <v>69</v>
      </c>
      <c r="Y52" s="13">
        <v>44102</v>
      </c>
      <c r="Z52">
        <v>10075</v>
      </c>
      <c r="AA52">
        <v>124</v>
      </c>
      <c r="AB52" s="13">
        <v>44103</v>
      </c>
      <c r="AC52">
        <v>10209</v>
      </c>
      <c r="AD52">
        <v>135</v>
      </c>
      <c r="AE52" s="13">
        <v>44104</v>
      </c>
      <c r="AF52">
        <v>10376</v>
      </c>
      <c r="AG52">
        <v>167</v>
      </c>
      <c r="AH52" s="13">
        <v>44105</v>
      </c>
      <c r="AI52">
        <v>10571</v>
      </c>
      <c r="AJ52">
        <v>192</v>
      </c>
      <c r="AK52" s="13">
        <v>44106</v>
      </c>
      <c r="AL52">
        <v>10749</v>
      </c>
      <c r="AM52">
        <v>187</v>
      </c>
      <c r="AN52" s="13">
        <v>44107</v>
      </c>
      <c r="AO52">
        <v>10918</v>
      </c>
      <c r="AP52">
        <v>169</v>
      </c>
      <c r="AQ52">
        <v>44108</v>
      </c>
      <c r="AR52">
        <v>11064</v>
      </c>
      <c r="AS52">
        <v>147</v>
      </c>
      <c r="AT52">
        <v>44109</v>
      </c>
      <c r="AU52">
        <v>11349</v>
      </c>
      <c r="AV52">
        <v>287</v>
      </c>
      <c r="AW52">
        <v>44110</v>
      </c>
      <c r="AX52">
        <v>11646</v>
      </c>
      <c r="AY52">
        <v>299</v>
      </c>
      <c r="AZ52">
        <v>44111</v>
      </c>
      <c r="BA52">
        <v>11954</v>
      </c>
      <c r="BB52">
        <v>308</v>
      </c>
    </row>
    <row r="53" spans="1:54">
      <c r="A53" t="str">
        <f t="shared" ca="1" si="1"/>
        <v/>
      </c>
      <c r="B53" s="4">
        <f t="shared" ca="1" si="2"/>
        <v>44112</v>
      </c>
      <c r="C53" s="11">
        <f t="shared" ca="1" si="0"/>
        <v>12219</v>
      </c>
      <c r="D53">
        <f t="shared" ca="1" si="20"/>
        <v>261</v>
      </c>
      <c r="E53" s="11">
        <f t="shared" ca="1" si="4"/>
        <v>0</v>
      </c>
      <c r="F53" s="11">
        <f t="shared" ca="1" si="6"/>
        <v>261</v>
      </c>
      <c r="J53" s="13"/>
      <c r="K53" s="3"/>
      <c r="M53" s="13">
        <v>44112</v>
      </c>
      <c r="N53">
        <v>12215</v>
      </c>
      <c r="O53">
        <v>261</v>
      </c>
      <c r="P53" s="13">
        <v>44112</v>
      </c>
      <c r="Q53">
        <v>12219</v>
      </c>
      <c r="R53">
        <v>261</v>
      </c>
      <c r="S53" s="13">
        <v>44101</v>
      </c>
      <c r="T53">
        <v>9946</v>
      </c>
      <c r="U53">
        <v>69</v>
      </c>
      <c r="V53" s="13">
        <v>44102</v>
      </c>
      <c r="W53">
        <v>10070</v>
      </c>
      <c r="X53">
        <v>123</v>
      </c>
      <c r="Y53" s="13">
        <v>44103</v>
      </c>
      <c r="Z53">
        <v>10210</v>
      </c>
      <c r="AA53">
        <v>135</v>
      </c>
      <c r="AB53" s="13">
        <v>44104</v>
      </c>
      <c r="AC53">
        <v>10376</v>
      </c>
      <c r="AD53">
        <v>167</v>
      </c>
      <c r="AE53" s="13">
        <v>44105</v>
      </c>
      <c r="AF53">
        <v>10568</v>
      </c>
      <c r="AG53">
        <v>192</v>
      </c>
      <c r="AH53" s="13">
        <v>44106</v>
      </c>
      <c r="AI53">
        <v>10760</v>
      </c>
      <c r="AJ53">
        <v>189</v>
      </c>
      <c r="AK53" s="13">
        <v>44107</v>
      </c>
      <c r="AL53">
        <v>10918</v>
      </c>
      <c r="AM53">
        <v>169</v>
      </c>
      <c r="AN53" s="13">
        <v>44108</v>
      </c>
      <c r="AO53">
        <v>11065</v>
      </c>
      <c r="AP53">
        <v>147</v>
      </c>
      <c r="AQ53">
        <v>44109</v>
      </c>
      <c r="AR53">
        <v>11351</v>
      </c>
      <c r="AS53">
        <v>287</v>
      </c>
      <c r="AT53">
        <v>44110</v>
      </c>
      <c r="AU53">
        <v>11648</v>
      </c>
      <c r="AV53">
        <v>299</v>
      </c>
      <c r="AW53">
        <v>44111</v>
      </c>
      <c r="AX53">
        <v>11954</v>
      </c>
      <c r="AY53">
        <v>308</v>
      </c>
      <c r="AZ53">
        <v>44112</v>
      </c>
      <c r="BA53">
        <v>12215</v>
      </c>
      <c r="BB53">
        <v>261</v>
      </c>
    </row>
    <row r="54" spans="1:54">
      <c r="A54" t="str">
        <f t="shared" ca="1" si="1"/>
        <v/>
      </c>
      <c r="B54" s="4">
        <f t="shared" ca="1" si="2"/>
        <v>44113</v>
      </c>
      <c r="C54" s="11">
        <f t="shared" ca="1" si="0"/>
        <v>12446</v>
      </c>
      <c r="D54">
        <f t="shared" ca="1" si="20"/>
        <v>227</v>
      </c>
      <c r="E54" s="11">
        <f t="shared" ca="1" si="4"/>
        <v>-1</v>
      </c>
      <c r="F54" s="11">
        <f t="shared" ca="1" si="6"/>
        <v>228</v>
      </c>
      <c r="J54" s="13"/>
      <c r="K54" s="3"/>
      <c r="M54" s="13">
        <v>44113</v>
      </c>
      <c r="N54">
        <v>12443</v>
      </c>
      <c r="O54">
        <v>228</v>
      </c>
      <c r="P54" s="13">
        <v>44113</v>
      </c>
      <c r="Q54">
        <v>12446</v>
      </c>
      <c r="R54">
        <v>227</v>
      </c>
      <c r="S54" s="13">
        <v>44102</v>
      </c>
      <c r="T54">
        <v>10069</v>
      </c>
      <c r="U54">
        <v>123</v>
      </c>
      <c r="V54" s="13">
        <v>44103</v>
      </c>
      <c r="W54">
        <v>10205</v>
      </c>
      <c r="X54">
        <v>135</v>
      </c>
      <c r="Y54" s="13">
        <v>44104</v>
      </c>
      <c r="Z54">
        <v>10378</v>
      </c>
      <c r="AA54">
        <v>168</v>
      </c>
      <c r="AB54" s="13">
        <v>44105</v>
      </c>
      <c r="AC54">
        <v>10567</v>
      </c>
      <c r="AD54">
        <v>191</v>
      </c>
      <c r="AE54" s="13">
        <v>44106</v>
      </c>
      <c r="AF54">
        <v>10758</v>
      </c>
      <c r="AG54">
        <v>190</v>
      </c>
      <c r="AH54" s="13">
        <v>44107</v>
      </c>
      <c r="AI54">
        <v>10932</v>
      </c>
      <c r="AJ54">
        <v>172</v>
      </c>
      <c r="AK54" s="13">
        <v>44108</v>
      </c>
      <c r="AL54">
        <v>11065</v>
      </c>
      <c r="AM54">
        <v>147</v>
      </c>
      <c r="AN54" s="13">
        <v>44109</v>
      </c>
      <c r="AO54">
        <v>11353</v>
      </c>
      <c r="AP54">
        <v>288</v>
      </c>
      <c r="AQ54">
        <v>44110</v>
      </c>
      <c r="AR54">
        <v>11650</v>
      </c>
      <c r="AS54">
        <v>299</v>
      </c>
      <c r="AT54">
        <v>44111</v>
      </c>
      <c r="AU54">
        <v>11956</v>
      </c>
      <c r="AV54">
        <v>308</v>
      </c>
      <c r="AW54">
        <v>44112</v>
      </c>
      <c r="AX54">
        <v>12216</v>
      </c>
      <c r="AY54">
        <v>262</v>
      </c>
      <c r="AZ54">
        <v>44113</v>
      </c>
      <c r="BA54">
        <v>12443</v>
      </c>
      <c r="BB54">
        <v>228</v>
      </c>
    </row>
    <row r="55" spans="1:54">
      <c r="A55" t="str">
        <f t="shared" ca="1" si="1"/>
        <v/>
      </c>
      <c r="B55" s="4">
        <f t="shared" ca="1" si="2"/>
        <v>44114</v>
      </c>
      <c r="C55" s="11">
        <f t="shared" ca="1" si="0"/>
        <v>12559</v>
      </c>
      <c r="D55">
        <f t="shared" ca="1" si="20"/>
        <v>113</v>
      </c>
      <c r="E55" s="11">
        <f t="shared" ca="1" si="4"/>
        <v>1</v>
      </c>
      <c r="F55" s="11">
        <f t="shared" ca="1" si="6"/>
        <v>112</v>
      </c>
      <c r="J55" s="13"/>
      <c r="K55" s="3"/>
      <c r="M55" s="13">
        <v>44114</v>
      </c>
      <c r="N55">
        <v>12555</v>
      </c>
      <c r="O55">
        <v>112</v>
      </c>
      <c r="P55" s="13">
        <v>44114</v>
      </c>
      <c r="Q55">
        <v>12559</v>
      </c>
      <c r="R55">
        <v>113</v>
      </c>
      <c r="S55" s="13">
        <v>44103</v>
      </c>
      <c r="T55">
        <v>10205</v>
      </c>
      <c r="U55">
        <v>136</v>
      </c>
      <c r="V55" s="13">
        <v>44104</v>
      </c>
      <c r="W55">
        <v>10372</v>
      </c>
      <c r="X55">
        <v>167</v>
      </c>
      <c r="Y55" s="13">
        <v>44105</v>
      </c>
      <c r="Z55">
        <v>10569</v>
      </c>
      <c r="AA55">
        <v>191</v>
      </c>
      <c r="AB55" s="13">
        <v>44106</v>
      </c>
      <c r="AC55">
        <v>10758</v>
      </c>
      <c r="AD55">
        <v>191</v>
      </c>
      <c r="AE55" s="13">
        <v>44107</v>
      </c>
      <c r="AF55">
        <v>10930</v>
      </c>
      <c r="AG55">
        <v>172</v>
      </c>
      <c r="AH55" s="13">
        <v>44108</v>
      </c>
      <c r="AI55">
        <v>11080</v>
      </c>
      <c r="AJ55">
        <v>148</v>
      </c>
      <c r="AK55" s="13">
        <v>44109</v>
      </c>
      <c r="AL55">
        <v>11352</v>
      </c>
      <c r="AM55">
        <v>287</v>
      </c>
      <c r="AN55" s="13">
        <v>44110</v>
      </c>
      <c r="AO55">
        <v>11653</v>
      </c>
      <c r="AP55">
        <v>300</v>
      </c>
      <c r="AQ55">
        <v>44111</v>
      </c>
      <c r="AR55">
        <v>11958</v>
      </c>
      <c r="AS55">
        <v>308</v>
      </c>
      <c r="AT55">
        <v>44112</v>
      </c>
      <c r="AU55">
        <v>12217</v>
      </c>
      <c r="AV55">
        <v>261</v>
      </c>
      <c r="AW55">
        <v>44113</v>
      </c>
      <c r="AX55">
        <v>12443</v>
      </c>
      <c r="AY55">
        <v>227</v>
      </c>
      <c r="AZ55">
        <v>44114</v>
      </c>
      <c r="BA55">
        <v>12555</v>
      </c>
      <c r="BB55">
        <v>112</v>
      </c>
    </row>
    <row r="56" spans="1:54">
      <c r="A56" t="str">
        <f t="shared" ca="1" si="1"/>
        <v/>
      </c>
      <c r="B56" s="4">
        <f t="shared" ca="1" si="2"/>
        <v>44115</v>
      </c>
      <c r="C56" s="11">
        <f t="shared" ca="1" si="0"/>
        <v>12691</v>
      </c>
      <c r="D56">
        <f t="shared" ca="1" si="20"/>
        <v>132</v>
      </c>
      <c r="E56" s="11">
        <f t="shared" ca="1" si="4"/>
        <v>2</v>
      </c>
      <c r="F56" s="11">
        <f t="shared" ca="1" si="6"/>
        <v>130</v>
      </c>
      <c r="J56" s="13"/>
      <c r="K56" s="3"/>
      <c r="M56" s="13">
        <v>44115</v>
      </c>
      <c r="N56">
        <v>12685</v>
      </c>
      <c r="O56">
        <v>130</v>
      </c>
      <c r="P56" s="13">
        <v>44115</v>
      </c>
      <c r="Q56">
        <v>12691</v>
      </c>
      <c r="R56">
        <v>132</v>
      </c>
      <c r="S56" s="13">
        <v>44104</v>
      </c>
      <c r="T56">
        <v>10371</v>
      </c>
      <c r="U56">
        <v>166</v>
      </c>
      <c r="V56" s="13">
        <v>44105</v>
      </c>
      <c r="W56">
        <v>10560</v>
      </c>
      <c r="X56">
        <v>188</v>
      </c>
      <c r="Y56" s="13">
        <v>44106</v>
      </c>
      <c r="Z56">
        <v>10761</v>
      </c>
      <c r="AA56">
        <v>192</v>
      </c>
      <c r="AB56" s="13">
        <v>44107</v>
      </c>
      <c r="AC56">
        <v>10935</v>
      </c>
      <c r="AD56">
        <v>177</v>
      </c>
      <c r="AE56" s="13">
        <v>44108</v>
      </c>
      <c r="AF56">
        <v>11077</v>
      </c>
      <c r="AG56">
        <v>147</v>
      </c>
      <c r="AH56" s="13">
        <v>44109</v>
      </c>
      <c r="AI56">
        <v>11356</v>
      </c>
      <c r="AJ56">
        <v>276</v>
      </c>
      <c r="AK56" s="13">
        <v>44110</v>
      </c>
      <c r="AL56">
        <v>11652</v>
      </c>
      <c r="AM56">
        <v>300</v>
      </c>
      <c r="AN56" s="13">
        <v>44111</v>
      </c>
      <c r="AO56">
        <v>11956</v>
      </c>
      <c r="AP56">
        <v>303</v>
      </c>
      <c r="AQ56">
        <v>44112</v>
      </c>
      <c r="AR56">
        <v>12217</v>
      </c>
      <c r="AS56">
        <v>259</v>
      </c>
      <c r="AT56">
        <v>44113</v>
      </c>
      <c r="AU56">
        <v>12445</v>
      </c>
      <c r="AV56">
        <v>228</v>
      </c>
      <c r="AW56">
        <v>44114</v>
      </c>
      <c r="AX56">
        <v>12555</v>
      </c>
      <c r="AY56">
        <v>112</v>
      </c>
      <c r="AZ56">
        <v>44115</v>
      </c>
      <c r="BA56">
        <v>12685</v>
      </c>
      <c r="BB56">
        <v>130</v>
      </c>
    </row>
    <row r="57" spans="1:54">
      <c r="A57" t="str">
        <f ca="1">IF(WEEKDAY(B57,2)=1,"Ma","")</f>
        <v>Ma</v>
      </c>
      <c r="B57" s="4">
        <f t="shared" ca="1" si="2"/>
        <v>44116</v>
      </c>
      <c r="C57" s="11">
        <f t="shared" ca="1" si="0"/>
        <v>12929</v>
      </c>
      <c r="D57">
        <f t="shared" ca="1" si="20"/>
        <v>238</v>
      </c>
      <c r="E57" s="11">
        <f t="shared" ca="1" si="4"/>
        <v>30</v>
      </c>
      <c r="F57" s="11">
        <f t="shared" ca="1" si="6"/>
        <v>208</v>
      </c>
      <c r="J57" s="13"/>
      <c r="K57" s="3"/>
      <c r="M57" s="13">
        <v>44116</v>
      </c>
      <c r="N57">
        <v>12893</v>
      </c>
      <c r="O57">
        <v>208</v>
      </c>
      <c r="P57" s="13">
        <v>44116</v>
      </c>
      <c r="Q57">
        <v>12929</v>
      </c>
      <c r="R57">
        <v>238</v>
      </c>
      <c r="S57" s="13">
        <v>44105</v>
      </c>
      <c r="T57">
        <v>10558</v>
      </c>
      <c r="U57">
        <v>187</v>
      </c>
      <c r="V57" s="13">
        <v>44106</v>
      </c>
      <c r="W57">
        <v>10748</v>
      </c>
      <c r="X57">
        <v>188</v>
      </c>
      <c r="Y57" s="13">
        <v>44107</v>
      </c>
      <c r="Z57">
        <v>10939</v>
      </c>
      <c r="AA57">
        <v>178</v>
      </c>
      <c r="AB57" s="13">
        <v>44108</v>
      </c>
      <c r="AC57">
        <v>11083</v>
      </c>
      <c r="AD57">
        <v>148</v>
      </c>
      <c r="AE57" s="13">
        <v>44109</v>
      </c>
      <c r="AF57">
        <v>11354</v>
      </c>
      <c r="AG57">
        <v>277</v>
      </c>
      <c r="AH57" s="13">
        <v>44110</v>
      </c>
      <c r="AI57">
        <v>11655</v>
      </c>
      <c r="AJ57">
        <v>299</v>
      </c>
      <c r="AK57" s="13">
        <v>44111</v>
      </c>
      <c r="AL57">
        <v>11955</v>
      </c>
      <c r="AM57">
        <v>303</v>
      </c>
      <c r="AN57" s="13">
        <v>44112</v>
      </c>
      <c r="AO57">
        <v>12217</v>
      </c>
      <c r="AP57">
        <v>261</v>
      </c>
      <c r="AQ57">
        <v>44113</v>
      </c>
      <c r="AR57">
        <v>12438</v>
      </c>
      <c r="AS57">
        <v>221</v>
      </c>
      <c r="AT57">
        <v>44114</v>
      </c>
      <c r="AU57">
        <v>12558</v>
      </c>
      <c r="AV57">
        <v>113</v>
      </c>
      <c r="AW57">
        <v>44115</v>
      </c>
      <c r="AX57">
        <v>12685</v>
      </c>
      <c r="AY57">
        <v>130</v>
      </c>
      <c r="AZ57">
        <v>44116</v>
      </c>
      <c r="BA57">
        <v>12893</v>
      </c>
      <c r="BB57">
        <v>208</v>
      </c>
    </row>
    <row r="58" spans="1:54" s="10" customFormat="1">
      <c r="A58" t="str">
        <f t="shared" ca="1" si="1"/>
        <v/>
      </c>
      <c r="B58" s="9">
        <f t="shared" ca="1" si="2"/>
        <v>44117</v>
      </c>
      <c r="C58" s="10">
        <f t="shared" ca="1" si="0"/>
        <v>13117</v>
      </c>
      <c r="D58" s="10">
        <f t="shared" ca="1" si="20"/>
        <v>188</v>
      </c>
      <c r="E58" s="10">
        <f t="shared" ca="1" si="4"/>
        <v>36</v>
      </c>
      <c r="F58" s="10">
        <f t="shared" ca="1" si="6"/>
        <v>152</v>
      </c>
      <c r="G58" s="10">
        <f ca="1">SUM(D58:D64)</f>
        <v>920</v>
      </c>
      <c r="J58" s="15"/>
      <c r="K58" s="14"/>
      <c r="L58"/>
      <c r="M58" s="15">
        <v>44117</v>
      </c>
      <c r="N58" s="10">
        <v>13045</v>
      </c>
      <c r="O58" s="10">
        <v>152</v>
      </c>
      <c r="P58" s="15">
        <v>44117</v>
      </c>
      <c r="Q58" s="10">
        <v>13117</v>
      </c>
      <c r="R58" s="10">
        <v>188</v>
      </c>
      <c r="S58" s="15">
        <v>44106</v>
      </c>
      <c r="T58" s="10">
        <v>10747</v>
      </c>
      <c r="U58" s="10">
        <v>189</v>
      </c>
      <c r="V58" s="15">
        <v>44107</v>
      </c>
      <c r="W58" s="10">
        <v>10920</v>
      </c>
      <c r="X58" s="10">
        <v>172</v>
      </c>
      <c r="Y58" s="15">
        <v>44108</v>
      </c>
      <c r="Z58" s="10">
        <v>11091</v>
      </c>
      <c r="AA58" s="10">
        <v>152</v>
      </c>
      <c r="AB58" s="15">
        <v>44109</v>
      </c>
      <c r="AC58" s="10">
        <v>11355</v>
      </c>
      <c r="AD58" s="10">
        <v>272</v>
      </c>
      <c r="AE58" s="15">
        <v>44110</v>
      </c>
      <c r="AF58" s="10">
        <v>11616</v>
      </c>
      <c r="AG58" s="10">
        <v>262</v>
      </c>
      <c r="AH58" s="15">
        <v>44111</v>
      </c>
      <c r="AI58" s="10">
        <v>11959</v>
      </c>
      <c r="AJ58" s="10">
        <v>304</v>
      </c>
      <c r="AK58" s="15">
        <v>44112</v>
      </c>
      <c r="AL58" s="10">
        <v>12215</v>
      </c>
      <c r="AM58" s="10">
        <v>260</v>
      </c>
      <c r="AN58" s="15">
        <v>44113</v>
      </c>
      <c r="AO58" s="10">
        <v>12435</v>
      </c>
      <c r="AP58" s="10">
        <v>218</v>
      </c>
      <c r="AQ58" s="10">
        <v>44114</v>
      </c>
      <c r="AR58" s="10">
        <v>12545</v>
      </c>
      <c r="AS58" s="10">
        <v>107</v>
      </c>
      <c r="AT58" s="10">
        <v>44115</v>
      </c>
      <c r="AU58" s="10">
        <v>12689</v>
      </c>
      <c r="AV58" s="10">
        <v>131</v>
      </c>
      <c r="AW58" s="10">
        <v>44116</v>
      </c>
      <c r="AX58" s="10">
        <v>12894</v>
      </c>
      <c r="AY58" s="10">
        <v>209</v>
      </c>
      <c r="AZ58" s="10">
        <v>44117</v>
      </c>
      <c r="BA58" s="10">
        <v>13045</v>
      </c>
      <c r="BB58" s="10">
        <v>152</v>
      </c>
    </row>
    <row r="59" spans="1:54">
      <c r="A59" t="str">
        <f t="shared" ca="1" si="1"/>
        <v/>
      </c>
      <c r="B59" s="4">
        <f t="shared" ca="1" si="2"/>
        <v>44118</v>
      </c>
      <c r="C59" s="11">
        <f t="shared" ca="1" si="0"/>
        <v>13313</v>
      </c>
      <c r="D59">
        <f t="shared" ca="1" si="20"/>
        <v>196</v>
      </c>
      <c r="E59" s="11">
        <f t="shared" ca="1" si="4"/>
        <v>44</v>
      </c>
      <c r="F59" s="11">
        <f t="shared" ca="1" si="6"/>
        <v>152</v>
      </c>
      <c r="H59" s="10"/>
      <c r="J59" s="13"/>
      <c r="K59" s="3"/>
      <c r="M59" s="13">
        <v>44118</v>
      </c>
      <c r="N59">
        <v>13197</v>
      </c>
      <c r="O59">
        <v>152</v>
      </c>
      <c r="P59" s="13">
        <v>44118</v>
      </c>
      <c r="Q59">
        <v>13313</v>
      </c>
      <c r="R59">
        <v>196</v>
      </c>
      <c r="S59" s="13">
        <v>44107</v>
      </c>
      <c r="T59">
        <v>10917</v>
      </c>
      <c r="U59">
        <v>170</v>
      </c>
      <c r="V59" s="13">
        <v>44108</v>
      </c>
      <c r="W59">
        <v>11067</v>
      </c>
      <c r="X59">
        <v>147</v>
      </c>
      <c r="Y59" s="13">
        <v>44109</v>
      </c>
      <c r="Z59">
        <v>11363</v>
      </c>
      <c r="AA59">
        <v>272</v>
      </c>
      <c r="AB59" s="13">
        <v>44110</v>
      </c>
      <c r="AC59">
        <v>11613</v>
      </c>
      <c r="AD59">
        <v>258</v>
      </c>
      <c r="AE59" s="13">
        <v>44111</v>
      </c>
      <c r="AF59">
        <v>11861</v>
      </c>
      <c r="AG59">
        <v>245</v>
      </c>
      <c r="AH59" s="13">
        <v>44112</v>
      </c>
      <c r="AI59">
        <v>12196</v>
      </c>
      <c r="AJ59">
        <v>237</v>
      </c>
      <c r="AK59" s="13">
        <v>44113</v>
      </c>
      <c r="AL59">
        <v>12418</v>
      </c>
      <c r="AM59">
        <v>203</v>
      </c>
      <c r="AN59" s="13">
        <v>44114</v>
      </c>
      <c r="AO59">
        <v>12544</v>
      </c>
      <c r="AP59">
        <v>109</v>
      </c>
      <c r="AQ59">
        <v>44115</v>
      </c>
      <c r="AR59">
        <v>12674</v>
      </c>
      <c r="AS59">
        <v>129</v>
      </c>
      <c r="AT59">
        <v>44116</v>
      </c>
      <c r="AU59">
        <v>12897</v>
      </c>
      <c r="AV59">
        <v>208</v>
      </c>
      <c r="AW59">
        <v>44117</v>
      </c>
      <c r="AX59">
        <v>13045</v>
      </c>
      <c r="AY59">
        <v>151</v>
      </c>
      <c r="AZ59">
        <v>44118</v>
      </c>
      <c r="BA59">
        <v>13197</v>
      </c>
      <c r="BB59">
        <v>152</v>
      </c>
    </row>
    <row r="60" spans="1:54">
      <c r="A60" t="str">
        <f t="shared" ca="1" si="1"/>
        <v/>
      </c>
      <c r="B60" s="4">
        <f t="shared" ca="1" si="2"/>
        <v>44119</v>
      </c>
      <c r="C60" s="11">
        <f t="shared" ca="1" si="0"/>
        <v>13494</v>
      </c>
      <c r="D60">
        <f t="shared" ca="1" si="20"/>
        <v>181</v>
      </c>
      <c r="E60" s="11">
        <f t="shared" ca="1" si="4"/>
        <v>45</v>
      </c>
      <c r="F60" s="11">
        <f t="shared" ca="1" si="6"/>
        <v>136</v>
      </c>
      <c r="J60" s="4"/>
      <c r="K60" s="3"/>
      <c r="M60" s="13">
        <v>44119</v>
      </c>
      <c r="N60">
        <v>13333</v>
      </c>
      <c r="O60">
        <v>136</v>
      </c>
      <c r="P60" s="13">
        <v>44119</v>
      </c>
      <c r="Q60">
        <v>13494</v>
      </c>
      <c r="R60">
        <v>181</v>
      </c>
      <c r="S60" s="13">
        <v>44108</v>
      </c>
      <c r="T60">
        <v>11061</v>
      </c>
      <c r="U60">
        <v>144</v>
      </c>
      <c r="V60" s="13">
        <v>44109</v>
      </c>
      <c r="W60">
        <v>11308</v>
      </c>
      <c r="X60">
        <v>241</v>
      </c>
      <c r="Y60" s="13">
        <v>44110</v>
      </c>
      <c r="Z60">
        <v>11605</v>
      </c>
      <c r="AA60">
        <v>242</v>
      </c>
      <c r="AB60" s="13">
        <v>44111</v>
      </c>
      <c r="AC60">
        <v>11808</v>
      </c>
      <c r="AD60">
        <v>195</v>
      </c>
      <c r="AE60" s="13">
        <v>44112</v>
      </c>
      <c r="AF60">
        <v>12039</v>
      </c>
      <c r="AG60">
        <v>178</v>
      </c>
      <c r="AH60" s="13">
        <v>44113</v>
      </c>
      <c r="AI60">
        <v>12374</v>
      </c>
      <c r="AJ60">
        <v>178</v>
      </c>
      <c r="AK60" s="13">
        <v>44114</v>
      </c>
      <c r="AL60">
        <v>12513</v>
      </c>
      <c r="AM60">
        <v>95</v>
      </c>
      <c r="AN60" s="13">
        <v>44115</v>
      </c>
      <c r="AO60">
        <v>12670</v>
      </c>
      <c r="AP60">
        <v>126</v>
      </c>
      <c r="AQ60">
        <v>44116</v>
      </c>
      <c r="AR60">
        <v>12878</v>
      </c>
      <c r="AS60">
        <v>204</v>
      </c>
      <c r="AT60">
        <v>44117</v>
      </c>
      <c r="AU60">
        <v>13046</v>
      </c>
      <c r="AV60">
        <v>149</v>
      </c>
      <c r="AW60">
        <v>44118</v>
      </c>
      <c r="AX60">
        <v>13197</v>
      </c>
      <c r="AY60">
        <v>152</v>
      </c>
      <c r="AZ60">
        <v>44119</v>
      </c>
      <c r="BA60">
        <v>13333</v>
      </c>
      <c r="BB60">
        <v>136</v>
      </c>
    </row>
    <row r="61" spans="1:54">
      <c r="A61" t="str">
        <f t="shared" ref="A61:A64" ca="1" si="21">IF(WEEKDAY(B61,2)=1,"Ma","")</f>
        <v/>
      </c>
      <c r="B61" s="4">
        <f t="shared" ca="1" si="2"/>
        <v>44120</v>
      </c>
      <c r="C61" s="11">
        <f t="shared" ca="1" si="0"/>
        <v>13670</v>
      </c>
      <c r="D61">
        <f t="shared" ca="1" si="20"/>
        <v>176</v>
      </c>
      <c r="E61" s="11">
        <f t="shared" ca="1" si="4"/>
        <v>37</v>
      </c>
      <c r="F61" s="11">
        <f t="shared" ca="1" si="6"/>
        <v>139</v>
      </c>
      <c r="J61" s="4"/>
      <c r="K61" s="3"/>
      <c r="M61" s="13">
        <v>44120</v>
      </c>
      <c r="N61">
        <v>13472</v>
      </c>
      <c r="O61">
        <v>139</v>
      </c>
      <c r="P61" s="13">
        <v>44120</v>
      </c>
      <c r="Q61">
        <v>13670</v>
      </c>
      <c r="R61">
        <v>176</v>
      </c>
      <c r="S61" s="13">
        <v>44109</v>
      </c>
      <c r="T61">
        <v>11250</v>
      </c>
      <c r="U61">
        <v>189</v>
      </c>
      <c r="V61" s="13">
        <v>44110</v>
      </c>
      <c r="W61">
        <v>11499</v>
      </c>
      <c r="X61">
        <v>191</v>
      </c>
      <c r="Y61" s="13">
        <v>44111</v>
      </c>
      <c r="Z61">
        <v>11779</v>
      </c>
      <c r="AA61">
        <v>174</v>
      </c>
      <c r="AB61" s="13">
        <v>44112</v>
      </c>
      <c r="AC61">
        <v>11954</v>
      </c>
      <c r="AD61">
        <v>146</v>
      </c>
      <c r="AE61" s="13">
        <v>44113</v>
      </c>
      <c r="AF61">
        <v>12160</v>
      </c>
      <c r="AG61">
        <v>121</v>
      </c>
      <c r="AH61" s="13">
        <v>44114</v>
      </c>
      <c r="AI61">
        <v>12432</v>
      </c>
      <c r="AJ61">
        <v>58</v>
      </c>
      <c r="AK61" s="13">
        <v>44115</v>
      </c>
      <c r="AL61">
        <v>12603</v>
      </c>
      <c r="AM61">
        <v>90</v>
      </c>
      <c r="AN61" s="13">
        <v>44116</v>
      </c>
      <c r="AO61">
        <v>12844</v>
      </c>
      <c r="AP61">
        <v>174</v>
      </c>
      <c r="AQ61">
        <v>44117</v>
      </c>
      <c r="AR61">
        <v>13023</v>
      </c>
      <c r="AS61">
        <v>145</v>
      </c>
      <c r="AT61">
        <v>44118</v>
      </c>
      <c r="AU61">
        <v>13186</v>
      </c>
      <c r="AV61">
        <v>140</v>
      </c>
      <c r="AW61">
        <v>44119</v>
      </c>
      <c r="AX61">
        <v>13316</v>
      </c>
      <c r="AY61">
        <v>119</v>
      </c>
      <c r="AZ61">
        <v>44120</v>
      </c>
      <c r="BA61">
        <v>13472</v>
      </c>
      <c r="BB61">
        <v>139</v>
      </c>
    </row>
    <row r="62" spans="1:54">
      <c r="A62" t="str">
        <f t="shared" ca="1" si="21"/>
        <v/>
      </c>
      <c r="B62" s="4">
        <f t="shared" ca="1" si="2"/>
        <v>44121</v>
      </c>
      <c r="C62" s="11">
        <f t="shared" ca="1" si="0"/>
        <v>13747</v>
      </c>
      <c r="D62">
        <f t="shared" ca="1" si="20"/>
        <v>77</v>
      </c>
      <c r="E62" s="11">
        <f t="shared" ca="1" si="4"/>
        <v>22</v>
      </c>
      <c r="F62" s="11">
        <f t="shared" ca="1" si="6"/>
        <v>55</v>
      </c>
      <c r="J62" s="4"/>
      <c r="K62" s="3"/>
      <c r="M62" s="13">
        <v>44121</v>
      </c>
      <c r="N62">
        <v>13527</v>
      </c>
      <c r="O62">
        <v>55</v>
      </c>
      <c r="P62" s="13">
        <v>44121</v>
      </c>
      <c r="Q62">
        <v>13747</v>
      </c>
      <c r="R62">
        <v>77</v>
      </c>
      <c r="S62" s="13">
        <v>44110</v>
      </c>
      <c r="T62">
        <v>11340</v>
      </c>
      <c r="U62">
        <v>90</v>
      </c>
      <c r="V62" s="13">
        <v>44111</v>
      </c>
      <c r="W62">
        <v>11574</v>
      </c>
      <c r="X62">
        <v>75</v>
      </c>
      <c r="Y62" s="13">
        <v>44112</v>
      </c>
      <c r="Z62">
        <v>11831</v>
      </c>
      <c r="AA62">
        <v>52</v>
      </c>
      <c r="AB62" s="13">
        <v>44113</v>
      </c>
      <c r="AC62">
        <v>11993</v>
      </c>
      <c r="AD62">
        <v>39</v>
      </c>
      <c r="AE62" s="13">
        <v>44114</v>
      </c>
      <c r="AF62">
        <v>12203</v>
      </c>
      <c r="AG62">
        <v>43</v>
      </c>
      <c r="AH62" s="13">
        <v>44115</v>
      </c>
      <c r="AI62">
        <v>12472</v>
      </c>
      <c r="AJ62">
        <v>40</v>
      </c>
      <c r="AK62" s="13">
        <v>44116</v>
      </c>
      <c r="AL62">
        <v>12691</v>
      </c>
      <c r="AM62">
        <v>88</v>
      </c>
      <c r="AN62" s="13">
        <v>44117</v>
      </c>
      <c r="AO62">
        <v>12922</v>
      </c>
      <c r="AP62">
        <v>78</v>
      </c>
      <c r="AQ62">
        <v>44118</v>
      </c>
      <c r="AR62">
        <v>13116</v>
      </c>
      <c r="AS62">
        <v>93</v>
      </c>
      <c r="AT62">
        <v>44119</v>
      </c>
      <c r="AU62">
        <v>13261</v>
      </c>
      <c r="AV62">
        <v>75</v>
      </c>
      <c r="AW62">
        <v>44120</v>
      </c>
      <c r="AX62">
        <v>13413</v>
      </c>
      <c r="AY62">
        <v>97</v>
      </c>
      <c r="AZ62">
        <v>44121</v>
      </c>
      <c r="BA62">
        <v>13527</v>
      </c>
      <c r="BB62">
        <v>55</v>
      </c>
    </row>
    <row r="63" spans="1:54">
      <c r="A63" t="str">
        <f t="shared" ca="1" si="21"/>
        <v/>
      </c>
      <c r="B63" s="4">
        <f ca="1">B64-1</f>
        <v>44122</v>
      </c>
      <c r="C63" s="11">
        <f t="shared" ca="1" si="0"/>
        <v>13835</v>
      </c>
      <c r="D63">
        <f t="shared" ca="1" si="20"/>
        <v>88</v>
      </c>
      <c r="E63" s="11">
        <f t="shared" ca="1" si="4"/>
        <v>60</v>
      </c>
      <c r="F63" s="11">
        <f t="shared" ca="1" si="6"/>
        <v>28</v>
      </c>
      <c r="J63" s="4"/>
      <c r="K63" s="3"/>
      <c r="M63" s="13">
        <v>44122</v>
      </c>
      <c r="N63">
        <v>13555</v>
      </c>
      <c r="O63">
        <v>28</v>
      </c>
      <c r="P63" s="13">
        <v>44122</v>
      </c>
      <c r="Q63">
        <v>13835</v>
      </c>
      <c r="R63">
        <v>88</v>
      </c>
      <c r="S63" s="13">
        <v>44111</v>
      </c>
      <c r="T63">
        <v>11345</v>
      </c>
      <c r="U63">
        <v>5</v>
      </c>
      <c r="V63" s="13">
        <v>44112</v>
      </c>
      <c r="W63">
        <v>11580</v>
      </c>
      <c r="X63">
        <v>6</v>
      </c>
      <c r="Y63" s="13">
        <v>44113</v>
      </c>
      <c r="Z63">
        <v>11849</v>
      </c>
      <c r="AA63">
        <v>18</v>
      </c>
      <c r="AB63" s="13">
        <v>44114</v>
      </c>
      <c r="AC63">
        <v>11998</v>
      </c>
      <c r="AD63">
        <v>5</v>
      </c>
      <c r="AE63" s="13">
        <v>44115</v>
      </c>
      <c r="AF63">
        <v>12212</v>
      </c>
      <c r="AG63">
        <v>9</v>
      </c>
      <c r="AH63" s="13">
        <v>44116</v>
      </c>
      <c r="AI63">
        <v>12499</v>
      </c>
      <c r="AJ63">
        <v>27</v>
      </c>
      <c r="AK63" s="13">
        <v>44117</v>
      </c>
      <c r="AL63">
        <v>12703</v>
      </c>
      <c r="AM63">
        <v>12</v>
      </c>
      <c r="AN63" s="13">
        <v>44118</v>
      </c>
      <c r="AO63">
        <v>12944</v>
      </c>
      <c r="AP63">
        <v>22</v>
      </c>
      <c r="AQ63">
        <v>44119</v>
      </c>
      <c r="AR63">
        <v>13133</v>
      </c>
      <c r="AS63">
        <v>17</v>
      </c>
      <c r="AT63">
        <v>44120</v>
      </c>
      <c r="AU63">
        <v>13293</v>
      </c>
      <c r="AV63">
        <v>32</v>
      </c>
      <c r="AW63">
        <v>44121</v>
      </c>
      <c r="AX63">
        <v>13424</v>
      </c>
      <c r="AY63">
        <v>11</v>
      </c>
      <c r="AZ63">
        <v>44122</v>
      </c>
      <c r="BA63">
        <v>13555</v>
      </c>
      <c r="BB63">
        <v>28</v>
      </c>
    </row>
    <row r="64" spans="1:54" s="10" customFormat="1">
      <c r="A64" t="str">
        <f t="shared" ca="1" si="21"/>
        <v>Ma</v>
      </c>
      <c r="B64" s="9">
        <f ca="1">B65-1</f>
        <v>44123</v>
      </c>
      <c r="C64" s="10">
        <f t="shared" ca="1" si="0"/>
        <v>13849</v>
      </c>
      <c r="D64" s="10">
        <f ca="1">C64-C63</f>
        <v>14</v>
      </c>
      <c r="E64" s="10">
        <f t="shared" ca="1" si="4"/>
        <v>14</v>
      </c>
      <c r="F64" s="10">
        <f t="shared" ca="1" si="6"/>
        <v>0</v>
      </c>
      <c r="J64" s="9"/>
      <c r="K64" s="14"/>
      <c r="M64" s="9">
        <v>44123</v>
      </c>
      <c r="N64" s="10">
        <v>13555</v>
      </c>
      <c r="O64" s="10">
        <v>0</v>
      </c>
      <c r="P64" s="15">
        <v>44123</v>
      </c>
      <c r="Q64" s="10">
        <v>13849</v>
      </c>
      <c r="R64" s="10">
        <v>14</v>
      </c>
      <c r="S64" s="15">
        <v>44112</v>
      </c>
      <c r="T64" s="10">
        <v>11345</v>
      </c>
      <c r="U64" s="10">
        <v>0</v>
      </c>
      <c r="V64" s="9">
        <v>44113</v>
      </c>
      <c r="W64" s="10">
        <v>11580</v>
      </c>
      <c r="X64" s="10">
        <v>0</v>
      </c>
      <c r="Y64" s="9">
        <v>44114</v>
      </c>
      <c r="Z64" s="10">
        <v>11849</v>
      </c>
      <c r="AA64" s="10">
        <v>0</v>
      </c>
      <c r="AB64" s="9">
        <v>44115</v>
      </c>
      <c r="AC64" s="10">
        <v>11998</v>
      </c>
      <c r="AD64" s="10">
        <v>0</v>
      </c>
      <c r="AE64" s="9">
        <v>44116</v>
      </c>
      <c r="AF64" s="10">
        <v>12212</v>
      </c>
      <c r="AG64" s="10">
        <v>0</v>
      </c>
      <c r="AH64" s="9">
        <v>44117</v>
      </c>
      <c r="AI64" s="10">
        <v>12499</v>
      </c>
      <c r="AJ64" s="10">
        <v>0</v>
      </c>
      <c r="AK64" s="9">
        <v>44118</v>
      </c>
      <c r="AL64" s="10">
        <v>12703</v>
      </c>
      <c r="AM64" s="10">
        <v>0</v>
      </c>
      <c r="AN64" s="9">
        <v>44119</v>
      </c>
      <c r="AO64" s="10">
        <v>12944</v>
      </c>
      <c r="AP64" s="10">
        <v>0</v>
      </c>
      <c r="AQ64" s="10">
        <v>44120</v>
      </c>
      <c r="AR64" s="10">
        <v>13133</v>
      </c>
      <c r="AS64" s="10">
        <v>0</v>
      </c>
      <c r="AT64" s="10">
        <v>44121</v>
      </c>
      <c r="AU64" s="10">
        <v>13293</v>
      </c>
      <c r="AV64" s="10">
        <v>0</v>
      </c>
      <c r="AW64" s="10">
        <v>44122</v>
      </c>
      <c r="AX64" s="10">
        <v>13424</v>
      </c>
      <c r="AY64" s="10">
        <v>0</v>
      </c>
      <c r="AZ64" s="10">
        <v>44123</v>
      </c>
      <c r="BA64" s="10">
        <v>13555</v>
      </c>
      <c r="BB64" s="10">
        <v>0</v>
      </c>
    </row>
    <row r="65" spans="1:54">
      <c r="A65" t="str">
        <f ca="1">IF(WEEKDAY(B65,2)=1,"Ma","")</f>
        <v/>
      </c>
      <c r="B65" s="12">
        <f ca="1">FLOOR(NOW(),1)</f>
        <v>44124</v>
      </c>
      <c r="C65" s="11">
        <f t="shared" ca="1" si="0"/>
        <v>13849</v>
      </c>
      <c r="D65" s="11">
        <f ca="1">C65-C64</f>
        <v>0</v>
      </c>
      <c r="E65" s="11">
        <f ca="1">_xlfn.IFNA(D65-F65,"")</f>
        <v>0</v>
      </c>
      <c r="F65" s="11">
        <f t="shared" ca="1" si="6"/>
        <v>0</v>
      </c>
      <c r="K65" t="s">
        <v>309</v>
      </c>
      <c r="L65">
        <f ca="1">C65-N65</f>
        <v>294</v>
      </c>
      <c r="M65" s="4">
        <v>44124</v>
      </c>
      <c r="N65">
        <v>13555</v>
      </c>
      <c r="O65">
        <v>0</v>
      </c>
      <c r="P65" s="13">
        <v>44124</v>
      </c>
      <c r="Q65">
        <v>13849</v>
      </c>
      <c r="R65">
        <v>0</v>
      </c>
      <c r="S65" s="13">
        <v>44113</v>
      </c>
      <c r="T65">
        <v>11345</v>
      </c>
      <c r="U65">
        <v>0</v>
      </c>
      <c r="V65" s="4">
        <v>44114</v>
      </c>
      <c r="W65">
        <v>11580</v>
      </c>
      <c r="X65">
        <v>0</v>
      </c>
      <c r="Y65" s="4">
        <v>44115</v>
      </c>
      <c r="Z65">
        <v>11849</v>
      </c>
      <c r="AA65">
        <v>0</v>
      </c>
      <c r="AB65" s="4">
        <v>44116</v>
      </c>
      <c r="AC65">
        <v>11998</v>
      </c>
      <c r="AD65">
        <v>0</v>
      </c>
      <c r="AE65" s="4">
        <v>44117</v>
      </c>
      <c r="AF65">
        <v>12212</v>
      </c>
      <c r="AG65">
        <v>0</v>
      </c>
      <c r="AH65" s="4">
        <v>44118</v>
      </c>
      <c r="AI65">
        <v>12499</v>
      </c>
      <c r="AJ65">
        <v>0</v>
      </c>
      <c r="AK65" s="4">
        <v>44119</v>
      </c>
      <c r="AL65">
        <v>12703</v>
      </c>
      <c r="AM65">
        <v>0</v>
      </c>
      <c r="AN65" s="4">
        <v>44120</v>
      </c>
      <c r="AO65">
        <v>12944</v>
      </c>
      <c r="AP65">
        <v>0</v>
      </c>
      <c r="AQ65">
        <v>44121</v>
      </c>
      <c r="AR65">
        <v>13133</v>
      </c>
      <c r="AS65">
        <v>0</v>
      </c>
      <c r="AT65">
        <v>44122</v>
      </c>
      <c r="AU65">
        <v>13293</v>
      </c>
      <c r="AV65">
        <v>0</v>
      </c>
      <c r="AW65">
        <v>44123</v>
      </c>
      <c r="AX65">
        <v>13424</v>
      </c>
      <c r="AY65">
        <v>0</v>
      </c>
      <c r="AZ65">
        <v>44124</v>
      </c>
      <c r="BA65">
        <v>13555</v>
      </c>
      <c r="BB65">
        <v>0</v>
      </c>
    </row>
    <row r="67" spans="1:54">
      <c r="A67">
        <v>1</v>
      </c>
      <c r="B67">
        <v>2</v>
      </c>
      <c r="C67">
        <v>3</v>
      </c>
      <c r="D67">
        <v>4</v>
      </c>
      <c r="E67">
        <v>5</v>
      </c>
      <c r="F67">
        <v>6</v>
      </c>
      <c r="G67">
        <v>7</v>
      </c>
      <c r="H67">
        <v>8</v>
      </c>
      <c r="I67">
        <v>9</v>
      </c>
      <c r="J67">
        <v>10</v>
      </c>
      <c r="K67">
        <v>11</v>
      </c>
      <c r="L67">
        <v>12</v>
      </c>
      <c r="P67">
        <f>Q65-N65</f>
        <v>294</v>
      </c>
      <c r="V67">
        <f>W65-T65</f>
        <v>235</v>
      </c>
      <c r="Y67">
        <f>Z65-W65</f>
        <v>269</v>
      </c>
      <c r="AB67">
        <f>AC65-Z65</f>
        <v>149</v>
      </c>
      <c r="AE67">
        <f>AF65-AC65</f>
        <v>214</v>
      </c>
      <c r="AH67">
        <f>AI65-AF65</f>
        <v>287</v>
      </c>
      <c r="AK67">
        <f>AL65-AI65</f>
        <v>204</v>
      </c>
      <c r="AN67">
        <f>AO65-AL65</f>
        <v>241</v>
      </c>
      <c r="AQ67">
        <f>AR65-AO65</f>
        <v>189</v>
      </c>
      <c r="AT67">
        <f>AU65-AR65</f>
        <v>160</v>
      </c>
      <c r="AW67">
        <f>AX65-AU65</f>
        <v>131</v>
      </c>
      <c r="AZ67">
        <f>BA65-AX65</f>
        <v>131</v>
      </c>
    </row>
  </sheetData>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ThisWorkbook.UpdateDialog">
                <anchor moveWithCells="1" sizeWithCells="1">
                  <from>
                    <xdr:col>9</xdr:col>
                    <xdr:colOff>359229</xdr:colOff>
                    <xdr:row>9</xdr:row>
                    <xdr:rowOff>103414</xdr:rowOff>
                  </from>
                  <to>
                    <xdr:col>11</xdr:col>
                    <xdr:colOff>59871</xdr:colOff>
                    <xdr:row>11</xdr:row>
                    <xdr:rowOff>108857</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8</vt:i4>
      </vt:variant>
    </vt:vector>
  </HeadingPairs>
  <TitlesOfParts>
    <vt:vector size="11" baseType="lpstr">
      <vt:lpstr>Ohje</vt:lpstr>
      <vt:lpstr>Data</vt:lpstr>
      <vt:lpstr>Kuvaajat</vt:lpstr>
      <vt:lpstr>aika</vt:lpstr>
      <vt:lpstr>alue</vt:lpstr>
      <vt:lpstr>database</vt:lpstr>
      <vt:lpstr>Id</vt:lpstr>
      <vt:lpstr>maa</vt:lpstr>
      <vt:lpstr>Paivitetty</vt:lpstr>
      <vt:lpstr>Previous</vt:lpstr>
      <vt:lpstr>Tapauksia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Jussi Virkkala</dc:creator>
  <cp:lastModifiedBy>Jussi Virkkala</cp:lastModifiedBy>
  <cp:lastPrinted>2020-03-15T06:00:33Z</cp:lastPrinted>
  <dcterms:created xsi:type="dcterms:W3CDTF">2020-03-13T08:28:28Z</dcterms:created>
  <dcterms:modified xsi:type="dcterms:W3CDTF">2020-10-20T08:57:52Z</dcterms:modified>
</cp:coreProperties>
</file>