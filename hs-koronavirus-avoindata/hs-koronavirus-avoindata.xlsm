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62610EA-E54E-40A4-BC7E-0FEEF71919DD}"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M68" i="2" l="1"/>
  <c r="FP68" i="2"/>
  <c r="FS68" i="2"/>
  <c r="FV68" i="2"/>
  <c r="FY68" i="2"/>
  <c r="GB68" i="2"/>
  <c r="GE68" i="2"/>
  <c r="GH68" i="2"/>
  <c r="GK68" i="2"/>
  <c r="GN68" i="2"/>
  <c r="GQ68" i="2"/>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X80" i="2" l="1"/>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<sst xmlns="http://schemas.openxmlformats.org/spreadsheetml/2006/main" count="846" uniqueCount="381">
  <si>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</si>
  <si>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</si>
  <si>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</si>
  <si>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</si>
  <si>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</si>
  <si>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</si>
  <si>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</si>
  <si>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</si>
  <si>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</si>
  <si>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</si>
  <si>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</si>
  <si>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</si>
  <si>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</si>
  <si>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</si>
  <si>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</si>
  <si>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</si>
  <si>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</si>
  <si>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</si>
  <si>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</si>
  <si>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</si>
  <si>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</si>
  <si>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</si>
  <si>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</si>
  <si>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</si>
  <si>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</si>
  <si>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</si>
  <si>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</si>
  <si>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</si>
  <si>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</si>
  <si>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</si>
  <si>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</si>
  <si>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</si>
  <si>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</si>
  <si>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</si>
  <si>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</si>
  <si>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</si>
  <si>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</si>
  <si>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</si>
  <si>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</si>
  <si>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</si>
  <si>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</si>
  <si>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</si>
  <si>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</si>
  <si>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</si>
  <si>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</si>
  <si>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</si>
  <si>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</si>
  <si>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</si>
  <si>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</si>
  <si>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</si>
  <si>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</si>
  <si>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</si>
  <si>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</si>
  <si>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</si>
  <si>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</si>
  <si>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</si>
  <si>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</si>
  <si>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</si>
  <si>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</si>
  <si>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</si>
  <si>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</si>
  <si>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</si>
  <si>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</si>
  <si>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</si>
  <si>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</si>
  <si>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</si>
  <si>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</si>
  <si>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</si>
  <si>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</si>
  <si>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</si>
  <si>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</si>
  <si>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</si>
  <si>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</si>
  <si>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</si>
  <si>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</si>
  <si>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</si>
  <si>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</si>
  <si>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</si>
  <si>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</si>
  <si>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</si>
  <si>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</si>
  <si>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</si>
  <si>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</si>
  <si>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</si>
  <si>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</si>
  <si>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</si>
  <si>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</si>
  <si>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</si>
  <si>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</si>
  <si>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</si>
  <si>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</si>
  <si>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</si>
  <si>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</si>
  <si>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</si>
  <si>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</si>
  <si>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</si>
  <si>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</si>
  <si>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</si>
  <si>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</si>
  <si>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</si>
  <si>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</si>
  <si>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</si>
  <si>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</si>
  <si>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</si>
  <si>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</si>
  <si>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</si>
  <si>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</si>
  <si>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</si>
  <si>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</si>
  <si>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</si>
  <si>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</si>
  <si>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</si>
  <si>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</si>
  <si>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</si>
  <si>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</si>
  <si>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</si>
  <si>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</si>
  <si>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</si>
  <si>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</si>
  <si>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</si>
  <si>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</si>
  <si>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</si>
  <si>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</si>
  <si>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</si>
  <si>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</si>
  <si>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</si>
  <si>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</si>
  <si>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</si>
  <si>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</si>
  <si>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</si>
  <si>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</si>
  <si>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</si>
  <si>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</si>
  <si>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</si>
  <si>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</si>
  <si>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</si>
  <si>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</si>
  <si>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</si>
  <si>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</si>
  <si>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</si>
  <si>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</si>
  <si>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</si>
  <si>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</si>
  <si>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</si>
  <si>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</si>
  <si>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</si>
  <si>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</si>
  <si>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</si>
  <si>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</si>
  <si>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</si>
  <si>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</si>
  <si>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</si>
  <si>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</si>
  <si>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</si>
  <si>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</si>
  <si>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</si>
  <si>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</si>
  <si>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</si>
  <si>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</si>
  <si>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</si>
  <si>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</si>
  <si>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</si>
  <si>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</si>
  <si>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</si>
  <si>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</si>
  <si>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</si>
  <si>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</si>
  <si>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</si>
  <si>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</si>
  <si>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</si>
  <si>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</si>
  <si>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</si>
  <si>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</si>
  <si>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</si>
  <si>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</si>
  <si>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</si>
  <si>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</si>
  <si>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</si>
  <si>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</si>
  <si>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</si>
  <si>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</si>
  <si>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</si>
  <si>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</si>
  <si>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</si>
  <si>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</si>
  <si>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</si>
  <si>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</si>
  <si>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</si>
  <si>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</si>
  <si>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</si>
  <si>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</si>
  <si>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</si>
  <si>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</si>
  <si>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</si>
  <si>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</si>
  <si>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</si>
  <si>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</si>
  <si>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</si>
  <si>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</si>
  <si>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</si>
  <si>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</si>
  <si>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</si>
  <si>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</si>
  <si>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</si>
  <si>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</si>
  <si>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</si>
  <si>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</si>
  <si>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</si>
  <si>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</si>
  <si>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</si>
  <si>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</si>
  <si>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</si>
  <si>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</si>
  <si>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</si>
  <si>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</si>
  <si>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</si>
  <si>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</si>
  <si>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</si>
  <si>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</si>
  <si>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</si>
  <si>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</si>
  <si>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</si>
  <si>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</si>
  <si>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</si>
  <si>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</si>
  <si>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</si>
  <si>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</si>
  <si>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</si>
  <si>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</si>
  <si>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</si>
  <si>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</si>
  <si>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</si>
  <si>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</si>
  <si>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</si>
  <si>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</si>
  <si>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</si>
  <si>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</si>
  <si>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</si>
  <si>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</si>
  <si>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</si>
  <si>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</si>
  <si>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</si>
  <si>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</si>
  <si>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</si>
  <si>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</si>
  <si>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</si>
  <si>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</si>
  <si>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</si>
  <si>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</si>
  <si>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</si>
  <si>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</si>
  <si>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</si>
  <si>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</si>
  <si>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</si>
  <si>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</si>
  <si>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</si>
  <si>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</si>
  <si>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</si>
  <si>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</si>
  <si>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</si>
  <si>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</si>
  <si>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</si>
  <si>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</si>
  <si>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</si>
  <si>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</si>
  <si>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</si>
  <si>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</si>
  <si>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</si>
  <si>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</si>
  <si>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</si>
  <si>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</si>
  <si>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</si>
  <si>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</si>
  <si>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</si>
  <si>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</si>
  <si>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</si>
  <si>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</si>
  <si>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</si>
  <si>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</si>
  <si>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</si>
  <si>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</si>
  <si>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</si>
  <si>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</si>
  <si>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</si>
  <si>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</si>
  <si>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</si>
  <si>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</si>
  <si>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</si>
  <si>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</si>
  <si>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</si>
  <si>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</si>
  <si>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</si>
  <si>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</si>
  <si>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</si>
  <si>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</si>
  <si>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</si>
  <si>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</si>
  <si>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</si>
  <si>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</si>
  <si>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</si>
  <si>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</si>
  <si>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</si>
  <si>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</si>
  <si>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</si>
  <si>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</si>
  <si>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</si>
  <si>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</si>
  <si>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</si>
  <si>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</si>
  <si>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</si>
  <si>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</si>
  <si>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</si>
  <si>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</si>
  <si>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</si>
  <si>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</si>
  <si>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</si>
  <si>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</si>
  <si>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</si>
  <si>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</si>
  <si>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</si>
  <si>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</si>
  <si>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</si>
  <si>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</si>
  <si>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</si>
  <si>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</si>
  <si>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</si>
  <si>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</si>
  <si>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</si>
  <si>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</si>
  <si>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</si>
  <si>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</si>
  <si>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</si>
  <si>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</si>
  <si>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</si>
  <si>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</si>
  <si>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</si>
  <si>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</si>
  <si>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</si>
  <si>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</si>
  <si>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</si>
  <si>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</si>
  <si>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</si>
  <si>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</si>
  <si>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</si>
  <si>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</si>
  <si>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</si>
  <si>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</si>
  <si>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</si>
  <si>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</si>
  <si>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</si>
  <si>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</si>
  <si>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</si>
  <si>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</si>
  <si>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</si>
  <si>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</si>
  <si>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</si>
  <si>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</si>
  <si>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</si>
  <si>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</si>
  <si>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</si>
  <si>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</si>
  <si>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</si>
  <si>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</si>
  <si>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</si>
  <si>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</si>
  <si>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</si>
  <si>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</si>
  <si>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</si>
  <si>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</si>
  <si>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</si>
  <si>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</si>
  <si>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</si>
  <si>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</si>
  <si>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</si>
  <si>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</si>
  <si>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</si>
  <si>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</si>
  <si>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</si>
  <si>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</si>
  <si>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</si>
  <si>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2020-12-12T09:36:52.984Z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</si>
</sst>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0" fontId="0" fillId="0" borderId="0" xfId="0" applyAlignment="1">
      <alignment horizontal="left" vertical="top" wrapText="1"/>
    </xf>
    <xf numFmtId="0" fontId="0" fillId="0" borderId="0" xfId="0" applyAlignment="1">
      <alignment wrapText="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8.12 saakka. Suurin arvo 615, joka 25.11. Uusimpien 4 päivien arvot tulevat viiveellä, joten ne jätetty pois kuvaajasta 12.12.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4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strCache>
            </c:strRef>
          </c:cat>
          <c:val>
            <c:numRef>
              <c:f>[0]!Plot</c:f>
              <c:numCache>
                <c:formatCode>General</c:formatCode>
                <c:ptCount val="3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41</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188</c:v>
                </c:pt>
                <c:pt idx="275">
                  <c:v>188</c:v>
                </c:pt>
                <c:pt idx="276">
                  <c:v>180</c:v>
                </c:pt>
                <c:pt idx="277">
                  <c:v>148</c:v>
                </c:pt>
                <c:pt idx="278">
                  <c:v>291</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222</c:v>
                </c:pt>
                <c:pt idx="310">
                  <c:v>196</c:v>
                </c:pt>
                <c:pt idx="311">
                  <c:v>128</c:v>
                </c:pt>
                <c:pt idx="312">
                  <c:v>133</c:v>
                </c:pt>
                <c:pt idx="313">
                  <c:v>273</c:v>
                </c:pt>
                <c:pt idx="314">
                  <c:v>205</c:v>
                </c:pt>
                <c:pt idx="315">
                  <c:v>293</c:v>
                </c:pt>
                <c:pt idx="316">
                  <c:v>282</c:v>
                </c:pt>
                <c:pt idx="317">
                  <c:v>265</c:v>
                </c:pt>
                <c:pt idx="318">
                  <c:v>145</c:v>
                </c:pt>
                <c:pt idx="319">
                  <c:v>182</c:v>
                </c:pt>
                <c:pt idx="320">
                  <c:v>392</c:v>
                </c:pt>
                <c:pt idx="321">
                  <c:v>391</c:v>
                </c:pt>
                <c:pt idx="322">
                  <c:v>371</c:v>
                </c:pt>
                <c:pt idx="323">
                  <c:v>478</c:v>
                </c:pt>
                <c:pt idx="324">
                  <c:v>429</c:v>
                </c:pt>
                <c:pt idx="325">
                  <c:v>268</c:v>
                </c:pt>
                <c:pt idx="326">
                  <c:v>267</c:v>
                </c:pt>
                <c:pt idx="327">
                  <c:v>505</c:v>
                </c:pt>
                <c:pt idx="328">
                  <c:v>468</c:v>
                </c:pt>
                <c:pt idx="329">
                  <c:v>615</c:v>
                </c:pt>
                <c:pt idx="330">
                  <c:v>511</c:v>
                </c:pt>
                <c:pt idx="331">
                  <c:v>460</c:v>
                </c:pt>
                <c:pt idx="332">
                  <c:v>282</c:v>
                </c:pt>
                <c:pt idx="333">
                  <c:v>293</c:v>
                </c:pt>
                <c:pt idx="334">
                  <c:v>597</c:v>
                </c:pt>
                <c:pt idx="335">
                  <c:v>443</c:v>
                </c:pt>
                <c:pt idx="336">
                  <c:v>495</c:v>
                </c:pt>
                <c:pt idx="337">
                  <c:v>474</c:v>
                </c:pt>
                <c:pt idx="338">
                  <c:v>475</c:v>
                </c:pt>
                <c:pt idx="339">
                  <c:v>252</c:v>
                </c:pt>
                <c:pt idx="340">
                  <c:v>282</c:v>
                </c:pt>
                <c:pt idx="341">
                  <c:v>588</c:v>
                </c:pt>
                <c:pt idx="342">
                  <c:v>457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5470</c:v>
                </c:pt>
                <c:pt idx="1">
                  <c:v>4884</c:v>
                </c:pt>
                <c:pt idx="2">
                  <c:v>5132</c:v>
                </c:pt>
                <c:pt idx="3">
                  <c:v>4940</c:v>
                </c:pt>
                <c:pt idx="4">
                  <c:v>4450</c:v>
                </c:pt>
                <c:pt idx="5">
                  <c:v>2646</c:v>
                </c:pt>
                <c:pt idx="6">
                  <c:v>2928</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44149</c:v>
                </c:pt>
                <c:pt idx="1">
                  <c:v>44150</c:v>
                </c:pt>
                <c:pt idx="2">
                  <c:v>44151</c:v>
                </c:pt>
                <c:pt idx="3">
                  <c:v>44152</c:v>
                </c:pt>
                <c:pt idx="4">
                  <c:v>44153</c:v>
                </c:pt>
                <c:pt idx="5">
                  <c:v>44154</c:v>
                </c:pt>
                <c:pt idx="6">
                  <c:v>44155</c:v>
                </c:pt>
                <c:pt idx="7">
                  <c:v>44156</c:v>
                </c:pt>
                <c:pt idx="8">
                  <c:v>44157</c:v>
                </c:pt>
                <c:pt idx="9">
                  <c:v>44158</c:v>
                </c:pt>
                <c:pt idx="10">
                  <c:v>44159</c:v>
                </c:pt>
                <c:pt idx="11">
                  <c:v>44160</c:v>
                </c:pt>
                <c:pt idx="12">
                  <c:v>44161</c:v>
                </c:pt>
                <c:pt idx="13">
                  <c:v>44162</c:v>
                </c:pt>
                <c:pt idx="14">
                  <c:v>44163</c:v>
                </c:pt>
                <c:pt idx="15">
                  <c:v>44164</c:v>
                </c:pt>
                <c:pt idx="16">
                  <c:v>44165</c:v>
                </c:pt>
                <c:pt idx="17">
                  <c:v>44166</c:v>
                </c:pt>
                <c:pt idx="18">
                  <c:v>44167</c:v>
                </c:pt>
                <c:pt idx="19">
                  <c:v>44168</c:v>
                </c:pt>
                <c:pt idx="20">
                  <c:v>44169</c:v>
                </c:pt>
                <c:pt idx="21">
                  <c:v>44170</c:v>
                </c:pt>
                <c:pt idx="22">
                  <c:v>44171</c:v>
                </c:pt>
                <c:pt idx="23">
                  <c:v>44172</c:v>
                </c:pt>
                <c:pt idx="24">
                  <c:v>44173</c:v>
                </c:pt>
                <c:pt idx="25">
                  <c:v>44174</c:v>
                </c:pt>
                <c:pt idx="26">
                  <c:v>44175</c:v>
                </c:pt>
                <c:pt idx="27">
                  <c:v>44176</c:v>
                </c:pt>
              </c:numCache>
            </c:numRef>
          </c:cat>
          <c:val>
            <c:numRef>
              <c:f>Kuvaajat!$D$37:$D$64</c:f>
              <c:numCache>
                <c:formatCode>General</c:formatCode>
                <c:ptCount val="28"/>
                <c:pt idx="0">
                  <c:v>145</c:v>
                </c:pt>
                <c:pt idx="1">
                  <c:v>182</c:v>
                </c:pt>
                <c:pt idx="2">
                  <c:v>392</c:v>
                </c:pt>
                <c:pt idx="3">
                  <c:v>391</c:v>
                </c:pt>
                <c:pt idx="4">
                  <c:v>371</c:v>
                </c:pt>
                <c:pt idx="5">
                  <c:v>478</c:v>
                </c:pt>
                <c:pt idx="6">
                  <c:v>429</c:v>
                </c:pt>
                <c:pt idx="7">
                  <c:v>268</c:v>
                </c:pt>
                <c:pt idx="8">
                  <c:v>267</c:v>
                </c:pt>
                <c:pt idx="9">
                  <c:v>505</c:v>
                </c:pt>
                <c:pt idx="10">
                  <c:v>468</c:v>
                </c:pt>
                <c:pt idx="11">
                  <c:v>615</c:v>
                </c:pt>
                <c:pt idx="12">
                  <c:v>511</c:v>
                </c:pt>
                <c:pt idx="13">
                  <c:v>460</c:v>
                </c:pt>
                <c:pt idx="14">
                  <c:v>282</c:v>
                </c:pt>
                <c:pt idx="15">
                  <c:v>293</c:v>
                </c:pt>
                <c:pt idx="16">
                  <c:v>597</c:v>
                </c:pt>
                <c:pt idx="17">
                  <c:v>443</c:v>
                </c:pt>
                <c:pt idx="18">
                  <c:v>495</c:v>
                </c:pt>
                <c:pt idx="19">
                  <c:v>474</c:v>
                </c:pt>
                <c:pt idx="20">
                  <c:v>475</c:v>
                </c:pt>
                <c:pt idx="21">
                  <c:v>252</c:v>
                </c:pt>
                <c:pt idx="22">
                  <c:v>282</c:v>
                </c:pt>
                <c:pt idx="23">
                  <c:v>588</c:v>
                </c:pt>
                <c:pt idx="24">
                  <c:v>457</c:v>
                </c:pt>
                <c:pt idx="25">
                  <c:v>423</c:v>
                </c:pt>
                <c:pt idx="26">
                  <c:v>303</c:v>
                </c:pt>
                <c:pt idx="27">
                  <c:v>178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N=30450. Uusimmat 12.12 lisäykset punaisella n=377.</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14.11</c:v>
                </c:pt>
                <c:pt idx="1">
                  <c:v>15.11</c:v>
                </c:pt>
                <c:pt idx="2">
                  <c:v>Ma 16</c:v>
                </c:pt>
                <c:pt idx="3">
                  <c:v>17.11</c:v>
                </c:pt>
                <c:pt idx="4">
                  <c:v>18.11</c:v>
                </c:pt>
                <c:pt idx="5">
                  <c:v>19.11</c:v>
                </c:pt>
                <c:pt idx="6">
                  <c:v>20.11</c:v>
                </c:pt>
                <c:pt idx="7">
                  <c:v>21.11</c:v>
                </c:pt>
                <c:pt idx="8">
                  <c:v>22.11</c:v>
                </c:pt>
                <c:pt idx="9">
                  <c:v>Ma 23</c:v>
                </c:pt>
                <c:pt idx="10">
                  <c:v>24.11</c:v>
                </c:pt>
                <c:pt idx="11">
                  <c:v>25.11</c:v>
                </c:pt>
                <c:pt idx="12">
                  <c:v>26.11</c:v>
                </c:pt>
                <c:pt idx="13">
                  <c:v>27.11</c:v>
                </c:pt>
                <c:pt idx="14">
                  <c:v>28.11</c:v>
                </c:pt>
                <c:pt idx="15">
                  <c:v>29.11</c:v>
                </c:pt>
                <c:pt idx="16">
                  <c:v>Ma 30</c:v>
                </c:pt>
                <c:pt idx="17">
                  <c:v>1.12</c:v>
                </c:pt>
                <c:pt idx="18">
                  <c:v>2.12</c:v>
                </c:pt>
                <c:pt idx="19">
                  <c:v>3.12</c:v>
                </c:pt>
                <c:pt idx="20">
                  <c:v>4.12</c:v>
                </c:pt>
                <c:pt idx="21">
                  <c:v>5.12</c:v>
                </c:pt>
                <c:pt idx="22">
                  <c:v>6.12</c:v>
                </c:pt>
                <c:pt idx="23">
                  <c:v>Ma 7</c:v>
                </c:pt>
                <c:pt idx="24">
                  <c:v>8.12</c:v>
                </c:pt>
                <c:pt idx="25">
                  <c:v>9.12</c:v>
                </c:pt>
                <c:pt idx="26">
                  <c:v>10.12</c:v>
                </c:pt>
                <c:pt idx="27">
                  <c:v>11.12</c:v>
                </c:pt>
              </c:strCache>
            </c:strRef>
          </c:cat>
          <c:val>
            <c:numRef>
              <c:f>Kuvaajat!$D$37:$D$64</c:f>
              <c:numCache>
                <c:formatCode>General</c:formatCode>
                <c:ptCount val="28"/>
                <c:pt idx="0">
                  <c:v>145</c:v>
                </c:pt>
                <c:pt idx="1">
                  <c:v>182</c:v>
                </c:pt>
                <c:pt idx="2">
                  <c:v>392</c:v>
                </c:pt>
                <c:pt idx="3">
                  <c:v>391</c:v>
                </c:pt>
                <c:pt idx="4">
                  <c:v>371</c:v>
                </c:pt>
                <c:pt idx="5">
                  <c:v>478</c:v>
                </c:pt>
                <c:pt idx="6">
                  <c:v>429</c:v>
                </c:pt>
                <c:pt idx="7">
                  <c:v>268</c:v>
                </c:pt>
                <c:pt idx="8">
                  <c:v>267</c:v>
                </c:pt>
                <c:pt idx="9">
                  <c:v>505</c:v>
                </c:pt>
                <c:pt idx="10">
                  <c:v>468</c:v>
                </c:pt>
                <c:pt idx="11">
                  <c:v>615</c:v>
                </c:pt>
                <c:pt idx="12">
                  <c:v>511</c:v>
                </c:pt>
                <c:pt idx="13">
                  <c:v>460</c:v>
                </c:pt>
                <c:pt idx="14">
                  <c:v>282</c:v>
                </c:pt>
                <c:pt idx="15">
                  <c:v>293</c:v>
                </c:pt>
                <c:pt idx="16">
                  <c:v>597</c:v>
                </c:pt>
                <c:pt idx="17">
                  <c:v>443</c:v>
                </c:pt>
                <c:pt idx="18">
                  <c:v>495</c:v>
                </c:pt>
                <c:pt idx="19">
                  <c:v>474</c:v>
                </c:pt>
                <c:pt idx="20">
                  <c:v>475</c:v>
                </c:pt>
                <c:pt idx="21">
                  <c:v>252</c:v>
                </c:pt>
                <c:pt idx="22">
                  <c:v>282</c:v>
                </c:pt>
                <c:pt idx="23">
                  <c:v>588</c:v>
                </c:pt>
                <c:pt idx="24">
                  <c:v>457</c:v>
                </c:pt>
                <c:pt idx="25">
                  <c:v>423</c:v>
                </c:pt>
                <c:pt idx="26">
                  <c:v>303</c:v>
                </c:pt>
                <c:pt idx="27">
                  <c:v>178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14.11</c:v>
                </c:pt>
                <c:pt idx="1">
                  <c:v>15.11</c:v>
                </c:pt>
                <c:pt idx="2">
                  <c:v>Ma 16</c:v>
                </c:pt>
                <c:pt idx="3">
                  <c:v>17.11</c:v>
                </c:pt>
                <c:pt idx="4">
                  <c:v>18.11</c:v>
                </c:pt>
                <c:pt idx="5">
                  <c:v>19.11</c:v>
                </c:pt>
                <c:pt idx="6">
                  <c:v>20.11</c:v>
                </c:pt>
                <c:pt idx="7">
                  <c:v>21.11</c:v>
                </c:pt>
                <c:pt idx="8">
                  <c:v>22.11</c:v>
                </c:pt>
                <c:pt idx="9">
                  <c:v>Ma 23</c:v>
                </c:pt>
                <c:pt idx="10">
                  <c:v>24.11</c:v>
                </c:pt>
                <c:pt idx="11">
                  <c:v>25.11</c:v>
                </c:pt>
                <c:pt idx="12">
                  <c:v>26.11</c:v>
                </c:pt>
                <c:pt idx="13">
                  <c:v>27.11</c:v>
                </c:pt>
                <c:pt idx="14">
                  <c:v>28.11</c:v>
                </c:pt>
                <c:pt idx="15">
                  <c:v>29.11</c:v>
                </c:pt>
                <c:pt idx="16">
                  <c:v>Ma 30</c:v>
                </c:pt>
                <c:pt idx="17">
                  <c:v>1.12</c:v>
                </c:pt>
                <c:pt idx="18">
                  <c:v>2.12</c:v>
                </c:pt>
                <c:pt idx="19">
                  <c:v>3.12</c:v>
                </c:pt>
                <c:pt idx="20">
                  <c:v>4.12</c:v>
                </c:pt>
                <c:pt idx="21">
                  <c:v>5.12</c:v>
                </c:pt>
                <c:pt idx="22">
                  <c:v>6.12</c:v>
                </c:pt>
                <c:pt idx="23">
                  <c:v>Ma 7</c:v>
                </c:pt>
                <c:pt idx="24">
                  <c:v>8.12</c:v>
                </c:pt>
                <c:pt idx="25">
                  <c:v>9.12</c:v>
                </c:pt>
                <c:pt idx="26">
                  <c:v>10.12</c:v>
                </c:pt>
                <c:pt idx="27">
                  <c:v>11.12</c:v>
                </c:pt>
              </c:strCache>
            </c:strRef>
          </c:cat>
          <c:val>
            <c:numRef>
              <c:f>Kuvaajat!$E$37:$E$64</c:f>
              <c:numCache>
                <c:formatCode>General</c:formatCode>
                <c:ptCount val="28"/>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2</c:v>
                </c:pt>
                <c:pt idx="21">
                  <c:v>2</c:v>
                </c:pt>
                <c:pt idx="22">
                  <c:v>1</c:v>
                </c:pt>
                <c:pt idx="23">
                  <c:v>5</c:v>
                </c:pt>
                <c:pt idx="24">
                  <c:v>38</c:v>
                </c:pt>
                <c:pt idx="25">
                  <c:v>43</c:v>
                </c:pt>
                <c:pt idx="26">
                  <c:v>106</c:v>
                </c:pt>
                <c:pt idx="27">
                  <c:v>177</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8.12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44173.625</c:v>
                </c:pt>
                <c:pt idx="1">
                  <c:v>44166.625</c:v>
                </c:pt>
                <c:pt idx="2">
                  <c:v>44159.625</c:v>
                </c:pt>
                <c:pt idx="3">
                  <c:v>44152.625</c:v>
                </c:pt>
                <c:pt idx="4">
                  <c:v>44145.625</c:v>
                </c:pt>
                <c:pt idx="5">
                  <c:v>44138.625</c:v>
                </c:pt>
                <c:pt idx="6">
                  <c:v>44131.625</c:v>
                </c:pt>
                <c:pt idx="7">
                  <c:v>44124.625</c:v>
                </c:pt>
                <c:pt idx="8">
                  <c:v>44117.625</c:v>
                </c:pt>
                <c:pt idx="9">
                  <c:v>44110.625</c:v>
                </c:pt>
              </c:numCache>
            </c:numRef>
          </c:xVal>
          <c:yVal>
            <c:numRef>
              <c:f>Kuvaajat!$Q$80:$Q$89</c:f>
              <c:numCache>
                <c:formatCode>General</c:formatCode>
                <c:ptCount val="10"/>
                <c:pt idx="0">
                  <c:v>457</c:v>
                </c:pt>
                <c:pt idx="1">
                  <c:v>443</c:v>
                </c:pt>
                <c:pt idx="2">
                  <c:v>468</c:v>
                </c:pt>
                <c:pt idx="3">
                  <c:v>391</c:v>
                </c:pt>
                <c:pt idx="4">
                  <c:v>205</c:v>
                </c:pt>
                <c:pt idx="5">
                  <c:v>241</c:v>
                </c:pt>
                <c:pt idx="6">
                  <c:v>231</c:v>
                </c:pt>
                <c:pt idx="7">
                  <c:v>166</c:v>
                </c:pt>
                <c:pt idx="8">
                  <c:v>198</c:v>
                </c:pt>
                <c:pt idx="9">
                  <c:v>303</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44172.625</c:v>
                </c:pt>
                <c:pt idx="1">
                  <c:v>44165.625</c:v>
                </c:pt>
                <c:pt idx="2">
                  <c:v>44158.625</c:v>
                </c:pt>
                <c:pt idx="3">
                  <c:v>44151.625</c:v>
                </c:pt>
                <c:pt idx="4">
                  <c:v>44144.625</c:v>
                </c:pt>
                <c:pt idx="5">
                  <c:v>44137.625</c:v>
                </c:pt>
                <c:pt idx="6">
                  <c:v>44130.625</c:v>
                </c:pt>
                <c:pt idx="7">
                  <c:v>44123.625</c:v>
                </c:pt>
                <c:pt idx="8">
                  <c:v>44116.625</c:v>
                </c:pt>
                <c:pt idx="9">
                  <c:v>44109.625</c:v>
                </c:pt>
              </c:numCache>
            </c:numRef>
          </c:xVal>
          <c:yVal>
            <c:numRef>
              <c:f>Kuvaajat!$U$80:$U$89</c:f>
              <c:numCache>
                <c:formatCode>General</c:formatCode>
                <c:ptCount val="10"/>
                <c:pt idx="0">
                  <c:v>588</c:v>
                </c:pt>
                <c:pt idx="1">
                  <c:v>597</c:v>
                </c:pt>
                <c:pt idx="2">
                  <c:v>505</c:v>
                </c:pt>
                <c:pt idx="3">
                  <c:v>392</c:v>
                </c:pt>
                <c:pt idx="4">
                  <c:v>273</c:v>
                </c:pt>
                <c:pt idx="5">
                  <c:v>289</c:v>
                </c:pt>
                <c:pt idx="6">
                  <c:v>256</c:v>
                </c:pt>
                <c:pt idx="7">
                  <c:v>244</c:v>
                </c:pt>
                <c:pt idx="8">
                  <c:v>255</c:v>
                </c:pt>
                <c:pt idx="9">
                  <c:v>291</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44171.625</c:v>
                </c:pt>
                <c:pt idx="1">
                  <c:v>44164.625</c:v>
                </c:pt>
                <c:pt idx="2">
                  <c:v>44157.625</c:v>
                </c:pt>
                <c:pt idx="3">
                  <c:v>44150.625</c:v>
                </c:pt>
                <c:pt idx="4">
                  <c:v>44143.625</c:v>
                </c:pt>
                <c:pt idx="5">
                  <c:v>44136.625</c:v>
                </c:pt>
                <c:pt idx="6">
                  <c:v>44129.625</c:v>
                </c:pt>
                <c:pt idx="7">
                  <c:v>44122.625</c:v>
                </c:pt>
                <c:pt idx="8">
                  <c:v>44115.625</c:v>
                </c:pt>
                <c:pt idx="9">
                  <c:v>44108.625</c:v>
                </c:pt>
              </c:numCache>
            </c:numRef>
          </c:xVal>
          <c:yVal>
            <c:numRef>
              <c:f>Kuvaajat!$Y$80:$Y$89</c:f>
              <c:numCache>
                <c:formatCode>General</c:formatCode>
                <c:ptCount val="10"/>
                <c:pt idx="0">
                  <c:v>282</c:v>
                </c:pt>
                <c:pt idx="1">
                  <c:v>293</c:v>
                </c:pt>
                <c:pt idx="2">
                  <c:v>267</c:v>
                </c:pt>
                <c:pt idx="3">
                  <c:v>182</c:v>
                </c:pt>
                <c:pt idx="4">
                  <c:v>133</c:v>
                </c:pt>
                <c:pt idx="5">
                  <c:v>150</c:v>
                </c:pt>
                <c:pt idx="6">
                  <c:v>124</c:v>
                </c:pt>
                <c:pt idx="7">
                  <c:v>129</c:v>
                </c:pt>
                <c:pt idx="8">
                  <c:v>130</c:v>
                </c:pt>
                <c:pt idx="9">
                  <c:v>148</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44170.625</c:v>
                </c:pt>
                <c:pt idx="1">
                  <c:v>44163.625</c:v>
                </c:pt>
                <c:pt idx="2">
                  <c:v>44156.625</c:v>
                </c:pt>
                <c:pt idx="3">
                  <c:v>44149.625</c:v>
                </c:pt>
                <c:pt idx="4">
                  <c:v>44142.625</c:v>
                </c:pt>
                <c:pt idx="5">
                  <c:v>44135.625</c:v>
                </c:pt>
                <c:pt idx="6">
                  <c:v>44128.625</c:v>
                </c:pt>
                <c:pt idx="7">
                  <c:v>44121.625</c:v>
                </c:pt>
                <c:pt idx="8">
                  <c:v>44114.625</c:v>
                </c:pt>
                <c:pt idx="9">
                  <c:v>44107.625</c:v>
                </c:pt>
              </c:numCache>
            </c:numRef>
          </c:xVal>
          <c:yVal>
            <c:numRef>
              <c:f>Kuvaajat!$AC$80:$AC$89</c:f>
              <c:numCache>
                <c:formatCode>General</c:formatCode>
                <c:ptCount val="10"/>
                <c:pt idx="0">
                  <c:v>252</c:v>
                </c:pt>
                <c:pt idx="1">
                  <c:v>282</c:v>
                </c:pt>
                <c:pt idx="2">
                  <c:v>268</c:v>
                </c:pt>
                <c:pt idx="3">
                  <c:v>145</c:v>
                </c:pt>
                <c:pt idx="4">
                  <c:v>128</c:v>
                </c:pt>
                <c:pt idx="5">
                  <c:v>121</c:v>
                </c:pt>
                <c:pt idx="6">
                  <c:v>107</c:v>
                </c:pt>
                <c:pt idx="7">
                  <c:v>104</c:v>
                </c:pt>
                <c:pt idx="8">
                  <c:v>109</c:v>
                </c:pt>
                <c:pt idx="9">
                  <c:v>180</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4" t="s">
        <v>10</v>
      </c>
      <c r="B2" s="25"/>
      <c r="C2" s="25"/>
      <c r="D2" s="25"/>
      <c r="E2" s="25"/>
      <c r="F2" s="25"/>
      <c r="G2" s="25"/>
    </row>
    <row r="3" spans="1:7">
      <c r="A3" s="25"/>
      <c r="B3" s="25"/>
      <c r="C3" s="25"/>
      <c r="D3" s="25"/>
      <c r="E3" s="25"/>
      <c r="F3" s="25"/>
      <c r="G3" s="25"/>
    </row>
    <row r="4" spans="1:7">
      <c r="A4" s="25"/>
      <c r="B4" s="25"/>
      <c r="C4" s="25"/>
      <c r="D4" s="25"/>
      <c r="E4" s="25"/>
      <c r="F4" s="25"/>
      <c r="G4" s="25"/>
    </row>
    <row r="5" spans="1:7">
      <c r="A5" s="25"/>
      <c r="B5" s="25"/>
      <c r="C5" s="25"/>
      <c r="D5" s="25"/>
      <c r="E5" s="25"/>
      <c r="F5" s="25"/>
      <c r="G5" s="25"/>
    </row>
    <row r="6" spans="1:7">
      <c r="A6" s="25"/>
      <c r="B6" s="25"/>
      <c r="C6" s="25"/>
      <c r="D6" s="25"/>
      <c r="E6" s="25"/>
      <c r="F6" s="25"/>
      <c r="G6" s="25"/>
    </row>
    <row r="7" spans="1:7">
      <c r="A7" s="25"/>
      <c r="B7" s="25"/>
      <c r="C7" s="25"/>
      <c r="D7" s="25"/>
      <c r="E7" s="25"/>
      <c r="F7" s="25"/>
      <c r="G7" s="25"/>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H28" sqref="H28"/>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30450</v>
      </c>
      <c r="I1" s="8">
        <v>44177.484872685185</v>
      </c>
      <c r="J1" s="7">
        <f>MAX(Id)</f>
        <v>615</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8.12 saakka. Suurin arvo 615, joka 25.11. Uusimpien 4 päivien arvot tulevat viiveellä, joten ne jätetty pois kuvaajasta 12.12.</v>
      </c>
      <c r="M1" s="7">
        <f>COUNT(Id)-5</f>
        <v>342</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5470</v>
      </c>
    </row>
    <row r="31" spans="1:11">
      <c r="A31">
        <v>0</v>
      </c>
      <c r="B31" t="s">
        <v>263</v>
      </c>
      <c r="C31" t="s">
        <v>8</v>
      </c>
      <c r="E31" s="3">
        <f t="shared" si="0"/>
        <v>4</v>
      </c>
      <c r="F31" s="5">
        <v>43860.625</v>
      </c>
      <c r="H31" s="19" t="str">
        <f t="shared" si="1"/>
        <v/>
      </c>
      <c r="I31">
        <v>2</v>
      </c>
      <c r="J31" t="s">
        <v>303</v>
      </c>
      <c r="K31">
        <f t="shared" si="2"/>
        <v>4884</v>
      </c>
    </row>
    <row r="32" spans="1:11">
      <c r="A32">
        <v>0</v>
      </c>
      <c r="B32" t="s">
        <v>264</v>
      </c>
      <c r="C32" t="s">
        <v>8</v>
      </c>
      <c r="E32" s="3">
        <f t="shared" si="0"/>
        <v>5</v>
      </c>
      <c r="F32" s="5">
        <v>43861.625</v>
      </c>
      <c r="H32" s="19" t="str">
        <f t="shared" si="1"/>
        <v/>
      </c>
      <c r="I32">
        <v>3</v>
      </c>
      <c r="J32" t="s">
        <v>304</v>
      </c>
      <c r="K32">
        <f t="shared" si="2"/>
        <v>5132</v>
      </c>
    </row>
    <row r="33" spans="1:11">
      <c r="A33">
        <v>0</v>
      </c>
      <c r="B33" t="s">
        <v>265</v>
      </c>
      <c r="C33" t="s">
        <v>8</v>
      </c>
      <c r="E33" s="3">
        <f t="shared" si="0"/>
        <v>6</v>
      </c>
      <c r="F33" s="5">
        <v>43862.625</v>
      </c>
      <c r="H33" s="19" t="str">
        <f t="shared" si="1"/>
        <v/>
      </c>
      <c r="I33">
        <v>4</v>
      </c>
      <c r="J33" t="s">
        <v>305</v>
      </c>
      <c r="K33">
        <f t="shared" si="2"/>
        <v>4940</v>
      </c>
    </row>
    <row r="34" spans="1:11">
      <c r="A34">
        <v>0</v>
      </c>
      <c r="B34" t="s">
        <v>266</v>
      </c>
      <c r="C34" t="s">
        <v>8</v>
      </c>
      <c r="E34" s="3">
        <f t="shared" si="0"/>
        <v>7</v>
      </c>
      <c r="F34" s="5">
        <v>43863.625</v>
      </c>
      <c r="H34" s="19" t="str">
        <f t="shared" si="1"/>
        <v/>
      </c>
      <c r="I34">
        <v>5</v>
      </c>
      <c r="J34" t="s">
        <v>306</v>
      </c>
      <c r="K34">
        <f t="shared" si="2"/>
        <v>4450</v>
      </c>
    </row>
    <row r="35" spans="1:11">
      <c r="A35">
        <v>0</v>
      </c>
      <c r="B35" t="s">
        <v>267</v>
      </c>
      <c r="C35" t="s">
        <v>8</v>
      </c>
      <c r="E35" s="3">
        <f t="shared" si="0"/>
        <v>1</v>
      </c>
      <c r="F35" s="5">
        <v>43864.625</v>
      </c>
      <c r="H35" s="19" t="str">
        <f t="shared" si="1"/>
        <v>W6</v>
      </c>
      <c r="I35">
        <v>6</v>
      </c>
      <c r="J35" t="s">
        <v>307</v>
      </c>
      <c r="K35">
        <f t="shared" si="2"/>
        <v>2646</v>
      </c>
    </row>
    <row r="36" spans="1:11">
      <c r="A36">
        <v>0</v>
      </c>
      <c r="B36" t="s">
        <v>268</v>
      </c>
      <c r="C36" t="s">
        <v>8</v>
      </c>
      <c r="E36" s="3">
        <f t="shared" si="0"/>
        <v>2</v>
      </c>
      <c r="F36" s="5">
        <v>43865.625</v>
      </c>
      <c r="H36" s="19" t="str">
        <f t="shared" si="1"/>
        <v/>
      </c>
      <c r="I36">
        <v>7</v>
      </c>
      <c r="J36" t="s">
        <v>308</v>
      </c>
      <c r="K36">
        <f t="shared" si="2"/>
        <v>2928</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110</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98</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70</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166</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291</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289</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293</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265</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391</v>
      </c>
      <c r="B323" t="s">
        <v>350</v>
      </c>
      <c r="C323" t="s">
        <v>8</v>
      </c>
      <c r="E323" s="3">
        <f t="shared" ref="E323" si="15">WEEKDAY(F323,2)</f>
        <v>2</v>
      </c>
      <c r="F323" s="5">
        <v>44152.625</v>
      </c>
      <c r="G323" s="10" t="str">
        <f t="shared" si="13"/>
        <v/>
      </c>
      <c r="H323" s="19" t="str">
        <f t="shared" si="14"/>
        <v/>
      </c>
    </row>
    <row r="324" spans="1:8">
      <c r="A324">
        <v>371</v>
      </c>
      <c r="B324" t="s">
        <v>351</v>
      </c>
      <c r="C324" t="s">
        <v>8</v>
      </c>
      <c r="E324" s="3">
        <f t="shared" si="11"/>
        <v>3</v>
      </c>
      <c r="F324" s="5">
        <v>44153.625</v>
      </c>
      <c r="G324" s="10" t="str">
        <f t="shared" si="13"/>
        <v/>
      </c>
      <c r="H324" s="19" t="str">
        <f t="shared" si="14"/>
        <v/>
      </c>
    </row>
    <row r="325" spans="1:8">
      <c r="A325">
        <v>478</v>
      </c>
      <c r="B325" t="s">
        <v>352</v>
      </c>
      <c r="C325" t="s">
        <v>8</v>
      </c>
      <c r="E325" s="3">
        <f t="shared" ref="E325:E366" si="16">WEEKDAY(F325,2)</f>
        <v>4</v>
      </c>
      <c r="F325" s="5">
        <v>44154.625</v>
      </c>
      <c r="G325" s="10" t="str">
        <f t="shared" si="13"/>
        <v/>
      </c>
      <c r="H325" s="19" t="str">
        <f t="shared" si="14"/>
        <v/>
      </c>
    </row>
    <row r="326" spans="1:8">
      <c r="A326">
        <v>429</v>
      </c>
      <c r="B326" t="s">
        <v>353</v>
      </c>
      <c r="C326" t="s">
        <v>8</v>
      </c>
      <c r="E326" s="3">
        <f t="shared" si="16"/>
        <v>5</v>
      </c>
      <c r="F326" s="5">
        <v>44155.625</v>
      </c>
      <c r="G326" s="10" t="str">
        <f t="shared" si="13"/>
        <v/>
      </c>
      <c r="H326" s="19" t="str">
        <f t="shared" si="14"/>
        <v/>
      </c>
    </row>
    <row r="327" spans="1:8">
      <c r="A327">
        <v>268</v>
      </c>
      <c r="B327" t="s">
        <v>356</v>
      </c>
      <c r="C327" t="s">
        <v>8</v>
      </c>
      <c r="E327" s="3">
        <f t="shared" si="16"/>
        <v>6</v>
      </c>
      <c r="F327" s="5">
        <v>44156.625</v>
      </c>
      <c r="G327" s="10" t="str">
        <f t="shared" si="13"/>
        <v/>
      </c>
      <c r="H327" s="19" t="str">
        <f t="shared" si="14"/>
        <v/>
      </c>
    </row>
    <row r="328" spans="1:8">
      <c r="A328">
        <v>267</v>
      </c>
      <c r="B328" t="s">
        <v>357</v>
      </c>
      <c r="C328" t="s">
        <v>8</v>
      </c>
      <c r="E328" s="3">
        <f t="shared" si="16"/>
        <v>7</v>
      </c>
      <c r="F328" s="5">
        <v>44157.625</v>
      </c>
      <c r="G328" s="10" t="str">
        <f t="shared" si="13"/>
        <v/>
      </c>
      <c r="H328" s="19" t="str">
        <f t="shared" si="14"/>
        <v/>
      </c>
    </row>
    <row r="329" spans="1:8">
      <c r="A329">
        <v>505</v>
      </c>
      <c r="B329" t="s">
        <v>358</v>
      </c>
      <c r="C329" t="s">
        <v>8</v>
      </c>
      <c r="E329" s="3">
        <f t="shared" si="16"/>
        <v>1</v>
      </c>
      <c r="F329" s="5">
        <v>44158.625</v>
      </c>
      <c r="G329" s="10" t="str">
        <f t="shared" si="13"/>
        <v>Maanantai</v>
      </c>
      <c r="H329" s="19" t="str">
        <f t="shared" si="14"/>
        <v>W48</v>
      </c>
    </row>
    <row r="330" spans="1:8">
      <c r="A330">
        <v>468</v>
      </c>
      <c r="B330" t="s">
        <v>359</v>
      </c>
      <c r="C330" t="s">
        <v>8</v>
      </c>
      <c r="E330" s="3">
        <f t="shared" si="16"/>
        <v>2</v>
      </c>
      <c r="F330" s="5">
        <v>44159.625</v>
      </c>
      <c r="G330" s="10" t="str">
        <f t="shared" si="13"/>
        <v/>
      </c>
      <c r="H330" s="19" t="str">
        <f t="shared" si="14"/>
        <v/>
      </c>
    </row>
    <row r="331" spans="1:8">
      <c r="A331">
        <v>615</v>
      </c>
      <c r="B331" t="s">
        <v>360</v>
      </c>
      <c r="C331" t="s">
        <v>8</v>
      </c>
      <c r="E331" s="3">
        <f t="shared" si="16"/>
        <v>3</v>
      </c>
      <c r="F331" s="5">
        <v>44160.625</v>
      </c>
      <c r="G331" s="10" t="str">
        <f t="shared" si="13"/>
        <v/>
      </c>
      <c r="H331" s="19" t="str">
        <f t="shared" si="14"/>
        <v/>
      </c>
    </row>
    <row r="332" spans="1:8">
      <c r="A332">
        <v>511</v>
      </c>
      <c r="B332" t="s">
        <v>363</v>
      </c>
      <c r="C332" t="s">
        <v>8</v>
      </c>
      <c r="E332" s="3">
        <f t="shared" si="16"/>
        <v>4</v>
      </c>
      <c r="F332" s="5">
        <v>44161.625</v>
      </c>
      <c r="G332" s="10" t="str">
        <f t="shared" si="13"/>
        <v/>
      </c>
      <c r="H332" s="19" t="str">
        <f t="shared" si="14"/>
        <v/>
      </c>
    </row>
    <row r="333" spans="1:8">
      <c r="A333">
        <v>460</v>
      </c>
      <c r="B333" t="s">
        <v>364</v>
      </c>
      <c r="C333" t="s">
        <v>8</v>
      </c>
      <c r="E333" s="3">
        <f t="shared" si="16"/>
        <v>5</v>
      </c>
      <c r="F333" s="5">
        <v>44162.625</v>
      </c>
      <c r="G333" s="10" t="str">
        <f>IF(WEEKDAY(F333,2)=1,"Maanantai","")</f>
        <v/>
      </c>
      <c r="H333" s="19" t="str">
        <f t="shared" si="14"/>
        <v/>
      </c>
    </row>
    <row r="334" spans="1:8">
      <c r="A334">
        <v>282</v>
      </c>
      <c r="B334" t="s">
        <v>365</v>
      </c>
      <c r="C334" t="s">
        <v>8</v>
      </c>
      <c r="E334" s="3">
        <f t="shared" si="16"/>
        <v>6</v>
      </c>
      <c r="F334" s="5">
        <v>44163.625</v>
      </c>
      <c r="G334" s="10" t="str">
        <f t="shared" si="13"/>
        <v/>
      </c>
      <c r="H334" s="19" t="str">
        <f t="shared" si="14"/>
        <v/>
      </c>
    </row>
    <row r="335" spans="1:8">
      <c r="A335">
        <v>293</v>
      </c>
      <c r="B335" t="s">
        <v>366</v>
      </c>
      <c r="C335" t="s">
        <v>8</v>
      </c>
      <c r="E335" s="3">
        <f t="shared" si="16"/>
        <v>7</v>
      </c>
      <c r="F335" s="5">
        <v>44164.625</v>
      </c>
      <c r="G335" s="10" t="str">
        <f t="shared" si="13"/>
        <v/>
      </c>
      <c r="H335" s="19" t="str">
        <f t="shared" si="14"/>
        <v/>
      </c>
    </row>
    <row r="336" spans="1:8">
      <c r="A336">
        <v>597</v>
      </c>
      <c r="B336" t="s">
        <v>367</v>
      </c>
      <c r="C336" t="s">
        <v>8</v>
      </c>
      <c r="E336" s="3">
        <f t="shared" si="16"/>
        <v>1</v>
      </c>
      <c r="F336" s="5">
        <v>44165.625</v>
      </c>
      <c r="G336" s="10" t="str">
        <f t="shared" si="13"/>
        <v>Maanantai</v>
      </c>
      <c r="H336" s="19" t="str">
        <f t="shared" si="14"/>
        <v>W49</v>
      </c>
    </row>
    <row r="337" spans="1:8">
      <c r="A337">
        <v>443</v>
      </c>
      <c r="B337" t="s">
        <v>369</v>
      </c>
      <c r="C337" t="s">
        <v>8</v>
      </c>
      <c r="E337" s="3">
        <f t="shared" si="16"/>
        <v>2</v>
      </c>
      <c r="F337" s="5">
        <v>44166.625</v>
      </c>
      <c r="G337" s="10" t="str">
        <f t="shared" si="13"/>
        <v/>
      </c>
      <c r="H337" s="19" t="str">
        <f t="shared" si="14"/>
        <v/>
      </c>
    </row>
    <row r="338" spans="1:8">
      <c r="A338">
        <v>495</v>
      </c>
      <c r="B338" t="s">
        <v>370</v>
      </c>
      <c r="C338" t="s">
        <v>8</v>
      </c>
      <c r="E338" s="3">
        <f t="shared" si="16"/>
        <v>3</v>
      </c>
      <c r="F338" s="5">
        <v>44167.625</v>
      </c>
      <c r="G338" s="10" t="str">
        <f t="shared" si="13"/>
        <v/>
      </c>
      <c r="H338" s="19" t="str">
        <f t="shared" si="14"/>
        <v/>
      </c>
    </row>
    <row r="339" spans="1:8">
      <c r="A339">
        <v>474</v>
      </c>
      <c r="B339" t="s">
        <v>371</v>
      </c>
      <c r="C339" t="s">
        <v>8</v>
      </c>
      <c r="E339" s="3">
        <f t="shared" si="16"/>
        <v>4</v>
      </c>
      <c r="F339" s="5">
        <v>44168.625</v>
      </c>
      <c r="G339" s="10" t="str">
        <f t="shared" si="13"/>
        <v/>
      </c>
      <c r="H339" s="19" t="str">
        <f t="shared" si="14"/>
        <v/>
      </c>
    </row>
    <row r="340" spans="1:8">
      <c r="A340">
        <v>475</v>
      </c>
      <c r="B340" t="s">
        <v>372</v>
      </c>
      <c r="C340" t="s">
        <v>8</v>
      </c>
      <c r="E340" s="3">
        <f t="shared" si="16"/>
        <v>5</v>
      </c>
      <c r="F340" s="5">
        <v>44169.625</v>
      </c>
      <c r="G340" s="10" t="str">
        <f t="shared" si="13"/>
        <v/>
      </c>
      <c r="H340" s="19" t="str">
        <f t="shared" si="14"/>
        <v/>
      </c>
    </row>
    <row r="341" spans="1:8">
      <c r="A341">
        <v>252</v>
      </c>
      <c r="B341" t="s">
        <v>373</v>
      </c>
      <c r="C341" t="s">
        <v>8</v>
      </c>
      <c r="E341" s="3">
        <f t="shared" si="16"/>
        <v>6</v>
      </c>
      <c r="F341" s="5">
        <v>44170.625</v>
      </c>
      <c r="G341" s="10" t="str">
        <f t="shared" si="13"/>
        <v/>
      </c>
      <c r="H341" s="19" t="str">
        <f t="shared" si="14"/>
        <v/>
      </c>
    </row>
    <row r="342" spans="1:8">
      <c r="A342">
        <v>282</v>
      </c>
      <c r="B342" t="s">
        <v>374</v>
      </c>
      <c r="C342" t="s">
        <v>8</v>
      </c>
      <c r="E342" s="3">
        <f t="shared" si="16"/>
        <v>7</v>
      </c>
      <c r="F342" s="5">
        <v>44171.625</v>
      </c>
      <c r="G342" s="10" t="str">
        <f t="shared" si="13"/>
        <v/>
      </c>
      <c r="H342" s="19" t="str">
        <f t="shared" si="14"/>
        <v/>
      </c>
    </row>
    <row r="343" spans="1:8">
      <c r="A343">
        <v>588</v>
      </c>
      <c r="B343" t="s">
        <v>375</v>
      </c>
      <c r="C343" t="s">
        <v>8</v>
      </c>
      <c r="E343" s="3">
        <f t="shared" si="16"/>
        <v>1</v>
      </c>
      <c r="F343" s="5">
        <v>44172.625</v>
      </c>
      <c r="G343" s="10" t="str">
        <f t="shared" si="13"/>
        <v>Maanantai</v>
      </c>
      <c r="H343" s="19" t="str">
        <f t="shared" si="14"/>
        <v>W50</v>
      </c>
    </row>
    <row r="344" spans="1:8">
      <c r="A344">
        <v>457</v>
      </c>
      <c r="B344" t="s">
        <v>376</v>
      </c>
      <c r="C344" t="s">
        <v>8</v>
      </c>
      <c r="E344" s="3">
        <f t="shared" si="16"/>
        <v>2</v>
      </c>
      <c r="F344" s="5">
        <v>44173.625</v>
      </c>
      <c r="G344" s="10" t="str">
        <f t="shared" si="13"/>
        <v/>
      </c>
      <c r="H344" s="19" t="str">
        <f t="shared" si="14"/>
        <v/>
      </c>
    </row>
    <row r="345" spans="1:8">
      <c r="A345">
        <v>423</v>
      </c>
      <c r="B345" t="s">
        <v>377</v>
      </c>
      <c r="C345" t="s">
        <v>8</v>
      </c>
      <c r="E345" s="3">
        <f t="shared" si="16"/>
        <v>3</v>
      </c>
      <c r="F345" s="5">
        <v>44174.625</v>
      </c>
      <c r="H345" s="19" t="str">
        <f t="shared" si="14"/>
        <v/>
      </c>
    </row>
    <row r="346" spans="1:8">
      <c r="A346">
        <v>303</v>
      </c>
      <c r="B346" t="s">
        <v>378</v>
      </c>
      <c r="C346" t="s">
        <v>8</v>
      </c>
      <c r="E346" s="3">
        <f t="shared" si="16"/>
        <v>4</v>
      </c>
      <c r="F346" s="5">
        <v>44175.625</v>
      </c>
      <c r="H346" s="19" t="str">
        <f t="shared" si="14"/>
        <v/>
      </c>
    </row>
    <row r="347" spans="1:8">
      <c r="A347">
        <v>178</v>
      </c>
      <c r="B347" t="s">
        <v>379</v>
      </c>
      <c r="C347" t="s">
        <v>8</v>
      </c>
      <c r="E347" s="3">
        <f t="shared" si="16"/>
        <v>5</v>
      </c>
      <c r="F347" s="5">
        <v>44176.625</v>
      </c>
      <c r="H347" s="19" t="str">
        <f t="shared" si="14"/>
        <v/>
      </c>
    </row>
    <row r="348" spans="1:8">
      <c r="A348">
        <v>0</v>
      </c>
      <c r="B348" t="s">
        <v>380</v>
      </c>
      <c r="C348" t="s">
        <v>8</v>
      </c>
      <c r="E348" s="3">
        <f t="shared" si="16"/>
        <v>6</v>
      </c>
      <c r="F348" s="5">
        <v>44177.400601851848</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zoomScaleNormal="100" workbookViewId="0">
      <selection activeCell="N6" sqref="N6"/>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12.12 n=377 (joista vanhoja yli 28 päivän takaisia kirjauksia 1). Yhteensä N=30450. Edelliset 7 päivää 2483 (päivittyy), 3059 (muutos -1 %), 3094 (30 %) ja 2388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12.12 n=377 (joista vanhoja yli 28 päivän takaisia kirjauksia 1). Yhteensä N=30450. Melko pysyvät 7 päivää 2.12-8.12 yhteensä 3023 (muutos -6 %), aiemmat 7 päivää 3201 (15 %) ja 2786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N=30450. Uusimmat 12.12 lisäykset punaisella n=377.</v>
      </c>
      <c r="B34" s="4"/>
    </row>
    <row r="35" spans="1:247">
      <c r="B35" s="4" t="s">
        <v>5</v>
      </c>
      <c r="C35" t="s">
        <v>0</v>
      </c>
      <c r="D35" t="s">
        <v>6</v>
      </c>
      <c r="E35">
        <f ca="1">SUM(E37:E65)</f>
        <v>376</v>
      </c>
      <c r="F35" t="s">
        <v>228</v>
      </c>
      <c r="G35" t="s">
        <v>354</v>
      </c>
      <c r="I35" t="s">
        <v>355</v>
      </c>
      <c r="J35" t="s">
        <v>354</v>
      </c>
      <c r="M35" s="16" t="s">
        <v>311</v>
      </c>
      <c r="P35" s="16" t="s">
        <v>312</v>
      </c>
      <c r="S35" s="16" t="s">
        <v>313</v>
      </c>
    </row>
    <row r="36" spans="1:247">
      <c r="A36" t="str">
        <f ca="1">IF(WEEKDAY(B36,2)=1,"Ma "&amp;TEXT(B36,"p"),TEXT(B36,"p.k"))</f>
        <v>13.11</v>
      </c>
      <c r="B36" s="4">
        <f ca="1">B37-1</f>
        <v>44148</v>
      </c>
      <c r="C36" s="11">
        <f t="shared" ref="C36:C65" ca="1" si="0">SUMIF(aika,"&lt;"&amp;(B36+1),Id)</f>
        <v>19426</v>
      </c>
    </row>
    <row r="37" spans="1:247" s="10" customFormat="1">
      <c r="A37" t="str">
        <f t="shared" ref="A37:A65" ca="1" si="1">IF(WEEKDAY(B37,2)=1,"Ma "&amp;TEXT(B37,"p"),TEXT(B37,"p.k"))</f>
        <v>14.11</v>
      </c>
      <c r="B37" s="9">
        <f t="shared" ref="B37:B62" ca="1" si="2">B38-1</f>
        <v>44149</v>
      </c>
      <c r="C37" s="10">
        <f t="shared" ca="1" si="0"/>
        <v>19571</v>
      </c>
      <c r="D37" s="10">
        <f t="shared" ref="D37" ca="1" si="3">C37-C36</f>
        <v>145</v>
      </c>
      <c r="E37" s="10">
        <f t="shared" ref="E37:E64" ca="1" si="4">_xlfn.IFNA(D37-F37,"")</f>
        <v>0</v>
      </c>
      <c r="F37" s="10">
        <f ca="1">VLOOKUP(B37,Previous,3,FALSE)</f>
        <v>145</v>
      </c>
      <c r="G37" s="10">
        <f ca="1">SUM(D37:D43)</f>
        <v>2388</v>
      </c>
      <c r="I37" s="10">
        <f ca="1">SUM(D37:D50)</f>
        <v>5482</v>
      </c>
      <c r="K37" s="14"/>
      <c r="M37" s="17">
        <v>44149</v>
      </c>
      <c r="N37" s="10">
        <v>19570</v>
      </c>
      <c r="O37" s="10">
        <v>145</v>
      </c>
      <c r="P37" s="17">
        <v>44149</v>
      </c>
      <c r="Q37" s="10">
        <v>19570</v>
      </c>
      <c r="R37" s="10">
        <v>145</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c r="HC37" s="17"/>
      <c r="HF37" s="17"/>
      <c r="HI37" s="17"/>
      <c r="HL37" s="17"/>
      <c r="HO37" s="17"/>
      <c r="HR37" s="17"/>
      <c r="HU37" s="17"/>
      <c r="HX37" s="17"/>
      <c r="IA37" s="17"/>
      <c r="ID37" s="17"/>
      <c r="IG37" s="17"/>
      <c r="IJ37" s="17"/>
      <c r="IM37" s="17"/>
    </row>
    <row r="38" spans="1:247">
      <c r="A38" t="str">
        <f t="shared" ca="1" si="1"/>
        <v>15.11</v>
      </c>
      <c r="B38" s="4">
        <f t="shared" ca="1" si="2"/>
        <v>44150</v>
      </c>
      <c r="C38" s="11">
        <f t="shared" ca="1" si="0"/>
        <v>19753</v>
      </c>
      <c r="D38">
        <f t="shared" ref="D38" ca="1" si="5">C38-C37</f>
        <v>182</v>
      </c>
      <c r="E38" s="11">
        <f t="shared" ca="1" si="4"/>
        <v>0</v>
      </c>
      <c r="F38" s="11">
        <f t="shared" ref="F38:F65" ca="1" si="6">VLOOKUP(B38,Previous,3,FALSE)</f>
        <v>182</v>
      </c>
      <c r="K38" s="3"/>
      <c r="M38" s="16">
        <v>44150</v>
      </c>
      <c r="N38">
        <v>19752</v>
      </c>
      <c r="O38">
        <v>182</v>
      </c>
      <c r="P38" s="16">
        <v>44150</v>
      </c>
      <c r="Q38">
        <v>19752</v>
      </c>
      <c r="R38">
        <v>182</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c r="HC38" s="16"/>
      <c r="HF38" s="16"/>
      <c r="HI38" s="16"/>
      <c r="HL38" s="16"/>
      <c r="HO38" s="16"/>
      <c r="HR38" s="16"/>
      <c r="HU38" s="16"/>
      <c r="HX38" s="16"/>
      <c r="IA38" s="16"/>
      <c r="ID38" s="16"/>
      <c r="IG38" s="16"/>
      <c r="IJ38" s="16"/>
      <c r="IM38" s="16"/>
    </row>
    <row r="39" spans="1:247">
      <c r="A39" t="str">
        <f t="shared" ca="1" si="1"/>
        <v>Ma 16</v>
      </c>
      <c r="B39" s="4">
        <f t="shared" ca="1" si="2"/>
        <v>44151</v>
      </c>
      <c r="C39" s="11">
        <f t="shared" ca="1" si="0"/>
        <v>20145</v>
      </c>
      <c r="D39">
        <f t="shared" ref="D39" ca="1" si="7">C39-C38</f>
        <v>392</v>
      </c>
      <c r="E39" s="11">
        <f t="shared" ca="1" si="4"/>
        <v>1</v>
      </c>
      <c r="F39" s="11">
        <f t="shared" ca="1" si="6"/>
        <v>391</v>
      </c>
      <c r="K39" s="3"/>
      <c r="M39" s="16">
        <v>44151</v>
      </c>
      <c r="N39">
        <v>20143</v>
      </c>
      <c r="O39">
        <v>391</v>
      </c>
      <c r="P39" s="16">
        <v>44151</v>
      </c>
      <c r="Q39">
        <v>20143</v>
      </c>
      <c r="R39">
        <v>391</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c r="HC39" s="16"/>
      <c r="HF39" s="16"/>
      <c r="HI39" s="16"/>
      <c r="HL39" s="16"/>
      <c r="HO39" s="16"/>
      <c r="HR39" s="16"/>
      <c r="HU39" s="16"/>
      <c r="HX39" s="16"/>
      <c r="IA39" s="16"/>
      <c r="ID39" s="16"/>
      <c r="IG39" s="16"/>
      <c r="IJ39" s="16"/>
      <c r="IM39" s="16"/>
    </row>
    <row r="40" spans="1:247">
      <c r="A40" t="str">
        <f t="shared" ca="1" si="1"/>
        <v>17.11</v>
      </c>
      <c r="B40" s="4">
        <f t="shared" ca="1" si="2"/>
        <v>44152</v>
      </c>
      <c r="C40" s="11">
        <f t="shared" ca="1" si="0"/>
        <v>20536</v>
      </c>
      <c r="D40">
        <f t="shared" ref="D40" ca="1" si="8">C40-C39</f>
        <v>391</v>
      </c>
      <c r="E40" s="11">
        <f t="shared" ca="1" si="4"/>
        <v>0</v>
      </c>
      <c r="F40" s="11">
        <f t="shared" ca="1" si="6"/>
        <v>391</v>
      </c>
      <c r="K40" s="10"/>
      <c r="M40" s="16">
        <v>44152</v>
      </c>
      <c r="N40">
        <v>20534</v>
      </c>
      <c r="O40">
        <v>391</v>
      </c>
      <c r="P40" s="16">
        <v>44152</v>
      </c>
      <c r="Q40">
        <v>20534</v>
      </c>
      <c r="R40">
        <v>391</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c r="HC40" s="16"/>
      <c r="HF40" s="16"/>
      <c r="HI40" s="16"/>
      <c r="HL40" s="16"/>
      <c r="HO40" s="16"/>
      <c r="HR40" s="16"/>
      <c r="HU40" s="16"/>
      <c r="HX40" s="16"/>
      <c r="IA40" s="16"/>
      <c r="ID40" s="16"/>
      <c r="IG40" s="16"/>
      <c r="IJ40" s="16"/>
      <c r="IM40" s="16"/>
    </row>
    <row r="41" spans="1:247">
      <c r="A41" t="str">
        <f t="shared" ca="1" si="1"/>
        <v>18.11</v>
      </c>
      <c r="B41" s="4">
        <f t="shared" ca="1" si="2"/>
        <v>44153</v>
      </c>
      <c r="C41" s="11">
        <f t="shared" ca="1" si="0"/>
        <v>20907</v>
      </c>
      <c r="D41">
        <f t="shared" ref="D41" ca="1" si="9">C41-C40</f>
        <v>371</v>
      </c>
      <c r="E41" s="11">
        <f t="shared" ca="1" si="4"/>
        <v>0</v>
      </c>
      <c r="F41" s="11">
        <f t="shared" ca="1" si="6"/>
        <v>371</v>
      </c>
      <c r="J41" s="10">
        <f ca="1">SUM(D41:D47)</f>
        <v>2786</v>
      </c>
      <c r="K41" s="3"/>
      <c r="M41" s="16">
        <v>44153</v>
      </c>
      <c r="N41">
        <v>20905</v>
      </c>
      <c r="O41">
        <v>371</v>
      </c>
      <c r="P41" s="16">
        <v>44153</v>
      </c>
      <c r="Q41">
        <v>20905</v>
      </c>
      <c r="R41">
        <v>371</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c r="HC41" s="16"/>
      <c r="HF41" s="16"/>
      <c r="HI41" s="16"/>
      <c r="HL41" s="16"/>
      <c r="HO41" s="16"/>
      <c r="HR41" s="16"/>
      <c r="HU41" s="16"/>
      <c r="HX41" s="16"/>
      <c r="IA41" s="16"/>
      <c r="ID41" s="16"/>
      <c r="IG41" s="16"/>
      <c r="IJ41" s="16"/>
      <c r="IM41" s="16"/>
    </row>
    <row r="42" spans="1:247">
      <c r="A42" t="str">
        <f t="shared" ca="1" si="1"/>
        <v>19.11</v>
      </c>
      <c r="B42" s="4">
        <f t="shared" ca="1" si="2"/>
        <v>44154</v>
      </c>
      <c r="C42" s="11">
        <f t="shared" ca="1" si="0"/>
        <v>21385</v>
      </c>
      <c r="D42">
        <f t="shared" ref="D42" ca="1" si="10">C42-C41</f>
        <v>478</v>
      </c>
      <c r="E42" s="11">
        <f t="shared" ca="1" si="4"/>
        <v>0</v>
      </c>
      <c r="F42" s="11">
        <f t="shared" ca="1" si="6"/>
        <v>478</v>
      </c>
      <c r="K42" s="3"/>
      <c r="M42" s="16">
        <v>44154</v>
      </c>
      <c r="N42">
        <v>21383</v>
      </c>
      <c r="O42">
        <v>478</v>
      </c>
      <c r="P42" s="16">
        <v>44154</v>
      </c>
      <c r="Q42">
        <v>21383</v>
      </c>
      <c r="R42">
        <v>478</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c r="HC42" s="16"/>
      <c r="HF42" s="16"/>
      <c r="HI42" s="16"/>
      <c r="HL42" s="16"/>
      <c r="HO42" s="16"/>
      <c r="HR42" s="16"/>
      <c r="HU42" s="16"/>
      <c r="HX42" s="16"/>
      <c r="IA42" s="16"/>
      <c r="ID42" s="16"/>
      <c r="IG42" s="16"/>
      <c r="IJ42" s="16"/>
      <c r="IM42" s="16"/>
    </row>
    <row r="43" spans="1:247">
      <c r="A43" t="str">
        <f t="shared" ca="1" si="1"/>
        <v>20.11</v>
      </c>
      <c r="B43" s="4">
        <f t="shared" ca="1" si="2"/>
        <v>44155</v>
      </c>
      <c r="C43" s="11">
        <f t="shared" ca="1" si="0"/>
        <v>21814</v>
      </c>
      <c r="D43">
        <f t="shared" ref="D43" ca="1" si="11">C43-C42</f>
        <v>429</v>
      </c>
      <c r="E43" s="11">
        <f t="shared" ca="1" si="4"/>
        <v>0</v>
      </c>
      <c r="F43" s="11">
        <f t="shared" ca="1" si="6"/>
        <v>429</v>
      </c>
      <c r="G43" s="10"/>
      <c r="K43" s="3"/>
      <c r="M43" s="16">
        <v>44155</v>
      </c>
      <c r="N43">
        <v>21812</v>
      </c>
      <c r="O43">
        <v>429</v>
      </c>
      <c r="P43" s="16">
        <v>44155</v>
      </c>
      <c r="Q43">
        <v>21812</v>
      </c>
      <c r="R43">
        <v>429</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c r="HC43" s="16"/>
      <c r="HF43" s="16"/>
      <c r="HI43" s="16"/>
      <c r="HL43" s="16"/>
      <c r="HO43" s="16"/>
      <c r="HR43" s="16"/>
      <c r="HU43" s="16"/>
      <c r="HX43" s="16"/>
      <c r="IA43" s="16"/>
      <c r="ID43" s="16"/>
      <c r="IG43" s="16"/>
      <c r="IJ43" s="16"/>
      <c r="IM43" s="16"/>
    </row>
    <row r="44" spans="1:247" s="10" customFormat="1">
      <c r="A44" t="str">
        <f t="shared" ca="1" si="1"/>
        <v>21.11</v>
      </c>
      <c r="B44" s="9">
        <f t="shared" ca="1" si="2"/>
        <v>44156</v>
      </c>
      <c r="C44" s="10">
        <f t="shared" ca="1" si="0"/>
        <v>22082</v>
      </c>
      <c r="D44" s="10">
        <f t="shared" ref="D44" ca="1" si="12">C44-C43</f>
        <v>268</v>
      </c>
      <c r="E44" s="10">
        <f t="shared" ca="1" si="4"/>
        <v>0</v>
      </c>
      <c r="F44" s="10">
        <f t="shared" ca="1" si="6"/>
        <v>268</v>
      </c>
      <c r="G44" s="10">
        <f ca="1">SUM(D44:D50)</f>
        <v>3094</v>
      </c>
      <c r="H44" s="10" t="str">
        <f ca="1">TEXT(G44/G37-1,"0 %")</f>
        <v>30 %</v>
      </c>
      <c r="K44" s="14"/>
      <c r="L44"/>
      <c r="M44" s="17">
        <v>44156</v>
      </c>
      <c r="N44" s="10">
        <v>22080</v>
      </c>
      <c r="O44" s="10">
        <v>268</v>
      </c>
      <c r="P44" s="17">
        <v>44156</v>
      </c>
      <c r="Q44" s="10">
        <v>22080</v>
      </c>
      <c r="R44" s="10">
        <v>268</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c r="HC44" s="17"/>
      <c r="HF44" s="17"/>
      <c r="HI44" s="17"/>
      <c r="HL44" s="17"/>
      <c r="HO44" s="17"/>
      <c r="HR44" s="17"/>
      <c r="HU44" s="17"/>
      <c r="HX44" s="17"/>
      <c r="IA44" s="17"/>
      <c r="ID44" s="17"/>
      <c r="IG44" s="17"/>
      <c r="IJ44" s="17"/>
      <c r="IM44" s="17"/>
    </row>
    <row r="45" spans="1:247">
      <c r="A45" t="str">
        <f t="shared" ca="1" si="1"/>
        <v>22.11</v>
      </c>
      <c r="B45" s="4">
        <f t="shared" ca="1" si="2"/>
        <v>44157</v>
      </c>
      <c r="C45" s="11">
        <f t="shared" ca="1" si="0"/>
        <v>22349</v>
      </c>
      <c r="D45">
        <f t="shared" ref="D45" ca="1" si="13">C45-C44</f>
        <v>267</v>
      </c>
      <c r="E45" s="11">
        <f t="shared" ca="1" si="4"/>
        <v>0</v>
      </c>
      <c r="F45" s="11">
        <f t="shared" ca="1" si="6"/>
        <v>267</v>
      </c>
      <c r="K45" s="3"/>
      <c r="M45" s="16">
        <v>44157</v>
      </c>
      <c r="N45">
        <v>22347</v>
      </c>
      <c r="O45">
        <v>267</v>
      </c>
      <c r="P45" s="16">
        <v>44157</v>
      </c>
      <c r="Q45">
        <v>22347</v>
      </c>
      <c r="R45">
        <v>267</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c r="HC45" s="16"/>
      <c r="HF45" s="16"/>
      <c r="HI45" s="16"/>
      <c r="HL45" s="16"/>
      <c r="HO45" s="16"/>
      <c r="HR45" s="16"/>
      <c r="HU45" s="16"/>
      <c r="HX45" s="16"/>
      <c r="IA45" s="16"/>
      <c r="ID45" s="16"/>
      <c r="IG45" s="16"/>
      <c r="IJ45" s="16"/>
      <c r="IM45" s="16"/>
    </row>
    <row r="46" spans="1:247">
      <c r="A46" t="str">
        <f t="shared" ca="1" si="1"/>
        <v>Ma 23</v>
      </c>
      <c r="B46" s="4">
        <f t="shared" ca="1" si="2"/>
        <v>44158</v>
      </c>
      <c r="C46" s="11">
        <f t="shared" ca="1" si="0"/>
        <v>22854</v>
      </c>
      <c r="D46">
        <f t="shared" ref="D46" ca="1" si="14">C46-C45</f>
        <v>505</v>
      </c>
      <c r="E46" s="11">
        <f t="shared" ca="1" si="4"/>
        <v>0</v>
      </c>
      <c r="F46" s="11">
        <f t="shared" ca="1" si="6"/>
        <v>505</v>
      </c>
      <c r="K46" s="3"/>
      <c r="M46" s="16">
        <v>44158</v>
      </c>
      <c r="N46">
        <v>22852</v>
      </c>
      <c r="O46">
        <v>505</v>
      </c>
      <c r="P46" s="16">
        <v>44158</v>
      </c>
      <c r="Q46">
        <v>22852</v>
      </c>
      <c r="R46">
        <v>505</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c r="HC46" s="16"/>
      <c r="HF46" s="16"/>
      <c r="HI46" s="16"/>
      <c r="HL46" s="16"/>
      <c r="HO46" s="16"/>
      <c r="HR46" s="16"/>
      <c r="HU46" s="16"/>
      <c r="HX46" s="16"/>
      <c r="IA46" s="16"/>
      <c r="ID46" s="16"/>
      <c r="IG46" s="16"/>
      <c r="IJ46" s="16"/>
      <c r="IM46" s="16"/>
    </row>
    <row r="47" spans="1:247">
      <c r="A47" t="str">
        <f t="shared" ca="1" si="1"/>
        <v>24.11</v>
      </c>
      <c r="B47" s="4">
        <f t="shared" ca="1" si="2"/>
        <v>44159</v>
      </c>
      <c r="C47" s="11">
        <f t="shared" ca="1" si="0"/>
        <v>23322</v>
      </c>
      <c r="D47">
        <f t="shared" ref="D47" ca="1" si="15">C47-C46</f>
        <v>468</v>
      </c>
      <c r="E47" s="11">
        <f t="shared" ca="1" si="4"/>
        <v>0</v>
      </c>
      <c r="F47" s="11">
        <f t="shared" ca="1" si="6"/>
        <v>468</v>
      </c>
      <c r="M47" s="16">
        <v>44159</v>
      </c>
      <c r="N47">
        <v>23320</v>
      </c>
      <c r="O47">
        <v>468</v>
      </c>
      <c r="P47" s="16">
        <v>44159</v>
      </c>
      <c r="Q47">
        <v>23320</v>
      </c>
      <c r="R47">
        <v>468</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c r="HC47" s="16"/>
      <c r="HF47" s="16"/>
      <c r="HI47" s="16"/>
      <c r="HL47" s="16"/>
      <c r="HO47" s="16"/>
      <c r="HR47" s="16"/>
      <c r="HU47" s="16"/>
      <c r="HX47" s="16"/>
      <c r="IA47" s="16"/>
      <c r="ID47" s="16"/>
      <c r="IG47" s="16"/>
      <c r="IJ47" s="16"/>
      <c r="IM47" s="16"/>
    </row>
    <row r="48" spans="1:247">
      <c r="A48" t="str">
        <f t="shared" ca="1" si="1"/>
        <v>25.11</v>
      </c>
      <c r="B48" s="4">
        <f t="shared" ca="1" si="2"/>
        <v>44160</v>
      </c>
      <c r="C48" s="11">
        <f t="shared" ca="1" si="0"/>
        <v>23937</v>
      </c>
      <c r="D48">
        <f t="shared" ref="D48" ca="1" si="16">C48-C47</f>
        <v>615</v>
      </c>
      <c r="E48" s="11">
        <f t="shared" ca="1" si="4"/>
        <v>0</v>
      </c>
      <c r="F48" s="11">
        <f t="shared" ca="1" si="6"/>
        <v>615</v>
      </c>
      <c r="J48" s="10">
        <f ca="1">SUM(D48:D54)</f>
        <v>3201</v>
      </c>
      <c r="K48" s="10" t="str">
        <f ca="1">TEXT(J48/J41-1,"0 %")</f>
        <v>15 %</v>
      </c>
      <c r="M48" s="16">
        <v>44160</v>
      </c>
      <c r="N48">
        <v>23935</v>
      </c>
      <c r="O48">
        <v>615</v>
      </c>
      <c r="P48" s="16">
        <v>44160</v>
      </c>
      <c r="Q48">
        <v>23935</v>
      </c>
      <c r="R48">
        <v>615</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c r="HC48" s="16"/>
      <c r="HF48" s="16"/>
      <c r="HI48" s="16"/>
      <c r="HL48" s="16"/>
      <c r="HO48" s="16"/>
      <c r="HR48" s="16"/>
      <c r="HU48" s="16"/>
      <c r="HX48" s="16"/>
      <c r="IA48" s="16"/>
      <c r="ID48" s="16"/>
      <c r="IG48" s="16"/>
      <c r="IJ48" s="16"/>
      <c r="IM48" s="16"/>
    </row>
    <row r="49" spans="1:247">
      <c r="A49" t="str">
        <f t="shared" ca="1" si="1"/>
        <v>26.11</v>
      </c>
      <c r="B49" s="4">
        <f t="shared" ca="1" si="2"/>
        <v>44161</v>
      </c>
      <c r="C49" s="11">
        <f t="shared" ca="1" si="0"/>
        <v>24448</v>
      </c>
      <c r="D49">
        <f t="shared" ref="D49" ca="1" si="17">C49-C48</f>
        <v>511</v>
      </c>
      <c r="E49" s="11">
        <f t="shared" ca="1" si="4"/>
        <v>0</v>
      </c>
      <c r="F49" s="11">
        <f t="shared" ca="1" si="6"/>
        <v>511</v>
      </c>
      <c r="K49" s="3"/>
      <c r="M49" s="16">
        <v>44161</v>
      </c>
      <c r="N49">
        <v>24446</v>
      </c>
      <c r="O49">
        <v>511</v>
      </c>
      <c r="P49" s="16">
        <v>44161</v>
      </c>
      <c r="Q49">
        <v>24446</v>
      </c>
      <c r="R49">
        <v>511</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c r="HC49" s="16"/>
      <c r="HF49" s="16"/>
      <c r="HI49" s="16"/>
      <c r="HL49" s="16"/>
      <c r="HO49" s="16"/>
      <c r="HR49" s="16"/>
      <c r="HU49" s="16"/>
      <c r="HX49" s="16"/>
      <c r="IA49" s="16"/>
      <c r="ID49" s="16"/>
      <c r="IG49" s="16"/>
      <c r="IJ49" s="16"/>
      <c r="IM49" s="16"/>
    </row>
    <row r="50" spans="1:247">
      <c r="A50" t="str">
        <f t="shared" ca="1" si="1"/>
        <v>27.11</v>
      </c>
      <c r="B50" s="4">
        <f t="shared" ca="1" si="2"/>
        <v>44162</v>
      </c>
      <c r="C50" s="11">
        <f t="shared" ca="1" si="0"/>
        <v>24908</v>
      </c>
      <c r="D50">
        <f t="shared" ref="D50" ca="1" si="18">C50-C49</f>
        <v>460</v>
      </c>
      <c r="E50" s="11">
        <f t="shared" ca="1" si="4"/>
        <v>0</v>
      </c>
      <c r="F50" s="11">
        <f ca="1">VLOOKUP(B50,Previous,3,FALSE)</f>
        <v>460</v>
      </c>
      <c r="K50" s="3"/>
      <c r="M50" s="16">
        <v>44162</v>
      </c>
      <c r="N50">
        <v>24906</v>
      </c>
      <c r="O50">
        <v>460</v>
      </c>
      <c r="P50" s="16">
        <v>44162</v>
      </c>
      <c r="Q50">
        <v>24906</v>
      </c>
      <c r="R50">
        <v>460</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c r="HC50" s="16"/>
      <c r="HF50" s="16"/>
      <c r="HI50" s="16"/>
      <c r="HL50" s="16"/>
      <c r="HO50" s="16"/>
      <c r="HR50" s="16"/>
      <c r="HU50" s="16"/>
      <c r="HX50" s="16"/>
      <c r="IA50" s="16"/>
      <c r="ID50" s="16"/>
      <c r="IG50" s="16"/>
      <c r="IJ50" s="16"/>
      <c r="IM50" s="16"/>
    </row>
    <row r="51" spans="1:247" s="10" customFormat="1">
      <c r="A51" t="str">
        <f t="shared" ca="1" si="1"/>
        <v>28.11</v>
      </c>
      <c r="B51" s="9">
        <f t="shared" ca="1" si="2"/>
        <v>44163</v>
      </c>
      <c r="C51" s="10">
        <f t="shared" ca="1" si="0"/>
        <v>25190</v>
      </c>
      <c r="D51" s="10">
        <f t="shared" ref="D51" ca="1" si="19">C51-C50</f>
        <v>282</v>
      </c>
      <c r="E51" s="10">
        <f t="shared" ca="1" si="4"/>
        <v>0</v>
      </c>
      <c r="F51" s="10">
        <f t="shared" ca="1" si="6"/>
        <v>282</v>
      </c>
      <c r="G51" s="10">
        <f ca="1">SUM(D51:D57)</f>
        <v>3059</v>
      </c>
      <c r="H51" s="10" t="str">
        <f ca="1">TEXT(G51/G44-1,"0 %")</f>
        <v>-1 %</v>
      </c>
      <c r="I51" s="10">
        <f ca="1">SUM(D51:D64)</f>
        <v>5542</v>
      </c>
      <c r="K51" s="14"/>
      <c r="L51"/>
      <c r="M51" s="17">
        <v>44163</v>
      </c>
      <c r="N51" s="10">
        <v>25188</v>
      </c>
      <c r="O51" s="10">
        <v>282</v>
      </c>
      <c r="P51" s="17">
        <v>44163</v>
      </c>
      <c r="Q51" s="10">
        <v>25188</v>
      </c>
      <c r="R51" s="10">
        <v>282</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c r="HC51" s="17"/>
      <c r="HF51" s="17"/>
      <c r="HI51" s="17"/>
      <c r="HL51" s="17"/>
      <c r="HO51" s="17"/>
      <c r="HR51" s="17"/>
      <c r="HU51" s="17"/>
      <c r="HX51" s="17"/>
      <c r="IA51" s="17"/>
      <c r="ID51" s="17"/>
      <c r="IG51" s="17"/>
      <c r="IJ51" s="17"/>
      <c r="IM51" s="17"/>
    </row>
    <row r="52" spans="1:247">
      <c r="A52" t="str">
        <f t="shared" ca="1" si="1"/>
        <v>29.11</v>
      </c>
      <c r="B52" s="4">
        <f t="shared" ca="1" si="2"/>
        <v>44164</v>
      </c>
      <c r="C52" s="11">
        <f t="shared" ca="1" si="0"/>
        <v>25483</v>
      </c>
      <c r="D52">
        <f t="shared" ref="D52:D63" ca="1" si="20">C52-C51</f>
        <v>293</v>
      </c>
      <c r="E52" s="11">
        <f t="shared" ca="1" si="4"/>
        <v>0</v>
      </c>
      <c r="F52" s="11">
        <f t="shared" ca="1" si="6"/>
        <v>293</v>
      </c>
      <c r="G52" s="10"/>
      <c r="K52" s="3"/>
      <c r="M52" s="16">
        <v>44164</v>
      </c>
      <c r="N52">
        <v>25481</v>
      </c>
      <c r="O52">
        <v>293</v>
      </c>
      <c r="P52" s="16">
        <v>44164</v>
      </c>
      <c r="Q52">
        <v>25481</v>
      </c>
      <c r="R52">
        <v>293</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c r="HC52" s="16"/>
      <c r="HF52" s="16"/>
      <c r="HI52" s="16"/>
      <c r="HL52" s="16"/>
      <c r="HO52" s="16"/>
      <c r="HR52" s="16"/>
      <c r="HU52" s="16"/>
      <c r="HX52" s="16"/>
      <c r="IA52" s="16"/>
      <c r="ID52" s="16"/>
      <c r="IG52" s="16"/>
      <c r="IJ52" s="16"/>
      <c r="IM52" s="16"/>
    </row>
    <row r="53" spans="1:247">
      <c r="A53" t="str">
        <f t="shared" ca="1" si="1"/>
        <v>Ma 30</v>
      </c>
      <c r="B53" s="4">
        <f t="shared" ca="1" si="2"/>
        <v>44165</v>
      </c>
      <c r="C53" s="11">
        <f t="shared" ca="1" si="0"/>
        <v>26080</v>
      </c>
      <c r="D53">
        <f t="shared" ca="1" si="20"/>
        <v>597</v>
      </c>
      <c r="E53" s="11">
        <f t="shared" ca="1" si="4"/>
        <v>1</v>
      </c>
      <c r="F53" s="11">
        <f t="shared" ca="1" si="6"/>
        <v>596</v>
      </c>
      <c r="J53" s="13"/>
      <c r="K53" s="3"/>
      <c r="M53" s="16">
        <v>44165</v>
      </c>
      <c r="N53">
        <v>26077</v>
      </c>
      <c r="O53">
        <v>596</v>
      </c>
      <c r="P53" s="16">
        <v>44165</v>
      </c>
      <c r="Q53">
        <v>26077</v>
      </c>
      <c r="R53">
        <v>596</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c r="HC53" s="16"/>
      <c r="HF53" s="16"/>
      <c r="HI53" s="16"/>
      <c r="HL53" s="16"/>
      <c r="HO53" s="16"/>
      <c r="HR53" s="16"/>
      <c r="HU53" s="16"/>
      <c r="HX53" s="16"/>
      <c r="IA53" s="16"/>
      <c r="ID53" s="16"/>
      <c r="IG53" s="16"/>
      <c r="IJ53" s="16"/>
      <c r="IM53" s="16"/>
    </row>
    <row r="54" spans="1:247">
      <c r="A54" t="str">
        <f t="shared" ca="1" si="1"/>
        <v>1.12</v>
      </c>
      <c r="B54" s="4">
        <f t="shared" ca="1" si="2"/>
        <v>44166</v>
      </c>
      <c r="C54" s="11">
        <f t="shared" ca="1" si="0"/>
        <v>26523</v>
      </c>
      <c r="D54">
        <f t="shared" ca="1" si="20"/>
        <v>443</v>
      </c>
      <c r="E54" s="11">
        <f t="shared" ca="1" si="4"/>
        <v>0</v>
      </c>
      <c r="F54" s="11">
        <f t="shared" ca="1" si="6"/>
        <v>443</v>
      </c>
      <c r="M54" s="16">
        <v>44166</v>
      </c>
      <c r="N54">
        <v>26520</v>
      </c>
      <c r="O54">
        <v>443</v>
      </c>
      <c r="P54" s="16">
        <v>44166</v>
      </c>
      <c r="Q54">
        <v>26520</v>
      </c>
      <c r="R54">
        <v>443</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c r="HC54" s="16"/>
      <c r="HF54" s="16"/>
      <c r="HI54" s="16"/>
      <c r="HL54" s="16"/>
      <c r="HO54" s="16"/>
      <c r="HR54" s="16"/>
      <c r="HU54" s="16"/>
      <c r="HX54" s="16"/>
      <c r="IA54" s="16"/>
      <c r="ID54" s="16"/>
      <c r="IG54" s="16"/>
      <c r="IJ54" s="16"/>
      <c r="IM54" s="16"/>
    </row>
    <row r="55" spans="1:247">
      <c r="A55" t="str">
        <f t="shared" ca="1" si="1"/>
        <v>2.12</v>
      </c>
      <c r="B55" s="4">
        <f t="shared" ca="1" si="2"/>
        <v>44167</v>
      </c>
      <c r="C55" s="11">
        <f t="shared" ca="1" si="0"/>
        <v>27018</v>
      </c>
      <c r="D55">
        <f t="shared" ca="1" si="20"/>
        <v>495</v>
      </c>
      <c r="E55" s="11">
        <f t="shared" ca="1" si="4"/>
        <v>0</v>
      </c>
      <c r="F55" s="11">
        <f t="shared" ca="1" si="6"/>
        <v>495</v>
      </c>
      <c r="I55" s="10"/>
      <c r="J55" s="10">
        <f ca="1">SUM(D55:D61)</f>
        <v>3023</v>
      </c>
      <c r="K55" s="10" t="str">
        <f ca="1">TEXT(J55/J48-1,"0 %")</f>
        <v>-6 %</v>
      </c>
      <c r="M55" s="16">
        <v>44167</v>
      </c>
      <c r="N55">
        <v>27015</v>
      </c>
      <c r="O55">
        <v>495</v>
      </c>
      <c r="P55" s="16">
        <v>44167</v>
      </c>
      <c r="Q55">
        <v>27015</v>
      </c>
      <c r="R55">
        <v>495</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c r="HC55" s="16"/>
      <c r="HF55" s="16"/>
      <c r="HI55" s="16"/>
      <c r="HL55" s="16"/>
      <c r="HO55" s="16"/>
      <c r="HR55" s="16"/>
      <c r="HU55" s="16"/>
      <c r="HX55" s="16"/>
      <c r="IA55" s="16"/>
      <c r="ID55" s="16"/>
      <c r="IG55" s="16"/>
      <c r="IJ55" s="16"/>
      <c r="IM55" s="16"/>
    </row>
    <row r="56" spans="1:247">
      <c r="A56" t="str">
        <f t="shared" ca="1" si="1"/>
        <v>3.12</v>
      </c>
      <c r="B56" s="4">
        <f t="shared" ca="1" si="2"/>
        <v>44168</v>
      </c>
      <c r="C56" s="11">
        <f t="shared" ca="1" si="0"/>
        <v>27492</v>
      </c>
      <c r="D56">
        <f t="shared" ca="1" si="20"/>
        <v>474</v>
      </c>
      <c r="E56" s="11">
        <f t="shared" ca="1" si="4"/>
        <v>0</v>
      </c>
      <c r="F56" s="11">
        <f t="shared" ca="1" si="6"/>
        <v>474</v>
      </c>
      <c r="K56" s="3"/>
      <c r="M56" s="16">
        <v>44168</v>
      </c>
      <c r="N56">
        <v>27489</v>
      </c>
      <c r="O56">
        <v>474</v>
      </c>
      <c r="P56" s="16">
        <v>44168</v>
      </c>
      <c r="Q56">
        <v>27489</v>
      </c>
      <c r="R56">
        <v>474</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c r="HC56" s="16"/>
      <c r="HF56" s="16"/>
      <c r="HI56" s="16"/>
      <c r="HL56" s="16"/>
      <c r="HO56" s="16"/>
      <c r="HR56" s="16"/>
      <c r="HU56" s="16"/>
      <c r="HX56" s="16"/>
      <c r="IA56" s="16"/>
      <c r="ID56" s="16"/>
      <c r="IG56" s="16"/>
      <c r="IJ56" s="16"/>
      <c r="IM56" s="16"/>
    </row>
    <row r="57" spans="1:247">
      <c r="A57" t="str">
        <f t="shared" ca="1" si="1"/>
        <v>4.12</v>
      </c>
      <c r="B57" s="4">
        <f t="shared" ca="1" si="2"/>
        <v>44169</v>
      </c>
      <c r="C57" s="11">
        <f t="shared" ca="1" si="0"/>
        <v>27967</v>
      </c>
      <c r="D57">
        <f t="shared" ca="1" si="20"/>
        <v>475</v>
      </c>
      <c r="E57" s="11">
        <f t="shared" ca="1" si="4"/>
        <v>2</v>
      </c>
      <c r="F57" s="11">
        <f t="shared" ca="1" si="6"/>
        <v>473</v>
      </c>
      <c r="J57" s="13"/>
      <c r="K57" s="3"/>
      <c r="M57" s="16">
        <v>44169</v>
      </c>
      <c r="N57">
        <v>27962</v>
      </c>
      <c r="O57">
        <v>473</v>
      </c>
      <c r="P57" s="16">
        <v>44169</v>
      </c>
      <c r="Q57">
        <v>27962</v>
      </c>
      <c r="R57">
        <v>473</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c r="HC57" s="16"/>
      <c r="HF57" s="16"/>
      <c r="HI57" s="16"/>
      <c r="HL57" s="16"/>
      <c r="HO57" s="16"/>
      <c r="HR57" s="16"/>
      <c r="HU57" s="16"/>
      <c r="HX57" s="16"/>
      <c r="IA57" s="16"/>
      <c r="ID57" s="16"/>
      <c r="IG57" s="16"/>
      <c r="IJ57" s="16"/>
      <c r="IM57" s="16"/>
    </row>
    <row r="58" spans="1:247" s="10" customFormat="1">
      <c r="A58" t="str">
        <f t="shared" ca="1" si="1"/>
        <v>5.12</v>
      </c>
      <c r="B58" s="9">
        <f t="shared" ca="1" si="2"/>
        <v>44170</v>
      </c>
      <c r="C58" s="10">
        <f t="shared" ca="1" si="0"/>
        <v>28219</v>
      </c>
      <c r="D58" s="10">
        <f t="shared" ca="1" si="20"/>
        <v>252</v>
      </c>
      <c r="E58" s="10">
        <f t="shared" ca="1" si="4"/>
        <v>2</v>
      </c>
      <c r="F58" s="10">
        <f t="shared" ca="1" si="6"/>
        <v>250</v>
      </c>
      <c r="G58" s="10">
        <f ca="1">SUM(D58:D64)</f>
        <v>2483</v>
      </c>
      <c r="H58" s="10" t="str">
        <f ca="1">TEXT(G58/G51-1,"0 %")</f>
        <v>-19 %</v>
      </c>
      <c r="K58" s="14"/>
      <c r="L58"/>
      <c r="M58" s="17">
        <v>44170</v>
      </c>
      <c r="N58" s="10">
        <v>28212</v>
      </c>
      <c r="O58" s="10">
        <v>250</v>
      </c>
      <c r="P58" s="17">
        <v>44170</v>
      </c>
      <c r="Q58" s="10">
        <v>28212</v>
      </c>
      <c r="R58" s="10">
        <v>250</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c r="HC58" s="17"/>
      <c r="HF58" s="17"/>
      <c r="HI58" s="17"/>
      <c r="HL58" s="17"/>
      <c r="HO58" s="17"/>
      <c r="HR58" s="17"/>
      <c r="HU58" s="17"/>
      <c r="HX58" s="17"/>
      <c r="IA58" s="17"/>
      <c r="ID58" s="17"/>
      <c r="IG58" s="17"/>
      <c r="IJ58" s="17"/>
      <c r="IM58" s="17"/>
    </row>
    <row r="59" spans="1:247">
      <c r="A59" t="str">
        <f t="shared" ca="1" si="1"/>
        <v>6.12</v>
      </c>
      <c r="B59" s="4">
        <f t="shared" ca="1" si="2"/>
        <v>44171</v>
      </c>
      <c r="C59" s="11">
        <f t="shared" ca="1" si="0"/>
        <v>28501</v>
      </c>
      <c r="D59">
        <f t="shared" ca="1" si="20"/>
        <v>282</v>
      </c>
      <c r="E59" s="11">
        <f t="shared" ca="1" si="4"/>
        <v>1</v>
      </c>
      <c r="F59" s="11">
        <f t="shared" ca="1" si="6"/>
        <v>281</v>
      </c>
      <c r="H59" s="10"/>
      <c r="J59" s="13"/>
      <c r="K59" s="3"/>
      <c r="M59" s="16">
        <v>44171</v>
      </c>
      <c r="N59">
        <v>28493</v>
      </c>
      <c r="O59">
        <v>281</v>
      </c>
      <c r="P59" s="16">
        <v>44171</v>
      </c>
      <c r="Q59">
        <v>28493</v>
      </c>
      <c r="R59">
        <v>281</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c r="HC59" s="16"/>
      <c r="HF59" s="16"/>
      <c r="HI59" s="16"/>
      <c r="HL59" s="16"/>
      <c r="HO59" s="16"/>
      <c r="HR59" s="16"/>
      <c r="HU59" s="16"/>
      <c r="HX59" s="16"/>
      <c r="IA59" s="16"/>
      <c r="ID59" s="16"/>
      <c r="IG59" s="16"/>
      <c r="IJ59" s="16"/>
      <c r="IM59" s="16"/>
    </row>
    <row r="60" spans="1:247">
      <c r="A60" t="str">
        <f t="shared" ca="1" si="1"/>
        <v>Ma 7</v>
      </c>
      <c r="B60" s="4">
        <f t="shared" ca="1" si="2"/>
        <v>44172</v>
      </c>
      <c r="C60" s="11">
        <f t="shared" ca="1" si="0"/>
        <v>29089</v>
      </c>
      <c r="D60">
        <f t="shared" ca="1" si="20"/>
        <v>588</v>
      </c>
      <c r="E60" s="11">
        <f t="shared" ca="1" si="4"/>
        <v>5</v>
      </c>
      <c r="F60" s="11">
        <f t="shared" ca="1" si="6"/>
        <v>583</v>
      </c>
      <c r="J60" s="4"/>
      <c r="K60" s="3"/>
      <c r="M60" s="16">
        <v>44172</v>
      </c>
      <c r="N60">
        <v>29076</v>
      </c>
      <c r="O60">
        <v>583</v>
      </c>
      <c r="P60" s="16">
        <v>44172</v>
      </c>
      <c r="Q60">
        <v>29076</v>
      </c>
      <c r="R60">
        <v>583</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c r="HC60" s="16"/>
      <c r="HF60" s="16"/>
      <c r="HI60" s="16"/>
      <c r="HL60" s="16"/>
      <c r="HO60" s="16"/>
      <c r="HR60" s="16"/>
      <c r="HU60" s="16"/>
      <c r="HX60" s="16"/>
      <c r="IA60" s="16"/>
      <c r="ID60" s="16"/>
      <c r="IG60" s="16"/>
      <c r="IJ60" s="16"/>
      <c r="IM60" s="16"/>
    </row>
    <row r="61" spans="1:247">
      <c r="A61" t="str">
        <f t="shared" ca="1" si="1"/>
        <v>8.12</v>
      </c>
      <c r="B61" s="4">
        <f t="shared" ca="1" si="2"/>
        <v>44173</v>
      </c>
      <c r="C61" s="11">
        <f t="shared" ca="1" si="0"/>
        <v>29546</v>
      </c>
      <c r="D61">
        <f t="shared" ca="1" si="20"/>
        <v>457</v>
      </c>
      <c r="E61" s="11">
        <f t="shared" ca="1" si="4"/>
        <v>38</v>
      </c>
      <c r="F61" s="11">
        <f t="shared" ca="1" si="6"/>
        <v>419</v>
      </c>
      <c r="J61" s="4"/>
      <c r="K61" s="3"/>
      <c r="M61" s="16">
        <v>44173</v>
      </c>
      <c r="N61">
        <v>29495</v>
      </c>
      <c r="O61">
        <v>419</v>
      </c>
      <c r="P61" s="16">
        <v>44173</v>
      </c>
      <c r="Q61">
        <v>29495</v>
      </c>
      <c r="R61">
        <v>419</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c r="HC61" s="16"/>
      <c r="HF61" s="16"/>
      <c r="HI61" s="16"/>
      <c r="HL61" s="16"/>
      <c r="HO61" s="16"/>
      <c r="HR61" s="16"/>
      <c r="HU61" s="16"/>
      <c r="HX61" s="16"/>
      <c r="IA61" s="16"/>
      <c r="ID61" s="16"/>
      <c r="IG61" s="16"/>
      <c r="IJ61" s="16"/>
      <c r="IM61" s="16"/>
    </row>
    <row r="62" spans="1:247">
      <c r="A62" t="str">
        <f t="shared" ca="1" si="1"/>
        <v>9.12</v>
      </c>
      <c r="B62" s="4">
        <f t="shared" ca="1" si="2"/>
        <v>44174</v>
      </c>
      <c r="C62" s="11">
        <f t="shared" ca="1" si="0"/>
        <v>29969</v>
      </c>
      <c r="D62">
        <f t="shared" ca="1" si="20"/>
        <v>423</v>
      </c>
      <c r="E62" s="11">
        <f t="shared" ca="1" si="4"/>
        <v>43</v>
      </c>
      <c r="F62" s="11">
        <f t="shared" ca="1" si="6"/>
        <v>380</v>
      </c>
      <c r="J62" s="4"/>
      <c r="K62" s="3"/>
      <c r="M62" s="16">
        <v>44174</v>
      </c>
      <c r="N62">
        <v>29875</v>
      </c>
      <c r="O62">
        <v>380</v>
      </c>
      <c r="P62" s="16">
        <v>44174</v>
      </c>
      <c r="Q62">
        <v>29875</v>
      </c>
      <c r="R62">
        <v>380</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c r="HC62" s="16"/>
      <c r="HF62" s="16"/>
      <c r="HI62" s="16"/>
      <c r="HL62" s="16"/>
      <c r="HO62" s="16"/>
      <c r="HR62" s="16"/>
      <c r="HU62" s="16"/>
      <c r="HX62" s="16"/>
      <c r="IA62" s="16"/>
      <c r="ID62" s="16"/>
      <c r="IG62" s="16"/>
      <c r="IJ62" s="16"/>
      <c r="IM62" s="16"/>
    </row>
    <row r="63" spans="1:247">
      <c r="A63" t="str">
        <f t="shared" ca="1" si="1"/>
        <v>10.12</v>
      </c>
      <c r="B63" s="4">
        <f ca="1">B64-1</f>
        <v>44175</v>
      </c>
      <c r="C63" s="11">
        <f t="shared" ca="1" si="0"/>
        <v>30272</v>
      </c>
      <c r="D63">
        <f t="shared" ca="1" si="20"/>
        <v>303</v>
      </c>
      <c r="E63" s="11">
        <f t="shared" ca="1" si="4"/>
        <v>106</v>
      </c>
      <c r="F63" s="11">
        <f t="shared" ca="1" si="6"/>
        <v>197</v>
      </c>
      <c r="J63" s="4"/>
      <c r="K63" s="3"/>
      <c r="M63" s="16">
        <v>44175</v>
      </c>
      <c r="N63">
        <v>30072</v>
      </c>
      <c r="O63">
        <v>197</v>
      </c>
      <c r="P63" s="16">
        <v>44175</v>
      </c>
      <c r="Q63">
        <v>30072</v>
      </c>
      <c r="R63">
        <v>197</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c r="HC63" s="16"/>
      <c r="HF63" s="16"/>
      <c r="HI63" s="16"/>
      <c r="HL63" s="16"/>
      <c r="HO63" s="16"/>
      <c r="HR63" s="16"/>
      <c r="HU63" s="16"/>
      <c r="HX63" s="16"/>
      <c r="IA63" s="16"/>
      <c r="ID63" s="16"/>
      <c r="IG63" s="16"/>
      <c r="IJ63" s="16"/>
      <c r="IM63" s="16"/>
    </row>
    <row r="64" spans="1:247" s="10" customFormat="1">
      <c r="A64" t="str">
        <f t="shared" ca="1" si="1"/>
        <v>11.12</v>
      </c>
      <c r="B64" s="9">
        <f ca="1">B65-1</f>
        <v>44176</v>
      </c>
      <c r="C64" s="10">
        <f t="shared" ca="1" si="0"/>
        <v>30450</v>
      </c>
      <c r="D64" s="10">
        <f ca="1">C64-C63</f>
        <v>178</v>
      </c>
      <c r="E64" s="10">
        <f t="shared" ca="1" si="4"/>
        <v>177</v>
      </c>
      <c r="F64" s="10">
        <f t="shared" ca="1" si="6"/>
        <v>1</v>
      </c>
      <c r="J64" s="9"/>
      <c r="K64" s="14"/>
      <c r="M64" s="17">
        <v>44176</v>
      </c>
      <c r="N64" s="10">
        <v>30073</v>
      </c>
      <c r="O64" s="10">
        <v>1</v>
      </c>
      <c r="P64" s="17">
        <v>44176</v>
      </c>
      <c r="Q64" s="10">
        <v>30073</v>
      </c>
      <c r="R64" s="10">
        <v>1</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c r="HC64" s="17"/>
      <c r="HF64" s="17"/>
      <c r="HI64" s="17"/>
      <c r="HL64" s="17"/>
      <c r="HO64" s="17"/>
      <c r="HR64" s="17"/>
      <c r="HU64" s="17"/>
      <c r="HX64" s="17"/>
      <c r="IA64" s="17"/>
      <c r="ID64" s="17"/>
      <c r="IG64" s="17"/>
      <c r="IJ64" s="17"/>
      <c r="IM64" s="17"/>
    </row>
    <row r="65" spans="1:247">
      <c r="A65" t="str">
        <f t="shared" ca="1" si="1"/>
        <v>12.12</v>
      </c>
      <c r="B65" s="12">
        <f ca="1">FLOOR(NOW(),1)</f>
        <v>44177</v>
      </c>
      <c r="C65" s="11">
        <f t="shared" ca="1" si="0"/>
        <v>30450</v>
      </c>
      <c r="D65" s="11">
        <f ca="1">C65-C64</f>
        <v>0</v>
      </c>
      <c r="E65" s="11">
        <f ca="1">_xlfn.IFNA(D65-F65,"")</f>
        <v>0</v>
      </c>
      <c r="F65" s="11">
        <f t="shared" ca="1" si="6"/>
        <v>0</v>
      </c>
      <c r="M65" s="16">
        <v>44177</v>
      </c>
      <c r="N65">
        <v>30073</v>
      </c>
      <c r="O65">
        <v>0</v>
      </c>
      <c r="P65" s="16">
        <v>44177</v>
      </c>
      <c r="Q65">
        <v>30073</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c r="HC65" s="16"/>
      <c r="HF65" s="16"/>
      <c r="HI65" s="16"/>
      <c r="HL65" s="16"/>
      <c r="HO65" s="16"/>
      <c r="HR65" s="16"/>
      <c r="HU65" s="16"/>
      <c r="HX65" s="16"/>
      <c r="IA65" s="16"/>
      <c r="ID65" s="16"/>
      <c r="IG65" s="16"/>
      <c r="IJ65" s="16"/>
      <c r="IM65" s="16"/>
    </row>
    <row r="66" spans="1:247" s="26" customFormat="1">
      <c r="P66" s="26">
        <f>P65</f>
        <v>44177</v>
      </c>
      <c r="S66" s="26">
        <f>S65</f>
        <v>44113</v>
      </c>
      <c r="V66" s="26">
        <f>V65</f>
        <v>44114</v>
      </c>
      <c r="Y66" s="26">
        <f>Y65</f>
        <v>44115</v>
      </c>
      <c r="AB66" s="26">
        <f>AB65</f>
        <v>44116</v>
      </c>
      <c r="AE66" s="26">
        <f>AE65</f>
        <v>44117</v>
      </c>
      <c r="AH66" s="26">
        <f>AH65</f>
        <v>44118</v>
      </c>
      <c r="AK66" s="26">
        <f>AK65</f>
        <v>44119</v>
      </c>
      <c r="AN66" s="26">
        <f>AN65</f>
        <v>44120</v>
      </c>
      <c r="AQ66" s="26">
        <f>AQ65</f>
        <v>44121</v>
      </c>
      <c r="AT66" s="26">
        <f>AT65</f>
        <v>44122</v>
      </c>
      <c r="AW66" s="26">
        <f>AW65</f>
        <v>44123</v>
      </c>
      <c r="AZ66" s="26">
        <f>AZ65</f>
        <v>44124</v>
      </c>
      <c r="BC66" s="26">
        <f>BC65</f>
        <v>44125</v>
      </c>
      <c r="BF66" s="26">
        <f>BF65</f>
        <v>44126</v>
      </c>
      <c r="BI66" s="26">
        <f>BI65</f>
        <v>44127</v>
      </c>
      <c r="BL66" s="26">
        <f>BL65</f>
        <v>44128</v>
      </c>
      <c r="BO66" s="26">
        <f>BO65</f>
        <v>44129</v>
      </c>
      <c r="BR66" s="26">
        <f>BR65</f>
        <v>44130</v>
      </c>
      <c r="BU66" s="26">
        <f>BU65</f>
        <v>44132</v>
      </c>
      <c r="BX66" s="26">
        <f>BX65</f>
        <v>44133</v>
      </c>
      <c r="CA66" s="26">
        <f>CA65</f>
        <v>44134</v>
      </c>
      <c r="CD66" s="26">
        <f>CD65</f>
        <v>44135</v>
      </c>
      <c r="CG66" s="26">
        <f>CG65</f>
        <v>44136</v>
      </c>
      <c r="CJ66" s="26">
        <f>CJ65</f>
        <v>44137</v>
      </c>
      <c r="CM66" s="26">
        <f>CM65</f>
        <v>44138</v>
      </c>
      <c r="CP66" s="26">
        <f>CP65</f>
        <v>44139</v>
      </c>
      <c r="CS66" s="26">
        <f>CS65</f>
        <v>44140</v>
      </c>
      <c r="CV66" s="26">
        <f>CV65</f>
        <v>44141</v>
      </c>
      <c r="CY66" s="26">
        <f>CY65</f>
        <v>44143</v>
      </c>
      <c r="DB66" s="26">
        <f>DB65</f>
        <v>44144</v>
      </c>
      <c r="DE66" s="26">
        <f>DE65</f>
        <v>44145</v>
      </c>
      <c r="DH66" s="26">
        <f>DH65</f>
        <v>44146</v>
      </c>
      <c r="DK66" s="26">
        <f>DK65</f>
        <v>44147</v>
      </c>
      <c r="DN66" s="26">
        <f>DN65</f>
        <v>44148</v>
      </c>
      <c r="DQ66" s="26">
        <f>DQ65</f>
        <v>44149</v>
      </c>
      <c r="DT66" s="26">
        <f>DT65</f>
        <v>44150</v>
      </c>
      <c r="DW66" s="26">
        <f>DW65</f>
        <v>44151</v>
      </c>
      <c r="DZ66" s="26">
        <f>DZ65</f>
        <v>44152</v>
      </c>
      <c r="EC66" s="26">
        <f>EC65</f>
        <v>44153</v>
      </c>
      <c r="EF66" s="26">
        <f>EF65</f>
        <v>44154</v>
      </c>
      <c r="EI66" s="26">
        <f>EI65</f>
        <v>44155</v>
      </c>
      <c r="EL66" s="26">
        <f>EL65</f>
        <v>44156</v>
      </c>
      <c r="EO66" s="26">
        <f>EO65</f>
        <v>44157</v>
      </c>
      <c r="ER66" s="26">
        <f>ER65</f>
        <v>44158</v>
      </c>
      <c r="EU66" s="26">
        <f>EU65</f>
        <v>44159</v>
      </c>
      <c r="EX66" s="26">
        <f>EX65</f>
        <v>44160</v>
      </c>
      <c r="FA66" s="26">
        <f>FA65</f>
        <v>44161</v>
      </c>
      <c r="FD66" s="26">
        <f>FD65</f>
        <v>44162</v>
      </c>
      <c r="FG66" s="26">
        <f>FG65</f>
        <v>44163</v>
      </c>
      <c r="FJ66" s="26">
        <f>FJ65</f>
        <v>44164</v>
      </c>
      <c r="FM66" s="26">
        <f>FM65</f>
        <v>44165</v>
      </c>
      <c r="FP66" s="26">
        <f>FP65</f>
        <v>44166</v>
      </c>
      <c r="FS66" s="26">
        <f>FS65</f>
        <v>44167</v>
      </c>
      <c r="FV66" s="26">
        <f>FV65</f>
        <v>44168</v>
      </c>
      <c r="FY66" s="26">
        <f>FY65</f>
        <v>44169</v>
      </c>
      <c r="GB66" s="26">
        <f>GB65</f>
        <v>44170</v>
      </c>
      <c r="GE66" s="26">
        <f>GE65</f>
        <v>44171</v>
      </c>
      <c r="GH66" s="26">
        <f>GH65</f>
        <v>44172</v>
      </c>
      <c r="GK66" s="26">
        <f>GK65</f>
        <v>44173</v>
      </c>
      <c r="GN66" s="26">
        <f>GN65</f>
        <v>44174</v>
      </c>
      <c r="GQ66" s="26">
        <f>GQ65</f>
        <v>44175</v>
      </c>
      <c r="GT66" s="26">
        <f>GT65</f>
        <v>44176</v>
      </c>
    </row>
    <row r="67" spans="1:247" s="27" customFormat="1">
      <c r="A67" s="27">
        <v>1</v>
      </c>
      <c r="B67" s="27">
        <v>2</v>
      </c>
      <c r="C67" s="27">
        <v>3</v>
      </c>
      <c r="D67" s="27">
        <v>4</v>
      </c>
      <c r="E67" s="27">
        <v>5</v>
      </c>
      <c r="F67" s="27">
        <v>6</v>
      </c>
      <c r="G67" s="27">
        <v>7</v>
      </c>
      <c r="H67" s="27">
        <v>8</v>
      </c>
      <c r="I67" s="27">
        <v>9</v>
      </c>
      <c r="J67" s="27">
        <v>10</v>
      </c>
      <c r="K67" s="27">
        <v>11</v>
      </c>
      <c r="L67" s="27">
        <v>12</v>
      </c>
      <c r="N67" s="27" t="s">
        <v>361</v>
      </c>
      <c r="P67" s="27">
        <f ca="1">C65-N65</f>
        <v>377</v>
      </c>
      <c r="R67" s="27" t="s">
        <v>362</v>
      </c>
      <c r="S67" s="27">
        <f>W65-T65</f>
        <v>235</v>
      </c>
      <c r="U67" s="26"/>
      <c r="V67" s="27">
        <f>Z65-W65</f>
        <v>269</v>
      </c>
      <c r="X67" s="26"/>
      <c r="Y67" s="27">
        <f>AC65-Z65</f>
        <v>149</v>
      </c>
      <c r="AA67" s="26"/>
      <c r="AB67" s="28">
        <f>AF65-AC65</f>
        <v>214</v>
      </c>
      <c r="AD67" s="26"/>
      <c r="AE67" s="27">
        <f>AI65-AF65</f>
        <v>287</v>
      </c>
      <c r="AG67" s="26"/>
      <c r="AH67" s="27">
        <f>AL65-AI65</f>
        <v>204</v>
      </c>
      <c r="AJ67" s="26"/>
      <c r="AK67" s="27">
        <f>AO65-AL65</f>
        <v>241</v>
      </c>
      <c r="AM67" s="26"/>
      <c r="AN67" s="27">
        <f>AR65-AO65</f>
        <v>189</v>
      </c>
      <c r="AP67" s="26"/>
      <c r="AQ67" s="27">
        <f>AU65-AR65</f>
        <v>160</v>
      </c>
      <c r="AS67" s="26"/>
      <c r="AT67" s="27">
        <f>AX65-AU65</f>
        <v>131</v>
      </c>
      <c r="AV67" s="26"/>
      <c r="AW67" s="28">
        <f>BA65-AX65</f>
        <v>131</v>
      </c>
      <c r="AY67" s="26"/>
      <c r="AZ67" s="27">
        <f>BD65-BA65</f>
        <v>294</v>
      </c>
      <c r="BB67" s="26"/>
      <c r="BC67" s="27">
        <f>BG65-BD65</f>
        <v>222</v>
      </c>
      <c r="BF67" s="27">
        <f>BJ65-BG65</f>
        <v>184</v>
      </c>
      <c r="BH67" s="26"/>
      <c r="BI67" s="27">
        <f>BM65-BJ65</f>
        <v>219</v>
      </c>
      <c r="BK67" s="26"/>
      <c r="BL67" s="27">
        <f>BP65-BM65</f>
        <v>178</v>
      </c>
      <c r="BO67" s="27">
        <f>BS65-BP65</f>
        <v>196</v>
      </c>
      <c r="BR67" s="27">
        <f>BV65-BS65</f>
        <v>122</v>
      </c>
      <c r="BU67" s="27">
        <f>BY65-BV65</f>
        <v>408</v>
      </c>
      <c r="BX67" s="27">
        <f>CB65-BY65</f>
        <v>188</v>
      </c>
      <c r="CA67" s="27">
        <f>CE65-CB65</f>
        <v>344</v>
      </c>
      <c r="CD67" s="27">
        <f>CH65-CE65</f>
        <v>203</v>
      </c>
      <c r="CG67" s="27">
        <f>CK65-CH65</f>
        <v>178</v>
      </c>
      <c r="CJ67" s="27">
        <f>CN65-CK65</f>
        <v>109</v>
      </c>
      <c r="CL67" s="26"/>
      <c r="CM67" s="27">
        <f>CQ65-CN65</f>
        <v>237</v>
      </c>
      <c r="CO67" s="26"/>
      <c r="CP67" s="27">
        <f>CT65-CQ65</f>
        <v>293</v>
      </c>
      <c r="CR67" s="26"/>
      <c r="CS67" s="28">
        <f>CW65-CT65</f>
        <v>189</v>
      </c>
      <c r="CU67" s="26"/>
      <c r="CV67" s="27">
        <f>CZ65-CW65</f>
        <v>266</v>
      </c>
      <c r="CX67" s="26"/>
      <c r="CY67" s="27">
        <f>DC65-CZ65</f>
        <v>412</v>
      </c>
      <c r="DA67" s="26"/>
      <c r="DB67" s="27">
        <f>DF65-DC65</f>
        <v>90</v>
      </c>
      <c r="DD67" s="26"/>
      <c r="DE67" s="27">
        <f>DI65-DF65</f>
        <v>220</v>
      </c>
      <c r="DG67" s="26"/>
      <c r="DH67" s="27">
        <f>DL65-DI65</f>
        <v>238</v>
      </c>
      <c r="DJ67" s="26"/>
      <c r="DK67" s="27">
        <f>DO65-DL65</f>
        <v>197</v>
      </c>
      <c r="DM67" s="26"/>
      <c r="DN67" s="28">
        <f>DR65-DO65</f>
        <v>316</v>
      </c>
      <c r="DP67" s="26"/>
      <c r="DQ67" s="27">
        <f>DU65-DR65</f>
        <v>244</v>
      </c>
      <c r="DS67" s="26"/>
      <c r="DT67" s="27">
        <f>DX65-DU65</f>
        <v>213</v>
      </c>
      <c r="DW67" s="27">
        <f>EA65-DX65</f>
        <v>104</v>
      </c>
      <c r="DY67" s="26"/>
      <c r="DZ67" s="27">
        <f>ED65-EA65</f>
        <v>228</v>
      </c>
      <c r="EB67" s="26"/>
      <c r="EC67" s="27">
        <f>EG65-ED65</f>
        <v>288</v>
      </c>
      <c r="EF67" s="27">
        <f>EJ65-EG65</f>
        <v>351</v>
      </c>
      <c r="EI67" s="27">
        <f>EM65-EJ65</f>
        <v>461</v>
      </c>
      <c r="EL67" s="27">
        <f>EP65-EM65</f>
        <v>469</v>
      </c>
      <c r="EO67" s="27">
        <f>ES65-EP65</f>
        <v>423</v>
      </c>
      <c r="ER67" s="27">
        <f>EV65-ES65</f>
        <v>297</v>
      </c>
      <c r="EU67" s="27">
        <f>EY65-EV65</f>
        <v>353</v>
      </c>
      <c r="EX67" s="27">
        <f>FB65-EY65</f>
        <v>363</v>
      </c>
      <c r="FA67" s="27">
        <f>FE65-FB65</f>
        <v>496</v>
      </c>
      <c r="FD67" s="27">
        <f>FH65-FE65</f>
        <v>618</v>
      </c>
      <c r="FG67" s="27">
        <f>FK65-FH65</f>
        <v>541</v>
      </c>
      <c r="FJ67" s="27">
        <f>FN65-FK65</f>
        <v>322</v>
      </c>
      <c r="FM67" s="27">
        <f>FQ65-FN65</f>
        <v>283</v>
      </c>
      <c r="FP67" s="27">
        <f>FT65-FQ65</f>
        <v>550</v>
      </c>
      <c r="FS67" s="27">
        <f>FW65-FT65</f>
        <v>420</v>
      </c>
      <c r="FV67" s="27">
        <f>FZ65-FW65</f>
        <v>540</v>
      </c>
      <c r="FY67" s="27">
        <f>GC65-FZ65</f>
        <v>336</v>
      </c>
      <c r="GB67" s="27">
        <f>GF65-GC65</f>
        <v>460</v>
      </c>
      <c r="GE67" s="27">
        <f>GI65-GF65</f>
        <v>413</v>
      </c>
      <c r="GH67" s="27">
        <f>GL65-GI65</f>
        <v>250</v>
      </c>
      <c r="GK67" s="27">
        <f>GO65-GL65</f>
        <v>361</v>
      </c>
      <c r="GN67" s="27">
        <f>GR65-GO65</f>
        <v>490</v>
      </c>
      <c r="GQ67" s="27">
        <f>GU65-GR65</f>
        <v>840</v>
      </c>
      <c r="GT67" s="27">
        <f>GX65-GU65</f>
        <v>501</v>
      </c>
    </row>
    <row r="68" spans="1:247">
      <c r="N68" t="s">
        <v>368</v>
      </c>
      <c r="P68">
        <f ca="1">MAX(67:67)</f>
        <v>840</v>
      </c>
      <c r="S68" s="16" t="str">
        <f>IF(WEEKDAY(S66,2)=1,"Mo","")</f>
        <v/>
      </c>
      <c r="V68" s="16" t="str">
        <f>IF(WEEKDAY(V66,2)=1,"Ma","")</f>
        <v/>
      </c>
      <c r="Y68" s="16" t="str">
        <f>IF(WEEKDAY(Y66,2)=1,"Ma","")</f>
        <v/>
      </c>
      <c r="AB68" s="16" t="str">
        <f>IF(WEEKDAY(AB66,2)=1,"Ma","")</f>
        <v>Ma</v>
      </c>
      <c r="FM68" s="16" t="str">
        <f>IF(WEEKDAY(FM66,2)=1,"Ma","")</f>
        <v>Ma</v>
      </c>
      <c r="FP68" s="16" t="str">
        <f>IF(WEEKDAY(FP66,2)=1,"Ma","")</f>
        <v/>
      </c>
      <c r="FS68" s="16" t="str">
        <f>IF(WEEKDAY(FS66,2)=1,"Ma","")</f>
        <v/>
      </c>
      <c r="FV68" s="16" t="str">
        <f>IF(WEEKDAY(FV66,2)=1,"Ma","")</f>
        <v/>
      </c>
      <c r="FY68" s="16" t="str">
        <f>IF(WEEKDAY(FY66,2)=1,"Ma","")</f>
        <v/>
      </c>
      <c r="GB68" s="16" t="str">
        <f>IF(WEEKDAY(GB66,2)=1,"Ma","")</f>
        <v/>
      </c>
      <c r="GE68" s="16" t="str">
        <f>IF(WEEKDAY(GE66,2)=1,"Ma","")</f>
        <v/>
      </c>
      <c r="GH68" s="29" t="str">
        <f>IF(WEEKDAY(GH66,2)=1,"Ma","")</f>
        <v>Ma</v>
      </c>
      <c r="GK68" s="16" t="str">
        <f>IF(WEEKDAY(GK66,2)=1,"Ma","")</f>
        <v/>
      </c>
      <c r="GN68" s="16" t="str">
        <f>IF(WEEKDAY(GN66,2)=1,"Ma","")</f>
        <v/>
      </c>
      <c r="GQ68" s="16" t="str">
        <f>IF(WEEKDAY(GQ66,2)=1,"Ma","")</f>
        <v/>
      </c>
      <c r="GT68" s="16" t="str">
        <f>IF(WEEKDAY(GT66,2)=1,"Ma","")</f>
        <v/>
      </c>
    </row>
    <row r="69" spans="1:247">
      <c r="P69" s="20"/>
      <c r="S69" s="20"/>
    </row>
    <row r="70" spans="1:247">
      <c r="N70" s="21">
        <f>P66</f>
        <v>44177</v>
      </c>
      <c r="O70">
        <f ca="1">HLOOKUP(N70,$66:$67,2,FALSE)</f>
        <v>377</v>
      </c>
    </row>
    <row r="71" spans="1:247">
      <c r="N71" s="21">
        <f>N70-7</f>
        <v>44170</v>
      </c>
      <c r="O71">
        <f t="shared" ref="O71:O77" si="21">HLOOKUP(N71,$66:$67,2,FALSE)</f>
        <v>460</v>
      </c>
    </row>
    <row r="72" spans="1:247">
      <c r="N72" s="21">
        <f t="shared" ref="N72:N77" si="22">N71-7</f>
        <v>44163</v>
      </c>
      <c r="O72">
        <f t="shared" si="21"/>
        <v>541</v>
      </c>
    </row>
    <row r="73" spans="1:247">
      <c r="N73" s="21">
        <f t="shared" si="22"/>
        <v>44156</v>
      </c>
      <c r="O73">
        <f t="shared" si="21"/>
        <v>469</v>
      </c>
    </row>
    <row r="74" spans="1:247">
      <c r="N74" s="21">
        <f t="shared" si="22"/>
        <v>44149</v>
      </c>
      <c r="O74">
        <f t="shared" si="21"/>
        <v>244</v>
      </c>
    </row>
    <row r="75" spans="1:247">
      <c r="N75" s="21">
        <f t="shared" si="22"/>
        <v>44142</v>
      </c>
      <c r="O75" t="e">
        <f t="shared" si="21"/>
        <v>#N/A</v>
      </c>
    </row>
    <row r="76" spans="1:247">
      <c r="N76" s="21">
        <f t="shared" si="22"/>
        <v>44135</v>
      </c>
      <c r="O76">
        <f t="shared" si="21"/>
        <v>203</v>
      </c>
    </row>
    <row r="77" spans="1:247">
      <c r="N77" s="21">
        <f t="shared" si="22"/>
        <v>44128</v>
      </c>
      <c r="O77">
        <f t="shared" si="21"/>
        <v>178</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44173.625</v>
      </c>
      <c r="O80">
        <f>DMAX(_xlnm.database,"n",N79:N80)</f>
        <v>457</v>
      </c>
      <c r="P80" s="21">
        <f>N80</f>
        <v>44173.625</v>
      </c>
      <c r="Q80">
        <f>O80</f>
        <v>457</v>
      </c>
      <c r="R80" s="22">
        <f>N80-1</f>
        <v>44172.625</v>
      </c>
      <c r="S80">
        <f>DMAX(_xlnm.database,"n",R79:R80)</f>
        <v>588</v>
      </c>
      <c r="T80" s="21">
        <f>R80</f>
        <v>44172.625</v>
      </c>
      <c r="U80">
        <f>S80</f>
        <v>588</v>
      </c>
      <c r="V80" s="22">
        <f>R80-1</f>
        <v>44171.625</v>
      </c>
      <c r="W80">
        <f>DMAX(_xlnm.database,"n",V79:V80)</f>
        <v>282</v>
      </c>
      <c r="X80" s="21">
        <f>V80</f>
        <v>44171.625</v>
      </c>
      <c r="Y80">
        <f>W80</f>
        <v>282</v>
      </c>
      <c r="Z80" s="22">
        <f>V80-1</f>
        <v>44170.625</v>
      </c>
      <c r="AA80">
        <f>DMAX(_xlnm.database,"n",Z79:Z80)</f>
        <v>252</v>
      </c>
      <c r="AB80" s="21">
        <f>Z80</f>
        <v>44170.625</v>
      </c>
      <c r="AC80">
        <f>AA80</f>
        <v>252</v>
      </c>
      <c r="AD80" s="22">
        <f>Z80-1</f>
        <v>44169.625</v>
      </c>
      <c r="AE80">
        <f>DMAX(_xlnm.database,"n",AD79:AD80)</f>
        <v>475</v>
      </c>
      <c r="AF80" s="21">
        <f>AD80</f>
        <v>44169.625</v>
      </c>
      <c r="AG80">
        <f>AE80</f>
        <v>475</v>
      </c>
      <c r="AH80" s="22">
        <f>AD80-1</f>
        <v>44168.625</v>
      </c>
      <c r="AI80">
        <f>DMAX(_xlnm.database,"n",AH79:AH80)</f>
        <v>474</v>
      </c>
      <c r="AJ80" s="21">
        <f>AH80</f>
        <v>44168.625</v>
      </c>
      <c r="AK80">
        <f>AI80</f>
        <v>474</v>
      </c>
      <c r="AL80" s="22">
        <f>AH80-1</f>
        <v>44167.625</v>
      </c>
      <c r="AM80">
        <f>DMAX(_xlnm.database,"n",AL79:AL80)</f>
        <v>495</v>
      </c>
      <c r="AN80" s="21">
        <f>AL80</f>
        <v>44167.625</v>
      </c>
      <c r="AO80">
        <f>AM80</f>
        <v>495</v>
      </c>
      <c r="AP80" s="22">
        <f>AL80-1</f>
        <v>44166.625</v>
      </c>
      <c r="AQ80">
        <f>DMAX(_xlnm.database,"n",AP79:AP80)</f>
        <v>443</v>
      </c>
      <c r="AR80" s="21">
        <f>AP80</f>
        <v>44166.625</v>
      </c>
      <c r="AS80">
        <f>AQ80</f>
        <v>443</v>
      </c>
    </row>
    <row r="81" spans="14:45">
      <c r="N81" t="s">
        <v>7</v>
      </c>
      <c r="P81" s="16">
        <f>P80-7</f>
        <v>44166.625</v>
      </c>
      <c r="Q81">
        <f>O82</f>
        <v>443</v>
      </c>
      <c r="R81" t="s">
        <v>7</v>
      </c>
      <c r="S81"/>
      <c r="T81" s="16">
        <f>T80-7</f>
        <v>44165.625</v>
      </c>
      <c r="U81">
        <f>S82</f>
        <v>597</v>
      </c>
      <c r="V81" t="s">
        <v>7</v>
      </c>
      <c r="X81" s="16">
        <f>X80-7</f>
        <v>44164.625</v>
      </c>
      <c r="Y81">
        <f>W82</f>
        <v>293</v>
      </c>
      <c r="Z81" t="s">
        <v>7</v>
      </c>
      <c r="AB81" s="16">
        <f>AB80-7</f>
        <v>44163.625</v>
      </c>
      <c r="AC81">
        <f>AA82</f>
        <v>282</v>
      </c>
      <c r="AD81" t="s">
        <v>7</v>
      </c>
      <c r="AE81"/>
      <c r="AF81" s="16">
        <f>AF80-7</f>
        <v>44162.625</v>
      </c>
      <c r="AG81">
        <f>AE82</f>
        <v>460</v>
      </c>
      <c r="AH81" t="s">
        <v>7</v>
      </c>
      <c r="AJ81" s="16">
        <f>AJ80-7</f>
        <v>44161.625</v>
      </c>
      <c r="AK81">
        <f>AI82</f>
        <v>511</v>
      </c>
      <c r="AL81" t="s">
        <v>7</v>
      </c>
      <c r="AN81" s="16">
        <f>AN80-7</f>
        <v>44160.625</v>
      </c>
      <c r="AO81">
        <f>AM82</f>
        <v>615</v>
      </c>
      <c r="AP81" t="s">
        <v>7</v>
      </c>
      <c r="AQ81"/>
      <c r="AR81" s="16">
        <f>AR80-7</f>
        <v>44159.625</v>
      </c>
      <c r="AS81">
        <f>AQ82</f>
        <v>468</v>
      </c>
    </row>
    <row r="82" spans="14:45">
      <c r="N82" s="22">
        <f>N80-7</f>
        <v>44166.625</v>
      </c>
      <c r="O82">
        <f>DMAX(_xlnm.database,"n",N81:N82)</f>
        <v>443</v>
      </c>
      <c r="P82" s="16">
        <f t="shared" ref="P82:P89" si="23">P81-7</f>
        <v>44159.625</v>
      </c>
      <c r="Q82">
        <f>O84</f>
        <v>468</v>
      </c>
      <c r="R82" s="22">
        <f>R80-7</f>
        <v>44165.625</v>
      </c>
      <c r="S82">
        <f>DMAX(_xlnm.database,"n",R81:R82)</f>
        <v>597</v>
      </c>
      <c r="T82" s="16">
        <f t="shared" ref="T82:T89" si="24">T81-7</f>
        <v>44158.625</v>
      </c>
      <c r="U82">
        <f>S84</f>
        <v>505</v>
      </c>
      <c r="V82" s="22">
        <f>V80-7</f>
        <v>44164.625</v>
      </c>
      <c r="W82">
        <f>DMAX(_xlnm.database,"n",V81:V82)</f>
        <v>293</v>
      </c>
      <c r="X82" s="16">
        <f t="shared" ref="X82:X89" si="25">X81-7</f>
        <v>44157.625</v>
      </c>
      <c r="Y82">
        <f>W84</f>
        <v>267</v>
      </c>
      <c r="Z82" s="22">
        <f>Z80-7</f>
        <v>44163.625</v>
      </c>
      <c r="AA82">
        <f>DMAX(_xlnm.database,"n",Z81:Z82)</f>
        <v>282</v>
      </c>
      <c r="AB82" s="16">
        <f t="shared" ref="AB82:AB89" si="26">AB81-7</f>
        <v>44156.625</v>
      </c>
      <c r="AC82">
        <f>AA84</f>
        <v>268</v>
      </c>
      <c r="AD82" s="22">
        <f>AD80-7</f>
        <v>44162.625</v>
      </c>
      <c r="AE82">
        <f>DMAX(_xlnm.database,"n",AD81:AD82)</f>
        <v>460</v>
      </c>
      <c r="AF82" s="16">
        <f t="shared" ref="AF82:AF89" si="27">AF81-7</f>
        <v>44155.625</v>
      </c>
      <c r="AG82">
        <f>AE84</f>
        <v>429</v>
      </c>
      <c r="AH82" s="22">
        <f>AH80-7</f>
        <v>44161.625</v>
      </c>
      <c r="AI82">
        <f>DMAX(_xlnm.database,"n",AH81:AH82)</f>
        <v>511</v>
      </c>
      <c r="AJ82" s="16">
        <f t="shared" ref="AJ82:AJ89" si="28">AJ81-7</f>
        <v>44154.625</v>
      </c>
      <c r="AK82">
        <f>AI84</f>
        <v>478</v>
      </c>
      <c r="AL82" s="22">
        <f>AL80-7</f>
        <v>44160.625</v>
      </c>
      <c r="AM82">
        <f>DMAX(_xlnm.database,"n",AL81:AL82)</f>
        <v>615</v>
      </c>
      <c r="AN82" s="16">
        <f t="shared" ref="AN82:AN89" si="29">AN81-7</f>
        <v>44153.625</v>
      </c>
      <c r="AO82">
        <f>AM84</f>
        <v>371</v>
      </c>
      <c r="AP82" s="22">
        <f>AP80-7</f>
        <v>44159.625</v>
      </c>
      <c r="AQ82">
        <f>DMAX(_xlnm.database,"n",AP81:AP82)</f>
        <v>468</v>
      </c>
      <c r="AR82" s="16">
        <f t="shared" ref="AR82:AR89" si="30">AR81-7</f>
        <v>44152.625</v>
      </c>
      <c r="AS82">
        <f>AQ84</f>
        <v>391</v>
      </c>
    </row>
    <row r="83" spans="14:45">
      <c r="N83" t="s">
        <v>7</v>
      </c>
      <c r="P83" s="16">
        <f t="shared" si="23"/>
        <v>44152.625</v>
      </c>
      <c r="Q83">
        <f>O86</f>
        <v>391</v>
      </c>
      <c r="R83" t="s">
        <v>7</v>
      </c>
      <c r="S83"/>
      <c r="T83" s="16">
        <f t="shared" si="24"/>
        <v>44151.625</v>
      </c>
      <c r="U83">
        <f>S86</f>
        <v>392</v>
      </c>
      <c r="V83" t="s">
        <v>7</v>
      </c>
      <c r="X83" s="16">
        <f t="shared" si="25"/>
        <v>44150.625</v>
      </c>
      <c r="Y83">
        <f>W86</f>
        <v>182</v>
      </c>
      <c r="Z83" t="s">
        <v>7</v>
      </c>
      <c r="AB83" s="16">
        <f t="shared" si="26"/>
        <v>44149.625</v>
      </c>
      <c r="AC83">
        <f>AA86</f>
        <v>145</v>
      </c>
      <c r="AD83" t="s">
        <v>7</v>
      </c>
      <c r="AE83"/>
      <c r="AF83" s="16">
        <f t="shared" si="27"/>
        <v>44148.625</v>
      </c>
      <c r="AG83">
        <f>AE86</f>
        <v>265</v>
      </c>
      <c r="AH83" t="s">
        <v>7</v>
      </c>
      <c r="AJ83" s="16">
        <f t="shared" si="28"/>
        <v>44147.625</v>
      </c>
      <c r="AK83">
        <f>AI86</f>
        <v>282</v>
      </c>
      <c r="AL83" t="s">
        <v>7</v>
      </c>
      <c r="AN83" s="16">
        <f t="shared" si="29"/>
        <v>44146.625</v>
      </c>
      <c r="AO83">
        <f>AM86</f>
        <v>293</v>
      </c>
      <c r="AP83" t="s">
        <v>7</v>
      </c>
      <c r="AQ83"/>
      <c r="AR83" s="16">
        <f t="shared" si="30"/>
        <v>44145.625</v>
      </c>
      <c r="AS83">
        <f>AQ86</f>
        <v>205</v>
      </c>
    </row>
    <row r="84" spans="14:45">
      <c r="N84" s="22">
        <f>N82-7</f>
        <v>44159.625</v>
      </c>
      <c r="O84">
        <f>DMAX(_xlnm.database,"n",N83:N84)</f>
        <v>468</v>
      </c>
      <c r="P84" s="16">
        <f t="shared" si="23"/>
        <v>44145.625</v>
      </c>
      <c r="Q84">
        <f>O88</f>
        <v>205</v>
      </c>
      <c r="R84" s="22">
        <f>R82-7</f>
        <v>44158.625</v>
      </c>
      <c r="S84">
        <f>DMAX(_xlnm.database,"n",R83:R84)</f>
        <v>505</v>
      </c>
      <c r="T84" s="16">
        <f t="shared" si="24"/>
        <v>44144.625</v>
      </c>
      <c r="U84">
        <f>S88</f>
        <v>273</v>
      </c>
      <c r="V84" s="22">
        <f>V82-7</f>
        <v>44157.625</v>
      </c>
      <c r="W84">
        <f>DMAX(_xlnm.database,"n",V83:V84)</f>
        <v>267</v>
      </c>
      <c r="X84" s="16">
        <f t="shared" si="25"/>
        <v>44143.625</v>
      </c>
      <c r="Y84">
        <f>W88</f>
        <v>133</v>
      </c>
      <c r="Z84" s="22">
        <f>Z82-7</f>
        <v>44156.625</v>
      </c>
      <c r="AA84">
        <f>DMAX(_xlnm.database,"n",Z83:Z84)</f>
        <v>268</v>
      </c>
      <c r="AB84" s="16">
        <f t="shared" si="26"/>
        <v>44142.625</v>
      </c>
      <c r="AC84">
        <f>AA88</f>
        <v>128</v>
      </c>
      <c r="AD84" s="22">
        <f>AD82-7</f>
        <v>44155.625</v>
      </c>
      <c r="AE84">
        <f>DMAX(_xlnm.database,"n",AD83:AD84)</f>
        <v>429</v>
      </c>
      <c r="AF84" s="16">
        <f t="shared" si="27"/>
        <v>44141.625</v>
      </c>
      <c r="AG84">
        <f>AE88</f>
        <v>196</v>
      </c>
      <c r="AH84" s="22">
        <f>AH82-7</f>
        <v>44154.625</v>
      </c>
      <c r="AI84">
        <f>DMAX(_xlnm.database,"n",AH83:AH84)</f>
        <v>478</v>
      </c>
      <c r="AJ84" s="16">
        <f t="shared" si="28"/>
        <v>44140.625</v>
      </c>
      <c r="AK84">
        <f>AI88</f>
        <v>222</v>
      </c>
      <c r="AL84" s="22">
        <f>AL82-7</f>
        <v>44153.625</v>
      </c>
      <c r="AM84">
        <f>DMAX(_xlnm.database,"n",AL83:AL84)</f>
        <v>371</v>
      </c>
      <c r="AN84" s="16">
        <f t="shared" si="29"/>
        <v>44139.625</v>
      </c>
      <c r="AO84">
        <f>AM88</f>
        <v>213</v>
      </c>
      <c r="AP84" s="22">
        <f>AP82-7</f>
        <v>44152.625</v>
      </c>
      <c r="AQ84">
        <f>DMAX(_xlnm.database,"n",AP83:AP84)</f>
        <v>391</v>
      </c>
      <c r="AR84" s="16">
        <f t="shared" si="30"/>
        <v>44138.625</v>
      </c>
      <c r="AS84">
        <f>AQ88</f>
        <v>241</v>
      </c>
    </row>
    <row r="85" spans="14:45">
      <c r="N85" t="s">
        <v>7</v>
      </c>
      <c r="P85" s="16">
        <f t="shared" si="23"/>
        <v>44138.625</v>
      </c>
      <c r="Q85">
        <f>O90</f>
        <v>241</v>
      </c>
      <c r="R85" t="s">
        <v>7</v>
      </c>
      <c r="S85"/>
      <c r="T85" s="16">
        <f t="shared" si="24"/>
        <v>44137.625</v>
      </c>
      <c r="U85">
        <f>S90</f>
        <v>289</v>
      </c>
      <c r="V85" t="s">
        <v>7</v>
      </c>
      <c r="X85" s="16">
        <f t="shared" si="25"/>
        <v>44136.625</v>
      </c>
      <c r="Y85">
        <f>W90</f>
        <v>150</v>
      </c>
      <c r="Z85" t="s">
        <v>7</v>
      </c>
      <c r="AB85" s="16">
        <f t="shared" si="26"/>
        <v>44135.625</v>
      </c>
      <c r="AC85">
        <f>AA90</f>
        <v>121</v>
      </c>
      <c r="AD85" t="s">
        <v>7</v>
      </c>
      <c r="AE85"/>
      <c r="AF85" s="16">
        <f t="shared" si="27"/>
        <v>44134.625</v>
      </c>
      <c r="AG85">
        <f>AE90</f>
        <v>219</v>
      </c>
      <c r="AH85" t="s">
        <v>7</v>
      </c>
      <c r="AJ85" s="16">
        <f t="shared" si="28"/>
        <v>44133.625</v>
      </c>
      <c r="AK85">
        <f>AI90</f>
        <v>237</v>
      </c>
      <c r="AL85" t="s">
        <v>7</v>
      </c>
      <c r="AN85" s="16">
        <f t="shared" si="29"/>
        <v>44132.625</v>
      </c>
      <c r="AO85">
        <f>AM90</f>
        <v>239</v>
      </c>
      <c r="AP85" t="s">
        <v>7</v>
      </c>
      <c r="AQ85"/>
      <c r="AR85" s="16">
        <f t="shared" si="30"/>
        <v>44131.625</v>
      </c>
      <c r="AS85">
        <f>AQ90</f>
        <v>231</v>
      </c>
    </row>
    <row r="86" spans="14:45">
      <c r="N86" s="22">
        <f>N84-7</f>
        <v>44152.625</v>
      </c>
      <c r="O86">
        <f>DMAX(_xlnm.database,"n",N85:N86)</f>
        <v>391</v>
      </c>
      <c r="P86" s="16">
        <f t="shared" si="23"/>
        <v>44131.625</v>
      </c>
      <c r="Q86">
        <f>O92</f>
        <v>231</v>
      </c>
      <c r="R86" s="22">
        <f>R84-7</f>
        <v>44151.625</v>
      </c>
      <c r="S86">
        <f>DMAX(_xlnm.database,"n",R85:R86)</f>
        <v>392</v>
      </c>
      <c r="T86" s="16">
        <f t="shared" si="24"/>
        <v>44130.625</v>
      </c>
      <c r="U86">
        <f>S92</f>
        <v>256</v>
      </c>
      <c r="V86" s="22">
        <f>V84-7</f>
        <v>44150.625</v>
      </c>
      <c r="W86">
        <f>DMAX(_xlnm.database,"n",V85:V86)</f>
        <v>182</v>
      </c>
      <c r="X86" s="16">
        <f t="shared" si="25"/>
        <v>44129.625</v>
      </c>
      <c r="Y86">
        <f>W92</f>
        <v>124</v>
      </c>
      <c r="Z86" s="22">
        <f>Z84-7</f>
        <v>44149.625</v>
      </c>
      <c r="AA86">
        <f>DMAX(_xlnm.database,"n",Z85:Z86)</f>
        <v>145</v>
      </c>
      <c r="AB86" s="16">
        <f t="shared" si="26"/>
        <v>44128.625</v>
      </c>
      <c r="AC86">
        <f>AA92</f>
        <v>107</v>
      </c>
      <c r="AD86" s="22">
        <f>AD84-7</f>
        <v>44148.625</v>
      </c>
      <c r="AE86">
        <f>DMAX(_xlnm.database,"n",AD85:AD86)</f>
        <v>265</v>
      </c>
      <c r="AF86" s="16">
        <f t="shared" si="27"/>
        <v>44127.625</v>
      </c>
      <c r="AG86">
        <f>AE92</f>
        <v>192</v>
      </c>
      <c r="AH86" s="22">
        <f>AH84-7</f>
        <v>44147.625</v>
      </c>
      <c r="AI86">
        <f>DMAX(_xlnm.database,"n",AH85:AH86)</f>
        <v>282</v>
      </c>
      <c r="AJ86" s="16">
        <f t="shared" si="28"/>
        <v>44126.625</v>
      </c>
      <c r="AK86">
        <f>AI92</f>
        <v>220</v>
      </c>
      <c r="AL86" s="22">
        <f>AL84-7</f>
        <v>44146.625</v>
      </c>
      <c r="AM86">
        <f>DMAX(_xlnm.database,"n",AL85:AL86)</f>
        <v>293</v>
      </c>
      <c r="AN86" s="16">
        <f t="shared" si="29"/>
        <v>44125.625</v>
      </c>
      <c r="AO86">
        <f>AM92</f>
        <v>188</v>
      </c>
      <c r="AP86" s="22">
        <f>AP84-7</f>
        <v>44145.625</v>
      </c>
      <c r="AQ86">
        <f>DMAX(_xlnm.database,"n",AP85:AP86)</f>
        <v>205</v>
      </c>
      <c r="AR86" s="16">
        <f t="shared" si="30"/>
        <v>44124.625</v>
      </c>
      <c r="AS86">
        <f>AQ92</f>
        <v>166</v>
      </c>
    </row>
    <row r="87" spans="14:45">
      <c r="N87" t="s">
        <v>7</v>
      </c>
      <c r="P87" s="16">
        <f t="shared" si="23"/>
        <v>44124.625</v>
      </c>
      <c r="Q87">
        <f>O94</f>
        <v>166</v>
      </c>
      <c r="R87" t="s">
        <v>7</v>
      </c>
      <c r="S87"/>
      <c r="T87" s="16">
        <f t="shared" si="24"/>
        <v>44123.625</v>
      </c>
      <c r="U87">
        <f>S94</f>
        <v>244</v>
      </c>
      <c r="V87" t="s">
        <v>7</v>
      </c>
      <c r="X87" s="16">
        <f t="shared" si="25"/>
        <v>44122.625</v>
      </c>
      <c r="Y87">
        <f>W94</f>
        <v>129</v>
      </c>
      <c r="Z87" t="s">
        <v>7</v>
      </c>
      <c r="AB87" s="16">
        <f t="shared" si="26"/>
        <v>44121.625</v>
      </c>
      <c r="AC87">
        <f>AA94</f>
        <v>104</v>
      </c>
      <c r="AD87" t="s">
        <v>7</v>
      </c>
      <c r="AE87"/>
      <c r="AF87" s="16">
        <f t="shared" si="27"/>
        <v>44120.625</v>
      </c>
      <c r="AG87">
        <f>AE94</f>
        <v>195</v>
      </c>
      <c r="AH87" t="s">
        <v>7</v>
      </c>
      <c r="AJ87" s="16">
        <f t="shared" si="28"/>
        <v>44119.625</v>
      </c>
      <c r="AK87">
        <f>AI94</f>
        <v>190</v>
      </c>
      <c r="AL87" t="s">
        <v>7</v>
      </c>
      <c r="AN87" s="16">
        <f t="shared" si="29"/>
        <v>44118.625</v>
      </c>
      <c r="AO87">
        <f>AM94</f>
        <v>201</v>
      </c>
      <c r="AP87" t="s">
        <v>7</v>
      </c>
      <c r="AQ87"/>
      <c r="AR87" s="16">
        <f t="shared" si="30"/>
        <v>44117.625</v>
      </c>
      <c r="AS87">
        <f>AQ94</f>
        <v>198</v>
      </c>
    </row>
    <row r="88" spans="14:45">
      <c r="N88" s="22">
        <f>N86-7</f>
        <v>44145.625</v>
      </c>
      <c r="O88">
        <f>DMAX(_xlnm.database,"n",N87:N88)</f>
        <v>205</v>
      </c>
      <c r="P88" s="16">
        <f>P87-7</f>
        <v>44117.625</v>
      </c>
      <c r="Q88">
        <f>O96</f>
        <v>198</v>
      </c>
      <c r="R88" s="22">
        <f>R86-7</f>
        <v>44144.625</v>
      </c>
      <c r="S88">
        <f>DMAX(_xlnm.database,"n",R87:R88)</f>
        <v>273</v>
      </c>
      <c r="T88" s="16">
        <f>T87-7</f>
        <v>44116.625</v>
      </c>
      <c r="U88">
        <f>S96</f>
        <v>255</v>
      </c>
      <c r="V88" s="22">
        <f>V86-7</f>
        <v>44143.625</v>
      </c>
      <c r="W88">
        <f>DMAX(_xlnm.database,"n",V87:V88)</f>
        <v>133</v>
      </c>
      <c r="X88" s="16">
        <f>X87-7</f>
        <v>44115.625</v>
      </c>
      <c r="Y88">
        <f>W96</f>
        <v>130</v>
      </c>
      <c r="Z88" s="22">
        <f>Z86-7</f>
        <v>44142.625</v>
      </c>
      <c r="AA88">
        <f>DMAX(_xlnm.database,"n",Z87:Z88)</f>
        <v>128</v>
      </c>
      <c r="AB88" s="16">
        <f>AB87-7</f>
        <v>44114.625</v>
      </c>
      <c r="AC88">
        <f>AA96</f>
        <v>109</v>
      </c>
      <c r="AD88" s="22">
        <f>AD86-7</f>
        <v>44141.625</v>
      </c>
      <c r="AE88">
        <f>DMAX(_xlnm.database,"n",AD87:AD88)</f>
        <v>196</v>
      </c>
      <c r="AF88" s="16">
        <f>AF87-7</f>
        <v>44113.625</v>
      </c>
      <c r="AG88">
        <f>AE96</f>
        <v>227</v>
      </c>
      <c r="AH88" s="22">
        <f>AH86-7</f>
        <v>44140.625</v>
      </c>
      <c r="AI88">
        <f>DMAX(_xlnm.database,"n",AH87:AH88)</f>
        <v>222</v>
      </c>
      <c r="AJ88" s="16">
        <f>AJ87-7</f>
        <v>44112.625</v>
      </c>
      <c r="AK88">
        <f>AI96</f>
        <v>258</v>
      </c>
      <c r="AL88" s="22">
        <f>AL86-7</f>
        <v>44139.625</v>
      </c>
      <c r="AM88">
        <f>DMAX(_xlnm.database,"n",AL87:AL88)</f>
        <v>213</v>
      </c>
      <c r="AN88" s="16">
        <f>AN87-7</f>
        <v>44111.625</v>
      </c>
      <c r="AO88">
        <f>AM96</f>
        <v>306</v>
      </c>
      <c r="AP88" s="22">
        <f>AP86-7</f>
        <v>44138.625</v>
      </c>
      <c r="AQ88">
        <f>DMAX(_xlnm.database,"n",AP87:AP88)</f>
        <v>241</v>
      </c>
      <c r="AR88" s="16">
        <f>AR87-7</f>
        <v>44110.625</v>
      </c>
      <c r="AS88">
        <f>AQ96</f>
        <v>303</v>
      </c>
    </row>
    <row r="89" spans="14:45">
      <c r="N89" t="s">
        <v>7</v>
      </c>
      <c r="P89" s="16">
        <f t="shared" si="23"/>
        <v>44110.625</v>
      </c>
      <c r="Q89">
        <f>O98</f>
        <v>303</v>
      </c>
      <c r="R89" t="s">
        <v>7</v>
      </c>
      <c r="S89"/>
      <c r="T89" s="16">
        <f t="shared" si="24"/>
        <v>44109.625</v>
      </c>
      <c r="U89">
        <f>S98</f>
        <v>291</v>
      </c>
      <c r="V89" t="s">
        <v>7</v>
      </c>
      <c r="X89" s="16">
        <f t="shared" si="25"/>
        <v>44108.625</v>
      </c>
      <c r="Y89">
        <f>W98</f>
        <v>148</v>
      </c>
      <c r="Z89" t="s">
        <v>7</v>
      </c>
      <c r="AB89" s="16">
        <f t="shared" si="26"/>
        <v>44107.625</v>
      </c>
      <c r="AC89">
        <f>AA98</f>
        <v>180</v>
      </c>
      <c r="AD89" t="s">
        <v>7</v>
      </c>
      <c r="AE89"/>
      <c r="AF89" s="16">
        <f t="shared" si="27"/>
        <v>44106.625</v>
      </c>
      <c r="AG89">
        <f>AE98</f>
        <v>188</v>
      </c>
      <c r="AH89" t="s">
        <v>7</v>
      </c>
      <c r="AJ89" s="16">
        <f t="shared" si="28"/>
        <v>44105.625</v>
      </c>
      <c r="AK89">
        <f>AI98</f>
        <v>188</v>
      </c>
      <c r="AL89" t="s">
        <v>7</v>
      </c>
      <c r="AN89" s="16">
        <f t="shared" si="29"/>
        <v>44104.625</v>
      </c>
      <c r="AO89">
        <f>AM98</f>
        <v>166</v>
      </c>
      <c r="AP89" t="s">
        <v>7</v>
      </c>
      <c r="AQ89"/>
      <c r="AR89" s="16">
        <f t="shared" si="30"/>
        <v>44103.625</v>
      </c>
      <c r="AS89">
        <f>AQ98</f>
        <v>134</v>
      </c>
    </row>
    <row r="90" spans="14:45">
      <c r="N90" s="22">
        <f>N88-7</f>
        <v>44138.625</v>
      </c>
      <c r="O90">
        <f>DMAX(_xlnm.database,"n",N89:N90)</f>
        <v>241</v>
      </c>
      <c r="R90" s="22">
        <f>R88-7</f>
        <v>44137.625</v>
      </c>
      <c r="S90">
        <f>DMAX(_xlnm.database,"n",R89:R90)</f>
        <v>289</v>
      </c>
      <c r="T90" s="16"/>
      <c r="V90" s="22">
        <f>V88-7</f>
        <v>44136.625</v>
      </c>
      <c r="W90">
        <f>DMAX(_xlnm.database,"n",V89:V90)</f>
        <v>150</v>
      </c>
      <c r="X90" s="16"/>
      <c r="Y90"/>
      <c r="Z90" s="22">
        <f>Z88-7</f>
        <v>44135.625</v>
      </c>
      <c r="AA90">
        <f>DMAX(_xlnm.database,"n",Z89:Z90)</f>
        <v>121</v>
      </c>
      <c r="AD90" s="22">
        <f>AD88-7</f>
        <v>44134.625</v>
      </c>
      <c r="AE90">
        <f>DMAX(_xlnm.database,"n",AD89:AD90)</f>
        <v>219</v>
      </c>
      <c r="AF90" s="16"/>
      <c r="AH90" s="22">
        <f>AH88-7</f>
        <v>44133.625</v>
      </c>
      <c r="AI90">
        <f>DMAX(_xlnm.database,"n",AH89:AH90)</f>
        <v>237</v>
      </c>
      <c r="AJ90" s="16"/>
      <c r="AK90"/>
      <c r="AL90" s="22">
        <f>AL88-7</f>
        <v>44132.625</v>
      </c>
      <c r="AM90">
        <f>DMAX(_xlnm.database,"n",AL89:AL90)</f>
        <v>239</v>
      </c>
      <c r="AP90" s="22">
        <f>AP88-7</f>
        <v>44131.625</v>
      </c>
      <c r="AQ90">
        <f>DMAX(_xlnm.database,"n",AP89:AP90)</f>
        <v>231</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44131.625</v>
      </c>
      <c r="O92">
        <f>DMAX(_xlnm.database,"n",N91:N92)</f>
        <v>231</v>
      </c>
      <c r="R92" s="22">
        <f>R90-7</f>
        <v>44130.625</v>
      </c>
      <c r="S92">
        <f>DMAX(_xlnm.database,"n",R91:R92)</f>
        <v>256</v>
      </c>
      <c r="T92" s="16"/>
      <c r="V92" s="22">
        <f>V90-7</f>
        <v>44129.625</v>
      </c>
      <c r="W92">
        <f>DMAX(_xlnm.database,"n",V91:V92)</f>
        <v>124</v>
      </c>
      <c r="X92" s="16"/>
      <c r="Y92"/>
      <c r="Z92" s="22">
        <f>Z90-7</f>
        <v>44128.625</v>
      </c>
      <c r="AA92">
        <f>DMAX(_xlnm.database,"n",Z91:Z92)</f>
        <v>107</v>
      </c>
      <c r="AD92" s="22">
        <f>AD90-7</f>
        <v>44127.625</v>
      </c>
      <c r="AE92">
        <f>DMAX(_xlnm.database,"n",AD91:AD92)</f>
        <v>192</v>
      </c>
      <c r="AF92" s="16"/>
      <c r="AH92" s="22">
        <f>AH90-7</f>
        <v>44126.625</v>
      </c>
      <c r="AI92">
        <f>DMAX(_xlnm.database,"n",AH91:AH92)</f>
        <v>220</v>
      </c>
      <c r="AJ92" s="16"/>
      <c r="AK92"/>
      <c r="AL92" s="22">
        <f>AL90-7</f>
        <v>44125.625</v>
      </c>
      <c r="AM92">
        <f>DMAX(_xlnm.database,"n",AL91:AL92)</f>
        <v>188</v>
      </c>
      <c r="AP92" s="22">
        <f>AP90-7</f>
        <v>44124.625</v>
      </c>
      <c r="AQ92">
        <f>DMAX(_xlnm.database,"n",AP91:AP92)</f>
        <v>166</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44124.625</v>
      </c>
      <c r="O94">
        <f>DMAX(_xlnm.database,"n",N93:N94)</f>
        <v>166</v>
      </c>
      <c r="R94" s="22">
        <f>R92-7</f>
        <v>44123.625</v>
      </c>
      <c r="S94">
        <f>DMAX(_xlnm.database,"n",R93:R94)</f>
        <v>244</v>
      </c>
      <c r="T94" s="16"/>
      <c r="V94" s="22">
        <f>V92-7</f>
        <v>44122.625</v>
      </c>
      <c r="W94">
        <f>DMAX(_xlnm.database,"n",V93:V94)</f>
        <v>129</v>
      </c>
      <c r="X94" s="16"/>
      <c r="Y94"/>
      <c r="Z94" s="22">
        <f>Z92-7</f>
        <v>44121.625</v>
      </c>
      <c r="AA94">
        <f>DMAX(_xlnm.database,"n",Z93:Z94)</f>
        <v>104</v>
      </c>
      <c r="AD94" s="22">
        <f>AD92-7</f>
        <v>44120.625</v>
      </c>
      <c r="AE94">
        <f>DMAX(_xlnm.database,"n",AD93:AD94)</f>
        <v>195</v>
      </c>
      <c r="AF94" s="16"/>
      <c r="AH94" s="22">
        <f>AH92-7</f>
        <v>44119.625</v>
      </c>
      <c r="AI94">
        <f>DMAX(_xlnm.database,"n",AH93:AH94)</f>
        <v>190</v>
      </c>
      <c r="AJ94" s="16"/>
      <c r="AK94"/>
      <c r="AL94" s="22">
        <f>AL92-7</f>
        <v>44118.625</v>
      </c>
      <c r="AM94">
        <f>DMAX(_xlnm.database,"n",AL93:AL94)</f>
        <v>201</v>
      </c>
      <c r="AP94" s="22">
        <f>AP92-7</f>
        <v>44117.625</v>
      </c>
      <c r="AQ94">
        <f>DMAX(_xlnm.database,"n",AP93:AP94)</f>
        <v>198</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44117.625</v>
      </c>
      <c r="O96">
        <f>DMAX(_xlnm.database,"n",N95:N96)</f>
        <v>198</v>
      </c>
      <c r="R96" s="22">
        <f>R94-7</f>
        <v>44116.625</v>
      </c>
      <c r="S96">
        <f>DMAX(_xlnm.database,"n",R95:R96)</f>
        <v>255</v>
      </c>
      <c r="T96" s="16"/>
      <c r="V96" s="22">
        <f>V94-7</f>
        <v>44115.625</v>
      </c>
      <c r="W96">
        <f>DMAX(_xlnm.database,"n",V95:V96)</f>
        <v>130</v>
      </c>
      <c r="X96" s="16"/>
      <c r="Y96"/>
      <c r="Z96" s="22">
        <f>Z94-7</f>
        <v>44114.625</v>
      </c>
      <c r="AA96">
        <f>DMAX(_xlnm.database,"n",Z95:Z96)</f>
        <v>109</v>
      </c>
      <c r="AD96" s="22">
        <f>AD94-7</f>
        <v>44113.625</v>
      </c>
      <c r="AE96">
        <f>DMAX(_xlnm.database,"n",AD95:AD96)</f>
        <v>227</v>
      </c>
      <c r="AF96" s="16"/>
      <c r="AH96" s="22">
        <f>AH94-7</f>
        <v>44112.625</v>
      </c>
      <c r="AI96">
        <f>DMAX(_xlnm.database,"n",AH95:AH96)</f>
        <v>258</v>
      </c>
      <c r="AJ96" s="16"/>
      <c r="AK96"/>
      <c r="AL96" s="22">
        <f>AL94-7</f>
        <v>44111.625</v>
      </c>
      <c r="AM96">
        <f>DMAX(_xlnm.database,"n",AL95:AL96)</f>
        <v>306</v>
      </c>
      <c r="AP96" s="22">
        <f>AP94-7</f>
        <v>44110.625</v>
      </c>
      <c r="AQ96">
        <f>DMAX(_xlnm.database,"n",AP95:AP96)</f>
        <v>303</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44110.625</v>
      </c>
      <c r="O98">
        <f>DMAX(_xlnm.database,"n",N97:N98)</f>
        <v>303</v>
      </c>
      <c r="R98" s="22">
        <f>R96-7</f>
        <v>44109.625</v>
      </c>
      <c r="S98">
        <f>DMAX(_xlnm.database,"n",R97:R98)</f>
        <v>291</v>
      </c>
      <c r="T98" s="16"/>
      <c r="V98" s="22">
        <f>V96-7</f>
        <v>44108.625</v>
      </c>
      <c r="W98">
        <f>DMAX(_xlnm.database,"n",V97:V98)</f>
        <v>148</v>
      </c>
      <c r="X98" s="16"/>
      <c r="Y98"/>
      <c r="Z98" s="22">
        <f>Z96-7</f>
        <v>44107.625</v>
      </c>
      <c r="AA98">
        <f>DMAX(_xlnm.database,"n",Z97:Z98)</f>
        <v>180</v>
      </c>
      <c r="AD98" s="22">
        <f>AD96-7</f>
        <v>44106.625</v>
      </c>
      <c r="AE98">
        <f>DMAX(_xlnm.database,"n",AD97:AD98)</f>
        <v>188</v>
      </c>
      <c r="AF98" s="16"/>
      <c r="AH98" s="22">
        <f>AH96-7</f>
        <v>44105.625</v>
      </c>
      <c r="AI98">
        <f>DMAX(_xlnm.database,"n",AH97:AH98)</f>
        <v>188</v>
      </c>
      <c r="AJ98" s="16"/>
      <c r="AK98"/>
      <c r="AL98" s="22">
        <f>AL96-7</f>
        <v>44104.625</v>
      </c>
      <c r="AM98">
        <f>DMAX(_xlnm.database,"n",AL97:AL98)</f>
        <v>166</v>
      </c>
      <c r="AP98" s="22">
        <f>AP96-7</f>
        <v>44103.625</v>
      </c>
      <c r="AQ98">
        <f>DMAX(_xlnm.database,"n",AP97:AP98)</f>
        <v>134</v>
      </c>
      <c r="AR98" s="16"/>
    </row>
    <row r="101" spans="14:44" ht="18.45">
      <c r="N101" s="23" t="str">
        <f>" COVID-19 tapauksia 7 päivän välein "&amp;TEXT(R104,"p.k")&amp;" saakka (- uusin ... vanhin)"</f>
        <v xml:space="preserve"> COVID-19 tapauksia 7 päivän välein 8.12 saakka (- uusin ... vanhin)</v>
      </c>
    </row>
    <row r="103" spans="14:44">
      <c r="R103" t="s">
        <v>7</v>
      </c>
      <c r="S103"/>
      <c r="T103" s="16"/>
    </row>
    <row r="104" spans="14:44">
      <c r="R104" s="22">
        <f>N80</f>
        <v>44173.625</v>
      </c>
      <c r="S104">
        <f>DMAX(_xlnm.database,"n",R103:R104)</f>
        <v>457</v>
      </c>
      <c r="T104" s="21">
        <f>R104</f>
        <v>44173.625</v>
      </c>
      <c r="U104">
        <f>S104</f>
        <v>457</v>
      </c>
    </row>
    <row r="105" spans="14:44">
      <c r="R105" t="s">
        <v>7</v>
      </c>
      <c r="S105"/>
      <c r="T105" s="16">
        <f>T104-1</f>
        <v>44172.625</v>
      </c>
      <c r="U105">
        <f>S106</f>
        <v>588</v>
      </c>
    </row>
    <row r="106" spans="14:44">
      <c r="R106" s="22">
        <f>R104-1</f>
        <v>44172.625</v>
      </c>
      <c r="S106">
        <f>DMAX(_xlnm.database,"n",R105:R106)</f>
        <v>588</v>
      </c>
      <c r="T106" s="16">
        <f t="shared" ref="T106:T140" si="31">T105-1</f>
        <v>44171.625</v>
      </c>
      <c r="U106">
        <f>S108</f>
        <v>282</v>
      </c>
    </row>
    <row r="107" spans="14:44">
      <c r="R107" t="s">
        <v>7</v>
      </c>
      <c r="S107"/>
      <c r="T107" s="16">
        <f t="shared" si="31"/>
        <v>44170.625</v>
      </c>
      <c r="U107">
        <f>S110</f>
        <v>252</v>
      </c>
    </row>
    <row r="108" spans="14:44">
      <c r="R108" s="22">
        <f>R106-1</f>
        <v>44171.625</v>
      </c>
      <c r="S108">
        <f>DMAX(_xlnm.database,"n",R107:R108)</f>
        <v>282</v>
      </c>
      <c r="T108" s="16">
        <f t="shared" si="31"/>
        <v>44169.625</v>
      </c>
      <c r="U108">
        <f>S112</f>
        <v>475</v>
      </c>
    </row>
    <row r="109" spans="14:44">
      <c r="R109" t="s">
        <v>7</v>
      </c>
      <c r="S109"/>
      <c r="T109" s="16">
        <f t="shared" si="31"/>
        <v>44168.625</v>
      </c>
      <c r="U109">
        <f>S114</f>
        <v>474</v>
      </c>
    </row>
    <row r="110" spans="14:44">
      <c r="R110" s="22">
        <f>R108-1</f>
        <v>44170.625</v>
      </c>
      <c r="S110">
        <f>DMAX(_xlnm.database,"n",R109:R110)</f>
        <v>252</v>
      </c>
      <c r="T110" s="16">
        <f t="shared" si="31"/>
        <v>44167.625</v>
      </c>
      <c r="U110">
        <f>S116</f>
        <v>495</v>
      </c>
    </row>
    <row r="111" spans="14:44">
      <c r="R111" t="s">
        <v>7</v>
      </c>
      <c r="S111"/>
      <c r="T111" s="16">
        <f t="shared" si="31"/>
        <v>44166.625</v>
      </c>
      <c r="U111">
        <f>S118</f>
        <v>443</v>
      </c>
    </row>
    <row r="112" spans="14:44">
      <c r="R112" s="22">
        <f>R110-1</f>
        <v>44169.625</v>
      </c>
      <c r="S112">
        <f>DMAX(_xlnm.database,"n",R111:R112)</f>
        <v>475</v>
      </c>
      <c r="T112" s="16">
        <f t="shared" si="31"/>
        <v>44165.625</v>
      </c>
      <c r="U112">
        <f>S120</f>
        <v>597</v>
      </c>
    </row>
    <row r="113" spans="18:21">
      <c r="R113" t="s">
        <v>7</v>
      </c>
      <c r="S113"/>
      <c r="T113" s="16">
        <f t="shared" si="31"/>
        <v>44164.625</v>
      </c>
      <c r="U113">
        <f>S122</f>
        <v>293</v>
      </c>
    </row>
    <row r="114" spans="18:21">
      <c r="R114" s="22">
        <f>R112-1</f>
        <v>44168.625</v>
      </c>
      <c r="S114">
        <f>DMAX(_xlnm.database,"n",R113:R114)</f>
        <v>474</v>
      </c>
      <c r="T114" s="16">
        <f t="shared" si="31"/>
        <v>44163.625</v>
      </c>
      <c r="U114">
        <f>S124</f>
        <v>282</v>
      </c>
    </row>
    <row r="115" spans="18:21">
      <c r="R115" t="s">
        <v>7</v>
      </c>
      <c r="S115"/>
      <c r="T115" s="16">
        <f t="shared" si="31"/>
        <v>44162.625</v>
      </c>
      <c r="U115">
        <f>S126</f>
        <v>460</v>
      </c>
    </row>
    <row r="116" spans="18:21">
      <c r="R116" s="22">
        <f>R114-1</f>
        <v>44167.625</v>
      </c>
      <c r="S116">
        <f>DMAX(_xlnm.database,"n",R115:R116)</f>
        <v>495</v>
      </c>
      <c r="T116" s="16">
        <f t="shared" si="31"/>
        <v>44161.625</v>
      </c>
      <c r="U116">
        <f>S128</f>
        <v>511</v>
      </c>
    </row>
    <row r="117" spans="18:21">
      <c r="R117" t="s">
        <v>7</v>
      </c>
      <c r="S117"/>
      <c r="T117" s="16">
        <f t="shared" si="31"/>
        <v>44160.625</v>
      </c>
      <c r="U117">
        <f>S130</f>
        <v>615</v>
      </c>
    </row>
    <row r="118" spans="18:21">
      <c r="R118" s="22">
        <f>R116-1</f>
        <v>44166.625</v>
      </c>
      <c r="S118">
        <f>DMAX(_xlnm.database,"n",R117:R118)</f>
        <v>443</v>
      </c>
      <c r="T118" s="16">
        <f t="shared" si="31"/>
        <v>44159.625</v>
      </c>
      <c r="U118">
        <f>S132</f>
        <v>468</v>
      </c>
    </row>
    <row r="119" spans="18:21">
      <c r="R119" t="s">
        <v>7</v>
      </c>
      <c r="S119"/>
      <c r="T119" s="16">
        <f t="shared" si="31"/>
        <v>44158.625</v>
      </c>
      <c r="U119">
        <f>S134</f>
        <v>505</v>
      </c>
    </row>
    <row r="120" spans="18:21">
      <c r="R120" s="22">
        <f>R118-1</f>
        <v>44165.625</v>
      </c>
      <c r="S120">
        <f>DMAX(_xlnm.database,"n",R119:R120)</f>
        <v>597</v>
      </c>
      <c r="T120" s="16">
        <f t="shared" si="31"/>
        <v>44157.625</v>
      </c>
      <c r="U120">
        <f>S136</f>
        <v>267</v>
      </c>
    </row>
    <row r="121" spans="18:21">
      <c r="R121" t="s">
        <v>7</v>
      </c>
      <c r="S121"/>
      <c r="T121" s="16">
        <f t="shared" si="31"/>
        <v>44156.625</v>
      </c>
      <c r="U121">
        <f>S138</f>
        <v>268</v>
      </c>
    </row>
    <row r="122" spans="18:21">
      <c r="R122" s="22">
        <f>R120-1</f>
        <v>44164.625</v>
      </c>
      <c r="S122">
        <f>DMAX(_xlnm.database,"n",R121:R122)</f>
        <v>293</v>
      </c>
      <c r="T122" s="16">
        <f t="shared" si="31"/>
        <v>44155.625</v>
      </c>
      <c r="U122">
        <f>S140</f>
        <v>429</v>
      </c>
    </row>
    <row r="123" spans="18:21">
      <c r="R123" t="s">
        <v>7</v>
      </c>
      <c r="S123"/>
      <c r="T123" s="16">
        <f t="shared" si="31"/>
        <v>44154.625</v>
      </c>
      <c r="U123">
        <f>S142</f>
        <v>478</v>
      </c>
    </row>
    <row r="124" spans="18:21">
      <c r="R124" s="22">
        <f>R122-1</f>
        <v>44163.625</v>
      </c>
      <c r="S124">
        <f>DMAX(_xlnm.database,"n",R123:R124)</f>
        <v>282</v>
      </c>
      <c r="T124" s="16">
        <f t="shared" si="31"/>
        <v>44153.625</v>
      </c>
      <c r="U124">
        <f>S144</f>
        <v>371</v>
      </c>
    </row>
    <row r="125" spans="18:21">
      <c r="R125" t="s">
        <v>7</v>
      </c>
      <c r="S125"/>
      <c r="T125" s="16">
        <f t="shared" si="31"/>
        <v>44152.625</v>
      </c>
      <c r="U125">
        <f>S146</f>
        <v>391</v>
      </c>
    </row>
    <row r="126" spans="18:21">
      <c r="R126" s="22">
        <f>R124-1</f>
        <v>44162.625</v>
      </c>
      <c r="S126">
        <f>DMAX(_xlnm.database,"n",R125:R126)</f>
        <v>460</v>
      </c>
      <c r="T126" s="16">
        <f t="shared" si="31"/>
        <v>44151.625</v>
      </c>
      <c r="U126">
        <f>S148</f>
        <v>392</v>
      </c>
    </row>
    <row r="127" spans="18:21">
      <c r="R127" t="s">
        <v>7</v>
      </c>
      <c r="S127"/>
      <c r="T127" s="16">
        <f t="shared" si="31"/>
        <v>44150.625</v>
      </c>
      <c r="U127">
        <f>S150</f>
        <v>182</v>
      </c>
    </row>
    <row r="128" spans="18:21">
      <c r="R128" s="22">
        <f>R126-1</f>
        <v>44161.625</v>
      </c>
      <c r="S128">
        <f>DMAX(_xlnm.database,"n",R127:R128)</f>
        <v>511</v>
      </c>
      <c r="T128" s="16">
        <f t="shared" si="31"/>
        <v>44149.625</v>
      </c>
      <c r="U128">
        <f>S152</f>
        <v>145</v>
      </c>
    </row>
    <row r="129" spans="18:21">
      <c r="R129" t="s">
        <v>7</v>
      </c>
      <c r="S129"/>
      <c r="T129" s="16">
        <f t="shared" si="31"/>
        <v>44148.625</v>
      </c>
      <c r="U129">
        <f>S154</f>
        <v>265</v>
      </c>
    </row>
    <row r="130" spans="18:21">
      <c r="R130" s="22">
        <f>R128-1</f>
        <v>44160.625</v>
      </c>
      <c r="S130">
        <f>DMAX(_xlnm.database,"n",R129:R130)</f>
        <v>615</v>
      </c>
      <c r="T130" s="16">
        <f t="shared" si="31"/>
        <v>44147.625</v>
      </c>
      <c r="U130">
        <f>S156</f>
        <v>282</v>
      </c>
    </row>
    <row r="131" spans="18:21">
      <c r="R131" t="s">
        <v>7</v>
      </c>
      <c r="S131"/>
      <c r="T131" s="16">
        <f t="shared" si="31"/>
        <v>44146.625</v>
      </c>
      <c r="U131">
        <f>S158</f>
        <v>293</v>
      </c>
    </row>
    <row r="132" spans="18:21">
      <c r="R132" s="22">
        <f>R130-1</f>
        <v>44159.625</v>
      </c>
      <c r="S132">
        <f>DMAX(_xlnm.database,"n",R131:R132)</f>
        <v>468</v>
      </c>
      <c r="T132" s="16">
        <f t="shared" si="31"/>
        <v>44145.625</v>
      </c>
      <c r="U132">
        <f>S160</f>
        <v>205</v>
      </c>
    </row>
    <row r="133" spans="18:21">
      <c r="R133" t="s">
        <v>7</v>
      </c>
      <c r="S133"/>
      <c r="T133" s="16">
        <f t="shared" si="31"/>
        <v>44144.625</v>
      </c>
      <c r="U133">
        <f>S162</f>
        <v>273</v>
      </c>
    </row>
    <row r="134" spans="18:21">
      <c r="R134" s="22">
        <f>R132-1</f>
        <v>44158.625</v>
      </c>
      <c r="S134">
        <f>DMAX(_xlnm.database,"n",R133:R134)</f>
        <v>505</v>
      </c>
      <c r="T134" s="16">
        <f t="shared" si="31"/>
        <v>44143.625</v>
      </c>
      <c r="U134">
        <f>S164</f>
        <v>133</v>
      </c>
    </row>
    <row r="135" spans="18:21">
      <c r="R135" t="s">
        <v>7</v>
      </c>
      <c r="S135"/>
      <c r="T135" s="16">
        <f t="shared" si="31"/>
        <v>44142.625</v>
      </c>
      <c r="U135">
        <f>S166</f>
        <v>128</v>
      </c>
    </row>
    <row r="136" spans="18:21">
      <c r="R136" s="22">
        <f>R134-1</f>
        <v>44157.625</v>
      </c>
      <c r="S136">
        <f>DMAX(_xlnm.database,"n",R135:R136)</f>
        <v>267</v>
      </c>
      <c r="T136" s="16">
        <f t="shared" si="31"/>
        <v>44141.625</v>
      </c>
      <c r="U136">
        <f>S168</f>
        <v>196</v>
      </c>
    </row>
    <row r="137" spans="18:21">
      <c r="R137" t="s">
        <v>7</v>
      </c>
      <c r="S137"/>
      <c r="T137" s="16">
        <f t="shared" si="31"/>
        <v>44140.625</v>
      </c>
      <c r="U137">
        <f>S170</f>
        <v>222</v>
      </c>
    </row>
    <row r="138" spans="18:21">
      <c r="R138" s="22">
        <f>R136-1</f>
        <v>44156.625</v>
      </c>
      <c r="S138">
        <f>DMAX(_xlnm.database,"n",R137:R138)</f>
        <v>268</v>
      </c>
      <c r="T138" s="16">
        <f t="shared" si="31"/>
        <v>44139.625</v>
      </c>
      <c r="U138">
        <f>S172</f>
        <v>213</v>
      </c>
    </row>
    <row r="139" spans="18:21">
      <c r="R139" t="s">
        <v>7</v>
      </c>
      <c r="S139"/>
      <c r="T139" s="16">
        <f t="shared" si="31"/>
        <v>44138.625</v>
      </c>
      <c r="U139">
        <f>S174</f>
        <v>241</v>
      </c>
    </row>
    <row r="140" spans="18:21">
      <c r="R140" s="22">
        <f>R138-1</f>
        <v>44155.625</v>
      </c>
      <c r="S140">
        <f>DMAX(_xlnm.database,"n",R139:R140)</f>
        <v>429</v>
      </c>
      <c r="T140" s="16">
        <f t="shared" si="31"/>
        <v>44137.625</v>
      </c>
      <c r="U140">
        <f>S176</f>
        <v>289</v>
      </c>
    </row>
    <row r="141" spans="18:21">
      <c r="R141" t="s">
        <v>7</v>
      </c>
      <c r="S141"/>
    </row>
    <row r="142" spans="18:21">
      <c r="R142" s="22">
        <f>R140-1</f>
        <v>44154.625</v>
      </c>
      <c r="S142">
        <f>DMAX(_xlnm.database,"n",R141:R142)</f>
        <v>478</v>
      </c>
    </row>
    <row r="143" spans="18:21">
      <c r="R143" t="s">
        <v>7</v>
      </c>
      <c r="S143"/>
    </row>
    <row r="144" spans="18:21">
      <c r="R144" s="22">
        <f>R142-1</f>
        <v>44153.625</v>
      </c>
      <c r="S144">
        <f>DMAX(_xlnm.database,"n",R143:R144)</f>
        <v>371</v>
      </c>
    </row>
    <row r="145" spans="18:19">
      <c r="R145" t="s">
        <v>7</v>
      </c>
      <c r="S145"/>
    </row>
    <row r="146" spans="18:19">
      <c r="R146" s="22">
        <f>R144-1</f>
        <v>44152.625</v>
      </c>
      <c r="S146">
        <f>DMAX(_xlnm.database,"n",R145:R146)</f>
        <v>391</v>
      </c>
    </row>
    <row r="147" spans="18:19">
      <c r="R147" t="s">
        <v>7</v>
      </c>
      <c r="S147"/>
    </row>
    <row r="148" spans="18:19">
      <c r="R148" s="22">
        <f>R146-1</f>
        <v>44151.625</v>
      </c>
      <c r="S148">
        <f>DMAX(_xlnm.database,"n",R147:R148)</f>
        <v>392</v>
      </c>
    </row>
    <row r="149" spans="18:19">
      <c r="R149" t="s">
        <v>7</v>
      </c>
      <c r="S149"/>
    </row>
    <row r="150" spans="18:19">
      <c r="R150" s="22">
        <f>R148-1</f>
        <v>44150.625</v>
      </c>
      <c r="S150">
        <f>DMAX(_xlnm.database,"n",R149:R150)</f>
        <v>182</v>
      </c>
    </row>
    <row r="151" spans="18:19">
      <c r="R151" t="s">
        <v>7</v>
      </c>
      <c r="S151"/>
    </row>
    <row r="152" spans="18:19">
      <c r="R152" s="22">
        <f>R150-1</f>
        <v>44149.625</v>
      </c>
      <c r="S152">
        <f>DMAX(_xlnm.database,"n",R151:R152)</f>
        <v>145</v>
      </c>
    </row>
    <row r="153" spans="18:19">
      <c r="R153" t="s">
        <v>7</v>
      </c>
      <c r="S153"/>
    </row>
    <row r="154" spans="18:19">
      <c r="R154" s="22">
        <f>R152-1</f>
        <v>44148.625</v>
      </c>
      <c r="S154">
        <f>DMAX(_xlnm.database,"n",R153:R154)</f>
        <v>265</v>
      </c>
    </row>
    <row r="155" spans="18:19">
      <c r="R155" t="s">
        <v>7</v>
      </c>
      <c r="S155"/>
    </row>
    <row r="156" spans="18:19">
      <c r="R156" s="22">
        <f>R154-1</f>
        <v>44147.625</v>
      </c>
      <c r="S156">
        <f>DMAX(_xlnm.database,"n",R155:R156)</f>
        <v>282</v>
      </c>
    </row>
    <row r="157" spans="18:19">
      <c r="R157" t="s">
        <v>7</v>
      </c>
      <c r="S157"/>
    </row>
    <row r="158" spans="18:19">
      <c r="R158" s="22">
        <f>R156-1</f>
        <v>44146.625</v>
      </c>
      <c r="S158">
        <f>DMAX(_xlnm.database,"n",R157:R158)</f>
        <v>293</v>
      </c>
    </row>
    <row r="159" spans="18:19">
      <c r="R159" t="s">
        <v>7</v>
      </c>
      <c r="S159"/>
    </row>
    <row r="160" spans="18:19">
      <c r="R160" s="22">
        <f>R158-1</f>
        <v>44145.625</v>
      </c>
      <c r="S160">
        <f>DMAX(_xlnm.database,"n",R159:R160)</f>
        <v>205</v>
      </c>
    </row>
    <row r="161" spans="18:19">
      <c r="R161" t="s">
        <v>7</v>
      </c>
      <c r="S161"/>
    </row>
    <row r="162" spans="18:19">
      <c r="R162" s="22">
        <f>R160-1</f>
        <v>44144.625</v>
      </c>
      <c r="S162">
        <f>DMAX(_xlnm.database,"n",R161:R162)</f>
        <v>273</v>
      </c>
    </row>
    <row r="163" spans="18:19">
      <c r="R163" t="s">
        <v>7</v>
      </c>
      <c r="S163"/>
    </row>
    <row r="164" spans="18:19">
      <c r="R164" s="22">
        <f>R162-1</f>
        <v>44143.625</v>
      </c>
      <c r="S164">
        <f>DMAX(_xlnm.database,"n",R163:R164)</f>
        <v>133</v>
      </c>
    </row>
    <row r="165" spans="18:19">
      <c r="R165" t="s">
        <v>7</v>
      </c>
      <c r="S165"/>
    </row>
    <row r="166" spans="18:19">
      <c r="R166" s="22">
        <f>R164-1</f>
        <v>44142.625</v>
      </c>
      <c r="S166">
        <f>DMAX(_xlnm.database,"n",R165:R166)</f>
        <v>128</v>
      </c>
    </row>
    <row r="167" spans="18:19">
      <c r="R167" t="s">
        <v>7</v>
      </c>
      <c r="S167"/>
    </row>
    <row r="168" spans="18:19">
      <c r="R168" s="22">
        <f>R166-1</f>
        <v>44141.625</v>
      </c>
      <c r="S168">
        <f>DMAX(_xlnm.database,"n",R167:R168)</f>
        <v>196</v>
      </c>
    </row>
    <row r="169" spans="18:19">
      <c r="R169" t="s">
        <v>7</v>
      </c>
      <c r="S169"/>
    </row>
    <row r="170" spans="18:19">
      <c r="R170" s="22">
        <f>R168-1</f>
        <v>44140.625</v>
      </c>
      <c r="S170">
        <f>DMAX(_xlnm.database,"n",R169:R170)</f>
        <v>222</v>
      </c>
    </row>
    <row r="171" spans="18:19">
      <c r="R171" t="s">
        <v>7</v>
      </c>
      <c r="S171"/>
    </row>
    <row r="172" spans="18:19">
      <c r="R172" s="22">
        <f>R170-1</f>
        <v>44139.625</v>
      </c>
      <c r="S172">
        <f>DMAX(_xlnm.database,"n",R171:R172)</f>
        <v>213</v>
      </c>
    </row>
    <row r="173" spans="18:19">
      <c r="R173" t="s">
        <v>7</v>
      </c>
      <c r="S173"/>
    </row>
    <row r="174" spans="18:19">
      <c r="R174" s="22">
        <f>R172-1</f>
        <v>44138.625</v>
      </c>
      <c r="S174">
        <f>DMAX(_xlnm.database,"n",R173:R174)</f>
        <v>241</v>
      </c>
    </row>
    <row r="175" spans="18:19">
      <c r="R175" t="s">
        <v>7</v>
      </c>
      <c r="S175"/>
    </row>
    <row r="176" spans="18:19">
      <c r="R176" s="22">
        <f>R174-1</f>
        <v>44137.625</v>
      </c>
      <c r="S176">
        <f>DMAX(_xlnm.database,"n",R175:R176)</f>
        <v>289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2020-12-12T09:47:34Z</dcterms:modified>
</cp:coreProperties>
</file>