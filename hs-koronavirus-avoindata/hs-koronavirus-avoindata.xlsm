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1DA85BC-743B-4654-BBA8-F996A78B7F9F}"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116" i="2" l="1"/>
  <c r="AF114" i="2"/>
  <c r="AF115" i="2" s="1"/>
  <c r="AF90" i="2"/>
  <c r="AF91" i="2"/>
  <c r="AF92" i="2"/>
  <c r="AF93" i="2"/>
  <c r="AF94" i="2" s="1"/>
  <c r="AF95" i="2" s="1"/>
  <c r="AF96" i="2" s="1"/>
  <c r="AF97" i="2" s="1"/>
  <c r="AF98" i="2" s="1"/>
  <c r="AF99" i="2" s="1"/>
  <c r="AF100" i="2" s="1"/>
  <c r="AF101" i="2" s="1"/>
  <c r="AF102" i="2" s="1"/>
  <c r="AF103" i="2" s="1"/>
  <c r="AF104" i="2" s="1"/>
  <c r="AF105" i="2" s="1"/>
  <c r="AF106" i="2" s="1"/>
  <c r="AF107" i="2" s="1"/>
  <c r="AF108" i="2" s="1"/>
  <c r="AF109" i="2" s="1"/>
  <c r="AF110" i="2" s="1"/>
  <c r="AF111" i="2" s="1"/>
  <c r="AF112" i="2" s="1"/>
  <c r="AF113" i="2" s="1"/>
  <c r="AG116" i="2"/>
  <c r="AG115" i="2"/>
  <c r="AG114" i="2"/>
  <c r="AG113" i="2"/>
  <c r="AG112" i="2"/>
  <c r="AG111" i="2"/>
  <c r="AG110" i="2"/>
  <c r="AG109" i="2"/>
  <c r="AG108" i="2"/>
  <c r="AG107" i="2"/>
  <c r="AG106" i="2"/>
  <c r="AG105" i="2"/>
  <c r="AG104" i="2"/>
  <c r="AG103" i="2"/>
  <c r="AG102" i="2"/>
  <c r="AG101" i="2"/>
  <c r="AG100" i="2"/>
  <c r="AG99" i="2"/>
  <c r="AG98" i="2"/>
  <c r="AG97" i="2"/>
  <c r="AG96" i="2"/>
  <c r="AG95" i="2"/>
  <c r="AG94" i="2"/>
  <c r="AG93" i="2"/>
  <c r="AG92" i="2"/>
  <c r="AG91" i="2"/>
  <c r="AG90" i="2"/>
  <c r="AE152" i="2"/>
  <c r="AD152" i="2"/>
  <c r="AE150" i="2"/>
  <c r="AD150" i="2"/>
  <c r="AE148" i="2"/>
  <c r="AD148" i="2"/>
  <c r="AE146" i="2"/>
  <c r="AD146" i="2"/>
  <c r="AD144" i="2"/>
  <c r="AE144" i="2" s="1"/>
  <c r="AD142" i="2"/>
  <c r="AE142" i="2" s="1"/>
  <c r="AE140" i="2"/>
  <c r="AD140" i="2"/>
  <c r="AE138" i="2"/>
  <c r="AD138" i="2"/>
  <c r="AE136" i="2"/>
  <c r="AD136" i="2"/>
  <c r="AE134" i="2"/>
  <c r="AD134" i="2"/>
  <c r="AE132" i="2"/>
  <c r="AD132" i="2"/>
  <c r="AE130" i="2"/>
  <c r="AD130" i="2"/>
  <c r="AE128" i="2"/>
  <c r="AD128" i="2"/>
  <c r="AD126" i="2"/>
  <c r="AE126" i="2" s="1"/>
  <c r="AE124" i="2"/>
  <c r="AD124" i="2"/>
  <c r="AE122" i="2"/>
  <c r="AD122" i="2"/>
  <c r="AE120" i="2"/>
  <c r="AD120" i="2"/>
  <c r="AE118" i="2"/>
  <c r="AD118" i="2"/>
  <c r="AE116" i="2"/>
  <c r="AD116" i="2"/>
  <c r="AE114" i="2"/>
  <c r="AD114" i="2"/>
  <c r="AE112" i="2"/>
  <c r="AD112" i="2"/>
  <c r="AE110" i="2"/>
  <c r="AD110" i="2"/>
  <c r="AE108" i="2"/>
  <c r="AD108" i="2"/>
  <c r="AE106" i="2"/>
  <c r="AD106" i="2"/>
  <c r="AE104" i="2"/>
  <c r="AD104" i="2"/>
  <c r="AE102" i="2"/>
  <c r="AD102" i="2"/>
  <c r="AE100" i="2"/>
  <c r="AD100" i="2"/>
  <c r="AF82" i="2"/>
  <c r="AF83" i="2" s="1"/>
  <c r="AF84" i="2" s="1"/>
  <c r="AF85" i="2" s="1"/>
  <c r="AF86" i="2" s="1"/>
  <c r="AF87" i="2" s="1"/>
  <c r="AF88" i="2" s="1"/>
  <c r="AF89" i="2" s="1"/>
  <c r="AF81" i="2"/>
  <c r="AD98" i="2"/>
  <c r="AD96" i="2"/>
  <c r="AD94" i="2"/>
  <c r="AD92" i="2"/>
  <c r="AD90" i="2"/>
  <c r="AD88" i="2"/>
  <c r="AD86" i="2"/>
  <c r="AD84" i="2"/>
  <c r="AD82" i="2"/>
  <c r="AD80" i="2"/>
  <c r="AE82" i="2" l="1"/>
  <c r="AG81" i="2" s="1"/>
  <c r="AE80" i="2"/>
  <c r="AG80" i="2" s="1"/>
  <c r="AF80" i="2"/>
  <c r="FY67" i="2"/>
  <c r="FV67" i="2"/>
  <c r="FS67" i="2"/>
  <c r="FP67" i="2"/>
  <c r="FM67" i="2"/>
  <c r="FJ67" i="2"/>
  <c r="FG67" i="2"/>
  <c r="FD67" i="2"/>
  <c r="FA67" i="2"/>
  <c r="AE84" i="2" l="1"/>
  <c r="AG82" i="2" s="1"/>
  <c r="P66" i="2"/>
  <c r="N70" i="2" s="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AE86" i="2" l="1"/>
  <c r="AG83" i="2" s="1"/>
  <c r="N80" i="2"/>
  <c r="R80" i="2" s="1"/>
  <c r="N71" i="2"/>
  <c r="EX67" i="2"/>
  <c r="EU67" i="2"/>
  <c r="ER67" i="2"/>
  <c r="EO67" i="2"/>
  <c r="EL67" i="2"/>
  <c r="EI67" i="2"/>
  <c r="EF67" i="2"/>
  <c r="EC67" i="2"/>
  <c r="DZ67" i="2"/>
  <c r="DW67" i="2"/>
  <c r="DT67" i="2"/>
  <c r="DQ67" i="2"/>
  <c r="DN67" i="2"/>
  <c r="DK67" i="2"/>
  <c r="DH67" i="2"/>
  <c r="DE67" i="2"/>
  <c r="DB67" i="2"/>
  <c r="CY67" i="2"/>
  <c r="CV67" i="2"/>
  <c r="CS67" i="2"/>
  <c r="CP67" i="2"/>
  <c r="CM67" i="2"/>
  <c r="CJ67" i="2"/>
  <c r="AE88" i="2" l="1"/>
  <c r="AG84" i="2" s="1"/>
  <c r="V80" i="2"/>
  <c r="R82" i="2"/>
  <c r="S80" i="2"/>
  <c r="U80" i="2" s="1"/>
  <c r="T80" i="2"/>
  <c r="T81" i="2" s="1"/>
  <c r="T82" i="2" s="1"/>
  <c r="T83" i="2" s="1"/>
  <c r="T84" i="2" s="1"/>
  <c r="T85" i="2" s="1"/>
  <c r="T86" i="2" s="1"/>
  <c r="T87" i="2" s="1"/>
  <c r="T88" i="2" s="1"/>
  <c r="T89"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AE90" i="2" l="1"/>
  <c r="AG85" i="2" s="1"/>
  <c r="R84" i="2"/>
  <c r="S82" i="2"/>
  <c r="U81" i="2" s="1"/>
  <c r="V82" i="2"/>
  <c r="Z80" i="2"/>
  <c r="W80" i="2"/>
  <c r="Y80" i="2" s="1"/>
  <c r="X80" i="2"/>
  <c r="X81" i="2" s="1"/>
  <c r="X82" i="2" s="1"/>
  <c r="X83" i="2" s="1"/>
  <c r="X84" i="2" s="1"/>
  <c r="X85" i="2" s="1"/>
  <c r="X86" i="2" s="1"/>
  <c r="X87" i="2" s="1"/>
  <c r="X88" i="2" s="1"/>
  <c r="X89"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AE92" i="2" l="1"/>
  <c r="AG86"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E94" i="2" l="1"/>
  <c r="AG87" i="2" s="1"/>
  <c r="R88" i="2"/>
  <c r="S86" i="2"/>
  <c r="U83" i="2" s="1"/>
  <c r="V86" i="2"/>
  <c r="W84" i="2"/>
  <c r="Y82" i="2" s="1"/>
  <c r="Z84" i="2"/>
  <c r="AA82" i="2"/>
  <c r="AC81" i="2" s="1"/>
  <c r="N88" i="2"/>
  <c r="O86" i="2"/>
  <c r="Q83" i="2" s="1"/>
  <c r="N75" i="2"/>
  <c r="O74" i="2"/>
  <c r="CG67" i="2"/>
  <c r="CD67" i="2"/>
  <c r="CA67" i="2"/>
  <c r="BX67" i="2"/>
  <c r="BU67" i="2"/>
  <c r="BR67" i="2"/>
  <c r="BO67" i="2"/>
  <c r="AE98" i="2" l="1"/>
  <c r="AG89" i="2" s="1"/>
  <c r="AE96" i="2"/>
  <c r="AG88" i="2" s="1"/>
  <c r="W86" i="2"/>
  <c r="Y83" i="2" s="1"/>
  <c r="V88" i="2"/>
  <c r="Z86" i="2"/>
  <c r="AA84" i="2"/>
  <c r="AC82" i="2" s="1"/>
  <c r="R90" i="2"/>
  <c r="S88" i="2"/>
  <c r="U84" i="2" s="1"/>
  <c r="N76" i="2"/>
  <c r="O75" i="2"/>
  <c r="N90" i="2"/>
  <c r="O88" i="2"/>
  <c r="Q84" i="2" s="1"/>
  <c r="BL67" i="2"/>
  <c r="BI67" i="2"/>
  <c r="AT67" i="2"/>
  <c r="AA86" i="2" l="1"/>
  <c r="AC83" i="2" s="1"/>
  <c r="Z88" i="2"/>
  <c r="V90" i="2"/>
  <c r="W88" i="2"/>
  <c r="Y84" i="2" s="1"/>
  <c r="R92" i="2"/>
  <c r="S90" i="2"/>
  <c r="U85" i="2" s="1"/>
  <c r="N92" i="2"/>
  <c r="O90" i="2"/>
  <c r="Q85" i="2" s="1"/>
  <c r="N77" i="2"/>
  <c r="O77" i="2" s="1"/>
  <c r="O76" i="2"/>
  <c r="BC67" i="2"/>
  <c r="BF67" i="2"/>
  <c r="AZ67" i="2"/>
  <c r="V92" i="2" l="1"/>
  <c r="W90" i="2"/>
  <c r="Y85" i="2" s="1"/>
  <c r="Z90" i="2"/>
  <c r="AA88" i="2"/>
  <c r="AC84" i="2" s="1"/>
  <c r="R94" i="2"/>
  <c r="S92" i="2"/>
  <c r="U86" i="2" s="1"/>
  <c r="N94" i="2"/>
  <c r="O92" i="2"/>
  <c r="Q86" i="2" s="1"/>
  <c r="AW67" i="2"/>
  <c r="AA90" i="2" l="1"/>
  <c r="AC85" i="2" s="1"/>
  <c r="Z92" i="2"/>
  <c r="R96" i="2"/>
  <c r="S94" i="2"/>
  <c r="U87" i="2" s="1"/>
  <c r="V94" i="2"/>
  <c r="W92" i="2"/>
  <c r="Y86" i="2" s="1"/>
  <c r="N96" i="2"/>
  <c r="O94" i="2"/>
  <c r="Q87" i="2" s="1"/>
  <c r="AQ67" i="2"/>
  <c r="AN67" i="2"/>
  <c r="R98" i="2" l="1"/>
  <c r="S98" i="2" s="1"/>
  <c r="U89" i="2" s="1"/>
  <c r="S96" i="2"/>
  <c r="U88" i="2" s="1"/>
  <c r="AA92" i="2"/>
  <c r="AC86" i="2" s="1"/>
  <c r="Z94" i="2"/>
  <c r="W94" i="2"/>
  <c r="Y87" i="2" s="1"/>
  <c r="V96" i="2"/>
  <c r="N98" i="2"/>
  <c r="O98" i="2" s="1"/>
  <c r="Q89" i="2" s="1"/>
  <c r="O96" i="2"/>
  <c r="Q88" i="2" s="1"/>
  <c r="AK67" i="2"/>
  <c r="AH67" i="2"/>
  <c r="Y67" i="2"/>
  <c r="AA94" i="2" l="1"/>
  <c r="AC87" i="2" s="1"/>
  <c r="Z96" i="2"/>
  <c r="V98" i="2"/>
  <c r="W98" i="2" s="1"/>
  <c r="Y89" i="2" s="1"/>
  <c r="W96" i="2"/>
  <c r="Y88" i="2" s="1"/>
  <c r="AE67" i="2"/>
  <c r="AB67" i="2"/>
  <c r="Z98" i="2" l="1"/>
  <c r="AA98" i="2" s="1"/>
  <c r="AC89" i="2" s="1"/>
  <c r="AA96" i="2"/>
  <c r="AC88" i="2" s="1"/>
  <c r="V67" i="2"/>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P67" i="2" l="1"/>
  <c r="P68" i="2" s="1"/>
  <c r="B64" i="2"/>
  <c r="A64" i="2" s="1"/>
  <c r="O70" i="2" l="1"/>
  <c r="A34" i="2"/>
  <c r="C64" i="2"/>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<sst xmlns="http://schemas.openxmlformats.org/spreadsheetml/2006/main" count="784" uniqueCount="370">
  <si>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</si>
  <si>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</si>
  <si>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</si>
  <si>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</si>
  <si>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</si>
  <si>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</si>
  <si>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</si>
  <si>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</si>
  <si>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</si>
  <si>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</si>
  <si>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</si>
  <si>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</si>
  <si>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</si>
  <si>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</si>
  <si>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</si>
  <si>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</si>
  <si>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</si>
  <si>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</si>
  <si>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</si>
  <si>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</si>
  <si>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</si>
  <si>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</si>
  <si>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</si>
  <si>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</si>
  <si>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</si>
  <si>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</si>
  <si>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</si>
  <si>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</si>
  <si>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</si>
  <si>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</si>
  <si>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</si>
  <si>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</si>
  <si>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</si>
  <si>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</si>
  <si>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</si>
  <si>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</si>
  <si>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</si>
  <si>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</si>
  <si>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</si>
  <si>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</si>
  <si>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</si>
  <si>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</si>
  <si>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</si>
  <si>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</si>
  <si>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</si>
  <si>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</si>
  <si>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</si>
  <si>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</si>
  <si>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</si>
  <si>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</si>
  <si>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</si>
  <si>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</si>
  <si>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</si>
  <si>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</si>
  <si>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</si>
  <si>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</si>
  <si>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</si>
  <si>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</si>
  <si>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</si>
  <si>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</si>
  <si>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</si>
  <si>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</si>
  <si>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</si>
  <si>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</si>
  <si>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</si>
  <si>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</si>
  <si>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</si>
  <si>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</si>
  <si>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</si>
  <si>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</si>
  <si>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</si>
  <si>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</si>
  <si>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</si>
  <si>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</si>
  <si>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</si>
  <si>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</si>
  <si>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</si>
  <si>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</si>
  <si>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</si>
  <si>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</si>
  <si>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</si>
  <si>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</si>
  <si>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</si>
  <si>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</si>
  <si>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</si>
  <si>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</si>
  <si>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</si>
  <si>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</si>
  <si>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</si>
  <si>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</si>
  <si>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</si>
  <si>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</si>
  <si>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</si>
  <si>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</si>
  <si>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</si>
  <si>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</si>
  <si>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</si>
  <si>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</si>
  <si>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</si>
  <si>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</si>
  <si>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</si>
  <si>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</si>
  <si>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</si>
  <si>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</si>
  <si>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</si>
  <si>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</si>
  <si>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</si>
  <si>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</si>
  <si>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</si>
  <si>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</si>
  <si>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</si>
  <si>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</si>
  <si>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</si>
  <si>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</si>
  <si>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</si>
  <si>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</si>
  <si>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</si>
  <si>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</si>
  <si>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</si>
  <si>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</si>
  <si>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</si>
  <si>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</si>
  <si>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</si>
  <si>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</si>
  <si>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</si>
  <si>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</si>
  <si>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</si>
  <si>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</si>
  <si>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</si>
  <si>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</si>
  <si>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</si>
  <si>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</si>
  <si>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</si>
  <si>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</si>
  <si>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</si>
  <si>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</si>
  <si>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</si>
  <si>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</si>
  <si>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</si>
  <si>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</si>
  <si>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</si>
  <si>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</si>
  <si>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</si>
  <si>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</si>
  <si>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</si>
  <si>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</si>
  <si>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</si>
  <si>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</si>
  <si>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</si>
  <si>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</si>
  <si>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</si>
  <si>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</si>
  <si>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</si>
  <si>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</si>
  <si>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</si>
  <si>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</si>
  <si>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</si>
  <si>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</si>
  <si>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</si>
  <si>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</si>
  <si>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</si>
  <si>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</si>
  <si>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</si>
  <si>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</si>
  <si>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</si>
  <si>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</si>
  <si>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</si>
  <si>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</si>
  <si>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</si>
  <si>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</si>
  <si>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</si>
  <si>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</si>
  <si>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</si>
  <si>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</si>
  <si>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</si>
  <si>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</si>
  <si>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</si>
  <si>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</si>
  <si>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</si>
  <si>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</si>
  <si>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</si>
  <si>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</si>
  <si>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</si>
  <si>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</si>
  <si>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</si>
  <si>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</si>
  <si>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</si>
  <si>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</si>
  <si>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</si>
  <si>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</si>
  <si>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</si>
  <si>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</si>
  <si>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</si>
  <si>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</si>
  <si>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</si>
  <si>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</si>
  <si>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</si>
  <si>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</si>
  <si>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</si>
  <si>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</si>
  <si>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</si>
  <si>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</si>
  <si>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</si>
  <si>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</si>
  <si>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</si>
  <si>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</si>
  <si>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</si>
  <si>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</si>
  <si>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</si>
  <si>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</si>
  <si>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</si>
  <si>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</si>
  <si>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</si>
  <si>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</si>
  <si>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</si>
  <si>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</si>
  <si>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</si>
  <si>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</si>
  <si>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</si>
  <si>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</si>
  <si>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</si>
  <si>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</si>
  <si>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</si>
  <si>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</si>
  <si>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</si>
  <si>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</si>
  <si>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</si>
  <si>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</si>
  <si>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</si>
  <si>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</si>
  <si>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</si>
  <si>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</si>
  <si>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</si>
  <si>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</si>
  <si>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</si>
  <si>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</si>
  <si>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</si>
  <si>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</si>
  <si>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</si>
  <si>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</si>
  <si>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</si>
  <si>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</si>
  <si>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</si>
  <si>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</si>
  <si>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</si>
  <si>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</si>
  <si>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</si>
  <si>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</si>
  <si>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</si>
  <si>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</si>
  <si>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</si>
  <si>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</si>
  <si>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</si>
  <si>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</si>
  <si>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</si>
  <si>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</si>
  <si>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</si>
  <si>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</si>
  <si>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</si>
  <si>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</si>
  <si>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</si>
  <si>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</si>
  <si>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</si>
  <si>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</si>
  <si>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</si>
  <si>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</si>
  <si>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</si>
  <si>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</si>
  <si>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</si>
  <si>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</si>
  <si>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</si>
  <si>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</si>
  <si>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</si>
  <si>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</si>
  <si>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</si>
  <si>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</si>
  <si>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</si>
  <si>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</si>
  <si>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</si>
  <si>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</si>
  <si>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</si>
  <si>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</si>
  <si>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</si>
  <si>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</si>
  <si>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</si>
  <si>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</si>
  <si>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</si>
  <si>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</si>
  <si>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</si>
  <si>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</si>
  <si>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</si>
  <si>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</si>
  <si>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</si>
  <si>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</si>
  <si>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</si>
  <si>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</si>
  <si>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</si>
  <si>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</si>
  <si>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</si>
  <si>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</si>
  <si>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</si>
  <si>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</si>
  <si>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</si>
  <si>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</si>
  <si>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</si>
  <si>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</si>
  <si>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</si>
  <si>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</si>
  <si>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</si>
  <si>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</si>
  <si>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</si>
  <si>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</si>
  <si>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</si>
  <si>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</si>
  <si>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</si>
  <si>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</si>
  <si>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</si>
  <si>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</si>
  <si>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</si>
  <si>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</si>
  <si>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</si>
  <si>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</si>
  <si>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</si>
  <si>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</si>
  <si>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</si>
  <si>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</si>
  <si>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</si>
  <si>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</si>
  <si>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</si>
  <si>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</si>
  <si>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</si>
  <si>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</si>
  <si>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</si>
  <si>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</si>
  <si>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</si>
  <si>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</si>
  <si>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</si>
  <si>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</si>
  <si>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</si>
  <si>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</si>
  <si>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</si>
  <si>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</si>
  <si>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</si>
  <si>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</si>
  <si>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</si>
  <si>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</si>
  <si>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</si>
  <si>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</si>
  <si>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</si>
  <si>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</si>
  <si>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</si>
  <si>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</si>
  <si>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</si>
  <si>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</si>
  <si>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</si>
  <si>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</si>
  <si>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</si>
  <si>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</si>
  <si>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</si>
  <si>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</si>
  <si>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</si>
  <si>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</si>
  <si>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</si>
  <si>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</si>
  <si>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</si>
  <si>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</si>
  <si>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</si>
  <si>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</si>
  <si>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</si>
  <si>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2020-12-01T11:16:03.164Z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</si>
</sst>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27.11 saakka. Suurin arvo 599, joka 25.11. Uusimpien 4 päivien arvot tulevat viiveellä, joten ne jätetty pois kuvaajasta 1.12.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8"/>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strCache>
            </c:strRef>
          </c:cat>
          <c:val>
            <c:numRef>
              <c:f>[0]!Plot</c:f>
              <c:numCache>
                <c:formatCode>General</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137</c:v>
                </c:pt>
                <c:pt idx="99">
                  <c:v>158</c:v>
                </c:pt>
                <c:pt idx="100">
                  <c:v>71</c:v>
                </c:pt>
                <c:pt idx="101">
                  <c:v>75</c:v>
                </c:pt>
                <c:pt idx="102">
                  <c:v>80</c:v>
                </c:pt>
                <c:pt idx="103">
                  <c:v>117</c:v>
                </c:pt>
                <c:pt idx="104">
                  <c:v>175</c:v>
                </c:pt>
                <c:pt idx="105">
                  <c:v>129</c:v>
                </c:pt>
                <c:pt idx="106">
                  <c:v>120</c:v>
                </c:pt>
                <c:pt idx="107">
                  <c:v>125</c:v>
                </c:pt>
                <c:pt idx="108">
                  <c:v>56</c:v>
                </c:pt>
                <c:pt idx="109">
                  <c:v>67</c:v>
                </c:pt>
                <c:pt idx="110">
                  <c:v>143</c:v>
                </c:pt>
                <c:pt idx="111">
                  <c:v>112</c:v>
                </c:pt>
                <c:pt idx="112">
                  <c:v>124</c:v>
                </c:pt>
                <c:pt idx="113">
                  <c:v>116</c:v>
                </c:pt>
                <c:pt idx="114">
                  <c:v>92</c:v>
                </c:pt>
                <c:pt idx="115">
                  <c:v>76</c:v>
                </c:pt>
                <c:pt idx="116">
                  <c:v>73</c:v>
                </c:pt>
                <c:pt idx="117">
                  <c:v>125</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8</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116</c:v>
                </c:pt>
                <c:pt idx="267">
                  <c:v>97</c:v>
                </c:pt>
                <c:pt idx="268">
                  <c:v>127</c:v>
                </c:pt>
                <c:pt idx="269">
                  <c:v>74</c:v>
                </c:pt>
                <c:pt idx="270">
                  <c:v>71</c:v>
                </c:pt>
                <c:pt idx="271">
                  <c:v>122</c:v>
                </c:pt>
                <c:pt idx="272">
                  <c:v>134</c:v>
                </c:pt>
                <c:pt idx="273">
                  <c:v>165</c:v>
                </c:pt>
                <c:pt idx="274">
                  <c:v>188</c:v>
                </c:pt>
                <c:pt idx="275">
                  <c:v>188</c:v>
                </c:pt>
                <c:pt idx="276">
                  <c:v>180</c:v>
                </c:pt>
                <c:pt idx="277">
                  <c:v>148</c:v>
                </c:pt>
                <c:pt idx="278">
                  <c:v>290</c:v>
                </c:pt>
                <c:pt idx="279">
                  <c:v>302</c:v>
                </c:pt>
                <c:pt idx="280">
                  <c:v>306</c:v>
                </c:pt>
                <c:pt idx="281">
                  <c:v>258</c:v>
                </c:pt>
                <c:pt idx="282">
                  <c:v>227</c:v>
                </c:pt>
                <c:pt idx="283">
                  <c:v>109</c:v>
                </c:pt>
                <c:pt idx="284">
                  <c:v>130</c:v>
                </c:pt>
                <c:pt idx="285">
                  <c:v>255</c:v>
                </c:pt>
                <c:pt idx="286">
                  <c:v>198</c:v>
                </c:pt>
                <c:pt idx="287">
                  <c:v>201</c:v>
                </c:pt>
                <c:pt idx="288">
                  <c:v>190</c:v>
                </c:pt>
                <c:pt idx="289">
                  <c:v>195</c:v>
                </c:pt>
                <c:pt idx="290">
                  <c:v>103</c:v>
                </c:pt>
                <c:pt idx="291">
                  <c:v>129</c:v>
                </c:pt>
                <c:pt idx="292">
                  <c:v>245</c:v>
                </c:pt>
                <c:pt idx="293">
                  <c:v>166</c:v>
                </c:pt>
                <c:pt idx="294">
                  <c:v>188</c:v>
                </c:pt>
                <c:pt idx="295">
                  <c:v>220</c:v>
                </c:pt>
                <c:pt idx="296">
                  <c:v>193</c:v>
                </c:pt>
                <c:pt idx="297">
                  <c:v>107</c:v>
                </c:pt>
                <c:pt idx="298">
                  <c:v>123</c:v>
                </c:pt>
                <c:pt idx="299">
                  <c:v>256</c:v>
                </c:pt>
                <c:pt idx="300">
                  <c:v>231</c:v>
                </c:pt>
                <c:pt idx="301">
                  <c:v>239</c:v>
                </c:pt>
                <c:pt idx="302">
                  <c:v>237</c:v>
                </c:pt>
                <c:pt idx="303">
                  <c:v>219</c:v>
                </c:pt>
                <c:pt idx="304">
                  <c:v>121</c:v>
                </c:pt>
                <c:pt idx="305">
                  <c:v>150</c:v>
                </c:pt>
                <c:pt idx="306">
                  <c:v>287</c:v>
                </c:pt>
                <c:pt idx="307">
                  <c:v>241</c:v>
                </c:pt>
                <c:pt idx="308">
                  <c:v>213</c:v>
                </c:pt>
                <c:pt idx="309">
                  <c:v>222</c:v>
                </c:pt>
                <c:pt idx="310">
                  <c:v>195</c:v>
                </c:pt>
                <c:pt idx="311">
                  <c:v>128</c:v>
                </c:pt>
                <c:pt idx="312">
                  <c:v>133</c:v>
                </c:pt>
                <c:pt idx="313">
                  <c:v>273</c:v>
                </c:pt>
                <c:pt idx="314">
                  <c:v>205</c:v>
                </c:pt>
                <c:pt idx="315">
                  <c:v>292</c:v>
                </c:pt>
                <c:pt idx="316">
                  <c:v>282</c:v>
                </c:pt>
                <c:pt idx="317">
                  <c:v>264</c:v>
                </c:pt>
                <c:pt idx="318">
                  <c:v>145</c:v>
                </c:pt>
                <c:pt idx="319">
                  <c:v>181</c:v>
                </c:pt>
                <c:pt idx="320">
                  <c:v>393</c:v>
                </c:pt>
                <c:pt idx="321">
                  <c:v>391</c:v>
                </c:pt>
                <c:pt idx="322">
                  <c:v>372</c:v>
                </c:pt>
                <c:pt idx="323">
                  <c:v>479</c:v>
                </c:pt>
                <c:pt idx="324">
                  <c:v>430</c:v>
                </c:pt>
                <c:pt idx="325">
                  <c:v>269</c:v>
                </c:pt>
                <c:pt idx="326">
                  <c:v>262</c:v>
                </c:pt>
                <c:pt idx="327">
                  <c:v>490</c:v>
                </c:pt>
                <c:pt idx="328">
                  <c:v>461</c:v>
                </c:pt>
                <c:pt idx="329">
                  <c:v>599</c:v>
                </c:pt>
                <c:pt idx="330">
                  <c:v>498</c:v>
                </c:pt>
                <c:pt idx="331">
                  <c:v>444</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4453</c:v>
                </c:pt>
                <c:pt idx="1">
                  <c:v>3973</c:v>
                </c:pt>
                <c:pt idx="2">
                  <c:v>4193</c:v>
                </c:pt>
                <c:pt idx="3">
                  <c:v>4150</c:v>
                </c:pt>
                <c:pt idx="4">
                  <c:v>3779</c:v>
                </c:pt>
                <c:pt idx="5">
                  <c:v>2349</c:v>
                </c:pt>
                <c:pt idx="6">
                  <c:v>2565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44138</c:v>
                </c:pt>
                <c:pt idx="1">
                  <c:v>44139</c:v>
                </c:pt>
                <c:pt idx="2">
                  <c:v>44140</c:v>
                </c:pt>
                <c:pt idx="3">
                  <c:v>44141</c:v>
                </c:pt>
                <c:pt idx="4">
                  <c:v>44142</c:v>
                </c:pt>
                <c:pt idx="5">
                  <c:v>44143</c:v>
                </c:pt>
                <c:pt idx="6">
                  <c:v>44144</c:v>
                </c:pt>
                <c:pt idx="7">
                  <c:v>44145</c:v>
                </c:pt>
                <c:pt idx="8">
                  <c:v>44146</c:v>
                </c:pt>
                <c:pt idx="9">
                  <c:v>44147</c:v>
                </c:pt>
                <c:pt idx="10">
                  <c:v>44148</c:v>
                </c:pt>
                <c:pt idx="11">
                  <c:v>44149</c:v>
                </c:pt>
                <c:pt idx="12">
                  <c:v>44150</c:v>
                </c:pt>
                <c:pt idx="13">
                  <c:v>44151</c:v>
                </c:pt>
                <c:pt idx="14">
                  <c:v>44152</c:v>
                </c:pt>
                <c:pt idx="15">
                  <c:v>44153</c:v>
                </c:pt>
                <c:pt idx="16">
                  <c:v>44154</c:v>
                </c:pt>
                <c:pt idx="17">
                  <c:v>44155</c:v>
                </c:pt>
                <c:pt idx="18">
                  <c:v>44156</c:v>
                </c:pt>
                <c:pt idx="19">
                  <c:v>44157</c:v>
                </c:pt>
                <c:pt idx="20">
                  <c:v>44158</c:v>
                </c:pt>
                <c:pt idx="21">
                  <c:v>44159</c:v>
                </c:pt>
                <c:pt idx="22">
                  <c:v>44160</c:v>
                </c:pt>
                <c:pt idx="23">
                  <c:v>44161</c:v>
                </c:pt>
                <c:pt idx="24">
                  <c:v>44162</c:v>
                </c:pt>
                <c:pt idx="25">
                  <c:v>44163</c:v>
                </c:pt>
                <c:pt idx="26">
                  <c:v>44164</c:v>
                </c:pt>
                <c:pt idx="27">
                  <c:v>44165</c:v>
                </c:pt>
              </c:numCache>
            </c:numRef>
          </c:cat>
          <c:val>
            <c:numRef>
              <c:f>Kuvaajat!$D$37:$D$64</c:f>
              <c:numCache>
                <c:formatCode>General</c:formatCode>
                <c:ptCount val="28"/>
                <c:pt idx="0">
                  <c:v>241</c:v>
                </c:pt>
                <c:pt idx="1">
                  <c:v>213</c:v>
                </c:pt>
                <c:pt idx="2">
                  <c:v>222</c:v>
                </c:pt>
                <c:pt idx="3">
                  <c:v>195</c:v>
                </c:pt>
                <c:pt idx="4">
                  <c:v>128</c:v>
                </c:pt>
                <c:pt idx="5">
                  <c:v>133</c:v>
                </c:pt>
                <c:pt idx="6">
                  <c:v>273</c:v>
                </c:pt>
                <c:pt idx="7">
                  <c:v>205</c:v>
                </c:pt>
                <c:pt idx="8">
                  <c:v>292</c:v>
                </c:pt>
                <c:pt idx="9">
                  <c:v>282</c:v>
                </c:pt>
                <c:pt idx="10">
                  <c:v>264</c:v>
                </c:pt>
                <c:pt idx="11">
                  <c:v>145</c:v>
                </c:pt>
                <c:pt idx="12">
                  <c:v>181</c:v>
                </c:pt>
                <c:pt idx="13">
                  <c:v>393</c:v>
                </c:pt>
                <c:pt idx="14">
                  <c:v>391</c:v>
                </c:pt>
                <c:pt idx="15">
                  <c:v>372</c:v>
                </c:pt>
                <c:pt idx="16">
                  <c:v>479</c:v>
                </c:pt>
                <c:pt idx="17">
                  <c:v>430</c:v>
                </c:pt>
                <c:pt idx="18">
                  <c:v>269</c:v>
                </c:pt>
                <c:pt idx="19">
                  <c:v>262</c:v>
                </c:pt>
                <c:pt idx="20">
                  <c:v>490</c:v>
                </c:pt>
                <c:pt idx="21">
                  <c:v>461</c:v>
                </c:pt>
                <c:pt idx="22">
                  <c:v>599</c:v>
                </c:pt>
                <c:pt idx="23">
                  <c:v>498</c:v>
                </c:pt>
                <c:pt idx="24">
                  <c:v>444</c:v>
                </c:pt>
                <c:pt idx="25">
                  <c:v>237</c:v>
                </c:pt>
                <c:pt idx="26">
                  <c:v>219</c:v>
                </c:pt>
                <c:pt idx="27">
                  <c:v>180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N=25462. Uusimmat 1.12 lisäykset punaisella n=550.</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3.11</c:v>
                </c:pt>
                <c:pt idx="1">
                  <c:v>4.11</c:v>
                </c:pt>
                <c:pt idx="2">
                  <c:v>5.11</c:v>
                </c:pt>
                <c:pt idx="3">
                  <c:v>6.11</c:v>
                </c:pt>
                <c:pt idx="4">
                  <c:v>7.11</c:v>
                </c:pt>
                <c:pt idx="5">
                  <c:v>8.11</c:v>
                </c:pt>
                <c:pt idx="6">
                  <c:v>Ma 9</c:v>
                </c:pt>
                <c:pt idx="7">
                  <c:v>10.11</c:v>
                </c:pt>
                <c:pt idx="8">
                  <c:v>11.11</c:v>
                </c:pt>
                <c:pt idx="9">
                  <c:v>12.11</c:v>
                </c:pt>
                <c:pt idx="10">
                  <c:v>13.11</c:v>
                </c:pt>
                <c:pt idx="11">
                  <c:v>14.11</c:v>
                </c:pt>
                <c:pt idx="12">
                  <c:v>15.11</c:v>
                </c:pt>
                <c:pt idx="13">
                  <c:v>Ma 16</c:v>
                </c:pt>
                <c:pt idx="14">
                  <c:v>17.11</c:v>
                </c:pt>
                <c:pt idx="15">
                  <c:v>18.11</c:v>
                </c:pt>
                <c:pt idx="16">
                  <c:v>19.11</c:v>
                </c:pt>
                <c:pt idx="17">
                  <c:v>20.11</c:v>
                </c:pt>
                <c:pt idx="18">
                  <c:v>21.11</c:v>
                </c:pt>
                <c:pt idx="19">
                  <c:v>22.11</c:v>
                </c:pt>
                <c:pt idx="20">
                  <c:v>Ma 23</c:v>
                </c:pt>
                <c:pt idx="21">
                  <c:v>24.11</c:v>
                </c:pt>
                <c:pt idx="22">
                  <c:v>25.11</c:v>
                </c:pt>
                <c:pt idx="23">
                  <c:v>26.11</c:v>
                </c:pt>
                <c:pt idx="24">
                  <c:v>27.11</c:v>
                </c:pt>
                <c:pt idx="25">
                  <c:v>28.11</c:v>
                </c:pt>
                <c:pt idx="26">
                  <c:v>29.11</c:v>
                </c:pt>
                <c:pt idx="27">
                  <c:v>Ma 30</c:v>
                </c:pt>
              </c:strCache>
            </c:strRef>
          </c:cat>
          <c:val>
            <c:numRef>
              <c:f>Kuvaajat!$D$37:$D$64</c:f>
              <c:numCache>
                <c:formatCode>General</c:formatCode>
                <c:ptCount val="28"/>
                <c:pt idx="0">
                  <c:v>241</c:v>
                </c:pt>
                <c:pt idx="1">
                  <c:v>213</c:v>
                </c:pt>
                <c:pt idx="2">
                  <c:v>222</c:v>
                </c:pt>
                <c:pt idx="3">
                  <c:v>195</c:v>
                </c:pt>
                <c:pt idx="4">
                  <c:v>128</c:v>
                </c:pt>
                <c:pt idx="5">
                  <c:v>133</c:v>
                </c:pt>
                <c:pt idx="6">
                  <c:v>273</c:v>
                </c:pt>
                <c:pt idx="7">
                  <c:v>205</c:v>
                </c:pt>
                <c:pt idx="8">
                  <c:v>292</c:v>
                </c:pt>
                <c:pt idx="9">
                  <c:v>282</c:v>
                </c:pt>
                <c:pt idx="10">
                  <c:v>264</c:v>
                </c:pt>
                <c:pt idx="11">
                  <c:v>145</c:v>
                </c:pt>
                <c:pt idx="12">
                  <c:v>181</c:v>
                </c:pt>
                <c:pt idx="13">
                  <c:v>393</c:v>
                </c:pt>
                <c:pt idx="14">
                  <c:v>391</c:v>
                </c:pt>
                <c:pt idx="15">
                  <c:v>372</c:v>
                </c:pt>
                <c:pt idx="16">
                  <c:v>479</c:v>
                </c:pt>
                <c:pt idx="17">
                  <c:v>430</c:v>
                </c:pt>
                <c:pt idx="18">
                  <c:v>269</c:v>
                </c:pt>
                <c:pt idx="19">
                  <c:v>262</c:v>
                </c:pt>
                <c:pt idx="20">
                  <c:v>490</c:v>
                </c:pt>
                <c:pt idx="21">
                  <c:v>461</c:v>
                </c:pt>
                <c:pt idx="22">
                  <c:v>599</c:v>
                </c:pt>
                <c:pt idx="23">
                  <c:v>498</c:v>
                </c:pt>
                <c:pt idx="24">
                  <c:v>444</c:v>
                </c:pt>
                <c:pt idx="25">
                  <c:v>237</c:v>
                </c:pt>
                <c:pt idx="26">
                  <c:v>219</c:v>
                </c:pt>
                <c:pt idx="27">
                  <c:v>180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3.11</c:v>
                </c:pt>
                <c:pt idx="1">
                  <c:v>4.11</c:v>
                </c:pt>
                <c:pt idx="2">
                  <c:v>5.11</c:v>
                </c:pt>
                <c:pt idx="3">
                  <c:v>6.11</c:v>
                </c:pt>
                <c:pt idx="4">
                  <c:v>7.11</c:v>
                </c:pt>
                <c:pt idx="5">
                  <c:v>8.11</c:v>
                </c:pt>
                <c:pt idx="6">
                  <c:v>Ma 9</c:v>
                </c:pt>
                <c:pt idx="7">
                  <c:v>10.11</c:v>
                </c:pt>
                <c:pt idx="8">
                  <c:v>11.11</c:v>
                </c:pt>
                <c:pt idx="9">
                  <c:v>12.11</c:v>
                </c:pt>
                <c:pt idx="10">
                  <c:v>13.11</c:v>
                </c:pt>
                <c:pt idx="11">
                  <c:v>14.11</c:v>
                </c:pt>
                <c:pt idx="12">
                  <c:v>15.11</c:v>
                </c:pt>
                <c:pt idx="13">
                  <c:v>Ma 16</c:v>
                </c:pt>
                <c:pt idx="14">
                  <c:v>17.11</c:v>
                </c:pt>
                <c:pt idx="15">
                  <c:v>18.11</c:v>
                </c:pt>
                <c:pt idx="16">
                  <c:v>19.11</c:v>
                </c:pt>
                <c:pt idx="17">
                  <c:v>20.11</c:v>
                </c:pt>
                <c:pt idx="18">
                  <c:v>21.11</c:v>
                </c:pt>
                <c:pt idx="19">
                  <c:v>22.11</c:v>
                </c:pt>
                <c:pt idx="20">
                  <c:v>Ma 23</c:v>
                </c:pt>
                <c:pt idx="21">
                  <c:v>24.11</c:v>
                </c:pt>
                <c:pt idx="22">
                  <c:v>25.11</c:v>
                </c:pt>
                <c:pt idx="23">
                  <c:v>26.11</c:v>
                </c:pt>
                <c:pt idx="24">
                  <c:v>27.11</c:v>
                </c:pt>
                <c:pt idx="25">
                  <c:v>28.11</c:v>
                </c:pt>
                <c:pt idx="26">
                  <c:v>29.11</c:v>
                </c:pt>
                <c:pt idx="27">
                  <c:v>Ma 30</c:v>
                </c:pt>
              </c:strCache>
            </c:strRef>
          </c:cat>
          <c:val>
            <c:numRef>
              <c:f>Kuvaajat!$E$37:$E$64</c:f>
              <c:numCache>
                <c:formatCode>General</c:formatCode>
                <c:ptCount val="28"/>
                <c:pt idx="0">
                  <c:v>0</c:v>
                </c:pt>
                <c:pt idx="1">
                  <c:v>2</c:v>
                </c:pt>
                <c:pt idx="2">
                  <c:v>0</c:v>
                </c:pt>
                <c:pt idx="3">
                  <c:v>0</c:v>
                </c:pt>
                <c:pt idx="4">
                  <c:v>0</c:v>
                </c:pt>
                <c:pt idx="5">
                  <c:v>0</c:v>
                </c:pt>
                <c:pt idx="6">
                  <c:v>-3</c:v>
                </c:pt>
                <c:pt idx="7">
                  <c:v>0</c:v>
                </c:pt>
                <c:pt idx="8">
                  <c:v>0</c:v>
                </c:pt>
                <c:pt idx="9">
                  <c:v>0</c:v>
                </c:pt>
                <c:pt idx="10">
                  <c:v>0</c:v>
                </c:pt>
                <c:pt idx="11">
                  <c:v>0</c:v>
                </c:pt>
                <c:pt idx="12">
                  <c:v>0</c:v>
                </c:pt>
                <c:pt idx="13">
                  <c:v>0</c:v>
                </c:pt>
                <c:pt idx="14">
                  <c:v>-3</c:v>
                </c:pt>
                <c:pt idx="15">
                  <c:v>0</c:v>
                </c:pt>
                <c:pt idx="16">
                  <c:v>0</c:v>
                </c:pt>
                <c:pt idx="17">
                  <c:v>2</c:v>
                </c:pt>
                <c:pt idx="18">
                  <c:v>-1</c:v>
                </c:pt>
                <c:pt idx="19">
                  <c:v>-2</c:v>
                </c:pt>
                <c:pt idx="20">
                  <c:v>10</c:v>
                </c:pt>
                <c:pt idx="21">
                  <c:v>24</c:v>
                </c:pt>
                <c:pt idx="22">
                  <c:v>24</c:v>
                </c:pt>
                <c:pt idx="23">
                  <c:v>70</c:v>
                </c:pt>
                <c:pt idx="24">
                  <c:v>94</c:v>
                </c:pt>
                <c:pt idx="25">
                  <c:v>39</c:v>
                </c:pt>
                <c:pt idx="26">
                  <c:v>93</c:v>
                </c:pt>
                <c:pt idx="27">
                  <c:v>180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Kuvaajat!$N$70:$N$78</c:f>
              <c:numCache>
                <c:formatCode>d/m</c:formatCode>
                <c:ptCount val="9"/>
                <c:pt idx="0">
                  <c:v>44166</c:v>
                </c:pt>
                <c:pt idx="1">
                  <c:v>44159</c:v>
                </c:pt>
                <c:pt idx="2">
                  <c:v>44152</c:v>
                </c:pt>
                <c:pt idx="3">
                  <c:v>44145</c:v>
                </c:pt>
                <c:pt idx="4">
                  <c:v>44138</c:v>
                </c:pt>
                <c:pt idx="5">
                  <c:v>44131</c:v>
                </c:pt>
                <c:pt idx="6">
                  <c:v>44124</c:v>
                </c:pt>
                <c:pt idx="7">
                  <c:v>44117</c:v>
                </c:pt>
              </c:numCache>
            </c:numRef>
          </c:cat>
          <c:val>
            <c:numRef>
              <c:f>Kuvaajat!$O$70:$O$78</c:f>
              <c:numCache>
                <c:formatCode>General</c:formatCode>
                <c:ptCount val="9"/>
                <c:pt idx="0">
                  <c:v>550</c:v>
                </c:pt>
                <c:pt idx="1">
                  <c:v>353</c:v>
                </c:pt>
                <c:pt idx="2">
                  <c:v>228</c:v>
                </c:pt>
                <c:pt idx="3">
                  <c:v>220</c:v>
                </c:pt>
                <c:pt idx="4">
                  <c:v>237</c:v>
                </c:pt>
                <c:pt idx="5">
                  <c:v>#N/A</c:v>
                </c:pt>
                <c:pt idx="6">
                  <c:v>294</c:v>
                </c:pt>
                <c:pt idx="7">
                  <c:v>287</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 Uusimmat 4 päivää päivittyy, joten jätetty pois  kuvaajasta.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44162.625</c:v>
                </c:pt>
                <c:pt idx="1">
                  <c:v>44155.625</c:v>
                </c:pt>
                <c:pt idx="2">
                  <c:v>44148.625</c:v>
                </c:pt>
                <c:pt idx="3">
                  <c:v>44141.625</c:v>
                </c:pt>
                <c:pt idx="4">
                  <c:v>44134.625</c:v>
                </c:pt>
                <c:pt idx="5">
                  <c:v>44127.625</c:v>
                </c:pt>
                <c:pt idx="6">
                  <c:v>44120.625</c:v>
                </c:pt>
                <c:pt idx="7">
                  <c:v>44113.625</c:v>
                </c:pt>
                <c:pt idx="8">
                  <c:v>44106.625</c:v>
                </c:pt>
                <c:pt idx="9">
                  <c:v>44099.625</c:v>
                </c:pt>
              </c:numCache>
            </c:numRef>
          </c:cat>
          <c:val>
            <c:numRef>
              <c:f>Kuvaajat!$Q$80:$Q$89</c:f>
              <c:numCache>
                <c:formatCode>General</c:formatCode>
                <c:ptCount val="10"/>
                <c:pt idx="0">
                  <c:v>444</c:v>
                </c:pt>
                <c:pt idx="1">
                  <c:v>430</c:v>
                </c:pt>
                <c:pt idx="2">
                  <c:v>264</c:v>
                </c:pt>
                <c:pt idx="3">
                  <c:v>195</c:v>
                </c:pt>
                <c:pt idx="4">
                  <c:v>219</c:v>
                </c:pt>
                <c:pt idx="5">
                  <c:v>193</c:v>
                </c:pt>
                <c:pt idx="6">
                  <c:v>195</c:v>
                </c:pt>
                <c:pt idx="7">
                  <c:v>227</c:v>
                </c:pt>
                <c:pt idx="8">
                  <c:v>188</c:v>
                </c:pt>
                <c:pt idx="9">
                  <c:v>127</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COVID-19</a:t>
            </a:r>
            <a:r>
              <a:rPr lang="en-US" baseline="0"/>
              <a:t> tapauksia 7 päivän välein poissulkien 4 viimeistä päivää (- uusin ... vanhin)</a:t>
            </a:r>
            <a:endParaRPr lang="en-US"/>
          </a:p>
        </c:rich>
      </c:tx>
      <c:layout>
        <c:manualLayout>
          <c:xMode val="edge"/>
          <c:yMode val="edge"/>
          <c:x val="0.10310336804710359"/>
          <c:y val="2.186875877951589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44162.625</c:v>
                </c:pt>
                <c:pt idx="1">
                  <c:v>44155.625</c:v>
                </c:pt>
                <c:pt idx="2">
                  <c:v>44148.625</c:v>
                </c:pt>
                <c:pt idx="3">
                  <c:v>44141.625</c:v>
                </c:pt>
                <c:pt idx="4">
                  <c:v>44134.625</c:v>
                </c:pt>
                <c:pt idx="5">
                  <c:v>44127.625</c:v>
                </c:pt>
                <c:pt idx="6">
                  <c:v>44120.625</c:v>
                </c:pt>
                <c:pt idx="7">
                  <c:v>44113.625</c:v>
                </c:pt>
                <c:pt idx="8">
                  <c:v>44106.625</c:v>
                </c:pt>
                <c:pt idx="9">
                  <c:v>44099.625</c:v>
                </c:pt>
              </c:numCache>
            </c:numRef>
          </c:xVal>
          <c:yVal>
            <c:numRef>
              <c:f>Kuvaajat!$Q$80:$Q$89</c:f>
              <c:numCache>
                <c:formatCode>General</c:formatCode>
                <c:ptCount val="10"/>
                <c:pt idx="0">
                  <c:v>444</c:v>
                </c:pt>
                <c:pt idx="1">
                  <c:v>430</c:v>
                </c:pt>
                <c:pt idx="2">
                  <c:v>264</c:v>
                </c:pt>
                <c:pt idx="3">
                  <c:v>195</c:v>
                </c:pt>
                <c:pt idx="4">
                  <c:v>219</c:v>
                </c:pt>
                <c:pt idx="5">
                  <c:v>193</c:v>
                </c:pt>
                <c:pt idx="6">
                  <c:v>195</c:v>
                </c:pt>
                <c:pt idx="7">
                  <c:v>227</c:v>
                </c:pt>
                <c:pt idx="8">
                  <c:v>188</c:v>
                </c:pt>
                <c:pt idx="9">
                  <c:v>127</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44161.625</c:v>
                </c:pt>
                <c:pt idx="1">
                  <c:v>44154.625</c:v>
                </c:pt>
                <c:pt idx="2">
                  <c:v>44147.625</c:v>
                </c:pt>
                <c:pt idx="3">
                  <c:v>44140.625</c:v>
                </c:pt>
                <c:pt idx="4">
                  <c:v>44133.625</c:v>
                </c:pt>
                <c:pt idx="5">
                  <c:v>44126.625</c:v>
                </c:pt>
                <c:pt idx="6">
                  <c:v>44119.625</c:v>
                </c:pt>
                <c:pt idx="7">
                  <c:v>44112.625</c:v>
                </c:pt>
                <c:pt idx="8">
                  <c:v>44105.625</c:v>
                </c:pt>
                <c:pt idx="9">
                  <c:v>44098.625</c:v>
                </c:pt>
              </c:numCache>
            </c:numRef>
          </c:xVal>
          <c:yVal>
            <c:numRef>
              <c:f>Kuvaajat!$U$80:$U$89</c:f>
              <c:numCache>
                <c:formatCode>General</c:formatCode>
                <c:ptCount val="10"/>
                <c:pt idx="0">
                  <c:v>498</c:v>
                </c:pt>
                <c:pt idx="1">
                  <c:v>479</c:v>
                </c:pt>
                <c:pt idx="2">
                  <c:v>282</c:v>
                </c:pt>
                <c:pt idx="3">
                  <c:v>222</c:v>
                </c:pt>
                <c:pt idx="4">
                  <c:v>237</c:v>
                </c:pt>
                <c:pt idx="5">
                  <c:v>220</c:v>
                </c:pt>
                <c:pt idx="6">
                  <c:v>190</c:v>
                </c:pt>
                <c:pt idx="7">
                  <c:v>258</c:v>
                </c:pt>
                <c:pt idx="8">
                  <c:v>188</c:v>
                </c:pt>
                <c:pt idx="9">
                  <c:v>97</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44160.625</c:v>
                </c:pt>
                <c:pt idx="1">
                  <c:v>44153.625</c:v>
                </c:pt>
                <c:pt idx="2">
                  <c:v>44146.625</c:v>
                </c:pt>
                <c:pt idx="3">
                  <c:v>44139.625</c:v>
                </c:pt>
                <c:pt idx="4">
                  <c:v>44132.625</c:v>
                </c:pt>
                <c:pt idx="5">
                  <c:v>44125.625</c:v>
                </c:pt>
                <c:pt idx="6">
                  <c:v>44118.625</c:v>
                </c:pt>
                <c:pt idx="7">
                  <c:v>44111.625</c:v>
                </c:pt>
                <c:pt idx="8">
                  <c:v>44104.625</c:v>
                </c:pt>
                <c:pt idx="9">
                  <c:v>44097.625</c:v>
                </c:pt>
              </c:numCache>
            </c:numRef>
          </c:xVal>
          <c:yVal>
            <c:numRef>
              <c:f>Kuvaajat!$Y$80:$Y$89</c:f>
              <c:numCache>
                <c:formatCode>General</c:formatCode>
                <c:ptCount val="10"/>
                <c:pt idx="0">
                  <c:v>599</c:v>
                </c:pt>
                <c:pt idx="1">
                  <c:v>372</c:v>
                </c:pt>
                <c:pt idx="2">
                  <c:v>292</c:v>
                </c:pt>
                <c:pt idx="3">
                  <c:v>213</c:v>
                </c:pt>
                <c:pt idx="4">
                  <c:v>239</c:v>
                </c:pt>
                <c:pt idx="5">
                  <c:v>188</c:v>
                </c:pt>
                <c:pt idx="6">
                  <c:v>201</c:v>
                </c:pt>
                <c:pt idx="7">
                  <c:v>306</c:v>
                </c:pt>
                <c:pt idx="8">
                  <c:v>165</c:v>
                </c:pt>
                <c:pt idx="9">
                  <c:v>116</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44159.625</c:v>
                </c:pt>
                <c:pt idx="1">
                  <c:v>44152.625</c:v>
                </c:pt>
                <c:pt idx="2">
                  <c:v>44145.625</c:v>
                </c:pt>
                <c:pt idx="3">
                  <c:v>44138.625</c:v>
                </c:pt>
                <c:pt idx="4">
                  <c:v>44131.625</c:v>
                </c:pt>
                <c:pt idx="5">
                  <c:v>44124.625</c:v>
                </c:pt>
                <c:pt idx="6">
                  <c:v>44117.625</c:v>
                </c:pt>
                <c:pt idx="7">
                  <c:v>44110.625</c:v>
                </c:pt>
                <c:pt idx="8">
                  <c:v>44103.625</c:v>
                </c:pt>
                <c:pt idx="9">
                  <c:v>44096.625</c:v>
                </c:pt>
              </c:numCache>
            </c:numRef>
          </c:xVal>
          <c:yVal>
            <c:numRef>
              <c:f>Kuvaajat!$AC$80:$AC$89</c:f>
              <c:numCache>
                <c:formatCode>General</c:formatCode>
                <c:ptCount val="10"/>
                <c:pt idx="0">
                  <c:v>461</c:v>
                </c:pt>
                <c:pt idx="1">
                  <c:v>391</c:v>
                </c:pt>
                <c:pt idx="2">
                  <c:v>205</c:v>
                </c:pt>
                <c:pt idx="3">
                  <c:v>241</c:v>
                </c:pt>
                <c:pt idx="4">
                  <c:v>231</c:v>
                </c:pt>
                <c:pt idx="5">
                  <c:v>166</c:v>
                </c:pt>
                <c:pt idx="6">
                  <c:v>198</c:v>
                </c:pt>
                <c:pt idx="7">
                  <c:v>302</c:v>
                </c:pt>
                <c:pt idx="8">
                  <c:v>134</c:v>
                </c:pt>
                <c:pt idx="9">
                  <c:v>108</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246527</xdr:colOff>
      <xdr:row>9</xdr:row>
      <xdr:rowOff>76840</xdr:rowOff>
    </xdr:from>
    <xdr:to>
      <xdr:col>14</xdr:col>
      <xdr:colOff>128066</xdr:colOff>
      <xdr:row>28</xdr:row>
      <xdr:rowOff>172891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32018</xdr:colOff>
      <xdr:row>68</xdr:row>
      <xdr:rowOff>89647</xdr:rowOff>
    </xdr:from>
    <xdr:to>
      <xdr:col>12</xdr:col>
      <xdr:colOff>140874</xdr:colOff>
      <xdr:row>85</xdr:row>
      <xdr:rowOff>172890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992521</xdr:colOff>
      <xdr:row>95</xdr:row>
      <xdr:rowOff>14727</xdr:rowOff>
    </xdr:from>
    <xdr:to>
      <xdr:col>23</xdr:col>
      <xdr:colOff>300958</xdr:colOff>
      <xdr:row>117</xdr:row>
      <xdr:rowOff>153681</xdr:rowOff>
    </xdr:to>
    <xdr:graphicFrame macro="">
      <xdr:nvGraphicFramePr>
        <xdr:cNvPr id="8" name="Chart 7">
          <a:extLst>
            <a:ext uri="{FF2B5EF4-FFF2-40B4-BE49-F238E27FC236}">
              <a16:creationId xmlns:a16="http://schemas.microsoft.com/office/drawing/2014/main" id="{CC398CDB-8FE7-42A5-91B7-DE67391C03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3" t="s">
        <v>10</v>
      </c>
      <c r="B2" s="24"/>
      <c r="C2" s="24"/>
      <c r="D2" s="24"/>
      <c r="E2" s="24"/>
      <c r="F2" s="24"/>
      <c r="G2" s="24"/>
    </row>
    <row r="3" spans="1:7">
      <c r="A3" s="24"/>
      <c r="B3" s="24"/>
      <c r="C3" s="24"/>
      <c r="D3" s="24"/>
      <c r="E3" s="24"/>
      <c r="F3" s="24"/>
      <c r="G3" s="24"/>
    </row>
    <row r="4" spans="1:7">
      <c r="A4" s="24"/>
      <c r="B4" s="24"/>
      <c r="C4" s="24"/>
      <c r="D4" s="24"/>
      <c r="E4" s="24"/>
      <c r="F4" s="24"/>
      <c r="G4" s="24"/>
    </row>
    <row r="5" spans="1:7">
      <c r="A5" s="24"/>
      <c r="B5" s="24"/>
      <c r="C5" s="24"/>
      <c r="D5" s="24"/>
      <c r="E5" s="24"/>
      <c r="F5" s="24"/>
      <c r="G5" s="24"/>
    </row>
    <row r="6" spans="1:7">
      <c r="A6" s="24"/>
      <c r="B6" s="24"/>
      <c r="C6" s="24"/>
      <c r="D6" s="24"/>
      <c r="E6" s="24"/>
      <c r="F6" s="24"/>
      <c r="G6" s="24"/>
    </row>
    <row r="7" spans="1:7">
      <c r="A7" s="24"/>
      <c r="B7" s="24"/>
      <c r="C7" s="24"/>
      <c r="D7" s="24"/>
      <c r="E7" s="24"/>
      <c r="F7" s="24"/>
      <c r="G7" s="24"/>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308" activePane="bottomLeft" state="frozen"/>
      <selection pane="bottomLeft" activeCell="A309" sqref="A309:A331"/>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25462</v>
      </c>
      <c r="I1" s="8">
        <v>44166.483877314815</v>
      </c>
      <c r="J1" s="7">
        <f>MAX(Id)</f>
        <v>599</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27.11 saakka. Suurin arvo 599, joka 25.11. Uusimpien 4 päivien arvot tulevat viiveellä, joten ne jätetty pois kuvaajasta 1.12.</v>
      </c>
      <c r="M1" s="7">
        <f>COUNT(Id)-5</f>
        <v>331</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4453</v>
      </c>
    </row>
    <row r="31" spans="1:11">
      <c r="A31">
        <v>0</v>
      </c>
      <c r="B31" t="s">
        <v>263</v>
      </c>
      <c r="C31" t="s">
        <v>8</v>
      </c>
      <c r="E31" s="3">
        <f t="shared" si="0"/>
        <v>4</v>
      </c>
      <c r="F31" s="5">
        <v>43860.625</v>
      </c>
      <c r="H31" s="19" t="str">
        <f t="shared" si="1"/>
        <v/>
      </c>
      <c r="I31">
        <v>2</v>
      </c>
      <c r="J31" t="s">
        <v>303</v>
      </c>
      <c r="K31">
        <f t="shared" si="2"/>
        <v>3973</v>
      </c>
    </row>
    <row r="32" spans="1:11">
      <c r="A32">
        <v>0</v>
      </c>
      <c r="B32" t="s">
        <v>264</v>
      </c>
      <c r="C32" t="s">
        <v>8</v>
      </c>
      <c r="E32" s="3">
        <f t="shared" si="0"/>
        <v>5</v>
      </c>
      <c r="F32" s="5">
        <v>43861.625</v>
      </c>
      <c r="H32" s="19" t="str">
        <f t="shared" si="1"/>
        <v/>
      </c>
      <c r="I32">
        <v>3</v>
      </c>
      <c r="J32" t="s">
        <v>304</v>
      </c>
      <c r="K32">
        <f t="shared" si="2"/>
        <v>4193</v>
      </c>
    </row>
    <row r="33" spans="1:11">
      <c r="A33">
        <v>0</v>
      </c>
      <c r="B33" t="s">
        <v>265</v>
      </c>
      <c r="C33" t="s">
        <v>8</v>
      </c>
      <c r="E33" s="3">
        <f t="shared" si="0"/>
        <v>6</v>
      </c>
      <c r="F33" s="5">
        <v>43862.625</v>
      </c>
      <c r="H33" s="19" t="str">
        <f t="shared" si="1"/>
        <v/>
      </c>
      <c r="I33">
        <v>4</v>
      </c>
      <c r="J33" t="s">
        <v>305</v>
      </c>
      <c r="K33">
        <f t="shared" si="2"/>
        <v>4150</v>
      </c>
    </row>
    <row r="34" spans="1:11">
      <c r="A34">
        <v>0</v>
      </c>
      <c r="B34" t="s">
        <v>266</v>
      </c>
      <c r="C34" t="s">
        <v>8</v>
      </c>
      <c r="E34" s="3">
        <f t="shared" si="0"/>
        <v>7</v>
      </c>
      <c r="F34" s="5">
        <v>43863.625</v>
      </c>
      <c r="H34" s="19" t="str">
        <f t="shared" si="1"/>
        <v/>
      </c>
      <c r="I34">
        <v>5</v>
      </c>
      <c r="J34" t="s">
        <v>306</v>
      </c>
      <c r="K34">
        <f t="shared" si="2"/>
        <v>3779</v>
      </c>
    </row>
    <row r="35" spans="1:11">
      <c r="A35">
        <v>0</v>
      </c>
      <c r="B35" t="s">
        <v>267</v>
      </c>
      <c r="C35" t="s">
        <v>8</v>
      </c>
      <c r="E35" s="3">
        <f t="shared" si="0"/>
        <v>1</v>
      </c>
      <c r="F35" s="5">
        <v>43864.625</v>
      </c>
      <c r="H35" s="19" t="str">
        <f t="shared" si="1"/>
        <v>W6</v>
      </c>
      <c r="I35">
        <v>6</v>
      </c>
      <c r="J35" t="s">
        <v>307</v>
      </c>
      <c r="K35">
        <f t="shared" si="2"/>
        <v>2349</v>
      </c>
    </row>
    <row r="36" spans="1:11">
      <c r="A36">
        <v>0</v>
      </c>
      <c r="B36" t="s">
        <v>268</v>
      </c>
      <c r="C36" t="s">
        <v>8</v>
      </c>
      <c r="E36" s="3">
        <f t="shared" si="0"/>
        <v>2</v>
      </c>
      <c r="F36" s="5">
        <v>43865.625</v>
      </c>
      <c r="H36" s="19" t="str">
        <f t="shared" si="1"/>
        <v/>
      </c>
      <c r="I36">
        <v>7</v>
      </c>
      <c r="J36" t="s">
        <v>308</v>
      </c>
      <c r="K36">
        <f t="shared" si="2"/>
        <v>2565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137</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125</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116</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302</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103</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245</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193</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123</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287</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195</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264</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181</v>
      </c>
      <c r="B321" t="s">
        <v>348</v>
      </c>
      <c r="C321" t="s">
        <v>8</v>
      </c>
      <c r="E321" s="3">
        <f t="shared" si="11"/>
        <v>7</v>
      </c>
      <c r="F321" s="5">
        <v>44150.625</v>
      </c>
      <c r="G321" s="10" t="str">
        <f t="shared" si="13"/>
        <v/>
      </c>
      <c r="H321" s="19" t="str">
        <f t="shared" si="14"/>
        <v/>
      </c>
    </row>
    <row r="322" spans="1:8">
      <c r="A322">
        <v>393</v>
      </c>
      <c r="B322" t="s">
        <v>349</v>
      </c>
      <c r="C322" t="s">
        <v>8</v>
      </c>
      <c r="E322" s="3">
        <f t="shared" si="11"/>
        <v>1</v>
      </c>
      <c r="F322" s="5">
        <v>44151.625</v>
      </c>
      <c r="G322" s="10" t="str">
        <f t="shared" si="13"/>
        <v>Maanantai</v>
      </c>
      <c r="H322" s="19" t="str">
        <f t="shared" si="14"/>
        <v>W47</v>
      </c>
    </row>
    <row r="323" spans="1:8">
      <c r="A323">
        <v>391</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479</v>
      </c>
      <c r="B325" t="s">
        <v>352</v>
      </c>
      <c r="C325" t="s">
        <v>8</v>
      </c>
      <c r="E325" s="3">
        <f t="shared" ref="E325:E366" si="16">WEEKDAY(F325,2)</f>
        <v>4</v>
      </c>
      <c r="F325" s="5">
        <v>44154.625</v>
      </c>
      <c r="G325" s="10" t="str">
        <f t="shared" si="13"/>
        <v/>
      </c>
      <c r="H325" s="19" t="str">
        <f t="shared" si="14"/>
        <v/>
      </c>
    </row>
    <row r="326" spans="1:8">
      <c r="A326">
        <v>430</v>
      </c>
      <c r="B326" t="s">
        <v>353</v>
      </c>
      <c r="C326" t="s">
        <v>8</v>
      </c>
      <c r="E326" s="3">
        <f t="shared" si="16"/>
        <v>5</v>
      </c>
      <c r="F326" s="5">
        <v>44155.625</v>
      </c>
      <c r="G326" s="10" t="str">
        <f t="shared" si="13"/>
        <v/>
      </c>
      <c r="H326" s="19" t="str">
        <f t="shared" si="14"/>
        <v/>
      </c>
    </row>
    <row r="327" spans="1:8">
      <c r="A327">
        <v>269</v>
      </c>
      <c r="B327" t="s">
        <v>356</v>
      </c>
      <c r="C327" t="s">
        <v>8</v>
      </c>
      <c r="E327" s="3">
        <f t="shared" si="16"/>
        <v>6</v>
      </c>
      <c r="F327" s="5">
        <v>44156.625</v>
      </c>
      <c r="G327" s="10" t="str">
        <f t="shared" si="13"/>
        <v/>
      </c>
      <c r="H327" s="19" t="str">
        <f t="shared" si="14"/>
        <v/>
      </c>
    </row>
    <row r="328" spans="1:8">
      <c r="A328">
        <v>262</v>
      </c>
      <c r="B328" t="s">
        <v>357</v>
      </c>
      <c r="C328" t="s">
        <v>8</v>
      </c>
      <c r="E328" s="3">
        <f t="shared" si="16"/>
        <v>7</v>
      </c>
      <c r="F328" s="5">
        <v>44157.625</v>
      </c>
      <c r="G328" s="10" t="str">
        <f t="shared" si="13"/>
        <v/>
      </c>
      <c r="H328" s="19" t="str">
        <f t="shared" si="14"/>
        <v/>
      </c>
    </row>
    <row r="329" spans="1:8">
      <c r="A329">
        <v>490</v>
      </c>
      <c r="B329" t="s">
        <v>358</v>
      </c>
      <c r="C329" t="s">
        <v>8</v>
      </c>
      <c r="E329" s="3">
        <f t="shared" si="16"/>
        <v>1</v>
      </c>
      <c r="F329" s="5">
        <v>44158.625</v>
      </c>
      <c r="G329" s="10" t="str">
        <f t="shared" si="13"/>
        <v>Maanantai</v>
      </c>
      <c r="H329" s="19" t="str">
        <f t="shared" si="14"/>
        <v>W48</v>
      </c>
    </row>
    <row r="330" spans="1:8">
      <c r="A330">
        <v>461</v>
      </c>
      <c r="B330" t="s">
        <v>359</v>
      </c>
      <c r="C330" t="s">
        <v>8</v>
      </c>
      <c r="E330" s="3">
        <f t="shared" si="16"/>
        <v>2</v>
      </c>
      <c r="F330" s="5">
        <v>44159.625</v>
      </c>
      <c r="G330" s="10" t="str">
        <f t="shared" si="13"/>
        <v/>
      </c>
      <c r="H330" s="19" t="str">
        <f t="shared" si="14"/>
        <v/>
      </c>
    </row>
    <row r="331" spans="1:8">
      <c r="A331">
        <v>599</v>
      </c>
      <c r="B331" t="s">
        <v>360</v>
      </c>
      <c r="C331" t="s">
        <v>8</v>
      </c>
      <c r="E331" s="3">
        <f t="shared" si="16"/>
        <v>3</v>
      </c>
      <c r="F331" s="5">
        <v>44160.625</v>
      </c>
      <c r="G331" s="10" t="str">
        <f t="shared" si="13"/>
        <v/>
      </c>
      <c r="H331" s="19" t="str">
        <f t="shared" si="14"/>
        <v/>
      </c>
    </row>
    <row r="332" spans="1:8">
      <c r="A332">
        <v>498</v>
      </c>
      <c r="B332" t="s">
        <v>363</v>
      </c>
      <c r="C332" t="s">
        <v>8</v>
      </c>
      <c r="E332" s="3">
        <f t="shared" si="16"/>
        <v>4</v>
      </c>
      <c r="F332" s="5">
        <v>44161.625</v>
      </c>
      <c r="G332" s="10" t="str">
        <f t="shared" si="13"/>
        <v/>
      </c>
      <c r="H332" s="19" t="str">
        <f t="shared" si="14"/>
        <v/>
      </c>
    </row>
    <row r="333" spans="1:8">
      <c r="A333">
        <v>444</v>
      </c>
      <c r="B333" t="s">
        <v>364</v>
      </c>
      <c r="C333" t="s">
        <v>8</v>
      </c>
      <c r="E333" s="3">
        <f t="shared" si="16"/>
        <v>5</v>
      </c>
      <c r="F333" s="5">
        <v>44162.625</v>
      </c>
      <c r="G333" s="10" t="str">
        <f>IF(WEEKDAY(F333,2)=1,"Maanantai","")</f>
        <v/>
      </c>
      <c r="H333" s="19" t="str">
        <f t="shared" si="14"/>
        <v/>
      </c>
    </row>
    <row r="334" spans="1:8">
      <c r="A334">
        <v>237</v>
      </c>
      <c r="B334" t="s">
        <v>365</v>
      </c>
      <c r="C334" t="s">
        <v>8</v>
      </c>
      <c r="E334" s="3">
        <f t="shared" si="16"/>
        <v>6</v>
      </c>
      <c r="F334" s="5">
        <v>44163.625</v>
      </c>
      <c r="G334" s="10" t="str">
        <f t="shared" si="13"/>
        <v/>
      </c>
      <c r="H334" s="19" t="str">
        <f t="shared" si="14"/>
        <v/>
      </c>
    </row>
    <row r="335" spans="1:8">
      <c r="A335">
        <v>219</v>
      </c>
      <c r="B335" t="s">
        <v>366</v>
      </c>
      <c r="C335" t="s">
        <v>8</v>
      </c>
      <c r="E335" s="3">
        <f t="shared" si="16"/>
        <v>7</v>
      </c>
      <c r="F335" s="5">
        <v>44164.625</v>
      </c>
      <c r="G335" s="10" t="str">
        <f t="shared" si="13"/>
        <v/>
      </c>
      <c r="H335" s="19" t="str">
        <f t="shared" si="14"/>
        <v/>
      </c>
    </row>
    <row r="336" spans="1:8">
      <c r="A336">
        <v>180</v>
      </c>
      <c r="B336" t="s">
        <v>367</v>
      </c>
      <c r="C336" t="s">
        <v>8</v>
      </c>
      <c r="E336" s="3">
        <f t="shared" si="16"/>
        <v>1</v>
      </c>
      <c r="F336" s="5">
        <v>44165.625</v>
      </c>
      <c r="G336" s="10" t="str">
        <f t="shared" si="13"/>
        <v>Maanantai</v>
      </c>
      <c r="H336" s="19" t="str">
        <f t="shared" si="14"/>
        <v>W49</v>
      </c>
    </row>
    <row r="337" spans="1:8">
      <c r="A337">
        <v>0</v>
      </c>
      <c r="B337" t="s">
        <v>369</v>
      </c>
      <c r="C337" t="s">
        <v>8</v>
      </c>
      <c r="E337" s="3">
        <f t="shared" si="16"/>
        <v>2</v>
      </c>
      <c r="F337" s="5">
        <v>44166.46947916667</v>
      </c>
      <c r="G337" s="10" t="str">
        <f t="shared" si="13"/>
        <v/>
      </c>
      <c r="H337" s="19" t="str">
        <f t="shared" si="14"/>
        <v/>
      </c>
    </row>
    <row r="338" spans="1:8">
      <c r="E338" s="3">
        <f t="shared" si="16"/>
        <v>6</v>
      </c>
      <c r="G338" s="10" t="str">
        <f t="shared" si="13"/>
        <v/>
      </c>
      <c r="H338" s="19" t="str">
        <f t="shared" si="14"/>
        <v/>
      </c>
    </row>
    <row r="339" spans="1:8">
      <c r="E339" s="3">
        <f t="shared" si="16"/>
        <v>6</v>
      </c>
      <c r="G339" s="10" t="str">
        <f t="shared" si="13"/>
        <v/>
      </c>
      <c r="H339" s="19" t="str">
        <f t="shared" si="14"/>
        <v/>
      </c>
    </row>
    <row r="340" spans="1:8">
      <c r="E340" s="3">
        <f t="shared" si="16"/>
        <v>6</v>
      </c>
      <c r="G340" s="10" t="str">
        <f t="shared" si="13"/>
        <v/>
      </c>
      <c r="H340" s="19" t="str">
        <f t="shared" si="14"/>
        <v/>
      </c>
    </row>
    <row r="341" spans="1:8">
      <c r="E341" s="3">
        <f t="shared" si="16"/>
        <v>6</v>
      </c>
      <c r="G341" s="10" t="str">
        <f t="shared" si="13"/>
        <v/>
      </c>
      <c r="H341" s="19" t="str">
        <f t="shared" si="14"/>
        <v/>
      </c>
    </row>
    <row r="342" spans="1:8">
      <c r="E342" s="3">
        <f t="shared" si="16"/>
        <v>6</v>
      </c>
      <c r="G342" s="10" t="str">
        <f t="shared" si="13"/>
        <v/>
      </c>
      <c r="H342" s="19" t="str">
        <f t="shared" si="14"/>
        <v/>
      </c>
    </row>
    <row r="343" spans="1:8">
      <c r="E343" s="3">
        <f t="shared" si="16"/>
        <v>6</v>
      </c>
      <c r="G343" s="10" t="str">
        <f t="shared" si="13"/>
        <v/>
      </c>
      <c r="H343" s="19" t="str">
        <f t="shared" si="14"/>
        <v/>
      </c>
    </row>
    <row r="344" spans="1:8">
      <c r="E344" s="3">
        <f t="shared" si="16"/>
        <v>6</v>
      </c>
      <c r="G344" s="10" t="str">
        <f t="shared" si="13"/>
        <v/>
      </c>
      <c r="H344" s="19" t="str">
        <f t="shared" si="14"/>
        <v/>
      </c>
    </row>
    <row r="345" spans="1:8">
      <c r="E345" s="3">
        <f t="shared" si="16"/>
        <v>6</v>
      </c>
      <c r="H345" s="19" t="str">
        <f t="shared" si="14"/>
        <v/>
      </c>
    </row>
    <row r="346" spans="1:8">
      <c r="E346" s="3">
        <f t="shared" si="16"/>
        <v>6</v>
      </c>
      <c r="H346" s="19" t="str">
        <f t="shared" si="14"/>
        <v/>
      </c>
    </row>
    <row r="347" spans="1:8">
      <c r="E347" s="3">
        <f t="shared" si="16"/>
        <v>6</v>
      </c>
      <c r="H347" s="19" t="str">
        <f t="shared" si="14"/>
        <v/>
      </c>
    </row>
    <row r="348" spans="1:8">
      <c r="E348" s="3">
        <f t="shared" si="16"/>
        <v>6</v>
      </c>
      <c r="H348" s="19" t="str">
        <f t="shared" si="14"/>
        <v/>
      </c>
    </row>
    <row r="349" spans="1:8">
      <c r="E349" s="3">
        <f t="shared" si="16"/>
        <v>6</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52"/>
  <sheetViews>
    <sheetView tabSelected="1" topLeftCell="Q79" zoomScale="85" zoomScaleNormal="85" workbookViewId="0">
      <selection activeCell="Z106" sqref="Z106"/>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21)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1.12 n=550 (joista vanhoja yli 28 päivän takaisia kirjauksia 21). Yhteensä N=25462. Edelliset 7 päivää 2638 (päivittyy), 2693 (muutos 53 %), 1762 (25 %) ja 1405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1.12 n=550 (joista vanhoja yli 28 päivän takaisia kirjauksia 21). Yhteensä N=25462. Melko pysyvät 7 päivää 21.11-27.11 yhteensä 3023 (muutos 26 %), aiemmat 7 päivää 2391 (52 %) ja 1577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N=25462. Uusimmat 1.12 lisäykset punaisella n=550.</v>
      </c>
      <c r="B34" s="4"/>
    </row>
    <row r="35" spans="1:247">
      <c r="B35" s="4" t="s">
        <v>5</v>
      </c>
      <c r="C35" t="s">
        <v>0</v>
      </c>
      <c r="D35" t="s">
        <v>6</v>
      </c>
      <c r="E35">
        <f ca="1">SUM(E37:E65)</f>
        <v>529</v>
      </c>
      <c r="F35" t="s">
        <v>228</v>
      </c>
      <c r="G35" t="s">
        <v>354</v>
      </c>
      <c r="I35" t="s">
        <v>355</v>
      </c>
      <c r="J35" t="s">
        <v>354</v>
      </c>
      <c r="M35" s="16" t="s">
        <v>311</v>
      </c>
      <c r="P35" s="16" t="s">
        <v>312</v>
      </c>
      <c r="S35" s="16" t="s">
        <v>313</v>
      </c>
    </row>
    <row r="36" spans="1:247">
      <c r="A36" t="str">
        <f ca="1">IF(WEEKDAY(B36,2)=1,"Ma "&amp;TEXT(B36,"p"),TEXT(B36,"p.k"))</f>
        <v>Ma 2</v>
      </c>
      <c r="B36" s="4">
        <f ca="1">B37-1</f>
        <v>44137</v>
      </c>
      <c r="C36" s="11">
        <f t="shared" ref="C36:C65" ca="1" si="0">SUMIF(aika,"&lt;"&amp;(B36+1),Id)</f>
        <v>16964</v>
      </c>
    </row>
    <row r="37" spans="1:247" s="10" customFormat="1">
      <c r="A37" t="str">
        <f t="shared" ref="A37:A65" ca="1" si="1">IF(WEEKDAY(B37,2)=1,"Ma "&amp;TEXT(B37,"p"),TEXT(B37,"p.k"))</f>
        <v>3.11</v>
      </c>
      <c r="B37" s="9">
        <f t="shared" ref="B37:B62" ca="1" si="2">B38-1</f>
        <v>44138</v>
      </c>
      <c r="C37" s="10">
        <f t="shared" ca="1" si="0"/>
        <v>17205</v>
      </c>
      <c r="D37" s="10">
        <f t="shared" ref="D37" ca="1" si="3">C37-C36</f>
        <v>241</v>
      </c>
      <c r="E37" s="10">
        <f t="shared" ref="E37:E64" ca="1" si="4">_xlfn.IFNA(D37-F37,"")</f>
        <v>0</v>
      </c>
      <c r="F37" s="10">
        <f ca="1">VLOOKUP(B37,Previous,3,FALSE)</f>
        <v>241</v>
      </c>
      <c r="G37" s="10">
        <f ca="1">SUM(D37:D43)</f>
        <v>1405</v>
      </c>
      <c r="I37" s="10">
        <f ca="1">SUM(D37:D50)</f>
        <v>3167</v>
      </c>
      <c r="K37" s="14"/>
      <c r="M37" s="17">
        <v>44138</v>
      </c>
      <c r="N37" s="10">
        <v>17184</v>
      </c>
      <c r="O37" s="10">
        <v>241</v>
      </c>
      <c r="P37" s="17">
        <v>44138</v>
      </c>
      <c r="Q37" s="10">
        <v>17205</v>
      </c>
      <c r="R37" s="10">
        <v>241</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4.11</v>
      </c>
      <c r="B38" s="4">
        <f t="shared" ca="1" si="2"/>
        <v>44139</v>
      </c>
      <c r="C38" s="11">
        <f t="shared" ca="1" si="0"/>
        <v>17418</v>
      </c>
      <c r="D38">
        <f t="shared" ref="D38" ca="1" si="5">C38-C37</f>
        <v>213</v>
      </c>
      <c r="E38" s="11">
        <f t="shared" ca="1" si="4"/>
        <v>2</v>
      </c>
      <c r="F38" s="11">
        <f t="shared" ref="F38:F65" ca="1" si="6">VLOOKUP(B38,Previous,3,FALSE)</f>
        <v>211</v>
      </c>
      <c r="K38" s="3"/>
      <c r="M38" s="16">
        <v>44139</v>
      </c>
      <c r="N38">
        <v>17395</v>
      </c>
      <c r="O38">
        <v>211</v>
      </c>
      <c r="P38" s="16">
        <v>44139</v>
      </c>
      <c r="Q38">
        <v>17418</v>
      </c>
      <c r="R38">
        <v>213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5.11</v>
      </c>
      <c r="B39" s="4">
        <f t="shared" ca="1" si="2"/>
        <v>44140</v>
      </c>
      <c r="C39" s="11">
        <f t="shared" ca="1" si="0"/>
        <v>17640</v>
      </c>
      <c r="D39">
        <f t="shared" ref="D39" ca="1" si="7">C39-C38</f>
        <v>222</v>
      </c>
      <c r="E39" s="11">
        <f t="shared" ca="1" si="4"/>
        <v>0</v>
      </c>
      <c r="F39" s="11">
        <f t="shared" ca="1" si="6"/>
        <v>222</v>
      </c>
      <c r="K39" s="3"/>
      <c r="M39" s="16">
        <v>44140</v>
      </c>
      <c r="N39">
        <v>17617</v>
      </c>
      <c r="O39">
        <v>222</v>
      </c>
      <c r="P39" s="16">
        <v>44140</v>
      </c>
      <c r="Q39">
        <v>17640</v>
      </c>
      <c r="R39">
        <v>222</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6.11</v>
      </c>
      <c r="B40" s="4">
        <f t="shared" ca="1" si="2"/>
        <v>44141</v>
      </c>
      <c r="C40" s="11">
        <f t="shared" ca="1" si="0"/>
        <v>17835</v>
      </c>
      <c r="D40">
        <f t="shared" ref="D40" ca="1" si="8">C40-C39</f>
        <v>195</v>
      </c>
      <c r="E40" s="11">
        <f t="shared" ca="1" si="4"/>
        <v>0</v>
      </c>
      <c r="F40" s="11">
        <f t="shared" ca="1" si="6"/>
        <v>195</v>
      </c>
      <c r="K40" s="10"/>
      <c r="M40" s="16">
        <v>44141</v>
      </c>
      <c r="N40">
        <v>17812</v>
      </c>
      <c r="O40">
        <v>195</v>
      </c>
      <c r="P40" s="16">
        <v>44141</v>
      </c>
      <c r="Q40">
        <v>17835</v>
      </c>
      <c r="R40">
        <v>195</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7.11</v>
      </c>
      <c r="B41" s="4">
        <f t="shared" ca="1" si="2"/>
        <v>44142</v>
      </c>
      <c r="C41" s="11">
        <f t="shared" ca="1" si="0"/>
        <v>17963</v>
      </c>
      <c r="D41">
        <f t="shared" ref="D41" ca="1" si="9">C41-C40</f>
        <v>128</v>
      </c>
      <c r="E41" s="11">
        <f t="shared" ca="1" si="4"/>
        <v>0</v>
      </c>
      <c r="F41" s="11">
        <f t="shared" ca="1" si="6"/>
        <v>128</v>
      </c>
      <c r="J41" s="10">
        <f ca="1">SUM(D41:D47)</f>
        <v>1577</v>
      </c>
      <c r="K41" s="3"/>
      <c r="M41" s="16">
        <v>44142</v>
      </c>
      <c r="N41">
        <v>17940</v>
      </c>
      <c r="O41">
        <v>128</v>
      </c>
      <c r="P41" s="16">
        <v>44142</v>
      </c>
      <c r="Q41">
        <v>17963</v>
      </c>
      <c r="R41">
        <v>128</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8.11</v>
      </c>
      <c r="B42" s="4">
        <f t="shared" ca="1" si="2"/>
        <v>44143</v>
      </c>
      <c r="C42" s="11">
        <f t="shared" ca="1" si="0"/>
        <v>18096</v>
      </c>
      <c r="D42">
        <f t="shared" ref="D42" ca="1" si="10">C42-C41</f>
        <v>133</v>
      </c>
      <c r="E42" s="11">
        <f t="shared" ca="1" si="4"/>
        <v>0</v>
      </c>
      <c r="F42" s="11">
        <f t="shared" ca="1" si="6"/>
        <v>133</v>
      </c>
      <c r="K42" s="3"/>
      <c r="M42" s="16">
        <v>44143</v>
      </c>
      <c r="N42">
        <v>18073</v>
      </c>
      <c r="O42">
        <v>133</v>
      </c>
      <c r="P42" s="16">
        <v>44143</v>
      </c>
      <c r="Q42">
        <v>18096</v>
      </c>
      <c r="R42">
        <v>133</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Ma 9</v>
      </c>
      <c r="B43" s="4">
        <f t="shared" ca="1" si="2"/>
        <v>44144</v>
      </c>
      <c r="C43" s="11">
        <f t="shared" ca="1" si="0"/>
        <v>18369</v>
      </c>
      <c r="D43">
        <f t="shared" ref="D43" ca="1" si="11">C43-C42</f>
        <v>273</v>
      </c>
      <c r="E43" s="11">
        <f t="shared" ca="1" si="4"/>
        <v>-3</v>
      </c>
      <c r="F43" s="11">
        <f t="shared" ca="1" si="6"/>
        <v>276</v>
      </c>
      <c r="G43" s="10"/>
      <c r="K43" s="3"/>
      <c r="M43" s="16">
        <v>44144</v>
      </c>
      <c r="N43">
        <v>18349</v>
      </c>
      <c r="O43">
        <v>276</v>
      </c>
      <c r="P43" s="16">
        <v>44144</v>
      </c>
      <c r="Q43">
        <v>18369</v>
      </c>
      <c r="R43">
        <v>273</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10.11</v>
      </c>
      <c r="B44" s="9">
        <f t="shared" ca="1" si="2"/>
        <v>44145</v>
      </c>
      <c r="C44" s="10">
        <f t="shared" ca="1" si="0"/>
        <v>18574</v>
      </c>
      <c r="D44" s="10">
        <f t="shared" ref="D44" ca="1" si="12">C44-C43</f>
        <v>205</v>
      </c>
      <c r="E44" s="10">
        <f t="shared" ca="1" si="4"/>
        <v>0</v>
      </c>
      <c r="F44" s="10">
        <f t="shared" ca="1" si="6"/>
        <v>205</v>
      </c>
      <c r="G44" s="10">
        <f ca="1">SUM(D44:D50)</f>
        <v>1762</v>
      </c>
      <c r="H44" s="10" t="str">
        <f ca="1">TEXT(G44/G37-1,"0 %")</f>
        <v>25 %</v>
      </c>
      <c r="K44" s="14"/>
      <c r="L44"/>
      <c r="M44" s="17">
        <v>44145</v>
      </c>
      <c r="N44" s="10">
        <v>18554</v>
      </c>
      <c r="O44" s="10">
        <v>205</v>
      </c>
      <c r="P44" s="17">
        <v>44145</v>
      </c>
      <c r="Q44" s="10">
        <v>18574</v>
      </c>
      <c r="R44" s="10">
        <v>205</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11.11</v>
      </c>
      <c r="B45" s="4">
        <f t="shared" ca="1" si="2"/>
        <v>44146</v>
      </c>
      <c r="C45" s="11">
        <f t="shared" ca="1" si="0"/>
        <v>18866</v>
      </c>
      <c r="D45">
        <f t="shared" ref="D45" ca="1" si="13">C45-C44</f>
        <v>292</v>
      </c>
      <c r="E45" s="11">
        <f t="shared" ca="1" si="4"/>
        <v>0</v>
      </c>
      <c r="F45" s="11">
        <f t="shared" ca="1" si="6"/>
        <v>292</v>
      </c>
      <c r="K45" s="3"/>
      <c r="M45" s="16">
        <v>44146</v>
      </c>
      <c r="N45">
        <v>18846</v>
      </c>
      <c r="O45">
        <v>292</v>
      </c>
      <c r="P45" s="16">
        <v>44146</v>
      </c>
      <c r="Q45">
        <v>18866</v>
      </c>
      <c r="R45">
        <v>292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12.11</v>
      </c>
      <c r="B46" s="4">
        <f t="shared" ca="1" si="2"/>
        <v>44147</v>
      </c>
      <c r="C46" s="11">
        <f t="shared" ca="1" si="0"/>
        <v>19148</v>
      </c>
      <c r="D46">
        <f t="shared" ref="D46" ca="1" si="14">C46-C45</f>
        <v>282</v>
      </c>
      <c r="E46" s="11">
        <f t="shared" ca="1" si="4"/>
        <v>0</v>
      </c>
      <c r="F46" s="11">
        <f t="shared" ca="1" si="6"/>
        <v>282</v>
      </c>
      <c r="K46" s="3"/>
      <c r="M46" s="16">
        <v>44147</v>
      </c>
      <c r="N46">
        <v>19128</v>
      </c>
      <c r="O46">
        <v>282</v>
      </c>
      <c r="P46" s="16">
        <v>44147</v>
      </c>
      <c r="Q46">
        <v>19148</v>
      </c>
      <c r="R46">
        <v>282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13.11</v>
      </c>
      <c r="B47" s="4">
        <f t="shared" ca="1" si="2"/>
        <v>44148</v>
      </c>
      <c r="C47" s="11">
        <f t="shared" ca="1" si="0"/>
        <v>19412</v>
      </c>
      <c r="D47">
        <f t="shared" ref="D47" ca="1" si="15">C47-C46</f>
        <v>264</v>
      </c>
      <c r="E47" s="11">
        <f t="shared" ca="1" si="4"/>
        <v>0</v>
      </c>
      <c r="F47" s="11">
        <f t="shared" ca="1" si="6"/>
        <v>264</v>
      </c>
      <c r="M47" s="16">
        <v>44148</v>
      </c>
      <c r="N47">
        <v>19392</v>
      </c>
      <c r="O47">
        <v>264</v>
      </c>
      <c r="P47" s="16">
        <v>44148</v>
      </c>
      <c r="Q47">
        <v>19412</v>
      </c>
      <c r="R47">
        <v>264</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14.11</v>
      </c>
      <c r="B48" s="4">
        <f t="shared" ca="1" si="2"/>
        <v>44149</v>
      </c>
      <c r="C48" s="11">
        <f t="shared" ca="1" si="0"/>
        <v>19557</v>
      </c>
      <c r="D48">
        <f t="shared" ref="D48" ca="1" si="16">C48-C47</f>
        <v>145</v>
      </c>
      <c r="E48" s="11">
        <f t="shared" ca="1" si="4"/>
        <v>0</v>
      </c>
      <c r="F48" s="11">
        <f t="shared" ca="1" si="6"/>
        <v>145</v>
      </c>
      <c r="J48" s="10">
        <f ca="1">SUM(D48:D54)</f>
        <v>2391</v>
      </c>
      <c r="K48" s="10" t="str">
        <f ca="1">TEXT(J48/J41-1,"0 %")</f>
        <v>52 %</v>
      </c>
      <c r="M48" s="16">
        <v>44149</v>
      </c>
      <c r="N48">
        <v>19537</v>
      </c>
      <c r="O48">
        <v>145</v>
      </c>
      <c r="P48" s="16">
        <v>44149</v>
      </c>
      <c r="Q48">
        <v>19557</v>
      </c>
      <c r="R48">
        <v>145</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15.11</v>
      </c>
      <c r="B49" s="4">
        <f t="shared" ca="1" si="2"/>
        <v>44150</v>
      </c>
      <c r="C49" s="11">
        <f t="shared" ca="1" si="0"/>
        <v>19738</v>
      </c>
      <c r="D49">
        <f t="shared" ref="D49" ca="1" si="17">C49-C48</f>
        <v>181</v>
      </c>
      <c r="E49" s="11">
        <f t="shared" ca="1" si="4"/>
        <v>0</v>
      </c>
      <c r="F49" s="11">
        <f t="shared" ca="1" si="6"/>
        <v>181</v>
      </c>
      <c r="K49" s="3"/>
      <c r="M49" s="16">
        <v>44150</v>
      </c>
      <c r="N49">
        <v>19718</v>
      </c>
      <c r="O49">
        <v>181</v>
      </c>
      <c r="P49" s="16">
        <v>44150</v>
      </c>
      <c r="Q49">
        <v>19738</v>
      </c>
      <c r="R49">
        <v>181</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Ma 16</v>
      </c>
      <c r="B50" s="4">
        <f t="shared" ca="1" si="2"/>
        <v>44151</v>
      </c>
      <c r="C50" s="11">
        <f t="shared" ca="1" si="0"/>
        <v>20131</v>
      </c>
      <c r="D50">
        <f t="shared" ref="D50" ca="1" si="18">C50-C49</f>
        <v>393</v>
      </c>
      <c r="E50" s="11">
        <f t="shared" ca="1" si="4"/>
        <v>0</v>
      </c>
      <c r="F50" s="11">
        <f ca="1">VLOOKUP(B50,Previous,3,FALSE)</f>
        <v>393</v>
      </c>
      <c r="K50" s="3"/>
      <c r="M50" s="16">
        <v>44151</v>
      </c>
      <c r="N50">
        <v>20111</v>
      </c>
      <c r="O50">
        <v>393</v>
      </c>
      <c r="P50" s="16">
        <v>44151</v>
      </c>
      <c r="Q50">
        <v>20131</v>
      </c>
      <c r="R50">
        <v>393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17.11</v>
      </c>
      <c r="B51" s="9">
        <f t="shared" ca="1" si="2"/>
        <v>44152</v>
      </c>
      <c r="C51" s="10">
        <f t="shared" ca="1" si="0"/>
        <v>20522</v>
      </c>
      <c r="D51" s="10">
        <f t="shared" ref="D51" ca="1" si="19">C51-C50</f>
        <v>391</v>
      </c>
      <c r="E51" s="10">
        <f t="shared" ca="1" si="4"/>
        <v>-3</v>
      </c>
      <c r="F51" s="10">
        <f t="shared" ca="1" si="6"/>
        <v>394</v>
      </c>
      <c r="G51" s="10">
        <f ca="1">SUM(D51:D57)</f>
        <v>2693</v>
      </c>
      <c r="H51" s="10" t="str">
        <f ca="1">TEXT(G51/G44-1,"0 %")</f>
        <v>53 %</v>
      </c>
      <c r="I51" s="10">
        <f ca="1">SUM(D51:D64)</f>
        <v>5331</v>
      </c>
      <c r="K51" s="14"/>
      <c r="L51"/>
      <c r="M51" s="17">
        <v>44152</v>
      </c>
      <c r="N51" s="10">
        <v>20505</v>
      </c>
      <c r="O51" s="10">
        <v>394</v>
      </c>
      <c r="P51" s="17">
        <v>44152</v>
      </c>
      <c r="Q51" s="10">
        <v>20522</v>
      </c>
      <c r="R51" s="10">
        <v>391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18.11</v>
      </c>
      <c r="B52" s="4">
        <f t="shared" ca="1" si="2"/>
        <v>44153</v>
      </c>
      <c r="C52" s="11">
        <f t="shared" ca="1" si="0"/>
        <v>20894</v>
      </c>
      <c r="D52">
        <f t="shared" ref="D52:D63" ca="1" si="20">C52-C51</f>
        <v>372</v>
      </c>
      <c r="E52" s="11">
        <f t="shared" ca="1" si="4"/>
        <v>0</v>
      </c>
      <c r="F52" s="11">
        <f t="shared" ca="1" si="6"/>
        <v>372</v>
      </c>
      <c r="G52" s="10"/>
      <c r="K52" s="3"/>
      <c r="M52" s="16">
        <v>44153</v>
      </c>
      <c r="N52">
        <v>20877</v>
      </c>
      <c r="O52">
        <v>372</v>
      </c>
      <c r="P52" s="16">
        <v>44153</v>
      </c>
      <c r="Q52">
        <v>20894</v>
      </c>
      <c r="R52">
        <v>372</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19.11</v>
      </c>
      <c r="B53" s="4">
        <f t="shared" ca="1" si="2"/>
        <v>44154</v>
      </c>
      <c r="C53" s="11">
        <f t="shared" ca="1" si="0"/>
        <v>21373</v>
      </c>
      <c r="D53">
        <f t="shared" ca="1" si="20"/>
        <v>479</v>
      </c>
      <c r="E53" s="11">
        <f t="shared" ca="1" si="4"/>
        <v>0</v>
      </c>
      <c r="F53" s="11">
        <f t="shared" ca="1" si="6"/>
        <v>479</v>
      </c>
      <c r="J53" s="13"/>
      <c r="K53" s="3"/>
      <c r="M53" s="16">
        <v>44154</v>
      </c>
      <c r="N53">
        <v>21356</v>
      </c>
      <c r="O53">
        <v>479</v>
      </c>
      <c r="P53" s="16">
        <v>44154</v>
      </c>
      <c r="Q53">
        <v>21373</v>
      </c>
      <c r="R53">
        <v>479</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20.11</v>
      </c>
      <c r="B54" s="4">
        <f t="shared" ca="1" si="2"/>
        <v>44155</v>
      </c>
      <c r="C54" s="11">
        <f t="shared" ca="1" si="0"/>
        <v>21803</v>
      </c>
      <c r="D54">
        <f t="shared" ca="1" si="20"/>
        <v>430</v>
      </c>
      <c r="E54" s="11">
        <f t="shared" ca="1" si="4"/>
        <v>2</v>
      </c>
      <c r="F54" s="11">
        <f t="shared" ca="1" si="6"/>
        <v>428</v>
      </c>
      <c r="M54" s="16">
        <v>44155</v>
      </c>
      <c r="N54">
        <v>21784</v>
      </c>
      <c r="O54">
        <v>428</v>
      </c>
      <c r="P54" s="16">
        <v>44155</v>
      </c>
      <c r="Q54">
        <v>21803</v>
      </c>
      <c r="R54">
        <v>430</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21.11</v>
      </c>
      <c r="B55" s="4">
        <f t="shared" ca="1" si="2"/>
        <v>44156</v>
      </c>
      <c r="C55" s="11">
        <f t="shared" ca="1" si="0"/>
        <v>22072</v>
      </c>
      <c r="D55">
        <f t="shared" ca="1" si="20"/>
        <v>269</v>
      </c>
      <c r="E55" s="11">
        <f t="shared" ca="1" si="4"/>
        <v>-1</v>
      </c>
      <c r="F55" s="11">
        <f t="shared" ca="1" si="6"/>
        <v>270</v>
      </c>
      <c r="I55" s="10"/>
      <c r="J55" s="10">
        <f ca="1">SUM(D55:D61)</f>
        <v>3023</v>
      </c>
      <c r="K55" s="10" t="str">
        <f ca="1">TEXT(J55/J48-1,"0 %")</f>
        <v>26 %</v>
      </c>
      <c r="M55" s="16">
        <v>44156</v>
      </c>
      <c r="N55">
        <v>22054</v>
      </c>
      <c r="O55">
        <v>270</v>
      </c>
      <c r="P55" s="16">
        <v>44156</v>
      </c>
      <c r="Q55">
        <v>22072</v>
      </c>
      <c r="R55">
        <v>269</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22.11</v>
      </c>
      <c r="B56" s="4">
        <f t="shared" ca="1" si="2"/>
        <v>44157</v>
      </c>
      <c r="C56" s="11">
        <f t="shared" ca="1" si="0"/>
        <v>22334</v>
      </c>
      <c r="D56">
        <f t="shared" ca="1" si="20"/>
        <v>262</v>
      </c>
      <c r="E56" s="11">
        <f t="shared" ca="1" si="4"/>
        <v>-2</v>
      </c>
      <c r="F56" s="11">
        <f t="shared" ca="1" si="6"/>
        <v>264</v>
      </c>
      <c r="K56" s="3"/>
      <c r="M56" s="16">
        <v>44157</v>
      </c>
      <c r="N56">
        <v>22318</v>
      </c>
      <c r="O56">
        <v>264</v>
      </c>
      <c r="P56" s="16">
        <v>44157</v>
      </c>
      <c r="Q56">
        <v>22334</v>
      </c>
      <c r="R56">
        <v>262</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Ma 23</v>
      </c>
      <c r="B57" s="4">
        <f t="shared" ca="1" si="2"/>
        <v>44158</v>
      </c>
      <c r="C57" s="11">
        <f t="shared" ca="1" si="0"/>
        <v>22824</v>
      </c>
      <c r="D57">
        <f t="shared" ca="1" si="20"/>
        <v>490</v>
      </c>
      <c r="E57" s="11">
        <f t="shared" ca="1" si="4"/>
        <v>10</v>
      </c>
      <c r="F57" s="11">
        <f t="shared" ca="1" si="6"/>
        <v>480</v>
      </c>
      <c r="J57" s="13"/>
      <c r="K57" s="3"/>
      <c r="M57" s="16">
        <v>44158</v>
      </c>
      <c r="N57">
        <v>22798</v>
      </c>
      <c r="O57">
        <v>480</v>
      </c>
      <c r="P57" s="16">
        <v>44158</v>
      </c>
      <c r="Q57">
        <v>22824</v>
      </c>
      <c r="R57">
        <v>490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24.11</v>
      </c>
      <c r="B58" s="9">
        <f t="shared" ca="1" si="2"/>
        <v>44159</v>
      </c>
      <c r="C58" s="10">
        <f t="shared" ca="1" si="0"/>
        <v>23285</v>
      </c>
      <c r="D58" s="10">
        <f t="shared" ca="1" si="20"/>
        <v>461</v>
      </c>
      <c r="E58" s="10">
        <f t="shared" ca="1" si="4"/>
        <v>24</v>
      </c>
      <c r="F58" s="10">
        <f t="shared" ca="1" si="6"/>
        <v>437</v>
      </c>
      <c r="G58" s="10">
        <f ca="1">SUM(D58:D64)</f>
        <v>2638</v>
      </c>
      <c r="H58" s="10" t="str">
        <f ca="1">TEXT(G58/G51-1,"0 %")</f>
        <v>-2 %</v>
      </c>
      <c r="K58" s="14"/>
      <c r="L58"/>
      <c r="M58" s="17">
        <v>44159</v>
      </c>
      <c r="N58" s="10">
        <v>23235</v>
      </c>
      <c r="O58" s="10">
        <v>437</v>
      </c>
      <c r="P58" s="17">
        <v>44159</v>
      </c>
      <c r="Q58" s="10">
        <v>23285</v>
      </c>
      <c r="R58" s="10">
        <v>461</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25.11</v>
      </c>
      <c r="B59" s="4">
        <f t="shared" ca="1" si="2"/>
        <v>44160</v>
      </c>
      <c r="C59" s="11">
        <f t="shared" ca="1" si="0"/>
        <v>23884</v>
      </c>
      <c r="D59">
        <f t="shared" ca="1" si="20"/>
        <v>599</v>
      </c>
      <c r="E59" s="11">
        <f t="shared" ca="1" si="4"/>
        <v>24</v>
      </c>
      <c r="F59" s="11">
        <f t="shared" ca="1" si="6"/>
        <v>575</v>
      </c>
      <c r="H59" s="10"/>
      <c r="J59" s="13"/>
      <c r="K59" s="3"/>
      <c r="M59" s="16">
        <v>44160</v>
      </c>
      <c r="N59">
        <v>23810</v>
      </c>
      <c r="O59">
        <v>575</v>
      </c>
      <c r="P59" s="16">
        <v>44160</v>
      </c>
      <c r="Q59">
        <v>23884</v>
      </c>
      <c r="R59">
        <v>599</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26.11</v>
      </c>
      <c r="B60" s="4">
        <f t="shared" ca="1" si="2"/>
        <v>44161</v>
      </c>
      <c r="C60" s="11">
        <f t="shared" ca="1" si="0"/>
        <v>24382</v>
      </c>
      <c r="D60">
        <f t="shared" ca="1" si="20"/>
        <v>498</v>
      </c>
      <c r="E60" s="11">
        <f t="shared" ca="1" si="4"/>
        <v>70</v>
      </c>
      <c r="F60" s="11">
        <f t="shared" ca="1" si="6"/>
        <v>428</v>
      </c>
      <c r="J60" s="4"/>
      <c r="K60" s="3"/>
      <c r="M60" s="16">
        <v>44161</v>
      </c>
      <c r="N60">
        <v>24238</v>
      </c>
      <c r="O60">
        <v>428</v>
      </c>
      <c r="P60" s="16">
        <v>44161</v>
      </c>
      <c r="Q60">
        <v>24382</v>
      </c>
      <c r="R60">
        <v>498</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27.11</v>
      </c>
      <c r="B61" s="4">
        <f t="shared" ca="1" si="2"/>
        <v>44162</v>
      </c>
      <c r="C61" s="11">
        <f t="shared" ca="1" si="0"/>
        <v>24826</v>
      </c>
      <c r="D61">
        <f t="shared" ca="1" si="20"/>
        <v>444</v>
      </c>
      <c r="E61" s="11">
        <f t="shared" ca="1" si="4"/>
        <v>94</v>
      </c>
      <c r="F61" s="11">
        <f t="shared" ca="1" si="6"/>
        <v>350</v>
      </c>
      <c r="J61" s="4"/>
      <c r="K61" s="3"/>
      <c r="M61" s="16">
        <v>44162</v>
      </c>
      <c r="N61">
        <v>24588</v>
      </c>
      <c r="O61">
        <v>350</v>
      </c>
      <c r="P61" s="16">
        <v>44162</v>
      </c>
      <c r="Q61">
        <v>24826</v>
      </c>
      <c r="R61">
        <v>444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28.11</v>
      </c>
      <c r="B62" s="4">
        <f t="shared" ca="1" si="2"/>
        <v>44163</v>
      </c>
      <c r="C62" s="11">
        <f t="shared" ca="1" si="0"/>
        <v>25063</v>
      </c>
      <c r="D62">
        <f t="shared" ca="1" si="20"/>
        <v>237</v>
      </c>
      <c r="E62" s="11">
        <f t="shared" ca="1" si="4"/>
        <v>39</v>
      </c>
      <c r="F62" s="11">
        <f t="shared" ca="1" si="6"/>
        <v>198</v>
      </c>
      <c r="J62" s="4"/>
      <c r="K62" s="3"/>
      <c r="M62" s="16">
        <v>44163</v>
      </c>
      <c r="N62">
        <v>24786</v>
      </c>
      <c r="O62">
        <v>198</v>
      </c>
      <c r="P62" s="16">
        <v>44163</v>
      </c>
      <c r="Q62">
        <v>25063</v>
      </c>
      <c r="R62">
        <v>237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29.11</v>
      </c>
      <c r="B63" s="4">
        <f ca="1">B64-1</f>
        <v>44164</v>
      </c>
      <c r="C63" s="11">
        <f t="shared" ca="1" si="0"/>
        <v>25282</v>
      </c>
      <c r="D63">
        <f t="shared" ca="1" si="20"/>
        <v>219</v>
      </c>
      <c r="E63" s="11">
        <f t="shared" ca="1" si="4"/>
        <v>93</v>
      </c>
      <c r="F63" s="11">
        <f t="shared" ca="1" si="6"/>
        <v>126</v>
      </c>
      <c r="J63" s="4"/>
      <c r="K63" s="3"/>
      <c r="M63" s="16">
        <v>44164</v>
      </c>
      <c r="N63">
        <v>24912</v>
      </c>
      <c r="O63">
        <v>126</v>
      </c>
      <c r="P63" s="16">
        <v>44164</v>
      </c>
      <c r="Q63">
        <v>25282</v>
      </c>
      <c r="R63">
        <v>219</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Ma 30</v>
      </c>
      <c r="B64" s="9">
        <f ca="1">B65-1</f>
        <v>44165</v>
      </c>
      <c r="C64" s="10">
        <f t="shared" ca="1" si="0"/>
        <v>25462</v>
      </c>
      <c r="D64" s="10">
        <f ca="1">C64-C63</f>
        <v>180</v>
      </c>
      <c r="E64" s="10">
        <f t="shared" ca="1" si="4"/>
        <v>180</v>
      </c>
      <c r="F64" s="10">
        <f t="shared" ca="1" si="6"/>
        <v>0</v>
      </c>
      <c r="J64" s="9"/>
      <c r="K64" s="14"/>
      <c r="M64" s="17">
        <v>44165</v>
      </c>
      <c r="N64" s="10">
        <v>24912</v>
      </c>
      <c r="O64" s="10">
        <v>0</v>
      </c>
      <c r="P64" s="17">
        <v>44165</v>
      </c>
      <c r="Q64" s="10">
        <v>25462</v>
      </c>
      <c r="R64" s="10">
        <v>180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1.12</v>
      </c>
      <c r="B65" s="12">
        <f ca="1">FLOOR(NOW(),1)</f>
        <v>44166</v>
      </c>
      <c r="C65" s="11">
        <f t="shared" ca="1" si="0"/>
        <v>25462</v>
      </c>
      <c r="D65" s="11">
        <f ca="1">C65-C64</f>
        <v>0</v>
      </c>
      <c r="E65" s="11">
        <f ca="1">_xlfn.IFNA(D65-F65,"")</f>
        <v>0</v>
      </c>
      <c r="F65" s="11">
        <f t="shared" ca="1" si="6"/>
        <v>0</v>
      </c>
      <c r="M65" s="16">
        <v>44166</v>
      </c>
      <c r="N65">
        <v>24912</v>
      </c>
      <c r="O65">
        <v>0</v>
      </c>
      <c r="P65" s="16">
        <v>44166</v>
      </c>
      <c r="Q65">
        <v>25462</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s="16" customFormat="1">
      <c r="P66" s="16">
        <f>P65</f>
        <v>44166</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44165</v>
      </c>
      <c r="FP66" s="16">
        <f>FP65</f>
        <v>44166</v>
      </c>
      <c r="FS66" s="16">
        <f>FS65</f>
        <v>0</v>
      </c>
      <c r="FV66" s="16">
        <f>FV65</f>
        <v>0</v>
      </c>
      <c r="FY66" s="16">
        <f>FY65</f>
        <v>0</v>
      </c>
      <c r="GB66" s="16">
        <f>GB65</f>
        <v>0</v>
      </c>
      <c r="GE66" s="16">
        <f>GE65</f>
        <v>0</v>
      </c>
    </row>
    <row r="67" spans="1:247">
      <c r="A67">
        <v>1</v>
      </c>
      <c r="B67">
        <v>2</v>
      </c>
      <c r="C67">
        <v>3</v>
      </c>
      <c r="D67">
        <v>4</v>
      </c>
      <c r="E67">
        <v>5</v>
      </c>
      <c r="F67">
        <v>6</v>
      </c>
      <c r="G67">
        <v>7</v>
      </c>
      <c r="H67">
        <v>8</v>
      </c>
      <c r="I67">
        <v>9</v>
      </c>
      <c r="J67">
        <v>10</v>
      </c>
      <c r="K67">
        <v>11</v>
      </c>
      <c r="L67">
        <v>12</v>
      </c>
      <c r="M67"/>
      <c r="N67" t="s">
        <v>361</v>
      </c>
      <c r="P67">
        <f ca="1">C65-N65</f>
        <v>550</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322</v>
      </c>
      <c r="FM67">
        <f>FQ65-FN65</f>
        <v>283</v>
      </c>
      <c r="FP67">
        <f>FT65-FQ65</f>
        <v>-24912</v>
      </c>
      <c r="FS67">
        <f>FW65-FT65</f>
        <v>0</v>
      </c>
      <c r="FV67">
        <f>FZ65-FW65</f>
        <v>0</v>
      </c>
      <c r="FY67">
        <f>GC65-FZ65</f>
        <v>0</v>
      </c>
    </row>
    <row r="68" spans="1:247">
      <c r="N68" t="s">
        <v>368</v>
      </c>
      <c r="P68">
        <f ca="1">MAX(67:67)</f>
        <v>618</v>
      </c>
    </row>
    <row r="69" spans="1:247">
      <c r="P69" s="20"/>
      <c r="S69" s="20"/>
    </row>
    <row r="70" spans="1:247">
      <c r="N70" s="21">
        <f>P66</f>
        <v>44166</v>
      </c>
      <c r="O70">
        <f ca="1">HLOOKUP(N70,$66:$67,2,FALSE)</f>
        <v>550</v>
      </c>
    </row>
    <row r="71" spans="1:247">
      <c r="N71" s="21">
        <f>N70-7</f>
        <v>44159</v>
      </c>
      <c r="O71">
        <f t="shared" ref="O71:O77" si="21">HLOOKUP(N71,$66:$67,2,FALSE)</f>
        <v>353</v>
      </c>
    </row>
    <row r="72" spans="1:247">
      <c r="N72" s="21">
        <f t="shared" ref="N72:N77" si="22">N71-7</f>
        <v>44152</v>
      </c>
      <c r="O72">
        <f t="shared" si="21"/>
        <v>228</v>
      </c>
    </row>
    <row r="73" spans="1:247">
      <c r="N73" s="21">
        <f t="shared" si="22"/>
        <v>44145</v>
      </c>
      <c r="O73">
        <f t="shared" si="21"/>
        <v>220</v>
      </c>
    </row>
    <row r="74" spans="1:247">
      <c r="N74" s="21">
        <f t="shared" si="22"/>
        <v>44138</v>
      </c>
      <c r="O74">
        <f t="shared" si="21"/>
        <v>237</v>
      </c>
    </row>
    <row r="75" spans="1:247">
      <c r="N75" s="21">
        <f t="shared" si="22"/>
        <v>44131</v>
      </c>
      <c r="O75" t="e">
        <f t="shared" si="21"/>
        <v>#N/A</v>
      </c>
    </row>
    <row r="76" spans="1:247">
      <c r="N76" s="21">
        <f t="shared" si="22"/>
        <v>44124</v>
      </c>
      <c r="O76">
        <f t="shared" si="21"/>
        <v>294</v>
      </c>
    </row>
    <row r="77" spans="1:247">
      <c r="N77" s="21">
        <f t="shared" si="22"/>
        <v>44117</v>
      </c>
      <c r="O77">
        <f t="shared" si="21"/>
        <v>287</v>
      </c>
    </row>
    <row r="78" spans="1:247">
      <c r="N78" s="16"/>
    </row>
    <row r="79" spans="1:247">
      <c r="N79" t="s">
        <v>7</v>
      </c>
      <c r="R79" t="s">
        <v>7</v>
      </c>
      <c r="S79"/>
      <c r="T79" s="16"/>
      <c r="V79" t="s">
        <v>7</v>
      </c>
      <c r="X79" s="16"/>
      <c r="Y79"/>
      <c r="Z79" t="s">
        <v>7</v>
      </c>
      <c r="AD79" t="s">
        <v>7</v>
      </c>
      <c r="AE79"/>
      <c r="AF79" s="16"/>
    </row>
    <row r="80" spans="1:247">
      <c r="N80" s="22">
        <f>(N70-4)+15/24</f>
        <v>44162.625</v>
      </c>
      <c r="O80">
        <f>DMAX(_xlnm.database,"n",N79:N80)</f>
        <v>444</v>
      </c>
      <c r="P80" s="21">
        <f>N80</f>
        <v>44162.625</v>
      </c>
      <c r="Q80">
        <f>O80</f>
        <v>444</v>
      </c>
      <c r="R80" s="22">
        <f>N80-1</f>
        <v>44161.625</v>
      </c>
      <c r="S80">
        <f>DMAX(_xlnm.database,"n",R79:R80)</f>
        <v>498</v>
      </c>
      <c r="T80" s="21">
        <f>R80</f>
        <v>44161.625</v>
      </c>
      <c r="U80">
        <f>S80</f>
        <v>498</v>
      </c>
      <c r="V80" s="22">
        <f>R80-1</f>
        <v>44160.625</v>
      </c>
      <c r="W80">
        <f>DMAX(_xlnm.database,"n",V79:V80)</f>
        <v>599</v>
      </c>
      <c r="X80" s="21">
        <f>V80</f>
        <v>44160.625</v>
      </c>
      <c r="Y80">
        <f>W80</f>
        <v>599</v>
      </c>
      <c r="Z80" s="22">
        <f>V80-1</f>
        <v>44159.625</v>
      </c>
      <c r="AA80">
        <f>DMAX(_xlnm.database,"n",Z79:Z80)</f>
        <v>461</v>
      </c>
      <c r="AB80" s="21">
        <f>Z80</f>
        <v>44159.625</v>
      </c>
      <c r="AC80">
        <f>AA80</f>
        <v>461</v>
      </c>
      <c r="AD80" s="22">
        <f>N80</f>
        <v>44162.625</v>
      </c>
      <c r="AE80">
        <f>DMAX(_xlnm.database,"n",AD79:AD80)</f>
        <v>444</v>
      </c>
      <c r="AF80" s="21">
        <f>AD80</f>
        <v>44162.625</v>
      </c>
      <c r="AG80">
        <f>AE80</f>
        <v>444</v>
      </c>
    </row>
    <row r="81" spans="14:33">
      <c r="N81" t="s">
        <v>7</v>
      </c>
      <c r="P81" s="16">
        <f>P80-7</f>
        <v>44155.625</v>
      </c>
      <c r="Q81">
        <f>O82</f>
        <v>430</v>
      </c>
      <c r="R81" t="s">
        <v>7</v>
      </c>
      <c r="S81"/>
      <c r="T81" s="16">
        <f>T80-7</f>
        <v>44154.625</v>
      </c>
      <c r="U81">
        <f>S82</f>
        <v>479</v>
      </c>
      <c r="V81" t="s">
        <v>7</v>
      </c>
      <c r="X81" s="16">
        <f>X80-7</f>
        <v>44153.625</v>
      </c>
      <c r="Y81">
        <f>W82</f>
        <v>372</v>
      </c>
      <c r="Z81" t="s">
        <v>7</v>
      </c>
      <c r="AB81" s="16">
        <f>AB80-7</f>
        <v>44152.625</v>
      </c>
      <c r="AC81">
        <f>AA82</f>
        <v>391</v>
      </c>
      <c r="AD81" t="s">
        <v>7</v>
      </c>
      <c r="AE81"/>
      <c r="AF81" s="16">
        <f>AF80-1</f>
        <v>44161.625</v>
      </c>
      <c r="AG81">
        <f>AE82</f>
        <v>498</v>
      </c>
    </row>
    <row r="82" spans="14:33">
      <c r="N82" s="22">
        <f>N80-7</f>
        <v>44155.625</v>
      </c>
      <c r="O82">
        <f>DMAX(_xlnm.database,"n",N81:N82)</f>
        <v>430</v>
      </c>
      <c r="P82" s="16">
        <f t="shared" ref="P82:P89" si="23">P81-7</f>
        <v>44148.625</v>
      </c>
      <c r="Q82">
        <f>O84</f>
        <v>264</v>
      </c>
      <c r="R82" s="22">
        <f>R80-7</f>
        <v>44154.625</v>
      </c>
      <c r="S82">
        <f>DMAX(_xlnm.database,"n",R81:R82)</f>
        <v>479</v>
      </c>
      <c r="T82" s="16">
        <f t="shared" ref="T82:T89" si="24">T81-7</f>
        <v>44147.625</v>
      </c>
      <c r="U82">
        <f>S84</f>
        <v>282</v>
      </c>
      <c r="V82" s="22">
        <f>V80-7</f>
        <v>44153.625</v>
      </c>
      <c r="W82">
        <f>DMAX(_xlnm.database,"n",V81:V82)</f>
        <v>372</v>
      </c>
      <c r="X82" s="16">
        <f t="shared" ref="X82:X89" si="25">X81-7</f>
        <v>44146.625</v>
      </c>
      <c r="Y82">
        <f>W84</f>
        <v>292</v>
      </c>
      <c r="Z82" s="22">
        <f>Z80-7</f>
        <v>44152.625</v>
      </c>
      <c r="AA82">
        <f>DMAX(_xlnm.database,"n",Z81:Z82)</f>
        <v>391</v>
      </c>
      <c r="AB82" s="16">
        <f t="shared" ref="AB82:AB89" si="26">AB81-7</f>
        <v>44145.625</v>
      </c>
      <c r="AC82">
        <f>AA84</f>
        <v>205</v>
      </c>
      <c r="AD82" s="22">
        <f>AD80-1</f>
        <v>44161.625</v>
      </c>
      <c r="AE82">
        <f>DMAX(_xlnm.database,"n",AD81:AD82)</f>
        <v>498</v>
      </c>
      <c r="AF82" s="16">
        <f t="shared" ref="AF82:AF116" si="27">AF81-1</f>
        <v>44160.625</v>
      </c>
      <c r="AG82">
        <f>AE84</f>
        <v>599</v>
      </c>
    </row>
    <row r="83" spans="14:33">
      <c r="N83" t="s">
        <v>7</v>
      </c>
      <c r="P83" s="16">
        <f t="shared" si="23"/>
        <v>44141.625</v>
      </c>
      <c r="Q83">
        <f>O86</f>
        <v>195</v>
      </c>
      <c r="R83" t="s">
        <v>7</v>
      </c>
      <c r="S83"/>
      <c r="T83" s="16">
        <f t="shared" si="24"/>
        <v>44140.625</v>
      </c>
      <c r="U83">
        <f>S86</f>
        <v>222</v>
      </c>
      <c r="V83" t="s">
        <v>7</v>
      </c>
      <c r="X83" s="16">
        <f t="shared" si="25"/>
        <v>44139.625</v>
      </c>
      <c r="Y83">
        <f>W86</f>
        <v>213</v>
      </c>
      <c r="Z83" t="s">
        <v>7</v>
      </c>
      <c r="AB83" s="16">
        <f t="shared" si="26"/>
        <v>44138.625</v>
      </c>
      <c r="AC83">
        <f>AA86</f>
        <v>241</v>
      </c>
      <c r="AD83" t="s">
        <v>7</v>
      </c>
      <c r="AE83"/>
      <c r="AF83" s="16">
        <f t="shared" si="27"/>
        <v>44159.625</v>
      </c>
      <c r="AG83">
        <f>AE86</f>
        <v>461</v>
      </c>
    </row>
    <row r="84" spans="14:33">
      <c r="N84" s="22">
        <f>N82-7</f>
        <v>44148.625</v>
      </c>
      <c r="O84">
        <f>DMAX(_xlnm.database,"n",N83:N84)</f>
        <v>264</v>
      </c>
      <c r="P84" s="16">
        <f t="shared" si="23"/>
        <v>44134.625</v>
      </c>
      <c r="Q84">
        <f>O88</f>
        <v>219</v>
      </c>
      <c r="R84" s="22">
        <f>R82-7</f>
        <v>44147.625</v>
      </c>
      <c r="S84">
        <f>DMAX(_xlnm.database,"n",R83:R84)</f>
        <v>282</v>
      </c>
      <c r="T84" s="16">
        <f t="shared" si="24"/>
        <v>44133.625</v>
      </c>
      <c r="U84">
        <f>S88</f>
        <v>237</v>
      </c>
      <c r="V84" s="22">
        <f>V82-7</f>
        <v>44146.625</v>
      </c>
      <c r="W84">
        <f>DMAX(_xlnm.database,"n",V83:V84)</f>
        <v>292</v>
      </c>
      <c r="X84" s="16">
        <f t="shared" si="25"/>
        <v>44132.625</v>
      </c>
      <c r="Y84">
        <f>W88</f>
        <v>239</v>
      </c>
      <c r="Z84" s="22">
        <f>Z82-7</f>
        <v>44145.625</v>
      </c>
      <c r="AA84">
        <f>DMAX(_xlnm.database,"n",Z83:Z84)</f>
        <v>205</v>
      </c>
      <c r="AB84" s="16">
        <f t="shared" si="26"/>
        <v>44131.625</v>
      </c>
      <c r="AC84">
        <f>AA88</f>
        <v>231</v>
      </c>
      <c r="AD84" s="22">
        <f>AD82-1</f>
        <v>44160.625</v>
      </c>
      <c r="AE84">
        <f>DMAX(_xlnm.database,"n",AD83:AD84)</f>
        <v>599</v>
      </c>
      <c r="AF84" s="16">
        <f t="shared" si="27"/>
        <v>44158.625</v>
      </c>
      <c r="AG84">
        <f>AE88</f>
        <v>490</v>
      </c>
    </row>
    <row r="85" spans="14:33">
      <c r="N85" t="s">
        <v>7</v>
      </c>
      <c r="P85" s="16">
        <f t="shared" si="23"/>
        <v>44127.625</v>
      </c>
      <c r="Q85">
        <f>O90</f>
        <v>193</v>
      </c>
      <c r="R85" t="s">
        <v>7</v>
      </c>
      <c r="S85"/>
      <c r="T85" s="16">
        <f t="shared" si="24"/>
        <v>44126.625</v>
      </c>
      <c r="U85">
        <f>S90</f>
        <v>220</v>
      </c>
      <c r="V85" t="s">
        <v>7</v>
      </c>
      <c r="X85" s="16">
        <f t="shared" si="25"/>
        <v>44125.625</v>
      </c>
      <c r="Y85">
        <f>W90</f>
        <v>188</v>
      </c>
      <c r="Z85" t="s">
        <v>7</v>
      </c>
      <c r="AB85" s="16">
        <f t="shared" si="26"/>
        <v>44124.625</v>
      </c>
      <c r="AC85">
        <f>AA90</f>
        <v>166</v>
      </c>
      <c r="AD85" t="s">
        <v>7</v>
      </c>
      <c r="AE85"/>
      <c r="AF85" s="16">
        <f t="shared" si="27"/>
        <v>44157.625</v>
      </c>
      <c r="AG85">
        <f>AE90</f>
        <v>262</v>
      </c>
    </row>
    <row r="86" spans="14:33">
      <c r="N86" s="22">
        <f>N84-7</f>
        <v>44141.625</v>
      </c>
      <c r="O86">
        <f>DMAX(_xlnm.database,"n",N85:N86)</f>
        <v>195</v>
      </c>
      <c r="P86" s="16">
        <f t="shared" si="23"/>
        <v>44120.625</v>
      </c>
      <c r="Q86">
        <f>O92</f>
        <v>195</v>
      </c>
      <c r="R86" s="22">
        <f>R84-7</f>
        <v>44140.625</v>
      </c>
      <c r="S86">
        <f>DMAX(_xlnm.database,"n",R85:R86)</f>
        <v>222</v>
      </c>
      <c r="T86" s="16">
        <f t="shared" si="24"/>
        <v>44119.625</v>
      </c>
      <c r="U86">
        <f>S92</f>
        <v>190</v>
      </c>
      <c r="V86" s="22">
        <f>V84-7</f>
        <v>44139.625</v>
      </c>
      <c r="W86">
        <f>DMAX(_xlnm.database,"n",V85:V86)</f>
        <v>213</v>
      </c>
      <c r="X86" s="16">
        <f t="shared" si="25"/>
        <v>44118.625</v>
      </c>
      <c r="Y86">
        <f>W92</f>
        <v>201</v>
      </c>
      <c r="Z86" s="22">
        <f>Z84-7</f>
        <v>44138.625</v>
      </c>
      <c r="AA86">
        <f>DMAX(_xlnm.database,"n",Z85:Z86)</f>
        <v>241</v>
      </c>
      <c r="AB86" s="16">
        <f t="shared" si="26"/>
        <v>44117.625</v>
      </c>
      <c r="AC86">
        <f>AA92</f>
        <v>198</v>
      </c>
      <c r="AD86" s="22">
        <f>AD84-1</f>
        <v>44159.625</v>
      </c>
      <c r="AE86">
        <f>DMAX(_xlnm.database,"n",AD85:AD86)</f>
        <v>461</v>
      </c>
      <c r="AF86" s="16">
        <f t="shared" si="27"/>
        <v>44156.625</v>
      </c>
      <c r="AG86">
        <f>AE92</f>
        <v>269</v>
      </c>
    </row>
    <row r="87" spans="14:33">
      <c r="N87" t="s">
        <v>7</v>
      </c>
      <c r="P87" s="16">
        <f t="shared" si="23"/>
        <v>44113.625</v>
      </c>
      <c r="Q87">
        <f>O94</f>
        <v>227</v>
      </c>
      <c r="R87" t="s">
        <v>7</v>
      </c>
      <c r="S87"/>
      <c r="T87" s="16">
        <f t="shared" si="24"/>
        <v>44112.625</v>
      </c>
      <c r="U87">
        <f>S94</f>
        <v>258</v>
      </c>
      <c r="V87" t="s">
        <v>7</v>
      </c>
      <c r="X87" s="16">
        <f t="shared" si="25"/>
        <v>44111.625</v>
      </c>
      <c r="Y87">
        <f>W94</f>
        <v>306</v>
      </c>
      <c r="Z87" t="s">
        <v>7</v>
      </c>
      <c r="AB87" s="16">
        <f t="shared" si="26"/>
        <v>44110.625</v>
      </c>
      <c r="AC87">
        <f>AA94</f>
        <v>302</v>
      </c>
      <c r="AD87" t="s">
        <v>7</v>
      </c>
      <c r="AE87"/>
      <c r="AF87" s="16">
        <f t="shared" si="27"/>
        <v>44155.625</v>
      </c>
      <c r="AG87">
        <f>AE94</f>
        <v>430</v>
      </c>
    </row>
    <row r="88" spans="14:33">
      <c r="N88" s="22">
        <f>N86-7</f>
        <v>44134.625</v>
      </c>
      <c r="O88">
        <f>DMAX(_xlnm.database,"n",N87:N88)</f>
        <v>219</v>
      </c>
      <c r="P88" s="16">
        <f>P87-7</f>
        <v>44106.625</v>
      </c>
      <c r="Q88">
        <f>O96</f>
        <v>188</v>
      </c>
      <c r="R88" s="22">
        <f>R86-7</f>
        <v>44133.625</v>
      </c>
      <c r="S88">
        <f>DMAX(_xlnm.database,"n",R87:R88)</f>
        <v>237</v>
      </c>
      <c r="T88" s="16">
        <f>T87-7</f>
        <v>44105.625</v>
      </c>
      <c r="U88">
        <f>S96</f>
        <v>188</v>
      </c>
      <c r="V88" s="22">
        <f>V86-7</f>
        <v>44132.625</v>
      </c>
      <c r="W88">
        <f>DMAX(_xlnm.database,"n",V87:V88)</f>
        <v>239</v>
      </c>
      <c r="X88" s="16">
        <f>X87-7</f>
        <v>44104.625</v>
      </c>
      <c r="Y88">
        <f>W96</f>
        <v>165</v>
      </c>
      <c r="Z88" s="22">
        <f>Z86-7</f>
        <v>44131.625</v>
      </c>
      <c r="AA88">
        <f>DMAX(_xlnm.database,"n",Z87:Z88)</f>
        <v>231</v>
      </c>
      <c r="AB88" s="16">
        <f>AB87-7</f>
        <v>44103.625</v>
      </c>
      <c r="AC88">
        <f>AA96</f>
        <v>134</v>
      </c>
      <c r="AD88" s="22">
        <f>AD86-1</f>
        <v>44158.625</v>
      </c>
      <c r="AE88">
        <f>DMAX(_xlnm.database,"n",AD87:AD88)</f>
        <v>490</v>
      </c>
      <c r="AF88" s="16">
        <f t="shared" si="27"/>
        <v>44154.625</v>
      </c>
      <c r="AG88">
        <f>AE96</f>
        <v>479</v>
      </c>
    </row>
    <row r="89" spans="14:33">
      <c r="N89" t="s">
        <v>7</v>
      </c>
      <c r="P89" s="16">
        <f t="shared" si="23"/>
        <v>44099.625</v>
      </c>
      <c r="Q89">
        <f>O98</f>
        <v>127</v>
      </c>
      <c r="R89" t="s">
        <v>7</v>
      </c>
      <c r="S89"/>
      <c r="T89" s="16">
        <f t="shared" si="24"/>
        <v>44098.625</v>
      </c>
      <c r="U89">
        <f>S98</f>
        <v>97</v>
      </c>
      <c r="V89" t="s">
        <v>7</v>
      </c>
      <c r="X89" s="16">
        <f t="shared" si="25"/>
        <v>44097.625</v>
      </c>
      <c r="Y89">
        <f>W98</f>
        <v>116</v>
      </c>
      <c r="Z89" t="s">
        <v>7</v>
      </c>
      <c r="AB89" s="16">
        <f t="shared" si="26"/>
        <v>44096.625</v>
      </c>
      <c r="AC89">
        <f>AA98</f>
        <v>108</v>
      </c>
      <c r="AD89" t="s">
        <v>7</v>
      </c>
      <c r="AE89"/>
      <c r="AF89" s="16">
        <f t="shared" si="27"/>
        <v>44153.625</v>
      </c>
      <c r="AG89">
        <f>AE98</f>
        <v>372</v>
      </c>
    </row>
    <row r="90" spans="14:33">
      <c r="N90" s="22">
        <f>N88-7</f>
        <v>44127.625</v>
      </c>
      <c r="O90">
        <f>DMAX(_xlnm.database,"n",N89:N90)</f>
        <v>193</v>
      </c>
      <c r="R90" s="22">
        <f>R88-7</f>
        <v>44126.625</v>
      </c>
      <c r="S90">
        <f>DMAX(_xlnm.database,"n",R89:R90)</f>
        <v>220</v>
      </c>
      <c r="T90" s="16"/>
      <c r="V90" s="22">
        <f>V88-7</f>
        <v>44125.625</v>
      </c>
      <c r="W90">
        <f>DMAX(_xlnm.database,"n",V89:V90)</f>
        <v>188</v>
      </c>
      <c r="X90" s="16"/>
      <c r="Y90"/>
      <c r="Z90" s="22">
        <f>Z88-7</f>
        <v>44124.625</v>
      </c>
      <c r="AA90">
        <f>DMAX(_xlnm.database,"n",Z89:Z90)</f>
        <v>166</v>
      </c>
      <c r="AD90" s="22">
        <f>AD88-1</f>
        <v>44157.625</v>
      </c>
      <c r="AE90">
        <f>DMAX(_xlnm.database,"n",AD89:AD90)</f>
        <v>262</v>
      </c>
      <c r="AF90" s="16">
        <f t="shared" si="27"/>
        <v>44152.625</v>
      </c>
      <c r="AG90">
        <f>AE100</f>
        <v>391</v>
      </c>
    </row>
    <row r="91" spans="14:33">
      <c r="N91" t="s">
        <v>7</v>
      </c>
      <c r="R91" t="s">
        <v>7</v>
      </c>
      <c r="S91"/>
      <c r="T91" s="16"/>
      <c r="V91" t="s">
        <v>7</v>
      </c>
      <c r="X91" s="16"/>
      <c r="Y91"/>
      <c r="Z91" t="s">
        <v>7</v>
      </c>
      <c r="AD91" t="s">
        <v>7</v>
      </c>
      <c r="AE91"/>
      <c r="AF91" s="16">
        <f t="shared" si="27"/>
        <v>44151.625</v>
      </c>
      <c r="AG91">
        <f>AE102</f>
        <v>393</v>
      </c>
    </row>
    <row r="92" spans="14:33">
      <c r="N92" s="22">
        <f>N90-7</f>
        <v>44120.625</v>
      </c>
      <c r="O92">
        <f>DMAX(_xlnm.database,"n",N91:N92)</f>
        <v>195</v>
      </c>
      <c r="R92" s="22">
        <f>R90-7</f>
        <v>44119.625</v>
      </c>
      <c r="S92">
        <f>DMAX(_xlnm.database,"n",R91:R92)</f>
        <v>190</v>
      </c>
      <c r="T92" s="16"/>
      <c r="V92" s="22">
        <f>V90-7</f>
        <v>44118.625</v>
      </c>
      <c r="W92">
        <f>DMAX(_xlnm.database,"n",V91:V92)</f>
        <v>201</v>
      </c>
      <c r="X92" s="16"/>
      <c r="Y92"/>
      <c r="Z92" s="22">
        <f>Z90-7</f>
        <v>44117.625</v>
      </c>
      <c r="AA92">
        <f>DMAX(_xlnm.database,"n",Z91:Z92)</f>
        <v>198</v>
      </c>
      <c r="AD92" s="22">
        <f>AD90-1</f>
        <v>44156.625</v>
      </c>
      <c r="AE92">
        <f>DMAX(_xlnm.database,"n",AD91:AD92)</f>
        <v>269</v>
      </c>
      <c r="AF92" s="16">
        <f t="shared" si="27"/>
        <v>44150.625</v>
      </c>
      <c r="AG92">
        <f>AE104</f>
        <v>181</v>
      </c>
    </row>
    <row r="93" spans="14:33">
      <c r="N93" t="s">
        <v>7</v>
      </c>
      <c r="R93" t="s">
        <v>7</v>
      </c>
      <c r="S93"/>
      <c r="T93" s="16"/>
      <c r="V93" t="s">
        <v>7</v>
      </c>
      <c r="X93" s="16"/>
      <c r="Y93"/>
      <c r="Z93" t="s">
        <v>7</v>
      </c>
      <c r="AD93" t="s">
        <v>7</v>
      </c>
      <c r="AE93"/>
      <c r="AF93" s="16">
        <f t="shared" si="27"/>
        <v>44149.625</v>
      </c>
      <c r="AG93">
        <f>AE106</f>
        <v>145</v>
      </c>
    </row>
    <row r="94" spans="14:33">
      <c r="N94" s="22">
        <f>N92-7</f>
        <v>44113.625</v>
      </c>
      <c r="O94">
        <f>DMAX(_xlnm.database,"n",N93:N94)</f>
        <v>227</v>
      </c>
      <c r="R94" s="22">
        <f>R92-7</f>
        <v>44112.625</v>
      </c>
      <c r="S94">
        <f>DMAX(_xlnm.database,"n",R93:R94)</f>
        <v>258</v>
      </c>
      <c r="T94" s="16"/>
      <c r="V94" s="22">
        <f>V92-7</f>
        <v>44111.625</v>
      </c>
      <c r="W94">
        <f>DMAX(_xlnm.database,"n",V93:V94)</f>
        <v>306</v>
      </c>
      <c r="X94" s="16"/>
      <c r="Y94"/>
      <c r="Z94" s="22">
        <f>Z92-7</f>
        <v>44110.625</v>
      </c>
      <c r="AA94">
        <f>DMAX(_xlnm.database,"n",Z93:Z94)</f>
        <v>302</v>
      </c>
      <c r="AD94" s="22">
        <f>AD92-1</f>
        <v>44155.625</v>
      </c>
      <c r="AE94">
        <f>DMAX(_xlnm.database,"n",AD93:AD94)</f>
        <v>430</v>
      </c>
      <c r="AF94" s="16">
        <f t="shared" si="27"/>
        <v>44148.625</v>
      </c>
      <c r="AG94">
        <f>AE108</f>
        <v>264</v>
      </c>
    </row>
    <row r="95" spans="14:33">
      <c r="N95" t="s">
        <v>7</v>
      </c>
      <c r="R95" t="s">
        <v>7</v>
      </c>
      <c r="S95"/>
      <c r="T95" s="16"/>
      <c r="V95" t="s">
        <v>7</v>
      </c>
      <c r="X95" s="16"/>
      <c r="Y95"/>
      <c r="Z95" t="s">
        <v>7</v>
      </c>
      <c r="AD95" t="s">
        <v>7</v>
      </c>
      <c r="AE95"/>
      <c r="AF95" s="16">
        <f t="shared" si="27"/>
        <v>44147.625</v>
      </c>
      <c r="AG95">
        <f>AE110</f>
        <v>282</v>
      </c>
    </row>
    <row r="96" spans="14:33">
      <c r="N96" s="22">
        <f>N94-7</f>
        <v>44106.625</v>
      </c>
      <c r="O96">
        <f>DMAX(_xlnm.database,"n",N95:N96)</f>
        <v>188</v>
      </c>
      <c r="R96" s="22">
        <f>R94-7</f>
        <v>44105.625</v>
      </c>
      <c r="S96">
        <f>DMAX(_xlnm.database,"n",R95:R96)</f>
        <v>188</v>
      </c>
      <c r="T96" s="16"/>
      <c r="V96" s="22">
        <f>V94-7</f>
        <v>44104.625</v>
      </c>
      <c r="W96">
        <f>DMAX(_xlnm.database,"n",V95:V96)</f>
        <v>165</v>
      </c>
      <c r="X96" s="16"/>
      <c r="Y96"/>
      <c r="Z96" s="22">
        <f>Z94-7</f>
        <v>44103.625</v>
      </c>
      <c r="AA96">
        <f>DMAX(_xlnm.database,"n",Z95:Z96)</f>
        <v>134</v>
      </c>
      <c r="AD96" s="22">
        <f>AD94-1</f>
        <v>44154.625</v>
      </c>
      <c r="AE96">
        <f>DMAX(_xlnm.database,"n",AD95:AD96)</f>
        <v>479</v>
      </c>
      <c r="AF96" s="16">
        <f t="shared" si="27"/>
        <v>44146.625</v>
      </c>
      <c r="AG96">
        <f>AE112</f>
        <v>292</v>
      </c>
    </row>
    <row r="97" spans="14:33">
      <c r="N97" t="s">
        <v>7</v>
      </c>
      <c r="R97" t="s">
        <v>7</v>
      </c>
      <c r="S97"/>
      <c r="T97" s="16"/>
      <c r="V97" t="s">
        <v>7</v>
      </c>
      <c r="X97" s="16"/>
      <c r="Y97"/>
      <c r="Z97" t="s">
        <v>7</v>
      </c>
      <c r="AD97" t="s">
        <v>7</v>
      </c>
      <c r="AE97"/>
      <c r="AF97" s="16">
        <f t="shared" si="27"/>
        <v>44145.625</v>
      </c>
      <c r="AG97">
        <f>AE114</f>
        <v>205</v>
      </c>
    </row>
    <row r="98" spans="14:33">
      <c r="N98" s="22">
        <f>N96-7</f>
        <v>44099.625</v>
      </c>
      <c r="O98">
        <f>DMAX(_xlnm.database,"n",N97:N98)</f>
        <v>127</v>
      </c>
      <c r="R98" s="22">
        <f>R96-7</f>
        <v>44098.625</v>
      </c>
      <c r="S98">
        <f>DMAX(_xlnm.database,"n",R97:R98)</f>
        <v>97</v>
      </c>
      <c r="T98" s="16"/>
      <c r="V98" s="22">
        <f>V96-7</f>
        <v>44097.625</v>
      </c>
      <c r="W98">
        <f>DMAX(_xlnm.database,"n",V97:V98)</f>
        <v>116</v>
      </c>
      <c r="X98" s="16"/>
      <c r="Y98"/>
      <c r="Z98" s="22">
        <f>Z96-7</f>
        <v>44096.625</v>
      </c>
      <c r="AA98">
        <f>DMAX(_xlnm.database,"n",Z97:Z98)</f>
        <v>108</v>
      </c>
      <c r="AD98" s="22">
        <f>AD96-1</f>
        <v>44153.625</v>
      </c>
      <c r="AE98">
        <f>DMAX(_xlnm.database,"n",AD97:AD98)</f>
        <v>372</v>
      </c>
      <c r="AF98" s="16">
        <f t="shared" si="27"/>
        <v>44144.625</v>
      </c>
      <c r="AG98">
        <f>AE116</f>
        <v>273</v>
      </c>
    </row>
    <row r="99" spans="14:33">
      <c r="AD99" t="s">
        <v>7</v>
      </c>
      <c r="AE99"/>
      <c r="AF99" s="16">
        <f t="shared" si="27"/>
        <v>44143.625</v>
      </c>
      <c r="AG99">
        <f>AE118</f>
        <v>133</v>
      </c>
    </row>
    <row r="100" spans="14:33">
      <c r="AD100" s="22">
        <f>AD98-1</f>
        <v>44152.625</v>
      </c>
      <c r="AE100">
        <f>DMAX(_xlnm.database,"n",AD99:AD100)</f>
        <v>391</v>
      </c>
      <c r="AF100" s="16">
        <f t="shared" si="27"/>
        <v>44142.625</v>
      </c>
      <c r="AG100">
        <f>AE120</f>
        <v>128</v>
      </c>
    </row>
    <row r="101" spans="14:33">
      <c r="AD101" t="s">
        <v>7</v>
      </c>
      <c r="AE101"/>
      <c r="AF101" s="16">
        <f t="shared" si="27"/>
        <v>44141.625</v>
      </c>
      <c r="AG101">
        <f>AE122</f>
        <v>195</v>
      </c>
    </row>
    <row r="102" spans="14:33">
      <c r="AD102" s="22">
        <f>AD100-1</f>
        <v>44151.625</v>
      </c>
      <c r="AE102">
        <f>DMAX(_xlnm.database,"n",AD101:AD102)</f>
        <v>393</v>
      </c>
      <c r="AF102" s="16">
        <f t="shared" si="27"/>
        <v>44140.625</v>
      </c>
      <c r="AG102">
        <f>AE124</f>
        <v>222</v>
      </c>
    </row>
    <row r="103" spans="14:33">
      <c r="AD103" t="s">
        <v>7</v>
      </c>
      <c r="AE103"/>
      <c r="AF103" s="16">
        <f t="shared" si="27"/>
        <v>44139.625</v>
      </c>
      <c r="AG103">
        <f>AE126</f>
        <v>213</v>
      </c>
    </row>
    <row r="104" spans="14:33">
      <c r="AD104" s="22">
        <f>AD102-1</f>
        <v>44150.625</v>
      </c>
      <c r="AE104">
        <f>DMAX(_xlnm.database,"n",AD103:AD104)</f>
        <v>181</v>
      </c>
      <c r="AF104" s="16">
        <f t="shared" si="27"/>
        <v>44138.625</v>
      </c>
      <c r="AG104">
        <f>AE128</f>
        <v>241</v>
      </c>
    </row>
    <row r="105" spans="14:33">
      <c r="AD105" t="s">
        <v>7</v>
      </c>
      <c r="AE105"/>
      <c r="AF105" s="16">
        <f t="shared" si="27"/>
        <v>44137.625</v>
      </c>
      <c r="AG105">
        <f>AE130</f>
        <v>287</v>
      </c>
    </row>
    <row r="106" spans="14:33">
      <c r="AD106" s="22">
        <f>AD104-1</f>
        <v>44149.625</v>
      </c>
      <c r="AE106">
        <f>DMAX(_xlnm.database,"n",AD105:AD106)</f>
        <v>145</v>
      </c>
      <c r="AF106" s="16">
        <f t="shared" si="27"/>
        <v>44136.625</v>
      </c>
      <c r="AG106">
        <f>AE132</f>
        <v>150</v>
      </c>
    </row>
    <row r="107" spans="14:33">
      <c r="AD107" t="s">
        <v>7</v>
      </c>
      <c r="AE107"/>
      <c r="AF107" s="16">
        <f t="shared" si="27"/>
        <v>44135.625</v>
      </c>
      <c r="AG107">
        <f>AE134</f>
        <v>121</v>
      </c>
    </row>
    <row r="108" spans="14:33">
      <c r="AD108" s="22">
        <f>AD106-1</f>
        <v>44148.625</v>
      </c>
      <c r="AE108">
        <f>DMAX(_xlnm.database,"n",AD107:AD108)</f>
        <v>264</v>
      </c>
      <c r="AF108" s="16">
        <f t="shared" si="27"/>
        <v>44134.625</v>
      </c>
      <c r="AG108">
        <f>AE136</f>
        <v>219</v>
      </c>
    </row>
    <row r="109" spans="14:33">
      <c r="AD109" t="s">
        <v>7</v>
      </c>
      <c r="AE109"/>
      <c r="AF109" s="16">
        <f t="shared" si="27"/>
        <v>44133.625</v>
      </c>
      <c r="AG109">
        <f>AE138</f>
        <v>237</v>
      </c>
    </row>
    <row r="110" spans="14:33">
      <c r="AD110" s="22">
        <f>AD108-1</f>
        <v>44147.625</v>
      </c>
      <c r="AE110">
        <f>DMAX(_xlnm.database,"n",AD109:AD110)</f>
        <v>282</v>
      </c>
      <c r="AF110" s="16">
        <f t="shared" si="27"/>
        <v>44132.625</v>
      </c>
      <c r="AG110">
        <f>AE140</f>
        <v>239</v>
      </c>
    </row>
    <row r="111" spans="14:33">
      <c r="AD111" t="s">
        <v>7</v>
      </c>
      <c r="AE111"/>
      <c r="AF111" s="16">
        <f t="shared" si="27"/>
        <v>44131.625</v>
      </c>
      <c r="AG111">
        <f>AE142</f>
        <v>231</v>
      </c>
    </row>
    <row r="112" spans="14:33">
      <c r="AD112" s="22">
        <f>AD110-1</f>
        <v>44146.625</v>
      </c>
      <c r="AE112">
        <f>DMAX(_xlnm.database,"n",AD111:AD112)</f>
        <v>292</v>
      </c>
      <c r="AF112" s="16">
        <f t="shared" si="27"/>
        <v>44130.625</v>
      </c>
      <c r="AG112">
        <f>AE144</f>
        <v>256</v>
      </c>
    </row>
    <row r="113" spans="30:33">
      <c r="AD113" t="s">
        <v>7</v>
      </c>
      <c r="AE113"/>
      <c r="AF113" s="16">
        <f t="shared" si="27"/>
        <v>44129.625</v>
      </c>
      <c r="AG113">
        <f>AE146</f>
        <v>123</v>
      </c>
    </row>
    <row r="114" spans="30:33">
      <c r="AD114" s="22">
        <f>AD112-1</f>
        <v>44145.625</v>
      </c>
      <c r="AE114">
        <f>DMAX(_xlnm.database,"n",AD113:AD114)</f>
        <v>205</v>
      </c>
      <c r="AF114" s="16">
        <f t="shared" si="27"/>
        <v>44128.625</v>
      </c>
      <c r="AG114">
        <f>AE148</f>
        <v>107</v>
      </c>
    </row>
    <row r="115" spans="30:33">
      <c r="AD115" t="s">
        <v>7</v>
      </c>
      <c r="AE115"/>
      <c r="AF115" s="16">
        <f t="shared" si="27"/>
        <v>44127.625</v>
      </c>
      <c r="AG115">
        <f>AE150</f>
        <v>193</v>
      </c>
    </row>
    <row r="116" spans="30:33">
      <c r="AD116" s="22">
        <f>AD114-1</f>
        <v>44144.625</v>
      </c>
      <c r="AE116">
        <f>DMAX(_xlnm.database,"n",AD115:AD116)</f>
        <v>273</v>
      </c>
      <c r="AF116" s="16">
        <f t="shared" si="27"/>
        <v>44126.625</v>
      </c>
      <c r="AG116">
        <f>AE152</f>
        <v>220</v>
      </c>
    </row>
    <row r="117" spans="30:33">
      <c r="AD117" t="s">
        <v>7</v>
      </c>
      <c r="AE117"/>
    </row>
    <row r="118" spans="30:33">
      <c r="AD118" s="22">
        <f>AD116-1</f>
        <v>44143.625</v>
      </c>
      <c r="AE118">
        <f>DMAX(_xlnm.database,"n",AD117:AD118)</f>
        <v>133</v>
      </c>
    </row>
    <row r="119" spans="30:33">
      <c r="AD119" t="s">
        <v>7</v>
      </c>
      <c r="AE119"/>
    </row>
    <row r="120" spans="30:33">
      <c r="AD120" s="22">
        <f>AD118-1</f>
        <v>44142.625</v>
      </c>
      <c r="AE120">
        <f>DMAX(_xlnm.database,"n",AD119:AD120)</f>
        <v>128</v>
      </c>
    </row>
    <row r="121" spans="30:33">
      <c r="AD121" t="s">
        <v>7</v>
      </c>
      <c r="AE121"/>
    </row>
    <row r="122" spans="30:33">
      <c r="AD122" s="22">
        <f>AD120-1</f>
        <v>44141.625</v>
      </c>
      <c r="AE122">
        <f>DMAX(_xlnm.database,"n",AD121:AD122)</f>
        <v>195</v>
      </c>
    </row>
    <row r="123" spans="30:33">
      <c r="AD123" t="s">
        <v>7</v>
      </c>
      <c r="AE123"/>
    </row>
    <row r="124" spans="30:33">
      <c r="AD124" s="22">
        <f>AD122-1</f>
        <v>44140.625</v>
      </c>
      <c r="AE124">
        <f>DMAX(_xlnm.database,"n",AD123:AD124)</f>
        <v>222</v>
      </c>
    </row>
    <row r="125" spans="30:33">
      <c r="AD125" t="s">
        <v>7</v>
      </c>
      <c r="AE125"/>
    </row>
    <row r="126" spans="30:33">
      <c r="AD126" s="22">
        <f>AD124-1</f>
        <v>44139.625</v>
      </c>
      <c r="AE126">
        <f>DMAX(_xlnm.database,"n",AD125:AD126)</f>
        <v>213</v>
      </c>
    </row>
    <row r="127" spans="30:33">
      <c r="AD127" t="s">
        <v>7</v>
      </c>
      <c r="AE127"/>
    </row>
    <row r="128" spans="30:33">
      <c r="AD128" s="22">
        <f>AD126-1</f>
        <v>44138.625</v>
      </c>
      <c r="AE128">
        <f>DMAX(_xlnm.database,"n",AD127:AD128)</f>
        <v>241</v>
      </c>
    </row>
    <row r="129" spans="30:31">
      <c r="AD129" t="s">
        <v>7</v>
      </c>
      <c r="AE129"/>
    </row>
    <row r="130" spans="30:31">
      <c r="AD130" s="22">
        <f>AD128-1</f>
        <v>44137.625</v>
      </c>
      <c r="AE130">
        <f>DMAX(_xlnm.database,"n",AD129:AD130)</f>
        <v>287</v>
      </c>
    </row>
    <row r="131" spans="30:31">
      <c r="AD131" t="s">
        <v>7</v>
      </c>
      <c r="AE131"/>
    </row>
    <row r="132" spans="30:31">
      <c r="AD132" s="22">
        <f>AD130-1</f>
        <v>44136.625</v>
      </c>
      <c r="AE132">
        <f>DMAX(_xlnm.database,"n",AD131:AD132)</f>
        <v>150</v>
      </c>
    </row>
    <row r="133" spans="30:31">
      <c r="AD133" t="s">
        <v>7</v>
      </c>
      <c r="AE133"/>
    </row>
    <row r="134" spans="30:31">
      <c r="AD134" s="22">
        <f>AD132-1</f>
        <v>44135.625</v>
      </c>
      <c r="AE134">
        <f>DMAX(_xlnm.database,"n",AD133:AD134)</f>
        <v>121</v>
      </c>
    </row>
    <row r="135" spans="30:31">
      <c r="AD135" t="s">
        <v>7</v>
      </c>
      <c r="AE135"/>
    </row>
    <row r="136" spans="30:31">
      <c r="AD136" s="22">
        <f>AD134-1</f>
        <v>44134.625</v>
      </c>
      <c r="AE136">
        <f>DMAX(_xlnm.database,"n",AD135:AD136)</f>
        <v>219</v>
      </c>
    </row>
    <row r="137" spans="30:31">
      <c r="AD137" t="s">
        <v>7</v>
      </c>
      <c r="AE137"/>
    </row>
    <row r="138" spans="30:31">
      <c r="AD138" s="22">
        <f>AD136-1</f>
        <v>44133.625</v>
      </c>
      <c r="AE138">
        <f>DMAX(_xlnm.database,"n",AD137:AD138)</f>
        <v>237</v>
      </c>
    </row>
    <row r="139" spans="30:31">
      <c r="AD139" t="s">
        <v>7</v>
      </c>
      <c r="AE139"/>
    </row>
    <row r="140" spans="30:31">
      <c r="AD140" s="22">
        <f>AD138-1</f>
        <v>44132.625</v>
      </c>
      <c r="AE140">
        <f>DMAX(_xlnm.database,"n",AD139:AD140)</f>
        <v>239</v>
      </c>
    </row>
    <row r="141" spans="30:31">
      <c r="AD141" t="s">
        <v>7</v>
      </c>
      <c r="AE141"/>
    </row>
    <row r="142" spans="30:31">
      <c r="AD142" s="22">
        <f>AD140-1</f>
        <v>44131.625</v>
      </c>
      <c r="AE142">
        <f>DMAX(_xlnm.database,"n",AD141:AD142)</f>
        <v>231</v>
      </c>
    </row>
    <row r="143" spans="30:31">
      <c r="AD143" t="s">
        <v>7</v>
      </c>
      <c r="AE143"/>
    </row>
    <row r="144" spans="30:31">
      <c r="AD144" s="22">
        <f>AD142-1</f>
        <v>44130.625</v>
      </c>
      <c r="AE144">
        <f>DMAX(_xlnm.database,"n",AD143:AD144)</f>
        <v>256</v>
      </c>
    </row>
    <row r="145" spans="30:31">
      <c r="AD145" t="s">
        <v>7</v>
      </c>
      <c r="AE145"/>
    </row>
    <row r="146" spans="30:31">
      <c r="AD146" s="22">
        <f>AD144-1</f>
        <v>44129.625</v>
      </c>
      <c r="AE146">
        <f>DMAX(_xlnm.database,"n",AD145:AD146)</f>
        <v>123</v>
      </c>
    </row>
    <row r="147" spans="30:31">
      <c r="AD147" t="s">
        <v>7</v>
      </c>
      <c r="AE147"/>
    </row>
    <row r="148" spans="30:31">
      <c r="AD148" s="22">
        <f>AD146-1</f>
        <v>44128.625</v>
      </c>
      <c r="AE148">
        <f>DMAX(_xlnm.database,"n",AD147:AD148)</f>
        <v>107</v>
      </c>
    </row>
    <row r="149" spans="30:31">
      <c r="AD149" t="s">
        <v>7</v>
      </c>
      <c r="AE149"/>
    </row>
    <row r="150" spans="30:31">
      <c r="AD150" s="22">
        <f>AD148-1</f>
        <v>44127.625</v>
      </c>
      <c r="AE150">
        <f>DMAX(_xlnm.database,"n",AD149:AD150)</f>
        <v>193</v>
      </c>
    </row>
    <row r="151" spans="30:31">
      <c r="AD151" t="s">
        <v>7</v>
      </c>
      <c r="AE151"/>
    </row>
    <row r="152" spans="30:31">
      <c r="AD152" s="22">
        <f>AD150-1</f>
        <v>44126.625</v>
      </c>
      <c r="AE152">
        <f>DMAX(_xlnm.database,"n",AD151:AD152)</f>
        <v>220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2020-12-01T12:29:24Z</dcterms:modified>
</cp:coreProperties>
</file>