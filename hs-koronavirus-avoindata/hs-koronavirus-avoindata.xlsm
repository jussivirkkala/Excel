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9A96FE4-AE3A-435B-9125-B0FB1930D090}" xr6:coauthVersionLast="45" xr6:coauthVersionMax="45" xr10:uidLastSave="{00000000-0000-0000-0000-000000000000}"/>
  <bookViews>
    <workbookView xWindow="-120" yWindow="-16320" windowWidth="29040" windowHeight="15990"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2" i="2" l="1"/>
  <c r="I61" i="2"/>
  <c r="I60" i="2"/>
  <c r="I59" i="2"/>
  <c r="I57" i="2"/>
  <c r="H1" i="1" l="1"/>
  <c r="B63" i="2" l="1"/>
  <c r="C63" i="2" s="1"/>
  <c r="K63" i="2" l="1"/>
  <c r="I63" i="2" s="1"/>
  <c r="J63" i="2"/>
  <c r="F63" i="2"/>
  <c r="B62" i="2" l="1"/>
  <c r="C62" i="2" s="1"/>
  <c r="F62" i="2" l="1"/>
  <c r="B61" i="2"/>
  <c r="F61" i="2" l="1"/>
  <c r="C61" i="2"/>
  <c r="B60" i="2"/>
  <c r="F60" i="2" l="1"/>
  <c r="C60" i="2"/>
  <c r="B59" i="2"/>
  <c r="F59" i="2" l="1"/>
  <c r="C59" i="2"/>
  <c r="B58" i="2"/>
  <c r="F58" i="2" l="1"/>
  <c r="C58" i="2"/>
  <c r="I58" i="2" s="1"/>
  <c r="B57" i="2"/>
  <c r="F57" i="2" l="1"/>
  <c r="C57" i="2"/>
  <c r="B56" i="2"/>
  <c r="F56" i="2" l="1"/>
  <c r="C56" i="2"/>
  <c r="L63" i="2"/>
  <c r="G32" i="2" s="1"/>
  <c r="B55"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G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G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G42" i="2"/>
  <c r="H49" i="2" l="1"/>
  <c r="F39" i="2"/>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G35" i="2" l="1"/>
  <c r="H42" i="2" s="1"/>
  <c r="E35" i="2"/>
  <c r="E33" i="2" s="1"/>
  <c r="G33" i="2" l="1"/>
</calcChain>
</file>

<file path=xl/sharedStrings.xml><?xml version="1.0" encoding="utf-8"?>
<sst xmlns="http://schemas.openxmlformats.org/spreadsheetml/2006/main" count="577" uniqueCount="296">
  <si>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</si>
  <si>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</si>
  <si>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</si>
  <si>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</si>
  <si>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</si>
  <si>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</si>
  <si>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</si>
  <si>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</si>
  <si>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</si>
  <si>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</si>
  <si>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</si>
  <si>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</si>
  <si>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</si>
  <si>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</si>
  <si>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</si>
  <si>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</si>
  <si>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</si>
  <si>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</si>
  <si>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</si>
  <si>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</si>
  <si>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</si>
  <si>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</si>
  <si>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</si>
  <si>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</si>
  <si>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</si>
  <si>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</si>
  <si>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</si>
  <si>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</si>
  <si>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</si>
  <si>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</si>
  <si>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</si>
  <si>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</si>
  <si>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</si>
  <si>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</si>
  <si>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</si>
  <si>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</si>
  <si>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</si>
  <si>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</si>
  <si>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</si>
  <si>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</si>
  <si>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</si>
  <si>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</si>
  <si>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</si>
  <si>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</si>
  <si>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</si>
  <si>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</si>
  <si>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</si>
  <si>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</si>
  <si>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</si>
  <si>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</si>
  <si>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</si>
  <si>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</si>
  <si>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</si>
  <si>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</si>
  <si>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</si>
  <si>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</si>
  <si>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</si>
  <si>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</si>
  <si>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</si>
  <si>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</si>
  <si>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</si>
  <si>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</si>
  <si>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</si>
  <si>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</si>
  <si>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</si>
  <si>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</si>
  <si>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</si>
  <si>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</si>
  <si>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</si>
  <si>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</si>
  <si>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</si>
  <si>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</si>
  <si>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</si>
  <si>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</si>
  <si>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</si>
  <si>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</si>
  <si>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</si>
  <si>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</si>
  <si>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</si>
  <si>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</si>
  <si>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</si>
  <si>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</si>
  <si>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</si>
  <si>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</si>
  <si>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</si>
  <si>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</si>
  <si>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</si>
  <si>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</si>
  <si>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</si>
  <si>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</si>
  <si>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</si>
  <si>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</si>
  <si>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</si>
  <si>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</si>
  <si>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</si>
  <si>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</si>
  <si>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</si>
  <si>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</si>
  <si>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</si>
  <si>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</si>
  <si>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</si>
  <si>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</si>
  <si>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</si>
  <si>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</si>
  <si>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</si>
  <si>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</si>
  <si>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</si>
  <si>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</si>
  <si>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</si>
  <si>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</si>
  <si>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</si>
  <si>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</si>
  <si>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</si>
  <si>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</si>
  <si>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</si>
  <si>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</si>
  <si>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</si>
  <si>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</si>
  <si>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</si>
  <si>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</si>
  <si>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</si>
  <si>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</si>
  <si>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</si>
  <si>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</si>
  <si>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</si>
  <si>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</si>
  <si>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</si>
  <si>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</si>
  <si>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</si>
  <si>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</si>
  <si>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</si>
  <si>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</si>
  <si>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</si>
  <si>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</si>
  <si>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</si>
  <si>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</si>
  <si>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</si>
  <si>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</si>
  <si>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</si>
  <si>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</si>
  <si>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</si>
  <si>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</si>
  <si>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</si>
  <si>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</si>
  <si>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</si>
  <si>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</si>
  <si>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</si>
  <si>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</si>
  <si>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</si>
  <si>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</si>
  <si>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</si>
  <si>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</si>
  <si>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</si>
  <si>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</si>
  <si>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</si>
  <si>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</si>
  <si>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</si>
  <si>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</si>
  <si>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</si>
  <si>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</si>
  <si>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</si>
  <si>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</si>
  <si>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</si>
  <si>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</si>
  <si>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</si>
  <si>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</si>
  <si>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</si>
  <si>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</si>
  <si>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</si>
  <si>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</si>
  <si>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</si>
  <si>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</si>
  <si>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</si>
  <si>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</si>
  <si>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</si>
  <si>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</si>
  <si>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</si>
  <si>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</si>
  <si>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</si>
  <si>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</si>
  <si>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</si>
  <si>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</si>
  <si>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</si>
  <si>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</si>
  <si>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</si>
  <si>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</si>
  <si>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</si>
  <si>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</si>
  <si>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</si>
  <si>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</si>
  <si>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</si>
  <si>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</si>
  <si>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</si>
  <si>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</si>
  <si>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</si>
  <si>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</si>
  <si>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</si>
  <si>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</si>
  <si>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</si>
  <si>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</si>
  <si>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</si>
  <si>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</si>
  <si>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</si>
  <si>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</si>
  <si>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</si>
  <si>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</si>
  <si>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</si>
  <si>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</si>
  <si>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</si>
  <si>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</si>
  <si>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</si>
  <si>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</si>
  <si>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</si>
  <si>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</si>
  <si>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</si>
  <si>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</si>
  <si>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</si>
  <si>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</si>
  <si>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</si>
  <si>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</si>
  <si>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</si>
  <si>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</si>
  <si>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</si>
  <si>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</si>
  <si>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</si>
  <si>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</si>
  <si>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</si>
  <si>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</si>
  <si>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</si>
  <si>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</si>
  <si>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</si>
  <si>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</si>
  <si>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</si>
  <si>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</si>
  <si>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</si>
  <si>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</si>
  <si>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</si>
  <si>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</si>
  <si>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</si>
  <si>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</si>
  <si>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</si>
  <si>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</si>
  <si>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</si>
  <si>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</si>
  <si>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</si>
  <si>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</si>
  <si>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</si>
  <si>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</si>
  <si>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</si>
  <si>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</si>
  <si>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</si>
  <si>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</si>
  <si>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</si>
  <si>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</si>
  <si>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</si>
  <si>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</si>
  <si>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</si>
  <si>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</si>
  <si>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</si>
  <si>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</si>
  <si>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</si>
  <si>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</si>
  <si>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</si>
  <si>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</si>
  <si>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</si>
  <si>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</si>
  <si>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</si>
  <si>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</si>
  <si>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</si>
  <si>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</si>
  <si>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</si>
  <si>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</si>
  <si>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</si>
  <si>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</si>
  <si>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</si>
  <si>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</si>
  <si>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</si>
  <si>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</si>
  <si>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</si>
  <si>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</si>
  <si>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</si>
  <si>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</si>
  <si>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</si>
  <si>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</si>
  <si>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</si>
  <si>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</si>
  <si>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</si>
  <si>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</si>
  <si>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</si>
  <si>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</si>
  <si>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</si>
  <si>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</si>
  <si>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</si>
  <si>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</si>
  <si>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</si>
  <si>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2020-10-06T08:55:37.981Z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</si>
</sst>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44082</c:v>
                </c:pt>
                <c:pt idx="1">
                  <c:v>44083</c:v>
                </c:pt>
                <c:pt idx="2">
                  <c:v>44084</c:v>
                </c:pt>
                <c:pt idx="3">
                  <c:v>44085</c:v>
                </c:pt>
                <c:pt idx="4">
                  <c:v>44086</c:v>
                </c:pt>
                <c:pt idx="5">
                  <c:v>44087</c:v>
                </c:pt>
                <c:pt idx="6">
                  <c:v>44088</c:v>
                </c:pt>
                <c:pt idx="7">
                  <c:v>44089</c:v>
                </c:pt>
                <c:pt idx="8">
                  <c:v>44090</c:v>
                </c:pt>
                <c:pt idx="9">
                  <c:v>44091</c:v>
                </c:pt>
                <c:pt idx="10">
                  <c:v>44092</c:v>
                </c:pt>
                <c:pt idx="11">
                  <c:v>44093</c:v>
                </c:pt>
                <c:pt idx="12">
                  <c:v>44094</c:v>
                </c:pt>
                <c:pt idx="13">
                  <c:v>44095</c:v>
                </c:pt>
                <c:pt idx="14">
                  <c:v>44096</c:v>
                </c:pt>
                <c:pt idx="15">
                  <c:v>44097</c:v>
                </c:pt>
                <c:pt idx="16">
                  <c:v>44098</c:v>
                </c:pt>
                <c:pt idx="17">
                  <c:v>44099</c:v>
                </c:pt>
                <c:pt idx="18">
                  <c:v>44100</c:v>
                </c:pt>
                <c:pt idx="19">
                  <c:v>44101</c:v>
                </c:pt>
                <c:pt idx="20">
                  <c:v>44102</c:v>
                </c:pt>
                <c:pt idx="21">
                  <c:v>44103</c:v>
                </c:pt>
                <c:pt idx="22">
                  <c:v>44104</c:v>
                </c:pt>
                <c:pt idx="23">
                  <c:v>44105</c:v>
                </c:pt>
                <c:pt idx="24">
                  <c:v>44106</c:v>
                </c:pt>
                <c:pt idx="25">
                  <c:v>44107</c:v>
                </c:pt>
                <c:pt idx="26">
                  <c:v>44108</c:v>
                </c:pt>
                <c:pt idx="27">
                  <c:v>44109</c:v>
                </c:pt>
              </c:numCache>
            </c:numRef>
          </c:cat>
          <c:val>
            <c:numRef>
              <c:f>Kuvaajat!$D$35:$D$62</c:f>
              <c:numCache>
                <c:formatCode>General</c:formatCode>
                <c:ptCount val="28"/>
                <c:pt idx="0">
                  <c:v>57</c:v>
                </c:pt>
                <c:pt idx="1">
                  <c:v>55</c:v>
                </c:pt>
                <c:pt idx="2">
                  <c:v>52</c:v>
                </c:pt>
                <c:pt idx="3">
                  <c:v>57</c:v>
                </c:pt>
                <c:pt idx="4">
                  <c:v>41</c:v>
                </c:pt>
                <c:pt idx="5">
                  <c:v>46</c:v>
                </c:pt>
                <c:pt idx="6">
                  <c:v>59</c:v>
                </c:pt>
                <c:pt idx="7">
                  <c:v>53</c:v>
                </c:pt>
                <c:pt idx="8">
                  <c:v>57</c:v>
                </c:pt>
                <c:pt idx="9">
                  <c:v>85</c:v>
                </c:pt>
                <c:pt idx="10">
                  <c:v>76</c:v>
                </c:pt>
                <c:pt idx="11">
                  <c:v>61</c:v>
                </c:pt>
                <c:pt idx="12">
                  <c:v>73</c:v>
                </c:pt>
                <c:pt idx="13">
                  <c:v>119</c:v>
                </c:pt>
                <c:pt idx="14">
                  <c:v>105</c:v>
                </c:pt>
                <c:pt idx="15">
                  <c:v>118</c:v>
                </c:pt>
                <c:pt idx="16">
                  <c:v>98</c:v>
                </c:pt>
                <c:pt idx="17">
                  <c:v>125</c:v>
                </c:pt>
                <c:pt idx="18">
                  <c:v>72</c:v>
                </c:pt>
                <c:pt idx="19">
                  <c:v>69</c:v>
                </c:pt>
                <c:pt idx="20">
                  <c:v>121</c:v>
                </c:pt>
                <c:pt idx="21">
                  <c:v>135</c:v>
                </c:pt>
                <c:pt idx="22">
                  <c:v>163</c:v>
                </c:pt>
                <c:pt idx="23">
                  <c:v>186</c:v>
                </c:pt>
                <c:pt idx="24">
                  <c:v>186</c:v>
                </c:pt>
                <c:pt idx="25">
                  <c:v>107</c:v>
                </c:pt>
                <c:pt idx="26">
                  <c:v>63</c:v>
                </c:pt>
                <c:pt idx="27">
                  <c:v>22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Kuvaajat!$G$32</c:f>
          <c:strCache>
            <c:ptCount val="1"/>
            <c:pt idx="0">
              <c:v>Kirjattuja COVID-19 tapauksia 10929._x000d_Punaisella uusimmat lisäykset 227.</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44082</c:v>
                </c:pt>
                <c:pt idx="1">
                  <c:v>44083</c:v>
                </c:pt>
                <c:pt idx="2">
                  <c:v>44084</c:v>
                </c:pt>
                <c:pt idx="3">
                  <c:v>44085</c:v>
                </c:pt>
                <c:pt idx="4">
                  <c:v>44086</c:v>
                </c:pt>
                <c:pt idx="5">
                  <c:v>44087</c:v>
                </c:pt>
                <c:pt idx="6">
                  <c:v>44088</c:v>
                </c:pt>
                <c:pt idx="7">
                  <c:v>44089</c:v>
                </c:pt>
                <c:pt idx="8">
                  <c:v>44090</c:v>
                </c:pt>
                <c:pt idx="9">
                  <c:v>44091</c:v>
                </c:pt>
                <c:pt idx="10">
                  <c:v>44092</c:v>
                </c:pt>
                <c:pt idx="11">
                  <c:v>44093</c:v>
                </c:pt>
                <c:pt idx="12">
                  <c:v>44094</c:v>
                </c:pt>
                <c:pt idx="13">
                  <c:v>44095</c:v>
                </c:pt>
                <c:pt idx="14">
                  <c:v>44096</c:v>
                </c:pt>
                <c:pt idx="15">
                  <c:v>44097</c:v>
                </c:pt>
                <c:pt idx="16">
                  <c:v>44098</c:v>
                </c:pt>
                <c:pt idx="17">
                  <c:v>44099</c:v>
                </c:pt>
                <c:pt idx="18">
                  <c:v>44100</c:v>
                </c:pt>
                <c:pt idx="19">
                  <c:v>44101</c:v>
                </c:pt>
                <c:pt idx="20">
                  <c:v>44102</c:v>
                </c:pt>
                <c:pt idx="21">
                  <c:v>44103</c:v>
                </c:pt>
                <c:pt idx="22">
                  <c:v>44104</c:v>
                </c:pt>
                <c:pt idx="23">
                  <c:v>44105</c:v>
                </c:pt>
                <c:pt idx="24">
                  <c:v>44106</c:v>
                </c:pt>
                <c:pt idx="25">
                  <c:v>44107</c:v>
                </c:pt>
                <c:pt idx="26">
                  <c:v>44108</c:v>
                </c:pt>
                <c:pt idx="27">
                  <c:v>44109</c:v>
                </c:pt>
              </c:numCache>
            </c:numRef>
          </c:cat>
          <c:val>
            <c:numRef>
              <c:f>Kuvaajat!$D$35:$D$62</c:f>
              <c:numCache>
                <c:formatCode>General</c:formatCode>
                <c:ptCount val="28"/>
                <c:pt idx="0">
                  <c:v>57</c:v>
                </c:pt>
                <c:pt idx="1">
                  <c:v>55</c:v>
                </c:pt>
                <c:pt idx="2">
                  <c:v>52</c:v>
                </c:pt>
                <c:pt idx="3">
                  <c:v>57</c:v>
                </c:pt>
                <c:pt idx="4">
                  <c:v>41</c:v>
                </c:pt>
                <c:pt idx="5">
                  <c:v>46</c:v>
                </c:pt>
                <c:pt idx="6">
                  <c:v>59</c:v>
                </c:pt>
                <c:pt idx="7">
                  <c:v>53</c:v>
                </c:pt>
                <c:pt idx="8">
                  <c:v>57</c:v>
                </c:pt>
                <c:pt idx="9">
                  <c:v>85</c:v>
                </c:pt>
                <c:pt idx="10">
                  <c:v>76</c:v>
                </c:pt>
                <c:pt idx="11">
                  <c:v>61</c:v>
                </c:pt>
                <c:pt idx="12">
                  <c:v>73</c:v>
                </c:pt>
                <c:pt idx="13">
                  <c:v>119</c:v>
                </c:pt>
                <c:pt idx="14">
                  <c:v>105</c:v>
                </c:pt>
                <c:pt idx="15">
                  <c:v>118</c:v>
                </c:pt>
                <c:pt idx="16">
                  <c:v>98</c:v>
                </c:pt>
                <c:pt idx="17">
                  <c:v>125</c:v>
                </c:pt>
                <c:pt idx="18">
                  <c:v>72</c:v>
                </c:pt>
                <c:pt idx="19">
                  <c:v>69</c:v>
                </c:pt>
                <c:pt idx="20">
                  <c:v>121</c:v>
                </c:pt>
                <c:pt idx="21">
                  <c:v>135</c:v>
                </c:pt>
                <c:pt idx="22">
                  <c:v>163</c:v>
                </c:pt>
                <c:pt idx="23">
                  <c:v>186</c:v>
                </c:pt>
                <c:pt idx="24">
                  <c:v>186</c:v>
                </c:pt>
                <c:pt idx="25">
                  <c:v>107</c:v>
                </c:pt>
                <c:pt idx="26">
                  <c:v>63</c:v>
                </c:pt>
                <c:pt idx="27">
                  <c:v>22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44082</c:v>
                </c:pt>
                <c:pt idx="1">
                  <c:v>44083</c:v>
                </c:pt>
                <c:pt idx="2">
                  <c:v>44084</c:v>
                </c:pt>
                <c:pt idx="3">
                  <c:v>44085</c:v>
                </c:pt>
                <c:pt idx="4">
                  <c:v>44086</c:v>
                </c:pt>
                <c:pt idx="5">
                  <c:v>44087</c:v>
                </c:pt>
                <c:pt idx="6">
                  <c:v>44088</c:v>
                </c:pt>
                <c:pt idx="7">
                  <c:v>44089</c:v>
                </c:pt>
                <c:pt idx="8">
                  <c:v>44090</c:v>
                </c:pt>
                <c:pt idx="9">
                  <c:v>44091</c:v>
                </c:pt>
                <c:pt idx="10">
                  <c:v>44092</c:v>
                </c:pt>
                <c:pt idx="11">
                  <c:v>44093</c:v>
                </c:pt>
                <c:pt idx="12">
                  <c:v>44094</c:v>
                </c:pt>
                <c:pt idx="13">
                  <c:v>44095</c:v>
                </c:pt>
                <c:pt idx="14">
                  <c:v>44096</c:v>
                </c:pt>
                <c:pt idx="15">
                  <c:v>44097</c:v>
                </c:pt>
                <c:pt idx="16">
                  <c:v>44098</c:v>
                </c:pt>
                <c:pt idx="17">
                  <c:v>44099</c:v>
                </c:pt>
                <c:pt idx="18">
                  <c:v>44100</c:v>
                </c:pt>
                <c:pt idx="19">
                  <c:v>44101</c:v>
                </c:pt>
                <c:pt idx="20">
                  <c:v>44102</c:v>
                </c:pt>
                <c:pt idx="21">
                  <c:v>44103</c:v>
                </c:pt>
                <c:pt idx="22">
                  <c:v>44104</c:v>
                </c:pt>
                <c:pt idx="23">
                  <c:v>44105</c:v>
                </c:pt>
                <c:pt idx="24">
                  <c:v>44106</c:v>
                </c:pt>
                <c:pt idx="25">
                  <c:v>44107</c:v>
                </c:pt>
                <c:pt idx="26">
                  <c:v>44108</c:v>
                </c:pt>
                <c:pt idx="27">
                  <c:v>44109</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1</c:v>
                </c:pt>
                <c:pt idx="15">
                  <c:v>-1</c:v>
                </c:pt>
                <c:pt idx="16">
                  <c:v>1</c:v>
                </c:pt>
                <c:pt idx="17">
                  <c:v>-1</c:v>
                </c:pt>
                <c:pt idx="18">
                  <c:v>-5</c:v>
                </c:pt>
                <c:pt idx="19">
                  <c:v>-1</c:v>
                </c:pt>
                <c:pt idx="20">
                  <c:v>5</c:v>
                </c:pt>
                <c:pt idx="21">
                  <c:v>3</c:v>
                </c:pt>
                <c:pt idx="22">
                  <c:v>18</c:v>
                </c:pt>
                <c:pt idx="23">
                  <c:v>60</c:v>
                </c:pt>
                <c:pt idx="24">
                  <c:v>56</c:v>
                </c:pt>
                <c:pt idx="25">
                  <c:v>25</c:v>
                </c:pt>
                <c:pt idx="26">
                  <c:v>43</c:v>
                </c:pt>
                <c:pt idx="27">
                  <c:v>22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5" t="s">
        <v>10</v>
      </c>
      <c r="B2" s="16"/>
      <c r="C2" s="16"/>
      <c r="D2" s="16"/>
      <c r="E2" s="16"/>
      <c r="F2" s="16"/>
      <c r="G2" s="16"/>
    </row>
    <row r="3" spans="1:7">
      <c r="A3" s="16"/>
      <c r="B3" s="16"/>
      <c r="C3" s="16"/>
      <c r="D3" s="16"/>
      <c r="E3" s="16"/>
      <c r="F3" s="16"/>
      <c r="G3" s="16"/>
    </row>
    <row r="4" spans="1:7">
      <c r="A4" s="16"/>
      <c r="B4" s="16"/>
      <c r="C4" s="16"/>
      <c r="D4" s="16"/>
      <c r="E4" s="16"/>
      <c r="F4" s="16"/>
      <c r="G4" s="16"/>
    </row>
    <row r="5" spans="1:7">
      <c r="A5" s="16"/>
      <c r="B5" s="16"/>
      <c r="C5" s="16"/>
      <c r="D5" s="16"/>
      <c r="E5" s="16"/>
      <c r="F5" s="16"/>
      <c r="G5" s="16"/>
    </row>
    <row r="6" spans="1:7">
      <c r="A6" s="16"/>
      <c r="B6" s="16"/>
      <c r="C6" s="16"/>
      <c r="D6" s="16"/>
      <c r="E6" s="16"/>
      <c r="F6" s="16"/>
      <c r="G6" s="16"/>
    </row>
    <row r="7" spans="1:7">
      <c r="A7" s="16"/>
      <c r="B7" s="16"/>
      <c r="C7" s="16"/>
      <c r="D7" s="16"/>
      <c r="E7" s="16"/>
      <c r="F7" s="16"/>
      <c r="G7" s="16"/>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81"/>
  <sheetViews>
    <sheetView workbookViewId="0">
      <pane ySplit="1" topLeftCell="A251" activePane="bottomLeft" state="frozen"/>
      <selection pane="bottomLeft" activeCell="B279" sqref="B279"/>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10929</v>
      </c>
      <c r="I1" s="8">
        <v>44110.490879629629</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119</v>
      </c>
      <c r="B266" t="s">
        <v>219</v>
      </c>
      <c r="C266" t="s">
        <v>8</v>
      </c>
      <c r="F266" s="5">
        <v>44095.625</v>
      </c>
    </row>
    <row r="267" spans="1:6">
      <c r="A267">
        <v>105</v>
      </c>
      <c r="B267" t="s">
        <v>220</v>
      </c>
      <c r="C267" t="s">
        <v>8</v>
      </c>
      <c r="F267" s="5">
        <v>44096.625</v>
      </c>
    </row>
    <row r="268" spans="1:6">
      <c r="A268">
        <v>118</v>
      </c>
      <c r="B268" t="s">
        <v>221</v>
      </c>
      <c r="C268" t="s">
        <v>8</v>
      </c>
      <c r="F268" s="5">
        <v>44097.625</v>
      </c>
    </row>
    <row r="269" spans="1:6">
      <c r="A269">
        <v>98</v>
      </c>
      <c r="B269" t="s">
        <v>222</v>
      </c>
      <c r="C269" t="s">
        <v>8</v>
      </c>
      <c r="F269" s="5">
        <v>44098.625</v>
      </c>
    </row>
    <row r="270" spans="1:6">
      <c r="A270">
        <v>125</v>
      </c>
      <c r="B270" t="s">
        <v>223</v>
      </c>
      <c r="C270" t="s">
        <v>8</v>
      </c>
      <c r="F270" s="5">
        <v>44099.625</v>
      </c>
    </row>
    <row r="271" spans="1:6">
      <c r="A271">
        <v>72</v>
      </c>
      <c r="B271" t="s">
        <v>224</v>
      </c>
      <c r="C271" t="s">
        <v>8</v>
      </c>
      <c r="F271" s="5">
        <v>44100.625</v>
      </c>
    </row>
    <row r="272" spans="1:6">
      <c r="A272">
        <v>69</v>
      </c>
      <c r="B272" t="s">
        <v>225</v>
      </c>
      <c r="C272" t="s">
        <v>8</v>
      </c>
      <c r="F272" s="5">
        <v>44101.625</v>
      </c>
    </row>
    <row r="273" spans="1:6">
      <c r="A273">
        <v>121</v>
      </c>
      <c r="B273" t="s">
        <v>226</v>
      </c>
      <c r="C273" t="s">
        <v>8</v>
      </c>
      <c r="F273" s="5">
        <v>44102.625</v>
      </c>
    </row>
    <row r="274" spans="1:6">
      <c r="A274">
        <v>135</v>
      </c>
      <c r="B274" t="s">
        <v>227</v>
      </c>
      <c r="C274" t="s">
        <v>8</v>
      </c>
      <c r="F274" s="5">
        <v>44103.625</v>
      </c>
    </row>
    <row r="275" spans="1:6">
      <c r="A275">
        <v>163</v>
      </c>
      <c r="B275" t="s">
        <v>229</v>
      </c>
      <c r="C275" t="s">
        <v>8</v>
      </c>
      <c r="F275" s="5">
        <v>44104.625</v>
      </c>
    </row>
    <row r="276" spans="1:6">
      <c r="A276">
        <v>186</v>
      </c>
      <c r="B276" t="s">
        <v>231</v>
      </c>
      <c r="C276" t="s">
        <v>8</v>
      </c>
      <c r="F276" s="5">
        <v>44105.625</v>
      </c>
    </row>
    <row r="277" spans="1:6">
      <c r="A277">
        <v>186</v>
      </c>
      <c r="B277" t="s">
        <v>232</v>
      </c>
      <c r="C277" t="s">
        <v>8</v>
      </c>
      <c r="F277" s="5">
        <v>44106.625</v>
      </c>
    </row>
    <row r="278" spans="1:6">
      <c r="A278">
        <v>107</v>
      </c>
      <c r="B278" t="s">
        <v>234</v>
      </c>
      <c r="C278" t="s">
        <v>8</v>
      </c>
      <c r="F278" s="5">
        <v>44107.625</v>
      </c>
    </row>
    <row r="279" spans="1:6">
      <c r="A279">
        <v>63</v>
      </c>
      <c r="B279" t="s">
        <v>293</v>
      </c>
      <c r="C279" t="s">
        <v>8</v>
      </c>
      <c r="F279" s="5">
        <v>44108.625</v>
      </c>
    </row>
    <row r="280" spans="1:6">
      <c r="A280">
        <v>22</v>
      </c>
      <c r="B280" t="s">
        <v>294</v>
      </c>
      <c r="C280" t="s">
        <v>8</v>
      </c>
      <c r="F280" s="5">
        <v>44109.625</v>
      </c>
    </row>
    <row r="281" spans="1:6">
      <c r="A281">
        <v>0</v>
      </c>
      <c r="B281" t="s">
        <v>295</v>
      </c>
      <c r="C281" t="s">
        <v>8</v>
      </c>
      <c r="F281" s="5">
        <v>44110.37195601852</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zoomScale="85" zoomScaleNormal="85" workbookViewId="0">
      <selection activeCell="A32" sqref="A32"/>
    </sheetView>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7">
      <c r="B17" s="4"/>
    </row>
    <row r="18" spans="2:7">
      <c r="B18" s="4"/>
    </row>
    <row r="19" spans="2:7">
      <c r="B19" s="4"/>
    </row>
    <row r="20" spans="2:7">
      <c r="B20" s="4"/>
    </row>
    <row r="21" spans="2:7">
      <c r="B21" s="4"/>
    </row>
    <row r="22" spans="2:7">
      <c r="B22" s="4"/>
    </row>
    <row r="23" spans="2:7">
      <c r="B23" s="4"/>
    </row>
    <row r="24" spans="2:7">
      <c r="B24" s="4"/>
    </row>
    <row r="25" spans="2:7">
      <c r="B25" s="4"/>
    </row>
    <row r="26" spans="2:7">
      <c r="B26" s="4"/>
    </row>
    <row r="27" spans="2:7">
      <c r="B27" s="4"/>
    </row>
    <row r="28" spans="2:7">
      <c r="B28" s="4"/>
    </row>
    <row r="29" spans="2:7">
      <c r="B29" s="4"/>
    </row>
    <row r="30" spans="2:7">
      <c r="B30" s="4"/>
    </row>
    <row r="31" spans="2:7">
      <c r="B31" s="4"/>
    </row>
    <row r="32" spans="2:7">
      <c r="B32" s="4"/>
      <c r="G32" t="str">
        <f ca="1">"Kirjattuja COVID-19 tapauksia "&amp;C63&amp;"."&amp;CHAR(13)&amp;"Punaisella uusimmat lisäykset "&amp;L63&amp;"."</f>
        <v>Kirjattuja COVID-19 tapauksia 10929._x000D_Punaisella uusimmat lisäykset 227.</v>
      </c>
    </row>
    <row r="33" spans="2:18">
      <c r="B33" s="4" t="s">
        <v>5</v>
      </c>
      <c r="C33" t="s">
        <v>0</v>
      </c>
      <c r="D33" t="s">
        <v>6</v>
      </c>
      <c r="E33">
        <f ca="1">SUM(E35:E63)</f>
        <v>227</v>
      </c>
      <c r="F33" t="s">
        <v>228</v>
      </c>
      <c r="G33" t="str">
        <f ca="1">"Uusia COVID-19 tapauksia "&amp;(C63-N63)&amp;" (joista vanhoja yli 28 päivän takaisia kirjauksia "&amp;(C63-N63-E33)&amp;"). Yhteensä "&amp;C62&amp;". Edelliset 7 päivää ("&amp;G56&amp;" päivittyy), "&amp;G49&amp;" (muutos "&amp;H49&amp;"), "&amp;G42&amp;" ("&amp;H42&amp;") ja "&amp;G35&amp;" https://github.com/jussivirkkala/excel"</f>
        <v>Uusia COVID-19 tapauksia 227 (joista vanhoja yli 28 päivän takaisia kirjauksia 0). Yhteensä 10929. Edelliset 7 päivää (862 päivittyy), 708 (muutos 35 %), 524 (43 %) ja 367 https://github.com/jussivirkkala/excel</v>
      </c>
    </row>
    <row r="34" spans="2:18">
      <c r="B34" s="4">
        <f ca="1">B35-1</f>
        <v>44081</v>
      </c>
      <c r="C34" s="11">
        <f t="shared" ref="C34:C63" ca="1" si="0">SUMIF(aika,"&lt;"&amp;(B34+1),Id)</f>
        <v>8468</v>
      </c>
    </row>
    <row r="35" spans="2:18" s="10" customFormat="1">
      <c r="B35" s="9">
        <f t="shared" ref="B35:B60" ca="1" si="1">B36-1</f>
        <v>44082</v>
      </c>
      <c r="C35" s="11">
        <f t="shared" ca="1" si="0"/>
        <v>8525</v>
      </c>
      <c r="D35" s="10">
        <f t="shared" ref="D35" ca="1" si="2">C35-C34</f>
        <v>57</v>
      </c>
      <c r="E35" s="11">
        <f t="shared" ref="E35:E62" ca="1" si="3">_xlfn.IFNA(D35-F35,"")</f>
        <v>0</v>
      </c>
      <c r="F35" s="11">
        <f t="shared" ref="F35:F63" ca="1" si="4">VLOOKUP(B35,Previous,3,FALSE)</f>
        <v>57</v>
      </c>
      <c r="G35" s="10">
        <f ca="1">SUM(D35:D41)</f>
        <v>367</v>
      </c>
      <c r="K35" s="14"/>
      <c r="M35" s="4">
        <v>44082</v>
      </c>
      <c r="N35">
        <v>8525</v>
      </c>
      <c r="O35">
        <v>57</v>
      </c>
      <c r="P35" s="13">
        <v>44082</v>
      </c>
      <c r="Q35">
        <v>8525</v>
      </c>
      <c r="R35">
        <v>57</v>
      </c>
    </row>
    <row r="36" spans="2:18">
      <c r="B36" s="4">
        <f t="shared" ca="1" si="1"/>
        <v>44083</v>
      </c>
      <c r="C36" s="11">
        <f t="shared" ca="1" si="0"/>
        <v>8580</v>
      </c>
      <c r="D36">
        <f t="shared" ref="D36" ca="1" si="5">C36-C35</f>
        <v>55</v>
      </c>
      <c r="E36" s="11">
        <f t="shared" ca="1" si="3"/>
        <v>0</v>
      </c>
      <c r="F36" s="11">
        <f t="shared" ca="1" si="4"/>
        <v>55</v>
      </c>
      <c r="K36" s="3"/>
      <c r="M36" s="4">
        <v>44083</v>
      </c>
      <c r="N36">
        <v>8580</v>
      </c>
      <c r="O36">
        <v>55</v>
      </c>
      <c r="P36" s="13">
        <v>44083</v>
      </c>
      <c r="Q36">
        <v>8580</v>
      </c>
      <c r="R36">
        <v>55</v>
      </c>
    </row>
    <row r="37" spans="2:18">
      <c r="B37" s="4">
        <f t="shared" ca="1" si="1"/>
        <v>44084</v>
      </c>
      <c r="C37" s="11">
        <f t="shared" ca="1" si="0"/>
        <v>8632</v>
      </c>
      <c r="D37">
        <f t="shared" ref="D37" ca="1" si="6">C37-C36</f>
        <v>52</v>
      </c>
      <c r="E37" s="11">
        <f t="shared" ca="1" si="3"/>
        <v>0</v>
      </c>
      <c r="F37" s="11">
        <f t="shared" ca="1" si="4"/>
        <v>52</v>
      </c>
      <c r="K37" s="3"/>
      <c r="M37" s="13">
        <v>44084</v>
      </c>
      <c r="N37">
        <v>8632</v>
      </c>
      <c r="O37">
        <v>52</v>
      </c>
      <c r="P37" s="13">
        <v>44084</v>
      </c>
      <c r="Q37">
        <v>8632</v>
      </c>
      <c r="R37">
        <v>52</v>
      </c>
    </row>
    <row r="38" spans="2:18">
      <c r="B38" s="4">
        <f t="shared" ca="1" si="1"/>
        <v>44085</v>
      </c>
      <c r="C38" s="11">
        <f t="shared" ca="1" si="0"/>
        <v>8689</v>
      </c>
      <c r="D38">
        <f t="shared" ref="D38" ca="1" si="7">C38-C37</f>
        <v>57</v>
      </c>
      <c r="E38" s="11">
        <f t="shared" ca="1" si="3"/>
        <v>0</v>
      </c>
      <c r="F38" s="11">
        <f t="shared" ca="1" si="4"/>
        <v>57</v>
      </c>
      <c r="K38" s="3"/>
      <c r="M38" s="13">
        <v>44085</v>
      </c>
      <c r="N38">
        <v>8689</v>
      </c>
      <c r="O38">
        <v>57</v>
      </c>
      <c r="P38" s="13">
        <v>44085</v>
      </c>
      <c r="Q38">
        <v>8689</v>
      </c>
      <c r="R38">
        <v>57</v>
      </c>
    </row>
    <row r="39" spans="2:18">
      <c r="B39" s="4">
        <f t="shared" ca="1" si="1"/>
        <v>44086</v>
      </c>
      <c r="C39" s="11">
        <f t="shared" ca="1" si="0"/>
        <v>8730</v>
      </c>
      <c r="D39">
        <f t="shared" ref="D39" ca="1" si="8">C39-C38</f>
        <v>41</v>
      </c>
      <c r="E39" s="11">
        <f t="shared" ca="1" si="3"/>
        <v>0</v>
      </c>
      <c r="F39" s="11">
        <f t="shared" ca="1" si="4"/>
        <v>41</v>
      </c>
      <c r="K39" s="3"/>
      <c r="M39" s="13">
        <v>44086</v>
      </c>
      <c r="N39">
        <v>8730</v>
      </c>
      <c r="O39">
        <v>41</v>
      </c>
      <c r="P39" s="13">
        <v>44086</v>
      </c>
      <c r="Q39">
        <v>8730</v>
      </c>
      <c r="R39">
        <v>41</v>
      </c>
    </row>
    <row r="40" spans="2:18">
      <c r="B40" s="4">
        <f t="shared" ca="1" si="1"/>
        <v>44087</v>
      </c>
      <c r="C40" s="11">
        <f t="shared" ca="1" si="0"/>
        <v>8776</v>
      </c>
      <c r="D40">
        <f t="shared" ref="D40" ca="1" si="9">C40-C39</f>
        <v>46</v>
      </c>
      <c r="E40" s="11">
        <f t="shared" ca="1" si="3"/>
        <v>0</v>
      </c>
      <c r="F40" s="11">
        <f t="shared" ca="1" si="4"/>
        <v>46</v>
      </c>
      <c r="K40" s="3"/>
      <c r="M40" s="13">
        <v>44087</v>
      </c>
      <c r="N40">
        <v>8776</v>
      </c>
      <c r="O40">
        <v>46</v>
      </c>
      <c r="P40" s="13">
        <v>44087</v>
      </c>
      <c r="Q40">
        <v>8776</v>
      </c>
      <c r="R40">
        <v>46</v>
      </c>
    </row>
    <row r="41" spans="2:18">
      <c r="B41" s="4">
        <f t="shared" ca="1" si="1"/>
        <v>44088</v>
      </c>
      <c r="C41" s="11">
        <f t="shared" ca="1" si="0"/>
        <v>8835</v>
      </c>
      <c r="D41">
        <f t="shared" ref="D41" ca="1" si="10">C41-C40</f>
        <v>59</v>
      </c>
      <c r="E41" s="11">
        <f t="shared" ca="1" si="3"/>
        <v>0</v>
      </c>
      <c r="F41" s="11">
        <f t="shared" ca="1" si="4"/>
        <v>59</v>
      </c>
      <c r="G41" s="10"/>
      <c r="K41" s="3"/>
      <c r="M41" s="13">
        <v>44088</v>
      </c>
      <c r="N41">
        <v>8835</v>
      </c>
      <c r="O41">
        <v>59</v>
      </c>
      <c r="P41" s="13">
        <v>44088</v>
      </c>
      <c r="Q41">
        <v>8835</v>
      </c>
      <c r="R41">
        <v>59</v>
      </c>
    </row>
    <row r="42" spans="2:18">
      <c r="B42" s="4">
        <f t="shared" ca="1" si="1"/>
        <v>44089</v>
      </c>
      <c r="C42" s="11">
        <f t="shared" ca="1" si="0"/>
        <v>8888</v>
      </c>
      <c r="D42">
        <f t="shared" ref="D42" ca="1" si="11">C42-C41</f>
        <v>53</v>
      </c>
      <c r="E42" s="11">
        <f t="shared" ca="1" si="3"/>
        <v>0</v>
      </c>
      <c r="F42" s="11">
        <f t="shared" ca="1" si="4"/>
        <v>53</v>
      </c>
      <c r="G42" s="10">
        <f ca="1">SUM(D42:D48)</f>
        <v>524</v>
      </c>
      <c r="H42" s="10" t="str">
        <f ca="1">TEXT(G42/G35-1,"0 %")</f>
        <v>43 %</v>
      </c>
      <c r="K42" s="3"/>
      <c r="M42" s="13">
        <v>44089</v>
      </c>
      <c r="N42">
        <v>8888</v>
      </c>
      <c r="O42">
        <v>53</v>
      </c>
      <c r="P42" s="13">
        <v>44089</v>
      </c>
      <c r="Q42">
        <v>8888</v>
      </c>
      <c r="R42">
        <v>53</v>
      </c>
    </row>
    <row r="43" spans="2:18">
      <c r="B43" s="4">
        <f t="shared" ca="1" si="1"/>
        <v>44090</v>
      </c>
      <c r="C43" s="11">
        <f t="shared" ca="1" si="0"/>
        <v>8945</v>
      </c>
      <c r="D43">
        <f t="shared" ref="D43" ca="1" si="12">C43-C42</f>
        <v>57</v>
      </c>
      <c r="E43" s="11">
        <f t="shared" ca="1" si="3"/>
        <v>0</v>
      </c>
      <c r="F43" s="11">
        <f t="shared" ca="1" si="4"/>
        <v>57</v>
      </c>
      <c r="K43" s="3"/>
      <c r="M43" s="13">
        <v>44090</v>
      </c>
      <c r="N43">
        <v>8945</v>
      </c>
      <c r="O43">
        <v>57</v>
      </c>
      <c r="P43" s="13">
        <v>44090</v>
      </c>
      <c r="Q43">
        <v>8945</v>
      </c>
      <c r="R43">
        <v>57</v>
      </c>
    </row>
    <row r="44" spans="2:18">
      <c r="B44" s="4">
        <f t="shared" ca="1" si="1"/>
        <v>44091</v>
      </c>
      <c r="C44" s="11">
        <f t="shared" ca="1" si="0"/>
        <v>9030</v>
      </c>
      <c r="D44">
        <f t="shared" ref="D44" ca="1" si="13">C44-C43</f>
        <v>85</v>
      </c>
      <c r="E44" s="11">
        <f t="shared" ca="1" si="3"/>
        <v>0</v>
      </c>
      <c r="F44" s="11">
        <f t="shared" ca="1" si="4"/>
        <v>85</v>
      </c>
      <c r="K44" s="3"/>
      <c r="M44" s="13">
        <v>44091</v>
      </c>
      <c r="N44">
        <v>9030</v>
      </c>
      <c r="O44">
        <v>85</v>
      </c>
      <c r="P44" s="13">
        <v>44091</v>
      </c>
      <c r="Q44">
        <v>9030</v>
      </c>
      <c r="R44">
        <v>85</v>
      </c>
    </row>
    <row r="45" spans="2:18">
      <c r="B45" s="4">
        <f t="shared" ca="1" si="1"/>
        <v>44092</v>
      </c>
      <c r="C45" s="11">
        <f t="shared" ca="1" si="0"/>
        <v>9106</v>
      </c>
      <c r="D45">
        <f t="shared" ref="D45" ca="1" si="14">C45-C44</f>
        <v>76</v>
      </c>
      <c r="E45" s="11">
        <f t="shared" ca="1" si="3"/>
        <v>0</v>
      </c>
      <c r="F45" s="11">
        <f t="shared" ca="1" si="4"/>
        <v>76</v>
      </c>
      <c r="K45" s="3"/>
      <c r="M45" s="13">
        <v>44092</v>
      </c>
      <c r="N45">
        <v>9106</v>
      </c>
      <c r="O45">
        <v>76</v>
      </c>
      <c r="P45" s="13">
        <v>44092</v>
      </c>
      <c r="Q45">
        <v>9106</v>
      </c>
      <c r="R45">
        <v>76</v>
      </c>
    </row>
    <row r="46" spans="2:18">
      <c r="B46" s="4">
        <f t="shared" ca="1" si="1"/>
        <v>44093</v>
      </c>
      <c r="C46" s="11">
        <f t="shared" ca="1" si="0"/>
        <v>9167</v>
      </c>
      <c r="D46">
        <f t="shared" ref="D46" ca="1" si="15">C46-C45</f>
        <v>61</v>
      </c>
      <c r="E46" s="11">
        <f t="shared" ca="1" si="3"/>
        <v>0</v>
      </c>
      <c r="F46" s="11">
        <f t="shared" ca="1" si="4"/>
        <v>61</v>
      </c>
      <c r="K46" s="3"/>
      <c r="M46" s="13">
        <v>44093</v>
      </c>
      <c r="N46">
        <v>9167</v>
      </c>
      <c r="O46">
        <v>61</v>
      </c>
      <c r="P46" s="13">
        <v>44093</v>
      </c>
      <c r="Q46">
        <v>9167</v>
      </c>
      <c r="R46">
        <v>61</v>
      </c>
    </row>
    <row r="47" spans="2:18">
      <c r="B47" s="4">
        <f t="shared" ca="1" si="1"/>
        <v>44094</v>
      </c>
      <c r="C47" s="11">
        <f t="shared" ca="1" si="0"/>
        <v>9240</v>
      </c>
      <c r="D47">
        <f t="shared" ref="D47" ca="1" si="16">C47-C46</f>
        <v>73</v>
      </c>
      <c r="E47" s="11">
        <f t="shared" ca="1" si="3"/>
        <v>0</v>
      </c>
      <c r="F47" s="11">
        <f t="shared" ca="1" si="4"/>
        <v>73</v>
      </c>
      <c r="K47" s="3"/>
      <c r="M47" s="13">
        <v>44094</v>
      </c>
      <c r="N47">
        <v>9240</v>
      </c>
      <c r="O47">
        <v>73</v>
      </c>
      <c r="P47" s="13">
        <v>44094</v>
      </c>
      <c r="Q47">
        <v>9240</v>
      </c>
      <c r="R47">
        <v>73</v>
      </c>
    </row>
    <row r="48" spans="2:18">
      <c r="B48" s="4">
        <f t="shared" ca="1" si="1"/>
        <v>44095</v>
      </c>
      <c r="C48" s="11">
        <f t="shared" ca="1" si="0"/>
        <v>9359</v>
      </c>
      <c r="D48">
        <f t="shared" ref="D48" ca="1" si="17">C48-C47</f>
        <v>119</v>
      </c>
      <c r="E48" s="11">
        <f t="shared" ca="1" si="3"/>
        <v>1</v>
      </c>
      <c r="F48" s="11">
        <f t="shared" ca="1" si="4"/>
        <v>118</v>
      </c>
      <c r="K48" s="3"/>
      <c r="M48" s="13">
        <v>44095</v>
      </c>
      <c r="N48">
        <v>9358</v>
      </c>
      <c r="O48">
        <v>118</v>
      </c>
      <c r="P48" s="13">
        <v>44095</v>
      </c>
      <c r="Q48">
        <v>9359</v>
      </c>
      <c r="R48">
        <v>119</v>
      </c>
    </row>
    <row r="49" spans="2:18" s="10" customFormat="1">
      <c r="B49" s="9">
        <f t="shared" ca="1" si="1"/>
        <v>44096</v>
      </c>
      <c r="C49" s="11">
        <f t="shared" ca="1" si="0"/>
        <v>9464</v>
      </c>
      <c r="D49" s="10">
        <f t="shared" ref="D49" ca="1" si="18">C49-C48</f>
        <v>105</v>
      </c>
      <c r="E49" s="11">
        <f t="shared" ca="1" si="3"/>
        <v>1</v>
      </c>
      <c r="F49" s="11">
        <f t="shared" ca="1" si="4"/>
        <v>104</v>
      </c>
      <c r="G49" s="10">
        <f ca="1">SUM(D49:D55)</f>
        <v>708</v>
      </c>
      <c r="H49" s="10" t="str">
        <f ca="1">TEXT(G49/G42-1,"0 %")</f>
        <v>35 %</v>
      </c>
      <c r="K49" s="14"/>
      <c r="M49" s="13">
        <v>44096</v>
      </c>
      <c r="N49">
        <v>9462</v>
      </c>
      <c r="O49">
        <v>104</v>
      </c>
      <c r="P49" s="13">
        <v>44096</v>
      </c>
      <c r="Q49">
        <v>9464</v>
      </c>
      <c r="R49">
        <v>105</v>
      </c>
    </row>
    <row r="50" spans="2:18">
      <c r="B50" s="4">
        <f t="shared" ca="1" si="1"/>
        <v>44097</v>
      </c>
      <c r="C50" s="11">
        <f t="shared" ca="1" si="0"/>
        <v>9582</v>
      </c>
      <c r="D50">
        <f t="shared" ref="D50:D61" ca="1" si="19">C50-C49</f>
        <v>118</v>
      </c>
      <c r="E50" s="11">
        <f t="shared" ca="1" si="3"/>
        <v>-1</v>
      </c>
      <c r="F50" s="11">
        <f t="shared" ca="1" si="4"/>
        <v>119</v>
      </c>
      <c r="G50" s="10"/>
      <c r="K50" s="3"/>
      <c r="M50" s="13">
        <v>44097</v>
      </c>
      <c r="N50">
        <v>9581</v>
      </c>
      <c r="O50">
        <v>119</v>
      </c>
      <c r="P50" s="13">
        <v>44097</v>
      </c>
      <c r="Q50">
        <v>9582</v>
      </c>
      <c r="R50">
        <v>118</v>
      </c>
    </row>
    <row r="51" spans="2:18">
      <c r="B51" s="4">
        <f t="shared" ca="1" si="1"/>
        <v>44098</v>
      </c>
      <c r="C51" s="11">
        <f t="shared" ca="1" si="0"/>
        <v>9680</v>
      </c>
      <c r="D51">
        <f t="shared" ca="1" si="19"/>
        <v>98</v>
      </c>
      <c r="E51" s="11">
        <f t="shared" ca="1" si="3"/>
        <v>1</v>
      </c>
      <c r="F51" s="11">
        <f t="shared" ca="1" si="4"/>
        <v>97</v>
      </c>
      <c r="K51" s="3"/>
      <c r="M51" s="13">
        <v>44098</v>
      </c>
      <c r="N51">
        <v>9678</v>
      </c>
      <c r="O51">
        <v>97</v>
      </c>
      <c r="P51" s="13">
        <v>44098</v>
      </c>
      <c r="Q51">
        <v>9680</v>
      </c>
      <c r="R51">
        <v>98</v>
      </c>
    </row>
    <row r="52" spans="2:18">
      <c r="B52" s="4">
        <f t="shared" ca="1" si="1"/>
        <v>44099</v>
      </c>
      <c r="C52" s="11">
        <f t="shared" ca="1" si="0"/>
        <v>9805</v>
      </c>
      <c r="D52">
        <f t="shared" ca="1" si="19"/>
        <v>125</v>
      </c>
      <c r="E52" s="11">
        <f t="shared" ca="1" si="3"/>
        <v>-1</v>
      </c>
      <c r="F52" s="11">
        <f t="shared" ca="1" si="4"/>
        <v>126</v>
      </c>
      <c r="K52" s="3"/>
      <c r="M52" s="13">
        <v>44099</v>
      </c>
      <c r="N52">
        <v>9804</v>
      </c>
      <c r="O52">
        <v>126</v>
      </c>
      <c r="P52" s="13">
        <v>44099</v>
      </c>
      <c r="Q52">
        <v>9805</v>
      </c>
      <c r="R52">
        <v>125</v>
      </c>
    </row>
    <row r="53" spans="2:18">
      <c r="B53" s="4">
        <f t="shared" ca="1" si="1"/>
        <v>44100</v>
      </c>
      <c r="C53" s="11">
        <f t="shared" ca="1" si="0"/>
        <v>9877</v>
      </c>
      <c r="D53">
        <f t="shared" ca="1" si="19"/>
        <v>72</v>
      </c>
      <c r="E53" s="11">
        <f t="shared" ca="1" si="3"/>
        <v>-5</v>
      </c>
      <c r="F53" s="11">
        <f t="shared" ca="1" si="4"/>
        <v>77</v>
      </c>
      <c r="K53" s="3"/>
      <c r="M53" s="13">
        <v>44100</v>
      </c>
      <c r="N53">
        <v>9881</v>
      </c>
      <c r="O53">
        <v>77</v>
      </c>
      <c r="P53" s="13">
        <v>44100</v>
      </c>
      <c r="Q53">
        <v>9877</v>
      </c>
      <c r="R53">
        <v>72</v>
      </c>
    </row>
    <row r="54" spans="2:18">
      <c r="B54" s="4">
        <f t="shared" ca="1" si="1"/>
        <v>44101</v>
      </c>
      <c r="C54" s="11">
        <f t="shared" ca="1" si="0"/>
        <v>9946</v>
      </c>
      <c r="D54">
        <f t="shared" ca="1" si="19"/>
        <v>69</v>
      </c>
      <c r="E54" s="11">
        <f t="shared" ca="1" si="3"/>
        <v>-1</v>
      </c>
      <c r="F54" s="11">
        <f t="shared" ca="1" si="4"/>
        <v>70</v>
      </c>
      <c r="K54" s="3"/>
      <c r="M54" s="13">
        <v>44101</v>
      </c>
      <c r="N54">
        <v>9951</v>
      </c>
      <c r="O54">
        <v>70</v>
      </c>
      <c r="P54" s="13">
        <v>44101</v>
      </c>
      <c r="Q54">
        <v>9946</v>
      </c>
      <c r="R54">
        <v>69</v>
      </c>
    </row>
    <row r="55" spans="2:18">
      <c r="B55" s="4">
        <f t="shared" ca="1" si="1"/>
        <v>44102</v>
      </c>
      <c r="C55" s="11">
        <f t="shared" ca="1" si="0"/>
        <v>10067</v>
      </c>
      <c r="D55">
        <f t="shared" ca="1" si="19"/>
        <v>121</v>
      </c>
      <c r="E55" s="11">
        <f t="shared" ca="1" si="3"/>
        <v>5</v>
      </c>
      <c r="F55" s="11">
        <f t="shared" ca="1" si="4"/>
        <v>116</v>
      </c>
      <c r="J55" s="13">
        <v>44102</v>
      </c>
      <c r="K55" s="3">
        <v>9742</v>
      </c>
      <c r="L55">
        <v>61</v>
      </c>
      <c r="M55" s="13">
        <v>44102</v>
      </c>
      <c r="N55">
        <v>10067</v>
      </c>
      <c r="O55">
        <v>116</v>
      </c>
      <c r="P55" s="13">
        <v>44102</v>
      </c>
      <c r="Q55">
        <v>10067</v>
      </c>
      <c r="R55">
        <v>121</v>
      </c>
    </row>
    <row r="56" spans="2:18">
      <c r="B56" s="9">
        <f t="shared" ca="1" si="1"/>
        <v>44103</v>
      </c>
      <c r="C56" s="11">
        <f t="shared" ca="1" si="0"/>
        <v>10202</v>
      </c>
      <c r="D56" s="10">
        <f t="shared" ca="1" si="19"/>
        <v>135</v>
      </c>
      <c r="E56" s="11">
        <f t="shared" ca="1" si="3"/>
        <v>3</v>
      </c>
      <c r="F56" s="11">
        <f t="shared" ca="1" si="4"/>
        <v>132</v>
      </c>
      <c r="G56" s="10">
        <f ca="1">SUM(D56:D62)</f>
        <v>862</v>
      </c>
      <c r="H56" s="10"/>
      <c r="J56" s="13">
        <v>44103</v>
      </c>
      <c r="K56" s="3">
        <v>9892</v>
      </c>
      <c r="L56">
        <v>149</v>
      </c>
      <c r="M56" s="13">
        <v>44103</v>
      </c>
      <c r="N56">
        <v>10199</v>
      </c>
      <c r="O56">
        <v>132</v>
      </c>
      <c r="P56" s="13">
        <v>44103</v>
      </c>
      <c r="Q56">
        <v>10202</v>
      </c>
      <c r="R56">
        <v>135</v>
      </c>
    </row>
    <row r="57" spans="2:18">
      <c r="B57" s="4">
        <f t="shared" ca="1" si="1"/>
        <v>44104</v>
      </c>
      <c r="C57" s="11">
        <f t="shared" ca="1" si="0"/>
        <v>10365</v>
      </c>
      <c r="D57">
        <f t="shared" ca="1" si="19"/>
        <v>163</v>
      </c>
      <c r="E57" s="11">
        <f t="shared" ca="1" si="3"/>
        <v>18</v>
      </c>
      <c r="F57" s="11">
        <f t="shared" ca="1" si="4"/>
        <v>145</v>
      </c>
      <c r="H57" s="10"/>
      <c r="I57">
        <f t="shared" ref="I57:I63" si="20">K57-K56</f>
        <v>100</v>
      </c>
      <c r="J57" s="13">
        <v>44104</v>
      </c>
      <c r="K57" s="3">
        <v>9992</v>
      </c>
      <c r="L57">
        <v>100</v>
      </c>
      <c r="M57" s="13">
        <v>44104</v>
      </c>
      <c r="N57">
        <v>10344</v>
      </c>
      <c r="O57">
        <v>145</v>
      </c>
      <c r="P57" s="13">
        <v>44104</v>
      </c>
      <c r="Q57">
        <v>10365</v>
      </c>
      <c r="R57">
        <v>163</v>
      </c>
    </row>
    <row r="58" spans="2:18">
      <c r="B58" s="4">
        <f t="shared" ca="1" si="1"/>
        <v>44105</v>
      </c>
      <c r="C58" s="11">
        <f t="shared" ca="1" si="0"/>
        <v>10551</v>
      </c>
      <c r="D58">
        <f t="shared" ca="1" si="19"/>
        <v>186</v>
      </c>
      <c r="E58" s="11">
        <f t="shared" ca="1" si="3"/>
        <v>60</v>
      </c>
      <c r="F58" s="11">
        <f t="shared" ca="1" si="4"/>
        <v>126</v>
      </c>
      <c r="I58">
        <f t="shared" si="20"/>
        <v>111</v>
      </c>
      <c r="J58" s="13">
        <v>44105</v>
      </c>
      <c r="K58" s="3">
        <v>10103</v>
      </c>
      <c r="L58">
        <v>101</v>
      </c>
      <c r="M58" s="13">
        <v>44105</v>
      </c>
      <c r="N58">
        <v>10470</v>
      </c>
      <c r="O58">
        <v>126</v>
      </c>
      <c r="P58" s="13">
        <v>44105</v>
      </c>
      <c r="Q58">
        <v>10551</v>
      </c>
      <c r="R58">
        <v>186</v>
      </c>
    </row>
    <row r="59" spans="2:18">
      <c r="B59" s="4">
        <f t="shared" ca="1" si="1"/>
        <v>44106</v>
      </c>
      <c r="C59" s="11">
        <f t="shared" ca="1" si="0"/>
        <v>10737</v>
      </c>
      <c r="D59">
        <f t="shared" ca="1" si="19"/>
        <v>186</v>
      </c>
      <c r="E59" s="11">
        <f t="shared" ca="1" si="3"/>
        <v>56</v>
      </c>
      <c r="F59" s="11">
        <f t="shared" ca="1" si="4"/>
        <v>130</v>
      </c>
      <c r="I59">
        <f t="shared" si="20"/>
        <v>141</v>
      </c>
      <c r="J59" s="4">
        <v>44106</v>
      </c>
      <c r="K59" s="3">
        <v>10244</v>
      </c>
      <c r="L59">
        <v>141</v>
      </c>
      <c r="M59" s="13">
        <v>44106</v>
      </c>
      <c r="N59">
        <v>10600</v>
      </c>
      <c r="O59">
        <v>130</v>
      </c>
      <c r="P59" s="13">
        <v>44106</v>
      </c>
      <c r="Q59">
        <v>10737</v>
      </c>
      <c r="R59">
        <v>186</v>
      </c>
    </row>
    <row r="60" spans="2:18">
      <c r="B60" s="4">
        <f t="shared" ca="1" si="1"/>
        <v>44107</v>
      </c>
      <c r="C60" s="11">
        <f t="shared" ca="1" si="0"/>
        <v>10844</v>
      </c>
      <c r="D60">
        <f t="shared" ca="1" si="19"/>
        <v>107</v>
      </c>
      <c r="E60" s="11">
        <f t="shared" ca="1" si="3"/>
        <v>25</v>
      </c>
      <c r="F60" s="11">
        <f t="shared" ca="1" si="4"/>
        <v>82</v>
      </c>
      <c r="I60">
        <f t="shared" si="20"/>
        <v>147</v>
      </c>
      <c r="J60" s="4">
        <v>44107</v>
      </c>
      <c r="K60" s="3">
        <v>10391</v>
      </c>
      <c r="L60">
        <v>147</v>
      </c>
      <c r="M60" s="13">
        <v>44107</v>
      </c>
      <c r="N60">
        <v>10682</v>
      </c>
      <c r="O60">
        <v>82</v>
      </c>
      <c r="P60" s="13">
        <v>44107</v>
      </c>
      <c r="Q60">
        <v>10844</v>
      </c>
      <c r="R60">
        <v>107</v>
      </c>
    </row>
    <row r="61" spans="2:18">
      <c r="B61" s="4">
        <f ca="1">B62-1</f>
        <v>44108</v>
      </c>
      <c r="C61" s="11">
        <f t="shared" ca="1" si="0"/>
        <v>10907</v>
      </c>
      <c r="D61">
        <f t="shared" ca="1" si="19"/>
        <v>63</v>
      </c>
      <c r="E61" s="11">
        <f t="shared" ca="1" si="3"/>
        <v>43</v>
      </c>
      <c r="F61" s="11">
        <f t="shared" ca="1" si="4"/>
        <v>20</v>
      </c>
      <c r="I61">
        <f t="shared" si="20"/>
        <v>147</v>
      </c>
      <c r="J61" s="4">
        <v>44108</v>
      </c>
      <c r="K61" s="3">
        <v>10538</v>
      </c>
      <c r="L61">
        <v>147</v>
      </c>
      <c r="M61" s="13">
        <v>44108</v>
      </c>
      <c r="N61">
        <v>10702</v>
      </c>
      <c r="O61">
        <v>20</v>
      </c>
      <c r="P61" s="13">
        <v>44108</v>
      </c>
      <c r="Q61">
        <v>10907</v>
      </c>
      <c r="R61">
        <v>63</v>
      </c>
    </row>
    <row r="62" spans="2:18">
      <c r="B62" s="4">
        <f ca="1">B63-1</f>
        <v>44109</v>
      </c>
      <c r="C62" s="11">
        <f t="shared" ca="1" si="0"/>
        <v>10929</v>
      </c>
      <c r="D62">
        <f ca="1">C62-C61</f>
        <v>22</v>
      </c>
      <c r="E62" s="11">
        <f t="shared" ca="1" si="3"/>
        <v>22</v>
      </c>
      <c r="F62" s="11">
        <f t="shared" ca="1" si="4"/>
        <v>0</v>
      </c>
      <c r="I62">
        <f t="shared" si="20"/>
        <v>164</v>
      </c>
      <c r="J62" s="4">
        <v>44108</v>
      </c>
      <c r="K62" s="3">
        <v>10702</v>
      </c>
      <c r="L62">
        <v>164</v>
      </c>
      <c r="M62" s="4">
        <v>44109</v>
      </c>
      <c r="N62">
        <v>10702</v>
      </c>
      <c r="O62">
        <v>0</v>
      </c>
      <c r="P62" s="13">
        <v>44109</v>
      </c>
      <c r="Q62">
        <v>10929</v>
      </c>
      <c r="R62">
        <v>22</v>
      </c>
    </row>
    <row r="63" spans="2:18">
      <c r="B63" s="12">
        <f ca="1">FLOOR(NOW(),1)</f>
        <v>44110</v>
      </c>
      <c r="C63" s="11">
        <f t="shared" ca="1" si="0"/>
        <v>10929</v>
      </c>
      <c r="D63" s="11">
        <f ca="1">C63-C62</f>
        <v>0</v>
      </c>
      <c r="E63" s="11">
        <f ca="1">_xlfn.IFNA(D63-F63,"")</f>
        <v>0</v>
      </c>
      <c r="F63" s="11">
        <f t="shared" ca="1" si="4"/>
        <v>0</v>
      </c>
      <c r="I63">
        <f t="shared" ca="1" si="20"/>
        <v>227</v>
      </c>
      <c r="J63" s="4">
        <f ca="1">B63</f>
        <v>44110</v>
      </c>
      <c r="K63" s="3">
        <f ca="1">C63</f>
        <v>10929</v>
      </c>
      <c r="L63">
        <f ca="1">C63-N63</f>
        <v>227</v>
      </c>
      <c r="M63" s="4">
        <v>44110</v>
      </c>
      <c r="N63">
        <v>10702</v>
      </c>
      <c r="O63">
        <v>0</v>
      </c>
      <c r="P63" s="13">
        <v>44110</v>
      </c>
      <c r="Q63">
        <v>10929</v>
      </c>
      <c r="R63">
        <v>0</v>
      </c>
    </row>
    <row r="65" spans="1:14">
      <c r="A65">
        <v>1</v>
      </c>
      <c r="B65">
        <v>2</v>
      </c>
      <c r="C65">
        <v>3</v>
      </c>
      <c r="D65">
        <v>4</v>
      </c>
      <c r="E65">
        <v>5</v>
      </c>
      <c r="F65">
        <v>6</v>
      </c>
      <c r="G65">
        <v>7</v>
      </c>
      <c r="H65">
        <v>8</v>
      </c>
      <c r="I65">
        <v>9</v>
      </c>
      <c r="J65">
        <v>10</v>
      </c>
      <c r="K65">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2020-10-06T08:57:57Z</dcterms:modified>
</cp:coreProperties>
</file>