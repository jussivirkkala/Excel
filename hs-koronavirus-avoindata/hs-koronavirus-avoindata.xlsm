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2.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C:\Users\jussi\OneDrive\Projects\Covid-2019\excel-github\hs-koronavirus-avoindata\"/>
    </mc:Choice>
  </mc:AlternateContent>
  <xr:revisionPtr revIDLastSave="0" documentId="13_ncr:1_{591AD982-7B50-4625-B5B7-1DFEC679E234}" xr6:coauthVersionLast="45" xr6:coauthVersionMax="45" xr10:uidLastSave="{00000000-0000-0000-0000-000000000000}"/>
  <bookViews>
    <workbookView xWindow="831" yWindow="-103" windowWidth="21215" windowHeight="12549" activeTab="2" xr2:uid="{82C78EB1-05E2-4CA6-8C68-96C547AF1CC6}"/>
  </bookViews>
  <sheets>
    <sheet name="Ohje" sheetId="3" r:id="rId1"/>
    <sheet name="Data" sheetId="1" r:id="rId2"/>
    <sheet name="Kuvaajat" sheetId="2" r:id="rId3"/>
  </sheets>
  <definedNames>
    <definedName name="_xlnm._FilterDatabase" localSheetId="1" hidden="1">Data!$A$1:$F$281</definedName>
    <definedName name="aika">Data!$F:$F</definedName>
    <definedName name="alue">Data!$C:$C</definedName>
    <definedName name="_xlnm.database">Data!$A:$F</definedName>
    <definedName name="Id">Data!$A:$A</definedName>
    <definedName name="maa">Data!$D:$D</definedName>
    <definedName name="N">Kuvaajat!$C$64</definedName>
    <definedName name="Paivitetty">Data!$I$1</definedName>
    <definedName name="Plot">Data!$A$2:OFFSET(Data!$A$2,Data!$M$1,0)</definedName>
    <definedName name="Previous">Kuvaajat!$M$37:$O$65</definedName>
    <definedName name="Tapauksia">Data!$H$1</definedName>
    <definedName name="X">Data!$H$2:OFFSET(Data!$H$2,Data!$M$1,0)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J70" i="2" l="1"/>
  <c r="EJ71" i="2"/>
  <c r="EJ72" i="2"/>
  <c r="EJ73" i="2"/>
  <c r="EJ74" i="2"/>
  <c r="EJ75" i="2"/>
  <c r="EJ76" i="2"/>
  <c r="EJ77" i="2"/>
  <c r="EJ78" i="2"/>
  <c r="EJ69" i="2"/>
  <c r="EX67" i="2"/>
  <c r="EU67" i="2"/>
  <c r="ER67" i="2"/>
  <c r="EO67" i="2"/>
  <c r="EL67" i="2"/>
  <c r="EI67" i="2"/>
  <c r="EF67" i="2"/>
  <c r="EC67" i="2"/>
  <c r="DZ67" i="2"/>
  <c r="DW67" i="2"/>
  <c r="DT67" i="2"/>
  <c r="DQ67" i="2"/>
  <c r="DN67" i="2"/>
  <c r="DK67" i="2"/>
  <c r="DH67" i="2"/>
  <c r="DE67" i="2"/>
  <c r="DB67" i="2"/>
  <c r="CY67" i="2"/>
  <c r="CV67" i="2"/>
  <c r="CS67" i="2"/>
  <c r="CP67" i="2"/>
  <c r="CM67" i="2"/>
  <c r="CJ67" i="2"/>
  <c r="H323" i="1" l="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09" i="1"/>
  <c r="H310" i="1"/>
  <c r="H311" i="1"/>
  <c r="H312" i="1"/>
  <c r="H313" i="1"/>
  <c r="H314" i="1"/>
  <c r="H315" i="1"/>
  <c r="H316" i="1"/>
  <c r="H317" i="1"/>
  <c r="H318" i="1"/>
  <c r="H319" i="1"/>
  <c r="H320" i="1"/>
  <c r="H321" i="1"/>
  <c r="H322" i="1"/>
  <c r="H3" i="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2" i="1"/>
  <c r="H308" i="1"/>
  <c r="M1" i="1" l="1"/>
  <c r="G333" i="1"/>
  <c r="G334" i="1"/>
  <c r="G335" i="1"/>
  <c r="G336" i="1"/>
  <c r="G337" i="1"/>
  <c r="G338" i="1"/>
  <c r="G339" i="1"/>
  <c r="G340" i="1"/>
  <c r="G341" i="1"/>
  <c r="G342" i="1"/>
  <c r="G343" i="1"/>
  <c r="G344" i="1"/>
  <c r="G312" i="1"/>
  <c r="G313" i="1"/>
  <c r="G314" i="1"/>
  <c r="G315" i="1"/>
  <c r="G316" i="1"/>
  <c r="G317" i="1"/>
  <c r="G318" i="1"/>
  <c r="G319" i="1"/>
  <c r="G320" i="1"/>
  <c r="G321" i="1"/>
  <c r="G322" i="1"/>
  <c r="G323" i="1"/>
  <c r="G324" i="1"/>
  <c r="G325" i="1"/>
  <c r="G326" i="1"/>
  <c r="G327" i="1"/>
  <c r="G328" i="1"/>
  <c r="G329" i="1"/>
  <c r="G330" i="1"/>
  <c r="G331" i="1"/>
  <c r="G332" i="1"/>
  <c r="G309" i="1"/>
  <c r="G310" i="1"/>
  <c r="G311"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12" i="1"/>
  <c r="E313" i="1"/>
  <c r="E314" i="1"/>
  <c r="E315" i="1"/>
  <c r="E316" i="1"/>
  <c r="E317" i="1"/>
  <c r="E318" i="1"/>
  <c r="E319" i="1"/>
  <c r="E320" i="1"/>
  <c r="E321" i="1"/>
  <c r="E322" i="1"/>
  <c r="E323" i="1"/>
  <c r="G253" i="1" l="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252" i="1"/>
  <c r="G249" i="1"/>
  <c r="G250" i="1"/>
  <c r="G251" i="1"/>
  <c r="G248"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G308" i="1"/>
  <c r="CG67" i="2" l="1"/>
  <c r="CD67" i="2"/>
  <c r="CA67" i="2"/>
  <c r="BX67" i="2"/>
  <c r="BU67" i="2"/>
  <c r="BR67" i="2"/>
  <c r="BO67" i="2"/>
  <c r="BL67" i="2" l="1"/>
  <c r="BI67" i="2"/>
  <c r="AT67" i="2"/>
  <c r="BC67" i="2" l="1"/>
  <c r="BF67" i="2"/>
  <c r="AZ67" i="2"/>
  <c r="AW67" i="2" l="1"/>
  <c r="AQ67" i="2" l="1"/>
  <c r="AN67" i="2"/>
  <c r="AK67" i="2" l="1"/>
  <c r="AH67" i="2"/>
  <c r="Y67" i="2"/>
  <c r="AE67" i="2" l="1"/>
  <c r="AB67" i="2"/>
  <c r="V67" i="2" l="1"/>
  <c r="S67" i="2" l="1"/>
  <c r="E3" i="1" l="1"/>
  <c r="E4" i="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 i="1"/>
  <c r="K36" i="1" l="1"/>
  <c r="K31" i="1"/>
  <c r="K33" i="1"/>
  <c r="K30" i="1"/>
  <c r="K34" i="1"/>
  <c r="K35" i="1"/>
  <c r="K32" i="1"/>
  <c r="J1" i="1" l="1"/>
  <c r="K1" i="1" l="1"/>
  <c r="L1" i="1" s="1"/>
  <c r="H1" i="1"/>
  <c r="B65" i="2" l="1"/>
  <c r="A65" i="2" s="1"/>
  <c r="C65" i="2" l="1"/>
  <c r="F65" i="2"/>
  <c r="L65" i="2" l="1"/>
  <c r="A34" i="2" s="1"/>
  <c r="B64" i="2"/>
  <c r="A64" i="2" s="1"/>
  <c r="C64" i="2" l="1"/>
  <c r="F64" i="2"/>
  <c r="B63" i="2"/>
  <c r="A63" i="2" s="1"/>
  <c r="F63" i="2" l="1"/>
  <c r="C63" i="2"/>
  <c r="B62" i="2"/>
  <c r="A62" i="2" s="1"/>
  <c r="F62" i="2" l="1"/>
  <c r="C62" i="2"/>
  <c r="B61" i="2"/>
  <c r="A61" i="2" s="1"/>
  <c r="F61" i="2" l="1"/>
  <c r="C61" i="2"/>
  <c r="B60" i="2"/>
  <c r="A60" i="2" s="1"/>
  <c r="F60" i="2" l="1"/>
  <c r="C60" i="2"/>
  <c r="B59" i="2"/>
  <c r="A59" i="2" s="1"/>
  <c r="F59" i="2" l="1"/>
  <c r="C59" i="2"/>
  <c r="B58" i="2"/>
  <c r="A58" i="2" s="1"/>
  <c r="F58" i="2" l="1"/>
  <c r="C58" i="2"/>
  <c r="B57" i="2"/>
  <c r="A57" i="2" s="1"/>
  <c r="D63" i="2"/>
  <c r="E63" i="2" s="1"/>
  <c r="F57" i="2" l="1"/>
  <c r="C57" i="2"/>
  <c r="D58" i="2" s="1"/>
  <c r="B56" i="2"/>
  <c r="A56" i="2" s="1"/>
  <c r="D60" i="2"/>
  <c r="E60" i="2" s="1"/>
  <c r="D61" i="2"/>
  <c r="E61" i="2" s="1"/>
  <c r="D59" i="2"/>
  <c r="E59" i="2" s="1"/>
  <c r="D64" i="2"/>
  <c r="E64" i="2" s="1"/>
  <c r="D62" i="2"/>
  <c r="E62" i="2" s="1"/>
  <c r="D65" i="2"/>
  <c r="E65" i="2" s="1"/>
  <c r="G58" i="2" l="1"/>
  <c r="E58" i="2"/>
  <c r="F56" i="2"/>
  <c r="C56" i="2"/>
  <c r="D57" i="2" s="1"/>
  <c r="E57" i="2" s="1"/>
  <c r="B55" i="2"/>
  <c r="A55" i="2" s="1"/>
  <c r="F55" i="2" l="1"/>
  <c r="C55" i="2"/>
  <c r="D56" i="2" s="1"/>
  <c r="B54" i="2"/>
  <c r="A54" i="2" s="1"/>
  <c r="E56" i="2" l="1"/>
  <c r="F54" i="2"/>
  <c r="C54" i="2"/>
  <c r="D55" i="2" s="1"/>
  <c r="B53" i="2"/>
  <c r="A53" i="2" s="1"/>
  <c r="E55" i="2" l="1"/>
  <c r="J55" i="2"/>
  <c r="F53" i="2"/>
  <c r="C53" i="2"/>
  <c r="D54" i="2" s="1"/>
  <c r="B52" i="2"/>
  <c r="A52" i="2" s="1"/>
  <c r="E54" i="2" l="1"/>
  <c r="F52" i="2"/>
  <c r="C52" i="2"/>
  <c r="D53" i="2" s="1"/>
  <c r="E53" i="2" s="1"/>
  <c r="B51" i="2"/>
  <c r="A51" i="2" s="1"/>
  <c r="F51" i="2" l="1"/>
  <c r="C51" i="2"/>
  <c r="D52" i="2" s="1"/>
  <c r="E52" i="2" s="1"/>
  <c r="B50" i="2"/>
  <c r="A50" i="2" s="1"/>
  <c r="F50" i="2" l="1"/>
  <c r="C50" i="2"/>
  <c r="D51" i="2" s="1"/>
  <c r="G51" i="2" s="1"/>
  <c r="H58" i="2" s="1"/>
  <c r="B49" i="2"/>
  <c r="A49" i="2" s="1"/>
  <c r="E51" i="2" l="1"/>
  <c r="I51" i="2"/>
  <c r="F49" i="2"/>
  <c r="C49" i="2"/>
  <c r="D50" i="2" s="1"/>
  <c r="E50" i="2" s="1"/>
  <c r="B48" i="2"/>
  <c r="A48" i="2" s="1"/>
  <c r="F48" i="2" l="1"/>
  <c r="C48" i="2"/>
  <c r="D49" i="2" s="1"/>
  <c r="E49" i="2" s="1"/>
  <c r="B47" i="2"/>
  <c r="A47" i="2" s="1"/>
  <c r="F47" i="2" l="1"/>
  <c r="C47" i="2"/>
  <c r="D48" i="2" s="1"/>
  <c r="B46" i="2"/>
  <c r="A46" i="2" s="1"/>
  <c r="E48" i="2" l="1"/>
  <c r="J48" i="2"/>
  <c r="K55" i="2" s="1"/>
  <c r="F46" i="2"/>
  <c r="C46" i="2"/>
  <c r="D47" i="2" s="1"/>
  <c r="E47" i="2" s="1"/>
  <c r="B45" i="2"/>
  <c r="A45" i="2" s="1"/>
  <c r="F45" i="2" l="1"/>
  <c r="C45" i="2"/>
  <c r="D46" i="2" s="1"/>
  <c r="E46" i="2" s="1"/>
  <c r="B44" i="2"/>
  <c r="A44" i="2" s="1"/>
  <c r="F44" i="2" l="1"/>
  <c r="C44" i="2"/>
  <c r="D45" i="2" s="1"/>
  <c r="E45" i="2" s="1"/>
  <c r="B43" i="2"/>
  <c r="A43" i="2" s="1"/>
  <c r="F43" i="2" l="1"/>
  <c r="C43" i="2"/>
  <c r="D44" i="2" s="1"/>
  <c r="G44" i="2" s="1"/>
  <c r="B42" i="2"/>
  <c r="A42" i="2" s="1"/>
  <c r="E44" i="2" l="1"/>
  <c r="F42" i="2"/>
  <c r="C42" i="2"/>
  <c r="D43" i="2" s="1"/>
  <c r="E43" i="2" s="1"/>
  <c r="B41" i="2"/>
  <c r="A41" i="2" s="1"/>
  <c r="H51" i="2" l="1"/>
  <c r="F41" i="2"/>
  <c r="C41" i="2"/>
  <c r="D42" i="2" s="1"/>
  <c r="E42" i="2" s="1"/>
  <c r="B40" i="2"/>
  <c r="A40" i="2" s="1"/>
  <c r="B39" i="2" l="1"/>
  <c r="A39" i="2" s="1"/>
  <c r="F40" i="2"/>
  <c r="C40" i="2"/>
  <c r="D41" i="2" s="1"/>
  <c r="E41" i="2" l="1"/>
  <c r="J41" i="2"/>
  <c r="K48" i="2" l="1"/>
  <c r="F39" i="2" l="1"/>
  <c r="B38" i="2"/>
  <c r="A38" i="2" s="1"/>
  <c r="C39" i="2"/>
  <c r="D40" i="2" s="1"/>
  <c r="E40" i="2" s="1"/>
  <c r="F38" i="2" l="1"/>
  <c r="B37" i="2"/>
  <c r="A37" i="2" s="1"/>
  <c r="C38" i="2"/>
  <c r="C37" i="2" l="1"/>
  <c r="B36" i="2"/>
  <c r="A36" i="2" s="1"/>
  <c r="F37" i="2"/>
  <c r="D39" i="2"/>
  <c r="E39" i="2" s="1"/>
  <c r="C36" i="2" l="1"/>
  <c r="D37" i="2" s="1"/>
  <c r="D38" i="2"/>
  <c r="E38" i="2" s="1"/>
  <c r="I37" i="2" l="1"/>
  <c r="E37" i="2"/>
  <c r="E35" i="2" s="1"/>
  <c r="P28" i="2" s="1"/>
  <c r="G37" i="2"/>
  <c r="H44" i="2" s="1"/>
  <c r="A32" i="2" l="1"/>
  <c r="A31" i="2"/>
</calcChain>
</file>

<file path=xl/sharedStrings.xml><?xml version="1.0" encoding="utf-8"?>
<sst xmlns="http://schemas.openxmlformats.org/spreadsheetml/2006/main" count="690" uniqueCount="361">
  <si>
    <t>Tapauksia</t>
  </si>
  <si>
    <t>date</t>
  </si>
  <si>
    <t>https://twitter.com/jussivirkkala</t>
  </si>
  <si>
    <t>https://github.com/HS-Datadesk/koronavirus-avoindata</t>
  </si>
  <si>
    <t>https://github.com/jussivirkkala/excel/</t>
  </si>
  <si>
    <t>Päivä</t>
  </si>
  <si>
    <t>Uusia</t>
  </si>
  <si>
    <t>aika</t>
  </si>
  <si>
    <t>Kaikki sairaanhoitopiirit</t>
  </si>
  <si>
    <t>alue</t>
  </si>
  <si>
    <t>Hakee HS datasta Korona tapaukset. Tietojen hakuun makrot ovat oltava sallittu. Makrot eivät toimi puhelimessa, iPad, Chromebook eikä Mac. Data vällehdellä on haettu data. Kellonajat UTC. Muilla välilehdellä on esimerkkejä tilastoista, visualisoinneista.</t>
  </si>
  <si>
    <t>2020-01-28T15:00:00.000Z</t>
  </si>
  <si>
    <t>2020-02-10T15:00:00.000Z</t>
  </si>
  <si>
    <t>2020-02-22T15:00:00.000Z</t>
  </si>
  <si>
    <t>2020-02-25T15:00:00.000Z</t>
  </si>
  <si>
    <t>2020-02-27T15:00:00.000Z</t>
  </si>
  <si>
    <t>2020-02-28T15:00:00.000Z</t>
  </si>
  <si>
    <t>2020-02-29T15:00:00.000Z</t>
  </si>
  <si>
    <t>2020-03-01T15:00:00.000Z</t>
  </si>
  <si>
    <t>2020-03-03T15:00:00.000Z</t>
  </si>
  <si>
    <t>2020-03-04T15:00:00.000Z</t>
  </si>
  <si>
    <t>2020-03-05T15:00:00.000Z</t>
  </si>
  <si>
    <t>2020-03-06T15:00:00.000Z</t>
  </si>
  <si>
    <t>2020-03-07T15:00:00.000Z</t>
  </si>
  <si>
    <t>2020-03-08T15:00:00.000Z</t>
  </si>
  <si>
    <t>2020-03-09T15:00:00.000Z</t>
  </si>
  <si>
    <t>2020-03-10T15:00:00.000Z</t>
  </si>
  <si>
    <t>2020-03-11T15:00:00.000Z</t>
  </si>
  <si>
    <t>2020-03-12T15:00:00.000Z</t>
  </si>
  <si>
    <t>2020-03-13T15:00:00.000Z</t>
  </si>
  <si>
    <t>2020-03-14T15:00:00.000Z</t>
  </si>
  <si>
    <t>2020-03-15T15:00:00.000Z</t>
  </si>
  <si>
    <t>2020-03-16T15:00:00.000Z</t>
  </si>
  <si>
    <t>2020-03-17T15:00:00.000Z</t>
  </si>
  <si>
    <t>2020-03-18T15:00:00.000Z</t>
  </si>
  <si>
    <t>2020-03-19T15:00:00.000Z</t>
  </si>
  <si>
    <t>2020-03-20T15:00:00.000Z</t>
  </si>
  <si>
    <t>2020-03-21T15:00:00.000Z</t>
  </si>
  <si>
    <t>2020-03-22T15:00:00.000Z</t>
  </si>
  <si>
    <t>2020-03-23T15:00:00.000Z</t>
  </si>
  <si>
    <t>2020-03-24T15:00:00.000Z</t>
  </si>
  <si>
    <t>2020-03-25T15:00:00.000Z</t>
  </si>
  <si>
    <t>2020-03-26T15:00:00.000Z</t>
  </si>
  <si>
    <t>2020-03-27T15:00:00.000Z</t>
  </si>
  <si>
    <t>2020-03-28T15:00:00.000Z</t>
  </si>
  <si>
    <t>2020-03-29T15:00:00.000Z</t>
  </si>
  <si>
    <t>2020-03-30T15:00:00.000Z</t>
  </si>
  <si>
    <t>2020-03-31T15:00:00.000Z</t>
  </si>
  <si>
    <t>2020-04-01T15:00:00.000Z</t>
  </si>
  <si>
    <t>2020-04-02T15:00:00.000Z</t>
  </si>
  <si>
    <t>2020-04-03T15:00:00.000Z</t>
  </si>
  <si>
    <t>2020-04-04T15:00:00.000Z</t>
  </si>
  <si>
    <t>2020-04-05T15:00:00.000Z</t>
  </si>
  <si>
    <t>2020-04-06T15:00:00.000Z</t>
  </si>
  <si>
    <t>2020-04-07T15:00:00.000Z</t>
  </si>
  <si>
    <t>2020-04-08T15:00:00.000Z</t>
  </si>
  <si>
    <t>2020-04-09T15:00:00.000Z</t>
  </si>
  <si>
    <t>2020-04-10T15:00:00.000Z</t>
  </si>
  <si>
    <t>2020-04-11T15:00:00.000Z</t>
  </si>
  <si>
    <t>2020-04-12T15:00:00.000Z</t>
  </si>
  <si>
    <t>2020-04-13T15:00:00.000Z</t>
  </si>
  <si>
    <t>2020-04-14T15:00:00.000Z</t>
  </si>
  <si>
    <t>2020-04-15T15:00:00.000Z</t>
  </si>
  <si>
    <t>2020-04-16T15:00:00.000Z</t>
  </si>
  <si>
    <t>2020-04-17T15:00:00.000Z</t>
  </si>
  <si>
    <t>2020-04-18T15:00:00.000Z</t>
  </si>
  <si>
    <t>2020-04-19T15:00:00.000Z</t>
  </si>
  <si>
    <t>2020-04-20T15:00:00.000Z</t>
  </si>
  <si>
    <t>2020-04-21T15:00:00.000Z</t>
  </si>
  <si>
    <t>2020-04-22T15:00:00.000Z</t>
  </si>
  <si>
    <t>2020-04-23T15:00:00.000Z</t>
  </si>
  <si>
    <t>2020-04-24T15:00:00.000Z</t>
  </si>
  <si>
    <t>2020-04-25T15:00:00.000Z</t>
  </si>
  <si>
    <t>2020-04-26T15:00:00.000Z</t>
  </si>
  <si>
    <t>2020-04-27T15:00:00.000Z</t>
  </si>
  <si>
    <t>2020-04-28T15:00:00.000Z</t>
  </si>
  <si>
    <t>2020-04-29T15:00:00.000Z</t>
  </si>
  <si>
    <t>2020-04-30T15:00:00.000Z</t>
  </si>
  <si>
    <t>2020-05-01T15:00:00.000Z</t>
  </si>
  <si>
    <t>2020-05-02T15:00:00.000Z</t>
  </si>
  <si>
    <t>2020-05-03T15:00:00.000Z</t>
  </si>
  <si>
    <t>2020-05-04T15:00:00.000Z</t>
  </si>
  <si>
    <t>2020-05-05T15:00:00.000Z</t>
  </si>
  <si>
    <t>2020-05-06T15:00:00.000Z</t>
  </si>
  <si>
    <t>2020-05-07T15:00:00.000Z</t>
  </si>
  <si>
    <t>2020-05-08T15:00:00.000Z</t>
  </si>
  <si>
    <t>2020-05-09T15:00:00.000Z</t>
  </si>
  <si>
    <t>2020-05-10T15:00:00.000Z</t>
  </si>
  <si>
    <t>2020-05-11T15:00:00.000Z</t>
  </si>
  <si>
    <t>2020-05-12T15:00:00.000Z</t>
  </si>
  <si>
    <t>2020-05-13T15:00:00.000Z</t>
  </si>
  <si>
    <t>2020-05-14T15:00:00.000Z</t>
  </si>
  <si>
    <t>2020-05-15T15:00:00.000Z</t>
  </si>
  <si>
    <t>2020-05-16T15:00:00.000Z</t>
  </si>
  <si>
    <t>2020-05-17T15:00:00.000Z</t>
  </si>
  <si>
    <t>2020-05-18T15:00:00.000Z</t>
  </si>
  <si>
    <t>2020-05-19T15:00:00.000Z</t>
  </si>
  <si>
    <t>2020-05-20T15:00:00.000Z</t>
  </si>
  <si>
    <t>2020-05-21T15:00:00.000Z</t>
  </si>
  <si>
    <t>2020-05-22T15:00:00.000Z</t>
  </si>
  <si>
    <t>2020-05-23T15:00:00.000Z</t>
  </si>
  <si>
    <t>2020-05-24T15:00:00.000Z</t>
  </si>
  <si>
    <t>2020-05-25T15:00:00.000Z</t>
  </si>
  <si>
    <t>2020-05-26T15:00:00.000Z</t>
  </si>
  <si>
    <t>2020-05-27T15:00:00.000Z</t>
  </si>
  <si>
    <t>2020-05-28T15:00:00.000Z</t>
  </si>
  <si>
    <t>2020-05-29T15:00:00.000Z</t>
  </si>
  <si>
    <t>2020-05-30T15:00:00.000Z</t>
  </si>
  <si>
    <t>2020-05-31T15:00:00.000Z</t>
  </si>
  <si>
    <t>2020-06-01T15:00:00.000Z</t>
  </si>
  <si>
    <t>2020-06-02T15:00:00.000Z</t>
  </si>
  <si>
    <t>2020-06-03T15:00:00.000Z</t>
  </si>
  <si>
    <t>2020-06-04T15:00:00.000Z</t>
  </si>
  <si>
    <t>2020-06-05T15:00:00.000Z</t>
  </si>
  <si>
    <t>2020-06-06T15:00:00.000Z</t>
  </si>
  <si>
    <t>2020-06-07T15:00:00.000Z</t>
  </si>
  <si>
    <t>2020-06-08T15:00:00.000Z</t>
  </si>
  <si>
    <t>2020-06-09T15:00:00.000Z</t>
  </si>
  <si>
    <t>2020-06-10T15:00:00.000Z</t>
  </si>
  <si>
    <t>2020-06-11T15:00:00.000Z</t>
  </si>
  <si>
    <t>2020-06-12T15:00:00.000Z</t>
  </si>
  <si>
    <t>2020-06-13T15:00:00.000Z</t>
  </si>
  <si>
    <t>2020-06-14T15:00:00.000Z</t>
  </si>
  <si>
    <t>2020-06-15T15:00:00.000Z</t>
  </si>
  <si>
    <t>2020-06-16T15:00:00.000Z</t>
  </si>
  <si>
    <t>2020-06-17T15:00:00.000Z</t>
  </si>
  <si>
    <t>2020-06-18T15:00:00.000Z</t>
  </si>
  <si>
    <t>2020-06-20T15:00:00.000Z</t>
  </si>
  <si>
    <t>2020-06-21T15:00:00.000Z</t>
  </si>
  <si>
    <t>2020-06-22T15:00:00.000Z</t>
  </si>
  <si>
    <t>2020-06-23T15:00:00.000Z</t>
  </si>
  <si>
    <t>2020-06-24T15:00:00.000Z</t>
  </si>
  <si>
    <t>2020-06-25T15:00:00.000Z</t>
  </si>
  <si>
    <t>2020-06-26T15:00:00.000Z</t>
  </si>
  <si>
    <t>2020-06-27T15:00:00.000Z</t>
  </si>
  <si>
    <t>2020-06-28T15:00:00.000Z</t>
  </si>
  <si>
    <t>2020-06-29T15:00:00.000Z</t>
  </si>
  <si>
    <t>2020-06-30T15:00:00.000Z</t>
  </si>
  <si>
    <t>2020-07-01T15:00:00.000Z</t>
  </si>
  <si>
    <t>2020-07-02T15:00:00.000Z</t>
  </si>
  <si>
    <t>2020-07-03T15:00:00.000Z</t>
  </si>
  <si>
    <t>2020-07-04T15:00:00.000Z</t>
  </si>
  <si>
    <t>2020-07-05T15:00:00.000Z</t>
  </si>
  <si>
    <t>2020-07-06T15:00:00.000Z</t>
  </si>
  <si>
    <t>2020-07-07T15:00:00.000Z</t>
  </si>
  <si>
    <t>2020-07-08T15:00:00.000Z</t>
  </si>
  <si>
    <t>2020-07-09T15:00:00.000Z</t>
  </si>
  <si>
    <t>2020-07-10T15:00:00.000Z</t>
  </si>
  <si>
    <t>2020-07-12T15:00:00.000Z</t>
  </si>
  <si>
    <t>2020-07-13T15:00:00.000Z</t>
  </si>
  <si>
    <t>2020-07-14T15:00:00.000Z</t>
  </si>
  <si>
    <t>2020-07-15T15:00:00.000Z</t>
  </si>
  <si>
    <t>2020-07-16T15:00:00.000Z</t>
  </si>
  <si>
    <t>2020-07-17T15:00:00.000Z</t>
  </si>
  <si>
    <t>2020-07-18T15:00:00.000Z</t>
  </si>
  <si>
    <t>2020-07-19T15:00:00.000Z</t>
  </si>
  <si>
    <t>2020-07-20T15:00:00.000Z</t>
  </si>
  <si>
    <t>2020-07-21T15:00:00.000Z</t>
  </si>
  <si>
    <t>2020-07-22T15:00:00.000Z</t>
  </si>
  <si>
    <t>2020-07-23T15:00:00.000Z</t>
  </si>
  <si>
    <t>2020-07-24T15:00:00.000Z</t>
  </si>
  <si>
    <t>2020-07-25T15:00:00.000Z</t>
  </si>
  <si>
    <t>2020-07-26T15:00:00.000Z</t>
  </si>
  <si>
    <t>2020-07-27T15:00:00.000Z</t>
  </si>
  <si>
    <t>2020-07-28T15:00:00.000Z</t>
  </si>
  <si>
    <t>2020-07-29T15:00:00.000Z</t>
  </si>
  <si>
    <t>2020-07-30T15:00:00.000Z</t>
  </si>
  <si>
    <t>2020-07-31T15:00:00.000Z</t>
  </si>
  <si>
    <t>2020-08-01T15:00:00.000Z</t>
  </si>
  <si>
    <t>2020-08-02T15:00:00.000Z</t>
  </si>
  <si>
    <t>2020-08-03T15:00:00.000Z</t>
  </si>
  <si>
    <t>2020-08-04T15:00:00.000Z</t>
  </si>
  <si>
    <t>2020-08-05T15:00:00.000Z</t>
  </si>
  <si>
    <t>2020-08-06T15:00:00.000Z</t>
  </si>
  <si>
    <t>2020-08-07T15:00:00.000Z</t>
  </si>
  <si>
    <t>2020-08-08T15:00:00.000Z</t>
  </si>
  <si>
    <t>2020-08-09T15:00:00.000Z</t>
  </si>
  <si>
    <t>2020-08-10T15:00:00.000Z</t>
  </si>
  <si>
    <t>2020-08-11T15:00:00.000Z</t>
  </si>
  <si>
    <t>2020-08-12T15:00:00.000Z</t>
  </si>
  <si>
    <t>2020-08-13T15:00:00.000Z</t>
  </si>
  <si>
    <t>2020-08-14T15:00:00.000Z</t>
  </si>
  <si>
    <t>2020-08-15T15:00:00.000Z</t>
  </si>
  <si>
    <t>2020-08-16T15:00:00.000Z</t>
  </si>
  <si>
    <t>2020-08-17T15:00:00.000Z</t>
  </si>
  <si>
    <t>2020-08-18T15:00:00.000Z</t>
  </si>
  <si>
    <t>2020-08-19T15:00:00.000Z</t>
  </si>
  <si>
    <t>2020-08-20T15:00:00.000Z</t>
  </si>
  <si>
    <t>2020-08-21T15:00:00.000Z</t>
  </si>
  <si>
    <t>2020-08-22T15:00:00.000Z</t>
  </si>
  <si>
    <t>2020-08-23T15:00:00.000Z</t>
  </si>
  <si>
    <t>2020-08-24T15:00:00.000Z</t>
  </si>
  <si>
    <t>2020-08-25T15:00:00.000Z</t>
  </si>
  <si>
    <t>2020-08-26T15:00:00.000Z</t>
  </si>
  <si>
    <t>2020-08-27T15:00:00.000Z</t>
  </si>
  <si>
    <t>2020-08-28T15:00:00.000Z</t>
  </si>
  <si>
    <t>2020-08-29T15:00:00.000Z</t>
  </si>
  <si>
    <t>2020-08-30T15:00:00.000Z</t>
  </si>
  <si>
    <t>2020-08-31T15:00:00.000Z</t>
  </si>
  <si>
    <t>2020-09-01T15:00:00.000Z</t>
  </si>
  <si>
    <t>2020-09-02T15:00:00.000Z</t>
  </si>
  <si>
    <t>2020-09-03T15:00:00.000Z</t>
  </si>
  <si>
    <t>2020-09-04T15:00:00.000Z</t>
  </si>
  <si>
    <t>2020-09-05T15:00:00.000Z</t>
  </si>
  <si>
    <t>2020-09-06T15:00:00.000Z</t>
  </si>
  <si>
    <t>2020-09-07T15:00:00.000Z</t>
  </si>
  <si>
    <t>2020-09-08T15:00:00.000Z</t>
  </si>
  <si>
    <t>2020-09-09T15:00:00.000Z</t>
  </si>
  <si>
    <t>2020-09-10T15:00:00.000Z</t>
  </si>
  <si>
    <t>2020-09-11T15:00:00.000Z</t>
  </si>
  <si>
    <t>2020-09-12T15:00:00.000Z</t>
  </si>
  <si>
    <t>2020-09-13T15:00:00.000Z</t>
  </si>
  <si>
    <t>2020-09-14T15:00:00.000Z</t>
  </si>
  <si>
    <t>2020-09-15T15:00:00.000Z</t>
  </si>
  <si>
    <t>2020-09-16T15:00:00.000Z</t>
  </si>
  <si>
    <t>2020-09-17T15:00:00.000Z</t>
  </si>
  <si>
    <t>2020-09-18T15:00:00.000Z</t>
  </si>
  <si>
    <t>2020-09-19T15:00:00.000Z</t>
  </si>
  <si>
    <t>2020-09-20T15:00:00.000Z</t>
  </si>
  <si>
    <t>2020-09-21T15:00:00.000Z</t>
  </si>
  <si>
    <t>2020-09-22T15:00:00.000Z</t>
  </si>
  <si>
    <t>2020-09-23T15:00:00.000Z</t>
  </si>
  <si>
    <t>2020-09-24T15:00:00.000Z</t>
  </si>
  <si>
    <t>2020-09-25T15:00:00.000Z</t>
  </si>
  <si>
    <t>2020-09-26T15:00:00.000Z</t>
  </si>
  <si>
    <t>2020-09-27T15:00:00.000Z</t>
  </si>
  <si>
    <t>2020-09-28T15:00:00.000Z</t>
  </si>
  <si>
    <t>2020-09-29T15:00:00.000Z</t>
  </si>
  <si>
    <t>Vanhat</t>
  </si>
  <si>
    <t>2020-09-30T15:00:00.000Z</t>
  </si>
  <si>
    <t>Data välilehdellä sarakkeet A-F riviltä 2 lähtien päivitetään. Data välilehdellä oltava Tapauksia muuttuja counta(a:a)</t>
  </si>
  <si>
    <t>2020-10-01T15:00:00.000Z</t>
  </si>
  <si>
    <t>2020-10-02T15:00:00.000Z</t>
  </si>
  <si>
    <t>https://w3qa5ydb4l.execute-api.eu-west-1.amazonaws.com/prod/processedThlData</t>
  </si>
  <si>
    <t>2020-10-03T15:00:00.000Z</t>
  </si>
  <si>
    <t>2020-01-01T15:00:00.000Z</t>
  </si>
  <si>
    <t>2020-01-02T15:00:00.000Z</t>
  </si>
  <si>
    <t>2020-01-03T15:00:00.000Z</t>
  </si>
  <si>
    <t>2020-01-04T15:00:00.000Z</t>
  </si>
  <si>
    <t>2020-01-05T15:00:00.000Z</t>
  </si>
  <si>
    <t>2020-01-06T15:00:00.000Z</t>
  </si>
  <si>
    <t>2020-01-07T15:00:00.000Z</t>
  </si>
  <si>
    <t>2020-01-08T15:00:00.000Z</t>
  </si>
  <si>
    <t>2020-01-09T15:00:00.000Z</t>
  </si>
  <si>
    <t>2020-01-10T15:00:00.000Z</t>
  </si>
  <si>
    <t>2020-01-11T15:00:00.000Z</t>
  </si>
  <si>
    <t>2020-01-12T15:00:00.000Z</t>
  </si>
  <si>
    <t>2020-01-13T15:00:00.000Z</t>
  </si>
  <si>
    <t>2020-01-14T15:00:00.000Z</t>
  </si>
  <si>
    <t>2020-01-15T15:00:00.000Z</t>
  </si>
  <si>
    <t>2020-01-16T15:00:00.000Z</t>
  </si>
  <si>
    <t>2020-01-17T15:00:00.000Z</t>
  </si>
  <si>
    <t>2020-01-18T15:00:00.000Z</t>
  </si>
  <si>
    <t>2020-01-19T15:00:00.000Z</t>
  </si>
  <si>
    <t>2020-01-20T15:00:00.000Z</t>
  </si>
  <si>
    <t>2020-01-21T15:00:00.000Z</t>
  </si>
  <si>
    <t>2020-01-22T15:00:00.000Z</t>
  </si>
  <si>
    <t>2020-01-23T15:00:00.000Z</t>
  </si>
  <si>
    <t>2020-01-24T15:00:00.000Z</t>
  </si>
  <si>
    <t>2020-01-25T15:00:00.000Z</t>
  </si>
  <si>
    <t>2020-01-26T15:00:00.000Z</t>
  </si>
  <si>
    <t>2020-01-27T15:00:00.000Z</t>
  </si>
  <si>
    <t>2020-01-29T15:00:00.000Z</t>
  </si>
  <si>
    <t>2020-01-30T15:00:00.000Z</t>
  </si>
  <si>
    <t>2020-01-31T15:00:00.000Z</t>
  </si>
  <si>
    <t>2020-02-01T15:00:00.000Z</t>
  </si>
  <si>
    <t>2020-02-02T15:00:00.000Z</t>
  </si>
  <si>
    <t>2020-02-03T15:00:00.000Z</t>
  </si>
  <si>
    <t>2020-02-04T15:00:00.000Z</t>
  </si>
  <si>
    <t>2020-02-05T15:00:00.000Z</t>
  </si>
  <si>
    <t>2020-02-06T15:00:00.000Z</t>
  </si>
  <si>
    <t>2020-02-07T15:00:00.000Z</t>
  </si>
  <si>
    <t>2020-02-08T15:00:00.000Z</t>
  </si>
  <si>
    <t>2020-02-09T15:00:00.000Z</t>
  </si>
  <si>
    <t>2020-02-11T15:00:00.000Z</t>
  </si>
  <si>
    <t>2020-02-12T15:00:00.000Z</t>
  </si>
  <si>
    <t>2020-02-13T15:00:00.000Z</t>
  </si>
  <si>
    <t>2020-02-14T15:00:00.000Z</t>
  </si>
  <si>
    <t>2020-02-15T15:00:00.000Z</t>
  </si>
  <si>
    <t>2020-02-16T15:00:00.000Z</t>
  </si>
  <si>
    <t>2020-02-17T15:00:00.000Z</t>
  </si>
  <si>
    <t>2020-02-18T15:00:00.000Z</t>
  </si>
  <si>
    <t>2020-02-19T15:00:00.000Z</t>
  </si>
  <si>
    <t>2020-02-20T15:00:00.000Z</t>
  </si>
  <si>
    <t>2020-02-21T15:00:00.000Z</t>
  </si>
  <si>
    <t>2020-02-23T15:00:00.000Z</t>
  </si>
  <si>
    <t>2020-02-24T15:00:00.000Z</t>
  </si>
  <si>
    <t>2020-02-26T15:00:00.000Z</t>
  </si>
  <si>
    <t>2020-03-02T15:00:00.000Z</t>
  </si>
  <si>
    <t>2020-06-19T15:00:00.000Z</t>
  </si>
  <si>
    <t>2020-07-11T15:00:00.000Z</t>
  </si>
  <si>
    <t>n</t>
  </si>
  <si>
    <t>.</t>
  </si>
  <si>
    <t>2020-10-04T15:00:00.000Z</t>
  </si>
  <si>
    <t>2020-10-05T15:00:00.000Z</t>
  </si>
  <si>
    <t>2020-10-06T15:00:00.000Z</t>
  </si>
  <si>
    <t>2020-10-07T15:00:00.000Z</t>
  </si>
  <si>
    <t>2020-10-08T15:00:00.000Z</t>
  </si>
  <si>
    <t>2020-10-09T15:00:00.000Z</t>
  </si>
  <si>
    <t>Weekday</t>
  </si>
  <si>
    <t>Sum</t>
  </si>
  <si>
    <t>WeekdayMo1</t>
  </si>
  <si>
    <t>Monday</t>
  </si>
  <si>
    <t>Tuesday</t>
  </si>
  <si>
    <t>Wednesday</t>
  </si>
  <si>
    <t>Thrusday</t>
  </si>
  <si>
    <t>Friday</t>
  </si>
  <si>
    <t>Saturday</t>
  </si>
  <si>
    <t>Sunday</t>
  </si>
  <si>
    <t>Lisäys</t>
  </si>
  <si>
    <t>2020-10-10T15:00:00.000Z</t>
  </si>
  <si>
    <t>2020-10-11T15:00:00.000Z</t>
  </si>
  <si>
    <t>Previous</t>
  </si>
  <si>
    <t>Current</t>
  </si>
  <si>
    <t>Earliest</t>
  </si>
  <si>
    <t>2020-10-12T15:00:00.000Z</t>
  </si>
  <si>
    <t>2020-10-13T15:00:00.000Z</t>
  </si>
  <si>
    <t>2020-10-14T15:00:00.000Z</t>
  </si>
  <si>
    <t>2020-10-15T15:00:00.000Z</t>
  </si>
  <si>
    <t>2020-10-16T15:00:00.000Z</t>
  </si>
  <si>
    <t>2020-10-17T15:00:00.000Z</t>
  </si>
  <si>
    <t>2020-10-18T15:00:00.000Z</t>
  </si>
  <si>
    <t>2020-10-19T15:00:00.000Z</t>
  </si>
  <si>
    <t>2020-10-20T15:00:00.000Z</t>
  </si>
  <si>
    <t>2020-10-21T15:00:00.000Z</t>
  </si>
  <si>
    <t>2020-10-22T15:00:00.000Z</t>
  </si>
  <si>
    <t>2020-10-23T15:00:00.000Z</t>
  </si>
  <si>
    <t>2020-10-24T15:00:00.000Z</t>
  </si>
  <si>
    <t>2020-10-25T15:00:00.000Z</t>
  </si>
  <si>
    <t>Lisäykset</t>
  </si>
  <si>
    <t>2020-10-26T15:00:00.000Z</t>
  </si>
  <si>
    <t>2020-10-27T15:00:00.000Z</t>
  </si>
  <si>
    <t>2020-10-28T15:00:00.000Z</t>
  </si>
  <si>
    <t>2020-10-29T15:00:00.000Z</t>
  </si>
  <si>
    <t>2020-10-30T15:00:00.000Z</t>
  </si>
  <si>
    <t>2020-10-31T15:00:00.000Z</t>
  </si>
  <si>
    <t>2020-11-01T15:00:00.000Z</t>
  </si>
  <si>
    <t>2020-11-02T15:00:00.000Z</t>
  </si>
  <si>
    <t>2020-11-03T15:00:00.000Z</t>
  </si>
  <si>
    <t>2020-11-04T15:00:00.000Z</t>
  </si>
  <si>
    <t>2020-11-05T15:00:00.000Z</t>
  </si>
  <si>
    <t>2020-11-06T15:00:00.000Z</t>
  </si>
  <si>
    <t>2020-11-07T15:00:00.000Z</t>
  </si>
  <si>
    <t>2020-11-08T15:00:00.000Z</t>
  </si>
  <si>
    <t>2020-11-09T15:00:00.000Z</t>
  </si>
  <si>
    <t>2020-11-10T15:00:00.000Z</t>
  </si>
  <si>
    <t>2020-11-11T15:00:00.000Z</t>
  </si>
  <si>
    <t>2020-11-12T15:00:00.000Z</t>
  </si>
  <si>
    <t>2020-11-13T15:00:00.000Z</t>
  </si>
  <si>
    <t>2020-11-14T15:00:00.000Z</t>
  </si>
  <si>
    <t>2020-11-15T15:00:00.000Z</t>
  </si>
  <si>
    <t>2020-11-16T15:00:00.000Z</t>
  </si>
  <si>
    <t>2020-11-17T15:00:00.000Z</t>
  </si>
  <si>
    <t>2020-11-18T15:00:00.000Z</t>
  </si>
  <si>
    <t>2020-11-19T15:00:00.000Z</t>
  </si>
  <si>
    <t>2020-11-20T15:00:00.000Z</t>
  </si>
  <si>
    <t>Sum7</t>
  </si>
  <si>
    <t>Sum14</t>
  </si>
  <si>
    <t>2020-11-21T15:00:00.000Z</t>
  </si>
  <si>
    <t>2020-11-22T15:00:00.000Z</t>
  </si>
  <si>
    <t>2020-11-23T10:05:46.428Z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</si>
</sst>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yyyy;@"/>
    <numFmt numFmtId="165" formatCode="d/m\ hh:mm"/>
    <numFmt numFmtId="166" formatCode="d/m/;@"/>
  </numFmts>
  <fonts count="5">
    <font>
      <sz val="11"/>
      <color theme="1"/>
      <name val="Calibri"/>
      <family val="2"/>
      <scheme val="minor"/>
    </font>
    <font>
      <sz val="10"/>
      <color rgb="FF000000"/>
      <name val="Arial Unicode MS"/>
    </font>
    <font>
      <u/>
      <sz val="11"/>
      <color theme="10"/>
      <name val="Calibri"/>
      <family val="2"/>
      <scheme val="minor"/>
    </font>
    <font>
      <sz val="11"/>
      <color rgb="FF000000"/>
      <name val="Calibri"/>
      <family val="2"/>
    </font>
    <font>
      <b/>
      <sz val="11"/>
      <color theme="1"/>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2" fillId="0" borderId="0" applyNumberFormat="0" applyFill="0" applyBorder="0" applyAlignment="0" applyProtection="0"/>
  </cellStyleXfs>
  <cellXfs count="22">
    <xf numFmtId="0" fontId="0" fillId="0" borderId="0" xfId="0"/>
    <xf numFmtId="0" fontId="1" fillId="0" borderId="0" xfId="0" applyFont="1" applyAlignment="1">
      <alignment vertical="center"/>
    </xf>
    <xf numFmtId="0" fontId="2" fillId="0" borderId="0" xfId="1"/>
    <xf numFmtId="0" fontId="0" fillId="0" borderId="0" xfId="0" applyNumberFormat="1"/>
    <xf numFmtId="164" fontId="0" fillId="0" borderId="0" xfId="0" applyNumberFormat="1"/>
    <xf numFmtId="165" fontId="0" fillId="0" borderId="0" xfId="0" applyNumberFormat="1"/>
    <xf numFmtId="165" fontId="1" fillId="0" borderId="0" xfId="0" applyNumberFormat="1" applyFont="1" applyAlignment="1">
      <alignment vertical="center"/>
    </xf>
    <xf numFmtId="0" fontId="0" fillId="0" borderId="0" xfId="0" applyAlignment="1">
      <alignment vertical="center"/>
    </xf>
    <xf numFmtId="22" fontId="0" fillId="0" borderId="0" xfId="0" applyNumberFormat="1" applyAlignment="1">
      <alignment vertical="center"/>
    </xf>
    <xf numFmtId="164" fontId="4" fillId="0" borderId="0" xfId="0" applyNumberFormat="1" applyFont="1"/>
    <xf numFmtId="0" fontId="4" fillId="0" borderId="0" xfId="0" applyFont="1"/>
    <xf numFmtId="0" fontId="0" fillId="0" borderId="0" xfId="0" applyFont="1"/>
    <xf numFmtId="164" fontId="0" fillId="0" borderId="0" xfId="0" applyNumberFormat="1" applyFont="1"/>
    <xf numFmtId="14" fontId="0" fillId="0" borderId="0" xfId="0" applyNumberFormat="1"/>
    <xf numFmtId="0" fontId="4" fillId="0" borderId="0" xfId="0" applyNumberFormat="1" applyFont="1"/>
    <xf numFmtId="164" fontId="0" fillId="0" borderId="0" xfId="0" applyNumberFormat="1" applyAlignment="1">
      <alignment vertical="center"/>
    </xf>
    <xf numFmtId="166" fontId="0" fillId="0" borderId="0" xfId="0" applyNumberFormat="1"/>
    <xf numFmtId="166" fontId="4" fillId="0" borderId="0" xfId="0" applyNumberFormat="1" applyFont="1"/>
    <xf numFmtId="165" fontId="4" fillId="0" borderId="0" xfId="0" applyNumberFormat="1" applyFont="1"/>
    <xf numFmtId="1" fontId="4" fillId="0" borderId="0" xfId="0" applyNumberFormat="1" applyFont="1"/>
    <xf numFmtId="0" fontId="0" fillId="0" borderId="0" xfId="0" applyAlignment="1">
      <alignment horizontal="left" vertical="top" wrapText="1"/>
    </xf>
    <xf numFmtId="0" fontId="0" fillId="0" borderId="0" xfId="0" applyAlignment="1">
      <alignment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Data!$L$1</c:f>
          <c:strCache>
            <c:ptCount val="1"/>
            <c:pt idx="0">
              <c:v>Päivittäisiä Korona tapauksia vuoden 2020 alusta lähtien 19.11 saakka. Suurin arvo 471, joka 19.11. Uusimpien 4 päivien arvot tulevat viiveellä, joten ne jätetty pois kuvaajasta 23.11.</c:v>
            </c:pt>
          </c:strCache>
        </c:strRef>
      </c:tx>
      <c:layout>
        <c:manualLayout>
          <c:xMode val="edge"/>
          <c:yMode val="edge"/>
          <c:x val="0.14700553994502313"/>
          <c:y val="3.093068482241037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none"/>
          </c:marker>
          <c:cat>
            <c:strRef>
              <c:f>[0]!X</c:f>
              <c:strCache>
                <c:ptCount val="321"/>
                <c:pt idx="5">
                  <c:v>W2</c:v>
                </c:pt>
                <c:pt idx="12">
                  <c:v>W3</c:v>
                </c:pt>
                <c:pt idx="19">
                  <c:v>W4</c:v>
                </c:pt>
                <c:pt idx="26">
                  <c:v>W5</c:v>
                </c:pt>
                <c:pt idx="33">
                  <c:v>W6</c:v>
                </c:pt>
                <c:pt idx="40">
                  <c:v>W7</c:v>
                </c:pt>
                <c:pt idx="47">
                  <c:v>W8</c:v>
                </c:pt>
                <c:pt idx="54">
                  <c:v>W9</c:v>
                </c:pt>
                <c:pt idx="61">
                  <c:v>W10</c:v>
                </c:pt>
                <c:pt idx="68">
                  <c:v>W11</c:v>
                </c:pt>
                <c:pt idx="75">
                  <c:v>W12</c:v>
                </c:pt>
                <c:pt idx="82">
                  <c:v>W13</c:v>
                </c:pt>
                <c:pt idx="89">
                  <c:v>W14</c:v>
                </c:pt>
                <c:pt idx="96">
                  <c:v>W15</c:v>
                </c:pt>
                <c:pt idx="103">
                  <c:v>W16</c:v>
                </c:pt>
                <c:pt idx="110">
                  <c:v>W17</c:v>
                </c:pt>
                <c:pt idx="117">
                  <c:v>W18</c:v>
                </c:pt>
                <c:pt idx="124">
                  <c:v>W19</c:v>
                </c:pt>
                <c:pt idx="131">
                  <c:v>W20</c:v>
                </c:pt>
                <c:pt idx="138">
                  <c:v>W21</c:v>
                </c:pt>
                <c:pt idx="145">
                  <c:v>W22</c:v>
                </c:pt>
                <c:pt idx="152">
                  <c:v>W23</c:v>
                </c:pt>
                <c:pt idx="159">
                  <c:v>W24</c:v>
                </c:pt>
                <c:pt idx="166">
                  <c:v>W25</c:v>
                </c:pt>
                <c:pt idx="173">
                  <c:v>W26</c:v>
                </c:pt>
                <c:pt idx="180">
                  <c:v>W27</c:v>
                </c:pt>
                <c:pt idx="187">
                  <c:v>W28</c:v>
                </c:pt>
                <c:pt idx="194">
                  <c:v>W29</c:v>
                </c:pt>
                <c:pt idx="201">
                  <c:v>W30</c:v>
                </c:pt>
                <c:pt idx="208">
                  <c:v>W31</c:v>
                </c:pt>
                <c:pt idx="215">
                  <c:v>W32</c:v>
                </c:pt>
                <c:pt idx="222">
                  <c:v>W33</c:v>
                </c:pt>
                <c:pt idx="229">
                  <c:v>W34</c:v>
                </c:pt>
                <c:pt idx="236">
                  <c:v>W35</c:v>
                </c:pt>
                <c:pt idx="243">
                  <c:v>W36</c:v>
                </c:pt>
                <c:pt idx="250">
                  <c:v>W37</c:v>
                </c:pt>
                <c:pt idx="257">
                  <c:v>W38</c:v>
                </c:pt>
                <c:pt idx="264">
                  <c:v>W39</c:v>
                </c:pt>
                <c:pt idx="271">
                  <c:v>W40</c:v>
                </c:pt>
                <c:pt idx="278">
                  <c:v>W41</c:v>
                </c:pt>
                <c:pt idx="285">
                  <c:v>W42</c:v>
                </c:pt>
                <c:pt idx="292">
                  <c:v>W43</c:v>
                </c:pt>
                <c:pt idx="299">
                  <c:v>W44</c:v>
                </c:pt>
                <c:pt idx="306">
                  <c:v>W45</c:v>
                </c:pt>
                <c:pt idx="313">
                  <c:v>W46</c:v>
                </c:pt>
                <c:pt idx="320">
                  <c:v>W47</c:v>
                </c:pt>
              </c:strCache>
            </c:strRef>
          </c:cat>
          <c:val>
            <c:numRef>
              <c:f>[0]!Plot</c:f>
              <c:numCache>
                <c:formatCode>General</c:formatCode>
                <c:ptCount val="32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c:v>
                </c:pt>
                <c:pt idx="20">
                  <c:v>0</c:v>
                </c:pt>
                <c:pt idx="21">
                  <c:v>0</c:v>
                </c:pt>
                <c:pt idx="22">
                  <c:v>0</c:v>
                </c:pt>
                <c:pt idx="23">
                  <c:v>0</c:v>
                </c:pt>
                <c:pt idx="24">
                  <c:v>0</c:v>
                </c:pt>
                <c:pt idx="25">
                  <c:v>0</c:v>
                </c:pt>
                <c:pt idx="26">
                  <c:v>0</c:v>
                </c:pt>
                <c:pt idx="27">
                  <c:v>1</c:v>
                </c:pt>
                <c:pt idx="28">
                  <c:v>0</c:v>
                </c:pt>
                <c:pt idx="29">
                  <c:v>0</c:v>
                </c:pt>
                <c:pt idx="30">
                  <c:v>0</c:v>
                </c:pt>
                <c:pt idx="31">
                  <c:v>0</c:v>
                </c:pt>
                <c:pt idx="32">
                  <c:v>0</c:v>
                </c:pt>
                <c:pt idx="33">
                  <c:v>0</c:v>
                </c:pt>
                <c:pt idx="34">
                  <c:v>0</c:v>
                </c:pt>
                <c:pt idx="35">
                  <c:v>0</c:v>
                </c:pt>
                <c:pt idx="36">
                  <c:v>0</c:v>
                </c:pt>
                <c:pt idx="37">
                  <c:v>0</c:v>
                </c:pt>
                <c:pt idx="38">
                  <c:v>0</c:v>
                </c:pt>
                <c:pt idx="39">
                  <c:v>0</c:v>
                </c:pt>
                <c:pt idx="40">
                  <c:v>1</c:v>
                </c:pt>
                <c:pt idx="41">
                  <c:v>0</c:v>
                </c:pt>
                <c:pt idx="42">
                  <c:v>0</c:v>
                </c:pt>
                <c:pt idx="43">
                  <c:v>0</c:v>
                </c:pt>
                <c:pt idx="44">
                  <c:v>0</c:v>
                </c:pt>
                <c:pt idx="45">
                  <c:v>0</c:v>
                </c:pt>
                <c:pt idx="46">
                  <c:v>0</c:v>
                </c:pt>
                <c:pt idx="47">
                  <c:v>0</c:v>
                </c:pt>
                <c:pt idx="48">
                  <c:v>0</c:v>
                </c:pt>
                <c:pt idx="49">
                  <c:v>0</c:v>
                </c:pt>
                <c:pt idx="50">
                  <c:v>0</c:v>
                </c:pt>
                <c:pt idx="51">
                  <c:v>0</c:v>
                </c:pt>
                <c:pt idx="52">
                  <c:v>1</c:v>
                </c:pt>
                <c:pt idx="53">
                  <c:v>0</c:v>
                </c:pt>
                <c:pt idx="54">
                  <c:v>0</c:v>
                </c:pt>
                <c:pt idx="55">
                  <c:v>1</c:v>
                </c:pt>
                <c:pt idx="56">
                  <c:v>0</c:v>
                </c:pt>
                <c:pt idx="57">
                  <c:v>1</c:v>
                </c:pt>
                <c:pt idx="58">
                  <c:v>3</c:v>
                </c:pt>
                <c:pt idx="59">
                  <c:v>1</c:v>
                </c:pt>
                <c:pt idx="60">
                  <c:v>1</c:v>
                </c:pt>
                <c:pt idx="61">
                  <c:v>0</c:v>
                </c:pt>
                <c:pt idx="62">
                  <c:v>4</c:v>
                </c:pt>
                <c:pt idx="63">
                  <c:v>6</c:v>
                </c:pt>
                <c:pt idx="64">
                  <c:v>1</c:v>
                </c:pt>
                <c:pt idx="65">
                  <c:v>7</c:v>
                </c:pt>
                <c:pt idx="66">
                  <c:v>7</c:v>
                </c:pt>
                <c:pt idx="67">
                  <c:v>9</c:v>
                </c:pt>
                <c:pt idx="68">
                  <c:v>17</c:v>
                </c:pt>
                <c:pt idx="69">
                  <c:v>54</c:v>
                </c:pt>
                <c:pt idx="70">
                  <c:v>76</c:v>
                </c:pt>
                <c:pt idx="71">
                  <c:v>61</c:v>
                </c:pt>
                <c:pt idx="72">
                  <c:v>28</c:v>
                </c:pt>
                <c:pt idx="73">
                  <c:v>29</c:v>
                </c:pt>
                <c:pt idx="74">
                  <c:v>53</c:v>
                </c:pt>
                <c:pt idx="75">
                  <c:v>52</c:v>
                </c:pt>
                <c:pt idx="76">
                  <c:v>47</c:v>
                </c:pt>
                <c:pt idx="77">
                  <c:v>90</c:v>
                </c:pt>
                <c:pt idx="78">
                  <c:v>100</c:v>
                </c:pt>
                <c:pt idx="79">
                  <c:v>87</c:v>
                </c:pt>
                <c:pt idx="80">
                  <c:v>87</c:v>
                </c:pt>
                <c:pt idx="81">
                  <c:v>78</c:v>
                </c:pt>
                <c:pt idx="82">
                  <c:v>84</c:v>
                </c:pt>
                <c:pt idx="83">
                  <c:v>99</c:v>
                </c:pt>
                <c:pt idx="84">
                  <c:v>103</c:v>
                </c:pt>
                <c:pt idx="85">
                  <c:v>114</c:v>
                </c:pt>
                <c:pt idx="86">
                  <c:v>95</c:v>
                </c:pt>
                <c:pt idx="87">
                  <c:v>77</c:v>
                </c:pt>
                <c:pt idx="88">
                  <c:v>70</c:v>
                </c:pt>
                <c:pt idx="89">
                  <c:v>129</c:v>
                </c:pt>
                <c:pt idx="90">
                  <c:v>125</c:v>
                </c:pt>
                <c:pt idx="91">
                  <c:v>149</c:v>
                </c:pt>
                <c:pt idx="92">
                  <c:v>161</c:v>
                </c:pt>
                <c:pt idx="93">
                  <c:v>199</c:v>
                </c:pt>
                <c:pt idx="94">
                  <c:v>81</c:v>
                </c:pt>
                <c:pt idx="95">
                  <c:v>120</c:v>
                </c:pt>
                <c:pt idx="96">
                  <c:v>210</c:v>
                </c:pt>
                <c:pt idx="97">
                  <c:v>199</c:v>
                </c:pt>
                <c:pt idx="98">
                  <c:v>138</c:v>
                </c:pt>
                <c:pt idx="99">
                  <c:v>158</c:v>
                </c:pt>
                <c:pt idx="100">
                  <c:v>71</c:v>
                </c:pt>
                <c:pt idx="101">
                  <c:v>75</c:v>
                </c:pt>
                <c:pt idx="102">
                  <c:v>79</c:v>
                </c:pt>
                <c:pt idx="103">
                  <c:v>117</c:v>
                </c:pt>
                <c:pt idx="104">
                  <c:v>175</c:v>
                </c:pt>
                <c:pt idx="105">
                  <c:v>129</c:v>
                </c:pt>
                <c:pt idx="106">
                  <c:v>120</c:v>
                </c:pt>
                <c:pt idx="107">
                  <c:v>125</c:v>
                </c:pt>
                <c:pt idx="108">
                  <c:v>56</c:v>
                </c:pt>
                <c:pt idx="109">
                  <c:v>67</c:v>
                </c:pt>
                <c:pt idx="110">
                  <c:v>143</c:v>
                </c:pt>
                <c:pt idx="111">
                  <c:v>112</c:v>
                </c:pt>
                <c:pt idx="112">
                  <c:v>124</c:v>
                </c:pt>
                <c:pt idx="113">
                  <c:v>116</c:v>
                </c:pt>
                <c:pt idx="114">
                  <c:v>93</c:v>
                </c:pt>
                <c:pt idx="115">
                  <c:v>76</c:v>
                </c:pt>
                <c:pt idx="116">
                  <c:v>73</c:v>
                </c:pt>
                <c:pt idx="117">
                  <c:v>124</c:v>
                </c:pt>
                <c:pt idx="118">
                  <c:v>139</c:v>
                </c:pt>
                <c:pt idx="119">
                  <c:v>106</c:v>
                </c:pt>
                <c:pt idx="120">
                  <c:v>86</c:v>
                </c:pt>
                <c:pt idx="121">
                  <c:v>48</c:v>
                </c:pt>
                <c:pt idx="122">
                  <c:v>56</c:v>
                </c:pt>
                <c:pt idx="123">
                  <c:v>61</c:v>
                </c:pt>
                <c:pt idx="124">
                  <c:v>133</c:v>
                </c:pt>
                <c:pt idx="125">
                  <c:v>125</c:v>
                </c:pt>
                <c:pt idx="126">
                  <c:v>94</c:v>
                </c:pt>
                <c:pt idx="127">
                  <c:v>108</c:v>
                </c:pt>
                <c:pt idx="128">
                  <c:v>81</c:v>
                </c:pt>
                <c:pt idx="129">
                  <c:v>47</c:v>
                </c:pt>
                <c:pt idx="130">
                  <c:v>28</c:v>
                </c:pt>
                <c:pt idx="131">
                  <c:v>93</c:v>
                </c:pt>
                <c:pt idx="132">
                  <c:v>67</c:v>
                </c:pt>
                <c:pt idx="133">
                  <c:v>79</c:v>
                </c:pt>
                <c:pt idx="134">
                  <c:v>51</c:v>
                </c:pt>
                <c:pt idx="135">
                  <c:v>55</c:v>
                </c:pt>
                <c:pt idx="136">
                  <c:v>25</c:v>
                </c:pt>
                <c:pt idx="137">
                  <c:v>30</c:v>
                </c:pt>
                <c:pt idx="138">
                  <c:v>45</c:v>
                </c:pt>
                <c:pt idx="139">
                  <c:v>41</c:v>
                </c:pt>
                <c:pt idx="140">
                  <c:v>43</c:v>
                </c:pt>
                <c:pt idx="141">
                  <c:v>22</c:v>
                </c:pt>
                <c:pt idx="142">
                  <c:v>32</c:v>
                </c:pt>
                <c:pt idx="143">
                  <c:v>17</c:v>
                </c:pt>
                <c:pt idx="144">
                  <c:v>19</c:v>
                </c:pt>
                <c:pt idx="145">
                  <c:v>45</c:v>
                </c:pt>
                <c:pt idx="146">
                  <c:v>33</c:v>
                </c:pt>
                <c:pt idx="147">
                  <c:v>12</c:v>
                </c:pt>
                <c:pt idx="148">
                  <c:v>30</c:v>
                </c:pt>
                <c:pt idx="149">
                  <c:v>21</c:v>
                </c:pt>
                <c:pt idx="150">
                  <c:v>10</c:v>
                </c:pt>
                <c:pt idx="151">
                  <c:v>12</c:v>
                </c:pt>
                <c:pt idx="152">
                  <c:v>17</c:v>
                </c:pt>
                <c:pt idx="153">
                  <c:v>15</c:v>
                </c:pt>
                <c:pt idx="154">
                  <c:v>25</c:v>
                </c:pt>
                <c:pt idx="155">
                  <c:v>12</c:v>
                </c:pt>
                <c:pt idx="156">
                  <c:v>13</c:v>
                </c:pt>
                <c:pt idx="157">
                  <c:v>13</c:v>
                </c:pt>
                <c:pt idx="158">
                  <c:v>4</c:v>
                </c:pt>
                <c:pt idx="159">
                  <c:v>10</c:v>
                </c:pt>
                <c:pt idx="160">
                  <c:v>8</c:v>
                </c:pt>
                <c:pt idx="161">
                  <c:v>7</c:v>
                </c:pt>
                <c:pt idx="162">
                  <c:v>9</c:v>
                </c:pt>
                <c:pt idx="163">
                  <c:v>13</c:v>
                </c:pt>
                <c:pt idx="164">
                  <c:v>2</c:v>
                </c:pt>
                <c:pt idx="165">
                  <c:v>5</c:v>
                </c:pt>
                <c:pt idx="166">
                  <c:v>15</c:v>
                </c:pt>
                <c:pt idx="167">
                  <c:v>8</c:v>
                </c:pt>
                <c:pt idx="168">
                  <c:v>3</c:v>
                </c:pt>
                <c:pt idx="169">
                  <c:v>8</c:v>
                </c:pt>
                <c:pt idx="170">
                  <c:v>0</c:v>
                </c:pt>
                <c:pt idx="171">
                  <c:v>2</c:v>
                </c:pt>
                <c:pt idx="172">
                  <c:v>13</c:v>
                </c:pt>
                <c:pt idx="173">
                  <c:v>5</c:v>
                </c:pt>
                <c:pt idx="174">
                  <c:v>5</c:v>
                </c:pt>
                <c:pt idx="175">
                  <c:v>16</c:v>
                </c:pt>
                <c:pt idx="176">
                  <c:v>14</c:v>
                </c:pt>
                <c:pt idx="177">
                  <c:v>3</c:v>
                </c:pt>
                <c:pt idx="178">
                  <c:v>2</c:v>
                </c:pt>
                <c:pt idx="179">
                  <c:v>7</c:v>
                </c:pt>
                <c:pt idx="180">
                  <c:v>15</c:v>
                </c:pt>
                <c:pt idx="181">
                  <c:v>10</c:v>
                </c:pt>
                <c:pt idx="182">
                  <c:v>2</c:v>
                </c:pt>
                <c:pt idx="183">
                  <c:v>7</c:v>
                </c:pt>
                <c:pt idx="184">
                  <c:v>5</c:v>
                </c:pt>
                <c:pt idx="185">
                  <c:v>2</c:v>
                </c:pt>
                <c:pt idx="186">
                  <c:v>3</c:v>
                </c:pt>
                <c:pt idx="187">
                  <c:v>6</c:v>
                </c:pt>
                <c:pt idx="188">
                  <c:v>3</c:v>
                </c:pt>
                <c:pt idx="189">
                  <c:v>9</c:v>
                </c:pt>
                <c:pt idx="190">
                  <c:v>8</c:v>
                </c:pt>
                <c:pt idx="191">
                  <c:v>7</c:v>
                </c:pt>
                <c:pt idx="192">
                  <c:v>0</c:v>
                </c:pt>
                <c:pt idx="193">
                  <c:v>4</c:v>
                </c:pt>
                <c:pt idx="194">
                  <c:v>7</c:v>
                </c:pt>
                <c:pt idx="195">
                  <c:v>5</c:v>
                </c:pt>
                <c:pt idx="196">
                  <c:v>5</c:v>
                </c:pt>
                <c:pt idx="197">
                  <c:v>9</c:v>
                </c:pt>
                <c:pt idx="198">
                  <c:v>6</c:v>
                </c:pt>
                <c:pt idx="199">
                  <c:v>7</c:v>
                </c:pt>
                <c:pt idx="200">
                  <c:v>5</c:v>
                </c:pt>
                <c:pt idx="201">
                  <c:v>12</c:v>
                </c:pt>
                <c:pt idx="202">
                  <c:v>8</c:v>
                </c:pt>
                <c:pt idx="203">
                  <c:v>11</c:v>
                </c:pt>
                <c:pt idx="204">
                  <c:v>3</c:v>
                </c:pt>
                <c:pt idx="205">
                  <c:v>10</c:v>
                </c:pt>
                <c:pt idx="206">
                  <c:v>4</c:v>
                </c:pt>
                <c:pt idx="207">
                  <c:v>8</c:v>
                </c:pt>
                <c:pt idx="208">
                  <c:v>13</c:v>
                </c:pt>
                <c:pt idx="209">
                  <c:v>9</c:v>
                </c:pt>
                <c:pt idx="210">
                  <c:v>12</c:v>
                </c:pt>
                <c:pt idx="211">
                  <c:v>8</c:v>
                </c:pt>
                <c:pt idx="212">
                  <c:v>18</c:v>
                </c:pt>
                <c:pt idx="213">
                  <c:v>14</c:v>
                </c:pt>
                <c:pt idx="214">
                  <c:v>10</c:v>
                </c:pt>
                <c:pt idx="215">
                  <c:v>35</c:v>
                </c:pt>
                <c:pt idx="216">
                  <c:v>22</c:v>
                </c:pt>
                <c:pt idx="217">
                  <c:v>29</c:v>
                </c:pt>
                <c:pt idx="218">
                  <c:v>22</c:v>
                </c:pt>
                <c:pt idx="219">
                  <c:v>17</c:v>
                </c:pt>
                <c:pt idx="220">
                  <c:v>9</c:v>
                </c:pt>
                <c:pt idx="221">
                  <c:v>35</c:v>
                </c:pt>
                <c:pt idx="222">
                  <c:v>15</c:v>
                </c:pt>
                <c:pt idx="223">
                  <c:v>28</c:v>
                </c:pt>
                <c:pt idx="224">
                  <c:v>27</c:v>
                </c:pt>
                <c:pt idx="225">
                  <c:v>21</c:v>
                </c:pt>
                <c:pt idx="226">
                  <c:v>27</c:v>
                </c:pt>
                <c:pt idx="227">
                  <c:v>14</c:v>
                </c:pt>
                <c:pt idx="228">
                  <c:v>43</c:v>
                </c:pt>
                <c:pt idx="229">
                  <c:v>27</c:v>
                </c:pt>
                <c:pt idx="230">
                  <c:v>39</c:v>
                </c:pt>
                <c:pt idx="231">
                  <c:v>47</c:v>
                </c:pt>
                <c:pt idx="232">
                  <c:v>26</c:v>
                </c:pt>
                <c:pt idx="233">
                  <c:v>25</c:v>
                </c:pt>
                <c:pt idx="234">
                  <c:v>16</c:v>
                </c:pt>
                <c:pt idx="235">
                  <c:v>10</c:v>
                </c:pt>
                <c:pt idx="236">
                  <c:v>17</c:v>
                </c:pt>
                <c:pt idx="237">
                  <c:v>15</c:v>
                </c:pt>
                <c:pt idx="238">
                  <c:v>20</c:v>
                </c:pt>
                <c:pt idx="239">
                  <c:v>32</c:v>
                </c:pt>
                <c:pt idx="240">
                  <c:v>33</c:v>
                </c:pt>
                <c:pt idx="241">
                  <c:v>19</c:v>
                </c:pt>
                <c:pt idx="242">
                  <c:v>18</c:v>
                </c:pt>
                <c:pt idx="243">
                  <c:v>48</c:v>
                </c:pt>
                <c:pt idx="244">
                  <c:v>29</c:v>
                </c:pt>
                <c:pt idx="245">
                  <c:v>26</c:v>
                </c:pt>
                <c:pt idx="246">
                  <c:v>35</c:v>
                </c:pt>
                <c:pt idx="247">
                  <c:v>42</c:v>
                </c:pt>
                <c:pt idx="248">
                  <c:v>22</c:v>
                </c:pt>
                <c:pt idx="249">
                  <c:v>33</c:v>
                </c:pt>
                <c:pt idx="250">
                  <c:v>45</c:v>
                </c:pt>
                <c:pt idx="251">
                  <c:v>57</c:v>
                </c:pt>
                <c:pt idx="252">
                  <c:v>55</c:v>
                </c:pt>
                <c:pt idx="253">
                  <c:v>52</c:v>
                </c:pt>
                <c:pt idx="254">
                  <c:v>57</c:v>
                </c:pt>
                <c:pt idx="255">
                  <c:v>41</c:v>
                </c:pt>
                <c:pt idx="256">
                  <c:v>46</c:v>
                </c:pt>
                <c:pt idx="257">
                  <c:v>59</c:v>
                </c:pt>
                <c:pt idx="258">
                  <c:v>53</c:v>
                </c:pt>
                <c:pt idx="259">
                  <c:v>57</c:v>
                </c:pt>
                <c:pt idx="260">
                  <c:v>85</c:v>
                </c:pt>
                <c:pt idx="261">
                  <c:v>77</c:v>
                </c:pt>
                <c:pt idx="262">
                  <c:v>61</c:v>
                </c:pt>
                <c:pt idx="263">
                  <c:v>74</c:v>
                </c:pt>
                <c:pt idx="264">
                  <c:v>120</c:v>
                </c:pt>
                <c:pt idx="265">
                  <c:v>108</c:v>
                </c:pt>
                <c:pt idx="266">
                  <c:v>117</c:v>
                </c:pt>
                <c:pt idx="267">
                  <c:v>97</c:v>
                </c:pt>
                <c:pt idx="268">
                  <c:v>127</c:v>
                </c:pt>
                <c:pt idx="269">
                  <c:v>74</c:v>
                </c:pt>
                <c:pt idx="270">
                  <c:v>71</c:v>
                </c:pt>
                <c:pt idx="271">
                  <c:v>122</c:v>
                </c:pt>
                <c:pt idx="272">
                  <c:v>134</c:v>
                </c:pt>
                <c:pt idx="273">
                  <c:v>165</c:v>
                </c:pt>
                <c:pt idx="274">
                  <c:v>188</c:v>
                </c:pt>
                <c:pt idx="275">
                  <c:v>189</c:v>
                </c:pt>
                <c:pt idx="276">
                  <c:v>170</c:v>
                </c:pt>
                <c:pt idx="277">
                  <c:v>146</c:v>
                </c:pt>
                <c:pt idx="278">
                  <c:v>289</c:v>
                </c:pt>
                <c:pt idx="279">
                  <c:v>303</c:v>
                </c:pt>
                <c:pt idx="280">
                  <c:v>306</c:v>
                </c:pt>
                <c:pt idx="281">
                  <c:v>260</c:v>
                </c:pt>
                <c:pt idx="282">
                  <c:v>226</c:v>
                </c:pt>
                <c:pt idx="283">
                  <c:v>109</c:v>
                </c:pt>
                <c:pt idx="284">
                  <c:v>130</c:v>
                </c:pt>
                <c:pt idx="285">
                  <c:v>254</c:v>
                </c:pt>
                <c:pt idx="286">
                  <c:v>197</c:v>
                </c:pt>
                <c:pt idx="287">
                  <c:v>201</c:v>
                </c:pt>
                <c:pt idx="288">
                  <c:v>190</c:v>
                </c:pt>
                <c:pt idx="289">
                  <c:v>192</c:v>
                </c:pt>
                <c:pt idx="290">
                  <c:v>100</c:v>
                </c:pt>
                <c:pt idx="291">
                  <c:v>127</c:v>
                </c:pt>
                <c:pt idx="292">
                  <c:v>243</c:v>
                </c:pt>
                <c:pt idx="293">
                  <c:v>163</c:v>
                </c:pt>
                <c:pt idx="294">
                  <c:v>190</c:v>
                </c:pt>
                <c:pt idx="295">
                  <c:v>218</c:v>
                </c:pt>
                <c:pt idx="296">
                  <c:v>192</c:v>
                </c:pt>
                <c:pt idx="297">
                  <c:v>108</c:v>
                </c:pt>
                <c:pt idx="298">
                  <c:v>123</c:v>
                </c:pt>
                <c:pt idx="299">
                  <c:v>256</c:v>
                </c:pt>
                <c:pt idx="300">
                  <c:v>230</c:v>
                </c:pt>
                <c:pt idx="301">
                  <c:v>240</c:v>
                </c:pt>
                <c:pt idx="302">
                  <c:v>237</c:v>
                </c:pt>
                <c:pt idx="303">
                  <c:v>219</c:v>
                </c:pt>
                <c:pt idx="304">
                  <c:v>121</c:v>
                </c:pt>
                <c:pt idx="305">
                  <c:v>150</c:v>
                </c:pt>
                <c:pt idx="306">
                  <c:v>281</c:v>
                </c:pt>
                <c:pt idx="307">
                  <c:v>241</c:v>
                </c:pt>
                <c:pt idx="308">
                  <c:v>210</c:v>
                </c:pt>
                <c:pt idx="309">
                  <c:v>221</c:v>
                </c:pt>
                <c:pt idx="310">
                  <c:v>194</c:v>
                </c:pt>
                <c:pt idx="311">
                  <c:v>128</c:v>
                </c:pt>
                <c:pt idx="312">
                  <c:v>133</c:v>
                </c:pt>
                <c:pt idx="313">
                  <c:v>275</c:v>
                </c:pt>
                <c:pt idx="314">
                  <c:v>205</c:v>
                </c:pt>
                <c:pt idx="315">
                  <c:v>291</c:v>
                </c:pt>
                <c:pt idx="316">
                  <c:v>277</c:v>
                </c:pt>
                <c:pt idx="317">
                  <c:v>261</c:v>
                </c:pt>
                <c:pt idx="318">
                  <c:v>143</c:v>
                </c:pt>
                <c:pt idx="319">
                  <c:v>181</c:v>
                </c:pt>
                <c:pt idx="320">
                  <c:v>392</c:v>
                </c:pt>
                <c:pt idx="321">
                  <c:v>393</c:v>
                </c:pt>
                <c:pt idx="322">
                  <c:v>369</c:v>
                </c:pt>
                <c:pt idx="323">
                  <c:v>471</c:v>
                </c:pt>
              </c:numCache>
            </c:numRef>
          </c:val>
          <c:smooth val="0"/>
          <c:extLst>
            <c:ext xmlns:c16="http://schemas.microsoft.com/office/drawing/2014/chart" uri="{C3380CC4-5D6E-409C-BE32-E72D297353CC}">
              <c16:uniqueId val="{00000003-EF7F-428A-A82B-C3FD003DE2F3}"/>
            </c:ext>
          </c:extLst>
        </c:ser>
        <c:dLbls>
          <c:showLegendKey val="0"/>
          <c:showVal val="0"/>
          <c:showCatName val="0"/>
          <c:showSerName val="0"/>
          <c:showPercent val="0"/>
          <c:showBubbleSize val="0"/>
        </c:dLbls>
        <c:smooth val="0"/>
        <c:axId val="402518440"/>
        <c:axId val="402525000"/>
      </c:lineChart>
      <c:catAx>
        <c:axId val="402518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25000"/>
        <c:crosses val="autoZero"/>
        <c:auto val="1"/>
        <c:lblAlgn val="ctr"/>
        <c:lblOffset val="100"/>
        <c:noMultiLvlLbl val="0"/>
      </c:catAx>
      <c:valAx>
        <c:axId val="40252500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5184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Cases</a:t>
            </a:r>
            <a:r>
              <a:rPr lang="en-US" baseline="0"/>
              <a:t> by day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spPr>
            <a:solidFill>
              <a:schemeClr val="accent1"/>
            </a:solidFill>
            <a:ln>
              <a:noFill/>
            </a:ln>
            <a:effectLst/>
          </c:spPr>
          <c:invertIfNegative val="0"/>
          <c:cat>
            <c:strRef>
              <c:f>Data!$J$30:$J$36</c:f>
              <c:strCache>
                <c:ptCount val="7"/>
                <c:pt idx="0">
                  <c:v>Monday</c:v>
                </c:pt>
                <c:pt idx="1">
                  <c:v>Tuesday</c:v>
                </c:pt>
                <c:pt idx="2">
                  <c:v>Wednesday</c:v>
                </c:pt>
                <c:pt idx="3">
                  <c:v>Thrusday</c:v>
                </c:pt>
                <c:pt idx="4">
                  <c:v>Friday</c:v>
                </c:pt>
                <c:pt idx="5">
                  <c:v>Saturday</c:v>
                </c:pt>
                <c:pt idx="6">
                  <c:v>Sunday</c:v>
                </c:pt>
              </c:strCache>
            </c:strRef>
          </c:cat>
          <c:val>
            <c:numRef>
              <c:f>Data!$K$30:$K$36</c:f>
              <c:numCache>
                <c:formatCode>General</c:formatCode>
                <c:ptCount val="7"/>
                <c:pt idx="0">
                  <c:v>3772</c:v>
                </c:pt>
                <c:pt idx="1">
                  <c:v>3510</c:v>
                </c:pt>
                <c:pt idx="2">
                  <c:v>3589</c:v>
                </c:pt>
                <c:pt idx="3">
                  <c:v>3639</c:v>
                </c:pt>
                <c:pt idx="4">
                  <c:v>3265</c:v>
                </c:pt>
                <c:pt idx="5">
                  <c:v>2016</c:v>
                </c:pt>
                <c:pt idx="6">
                  <c:v>2145</c:v>
                </c:pt>
              </c:numCache>
            </c:numRef>
          </c:val>
          <c:extLst>
            <c:ext xmlns:c16="http://schemas.microsoft.com/office/drawing/2014/chart" uri="{C3380CC4-5D6E-409C-BE32-E72D297353CC}">
              <c16:uniqueId val="{00000000-FD4E-4508-965C-532DBF9E1A6C}"/>
            </c:ext>
          </c:extLst>
        </c:ser>
        <c:dLbls>
          <c:showLegendKey val="0"/>
          <c:showVal val="0"/>
          <c:showCatName val="0"/>
          <c:showSerName val="0"/>
          <c:showPercent val="0"/>
          <c:showBubbleSize val="0"/>
        </c:dLbls>
        <c:gapWidth val="219"/>
        <c:overlap val="-27"/>
        <c:axId val="503641592"/>
        <c:axId val="503636672"/>
      </c:barChart>
      <c:catAx>
        <c:axId val="503641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36672"/>
        <c:crosses val="autoZero"/>
        <c:auto val="1"/>
        <c:lblAlgn val="ctr"/>
        <c:lblOffset val="100"/>
        <c:noMultiLvlLbl val="0"/>
      </c:catAx>
      <c:valAx>
        <c:axId val="5036366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364159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Kirjattuja tapauksia tilastointipäivänä</a:t>
            </a:r>
          </a:p>
        </c:rich>
      </c:tx>
      <c:layout>
        <c:manualLayout>
          <c:xMode val="edge"/>
          <c:yMode val="edge"/>
          <c:x val="5.3556907274659761E-2"/>
          <c:y val="5.591862858862902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1540417190574698E-2"/>
          <c:y val="7.1458963852229135E-2"/>
          <c:w val="0.92334933055709068"/>
          <c:h val="0.76281094980412478"/>
        </c:manualLayout>
      </c:layout>
      <c:barChart>
        <c:barDir val="col"/>
        <c:grouping val="clustered"/>
        <c:varyColors val="0"/>
        <c:ser>
          <c:idx val="0"/>
          <c:order val="0"/>
          <c:tx>
            <c:strRef>
              <c:f>Kuvaajat!$D$35</c:f>
              <c:strCache>
                <c:ptCount val="1"/>
                <c:pt idx="0">
                  <c:v>Uusia</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Kuvaajat!$B$37:$B$64</c:f>
              <c:numCache>
                <c:formatCode>d/m/yyyy;@</c:formatCode>
                <c:ptCount val="28"/>
                <c:pt idx="0">
                  <c:v>44130</c:v>
                </c:pt>
                <c:pt idx="1">
                  <c:v>44131</c:v>
                </c:pt>
                <c:pt idx="2">
                  <c:v>44132</c:v>
                </c:pt>
                <c:pt idx="3">
                  <c:v>44133</c:v>
                </c:pt>
                <c:pt idx="4">
                  <c:v>44134</c:v>
                </c:pt>
                <c:pt idx="5">
                  <c:v>44135</c:v>
                </c:pt>
                <c:pt idx="6">
                  <c:v>44136</c:v>
                </c:pt>
                <c:pt idx="7">
                  <c:v>44137</c:v>
                </c:pt>
                <c:pt idx="8">
                  <c:v>44138</c:v>
                </c:pt>
                <c:pt idx="9">
                  <c:v>44139</c:v>
                </c:pt>
                <c:pt idx="10">
                  <c:v>44140</c:v>
                </c:pt>
                <c:pt idx="11">
                  <c:v>44141</c:v>
                </c:pt>
                <c:pt idx="12">
                  <c:v>44142</c:v>
                </c:pt>
                <c:pt idx="13">
                  <c:v>44143</c:v>
                </c:pt>
                <c:pt idx="14">
                  <c:v>44144</c:v>
                </c:pt>
                <c:pt idx="15">
                  <c:v>44145</c:v>
                </c:pt>
                <c:pt idx="16">
                  <c:v>44146</c:v>
                </c:pt>
                <c:pt idx="17">
                  <c:v>44147</c:v>
                </c:pt>
                <c:pt idx="18">
                  <c:v>44148</c:v>
                </c:pt>
                <c:pt idx="19">
                  <c:v>44149</c:v>
                </c:pt>
                <c:pt idx="20">
                  <c:v>44150</c:v>
                </c:pt>
                <c:pt idx="21">
                  <c:v>44151</c:v>
                </c:pt>
                <c:pt idx="22">
                  <c:v>44152</c:v>
                </c:pt>
                <c:pt idx="23">
                  <c:v>44153</c:v>
                </c:pt>
                <c:pt idx="24">
                  <c:v>44154</c:v>
                </c:pt>
                <c:pt idx="25">
                  <c:v>44155</c:v>
                </c:pt>
                <c:pt idx="26">
                  <c:v>44156</c:v>
                </c:pt>
                <c:pt idx="27">
                  <c:v>44157</c:v>
                </c:pt>
              </c:numCache>
            </c:numRef>
          </c:cat>
          <c:val>
            <c:numRef>
              <c:f>Kuvaajat!$D$37:$D$64</c:f>
              <c:numCache>
                <c:formatCode>General</c:formatCode>
                <c:ptCount val="28"/>
                <c:pt idx="0">
                  <c:v>256</c:v>
                </c:pt>
                <c:pt idx="1">
                  <c:v>230</c:v>
                </c:pt>
                <c:pt idx="2">
                  <c:v>240</c:v>
                </c:pt>
                <c:pt idx="3">
                  <c:v>237</c:v>
                </c:pt>
                <c:pt idx="4">
                  <c:v>219</c:v>
                </c:pt>
                <c:pt idx="5">
                  <c:v>121</c:v>
                </c:pt>
                <c:pt idx="6">
                  <c:v>150</c:v>
                </c:pt>
                <c:pt idx="7">
                  <c:v>281</c:v>
                </c:pt>
                <c:pt idx="8">
                  <c:v>241</c:v>
                </c:pt>
                <c:pt idx="9">
                  <c:v>210</c:v>
                </c:pt>
                <c:pt idx="10">
                  <c:v>221</c:v>
                </c:pt>
                <c:pt idx="11">
                  <c:v>194</c:v>
                </c:pt>
                <c:pt idx="12">
                  <c:v>128</c:v>
                </c:pt>
                <c:pt idx="13">
                  <c:v>133</c:v>
                </c:pt>
                <c:pt idx="14">
                  <c:v>275</c:v>
                </c:pt>
                <c:pt idx="15">
                  <c:v>205</c:v>
                </c:pt>
                <c:pt idx="16">
                  <c:v>291</c:v>
                </c:pt>
                <c:pt idx="17">
                  <c:v>277</c:v>
                </c:pt>
                <c:pt idx="18">
                  <c:v>261</c:v>
                </c:pt>
                <c:pt idx="19">
                  <c:v>143</c:v>
                </c:pt>
                <c:pt idx="20">
                  <c:v>181</c:v>
                </c:pt>
                <c:pt idx="21">
                  <c:v>392</c:v>
                </c:pt>
                <c:pt idx="22">
                  <c:v>393</c:v>
                </c:pt>
                <c:pt idx="23">
                  <c:v>369</c:v>
                </c:pt>
                <c:pt idx="24">
                  <c:v>471</c:v>
                </c:pt>
                <c:pt idx="25">
                  <c:v>367</c:v>
                </c:pt>
                <c:pt idx="26">
                  <c:v>190</c:v>
                </c:pt>
                <c:pt idx="27">
                  <c:v>66</c:v>
                </c:pt>
              </c:numCache>
            </c:numRef>
          </c:val>
          <c:extLst>
            <c:ext xmlns:c16="http://schemas.microsoft.com/office/drawing/2014/chart" uri="{C3380CC4-5D6E-409C-BE32-E72D297353CC}">
              <c16:uniqueId val="{00000000-0412-4813-B0A9-A85C88F98EAF}"/>
            </c:ext>
          </c:extLst>
        </c:ser>
        <c:dLbls>
          <c:showLegendKey val="0"/>
          <c:showVal val="0"/>
          <c:showCatName val="0"/>
          <c:showSerName val="0"/>
          <c:showPercent val="0"/>
          <c:showBubbleSize val="0"/>
        </c:dLbls>
        <c:gapWidth val="219"/>
        <c:overlap val="-27"/>
        <c:axId val="480642560"/>
        <c:axId val="480647152"/>
      </c:barChart>
      <c:dateAx>
        <c:axId val="480642560"/>
        <c:scaling>
          <c:orientation val="minMax"/>
        </c:scaling>
        <c:delete val="0"/>
        <c:axPos val="b"/>
        <c:numFmt formatCode="d/m/;@" sourceLinked="0"/>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7152"/>
        <c:crosses val="autoZero"/>
        <c:auto val="1"/>
        <c:lblOffset val="100"/>
        <c:baseTimeUnit val="days"/>
      </c:dateAx>
      <c:valAx>
        <c:axId val="48064715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64256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Kuvaajat!$A$34</c:f>
          <c:strCache>
            <c:ptCount val="1"/>
            <c:pt idx="0">
              <c:v>Kirjattuja COVID-19 tapauksia N=21936. Uusimmat 23.11 lisäykset punaisella n=297.</c:v>
            </c:pt>
          </c:strCache>
        </c:strRef>
      </c:tx>
      <c:layout>
        <c:manualLayout>
          <c:xMode val="edge"/>
          <c:yMode val="edge"/>
          <c:x val="0.20470464080243647"/>
          <c:y val="1.502529579118100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1897928161255078E-2"/>
          <c:y val="0.1319148322766818"/>
          <c:w val="0.9553305744471261"/>
          <c:h val="0.73824600974697219"/>
        </c:manualLayout>
      </c:layout>
      <c:barChart>
        <c:barDir val="col"/>
        <c:grouping val="clustered"/>
        <c:varyColors val="0"/>
        <c:ser>
          <c:idx val="0"/>
          <c:order val="0"/>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26</c:v>
                </c:pt>
                <c:pt idx="1">
                  <c:v>27.10</c:v>
                </c:pt>
                <c:pt idx="2">
                  <c:v>28.10</c:v>
                </c:pt>
                <c:pt idx="3">
                  <c:v>29.10</c:v>
                </c:pt>
                <c:pt idx="4">
                  <c:v>30.10</c:v>
                </c:pt>
                <c:pt idx="5">
                  <c:v>31.10</c:v>
                </c:pt>
                <c:pt idx="6">
                  <c:v>1.11</c:v>
                </c:pt>
                <c:pt idx="7">
                  <c:v>Ma 2</c:v>
                </c:pt>
                <c:pt idx="8">
                  <c:v>3.11</c:v>
                </c:pt>
                <c:pt idx="9">
                  <c:v>4.11</c:v>
                </c:pt>
                <c:pt idx="10">
                  <c:v>5.11</c:v>
                </c:pt>
                <c:pt idx="11">
                  <c:v>6.11</c:v>
                </c:pt>
                <c:pt idx="12">
                  <c:v>7.11</c:v>
                </c:pt>
                <c:pt idx="13">
                  <c:v>8.11</c:v>
                </c:pt>
                <c:pt idx="14">
                  <c:v>Ma 9</c:v>
                </c:pt>
                <c:pt idx="15">
                  <c:v>10.11</c:v>
                </c:pt>
                <c:pt idx="16">
                  <c:v>11.11</c:v>
                </c:pt>
                <c:pt idx="17">
                  <c:v>12.11</c:v>
                </c:pt>
                <c:pt idx="18">
                  <c:v>13.11</c:v>
                </c:pt>
                <c:pt idx="19">
                  <c:v>14.11</c:v>
                </c:pt>
                <c:pt idx="20">
                  <c:v>15.11</c:v>
                </c:pt>
                <c:pt idx="21">
                  <c:v>Ma 16</c:v>
                </c:pt>
                <c:pt idx="22">
                  <c:v>17.11</c:v>
                </c:pt>
                <c:pt idx="23">
                  <c:v>18.11</c:v>
                </c:pt>
                <c:pt idx="24">
                  <c:v>19.11</c:v>
                </c:pt>
                <c:pt idx="25">
                  <c:v>20.11</c:v>
                </c:pt>
                <c:pt idx="26">
                  <c:v>21.11</c:v>
                </c:pt>
                <c:pt idx="27">
                  <c:v>22.11</c:v>
                </c:pt>
              </c:strCache>
            </c:strRef>
          </c:cat>
          <c:val>
            <c:numRef>
              <c:f>Kuvaajat!$D$37:$D$64</c:f>
              <c:numCache>
                <c:formatCode>General</c:formatCode>
                <c:ptCount val="28"/>
                <c:pt idx="0">
                  <c:v>256</c:v>
                </c:pt>
                <c:pt idx="1">
                  <c:v>230</c:v>
                </c:pt>
                <c:pt idx="2">
                  <c:v>240</c:v>
                </c:pt>
                <c:pt idx="3">
                  <c:v>237</c:v>
                </c:pt>
                <c:pt idx="4">
                  <c:v>219</c:v>
                </c:pt>
                <c:pt idx="5">
                  <c:v>121</c:v>
                </c:pt>
                <c:pt idx="6">
                  <c:v>150</c:v>
                </c:pt>
                <c:pt idx="7">
                  <c:v>281</c:v>
                </c:pt>
                <c:pt idx="8">
                  <c:v>241</c:v>
                </c:pt>
                <c:pt idx="9">
                  <c:v>210</c:v>
                </c:pt>
                <c:pt idx="10">
                  <c:v>221</c:v>
                </c:pt>
                <c:pt idx="11">
                  <c:v>194</c:v>
                </c:pt>
                <c:pt idx="12">
                  <c:v>128</c:v>
                </c:pt>
                <c:pt idx="13">
                  <c:v>133</c:v>
                </c:pt>
                <c:pt idx="14">
                  <c:v>275</c:v>
                </c:pt>
                <c:pt idx="15">
                  <c:v>205</c:v>
                </c:pt>
                <c:pt idx="16">
                  <c:v>291</c:v>
                </c:pt>
                <c:pt idx="17">
                  <c:v>277</c:v>
                </c:pt>
                <c:pt idx="18">
                  <c:v>261</c:v>
                </c:pt>
                <c:pt idx="19">
                  <c:v>143</c:v>
                </c:pt>
                <c:pt idx="20">
                  <c:v>181</c:v>
                </c:pt>
                <c:pt idx="21">
                  <c:v>392</c:v>
                </c:pt>
                <c:pt idx="22">
                  <c:v>393</c:v>
                </c:pt>
                <c:pt idx="23">
                  <c:v>369</c:v>
                </c:pt>
                <c:pt idx="24">
                  <c:v>471</c:v>
                </c:pt>
                <c:pt idx="25">
                  <c:v>367</c:v>
                </c:pt>
                <c:pt idx="26">
                  <c:v>190</c:v>
                </c:pt>
                <c:pt idx="27">
                  <c:v>66</c:v>
                </c:pt>
              </c:numCache>
            </c:numRef>
          </c:val>
          <c:extLst>
            <c:ext xmlns:c16="http://schemas.microsoft.com/office/drawing/2014/chart" uri="{C3380CC4-5D6E-409C-BE32-E72D297353CC}">
              <c16:uniqueId val="{00000000-8404-4412-A023-FFC5688AA051}"/>
            </c:ext>
          </c:extLst>
        </c:ser>
        <c:ser>
          <c:idx val="1"/>
          <c:order val="1"/>
          <c:spPr>
            <a:solidFill>
              <a:srgbClr val="FF0000"/>
            </a:solidFill>
            <a:ln>
              <a:solidFill>
                <a:srgbClr val="FF0000"/>
              </a:solidFill>
            </a:ln>
            <a:effectLst/>
          </c:spPr>
          <c:invertIfNegative val="0"/>
          <c:dLbls>
            <c:dLbl>
              <c:idx val="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3-5C1C-4458-A867-43F9070E6F8E}"/>
                </c:ext>
              </c:extLst>
            </c:dLbl>
            <c:dLbl>
              <c:idx val="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4-5C1C-4458-A867-43F9070E6F8E}"/>
                </c:ext>
              </c:extLst>
            </c:dLbl>
            <c:dLbl>
              <c:idx val="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5-5C1C-4458-A867-43F9070E6F8E}"/>
                </c:ext>
              </c:extLst>
            </c:dLbl>
            <c:dLbl>
              <c:idx val="3"/>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6-5C1C-4458-A867-43F9070E6F8E}"/>
                </c:ext>
              </c:extLst>
            </c:dLbl>
            <c:dLbl>
              <c:idx val="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7-5C1C-4458-A867-43F9070E6F8E}"/>
                </c:ext>
              </c:extLst>
            </c:dLbl>
            <c:dLbl>
              <c:idx val="5"/>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8-5C1C-4458-A867-43F9070E6F8E}"/>
                </c:ext>
              </c:extLst>
            </c:dLbl>
            <c:dLbl>
              <c:idx val="6"/>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9-5C1C-4458-A867-43F9070E6F8E}"/>
                </c:ext>
              </c:extLst>
            </c:dLbl>
            <c:dLbl>
              <c:idx val="7"/>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A-5C1C-4458-A867-43F9070E6F8E}"/>
                </c:ext>
              </c:extLst>
            </c:dLbl>
            <c:dLbl>
              <c:idx val="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B-5C1C-4458-A867-43F9070E6F8E}"/>
                </c:ext>
              </c:extLst>
            </c:dLbl>
            <c:dLbl>
              <c:idx val="9"/>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C-5C1C-4458-A867-43F9070E6F8E}"/>
                </c:ext>
              </c:extLst>
            </c:dLbl>
            <c:dLbl>
              <c:idx val="10"/>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D-5C1C-4458-A867-43F9070E6F8E}"/>
                </c:ext>
              </c:extLst>
            </c:dLbl>
            <c:dLbl>
              <c:idx val="11"/>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E-5C1C-4458-A867-43F9070E6F8E}"/>
                </c:ext>
              </c:extLst>
            </c:dLbl>
            <c:dLbl>
              <c:idx val="12"/>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0F-5C1C-4458-A867-43F9070E6F8E}"/>
                </c:ext>
              </c:extLst>
            </c:dLbl>
            <c:dLbl>
              <c:idx val="13"/>
              <c:layout>
                <c:manualLayout>
                  <c:x val="5.4023369148274792E-3"/>
                  <c:y val="-3.5038461188261578E-3"/>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0-5C1C-4458-A867-43F9070E6F8E}"/>
                </c:ext>
              </c:extLst>
            </c:dLbl>
            <c:dLbl>
              <c:idx val="14"/>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1-5C1C-4458-A867-43F9070E6F8E}"/>
                </c:ext>
              </c:extLst>
            </c:dLbl>
            <c:dLbl>
              <c:idx val="15"/>
              <c:layout>
                <c:manualLayout>
                  <c:x val="6.7529211435343496E-3"/>
                  <c:y val="-5.2560450933600202E-3"/>
                </c:manualLayout>
              </c:layout>
              <c:spPr>
                <a:noFill/>
                <a:ln>
                  <a:noFill/>
                </a:ln>
                <a:effectLst/>
              </c:spPr>
              <c:txPr>
                <a:bodyPr rot="0" spcFirstLastPara="1" vertOverflow="clip" horzOverflow="clip" vert="horz" wrap="square" lIns="38100" tIns="19050" rIns="38100" bIns="19050" anchor="b"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manualLayout>
                      <c:w val="3.2839402348400111E-2"/>
                      <c:h val="4.199704053441447E-2"/>
                    </c:manualLayout>
                  </c15:layout>
                </c:ext>
                <c:ext xmlns:c16="http://schemas.microsoft.com/office/drawing/2014/chart" uri="{C3380CC4-5D6E-409C-BE32-E72D297353CC}">
                  <c16:uniqueId val="{00000012-5C1C-4458-A867-43F9070E6F8E}"/>
                </c:ext>
              </c:extLst>
            </c:dLbl>
            <c:dLbl>
              <c:idx val="16"/>
              <c:layout>
                <c:manualLayout>
                  <c:x val="6.7529211435342499E-3"/>
                  <c:y val="-7.0082440678938818E-3"/>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01-5C1C-4458-A867-43F9070E6F8E}"/>
                </c:ext>
              </c:extLst>
            </c:dLbl>
            <c:dLbl>
              <c:idx val="17"/>
              <c:layout>
                <c:manualLayout>
                  <c:x val="5.4023369148273803E-3"/>
                  <c:y val="8.4098928814726581E-2"/>
                </c:manualLayout>
              </c:layout>
              <c:showLegendKey val="0"/>
              <c:showVal val="1"/>
              <c:showCatName val="0"/>
              <c:showSerName val="0"/>
              <c:showPercent val="0"/>
              <c:showBubbleSize val="0"/>
              <c:extLst>
                <c:ext xmlns:c15="http://schemas.microsoft.com/office/drawing/2012/chart" uri="{CE6537A1-D6FC-4f65-9D91-7224C49458BB}">
                  <c15:layout>
                    <c:manualLayout>
                      <c:w val="1.7982975832624544E-2"/>
                      <c:h val="4.9005284602308359E-2"/>
                    </c:manualLayout>
                  </c15:layout>
                </c:ext>
                <c:ext xmlns:c16="http://schemas.microsoft.com/office/drawing/2014/chart" uri="{C3380CC4-5D6E-409C-BE32-E72D297353CC}">
                  <c16:uniqueId val="{00000013-5C1C-4458-A867-43F9070E6F8E}"/>
                </c:ext>
              </c:extLst>
            </c:dLbl>
            <c:dLbl>
              <c:idx val="18"/>
              <c:showLegendKey val="0"/>
              <c:showVal val="1"/>
              <c:showCatName val="0"/>
              <c:showSerName val="0"/>
              <c:showPercent val="0"/>
              <c:showBubbleSize val="0"/>
              <c:extLst>
                <c:ext xmlns:c15="http://schemas.microsoft.com/office/drawing/2012/chart" uri="{CE6537A1-D6FC-4f65-9D91-7224C49458BB}">
                  <c15:layout>
                    <c:manualLayout>
                      <c:w val="1.4262169455144545E-2"/>
                      <c:h val="4.9005284602308359E-2"/>
                    </c:manualLayout>
                  </c15:layout>
                </c:ext>
                <c:ext xmlns:c16="http://schemas.microsoft.com/office/drawing/2014/chart" uri="{C3380CC4-5D6E-409C-BE32-E72D297353CC}">
                  <c16:uniqueId val="{00000014-5C1C-4458-A867-43F9070E6F8E}"/>
                </c:ext>
              </c:extLst>
            </c:dLbl>
            <c:dLbl>
              <c:idx val="19"/>
              <c:layout>
                <c:manualLayout>
                  <c:x val="5.4023369148274792E-3"/>
                  <c:y val="8.059480678077964E-2"/>
                </c:manualLayout>
              </c:layout>
              <c:dLblPos val="outEnd"/>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2-5C1C-4458-A867-43F9070E6F8E}"/>
                </c:ext>
              </c:extLst>
            </c:dLbl>
            <c:dLbl>
              <c:idx val="20"/>
              <c:layout>
                <c:manualLayout>
                  <c:x val="8.1635904186363462E-3"/>
                  <c:y val="9.0395035955879083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7.3534138839936938E-2"/>
                    </c:manualLayout>
                  </c15:layout>
                </c:ext>
                <c:ext xmlns:c16="http://schemas.microsoft.com/office/drawing/2014/chart" uri="{C3380CC4-5D6E-409C-BE32-E72D297353CC}">
                  <c16:uniqueId val="{00000002-B1BF-40F3-ACCA-3BA4D519DB9F}"/>
                </c:ext>
              </c:extLst>
            </c:dLbl>
            <c:dLbl>
              <c:idx val="21"/>
              <c:layout>
                <c:manualLayout>
                  <c:x val="8.115522381520265E-3"/>
                  <c:y val="7.6545476468165174E-2"/>
                </c:manualLayout>
              </c:layout>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01-B1BF-40F3-ACCA-3BA4D519DB9F}"/>
                </c:ext>
              </c:extLst>
            </c:dLbl>
            <c:dLbl>
              <c:idx val="22"/>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5-5C1C-4458-A867-43F9070E6F8E}"/>
                </c:ext>
              </c:extLst>
            </c:dLbl>
            <c:dLbl>
              <c:idx val="23"/>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6-5C1C-4458-A867-43F9070E6F8E}"/>
                </c:ext>
              </c:extLst>
            </c:dLbl>
            <c:dLbl>
              <c:idx val="24"/>
              <c:showLegendKey val="0"/>
              <c:showVal val="1"/>
              <c:showCatName val="0"/>
              <c:showSerName val="0"/>
              <c:showPercent val="0"/>
              <c:showBubbleSize val="0"/>
              <c:extLst>
                <c:ext xmlns:c15="http://schemas.microsoft.com/office/drawing/2012/chart" uri="{CE6537A1-D6FC-4f65-9D91-7224C49458BB}">
                  <c15:layout>
                    <c:manualLayout>
                      <c:w val="2.0420833538047873E-2"/>
                      <c:h val="4.9005284602308359E-2"/>
                    </c:manualLayout>
                  </c15:layout>
                </c:ext>
                <c:ext xmlns:c16="http://schemas.microsoft.com/office/drawing/2014/chart" uri="{C3380CC4-5D6E-409C-BE32-E72D297353CC}">
                  <c16:uniqueId val="{00000017-5C1C-4458-A867-43F9070E6F8E}"/>
                </c:ext>
              </c:extLst>
            </c:dLbl>
            <c:dLbl>
              <c:idx val="25"/>
              <c:layout>
                <c:manualLayout>
                  <c:x val="9.4540896009480888E-3"/>
                  <c:y val="-6.4241495165793158E-17"/>
                </c:manualLayout>
              </c:layout>
              <c:showLegendKey val="0"/>
              <c:showVal val="1"/>
              <c:showCatName val="0"/>
              <c:showSerName val="0"/>
              <c:showPercent val="0"/>
              <c:showBubbleSize val="0"/>
              <c:extLst>
                <c:ext xmlns:c15="http://schemas.microsoft.com/office/drawing/2012/chart" uri="{CE6537A1-D6FC-4f65-9D91-7224C49458BB}">
                  <c15:layout>
                    <c:manualLayout>
                      <c:w val="2.6579497620951197E-2"/>
                      <c:h val="4.9005284602308359E-2"/>
                    </c:manualLayout>
                  </c15:layout>
                </c:ext>
                <c:ext xmlns:c16="http://schemas.microsoft.com/office/drawing/2014/chart" uri="{C3380CC4-5D6E-409C-BE32-E72D297353CC}">
                  <c16:uniqueId val="{00000018-5C1C-4458-A867-43F9070E6F8E}"/>
                </c:ext>
              </c:extLst>
            </c:dLbl>
            <c:dLbl>
              <c:idx val="26"/>
              <c:layout>
                <c:manualLayout>
                  <c:x val="1.5923973655807538E-2"/>
                  <c:y val="-3.4694469519536142E-18"/>
                </c:manualLayout>
              </c:layout>
              <c:showLegendKey val="0"/>
              <c:showVal val="1"/>
              <c:showCatName val="0"/>
              <c:showSerName val="0"/>
              <c:showPercent val="0"/>
              <c:showBubbleSize val="0"/>
              <c:extLst>
                <c:ext xmlns:c15="http://schemas.microsoft.com/office/drawing/2012/chart" uri="{CE6537A1-D6FC-4f65-9D91-7224C49458BB}">
                  <c15:layout>
                    <c:manualLayout>
                      <c:w val="3.7978428511237179E-2"/>
                      <c:h val="4.9005284602308352E-2"/>
                    </c:manualLayout>
                  </c15:layout>
                </c:ext>
                <c:ext xmlns:c16="http://schemas.microsoft.com/office/drawing/2014/chart" uri="{C3380CC4-5D6E-409C-BE32-E72D297353CC}">
                  <c16:uniqueId val="{00000000-08A9-466C-AC51-1FE78B903D8D}"/>
                </c:ext>
              </c:extLst>
            </c:dLbl>
            <c:dLbl>
              <c:idx val="27"/>
              <c:delete val="1"/>
              <c:extLst>
                <c:ext xmlns:c15="http://schemas.microsoft.com/office/drawing/2012/chart" uri="{CE6537A1-D6FC-4f65-9D91-7224C49458BB}">
                  <c15:layout>
                    <c:manualLayout>
                      <c:w val="2.3805665908162525E-2"/>
                      <c:h val="0.10616854259622106"/>
                    </c:manualLayout>
                  </c15:layout>
                </c:ext>
                <c:ext xmlns:c16="http://schemas.microsoft.com/office/drawing/2014/chart" uri="{C3380CC4-5D6E-409C-BE32-E72D297353CC}">
                  <c16:uniqueId val="{00000001-08A9-466C-AC51-1FE78B903D8D}"/>
                </c:ext>
              </c:extLst>
            </c:dLbl>
            <c:spPr>
              <a:noFill/>
              <a:ln>
                <a:noFill/>
              </a:ln>
              <a:effectLst/>
            </c:spPr>
            <c:txPr>
              <a:bodyPr rot="0" spcFirstLastPara="1" vertOverflow="overflow" horzOverflow="overflow" vert="horz" wrap="square" lIns="38100" tIns="19050" rIns="38100" bIns="19050" anchor="t" anchorCtr="0">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Kuvaajat!$A$37:$A$64</c:f>
              <c:strCache>
                <c:ptCount val="28"/>
                <c:pt idx="0">
                  <c:v>Ma 26</c:v>
                </c:pt>
                <c:pt idx="1">
                  <c:v>27.10</c:v>
                </c:pt>
                <c:pt idx="2">
                  <c:v>28.10</c:v>
                </c:pt>
                <c:pt idx="3">
                  <c:v>29.10</c:v>
                </c:pt>
                <c:pt idx="4">
                  <c:v>30.10</c:v>
                </c:pt>
                <c:pt idx="5">
                  <c:v>31.10</c:v>
                </c:pt>
                <c:pt idx="6">
                  <c:v>1.11</c:v>
                </c:pt>
                <c:pt idx="7">
                  <c:v>Ma 2</c:v>
                </c:pt>
                <c:pt idx="8">
                  <c:v>3.11</c:v>
                </c:pt>
                <c:pt idx="9">
                  <c:v>4.11</c:v>
                </c:pt>
                <c:pt idx="10">
                  <c:v>5.11</c:v>
                </c:pt>
                <c:pt idx="11">
                  <c:v>6.11</c:v>
                </c:pt>
                <c:pt idx="12">
                  <c:v>7.11</c:v>
                </c:pt>
                <c:pt idx="13">
                  <c:v>8.11</c:v>
                </c:pt>
                <c:pt idx="14">
                  <c:v>Ma 9</c:v>
                </c:pt>
                <c:pt idx="15">
                  <c:v>10.11</c:v>
                </c:pt>
                <c:pt idx="16">
                  <c:v>11.11</c:v>
                </c:pt>
                <c:pt idx="17">
                  <c:v>12.11</c:v>
                </c:pt>
                <c:pt idx="18">
                  <c:v>13.11</c:v>
                </c:pt>
                <c:pt idx="19">
                  <c:v>14.11</c:v>
                </c:pt>
                <c:pt idx="20">
                  <c:v>15.11</c:v>
                </c:pt>
                <c:pt idx="21">
                  <c:v>Ma 16</c:v>
                </c:pt>
                <c:pt idx="22">
                  <c:v>17.11</c:v>
                </c:pt>
                <c:pt idx="23">
                  <c:v>18.11</c:v>
                </c:pt>
                <c:pt idx="24">
                  <c:v>19.11</c:v>
                </c:pt>
                <c:pt idx="25">
                  <c:v>20.11</c:v>
                </c:pt>
                <c:pt idx="26">
                  <c:v>21.11</c:v>
                </c:pt>
                <c:pt idx="27">
                  <c:v>22.11</c:v>
                </c:pt>
              </c:strCache>
            </c:strRef>
          </c:cat>
          <c:val>
            <c:numRef>
              <c:f>Kuvaajat!$E$37:$E$64</c:f>
              <c:numCache>
                <c:formatCode>General</c:formatCode>
                <c:ptCount val="2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c:v>
                </c:pt>
                <c:pt idx="16">
                  <c:v>0</c:v>
                </c:pt>
                <c:pt idx="17">
                  <c:v>0</c:v>
                </c:pt>
                <c:pt idx="18">
                  <c:v>0</c:v>
                </c:pt>
                <c:pt idx="19">
                  <c:v>-2</c:v>
                </c:pt>
                <c:pt idx="20">
                  <c:v>-1</c:v>
                </c:pt>
                <c:pt idx="21">
                  <c:v>0</c:v>
                </c:pt>
                <c:pt idx="22">
                  <c:v>-1</c:v>
                </c:pt>
                <c:pt idx="23">
                  <c:v>-3</c:v>
                </c:pt>
                <c:pt idx="24">
                  <c:v>63</c:v>
                </c:pt>
                <c:pt idx="25">
                  <c:v>61</c:v>
                </c:pt>
                <c:pt idx="26">
                  <c:v>115</c:v>
                </c:pt>
                <c:pt idx="27">
                  <c:v>66</c:v>
                </c:pt>
              </c:numCache>
            </c:numRef>
          </c:val>
          <c:extLst>
            <c:ext xmlns:c16="http://schemas.microsoft.com/office/drawing/2014/chart" uri="{C3380CC4-5D6E-409C-BE32-E72D297353CC}">
              <c16:uniqueId val="{00000001-8404-4412-A023-FFC5688AA051}"/>
            </c:ext>
          </c:extLst>
        </c:ser>
        <c:dLbls>
          <c:showLegendKey val="0"/>
          <c:showVal val="0"/>
          <c:showCatName val="0"/>
          <c:showSerName val="0"/>
          <c:showPercent val="0"/>
          <c:showBubbleSize val="0"/>
        </c:dLbls>
        <c:gapWidth val="219"/>
        <c:overlap val="-27"/>
        <c:axId val="499878640"/>
        <c:axId val="499876016"/>
      </c:barChart>
      <c:catAx>
        <c:axId val="499878640"/>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t"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6016"/>
        <c:crosses val="autoZero"/>
        <c:auto val="0"/>
        <c:lblAlgn val="ctr"/>
        <c:lblOffset val="100"/>
        <c:noMultiLvlLbl val="0"/>
      </c:catAx>
      <c:valAx>
        <c:axId val="499876016"/>
        <c:scaling>
          <c:orientation val="minMax"/>
          <c:min val="-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low"/>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87864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348343</xdr:colOff>
          <xdr:row>0</xdr:row>
          <xdr:rowOff>43543</xdr:rowOff>
        </xdr:from>
        <xdr:to>
          <xdr:col>1</xdr:col>
          <xdr:colOff>1355271</xdr:colOff>
          <xdr:row>0</xdr:row>
          <xdr:rowOff>419100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250370</xdr:colOff>
      <xdr:row>6</xdr:row>
      <xdr:rowOff>163287</xdr:rowOff>
    </xdr:from>
    <xdr:to>
      <xdr:col>10</xdr:col>
      <xdr:colOff>506186</xdr:colOff>
      <xdr:row>24</xdr:row>
      <xdr:rowOff>117022</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527957</xdr:colOff>
      <xdr:row>26</xdr:row>
      <xdr:rowOff>157842</xdr:rowOff>
    </xdr:from>
    <xdr:to>
      <xdr:col>5</xdr:col>
      <xdr:colOff>103414</xdr:colOff>
      <xdr:row>41</xdr:row>
      <xdr:rowOff>125185</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163286</xdr:colOff>
      <xdr:row>0</xdr:row>
      <xdr:rowOff>92529</xdr:rowOff>
    </xdr:from>
    <xdr:to>
      <xdr:col>9</xdr:col>
      <xdr:colOff>119744</xdr:colOff>
      <xdr:row>12</xdr:row>
      <xdr:rowOff>102455</xdr:rowOff>
    </xdr:to>
    <xdr:graphicFrame macro="">
      <xdr:nvGraphicFramePr>
        <xdr:cNvPr id="2" name="Chart 1">
          <a:extLst>
            <a:ext uri="{FF2B5EF4-FFF2-40B4-BE49-F238E27FC236}">
              <a16:creationId xmlns:a16="http://schemas.microsoft.com/office/drawing/2014/main" id="{00000000-0008-0000-0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10</xdr:col>
          <xdr:colOff>272143</xdr:colOff>
          <xdr:row>5</xdr:row>
          <xdr:rowOff>16329</xdr:rowOff>
        </xdr:from>
        <xdr:to>
          <xdr:col>11</xdr:col>
          <xdr:colOff>625929</xdr:colOff>
          <xdr:row>7</xdr:row>
          <xdr:rowOff>21771</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Päivitä</a:t>
              </a:r>
            </a:p>
          </xdr:txBody>
        </xdr:sp>
        <xdr:clientData fPrintsWithSheet="0"/>
      </xdr:twoCellAnchor>
    </mc:Choice>
    <mc:Fallback/>
  </mc:AlternateContent>
  <xdr:twoCellAnchor>
    <xdr:from>
      <xdr:col>0</xdr:col>
      <xdr:colOff>368192</xdr:colOff>
      <xdr:row>9</xdr:row>
      <xdr:rowOff>83243</xdr:rowOff>
    </xdr:from>
    <xdr:to>
      <xdr:col>14</xdr:col>
      <xdr:colOff>249731</xdr:colOff>
      <xdr:row>28</xdr:row>
      <xdr:rowOff>179294</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615043</xdr:colOff>
      <xdr:row>29</xdr:row>
      <xdr:rowOff>32656</xdr:rowOff>
    </xdr:from>
    <xdr:to>
      <xdr:col>3</xdr:col>
      <xdr:colOff>506185</xdr:colOff>
      <xdr:row>29</xdr:row>
      <xdr:rowOff>48985</xdr:rowOff>
    </xdr:to>
    <xdr:cxnSp macro="">
      <xdr:nvCxnSpPr>
        <xdr:cNvPr id="9" name="Straight Arrow Connector 8">
          <a:extLst>
            <a:ext uri="{FF2B5EF4-FFF2-40B4-BE49-F238E27FC236}">
              <a16:creationId xmlns:a16="http://schemas.microsoft.com/office/drawing/2014/main" id="{00000000-0008-0000-0200-000009000000}"/>
            </a:ext>
          </a:extLst>
        </xdr:cNvPr>
        <xdr:cNvCxnSpPr/>
      </xdr:nvCxnSpPr>
      <xdr:spPr>
        <a:xfrm flipV="1">
          <a:off x="615043" y="5540827"/>
          <a:ext cx="1850571" cy="16329"/>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580143</xdr:colOff>
      <xdr:row>29</xdr:row>
      <xdr:rowOff>73637</xdr:rowOff>
    </xdr:from>
    <xdr:to>
      <xdr:col>13</xdr:col>
      <xdr:colOff>438629</xdr:colOff>
      <xdr:row>29</xdr:row>
      <xdr:rowOff>79080</xdr:rowOff>
    </xdr:to>
    <xdr:cxnSp macro="">
      <xdr:nvCxnSpPr>
        <xdr:cNvPr id="17" name="Straight Arrow Connector 16">
          <a:extLst>
            <a:ext uri="{FF2B5EF4-FFF2-40B4-BE49-F238E27FC236}">
              <a16:creationId xmlns:a16="http://schemas.microsoft.com/office/drawing/2014/main" id="{00000000-0008-0000-0200-000011000000}"/>
            </a:ext>
          </a:extLst>
        </xdr:cNvPr>
        <xdr:cNvCxnSpPr/>
      </xdr:nvCxnSpPr>
      <xdr:spPr>
        <a:xfrm>
          <a:off x="7284462" y="5414041"/>
          <a:ext cx="2022822" cy="544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377798</xdr:colOff>
      <xdr:row>29</xdr:row>
      <xdr:rowOff>57630</xdr:rowOff>
    </xdr:from>
    <xdr:to>
      <xdr:col>10</xdr:col>
      <xdr:colOff>383240</xdr:colOff>
      <xdr:row>29</xdr:row>
      <xdr:rowOff>62752</xdr:rowOff>
    </xdr:to>
    <xdr:cxnSp macro="">
      <xdr:nvCxnSpPr>
        <xdr:cNvPr id="19" name="Straight Arrow Connector 18">
          <a:extLst>
            <a:ext uri="{FF2B5EF4-FFF2-40B4-BE49-F238E27FC236}">
              <a16:creationId xmlns:a16="http://schemas.microsoft.com/office/drawing/2014/main" id="{00000000-0008-0000-0200-000013000000}"/>
            </a:ext>
          </a:extLst>
        </xdr:cNvPr>
        <xdr:cNvCxnSpPr/>
      </xdr:nvCxnSpPr>
      <xdr:spPr>
        <a:xfrm>
          <a:off x="5122689" y="5398034"/>
          <a:ext cx="1964870" cy="5122"/>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96051</xdr:colOff>
      <xdr:row>29</xdr:row>
      <xdr:rowOff>32016</xdr:rowOff>
    </xdr:from>
    <xdr:to>
      <xdr:col>7</xdr:col>
      <xdr:colOff>57630</xdr:colOff>
      <xdr:row>29</xdr:row>
      <xdr:rowOff>70436</xdr:rowOff>
    </xdr:to>
    <xdr:cxnSp macro="">
      <xdr:nvCxnSpPr>
        <xdr:cNvPr id="20" name="Straight Arrow Connector 19">
          <a:extLst>
            <a:ext uri="{FF2B5EF4-FFF2-40B4-BE49-F238E27FC236}">
              <a16:creationId xmlns:a16="http://schemas.microsoft.com/office/drawing/2014/main" id="{00000000-0008-0000-0200-000014000000}"/>
            </a:ext>
          </a:extLst>
        </xdr:cNvPr>
        <xdr:cNvCxnSpPr/>
      </xdr:nvCxnSpPr>
      <xdr:spPr>
        <a:xfrm>
          <a:off x="2881513" y="5372420"/>
          <a:ext cx="1921008" cy="38420"/>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jussivirkkala/excel/" TargetMode="External"/><Relationship Id="rId2" Type="http://schemas.openxmlformats.org/officeDocument/2006/relationships/hyperlink" Target="https://github.com/HS-Datadesk/koronavirus-avoindata" TargetMode="External"/><Relationship Id="rId1" Type="http://schemas.openxmlformats.org/officeDocument/2006/relationships/hyperlink" Target="https://twitter.com/jussivirkkala" TargetMode="External"/><Relationship Id="rId5" Type="http://schemas.openxmlformats.org/officeDocument/2006/relationships/printerSettings" Target="../printerSettings/printerSettings1.bin"/><Relationship Id="rId4" Type="http://schemas.openxmlformats.org/officeDocument/2006/relationships/hyperlink" Target="https://w3qa5ydb4l.execute-api.eu-west-1.amazonaws.com/prod/processedThlData" TargetMode="Externa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64088F-245B-4E79-B515-7C94FED28A0F}">
  <sheetPr codeName="Sheet3"/>
  <dimension ref="A2:G15"/>
  <sheetViews>
    <sheetView workbookViewId="0">
      <selection activeCell="A17" sqref="A17"/>
    </sheetView>
  </sheetViews>
  <sheetFormatPr defaultRowHeight="14.6"/>
  <sheetData>
    <row r="2" spans="1:7" ht="14.6" customHeight="1">
      <c r="A2" s="20" t="s">
        <v>10</v>
      </c>
      <c r="B2" s="21"/>
      <c r="C2" s="21"/>
      <c r="D2" s="21"/>
      <c r="E2" s="21"/>
      <c r="F2" s="21"/>
      <c r="G2" s="21"/>
    </row>
    <row r="3" spans="1:7">
      <c r="A3" s="21"/>
      <c r="B3" s="21"/>
      <c r="C3" s="21"/>
      <c r="D3" s="21"/>
      <c r="E3" s="21"/>
      <c r="F3" s="21"/>
      <c r="G3" s="21"/>
    </row>
    <row r="4" spans="1:7">
      <c r="A4" s="21"/>
      <c r="B4" s="21"/>
      <c r="C4" s="21"/>
      <c r="D4" s="21"/>
      <c r="E4" s="21"/>
      <c r="F4" s="21"/>
      <c r="G4" s="21"/>
    </row>
    <row r="5" spans="1:7">
      <c r="A5" s="21"/>
      <c r="B5" s="21"/>
      <c r="C5" s="21"/>
      <c r="D5" s="21"/>
      <c r="E5" s="21"/>
      <c r="F5" s="21"/>
      <c r="G5" s="21"/>
    </row>
    <row r="6" spans="1:7">
      <c r="A6" s="21"/>
      <c r="B6" s="21"/>
      <c r="C6" s="21"/>
      <c r="D6" s="21"/>
      <c r="E6" s="21"/>
      <c r="F6" s="21"/>
      <c r="G6" s="21"/>
    </row>
    <row r="7" spans="1:7">
      <c r="A7" s="21"/>
      <c r="B7" s="21"/>
      <c r="C7" s="21"/>
      <c r="D7" s="21"/>
      <c r="E7" s="21"/>
      <c r="F7" s="21"/>
      <c r="G7" s="21"/>
    </row>
    <row r="8" spans="1:7">
      <c r="E8" s="3"/>
      <c r="F8" s="5"/>
    </row>
    <row r="9" spans="1:7">
      <c r="A9" s="2" t="s">
        <v>3</v>
      </c>
      <c r="E9" s="3"/>
    </row>
    <row r="10" spans="1:7">
      <c r="A10" s="2" t="s">
        <v>233</v>
      </c>
      <c r="E10" s="3"/>
      <c r="F10" s="5"/>
    </row>
    <row r="11" spans="1:7">
      <c r="E11" s="3"/>
      <c r="F11" s="5"/>
    </row>
    <row r="12" spans="1:7">
      <c r="A12" s="2" t="s">
        <v>4</v>
      </c>
      <c r="E12" s="3"/>
      <c r="F12" s="5"/>
    </row>
    <row r="13" spans="1:7">
      <c r="A13" s="2" t="s">
        <v>2</v>
      </c>
      <c r="E13" s="3"/>
      <c r="F13" s="5"/>
    </row>
    <row r="15" spans="1:7">
      <c r="A15" t="s">
        <v>230</v>
      </c>
    </row>
  </sheetData>
  <mergeCells count="1">
    <mergeCell ref="A2:G7"/>
  </mergeCells>
  <hyperlinks>
    <hyperlink ref="A13" r:id="rId1" xr:uid="{F8FA84BD-A594-4E50-8533-EFEB1B4E2616}"/>
    <hyperlink ref="A9" r:id="rId2" xr:uid="{3C641F14-022E-4A09-BCA3-F517507E4420}"/>
    <hyperlink ref="A12" r:id="rId3" xr:uid="{A2A2D222-8F1A-41CF-A12E-D0174C77E917}"/>
    <hyperlink ref="A10" r:id="rId4" xr:uid="{463C0BF0-7367-4C34-802B-5C0500A4F227}"/>
  </hyperlinks>
  <pageMargins left="0.7" right="0.7" top="0.75" bottom="0.75" header="0.3" footer="0.3"/>
  <pageSetup paperSize="9" orientation="portrait" horizontalDpi="300" verticalDpi="300" r:id="rId5"/>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0CF48C-E45F-4CC9-BCBF-EA577CECB1AD}">
  <sheetPr codeName="Sheet1"/>
  <dimension ref="A1:M366"/>
  <sheetViews>
    <sheetView workbookViewId="0">
      <pane ySplit="1" topLeftCell="A7" activePane="bottomLeft" state="frozen"/>
      <selection pane="bottomLeft" activeCell="L15" sqref="L15"/>
    </sheetView>
  </sheetViews>
  <sheetFormatPr defaultRowHeight="14.6"/>
  <cols>
    <col min="2" max="2" width="22.84375" bestFit="1" customWidth="1"/>
    <col min="3" max="3" width="17.15234375" bestFit="1" customWidth="1"/>
    <col min="4" max="4" width="6.07421875" customWidth="1"/>
    <col min="5" max="5" width="15.3046875" style="3" bestFit="1" customWidth="1"/>
    <col min="6" max="6" width="14" style="5" bestFit="1" customWidth="1"/>
    <col min="8" max="8" width="8.921875" style="4" bestFit="1" customWidth="1"/>
    <col min="9" max="9" width="16.765625" customWidth="1"/>
    <col min="12" max="12" width="14" bestFit="1" customWidth="1"/>
  </cols>
  <sheetData>
    <row r="1" spans="1:13" s="7" customFormat="1" ht="40" customHeight="1">
      <c r="A1" s="7" t="s">
        <v>291</v>
      </c>
      <c r="B1" s="1" t="s">
        <v>1</v>
      </c>
      <c r="C1" s="1" t="s">
        <v>9</v>
      </c>
      <c r="D1" s="1" t="s">
        <v>292</v>
      </c>
      <c r="E1" s="1" t="s">
        <v>301</v>
      </c>
      <c r="F1" s="6" t="s">
        <v>7</v>
      </c>
      <c r="G1" s="1" t="s">
        <v>0</v>
      </c>
      <c r="H1" s="7">
        <f>SUM(A:A)</f>
        <v>21936</v>
      </c>
      <c r="I1" s="8">
        <v>44158.506018518521</v>
      </c>
      <c r="J1" s="7">
        <f>MAX(Id)</f>
        <v>471</v>
      </c>
      <c r="K1" s="15">
        <f>VLOOKUP(J1,A:F,6,FALSE)</f>
        <v>44154.625</v>
      </c>
      <c r="L1" s="7" t="str">
        <f>"Päivittäisiä Korona tapauksia vuoden 2020 alusta lähtien "&amp;TEXT(MAX(F:F)-4,"p.kk")&amp;" saakka. Suurin arvo "&amp;J1&amp;", joka "&amp;TEXT(K1,"p.kk")&amp;". Uusimpien 4 päivien arvot tulevat viiveellä, joten ne jätetty pois kuvaajasta "&amp;TEXT(MAX(F:F),"p.kk")&amp;"."</f>
        <v>Päivittäisiä Korona tapauksia vuoden 2020 alusta lähtien 19.11 saakka. Suurin arvo 471, joka 19.11. Uusimpien 4 päivien arvot tulevat viiveellä, joten ne jätetty pois kuvaajasta 23.11.</v>
      </c>
      <c r="M1" s="7">
        <f>COUNT(Id)-5</f>
        <v>323</v>
      </c>
    </row>
    <row r="2" spans="1:13">
      <c r="A2">
        <v>0</v>
      </c>
      <c r="B2" t="s">
        <v>235</v>
      </c>
      <c r="C2" t="s">
        <v>8</v>
      </c>
      <c r="E2" s="3">
        <f>WEEKDAY(F2,2)</f>
        <v>3</v>
      </c>
      <c r="F2" s="5">
        <v>43831.625</v>
      </c>
      <c r="H2" s="19" t="str">
        <f>IF(WEEKDAY(F2,2)=1,"W"&amp;WEEKNUM(F2,14),"")</f>
        <v/>
      </c>
    </row>
    <row r="3" spans="1:13">
      <c r="A3">
        <v>0</v>
      </c>
      <c r="B3" t="s">
        <v>236</v>
      </c>
      <c r="C3" t="s">
        <v>8</v>
      </c>
      <c r="E3" s="3">
        <f t="shared" ref="E3:E66" si="0">WEEKDAY(F3,2)</f>
        <v>4</v>
      </c>
      <c r="F3" s="5">
        <v>43832.625</v>
      </c>
      <c r="H3" s="19" t="str">
        <f t="shared" ref="H3:H66" si="1">IF(WEEKDAY(F3,2)=1,"W"&amp;WEEKNUM(F3,14),"")</f>
        <v/>
      </c>
    </row>
    <row r="4" spans="1:13">
      <c r="A4">
        <v>0</v>
      </c>
      <c r="B4" t="s">
        <v>237</v>
      </c>
      <c r="C4" t="s">
        <v>8</v>
      </c>
      <c r="E4" s="3">
        <f t="shared" si="0"/>
        <v>5</v>
      </c>
      <c r="F4" s="5">
        <v>43833.625</v>
      </c>
      <c r="H4" s="19" t="str">
        <f t="shared" si="1"/>
        <v/>
      </c>
    </row>
    <row r="5" spans="1:13">
      <c r="A5">
        <v>0</v>
      </c>
      <c r="B5" t="s">
        <v>238</v>
      </c>
      <c r="C5" t="s">
        <v>8</v>
      </c>
      <c r="E5" s="3">
        <f t="shared" si="0"/>
        <v>6</v>
      </c>
      <c r="F5" s="5">
        <v>43834.625</v>
      </c>
      <c r="H5" s="19" t="str">
        <f t="shared" si="1"/>
        <v/>
      </c>
    </row>
    <row r="6" spans="1:13">
      <c r="A6">
        <v>0</v>
      </c>
      <c r="B6" t="s">
        <v>239</v>
      </c>
      <c r="C6" t="s">
        <v>8</v>
      </c>
      <c r="E6" s="3">
        <f t="shared" si="0"/>
        <v>7</v>
      </c>
      <c r="F6" s="5">
        <v>43835.625</v>
      </c>
      <c r="H6" s="19" t="str">
        <f t="shared" si="1"/>
        <v/>
      </c>
    </row>
    <row r="7" spans="1:13">
      <c r="A7">
        <v>0</v>
      </c>
      <c r="B7" t="s">
        <v>240</v>
      </c>
      <c r="C7" t="s">
        <v>8</v>
      </c>
      <c r="E7" s="3">
        <f t="shared" si="0"/>
        <v>1</v>
      </c>
      <c r="F7" s="5">
        <v>43836.625</v>
      </c>
      <c r="H7" s="19" t="str">
        <f t="shared" si="1"/>
        <v>W2</v>
      </c>
    </row>
    <row r="8" spans="1:13">
      <c r="A8">
        <v>0</v>
      </c>
      <c r="B8" t="s">
        <v>241</v>
      </c>
      <c r="C8" t="s">
        <v>8</v>
      </c>
      <c r="E8" s="3">
        <f t="shared" si="0"/>
        <v>2</v>
      </c>
      <c r="F8" s="5">
        <v>43837.625</v>
      </c>
      <c r="H8" s="19" t="str">
        <f t="shared" si="1"/>
        <v/>
      </c>
    </row>
    <row r="9" spans="1:13">
      <c r="A9">
        <v>0</v>
      </c>
      <c r="B9" t="s">
        <v>242</v>
      </c>
      <c r="C9" t="s">
        <v>8</v>
      </c>
      <c r="E9" s="3">
        <f t="shared" si="0"/>
        <v>3</v>
      </c>
      <c r="F9" s="5">
        <v>43838.625</v>
      </c>
      <c r="H9" s="19" t="str">
        <f t="shared" si="1"/>
        <v/>
      </c>
    </row>
    <row r="10" spans="1:13">
      <c r="A10">
        <v>0</v>
      </c>
      <c r="B10" t="s">
        <v>243</v>
      </c>
      <c r="C10" t="s">
        <v>8</v>
      </c>
      <c r="E10" s="3">
        <f t="shared" si="0"/>
        <v>4</v>
      </c>
      <c r="F10" s="5">
        <v>43839.625</v>
      </c>
      <c r="H10" s="19" t="str">
        <f t="shared" si="1"/>
        <v/>
      </c>
    </row>
    <row r="11" spans="1:13">
      <c r="A11">
        <v>0</v>
      </c>
      <c r="B11" t="s">
        <v>244</v>
      </c>
      <c r="C11" t="s">
        <v>8</v>
      </c>
      <c r="E11" s="3">
        <f t="shared" si="0"/>
        <v>5</v>
      </c>
      <c r="F11" s="5">
        <v>43840.625</v>
      </c>
      <c r="H11" s="19" t="str">
        <f t="shared" si="1"/>
        <v/>
      </c>
    </row>
    <row r="12" spans="1:13">
      <c r="A12">
        <v>0</v>
      </c>
      <c r="B12" t="s">
        <v>245</v>
      </c>
      <c r="C12" t="s">
        <v>8</v>
      </c>
      <c r="E12" s="3">
        <f t="shared" si="0"/>
        <v>6</v>
      </c>
      <c r="F12" s="5">
        <v>43841.625</v>
      </c>
      <c r="H12" s="19" t="str">
        <f t="shared" si="1"/>
        <v/>
      </c>
    </row>
    <row r="13" spans="1:13">
      <c r="A13">
        <v>0</v>
      </c>
      <c r="B13" t="s">
        <v>246</v>
      </c>
      <c r="C13" t="s">
        <v>8</v>
      </c>
      <c r="E13" s="3">
        <f t="shared" si="0"/>
        <v>7</v>
      </c>
      <c r="F13" s="5">
        <v>43842.625</v>
      </c>
      <c r="H13" s="19" t="str">
        <f t="shared" si="1"/>
        <v/>
      </c>
    </row>
    <row r="14" spans="1:13">
      <c r="A14">
        <v>0</v>
      </c>
      <c r="B14" t="s">
        <v>247</v>
      </c>
      <c r="C14" t="s">
        <v>8</v>
      </c>
      <c r="E14" s="3">
        <f t="shared" si="0"/>
        <v>1</v>
      </c>
      <c r="F14" s="5">
        <v>43843.625</v>
      </c>
      <c r="H14" s="19" t="str">
        <f t="shared" si="1"/>
        <v>W3</v>
      </c>
    </row>
    <row r="15" spans="1:13">
      <c r="A15">
        <v>0</v>
      </c>
      <c r="B15" t="s">
        <v>248</v>
      </c>
      <c r="C15" t="s">
        <v>8</v>
      </c>
      <c r="E15" s="3">
        <f t="shared" si="0"/>
        <v>2</v>
      </c>
      <c r="F15" s="5">
        <v>43844.625</v>
      </c>
      <c r="H15" s="19" t="str">
        <f t="shared" si="1"/>
        <v/>
      </c>
    </row>
    <row r="16" spans="1:13">
      <c r="A16">
        <v>0</v>
      </c>
      <c r="B16" t="s">
        <v>249</v>
      </c>
      <c r="C16" t="s">
        <v>8</v>
      </c>
      <c r="E16" s="3">
        <f t="shared" si="0"/>
        <v>3</v>
      </c>
      <c r="F16" s="5">
        <v>43845.625</v>
      </c>
      <c r="H16" s="19" t="str">
        <f t="shared" si="1"/>
        <v/>
      </c>
    </row>
    <row r="17" spans="1:11">
      <c r="A17">
        <v>0</v>
      </c>
      <c r="B17" t="s">
        <v>250</v>
      </c>
      <c r="C17" t="s">
        <v>8</v>
      </c>
      <c r="E17" s="3">
        <f t="shared" si="0"/>
        <v>4</v>
      </c>
      <c r="F17" s="5">
        <v>43846.625</v>
      </c>
      <c r="H17" s="19" t="str">
        <f t="shared" si="1"/>
        <v/>
      </c>
    </row>
    <row r="18" spans="1:11">
      <c r="A18">
        <v>0</v>
      </c>
      <c r="B18" t="s">
        <v>251</v>
      </c>
      <c r="C18" t="s">
        <v>8</v>
      </c>
      <c r="E18" s="3">
        <f t="shared" si="0"/>
        <v>5</v>
      </c>
      <c r="F18" s="5">
        <v>43847.625</v>
      </c>
      <c r="H18" s="19" t="str">
        <f t="shared" si="1"/>
        <v/>
      </c>
    </row>
    <row r="19" spans="1:11">
      <c r="A19">
        <v>0</v>
      </c>
      <c r="B19" t="s">
        <v>252</v>
      </c>
      <c r="C19" t="s">
        <v>8</v>
      </c>
      <c r="E19" s="3">
        <f t="shared" si="0"/>
        <v>6</v>
      </c>
      <c r="F19" s="5">
        <v>43848.625</v>
      </c>
      <c r="H19" s="19" t="str">
        <f t="shared" si="1"/>
        <v/>
      </c>
    </row>
    <row r="20" spans="1:11">
      <c r="A20">
        <v>0</v>
      </c>
      <c r="B20" t="s">
        <v>253</v>
      </c>
      <c r="C20" t="s">
        <v>8</v>
      </c>
      <c r="E20" s="3">
        <f t="shared" si="0"/>
        <v>7</v>
      </c>
      <c r="F20" s="5">
        <v>43849.625</v>
      </c>
      <c r="H20" s="19" t="str">
        <f t="shared" si="1"/>
        <v/>
      </c>
    </row>
    <row r="21" spans="1:11">
      <c r="A21">
        <v>1</v>
      </c>
      <c r="B21" t="s">
        <v>254</v>
      </c>
      <c r="C21" t="s">
        <v>8</v>
      </c>
      <c r="E21" s="3">
        <f t="shared" si="0"/>
        <v>1</v>
      </c>
      <c r="F21" s="5">
        <v>43850.625</v>
      </c>
      <c r="H21" s="19" t="str">
        <f t="shared" si="1"/>
        <v>W4</v>
      </c>
    </row>
    <row r="22" spans="1:11">
      <c r="A22">
        <v>0</v>
      </c>
      <c r="B22" t="s">
        <v>255</v>
      </c>
      <c r="C22" t="s">
        <v>8</v>
      </c>
      <c r="E22" s="3">
        <f t="shared" si="0"/>
        <v>2</v>
      </c>
      <c r="F22" s="5">
        <v>43851.625</v>
      </c>
      <c r="H22" s="19" t="str">
        <f t="shared" si="1"/>
        <v/>
      </c>
    </row>
    <row r="23" spans="1:11">
      <c r="A23">
        <v>0</v>
      </c>
      <c r="B23" t="s">
        <v>256</v>
      </c>
      <c r="C23" t="s">
        <v>8</v>
      </c>
      <c r="E23" s="3">
        <f t="shared" si="0"/>
        <v>3</v>
      </c>
      <c r="F23" s="5">
        <v>43852.625</v>
      </c>
      <c r="H23" s="19" t="str">
        <f t="shared" si="1"/>
        <v/>
      </c>
    </row>
    <row r="24" spans="1:11">
      <c r="A24">
        <v>0</v>
      </c>
      <c r="B24" t="s">
        <v>257</v>
      </c>
      <c r="C24" t="s">
        <v>8</v>
      </c>
      <c r="E24" s="3">
        <f t="shared" si="0"/>
        <v>4</v>
      </c>
      <c r="F24" s="5">
        <v>43853.625</v>
      </c>
      <c r="H24" s="19" t="str">
        <f t="shared" si="1"/>
        <v/>
      </c>
    </row>
    <row r="25" spans="1:11">
      <c r="A25">
        <v>0</v>
      </c>
      <c r="B25" t="s">
        <v>258</v>
      </c>
      <c r="C25" t="s">
        <v>8</v>
      </c>
      <c r="E25" s="3">
        <f t="shared" si="0"/>
        <v>5</v>
      </c>
      <c r="F25" s="5">
        <v>43854.625</v>
      </c>
      <c r="H25" s="19" t="str">
        <f t="shared" si="1"/>
        <v/>
      </c>
    </row>
    <row r="26" spans="1:11">
      <c r="A26">
        <v>0</v>
      </c>
      <c r="B26" t="s">
        <v>259</v>
      </c>
      <c r="C26" t="s">
        <v>8</v>
      </c>
      <c r="E26" s="3">
        <f t="shared" si="0"/>
        <v>6</v>
      </c>
      <c r="F26" s="5">
        <v>43855.625</v>
      </c>
      <c r="H26" s="19" t="str">
        <f t="shared" si="1"/>
        <v/>
      </c>
    </row>
    <row r="27" spans="1:11">
      <c r="A27">
        <v>0</v>
      </c>
      <c r="B27" t="s">
        <v>260</v>
      </c>
      <c r="C27" t="s">
        <v>8</v>
      </c>
      <c r="E27" s="3">
        <f t="shared" si="0"/>
        <v>7</v>
      </c>
      <c r="F27" s="5">
        <v>43856.625</v>
      </c>
      <c r="H27" s="19" t="str">
        <f t="shared" si="1"/>
        <v/>
      </c>
    </row>
    <row r="28" spans="1:11">
      <c r="A28">
        <v>0</v>
      </c>
      <c r="B28" t="s">
        <v>261</v>
      </c>
      <c r="C28" t="s">
        <v>8</v>
      </c>
      <c r="E28" s="3">
        <f t="shared" si="0"/>
        <v>1</v>
      </c>
      <c r="F28" s="5">
        <v>43857.625</v>
      </c>
      <c r="H28" s="19" t="str">
        <f t="shared" si="1"/>
        <v>W5</v>
      </c>
    </row>
    <row r="29" spans="1:11">
      <c r="A29">
        <v>1</v>
      </c>
      <c r="B29" t="s">
        <v>11</v>
      </c>
      <c r="C29" t="s">
        <v>8</v>
      </c>
      <c r="E29" s="3">
        <f t="shared" si="0"/>
        <v>2</v>
      </c>
      <c r="F29" s="5">
        <v>43858.625</v>
      </c>
      <c r="H29" s="19" t="str">
        <f t="shared" si="1"/>
        <v/>
      </c>
      <c r="I29" t="s">
        <v>299</v>
      </c>
      <c r="K29" t="s">
        <v>300</v>
      </c>
    </row>
    <row r="30" spans="1:11">
      <c r="A30">
        <v>0</v>
      </c>
      <c r="B30" t="s">
        <v>262</v>
      </c>
      <c r="C30" t="s">
        <v>8</v>
      </c>
      <c r="E30" s="3">
        <f t="shared" si="0"/>
        <v>3</v>
      </c>
      <c r="F30" s="5">
        <v>43859.625</v>
      </c>
      <c r="H30" s="19" t="str">
        <f t="shared" si="1"/>
        <v/>
      </c>
      <c r="I30">
        <v>1</v>
      </c>
      <c r="J30" t="s">
        <v>302</v>
      </c>
      <c r="K30">
        <f t="shared" ref="K30:K36" si="2">SUMIF(E:E,I30,Id)</f>
        <v>3772</v>
      </c>
    </row>
    <row r="31" spans="1:11">
      <c r="A31">
        <v>0</v>
      </c>
      <c r="B31" t="s">
        <v>263</v>
      </c>
      <c r="C31" t="s">
        <v>8</v>
      </c>
      <c r="E31" s="3">
        <f t="shared" si="0"/>
        <v>4</v>
      </c>
      <c r="F31" s="5">
        <v>43860.625</v>
      </c>
      <c r="H31" s="19" t="str">
        <f t="shared" si="1"/>
        <v/>
      </c>
      <c r="I31">
        <v>2</v>
      </c>
      <c r="J31" t="s">
        <v>303</v>
      </c>
      <c r="K31">
        <f t="shared" si="2"/>
        <v>3510</v>
      </c>
    </row>
    <row r="32" spans="1:11">
      <c r="A32">
        <v>0</v>
      </c>
      <c r="B32" t="s">
        <v>264</v>
      </c>
      <c r="C32" t="s">
        <v>8</v>
      </c>
      <c r="E32" s="3">
        <f t="shared" si="0"/>
        <v>5</v>
      </c>
      <c r="F32" s="5">
        <v>43861.625</v>
      </c>
      <c r="H32" s="19" t="str">
        <f t="shared" si="1"/>
        <v/>
      </c>
      <c r="I32">
        <v>3</v>
      </c>
      <c r="J32" t="s">
        <v>304</v>
      </c>
      <c r="K32">
        <f t="shared" si="2"/>
        <v>3589</v>
      </c>
    </row>
    <row r="33" spans="1:11">
      <c r="A33">
        <v>0</v>
      </c>
      <c r="B33" t="s">
        <v>265</v>
      </c>
      <c r="C33" t="s">
        <v>8</v>
      </c>
      <c r="E33" s="3">
        <f t="shared" si="0"/>
        <v>6</v>
      </c>
      <c r="F33" s="5">
        <v>43862.625</v>
      </c>
      <c r="H33" s="19" t="str">
        <f t="shared" si="1"/>
        <v/>
      </c>
      <c r="I33">
        <v>4</v>
      </c>
      <c r="J33" t="s">
        <v>305</v>
      </c>
      <c r="K33">
        <f t="shared" si="2"/>
        <v>3639</v>
      </c>
    </row>
    <row r="34" spans="1:11">
      <c r="A34">
        <v>0</v>
      </c>
      <c r="B34" t="s">
        <v>266</v>
      </c>
      <c r="C34" t="s">
        <v>8</v>
      </c>
      <c r="E34" s="3">
        <f t="shared" si="0"/>
        <v>7</v>
      </c>
      <c r="F34" s="5">
        <v>43863.625</v>
      </c>
      <c r="H34" s="19" t="str">
        <f t="shared" si="1"/>
        <v/>
      </c>
      <c r="I34">
        <v>5</v>
      </c>
      <c r="J34" t="s">
        <v>306</v>
      </c>
      <c r="K34">
        <f t="shared" si="2"/>
        <v>3265</v>
      </c>
    </row>
    <row r="35" spans="1:11">
      <c r="A35">
        <v>0</v>
      </c>
      <c r="B35" t="s">
        <v>267</v>
      </c>
      <c r="C35" t="s">
        <v>8</v>
      </c>
      <c r="E35" s="3">
        <f t="shared" si="0"/>
        <v>1</v>
      </c>
      <c r="F35" s="5">
        <v>43864.625</v>
      </c>
      <c r="H35" s="19" t="str">
        <f t="shared" si="1"/>
        <v>W6</v>
      </c>
      <c r="I35">
        <v>6</v>
      </c>
      <c r="J35" t="s">
        <v>307</v>
      </c>
      <c r="K35">
        <f t="shared" si="2"/>
        <v>2016</v>
      </c>
    </row>
    <row r="36" spans="1:11">
      <c r="A36">
        <v>0</v>
      </c>
      <c r="B36" t="s">
        <v>268</v>
      </c>
      <c r="C36" t="s">
        <v>8</v>
      </c>
      <c r="E36" s="3">
        <f t="shared" si="0"/>
        <v>2</v>
      </c>
      <c r="F36" s="5">
        <v>43865.625</v>
      </c>
      <c r="H36" s="19" t="str">
        <f t="shared" si="1"/>
        <v/>
      </c>
      <c r="I36">
        <v>7</v>
      </c>
      <c r="J36" t="s">
        <v>308</v>
      </c>
      <c r="K36">
        <f t="shared" si="2"/>
        <v>2145</v>
      </c>
    </row>
    <row r="37" spans="1:11">
      <c r="A37">
        <v>0</v>
      </c>
      <c r="B37" t="s">
        <v>269</v>
      </c>
      <c r="C37" t="s">
        <v>8</v>
      </c>
      <c r="E37" s="3">
        <f t="shared" si="0"/>
        <v>3</v>
      </c>
      <c r="F37" s="5">
        <v>43866.625</v>
      </c>
      <c r="H37" s="19" t="str">
        <f t="shared" si="1"/>
        <v/>
      </c>
    </row>
    <row r="38" spans="1:11">
      <c r="A38">
        <v>0</v>
      </c>
      <c r="B38" t="s">
        <v>270</v>
      </c>
      <c r="C38" t="s">
        <v>8</v>
      </c>
      <c r="E38" s="3">
        <f t="shared" si="0"/>
        <v>4</v>
      </c>
      <c r="F38" s="5">
        <v>43867.625</v>
      </c>
      <c r="H38" s="19" t="str">
        <f t="shared" si="1"/>
        <v/>
      </c>
    </row>
    <row r="39" spans="1:11">
      <c r="A39">
        <v>0</v>
      </c>
      <c r="B39" t="s">
        <v>271</v>
      </c>
      <c r="C39" t="s">
        <v>8</v>
      </c>
      <c r="E39" s="3">
        <f t="shared" si="0"/>
        <v>5</v>
      </c>
      <c r="F39" s="5">
        <v>43868.625</v>
      </c>
      <c r="H39" s="19" t="str">
        <f t="shared" si="1"/>
        <v/>
      </c>
    </row>
    <row r="40" spans="1:11">
      <c r="A40">
        <v>0</v>
      </c>
      <c r="B40" t="s">
        <v>272</v>
      </c>
      <c r="C40" t="s">
        <v>8</v>
      </c>
      <c r="E40" s="3">
        <f t="shared" si="0"/>
        <v>6</v>
      </c>
      <c r="F40" s="5">
        <v>43869.625</v>
      </c>
      <c r="H40" s="19" t="str">
        <f t="shared" si="1"/>
        <v/>
      </c>
    </row>
    <row r="41" spans="1:11">
      <c r="A41">
        <v>0</v>
      </c>
      <c r="B41" t="s">
        <v>273</v>
      </c>
      <c r="C41" t="s">
        <v>8</v>
      </c>
      <c r="E41" s="3">
        <f t="shared" si="0"/>
        <v>7</v>
      </c>
      <c r="F41" s="5">
        <v>43870.625</v>
      </c>
      <c r="H41" s="19" t="str">
        <f t="shared" si="1"/>
        <v/>
      </c>
    </row>
    <row r="42" spans="1:11">
      <c r="A42">
        <v>1</v>
      </c>
      <c r="B42" t="s">
        <v>12</v>
      </c>
      <c r="C42" t="s">
        <v>8</v>
      </c>
      <c r="E42" s="3">
        <f t="shared" si="0"/>
        <v>1</v>
      </c>
      <c r="F42" s="5">
        <v>43871.625</v>
      </c>
      <c r="H42" s="19" t="str">
        <f t="shared" si="1"/>
        <v>W7</v>
      </c>
    </row>
    <row r="43" spans="1:11">
      <c r="A43">
        <v>0</v>
      </c>
      <c r="B43" t="s">
        <v>274</v>
      </c>
      <c r="C43" t="s">
        <v>8</v>
      </c>
      <c r="E43" s="3">
        <f t="shared" si="0"/>
        <v>2</v>
      </c>
      <c r="F43" s="5">
        <v>43872.625</v>
      </c>
      <c r="H43" s="19" t="str">
        <f t="shared" si="1"/>
        <v/>
      </c>
    </row>
    <row r="44" spans="1:11">
      <c r="A44">
        <v>0</v>
      </c>
      <c r="B44" t="s">
        <v>275</v>
      </c>
      <c r="C44" t="s">
        <v>8</v>
      </c>
      <c r="E44" s="3">
        <f t="shared" si="0"/>
        <v>3</v>
      </c>
      <c r="F44" s="5">
        <v>43873.625</v>
      </c>
      <c r="H44" s="19" t="str">
        <f t="shared" si="1"/>
        <v/>
      </c>
    </row>
    <row r="45" spans="1:11">
      <c r="A45">
        <v>0</v>
      </c>
      <c r="B45" t="s">
        <v>276</v>
      </c>
      <c r="C45" t="s">
        <v>8</v>
      </c>
      <c r="E45" s="3">
        <f t="shared" si="0"/>
        <v>4</v>
      </c>
      <c r="F45" s="5">
        <v>43874.625</v>
      </c>
      <c r="H45" s="19" t="str">
        <f t="shared" si="1"/>
        <v/>
      </c>
    </row>
    <row r="46" spans="1:11">
      <c r="A46">
        <v>0</v>
      </c>
      <c r="B46" t="s">
        <v>277</v>
      </c>
      <c r="C46" t="s">
        <v>8</v>
      </c>
      <c r="E46" s="3">
        <f t="shared" si="0"/>
        <v>5</v>
      </c>
      <c r="F46" s="5">
        <v>43875.625</v>
      </c>
      <c r="H46" s="19" t="str">
        <f t="shared" si="1"/>
        <v/>
      </c>
    </row>
    <row r="47" spans="1:11">
      <c r="A47">
        <v>0</v>
      </c>
      <c r="B47" t="s">
        <v>278</v>
      </c>
      <c r="C47" t="s">
        <v>8</v>
      </c>
      <c r="E47" s="3">
        <f t="shared" si="0"/>
        <v>6</v>
      </c>
      <c r="F47" s="5">
        <v>43876.625</v>
      </c>
      <c r="H47" s="19" t="str">
        <f t="shared" si="1"/>
        <v/>
      </c>
    </row>
    <row r="48" spans="1:11">
      <c r="A48">
        <v>0</v>
      </c>
      <c r="B48" t="s">
        <v>279</v>
      </c>
      <c r="C48" t="s">
        <v>8</v>
      </c>
      <c r="E48" s="3">
        <f t="shared" si="0"/>
        <v>7</v>
      </c>
      <c r="F48" s="5">
        <v>43877.625</v>
      </c>
      <c r="H48" s="19" t="str">
        <f t="shared" si="1"/>
        <v/>
      </c>
    </row>
    <row r="49" spans="1:8">
      <c r="A49">
        <v>0</v>
      </c>
      <c r="B49" t="s">
        <v>280</v>
      </c>
      <c r="C49" t="s">
        <v>8</v>
      </c>
      <c r="E49" s="3">
        <f t="shared" si="0"/>
        <v>1</v>
      </c>
      <c r="F49" s="5">
        <v>43878.625</v>
      </c>
      <c r="H49" s="19" t="str">
        <f t="shared" si="1"/>
        <v>W8</v>
      </c>
    </row>
    <row r="50" spans="1:8">
      <c r="A50">
        <v>0</v>
      </c>
      <c r="B50" t="s">
        <v>281</v>
      </c>
      <c r="C50" t="s">
        <v>8</v>
      </c>
      <c r="E50" s="3">
        <f t="shared" si="0"/>
        <v>2</v>
      </c>
      <c r="F50" s="5">
        <v>43879.625</v>
      </c>
      <c r="H50" s="19" t="str">
        <f t="shared" si="1"/>
        <v/>
      </c>
    </row>
    <row r="51" spans="1:8">
      <c r="A51">
        <v>0</v>
      </c>
      <c r="B51" t="s">
        <v>282</v>
      </c>
      <c r="C51" t="s">
        <v>8</v>
      </c>
      <c r="E51" s="3">
        <f t="shared" si="0"/>
        <v>3</v>
      </c>
      <c r="F51" s="5">
        <v>43880.625</v>
      </c>
      <c r="H51" s="19" t="str">
        <f t="shared" si="1"/>
        <v/>
      </c>
    </row>
    <row r="52" spans="1:8">
      <c r="A52">
        <v>0</v>
      </c>
      <c r="B52" t="s">
        <v>283</v>
      </c>
      <c r="C52" t="s">
        <v>8</v>
      </c>
      <c r="E52" s="3">
        <f t="shared" si="0"/>
        <v>4</v>
      </c>
      <c r="F52" s="5">
        <v>43881.625</v>
      </c>
      <c r="H52" s="19" t="str">
        <f t="shared" si="1"/>
        <v/>
      </c>
    </row>
    <row r="53" spans="1:8">
      <c r="A53">
        <v>0</v>
      </c>
      <c r="B53" t="s">
        <v>284</v>
      </c>
      <c r="C53" t="s">
        <v>8</v>
      </c>
      <c r="E53" s="3">
        <f t="shared" si="0"/>
        <v>5</v>
      </c>
      <c r="F53" s="5">
        <v>43882.625</v>
      </c>
      <c r="H53" s="19" t="str">
        <f t="shared" si="1"/>
        <v/>
      </c>
    </row>
    <row r="54" spans="1:8">
      <c r="A54">
        <v>1</v>
      </c>
      <c r="B54" t="s">
        <v>13</v>
      </c>
      <c r="C54" t="s">
        <v>8</v>
      </c>
      <c r="E54" s="3">
        <f t="shared" si="0"/>
        <v>6</v>
      </c>
      <c r="F54" s="5">
        <v>43883.625</v>
      </c>
      <c r="H54" s="19" t="str">
        <f t="shared" si="1"/>
        <v/>
      </c>
    </row>
    <row r="55" spans="1:8">
      <c r="A55">
        <v>0</v>
      </c>
      <c r="B55" t="s">
        <v>285</v>
      </c>
      <c r="C55" t="s">
        <v>8</v>
      </c>
      <c r="E55" s="3">
        <f t="shared" si="0"/>
        <v>7</v>
      </c>
      <c r="F55" s="5">
        <v>43884.625</v>
      </c>
      <c r="H55" s="19" t="str">
        <f t="shared" si="1"/>
        <v/>
      </c>
    </row>
    <row r="56" spans="1:8">
      <c r="A56">
        <v>0</v>
      </c>
      <c r="B56" t="s">
        <v>286</v>
      </c>
      <c r="C56" t="s">
        <v>8</v>
      </c>
      <c r="E56" s="3">
        <f t="shared" si="0"/>
        <v>1</v>
      </c>
      <c r="F56" s="5">
        <v>43885.625</v>
      </c>
      <c r="H56" s="19" t="str">
        <f t="shared" si="1"/>
        <v>W9</v>
      </c>
    </row>
    <row r="57" spans="1:8">
      <c r="A57">
        <v>1</v>
      </c>
      <c r="B57" t="s">
        <v>14</v>
      </c>
      <c r="C57" t="s">
        <v>8</v>
      </c>
      <c r="E57" s="3">
        <f t="shared" si="0"/>
        <v>2</v>
      </c>
      <c r="F57" s="5">
        <v>43886.625</v>
      </c>
      <c r="H57" s="19" t="str">
        <f t="shared" si="1"/>
        <v/>
      </c>
    </row>
    <row r="58" spans="1:8">
      <c r="A58">
        <v>0</v>
      </c>
      <c r="B58" t="s">
        <v>287</v>
      </c>
      <c r="C58" t="s">
        <v>8</v>
      </c>
      <c r="E58" s="3">
        <f t="shared" si="0"/>
        <v>3</v>
      </c>
      <c r="F58" s="5">
        <v>43887.625</v>
      </c>
      <c r="H58" s="19" t="str">
        <f t="shared" si="1"/>
        <v/>
      </c>
    </row>
    <row r="59" spans="1:8">
      <c r="A59">
        <v>1</v>
      </c>
      <c r="B59" t="s">
        <v>15</v>
      </c>
      <c r="C59" t="s">
        <v>8</v>
      </c>
      <c r="E59" s="3">
        <f t="shared" si="0"/>
        <v>4</v>
      </c>
      <c r="F59" s="5">
        <v>43888.625</v>
      </c>
      <c r="H59" s="19" t="str">
        <f t="shared" si="1"/>
        <v/>
      </c>
    </row>
    <row r="60" spans="1:8">
      <c r="A60">
        <v>3</v>
      </c>
      <c r="B60" t="s">
        <v>16</v>
      </c>
      <c r="C60" t="s">
        <v>8</v>
      </c>
      <c r="E60" s="3">
        <f t="shared" si="0"/>
        <v>5</v>
      </c>
      <c r="F60" s="5">
        <v>43889.625</v>
      </c>
      <c r="H60" s="19" t="str">
        <f t="shared" si="1"/>
        <v/>
      </c>
    </row>
    <row r="61" spans="1:8">
      <c r="A61">
        <v>1</v>
      </c>
      <c r="B61" t="s">
        <v>17</v>
      </c>
      <c r="C61" t="s">
        <v>8</v>
      </c>
      <c r="E61" s="3">
        <f t="shared" si="0"/>
        <v>6</v>
      </c>
      <c r="F61" s="5">
        <v>43890.625</v>
      </c>
      <c r="H61" s="19" t="str">
        <f t="shared" si="1"/>
        <v/>
      </c>
    </row>
    <row r="62" spans="1:8">
      <c r="A62">
        <v>1</v>
      </c>
      <c r="B62" t="s">
        <v>18</v>
      </c>
      <c r="C62" t="s">
        <v>8</v>
      </c>
      <c r="E62" s="3">
        <f t="shared" si="0"/>
        <v>7</v>
      </c>
      <c r="F62" s="5">
        <v>43891.625</v>
      </c>
      <c r="H62" s="19" t="str">
        <f t="shared" si="1"/>
        <v/>
      </c>
    </row>
    <row r="63" spans="1:8">
      <c r="A63">
        <v>0</v>
      </c>
      <c r="B63" t="s">
        <v>288</v>
      </c>
      <c r="C63" t="s">
        <v>8</v>
      </c>
      <c r="E63" s="3">
        <f t="shared" si="0"/>
        <v>1</v>
      </c>
      <c r="F63" s="5">
        <v>43892.625</v>
      </c>
      <c r="H63" s="19" t="str">
        <f t="shared" si="1"/>
        <v>W10</v>
      </c>
    </row>
    <row r="64" spans="1:8">
      <c r="A64">
        <v>4</v>
      </c>
      <c r="B64" t="s">
        <v>19</v>
      </c>
      <c r="C64" t="s">
        <v>8</v>
      </c>
      <c r="E64" s="3">
        <f t="shared" si="0"/>
        <v>2</v>
      </c>
      <c r="F64" s="5">
        <v>43893.625</v>
      </c>
      <c r="H64" s="19" t="str">
        <f t="shared" si="1"/>
        <v/>
      </c>
    </row>
    <row r="65" spans="1:8">
      <c r="A65">
        <v>6</v>
      </c>
      <c r="B65" t="s">
        <v>20</v>
      </c>
      <c r="C65" t="s">
        <v>8</v>
      </c>
      <c r="E65" s="3">
        <f t="shared" si="0"/>
        <v>3</v>
      </c>
      <c r="F65" s="5">
        <v>43894.625</v>
      </c>
      <c r="H65" s="19" t="str">
        <f t="shared" si="1"/>
        <v/>
      </c>
    </row>
    <row r="66" spans="1:8">
      <c r="A66">
        <v>1</v>
      </c>
      <c r="B66" t="s">
        <v>21</v>
      </c>
      <c r="C66" t="s">
        <v>8</v>
      </c>
      <c r="E66" s="3">
        <f t="shared" si="0"/>
        <v>4</v>
      </c>
      <c r="F66" s="5">
        <v>43895.625</v>
      </c>
      <c r="H66" s="19" t="str">
        <f t="shared" si="1"/>
        <v/>
      </c>
    </row>
    <row r="67" spans="1:8">
      <c r="A67">
        <v>7</v>
      </c>
      <c r="B67" t="s">
        <v>22</v>
      </c>
      <c r="C67" t="s">
        <v>8</v>
      </c>
      <c r="E67" s="3">
        <f t="shared" ref="E67:E130" si="3">WEEKDAY(F67,2)</f>
        <v>5</v>
      </c>
      <c r="F67" s="5">
        <v>43896.625</v>
      </c>
      <c r="H67" s="19" t="str">
        <f t="shared" ref="H67:H130" si="4">IF(WEEKDAY(F67,2)=1,"W"&amp;WEEKNUM(F67,14),"")</f>
        <v/>
      </c>
    </row>
    <row r="68" spans="1:8">
      <c r="A68">
        <v>7</v>
      </c>
      <c r="B68" t="s">
        <v>23</v>
      </c>
      <c r="C68" t="s">
        <v>8</v>
      </c>
      <c r="E68" s="3">
        <f t="shared" si="3"/>
        <v>6</v>
      </c>
      <c r="F68" s="5">
        <v>43897.625</v>
      </c>
      <c r="H68" s="19" t="str">
        <f t="shared" si="4"/>
        <v/>
      </c>
    </row>
    <row r="69" spans="1:8">
      <c r="A69">
        <v>9</v>
      </c>
      <c r="B69" t="s">
        <v>24</v>
      </c>
      <c r="C69" t="s">
        <v>8</v>
      </c>
      <c r="E69" s="3">
        <f t="shared" si="3"/>
        <v>7</v>
      </c>
      <c r="F69" s="5">
        <v>43898.625</v>
      </c>
      <c r="H69" s="19" t="str">
        <f t="shared" si="4"/>
        <v/>
      </c>
    </row>
    <row r="70" spans="1:8">
      <c r="A70">
        <v>17</v>
      </c>
      <c r="B70" t="s">
        <v>25</v>
      </c>
      <c r="C70" t="s">
        <v>8</v>
      </c>
      <c r="E70" s="3">
        <f t="shared" si="3"/>
        <v>1</v>
      </c>
      <c r="F70" s="5">
        <v>43899.625</v>
      </c>
      <c r="H70" s="19" t="str">
        <f t="shared" si="4"/>
        <v>W11</v>
      </c>
    </row>
    <row r="71" spans="1:8">
      <c r="A71">
        <v>54</v>
      </c>
      <c r="B71" t="s">
        <v>26</v>
      </c>
      <c r="C71" t="s">
        <v>8</v>
      </c>
      <c r="E71" s="3">
        <f t="shared" si="3"/>
        <v>2</v>
      </c>
      <c r="F71" s="5">
        <v>43900.625</v>
      </c>
      <c r="H71" s="19" t="str">
        <f t="shared" si="4"/>
        <v/>
      </c>
    </row>
    <row r="72" spans="1:8">
      <c r="A72">
        <v>76</v>
      </c>
      <c r="B72" t="s">
        <v>27</v>
      </c>
      <c r="C72" t="s">
        <v>8</v>
      </c>
      <c r="E72" s="3">
        <f t="shared" si="3"/>
        <v>3</v>
      </c>
      <c r="F72" s="5">
        <v>43901.625</v>
      </c>
      <c r="H72" s="19" t="str">
        <f t="shared" si="4"/>
        <v/>
      </c>
    </row>
    <row r="73" spans="1:8">
      <c r="A73">
        <v>61</v>
      </c>
      <c r="B73" t="s">
        <v>28</v>
      </c>
      <c r="C73" t="s">
        <v>8</v>
      </c>
      <c r="E73" s="3">
        <f t="shared" si="3"/>
        <v>4</v>
      </c>
      <c r="F73" s="5">
        <v>43902.625</v>
      </c>
      <c r="H73" s="19" t="str">
        <f t="shared" si="4"/>
        <v/>
      </c>
    </row>
    <row r="74" spans="1:8">
      <c r="A74">
        <v>28</v>
      </c>
      <c r="B74" t="s">
        <v>29</v>
      </c>
      <c r="C74" t="s">
        <v>8</v>
      </c>
      <c r="E74" s="3">
        <f t="shared" si="3"/>
        <v>5</v>
      </c>
      <c r="F74" s="5">
        <v>43903.625</v>
      </c>
      <c r="H74" s="19" t="str">
        <f t="shared" si="4"/>
        <v/>
      </c>
    </row>
    <row r="75" spans="1:8">
      <c r="A75">
        <v>29</v>
      </c>
      <c r="B75" t="s">
        <v>30</v>
      </c>
      <c r="C75" t="s">
        <v>8</v>
      </c>
      <c r="E75" s="3">
        <f t="shared" si="3"/>
        <v>6</v>
      </c>
      <c r="F75" s="5">
        <v>43904.625</v>
      </c>
      <c r="H75" s="19" t="str">
        <f t="shared" si="4"/>
        <v/>
      </c>
    </row>
    <row r="76" spans="1:8">
      <c r="A76">
        <v>53</v>
      </c>
      <c r="B76" t="s">
        <v>31</v>
      </c>
      <c r="C76" t="s">
        <v>8</v>
      </c>
      <c r="E76" s="3">
        <f t="shared" si="3"/>
        <v>7</v>
      </c>
      <c r="F76" s="5">
        <v>43905.625</v>
      </c>
      <c r="H76" s="19" t="str">
        <f t="shared" si="4"/>
        <v/>
      </c>
    </row>
    <row r="77" spans="1:8">
      <c r="A77">
        <v>52</v>
      </c>
      <c r="B77" t="s">
        <v>32</v>
      </c>
      <c r="C77" t="s">
        <v>8</v>
      </c>
      <c r="E77" s="3">
        <f t="shared" si="3"/>
        <v>1</v>
      </c>
      <c r="F77" s="5">
        <v>43906.625</v>
      </c>
      <c r="H77" s="19" t="str">
        <f t="shared" si="4"/>
        <v>W12</v>
      </c>
    </row>
    <row r="78" spans="1:8">
      <c r="A78">
        <v>47</v>
      </c>
      <c r="B78" t="s">
        <v>33</v>
      </c>
      <c r="C78" t="s">
        <v>8</v>
      </c>
      <c r="E78" s="3">
        <f t="shared" si="3"/>
        <v>2</v>
      </c>
      <c r="F78" s="5">
        <v>43907.625</v>
      </c>
      <c r="H78" s="19" t="str">
        <f t="shared" si="4"/>
        <v/>
      </c>
    </row>
    <row r="79" spans="1:8">
      <c r="A79">
        <v>90</v>
      </c>
      <c r="B79" t="s">
        <v>34</v>
      </c>
      <c r="C79" t="s">
        <v>8</v>
      </c>
      <c r="E79" s="3">
        <f t="shared" si="3"/>
        <v>3</v>
      </c>
      <c r="F79" s="5">
        <v>43908.625</v>
      </c>
      <c r="H79" s="19" t="str">
        <f t="shared" si="4"/>
        <v/>
      </c>
    </row>
    <row r="80" spans="1:8">
      <c r="A80">
        <v>100</v>
      </c>
      <c r="B80" t="s">
        <v>35</v>
      </c>
      <c r="C80" t="s">
        <v>8</v>
      </c>
      <c r="E80" s="3">
        <f t="shared" si="3"/>
        <v>4</v>
      </c>
      <c r="F80" s="5">
        <v>43909.625</v>
      </c>
      <c r="H80" s="19" t="str">
        <f t="shared" si="4"/>
        <v/>
      </c>
    </row>
    <row r="81" spans="1:8">
      <c r="A81">
        <v>87</v>
      </c>
      <c r="B81" t="s">
        <v>36</v>
      </c>
      <c r="C81" t="s">
        <v>8</v>
      </c>
      <c r="E81" s="3">
        <f t="shared" si="3"/>
        <v>5</v>
      </c>
      <c r="F81" s="5">
        <v>43910.625</v>
      </c>
      <c r="H81" s="19" t="str">
        <f t="shared" si="4"/>
        <v/>
      </c>
    </row>
    <row r="82" spans="1:8">
      <c r="A82">
        <v>87</v>
      </c>
      <c r="B82" t="s">
        <v>37</v>
      </c>
      <c r="C82" t="s">
        <v>8</v>
      </c>
      <c r="E82" s="3">
        <f t="shared" si="3"/>
        <v>6</v>
      </c>
      <c r="F82" s="5">
        <v>43911.625</v>
      </c>
      <c r="H82" s="19" t="str">
        <f t="shared" si="4"/>
        <v/>
      </c>
    </row>
    <row r="83" spans="1:8">
      <c r="A83">
        <v>78</v>
      </c>
      <c r="B83" t="s">
        <v>38</v>
      </c>
      <c r="C83" t="s">
        <v>8</v>
      </c>
      <c r="E83" s="3">
        <f t="shared" si="3"/>
        <v>7</v>
      </c>
      <c r="F83" s="5">
        <v>43912.625</v>
      </c>
      <c r="H83" s="19" t="str">
        <f t="shared" si="4"/>
        <v/>
      </c>
    </row>
    <row r="84" spans="1:8">
      <c r="A84">
        <v>84</v>
      </c>
      <c r="B84" t="s">
        <v>39</v>
      </c>
      <c r="C84" t="s">
        <v>8</v>
      </c>
      <c r="E84" s="3">
        <f t="shared" si="3"/>
        <v>1</v>
      </c>
      <c r="F84" s="5">
        <v>43913.625</v>
      </c>
      <c r="H84" s="19" t="str">
        <f t="shared" si="4"/>
        <v>W13</v>
      </c>
    </row>
    <row r="85" spans="1:8">
      <c r="A85">
        <v>99</v>
      </c>
      <c r="B85" t="s">
        <v>40</v>
      </c>
      <c r="C85" t="s">
        <v>8</v>
      </c>
      <c r="E85" s="3">
        <f t="shared" si="3"/>
        <v>2</v>
      </c>
      <c r="F85" s="5">
        <v>43914.625</v>
      </c>
      <c r="H85" s="19" t="str">
        <f t="shared" si="4"/>
        <v/>
      </c>
    </row>
    <row r="86" spans="1:8">
      <c r="A86">
        <v>103</v>
      </c>
      <c r="B86" t="s">
        <v>41</v>
      </c>
      <c r="C86" t="s">
        <v>8</v>
      </c>
      <c r="E86" s="3">
        <f t="shared" si="3"/>
        <v>3</v>
      </c>
      <c r="F86" s="5">
        <v>43915.625</v>
      </c>
      <c r="H86" s="19" t="str">
        <f t="shared" si="4"/>
        <v/>
      </c>
    </row>
    <row r="87" spans="1:8">
      <c r="A87">
        <v>114</v>
      </c>
      <c r="B87" t="s">
        <v>42</v>
      </c>
      <c r="C87" t="s">
        <v>8</v>
      </c>
      <c r="E87" s="3">
        <f t="shared" si="3"/>
        <v>4</v>
      </c>
      <c r="F87" s="5">
        <v>43916.625</v>
      </c>
      <c r="H87" s="19" t="str">
        <f t="shared" si="4"/>
        <v/>
      </c>
    </row>
    <row r="88" spans="1:8">
      <c r="A88">
        <v>95</v>
      </c>
      <c r="B88" t="s">
        <v>43</v>
      </c>
      <c r="C88" t="s">
        <v>8</v>
      </c>
      <c r="E88" s="3">
        <f t="shared" si="3"/>
        <v>5</v>
      </c>
      <c r="F88" s="5">
        <v>43917.625</v>
      </c>
      <c r="H88" s="19" t="str">
        <f t="shared" si="4"/>
        <v/>
      </c>
    </row>
    <row r="89" spans="1:8">
      <c r="A89">
        <v>77</v>
      </c>
      <c r="B89" t="s">
        <v>44</v>
      </c>
      <c r="C89" t="s">
        <v>8</v>
      </c>
      <c r="E89" s="3">
        <f t="shared" si="3"/>
        <v>6</v>
      </c>
      <c r="F89" s="5">
        <v>43918.625</v>
      </c>
      <c r="H89" s="19" t="str">
        <f t="shared" si="4"/>
        <v/>
      </c>
    </row>
    <row r="90" spans="1:8">
      <c r="A90">
        <v>70</v>
      </c>
      <c r="B90" t="s">
        <v>45</v>
      </c>
      <c r="C90" t="s">
        <v>8</v>
      </c>
      <c r="E90" s="3">
        <f t="shared" si="3"/>
        <v>7</v>
      </c>
      <c r="F90" s="5">
        <v>43919.625</v>
      </c>
      <c r="H90" s="19" t="str">
        <f t="shared" si="4"/>
        <v/>
      </c>
    </row>
    <row r="91" spans="1:8">
      <c r="A91">
        <v>129</v>
      </c>
      <c r="B91" t="s">
        <v>46</v>
      </c>
      <c r="C91" t="s">
        <v>8</v>
      </c>
      <c r="E91" s="3">
        <f t="shared" si="3"/>
        <v>1</v>
      </c>
      <c r="F91" s="5">
        <v>43920.625</v>
      </c>
      <c r="H91" s="19" t="str">
        <f t="shared" si="4"/>
        <v>W14</v>
      </c>
    </row>
    <row r="92" spans="1:8">
      <c r="A92">
        <v>125</v>
      </c>
      <c r="B92" t="s">
        <v>47</v>
      </c>
      <c r="C92" t="s">
        <v>8</v>
      </c>
      <c r="E92" s="3">
        <f t="shared" si="3"/>
        <v>2</v>
      </c>
      <c r="F92" s="5">
        <v>43921.625</v>
      </c>
      <c r="H92" s="19" t="str">
        <f t="shared" si="4"/>
        <v/>
      </c>
    </row>
    <row r="93" spans="1:8">
      <c r="A93">
        <v>149</v>
      </c>
      <c r="B93" t="s">
        <v>48</v>
      </c>
      <c r="C93" t="s">
        <v>8</v>
      </c>
      <c r="E93" s="3">
        <f t="shared" si="3"/>
        <v>3</v>
      </c>
      <c r="F93" s="5">
        <v>43922.625</v>
      </c>
      <c r="H93" s="19" t="str">
        <f t="shared" si="4"/>
        <v/>
      </c>
    </row>
    <row r="94" spans="1:8">
      <c r="A94">
        <v>161</v>
      </c>
      <c r="B94" t="s">
        <v>49</v>
      </c>
      <c r="C94" t="s">
        <v>8</v>
      </c>
      <c r="E94" s="3">
        <f t="shared" si="3"/>
        <v>4</v>
      </c>
      <c r="F94" s="5">
        <v>43923.625</v>
      </c>
      <c r="H94" s="19" t="str">
        <f t="shared" si="4"/>
        <v/>
      </c>
    </row>
    <row r="95" spans="1:8">
      <c r="A95">
        <v>199</v>
      </c>
      <c r="B95" t="s">
        <v>50</v>
      </c>
      <c r="C95" t="s">
        <v>8</v>
      </c>
      <c r="E95" s="3">
        <f t="shared" si="3"/>
        <v>5</v>
      </c>
      <c r="F95" s="5">
        <v>43924.625</v>
      </c>
      <c r="H95" s="19" t="str">
        <f t="shared" si="4"/>
        <v/>
      </c>
    </row>
    <row r="96" spans="1:8">
      <c r="A96">
        <v>81</v>
      </c>
      <c r="B96" t="s">
        <v>51</v>
      </c>
      <c r="C96" t="s">
        <v>8</v>
      </c>
      <c r="E96" s="3">
        <f t="shared" si="3"/>
        <v>6</v>
      </c>
      <c r="F96" s="5">
        <v>43925.625</v>
      </c>
      <c r="H96" s="19" t="str">
        <f t="shared" si="4"/>
        <v/>
      </c>
    </row>
    <row r="97" spans="1:8">
      <c r="A97">
        <v>120</v>
      </c>
      <c r="B97" s="1" t="s">
        <v>52</v>
      </c>
      <c r="C97" s="1" t="s">
        <v>8</v>
      </c>
      <c r="D97" s="1"/>
      <c r="E97" s="3">
        <f t="shared" si="3"/>
        <v>7</v>
      </c>
      <c r="F97" s="6">
        <v>43926.625</v>
      </c>
      <c r="H97" s="19" t="str">
        <f t="shared" si="4"/>
        <v/>
      </c>
    </row>
    <row r="98" spans="1:8">
      <c r="A98">
        <v>210</v>
      </c>
      <c r="B98" t="s">
        <v>53</v>
      </c>
      <c r="C98" t="s">
        <v>8</v>
      </c>
      <c r="E98" s="3">
        <f t="shared" si="3"/>
        <v>1</v>
      </c>
      <c r="F98" s="5">
        <v>43927.625</v>
      </c>
      <c r="H98" s="19" t="str">
        <f t="shared" si="4"/>
        <v>W15</v>
      </c>
    </row>
    <row r="99" spans="1:8">
      <c r="A99">
        <v>199</v>
      </c>
      <c r="B99" t="s">
        <v>54</v>
      </c>
      <c r="C99" t="s">
        <v>8</v>
      </c>
      <c r="E99" s="3">
        <f t="shared" si="3"/>
        <v>2</v>
      </c>
      <c r="F99" s="5">
        <v>43928.625</v>
      </c>
      <c r="H99" s="19" t="str">
        <f t="shared" si="4"/>
        <v/>
      </c>
    </row>
    <row r="100" spans="1:8">
      <c r="A100">
        <v>138</v>
      </c>
      <c r="B100" t="s">
        <v>55</v>
      </c>
      <c r="C100" t="s">
        <v>8</v>
      </c>
      <c r="E100" s="3">
        <f t="shared" si="3"/>
        <v>3</v>
      </c>
      <c r="F100" s="5">
        <v>43929.625</v>
      </c>
      <c r="H100" s="19" t="str">
        <f t="shared" si="4"/>
        <v/>
      </c>
    </row>
    <row r="101" spans="1:8">
      <c r="A101">
        <v>158</v>
      </c>
      <c r="B101" t="s">
        <v>56</v>
      </c>
      <c r="C101" t="s">
        <v>8</v>
      </c>
      <c r="E101" s="3">
        <f t="shared" si="3"/>
        <v>4</v>
      </c>
      <c r="F101" s="5">
        <v>43930.625</v>
      </c>
      <c r="H101" s="19" t="str">
        <f t="shared" si="4"/>
        <v/>
      </c>
    </row>
    <row r="102" spans="1:8">
      <c r="A102">
        <v>71</v>
      </c>
      <c r="B102" t="s">
        <v>57</v>
      </c>
      <c r="C102" t="s">
        <v>8</v>
      </c>
      <c r="E102" s="3">
        <f t="shared" si="3"/>
        <v>5</v>
      </c>
      <c r="F102" s="5">
        <v>43931.625</v>
      </c>
      <c r="H102" s="19" t="str">
        <f t="shared" si="4"/>
        <v/>
      </c>
    </row>
    <row r="103" spans="1:8">
      <c r="A103">
        <v>75</v>
      </c>
      <c r="B103" t="s">
        <v>58</v>
      </c>
      <c r="C103" t="s">
        <v>8</v>
      </c>
      <c r="E103" s="3">
        <f t="shared" si="3"/>
        <v>6</v>
      </c>
      <c r="F103" s="5">
        <v>43932.625</v>
      </c>
      <c r="H103" s="19" t="str">
        <f t="shared" si="4"/>
        <v/>
      </c>
    </row>
    <row r="104" spans="1:8">
      <c r="A104">
        <v>79</v>
      </c>
      <c r="B104" t="s">
        <v>59</v>
      </c>
      <c r="C104" t="s">
        <v>8</v>
      </c>
      <c r="E104" s="3">
        <f t="shared" si="3"/>
        <v>7</v>
      </c>
      <c r="F104" s="5">
        <v>43933.625</v>
      </c>
      <c r="H104" s="19" t="str">
        <f t="shared" si="4"/>
        <v/>
      </c>
    </row>
    <row r="105" spans="1:8">
      <c r="A105">
        <v>117</v>
      </c>
      <c r="B105" t="s">
        <v>60</v>
      </c>
      <c r="C105" t="s">
        <v>8</v>
      </c>
      <c r="E105" s="3">
        <f t="shared" si="3"/>
        <v>1</v>
      </c>
      <c r="F105" s="5">
        <v>43934.625</v>
      </c>
      <c r="H105" s="19" t="str">
        <f t="shared" si="4"/>
        <v>W16</v>
      </c>
    </row>
    <row r="106" spans="1:8">
      <c r="A106">
        <v>175</v>
      </c>
      <c r="B106" t="s">
        <v>61</v>
      </c>
      <c r="C106" t="s">
        <v>8</v>
      </c>
      <c r="E106" s="3">
        <f t="shared" si="3"/>
        <v>2</v>
      </c>
      <c r="F106" s="5">
        <v>43935.625</v>
      </c>
      <c r="H106" s="19" t="str">
        <f t="shared" si="4"/>
        <v/>
      </c>
    </row>
    <row r="107" spans="1:8">
      <c r="A107">
        <v>129</v>
      </c>
      <c r="B107" t="s">
        <v>62</v>
      </c>
      <c r="C107" t="s">
        <v>8</v>
      </c>
      <c r="E107" s="3">
        <f t="shared" si="3"/>
        <v>3</v>
      </c>
      <c r="F107" s="5">
        <v>43936.625</v>
      </c>
      <c r="H107" s="19" t="str">
        <f t="shared" si="4"/>
        <v/>
      </c>
    </row>
    <row r="108" spans="1:8">
      <c r="A108">
        <v>120</v>
      </c>
      <c r="B108" t="s">
        <v>63</v>
      </c>
      <c r="C108" t="s">
        <v>8</v>
      </c>
      <c r="E108" s="3">
        <f t="shared" si="3"/>
        <v>4</v>
      </c>
      <c r="F108" s="5">
        <v>43937.625</v>
      </c>
      <c r="H108" s="19" t="str">
        <f t="shared" si="4"/>
        <v/>
      </c>
    </row>
    <row r="109" spans="1:8">
      <c r="A109">
        <v>125</v>
      </c>
      <c r="B109" t="s">
        <v>64</v>
      </c>
      <c r="C109" t="s">
        <v>8</v>
      </c>
      <c r="E109" s="3">
        <f t="shared" si="3"/>
        <v>5</v>
      </c>
      <c r="F109" s="5">
        <v>43938.625</v>
      </c>
      <c r="H109" s="19" t="str">
        <f t="shared" si="4"/>
        <v/>
      </c>
    </row>
    <row r="110" spans="1:8">
      <c r="A110">
        <v>56</v>
      </c>
      <c r="B110" t="s">
        <v>65</v>
      </c>
      <c r="C110" t="s">
        <v>8</v>
      </c>
      <c r="E110" s="3">
        <f t="shared" si="3"/>
        <v>6</v>
      </c>
      <c r="F110" s="5">
        <v>43939.625</v>
      </c>
      <c r="H110" s="19" t="str">
        <f t="shared" si="4"/>
        <v/>
      </c>
    </row>
    <row r="111" spans="1:8">
      <c r="A111">
        <v>67</v>
      </c>
      <c r="B111" t="s">
        <v>66</v>
      </c>
      <c r="C111" t="s">
        <v>8</v>
      </c>
      <c r="E111" s="3">
        <f t="shared" si="3"/>
        <v>7</v>
      </c>
      <c r="F111" s="5">
        <v>43940.625</v>
      </c>
      <c r="H111" s="19" t="str">
        <f t="shared" si="4"/>
        <v/>
      </c>
    </row>
    <row r="112" spans="1:8">
      <c r="A112">
        <v>143</v>
      </c>
      <c r="B112" t="s">
        <v>67</v>
      </c>
      <c r="C112" t="s">
        <v>8</v>
      </c>
      <c r="E112" s="3">
        <f t="shared" si="3"/>
        <v>1</v>
      </c>
      <c r="F112" s="5">
        <v>43941.625</v>
      </c>
      <c r="H112" s="19" t="str">
        <f t="shared" si="4"/>
        <v>W17</v>
      </c>
    </row>
    <row r="113" spans="1:8">
      <c r="A113">
        <v>112</v>
      </c>
      <c r="B113" t="s">
        <v>68</v>
      </c>
      <c r="C113" t="s">
        <v>8</v>
      </c>
      <c r="E113" s="3">
        <f t="shared" si="3"/>
        <v>2</v>
      </c>
      <c r="F113" s="5">
        <v>43942.625</v>
      </c>
      <c r="H113" s="19" t="str">
        <f t="shared" si="4"/>
        <v/>
      </c>
    </row>
    <row r="114" spans="1:8">
      <c r="A114">
        <v>124</v>
      </c>
      <c r="B114" t="s">
        <v>69</v>
      </c>
      <c r="C114" t="s">
        <v>8</v>
      </c>
      <c r="E114" s="3">
        <f t="shared" si="3"/>
        <v>3</v>
      </c>
      <c r="F114" s="5">
        <v>43943.625</v>
      </c>
      <c r="H114" s="19" t="str">
        <f t="shared" si="4"/>
        <v/>
      </c>
    </row>
    <row r="115" spans="1:8">
      <c r="A115">
        <v>116</v>
      </c>
      <c r="B115" t="s">
        <v>70</v>
      </c>
      <c r="C115" t="s">
        <v>8</v>
      </c>
      <c r="E115" s="3">
        <f t="shared" si="3"/>
        <v>4</v>
      </c>
      <c r="F115" s="5">
        <v>43944.625</v>
      </c>
      <c r="H115" s="19" t="str">
        <f t="shared" si="4"/>
        <v/>
      </c>
    </row>
    <row r="116" spans="1:8">
      <c r="A116">
        <v>93</v>
      </c>
      <c r="B116" t="s">
        <v>71</v>
      </c>
      <c r="C116" t="s">
        <v>8</v>
      </c>
      <c r="E116" s="3">
        <f t="shared" si="3"/>
        <v>5</v>
      </c>
      <c r="F116" s="5">
        <v>43945.625</v>
      </c>
      <c r="H116" s="19" t="str">
        <f t="shared" si="4"/>
        <v/>
      </c>
    </row>
    <row r="117" spans="1:8">
      <c r="A117">
        <v>76</v>
      </c>
      <c r="B117" t="s">
        <v>72</v>
      </c>
      <c r="C117" t="s">
        <v>8</v>
      </c>
      <c r="E117" s="3">
        <f t="shared" si="3"/>
        <v>6</v>
      </c>
      <c r="F117" s="5">
        <v>43946.625</v>
      </c>
      <c r="H117" s="19" t="str">
        <f t="shared" si="4"/>
        <v/>
      </c>
    </row>
    <row r="118" spans="1:8">
      <c r="A118">
        <v>73</v>
      </c>
      <c r="B118" t="s">
        <v>73</v>
      </c>
      <c r="C118" t="s">
        <v>8</v>
      </c>
      <c r="E118" s="3">
        <f t="shared" si="3"/>
        <v>7</v>
      </c>
      <c r="F118" s="5">
        <v>43947.625</v>
      </c>
      <c r="H118" s="19" t="str">
        <f t="shared" si="4"/>
        <v/>
      </c>
    </row>
    <row r="119" spans="1:8">
      <c r="A119">
        <v>124</v>
      </c>
      <c r="B119" t="s">
        <v>74</v>
      </c>
      <c r="C119" t="s">
        <v>8</v>
      </c>
      <c r="E119" s="3">
        <f t="shared" si="3"/>
        <v>1</v>
      </c>
      <c r="F119" s="5">
        <v>43948.625</v>
      </c>
      <c r="H119" s="19" t="str">
        <f t="shared" si="4"/>
        <v>W18</v>
      </c>
    </row>
    <row r="120" spans="1:8">
      <c r="A120">
        <v>139</v>
      </c>
      <c r="B120" t="s">
        <v>75</v>
      </c>
      <c r="C120" t="s">
        <v>8</v>
      </c>
      <c r="E120" s="3">
        <f t="shared" si="3"/>
        <v>2</v>
      </c>
      <c r="F120" s="5">
        <v>43949.625</v>
      </c>
      <c r="H120" s="19" t="str">
        <f t="shared" si="4"/>
        <v/>
      </c>
    </row>
    <row r="121" spans="1:8">
      <c r="A121">
        <v>106</v>
      </c>
      <c r="B121" t="s">
        <v>76</v>
      </c>
      <c r="C121" t="s">
        <v>8</v>
      </c>
      <c r="E121" s="3">
        <f t="shared" si="3"/>
        <v>3</v>
      </c>
      <c r="F121" s="5">
        <v>43950.625</v>
      </c>
      <c r="H121" s="19" t="str">
        <f t="shared" si="4"/>
        <v/>
      </c>
    </row>
    <row r="122" spans="1:8">
      <c r="A122">
        <v>86</v>
      </c>
      <c r="B122" t="s">
        <v>77</v>
      </c>
      <c r="C122" t="s">
        <v>8</v>
      </c>
      <c r="E122" s="3">
        <f t="shared" si="3"/>
        <v>4</v>
      </c>
      <c r="F122" s="5">
        <v>43951.625</v>
      </c>
      <c r="H122" s="19" t="str">
        <f t="shared" si="4"/>
        <v/>
      </c>
    </row>
    <row r="123" spans="1:8">
      <c r="A123">
        <v>48</v>
      </c>
      <c r="B123" t="s">
        <v>78</v>
      </c>
      <c r="C123" t="s">
        <v>8</v>
      </c>
      <c r="E123" s="3">
        <f t="shared" si="3"/>
        <v>5</v>
      </c>
      <c r="F123" s="5">
        <v>43952.625</v>
      </c>
      <c r="H123" s="19" t="str">
        <f t="shared" si="4"/>
        <v/>
      </c>
    </row>
    <row r="124" spans="1:8">
      <c r="A124">
        <v>56</v>
      </c>
      <c r="B124" t="s">
        <v>79</v>
      </c>
      <c r="C124" t="s">
        <v>8</v>
      </c>
      <c r="E124" s="3">
        <f t="shared" si="3"/>
        <v>6</v>
      </c>
      <c r="F124" s="5">
        <v>43953.625</v>
      </c>
      <c r="H124" s="19" t="str">
        <f t="shared" si="4"/>
        <v/>
      </c>
    </row>
    <row r="125" spans="1:8">
      <c r="A125">
        <v>61</v>
      </c>
      <c r="B125" t="s">
        <v>80</v>
      </c>
      <c r="C125" t="s">
        <v>8</v>
      </c>
      <c r="E125" s="3">
        <f t="shared" si="3"/>
        <v>7</v>
      </c>
      <c r="F125" s="5">
        <v>43954.625</v>
      </c>
      <c r="H125" s="19" t="str">
        <f t="shared" si="4"/>
        <v/>
      </c>
    </row>
    <row r="126" spans="1:8">
      <c r="A126">
        <v>133</v>
      </c>
      <c r="B126" t="s">
        <v>81</v>
      </c>
      <c r="C126" t="s">
        <v>8</v>
      </c>
      <c r="E126" s="3">
        <f t="shared" si="3"/>
        <v>1</v>
      </c>
      <c r="F126" s="5">
        <v>43955.625</v>
      </c>
      <c r="H126" s="19" t="str">
        <f t="shared" si="4"/>
        <v>W19</v>
      </c>
    </row>
    <row r="127" spans="1:8">
      <c r="A127">
        <v>125</v>
      </c>
      <c r="B127" t="s">
        <v>82</v>
      </c>
      <c r="C127" t="s">
        <v>8</v>
      </c>
      <c r="E127" s="3">
        <f t="shared" si="3"/>
        <v>2</v>
      </c>
      <c r="F127" s="5">
        <v>43956.625</v>
      </c>
      <c r="H127" s="19" t="str">
        <f t="shared" si="4"/>
        <v/>
      </c>
    </row>
    <row r="128" spans="1:8">
      <c r="A128">
        <v>94</v>
      </c>
      <c r="B128" t="s">
        <v>83</v>
      </c>
      <c r="C128" t="s">
        <v>8</v>
      </c>
      <c r="E128" s="3">
        <f t="shared" si="3"/>
        <v>3</v>
      </c>
      <c r="F128" s="5">
        <v>43957.625</v>
      </c>
      <c r="H128" s="19" t="str">
        <f t="shared" si="4"/>
        <v/>
      </c>
    </row>
    <row r="129" spans="1:8">
      <c r="A129">
        <v>108</v>
      </c>
      <c r="B129" t="s">
        <v>84</v>
      </c>
      <c r="C129" t="s">
        <v>8</v>
      </c>
      <c r="E129" s="3">
        <f t="shared" si="3"/>
        <v>4</v>
      </c>
      <c r="F129" s="5">
        <v>43958.625</v>
      </c>
      <c r="H129" s="19" t="str">
        <f t="shared" si="4"/>
        <v/>
      </c>
    </row>
    <row r="130" spans="1:8">
      <c r="A130">
        <v>81</v>
      </c>
      <c r="B130" t="s">
        <v>85</v>
      </c>
      <c r="C130" t="s">
        <v>8</v>
      </c>
      <c r="E130" s="3">
        <f t="shared" si="3"/>
        <v>5</v>
      </c>
      <c r="F130" s="5">
        <v>43959.625</v>
      </c>
      <c r="H130" s="19" t="str">
        <f t="shared" si="4"/>
        <v/>
      </c>
    </row>
    <row r="131" spans="1:8">
      <c r="A131">
        <v>47</v>
      </c>
      <c r="B131" t="s">
        <v>86</v>
      </c>
      <c r="C131" t="s">
        <v>8</v>
      </c>
      <c r="E131" s="3">
        <f t="shared" ref="E131:E194" si="5">WEEKDAY(F131,2)</f>
        <v>6</v>
      </c>
      <c r="F131" s="5">
        <v>43960.625</v>
      </c>
      <c r="H131" s="19" t="str">
        <f t="shared" ref="H131:H194" si="6">IF(WEEKDAY(F131,2)=1,"W"&amp;WEEKNUM(F131,14),"")</f>
        <v/>
      </c>
    </row>
    <row r="132" spans="1:8">
      <c r="A132">
        <v>28</v>
      </c>
      <c r="B132" t="s">
        <v>87</v>
      </c>
      <c r="C132" t="s">
        <v>8</v>
      </c>
      <c r="E132" s="3">
        <f t="shared" si="5"/>
        <v>7</v>
      </c>
      <c r="F132" s="5">
        <v>43961.625</v>
      </c>
      <c r="H132" s="19" t="str">
        <f t="shared" si="6"/>
        <v/>
      </c>
    </row>
    <row r="133" spans="1:8">
      <c r="A133">
        <v>93</v>
      </c>
      <c r="B133" t="s">
        <v>88</v>
      </c>
      <c r="C133" t="s">
        <v>8</v>
      </c>
      <c r="E133" s="3">
        <f t="shared" si="5"/>
        <v>1</v>
      </c>
      <c r="F133" s="5">
        <v>43962.625</v>
      </c>
      <c r="H133" s="19" t="str">
        <f t="shared" si="6"/>
        <v>W20</v>
      </c>
    </row>
    <row r="134" spans="1:8">
      <c r="A134">
        <v>67</v>
      </c>
      <c r="B134" t="s">
        <v>89</v>
      </c>
      <c r="C134" t="s">
        <v>8</v>
      </c>
      <c r="E134" s="3">
        <f t="shared" si="5"/>
        <v>2</v>
      </c>
      <c r="F134" s="5">
        <v>43963.625</v>
      </c>
      <c r="H134" s="19" t="str">
        <f t="shared" si="6"/>
        <v/>
      </c>
    </row>
    <row r="135" spans="1:8">
      <c r="A135">
        <v>79</v>
      </c>
      <c r="B135" t="s">
        <v>90</v>
      </c>
      <c r="C135" t="s">
        <v>8</v>
      </c>
      <c r="E135" s="3">
        <f t="shared" si="5"/>
        <v>3</v>
      </c>
      <c r="F135" s="5">
        <v>43964.625</v>
      </c>
      <c r="H135" s="19" t="str">
        <f t="shared" si="6"/>
        <v/>
      </c>
    </row>
    <row r="136" spans="1:8">
      <c r="A136">
        <v>51</v>
      </c>
      <c r="B136" t="s">
        <v>91</v>
      </c>
      <c r="C136" t="s">
        <v>8</v>
      </c>
      <c r="E136" s="3">
        <f t="shared" si="5"/>
        <v>4</v>
      </c>
      <c r="F136" s="5">
        <v>43965.625</v>
      </c>
      <c r="H136" s="19" t="str">
        <f t="shared" si="6"/>
        <v/>
      </c>
    </row>
    <row r="137" spans="1:8">
      <c r="A137">
        <v>55</v>
      </c>
      <c r="B137" t="s">
        <v>92</v>
      </c>
      <c r="C137" t="s">
        <v>8</v>
      </c>
      <c r="E137" s="3">
        <f t="shared" si="5"/>
        <v>5</v>
      </c>
      <c r="F137" s="5">
        <v>43966.625</v>
      </c>
      <c r="H137" s="19" t="str">
        <f t="shared" si="6"/>
        <v/>
      </c>
    </row>
    <row r="138" spans="1:8">
      <c r="A138">
        <v>25</v>
      </c>
      <c r="B138" t="s">
        <v>93</v>
      </c>
      <c r="C138" t="s">
        <v>8</v>
      </c>
      <c r="E138" s="3">
        <f t="shared" si="5"/>
        <v>6</v>
      </c>
      <c r="F138" s="5">
        <v>43967.625</v>
      </c>
      <c r="H138" s="19" t="str">
        <f t="shared" si="6"/>
        <v/>
      </c>
    </row>
    <row r="139" spans="1:8">
      <c r="A139">
        <v>30</v>
      </c>
      <c r="B139" t="s">
        <v>94</v>
      </c>
      <c r="C139" t="s">
        <v>8</v>
      </c>
      <c r="E139" s="3">
        <f t="shared" si="5"/>
        <v>7</v>
      </c>
      <c r="F139" s="5">
        <v>43968.625</v>
      </c>
      <c r="H139" s="19" t="str">
        <f t="shared" si="6"/>
        <v/>
      </c>
    </row>
    <row r="140" spans="1:8">
      <c r="A140">
        <v>45</v>
      </c>
      <c r="B140" t="s">
        <v>95</v>
      </c>
      <c r="C140" t="s">
        <v>8</v>
      </c>
      <c r="E140" s="3">
        <f t="shared" si="5"/>
        <v>1</v>
      </c>
      <c r="F140" s="5">
        <v>43969.625</v>
      </c>
      <c r="H140" s="19" t="str">
        <f t="shared" si="6"/>
        <v>W21</v>
      </c>
    </row>
    <row r="141" spans="1:8">
      <c r="A141">
        <v>41</v>
      </c>
      <c r="B141" t="s">
        <v>96</v>
      </c>
      <c r="C141" t="s">
        <v>8</v>
      </c>
      <c r="E141" s="3">
        <f t="shared" si="5"/>
        <v>2</v>
      </c>
      <c r="F141" s="5">
        <v>43970.625</v>
      </c>
      <c r="H141" s="19" t="str">
        <f t="shared" si="6"/>
        <v/>
      </c>
    </row>
    <row r="142" spans="1:8">
      <c r="A142">
        <v>43</v>
      </c>
      <c r="B142" t="s">
        <v>97</v>
      </c>
      <c r="C142" t="s">
        <v>8</v>
      </c>
      <c r="E142" s="3">
        <f t="shared" si="5"/>
        <v>3</v>
      </c>
      <c r="F142" s="5">
        <v>43971.625</v>
      </c>
      <c r="H142" s="19" t="str">
        <f t="shared" si="6"/>
        <v/>
      </c>
    </row>
    <row r="143" spans="1:8">
      <c r="A143">
        <v>22</v>
      </c>
      <c r="B143" t="s">
        <v>98</v>
      </c>
      <c r="C143" t="s">
        <v>8</v>
      </c>
      <c r="E143" s="3">
        <f t="shared" si="5"/>
        <v>4</v>
      </c>
      <c r="F143" s="5">
        <v>43972.625</v>
      </c>
      <c r="H143" s="19" t="str">
        <f t="shared" si="6"/>
        <v/>
      </c>
    </row>
    <row r="144" spans="1:8">
      <c r="A144">
        <v>32</v>
      </c>
      <c r="B144" t="s">
        <v>99</v>
      </c>
      <c r="C144" t="s">
        <v>8</v>
      </c>
      <c r="E144" s="3">
        <f t="shared" si="5"/>
        <v>5</v>
      </c>
      <c r="F144" s="5">
        <v>43973.625</v>
      </c>
      <c r="H144" s="19" t="str">
        <f t="shared" si="6"/>
        <v/>
      </c>
    </row>
    <row r="145" spans="1:8">
      <c r="A145">
        <v>17</v>
      </c>
      <c r="B145" t="s">
        <v>100</v>
      </c>
      <c r="C145" t="s">
        <v>8</v>
      </c>
      <c r="E145" s="3">
        <f t="shared" si="5"/>
        <v>6</v>
      </c>
      <c r="F145" s="5">
        <v>43974.625</v>
      </c>
      <c r="H145" s="19" t="str">
        <f t="shared" si="6"/>
        <v/>
      </c>
    </row>
    <row r="146" spans="1:8">
      <c r="A146">
        <v>19</v>
      </c>
      <c r="B146" t="s">
        <v>101</v>
      </c>
      <c r="C146" t="s">
        <v>8</v>
      </c>
      <c r="E146" s="3">
        <f t="shared" si="5"/>
        <v>7</v>
      </c>
      <c r="F146" s="5">
        <v>43975.625</v>
      </c>
      <c r="H146" s="19" t="str">
        <f t="shared" si="6"/>
        <v/>
      </c>
    </row>
    <row r="147" spans="1:8">
      <c r="A147">
        <v>45</v>
      </c>
      <c r="B147" t="s">
        <v>102</v>
      </c>
      <c r="C147" t="s">
        <v>8</v>
      </c>
      <c r="E147" s="3">
        <f t="shared" si="5"/>
        <v>1</v>
      </c>
      <c r="F147" s="5">
        <v>43976.625</v>
      </c>
      <c r="H147" s="19" t="str">
        <f t="shared" si="6"/>
        <v>W22</v>
      </c>
    </row>
    <row r="148" spans="1:8">
      <c r="A148">
        <v>33</v>
      </c>
      <c r="B148" t="s">
        <v>103</v>
      </c>
      <c r="C148" t="s">
        <v>8</v>
      </c>
      <c r="E148" s="3">
        <f t="shared" si="5"/>
        <v>2</v>
      </c>
      <c r="F148" s="5">
        <v>43977.625</v>
      </c>
      <c r="H148" s="19" t="str">
        <f t="shared" si="6"/>
        <v/>
      </c>
    </row>
    <row r="149" spans="1:8">
      <c r="A149">
        <v>12</v>
      </c>
      <c r="B149" t="s">
        <v>104</v>
      </c>
      <c r="C149" t="s">
        <v>8</v>
      </c>
      <c r="E149" s="3">
        <f t="shared" si="5"/>
        <v>3</v>
      </c>
      <c r="F149" s="5">
        <v>43978.625</v>
      </c>
      <c r="H149" s="19" t="str">
        <f t="shared" si="6"/>
        <v/>
      </c>
    </row>
    <row r="150" spans="1:8">
      <c r="A150">
        <v>30</v>
      </c>
      <c r="B150" t="s">
        <v>105</v>
      </c>
      <c r="C150" t="s">
        <v>8</v>
      </c>
      <c r="E150" s="3">
        <f t="shared" si="5"/>
        <v>4</v>
      </c>
      <c r="F150" s="5">
        <v>43979.625</v>
      </c>
      <c r="H150" s="19" t="str">
        <f t="shared" si="6"/>
        <v/>
      </c>
    </row>
    <row r="151" spans="1:8">
      <c r="A151">
        <v>21</v>
      </c>
      <c r="B151" t="s">
        <v>106</v>
      </c>
      <c r="C151" t="s">
        <v>8</v>
      </c>
      <c r="E151" s="3">
        <f t="shared" si="5"/>
        <v>5</v>
      </c>
      <c r="F151" s="5">
        <v>43980.625</v>
      </c>
      <c r="H151" s="19" t="str">
        <f t="shared" si="6"/>
        <v/>
      </c>
    </row>
    <row r="152" spans="1:8">
      <c r="A152">
        <v>10</v>
      </c>
      <c r="B152" t="s">
        <v>107</v>
      </c>
      <c r="C152" t="s">
        <v>8</v>
      </c>
      <c r="E152" s="3">
        <f t="shared" si="5"/>
        <v>6</v>
      </c>
      <c r="F152" s="5">
        <v>43981.625</v>
      </c>
      <c r="H152" s="19" t="str">
        <f t="shared" si="6"/>
        <v/>
      </c>
    </row>
    <row r="153" spans="1:8">
      <c r="A153">
        <v>12</v>
      </c>
      <c r="B153" t="s">
        <v>108</v>
      </c>
      <c r="C153" t="s">
        <v>8</v>
      </c>
      <c r="E153" s="3">
        <f t="shared" si="5"/>
        <v>7</v>
      </c>
      <c r="F153" s="5">
        <v>43982.625</v>
      </c>
      <c r="H153" s="19" t="str">
        <f t="shared" si="6"/>
        <v/>
      </c>
    </row>
    <row r="154" spans="1:8">
      <c r="A154">
        <v>17</v>
      </c>
      <c r="B154" t="s">
        <v>109</v>
      </c>
      <c r="C154" t="s">
        <v>8</v>
      </c>
      <c r="E154" s="3">
        <f t="shared" si="5"/>
        <v>1</v>
      </c>
      <c r="F154" s="5">
        <v>43983.625</v>
      </c>
      <c r="H154" s="19" t="str">
        <f t="shared" si="6"/>
        <v>W23</v>
      </c>
    </row>
    <row r="155" spans="1:8">
      <c r="A155">
        <v>15</v>
      </c>
      <c r="B155" t="s">
        <v>110</v>
      </c>
      <c r="C155" t="s">
        <v>8</v>
      </c>
      <c r="E155" s="3">
        <f t="shared" si="5"/>
        <v>2</v>
      </c>
      <c r="F155" s="5">
        <v>43984.625</v>
      </c>
      <c r="H155" s="19" t="str">
        <f t="shared" si="6"/>
        <v/>
      </c>
    </row>
    <row r="156" spans="1:8">
      <c r="A156">
        <v>25</v>
      </c>
      <c r="B156" t="s">
        <v>111</v>
      </c>
      <c r="C156" t="s">
        <v>8</v>
      </c>
      <c r="E156" s="3">
        <f t="shared" si="5"/>
        <v>3</v>
      </c>
      <c r="F156" s="5">
        <v>43985.625</v>
      </c>
      <c r="H156" s="19" t="str">
        <f t="shared" si="6"/>
        <v/>
      </c>
    </row>
    <row r="157" spans="1:8">
      <c r="A157">
        <v>12</v>
      </c>
      <c r="B157" t="s">
        <v>112</v>
      </c>
      <c r="C157" t="s">
        <v>8</v>
      </c>
      <c r="E157" s="3">
        <f t="shared" si="5"/>
        <v>4</v>
      </c>
      <c r="F157" s="5">
        <v>43986.625</v>
      </c>
      <c r="H157" s="19" t="str">
        <f t="shared" si="6"/>
        <v/>
      </c>
    </row>
    <row r="158" spans="1:8">
      <c r="A158">
        <v>13</v>
      </c>
      <c r="B158" t="s">
        <v>113</v>
      </c>
      <c r="C158" t="s">
        <v>8</v>
      </c>
      <c r="E158" s="3">
        <f t="shared" si="5"/>
        <v>5</v>
      </c>
      <c r="F158" s="5">
        <v>43987.625</v>
      </c>
      <c r="H158" s="19" t="str">
        <f t="shared" si="6"/>
        <v/>
      </c>
    </row>
    <row r="159" spans="1:8">
      <c r="A159">
        <v>13</v>
      </c>
      <c r="B159" t="s">
        <v>114</v>
      </c>
      <c r="C159" t="s">
        <v>8</v>
      </c>
      <c r="E159" s="3">
        <f t="shared" si="5"/>
        <v>6</v>
      </c>
      <c r="F159" s="5">
        <v>43988.625</v>
      </c>
      <c r="H159" s="19" t="str">
        <f t="shared" si="6"/>
        <v/>
      </c>
    </row>
    <row r="160" spans="1:8">
      <c r="A160">
        <v>4</v>
      </c>
      <c r="B160" t="s">
        <v>115</v>
      </c>
      <c r="C160" t="s">
        <v>8</v>
      </c>
      <c r="E160" s="3">
        <f t="shared" si="5"/>
        <v>7</v>
      </c>
      <c r="F160" s="5">
        <v>43989.625</v>
      </c>
      <c r="H160" s="19" t="str">
        <f t="shared" si="6"/>
        <v/>
      </c>
    </row>
    <row r="161" spans="1:8">
      <c r="A161">
        <v>10</v>
      </c>
      <c r="B161" t="s">
        <v>116</v>
      </c>
      <c r="C161" t="s">
        <v>8</v>
      </c>
      <c r="E161" s="3">
        <f t="shared" si="5"/>
        <v>1</v>
      </c>
      <c r="F161" s="5">
        <v>43990.625</v>
      </c>
      <c r="H161" s="19" t="str">
        <f t="shared" si="6"/>
        <v>W24</v>
      </c>
    </row>
    <row r="162" spans="1:8">
      <c r="A162">
        <v>8</v>
      </c>
      <c r="B162" t="s">
        <v>117</v>
      </c>
      <c r="C162" t="s">
        <v>8</v>
      </c>
      <c r="E162" s="3">
        <f t="shared" si="5"/>
        <v>2</v>
      </c>
      <c r="F162" s="5">
        <v>43991.625</v>
      </c>
      <c r="H162" s="19" t="str">
        <f t="shared" si="6"/>
        <v/>
      </c>
    </row>
    <row r="163" spans="1:8">
      <c r="A163">
        <v>7</v>
      </c>
      <c r="B163" t="s">
        <v>118</v>
      </c>
      <c r="C163" t="s">
        <v>8</v>
      </c>
      <c r="E163" s="3">
        <f t="shared" si="5"/>
        <v>3</v>
      </c>
      <c r="F163" s="5">
        <v>43992.625</v>
      </c>
      <c r="H163" s="19" t="str">
        <f t="shared" si="6"/>
        <v/>
      </c>
    </row>
    <row r="164" spans="1:8">
      <c r="A164">
        <v>9</v>
      </c>
      <c r="B164" t="s">
        <v>119</v>
      </c>
      <c r="C164" t="s">
        <v>8</v>
      </c>
      <c r="E164" s="3">
        <f t="shared" si="5"/>
        <v>4</v>
      </c>
      <c r="F164" s="5">
        <v>43993.625</v>
      </c>
      <c r="H164" s="19" t="str">
        <f t="shared" si="6"/>
        <v/>
      </c>
    </row>
    <row r="165" spans="1:8">
      <c r="A165">
        <v>13</v>
      </c>
      <c r="B165" t="s">
        <v>120</v>
      </c>
      <c r="C165" t="s">
        <v>8</v>
      </c>
      <c r="E165" s="3">
        <f t="shared" si="5"/>
        <v>5</v>
      </c>
      <c r="F165" s="5">
        <v>43994.625</v>
      </c>
      <c r="H165" s="19" t="str">
        <f t="shared" si="6"/>
        <v/>
      </c>
    </row>
    <row r="166" spans="1:8">
      <c r="A166">
        <v>2</v>
      </c>
      <c r="B166" t="s">
        <v>121</v>
      </c>
      <c r="C166" t="s">
        <v>8</v>
      </c>
      <c r="E166" s="3">
        <f t="shared" si="5"/>
        <v>6</v>
      </c>
      <c r="F166" s="5">
        <v>43995.625</v>
      </c>
      <c r="H166" s="19" t="str">
        <f t="shared" si="6"/>
        <v/>
      </c>
    </row>
    <row r="167" spans="1:8">
      <c r="A167">
        <v>5</v>
      </c>
      <c r="B167" t="s">
        <v>122</v>
      </c>
      <c r="C167" t="s">
        <v>8</v>
      </c>
      <c r="E167" s="3">
        <f t="shared" si="5"/>
        <v>7</v>
      </c>
      <c r="F167" s="5">
        <v>43996.625</v>
      </c>
      <c r="H167" s="19" t="str">
        <f t="shared" si="6"/>
        <v/>
      </c>
    </row>
    <row r="168" spans="1:8">
      <c r="A168">
        <v>15</v>
      </c>
      <c r="B168" t="s">
        <v>123</v>
      </c>
      <c r="C168" t="s">
        <v>8</v>
      </c>
      <c r="E168" s="3">
        <f t="shared" si="5"/>
        <v>1</v>
      </c>
      <c r="F168" s="5">
        <v>43997.625</v>
      </c>
      <c r="H168" s="19" t="str">
        <f t="shared" si="6"/>
        <v>W25</v>
      </c>
    </row>
    <row r="169" spans="1:8">
      <c r="A169">
        <v>8</v>
      </c>
      <c r="B169" t="s">
        <v>124</v>
      </c>
      <c r="C169" t="s">
        <v>8</v>
      </c>
      <c r="E169" s="3">
        <f t="shared" si="5"/>
        <v>2</v>
      </c>
      <c r="F169" s="5">
        <v>43998.625</v>
      </c>
      <c r="H169" s="19" t="str">
        <f t="shared" si="6"/>
        <v/>
      </c>
    </row>
    <row r="170" spans="1:8">
      <c r="A170">
        <v>3</v>
      </c>
      <c r="B170" t="s">
        <v>125</v>
      </c>
      <c r="C170" t="s">
        <v>8</v>
      </c>
      <c r="E170" s="3">
        <f t="shared" si="5"/>
        <v>3</v>
      </c>
      <c r="F170" s="5">
        <v>43999.625</v>
      </c>
      <c r="H170" s="19" t="str">
        <f t="shared" si="6"/>
        <v/>
      </c>
    </row>
    <row r="171" spans="1:8">
      <c r="A171">
        <v>8</v>
      </c>
      <c r="B171" t="s">
        <v>126</v>
      </c>
      <c r="C171" t="s">
        <v>8</v>
      </c>
      <c r="E171" s="3">
        <f t="shared" si="5"/>
        <v>4</v>
      </c>
      <c r="F171" s="5">
        <v>44000.625</v>
      </c>
      <c r="H171" s="19" t="str">
        <f t="shared" si="6"/>
        <v/>
      </c>
    </row>
    <row r="172" spans="1:8">
      <c r="A172">
        <v>0</v>
      </c>
      <c r="B172" t="s">
        <v>289</v>
      </c>
      <c r="C172" t="s">
        <v>8</v>
      </c>
      <c r="E172" s="3">
        <f t="shared" si="5"/>
        <v>5</v>
      </c>
      <c r="F172" s="5">
        <v>44001.625</v>
      </c>
      <c r="H172" s="19" t="str">
        <f t="shared" si="6"/>
        <v/>
      </c>
    </row>
    <row r="173" spans="1:8">
      <c r="A173">
        <v>2</v>
      </c>
      <c r="B173" t="s">
        <v>127</v>
      </c>
      <c r="C173" t="s">
        <v>8</v>
      </c>
      <c r="E173" s="3">
        <f t="shared" si="5"/>
        <v>6</v>
      </c>
      <c r="F173" s="5">
        <v>44002.625</v>
      </c>
      <c r="H173" s="19" t="str">
        <f t="shared" si="6"/>
        <v/>
      </c>
    </row>
    <row r="174" spans="1:8">
      <c r="A174">
        <v>13</v>
      </c>
      <c r="B174" t="s">
        <v>128</v>
      </c>
      <c r="C174" t="s">
        <v>8</v>
      </c>
      <c r="E174" s="3">
        <f t="shared" si="5"/>
        <v>7</v>
      </c>
      <c r="F174" s="5">
        <v>44003.625</v>
      </c>
      <c r="H174" s="19" t="str">
        <f t="shared" si="6"/>
        <v/>
      </c>
    </row>
    <row r="175" spans="1:8">
      <c r="A175">
        <v>5</v>
      </c>
      <c r="B175" t="s">
        <v>129</v>
      </c>
      <c r="C175" t="s">
        <v>8</v>
      </c>
      <c r="E175" s="3">
        <f t="shared" si="5"/>
        <v>1</v>
      </c>
      <c r="F175" s="5">
        <v>44004.625</v>
      </c>
      <c r="H175" s="19" t="str">
        <f t="shared" si="6"/>
        <v>W26</v>
      </c>
    </row>
    <row r="176" spans="1:8">
      <c r="A176">
        <v>5</v>
      </c>
      <c r="B176" t="s">
        <v>130</v>
      </c>
      <c r="C176" t="s">
        <v>8</v>
      </c>
      <c r="E176" s="3">
        <f t="shared" si="5"/>
        <v>2</v>
      </c>
      <c r="F176" s="5">
        <v>44005.625</v>
      </c>
      <c r="H176" s="19" t="str">
        <f t="shared" si="6"/>
        <v/>
      </c>
    </row>
    <row r="177" spans="1:8">
      <c r="A177">
        <v>16</v>
      </c>
      <c r="B177" t="s">
        <v>131</v>
      </c>
      <c r="C177" t="s">
        <v>8</v>
      </c>
      <c r="E177" s="3">
        <f t="shared" si="5"/>
        <v>3</v>
      </c>
      <c r="F177" s="5">
        <v>44006.625</v>
      </c>
      <c r="H177" s="19" t="str">
        <f t="shared" si="6"/>
        <v/>
      </c>
    </row>
    <row r="178" spans="1:8">
      <c r="A178">
        <v>14</v>
      </c>
      <c r="B178" t="s">
        <v>132</v>
      </c>
      <c r="C178" t="s">
        <v>8</v>
      </c>
      <c r="E178" s="3">
        <f t="shared" si="5"/>
        <v>4</v>
      </c>
      <c r="F178" s="5">
        <v>44007.625</v>
      </c>
      <c r="H178" s="19" t="str">
        <f t="shared" si="6"/>
        <v/>
      </c>
    </row>
    <row r="179" spans="1:8">
      <c r="A179">
        <v>3</v>
      </c>
      <c r="B179" t="s">
        <v>133</v>
      </c>
      <c r="C179" t="s">
        <v>8</v>
      </c>
      <c r="E179" s="3">
        <f t="shared" si="5"/>
        <v>5</v>
      </c>
      <c r="F179" s="5">
        <v>44008.625</v>
      </c>
      <c r="H179" s="19" t="str">
        <f t="shared" si="6"/>
        <v/>
      </c>
    </row>
    <row r="180" spans="1:8">
      <c r="A180">
        <v>2</v>
      </c>
      <c r="B180" t="s">
        <v>134</v>
      </c>
      <c r="C180" t="s">
        <v>8</v>
      </c>
      <c r="E180" s="3">
        <f t="shared" si="5"/>
        <v>6</v>
      </c>
      <c r="F180" s="5">
        <v>44009.625</v>
      </c>
      <c r="H180" s="19" t="str">
        <f t="shared" si="6"/>
        <v/>
      </c>
    </row>
    <row r="181" spans="1:8">
      <c r="A181">
        <v>7</v>
      </c>
      <c r="B181" t="s">
        <v>135</v>
      </c>
      <c r="C181" t="s">
        <v>8</v>
      </c>
      <c r="E181" s="3">
        <f t="shared" si="5"/>
        <v>7</v>
      </c>
      <c r="F181" s="5">
        <v>44010.625</v>
      </c>
      <c r="H181" s="19" t="str">
        <f t="shared" si="6"/>
        <v/>
      </c>
    </row>
    <row r="182" spans="1:8">
      <c r="A182">
        <v>15</v>
      </c>
      <c r="B182" t="s">
        <v>136</v>
      </c>
      <c r="C182" t="s">
        <v>8</v>
      </c>
      <c r="E182" s="3">
        <f t="shared" si="5"/>
        <v>1</v>
      </c>
      <c r="F182" s="5">
        <v>44011.625</v>
      </c>
      <c r="H182" s="19" t="str">
        <f t="shared" si="6"/>
        <v>W27</v>
      </c>
    </row>
    <row r="183" spans="1:8">
      <c r="A183">
        <v>10</v>
      </c>
      <c r="B183" t="s">
        <v>137</v>
      </c>
      <c r="C183" t="s">
        <v>8</v>
      </c>
      <c r="E183" s="3">
        <f t="shared" si="5"/>
        <v>2</v>
      </c>
      <c r="F183" s="5">
        <v>44012.625</v>
      </c>
      <c r="H183" s="19" t="str">
        <f t="shared" si="6"/>
        <v/>
      </c>
    </row>
    <row r="184" spans="1:8">
      <c r="A184">
        <v>2</v>
      </c>
      <c r="B184" t="s">
        <v>138</v>
      </c>
      <c r="C184" t="s">
        <v>8</v>
      </c>
      <c r="E184" s="3">
        <f t="shared" si="5"/>
        <v>3</v>
      </c>
      <c r="F184" s="5">
        <v>44013.625</v>
      </c>
      <c r="H184" s="19" t="str">
        <f t="shared" si="6"/>
        <v/>
      </c>
    </row>
    <row r="185" spans="1:8">
      <c r="A185">
        <v>7</v>
      </c>
      <c r="B185" t="s">
        <v>139</v>
      </c>
      <c r="C185" t="s">
        <v>8</v>
      </c>
      <c r="E185" s="3">
        <f t="shared" si="5"/>
        <v>4</v>
      </c>
      <c r="F185" s="5">
        <v>44014.625</v>
      </c>
      <c r="H185" s="19" t="str">
        <f t="shared" si="6"/>
        <v/>
      </c>
    </row>
    <row r="186" spans="1:8">
      <c r="A186">
        <v>5</v>
      </c>
      <c r="B186" t="s">
        <v>140</v>
      </c>
      <c r="C186" t="s">
        <v>8</v>
      </c>
      <c r="E186" s="3">
        <f t="shared" si="5"/>
        <v>5</v>
      </c>
      <c r="F186" s="5">
        <v>44015.625</v>
      </c>
      <c r="H186" s="19" t="str">
        <f t="shared" si="6"/>
        <v/>
      </c>
    </row>
    <row r="187" spans="1:8">
      <c r="A187">
        <v>2</v>
      </c>
      <c r="B187" t="s">
        <v>141</v>
      </c>
      <c r="C187" t="s">
        <v>8</v>
      </c>
      <c r="E187" s="3">
        <f t="shared" si="5"/>
        <v>6</v>
      </c>
      <c r="F187" s="5">
        <v>44016.625</v>
      </c>
      <c r="H187" s="19" t="str">
        <f t="shared" si="6"/>
        <v/>
      </c>
    </row>
    <row r="188" spans="1:8">
      <c r="A188">
        <v>3</v>
      </c>
      <c r="B188" t="s">
        <v>142</v>
      </c>
      <c r="C188" t="s">
        <v>8</v>
      </c>
      <c r="E188" s="3">
        <f t="shared" si="5"/>
        <v>7</v>
      </c>
      <c r="F188" s="5">
        <v>44017.625</v>
      </c>
      <c r="H188" s="19" t="str">
        <f t="shared" si="6"/>
        <v/>
      </c>
    </row>
    <row r="189" spans="1:8">
      <c r="A189">
        <v>6</v>
      </c>
      <c r="B189" t="s">
        <v>143</v>
      </c>
      <c r="C189" t="s">
        <v>8</v>
      </c>
      <c r="E189" s="3">
        <f t="shared" si="5"/>
        <v>1</v>
      </c>
      <c r="F189" s="5">
        <v>44018.625</v>
      </c>
      <c r="H189" s="19" t="str">
        <f t="shared" si="6"/>
        <v>W28</v>
      </c>
    </row>
    <row r="190" spans="1:8">
      <c r="A190">
        <v>3</v>
      </c>
      <c r="B190" t="s">
        <v>144</v>
      </c>
      <c r="C190" t="s">
        <v>8</v>
      </c>
      <c r="E190" s="3">
        <f t="shared" si="5"/>
        <v>2</v>
      </c>
      <c r="F190" s="5">
        <v>44019.625</v>
      </c>
      <c r="H190" s="19" t="str">
        <f t="shared" si="6"/>
        <v/>
      </c>
    </row>
    <row r="191" spans="1:8">
      <c r="A191">
        <v>9</v>
      </c>
      <c r="B191" t="s">
        <v>145</v>
      </c>
      <c r="C191" t="s">
        <v>8</v>
      </c>
      <c r="E191" s="3">
        <f t="shared" si="5"/>
        <v>3</v>
      </c>
      <c r="F191" s="5">
        <v>44020.625</v>
      </c>
      <c r="H191" s="19" t="str">
        <f t="shared" si="6"/>
        <v/>
      </c>
    </row>
    <row r="192" spans="1:8">
      <c r="A192">
        <v>8</v>
      </c>
      <c r="B192" t="s">
        <v>146</v>
      </c>
      <c r="C192" t="s">
        <v>8</v>
      </c>
      <c r="E192" s="3">
        <f t="shared" si="5"/>
        <v>4</v>
      </c>
      <c r="F192" s="5">
        <v>44021.625</v>
      </c>
      <c r="H192" s="19" t="str">
        <f t="shared" si="6"/>
        <v/>
      </c>
    </row>
    <row r="193" spans="1:8">
      <c r="A193">
        <v>7</v>
      </c>
      <c r="B193" t="s">
        <v>147</v>
      </c>
      <c r="C193" t="s">
        <v>8</v>
      </c>
      <c r="E193" s="3">
        <f t="shared" si="5"/>
        <v>5</v>
      </c>
      <c r="F193" s="5">
        <v>44022.625</v>
      </c>
      <c r="H193" s="19" t="str">
        <f t="shared" si="6"/>
        <v/>
      </c>
    </row>
    <row r="194" spans="1:8">
      <c r="A194">
        <v>0</v>
      </c>
      <c r="B194" t="s">
        <v>290</v>
      </c>
      <c r="C194" t="s">
        <v>8</v>
      </c>
      <c r="E194" s="3">
        <f t="shared" si="5"/>
        <v>6</v>
      </c>
      <c r="F194" s="5">
        <v>44023.625</v>
      </c>
      <c r="H194" s="19" t="str">
        <f t="shared" si="6"/>
        <v/>
      </c>
    </row>
    <row r="195" spans="1:8">
      <c r="A195">
        <v>4</v>
      </c>
      <c r="B195" t="s">
        <v>148</v>
      </c>
      <c r="C195" t="s">
        <v>8</v>
      </c>
      <c r="E195" s="3">
        <f t="shared" ref="E195:E258" si="7">WEEKDAY(F195,2)</f>
        <v>7</v>
      </c>
      <c r="F195" s="5">
        <v>44024.625</v>
      </c>
      <c r="H195" s="19" t="str">
        <f t="shared" ref="H195:H258" si="8">IF(WEEKDAY(F195,2)=1,"W"&amp;WEEKNUM(F195,14),"")</f>
        <v/>
      </c>
    </row>
    <row r="196" spans="1:8">
      <c r="A196">
        <v>7</v>
      </c>
      <c r="B196" t="s">
        <v>149</v>
      </c>
      <c r="C196" t="s">
        <v>8</v>
      </c>
      <c r="E196" s="3">
        <f t="shared" si="7"/>
        <v>1</v>
      </c>
      <c r="F196" s="5">
        <v>44025.625</v>
      </c>
      <c r="H196" s="19" t="str">
        <f t="shared" si="8"/>
        <v>W29</v>
      </c>
    </row>
    <row r="197" spans="1:8">
      <c r="A197">
        <v>5</v>
      </c>
      <c r="B197" t="s">
        <v>150</v>
      </c>
      <c r="C197" t="s">
        <v>8</v>
      </c>
      <c r="E197" s="3">
        <f t="shared" si="7"/>
        <v>2</v>
      </c>
      <c r="F197" s="5">
        <v>44026.625</v>
      </c>
      <c r="H197" s="19" t="str">
        <f t="shared" si="8"/>
        <v/>
      </c>
    </row>
    <row r="198" spans="1:8">
      <c r="A198">
        <v>5</v>
      </c>
      <c r="B198" t="s">
        <v>151</v>
      </c>
      <c r="C198" t="s">
        <v>8</v>
      </c>
      <c r="E198" s="3">
        <f t="shared" si="7"/>
        <v>3</v>
      </c>
      <c r="F198" s="5">
        <v>44027.625</v>
      </c>
      <c r="H198" s="19" t="str">
        <f t="shared" si="8"/>
        <v/>
      </c>
    </row>
    <row r="199" spans="1:8">
      <c r="A199">
        <v>9</v>
      </c>
      <c r="B199" t="s">
        <v>152</v>
      </c>
      <c r="C199" t="s">
        <v>8</v>
      </c>
      <c r="E199" s="3">
        <f t="shared" si="7"/>
        <v>4</v>
      </c>
      <c r="F199" s="5">
        <v>44028.625</v>
      </c>
      <c r="H199" s="19" t="str">
        <f t="shared" si="8"/>
        <v/>
      </c>
    </row>
    <row r="200" spans="1:8">
      <c r="A200">
        <v>6</v>
      </c>
      <c r="B200" t="s">
        <v>153</v>
      </c>
      <c r="C200" t="s">
        <v>8</v>
      </c>
      <c r="E200" s="3">
        <f t="shared" si="7"/>
        <v>5</v>
      </c>
      <c r="F200" s="5">
        <v>44029.625</v>
      </c>
      <c r="H200" s="19" t="str">
        <f t="shared" si="8"/>
        <v/>
      </c>
    </row>
    <row r="201" spans="1:8">
      <c r="A201">
        <v>7</v>
      </c>
      <c r="B201" t="s">
        <v>154</v>
      </c>
      <c r="C201" t="s">
        <v>8</v>
      </c>
      <c r="E201" s="3">
        <f t="shared" si="7"/>
        <v>6</v>
      </c>
      <c r="F201" s="5">
        <v>44030.625</v>
      </c>
      <c r="H201" s="19" t="str">
        <f t="shared" si="8"/>
        <v/>
      </c>
    </row>
    <row r="202" spans="1:8">
      <c r="A202">
        <v>5</v>
      </c>
      <c r="B202" t="s">
        <v>155</v>
      </c>
      <c r="C202" t="s">
        <v>8</v>
      </c>
      <c r="E202" s="3">
        <f t="shared" si="7"/>
        <v>7</v>
      </c>
      <c r="F202" s="5">
        <v>44031.625</v>
      </c>
      <c r="H202" s="19" t="str">
        <f t="shared" si="8"/>
        <v/>
      </c>
    </row>
    <row r="203" spans="1:8">
      <c r="A203">
        <v>12</v>
      </c>
      <c r="B203" t="s">
        <v>156</v>
      </c>
      <c r="C203" t="s">
        <v>8</v>
      </c>
      <c r="E203" s="3">
        <f t="shared" si="7"/>
        <v>1</v>
      </c>
      <c r="F203" s="5">
        <v>44032.625</v>
      </c>
      <c r="H203" s="19" t="str">
        <f t="shared" si="8"/>
        <v>W30</v>
      </c>
    </row>
    <row r="204" spans="1:8">
      <c r="A204">
        <v>8</v>
      </c>
      <c r="B204" t="s">
        <v>157</v>
      </c>
      <c r="C204" t="s">
        <v>8</v>
      </c>
      <c r="E204" s="3">
        <f t="shared" si="7"/>
        <v>2</v>
      </c>
      <c r="F204" s="5">
        <v>44033.625</v>
      </c>
      <c r="H204" s="19" t="str">
        <f t="shared" si="8"/>
        <v/>
      </c>
    </row>
    <row r="205" spans="1:8">
      <c r="A205">
        <v>11</v>
      </c>
      <c r="B205" t="s">
        <v>158</v>
      </c>
      <c r="C205" t="s">
        <v>8</v>
      </c>
      <c r="E205" s="3">
        <f t="shared" si="7"/>
        <v>3</v>
      </c>
      <c r="F205" s="5">
        <v>44034.625</v>
      </c>
      <c r="H205" s="19" t="str">
        <f t="shared" si="8"/>
        <v/>
      </c>
    </row>
    <row r="206" spans="1:8">
      <c r="A206">
        <v>3</v>
      </c>
      <c r="B206" t="s">
        <v>159</v>
      </c>
      <c r="C206" t="s">
        <v>8</v>
      </c>
      <c r="E206" s="3">
        <f t="shared" si="7"/>
        <v>4</v>
      </c>
      <c r="F206" s="5">
        <v>44035.625</v>
      </c>
      <c r="H206" s="19" t="str">
        <f t="shared" si="8"/>
        <v/>
      </c>
    </row>
    <row r="207" spans="1:8">
      <c r="A207">
        <v>10</v>
      </c>
      <c r="B207" t="s">
        <v>160</v>
      </c>
      <c r="C207" t="s">
        <v>8</v>
      </c>
      <c r="E207" s="3">
        <f t="shared" si="7"/>
        <v>5</v>
      </c>
      <c r="F207" s="5">
        <v>44036.625</v>
      </c>
      <c r="H207" s="19" t="str">
        <f t="shared" si="8"/>
        <v/>
      </c>
    </row>
    <row r="208" spans="1:8">
      <c r="A208">
        <v>4</v>
      </c>
      <c r="B208" t="s">
        <v>161</v>
      </c>
      <c r="C208" t="s">
        <v>8</v>
      </c>
      <c r="E208" s="3">
        <f t="shared" si="7"/>
        <v>6</v>
      </c>
      <c r="F208" s="5">
        <v>44037.625</v>
      </c>
      <c r="H208" s="19" t="str">
        <f t="shared" si="8"/>
        <v/>
      </c>
    </row>
    <row r="209" spans="1:8">
      <c r="A209">
        <v>8</v>
      </c>
      <c r="B209" t="s">
        <v>162</v>
      </c>
      <c r="C209" t="s">
        <v>8</v>
      </c>
      <c r="E209" s="3">
        <f t="shared" si="7"/>
        <v>7</v>
      </c>
      <c r="F209" s="5">
        <v>44038.625</v>
      </c>
      <c r="H209" s="19" t="str">
        <f t="shared" si="8"/>
        <v/>
      </c>
    </row>
    <row r="210" spans="1:8">
      <c r="A210">
        <v>13</v>
      </c>
      <c r="B210" t="s">
        <v>163</v>
      </c>
      <c r="C210" t="s">
        <v>8</v>
      </c>
      <c r="E210" s="3">
        <f t="shared" si="7"/>
        <v>1</v>
      </c>
      <c r="F210" s="5">
        <v>44039.625</v>
      </c>
      <c r="H210" s="19" t="str">
        <f t="shared" si="8"/>
        <v>W31</v>
      </c>
    </row>
    <row r="211" spans="1:8">
      <c r="A211">
        <v>9</v>
      </c>
      <c r="B211" t="s">
        <v>164</v>
      </c>
      <c r="C211" t="s">
        <v>8</v>
      </c>
      <c r="E211" s="3">
        <f t="shared" si="7"/>
        <v>2</v>
      </c>
      <c r="F211" s="5">
        <v>44040.625</v>
      </c>
      <c r="H211" s="19" t="str">
        <f t="shared" si="8"/>
        <v/>
      </c>
    </row>
    <row r="212" spans="1:8">
      <c r="A212">
        <v>12</v>
      </c>
      <c r="B212" t="s">
        <v>165</v>
      </c>
      <c r="C212" t="s">
        <v>8</v>
      </c>
      <c r="E212" s="3">
        <f t="shared" si="7"/>
        <v>3</v>
      </c>
      <c r="F212" s="5">
        <v>44041.625</v>
      </c>
      <c r="H212" s="19" t="str">
        <f t="shared" si="8"/>
        <v/>
      </c>
    </row>
    <row r="213" spans="1:8">
      <c r="A213">
        <v>8</v>
      </c>
      <c r="B213" t="s">
        <v>166</v>
      </c>
      <c r="C213" t="s">
        <v>8</v>
      </c>
      <c r="E213" s="3">
        <f t="shared" si="7"/>
        <v>4</v>
      </c>
      <c r="F213" s="5">
        <v>44042.625</v>
      </c>
      <c r="H213" s="19" t="str">
        <f t="shared" si="8"/>
        <v/>
      </c>
    </row>
    <row r="214" spans="1:8">
      <c r="A214">
        <v>18</v>
      </c>
      <c r="B214" t="s">
        <v>167</v>
      </c>
      <c r="C214" t="s">
        <v>8</v>
      </c>
      <c r="E214" s="3">
        <f t="shared" si="7"/>
        <v>5</v>
      </c>
      <c r="F214" s="5">
        <v>44043.625</v>
      </c>
      <c r="H214" s="19" t="str">
        <f t="shared" si="8"/>
        <v/>
      </c>
    </row>
    <row r="215" spans="1:8">
      <c r="A215">
        <v>14</v>
      </c>
      <c r="B215" t="s">
        <v>168</v>
      </c>
      <c r="C215" t="s">
        <v>8</v>
      </c>
      <c r="E215" s="3">
        <f t="shared" si="7"/>
        <v>6</v>
      </c>
      <c r="F215" s="5">
        <v>44044.625</v>
      </c>
      <c r="H215" s="19" t="str">
        <f t="shared" si="8"/>
        <v/>
      </c>
    </row>
    <row r="216" spans="1:8">
      <c r="A216">
        <v>10</v>
      </c>
      <c r="B216" t="s">
        <v>169</v>
      </c>
      <c r="C216" t="s">
        <v>8</v>
      </c>
      <c r="E216" s="3">
        <f t="shared" si="7"/>
        <v>7</v>
      </c>
      <c r="F216" s="5">
        <v>44045.625</v>
      </c>
      <c r="H216" s="19" t="str">
        <f t="shared" si="8"/>
        <v/>
      </c>
    </row>
    <row r="217" spans="1:8">
      <c r="A217">
        <v>35</v>
      </c>
      <c r="B217" t="s">
        <v>170</v>
      </c>
      <c r="C217" t="s">
        <v>8</v>
      </c>
      <c r="E217" s="3">
        <f t="shared" si="7"/>
        <v>1</v>
      </c>
      <c r="F217" s="5">
        <v>44046.625</v>
      </c>
      <c r="H217" s="19" t="str">
        <f t="shared" si="8"/>
        <v>W32</v>
      </c>
    </row>
    <row r="218" spans="1:8">
      <c r="A218">
        <v>22</v>
      </c>
      <c r="B218" t="s">
        <v>171</v>
      </c>
      <c r="C218" t="s">
        <v>8</v>
      </c>
      <c r="E218" s="3">
        <f t="shared" si="7"/>
        <v>2</v>
      </c>
      <c r="F218" s="5">
        <v>44047.625</v>
      </c>
      <c r="H218" s="19" t="str">
        <f t="shared" si="8"/>
        <v/>
      </c>
    </row>
    <row r="219" spans="1:8">
      <c r="A219">
        <v>29</v>
      </c>
      <c r="B219" t="s">
        <v>172</v>
      </c>
      <c r="C219" t="s">
        <v>8</v>
      </c>
      <c r="E219" s="3">
        <f t="shared" si="7"/>
        <v>3</v>
      </c>
      <c r="F219" s="5">
        <v>44048.625</v>
      </c>
      <c r="H219" s="19" t="str">
        <f t="shared" si="8"/>
        <v/>
      </c>
    </row>
    <row r="220" spans="1:8">
      <c r="A220">
        <v>22</v>
      </c>
      <c r="B220" t="s">
        <v>173</v>
      </c>
      <c r="C220" t="s">
        <v>8</v>
      </c>
      <c r="E220" s="3">
        <f t="shared" si="7"/>
        <v>4</v>
      </c>
      <c r="F220" s="5">
        <v>44049.625</v>
      </c>
      <c r="H220" s="19" t="str">
        <f t="shared" si="8"/>
        <v/>
      </c>
    </row>
    <row r="221" spans="1:8">
      <c r="A221">
        <v>17</v>
      </c>
      <c r="B221" t="s">
        <v>174</v>
      </c>
      <c r="C221" t="s">
        <v>8</v>
      </c>
      <c r="E221" s="3">
        <f t="shared" si="7"/>
        <v>5</v>
      </c>
      <c r="F221" s="5">
        <v>44050.625</v>
      </c>
      <c r="H221" s="19" t="str">
        <f t="shared" si="8"/>
        <v/>
      </c>
    </row>
    <row r="222" spans="1:8">
      <c r="A222">
        <v>9</v>
      </c>
      <c r="B222" t="s">
        <v>175</v>
      </c>
      <c r="C222" t="s">
        <v>8</v>
      </c>
      <c r="E222" s="3">
        <f t="shared" si="7"/>
        <v>6</v>
      </c>
      <c r="F222" s="5">
        <v>44051.625</v>
      </c>
      <c r="H222" s="19" t="str">
        <f t="shared" si="8"/>
        <v/>
      </c>
    </row>
    <row r="223" spans="1:8">
      <c r="A223">
        <v>35</v>
      </c>
      <c r="B223" t="s">
        <v>176</v>
      </c>
      <c r="C223" t="s">
        <v>8</v>
      </c>
      <c r="E223" s="3">
        <f t="shared" si="7"/>
        <v>7</v>
      </c>
      <c r="F223" s="5">
        <v>44052.625</v>
      </c>
      <c r="H223" s="19" t="str">
        <f t="shared" si="8"/>
        <v/>
      </c>
    </row>
    <row r="224" spans="1:8">
      <c r="A224">
        <v>15</v>
      </c>
      <c r="B224" t="s">
        <v>177</v>
      </c>
      <c r="C224" t="s">
        <v>8</v>
      </c>
      <c r="E224" s="3">
        <f t="shared" si="7"/>
        <v>1</v>
      </c>
      <c r="F224" s="5">
        <v>44053.625</v>
      </c>
      <c r="H224" s="19" t="str">
        <f t="shared" si="8"/>
        <v>W33</v>
      </c>
    </row>
    <row r="225" spans="1:8">
      <c r="A225">
        <v>28</v>
      </c>
      <c r="B225" t="s">
        <v>178</v>
      </c>
      <c r="C225" t="s">
        <v>8</v>
      </c>
      <c r="E225" s="3">
        <f t="shared" si="7"/>
        <v>2</v>
      </c>
      <c r="F225" s="5">
        <v>44054.625</v>
      </c>
      <c r="H225" s="19" t="str">
        <f t="shared" si="8"/>
        <v/>
      </c>
    </row>
    <row r="226" spans="1:8">
      <c r="A226">
        <v>27</v>
      </c>
      <c r="B226" t="s">
        <v>179</v>
      </c>
      <c r="C226" t="s">
        <v>8</v>
      </c>
      <c r="E226" s="3">
        <f t="shared" si="7"/>
        <v>3</v>
      </c>
      <c r="F226" s="5">
        <v>44055.625</v>
      </c>
      <c r="H226" s="19" t="str">
        <f t="shared" si="8"/>
        <v/>
      </c>
    </row>
    <row r="227" spans="1:8">
      <c r="A227">
        <v>21</v>
      </c>
      <c r="B227" t="s">
        <v>180</v>
      </c>
      <c r="C227" t="s">
        <v>8</v>
      </c>
      <c r="E227" s="3">
        <f t="shared" si="7"/>
        <v>4</v>
      </c>
      <c r="F227" s="5">
        <v>44056.625</v>
      </c>
      <c r="H227" s="19" t="str">
        <f t="shared" si="8"/>
        <v/>
      </c>
    </row>
    <row r="228" spans="1:8">
      <c r="A228">
        <v>27</v>
      </c>
      <c r="B228" t="s">
        <v>181</v>
      </c>
      <c r="C228" t="s">
        <v>8</v>
      </c>
      <c r="E228" s="3">
        <f t="shared" si="7"/>
        <v>5</v>
      </c>
      <c r="F228" s="5">
        <v>44057.625</v>
      </c>
      <c r="H228" s="19" t="str">
        <f t="shared" si="8"/>
        <v/>
      </c>
    </row>
    <row r="229" spans="1:8">
      <c r="A229">
        <v>14</v>
      </c>
      <c r="B229" t="s">
        <v>182</v>
      </c>
      <c r="C229" t="s">
        <v>8</v>
      </c>
      <c r="E229" s="3">
        <f t="shared" si="7"/>
        <v>6</v>
      </c>
      <c r="F229" s="5">
        <v>44058.625</v>
      </c>
      <c r="H229" s="19" t="str">
        <f t="shared" si="8"/>
        <v/>
      </c>
    </row>
    <row r="230" spans="1:8">
      <c r="A230">
        <v>43</v>
      </c>
      <c r="B230" t="s">
        <v>183</v>
      </c>
      <c r="C230" t="s">
        <v>8</v>
      </c>
      <c r="E230" s="3">
        <f t="shared" si="7"/>
        <v>7</v>
      </c>
      <c r="F230" s="5">
        <v>44059.625</v>
      </c>
      <c r="H230" s="19" t="str">
        <f t="shared" si="8"/>
        <v/>
      </c>
    </row>
    <row r="231" spans="1:8">
      <c r="A231">
        <v>27</v>
      </c>
      <c r="B231" t="s">
        <v>184</v>
      </c>
      <c r="C231" t="s">
        <v>8</v>
      </c>
      <c r="E231" s="3">
        <f t="shared" si="7"/>
        <v>1</v>
      </c>
      <c r="F231" s="5">
        <v>44060.625</v>
      </c>
      <c r="H231" s="19" t="str">
        <f t="shared" si="8"/>
        <v>W34</v>
      </c>
    </row>
    <row r="232" spans="1:8">
      <c r="A232">
        <v>39</v>
      </c>
      <c r="B232" t="s">
        <v>185</v>
      </c>
      <c r="C232" t="s">
        <v>8</v>
      </c>
      <c r="E232" s="3">
        <f t="shared" si="7"/>
        <v>2</v>
      </c>
      <c r="F232" s="5">
        <v>44061.625</v>
      </c>
      <c r="H232" s="19" t="str">
        <f t="shared" si="8"/>
        <v/>
      </c>
    </row>
    <row r="233" spans="1:8">
      <c r="A233">
        <v>47</v>
      </c>
      <c r="B233" t="s">
        <v>186</v>
      </c>
      <c r="C233" t="s">
        <v>8</v>
      </c>
      <c r="E233" s="3">
        <f t="shared" si="7"/>
        <v>3</v>
      </c>
      <c r="F233" s="5">
        <v>44062.625</v>
      </c>
      <c r="H233" s="19" t="str">
        <f t="shared" si="8"/>
        <v/>
      </c>
    </row>
    <row r="234" spans="1:8">
      <c r="A234">
        <v>26</v>
      </c>
      <c r="B234" t="s">
        <v>187</v>
      </c>
      <c r="C234" t="s">
        <v>8</v>
      </c>
      <c r="E234" s="3">
        <f t="shared" si="7"/>
        <v>4</v>
      </c>
      <c r="F234" s="5">
        <v>44063.625</v>
      </c>
      <c r="H234" s="19" t="str">
        <f t="shared" si="8"/>
        <v/>
      </c>
    </row>
    <row r="235" spans="1:8">
      <c r="A235">
        <v>25</v>
      </c>
      <c r="B235" t="s">
        <v>188</v>
      </c>
      <c r="C235" t="s">
        <v>8</v>
      </c>
      <c r="E235" s="3">
        <f t="shared" si="7"/>
        <v>5</v>
      </c>
      <c r="F235" s="5">
        <v>44064.625</v>
      </c>
      <c r="H235" s="19" t="str">
        <f t="shared" si="8"/>
        <v/>
      </c>
    </row>
    <row r="236" spans="1:8">
      <c r="A236">
        <v>16</v>
      </c>
      <c r="B236" t="s">
        <v>189</v>
      </c>
      <c r="C236" t="s">
        <v>8</v>
      </c>
      <c r="E236" s="3">
        <f t="shared" si="7"/>
        <v>6</v>
      </c>
      <c r="F236" s="5">
        <v>44065.625</v>
      </c>
      <c r="H236" s="19" t="str">
        <f t="shared" si="8"/>
        <v/>
      </c>
    </row>
    <row r="237" spans="1:8">
      <c r="A237">
        <v>10</v>
      </c>
      <c r="B237" t="s">
        <v>190</v>
      </c>
      <c r="C237" t="s">
        <v>8</v>
      </c>
      <c r="E237" s="3">
        <f t="shared" si="7"/>
        <v>7</v>
      </c>
      <c r="F237" s="5">
        <v>44066.625</v>
      </c>
      <c r="H237" s="19" t="str">
        <f t="shared" si="8"/>
        <v/>
      </c>
    </row>
    <row r="238" spans="1:8">
      <c r="A238">
        <v>17</v>
      </c>
      <c r="B238" t="s">
        <v>191</v>
      </c>
      <c r="C238" t="s">
        <v>8</v>
      </c>
      <c r="E238" s="3">
        <f t="shared" si="7"/>
        <v>1</v>
      </c>
      <c r="F238" s="5">
        <v>44067.625</v>
      </c>
      <c r="H238" s="19" t="str">
        <f t="shared" si="8"/>
        <v>W35</v>
      </c>
    </row>
    <row r="239" spans="1:8">
      <c r="A239">
        <v>15</v>
      </c>
      <c r="B239" t="s">
        <v>192</v>
      </c>
      <c r="C239" t="s">
        <v>8</v>
      </c>
      <c r="E239" s="3">
        <f t="shared" si="7"/>
        <v>2</v>
      </c>
      <c r="F239" s="5">
        <v>44068.625</v>
      </c>
      <c r="H239" s="19" t="str">
        <f t="shared" si="8"/>
        <v/>
      </c>
    </row>
    <row r="240" spans="1:8">
      <c r="A240">
        <v>20</v>
      </c>
      <c r="B240" t="s">
        <v>193</v>
      </c>
      <c r="C240" t="s">
        <v>8</v>
      </c>
      <c r="E240" s="3">
        <f t="shared" si="7"/>
        <v>3</v>
      </c>
      <c r="F240" s="5">
        <v>44069.625</v>
      </c>
      <c r="H240" s="19" t="str">
        <f t="shared" si="8"/>
        <v/>
      </c>
    </row>
    <row r="241" spans="1:8">
      <c r="A241">
        <v>32</v>
      </c>
      <c r="B241" t="s">
        <v>194</v>
      </c>
      <c r="C241" t="s">
        <v>8</v>
      </c>
      <c r="E241" s="3">
        <f t="shared" si="7"/>
        <v>4</v>
      </c>
      <c r="F241" s="5">
        <v>44070.625</v>
      </c>
      <c r="H241" s="19" t="str">
        <f t="shared" si="8"/>
        <v/>
      </c>
    </row>
    <row r="242" spans="1:8">
      <c r="A242">
        <v>33</v>
      </c>
      <c r="B242" t="s">
        <v>195</v>
      </c>
      <c r="C242" t="s">
        <v>8</v>
      </c>
      <c r="E242" s="3">
        <f t="shared" si="7"/>
        <v>5</v>
      </c>
      <c r="F242" s="5">
        <v>44071.625</v>
      </c>
      <c r="H242" s="19" t="str">
        <f t="shared" si="8"/>
        <v/>
      </c>
    </row>
    <row r="243" spans="1:8">
      <c r="A243">
        <v>19</v>
      </c>
      <c r="B243" t="s">
        <v>196</v>
      </c>
      <c r="C243" t="s">
        <v>8</v>
      </c>
      <c r="E243" s="3">
        <f t="shared" si="7"/>
        <v>6</v>
      </c>
      <c r="F243" s="5">
        <v>44072.625</v>
      </c>
      <c r="H243" s="19" t="str">
        <f t="shared" si="8"/>
        <v/>
      </c>
    </row>
    <row r="244" spans="1:8">
      <c r="A244">
        <v>18</v>
      </c>
      <c r="B244" t="s">
        <v>197</v>
      </c>
      <c r="C244" t="s">
        <v>8</v>
      </c>
      <c r="E244" s="3">
        <f t="shared" si="7"/>
        <v>7</v>
      </c>
      <c r="F244" s="5">
        <v>44073.625</v>
      </c>
      <c r="H244" s="19" t="str">
        <f t="shared" si="8"/>
        <v/>
      </c>
    </row>
    <row r="245" spans="1:8">
      <c r="A245">
        <v>48</v>
      </c>
      <c r="B245" t="s">
        <v>198</v>
      </c>
      <c r="C245" t="s">
        <v>8</v>
      </c>
      <c r="E245" s="3">
        <f t="shared" si="7"/>
        <v>1</v>
      </c>
      <c r="F245" s="5">
        <v>44074.625</v>
      </c>
      <c r="H245" s="19" t="str">
        <f t="shared" si="8"/>
        <v>W36</v>
      </c>
    </row>
    <row r="246" spans="1:8">
      <c r="A246">
        <v>29</v>
      </c>
      <c r="B246" t="s">
        <v>199</v>
      </c>
      <c r="C246" t="s">
        <v>8</v>
      </c>
      <c r="E246" s="3">
        <f t="shared" si="7"/>
        <v>2</v>
      </c>
      <c r="F246" s="5">
        <v>44075.625</v>
      </c>
      <c r="H246" s="19" t="str">
        <f t="shared" si="8"/>
        <v/>
      </c>
    </row>
    <row r="247" spans="1:8">
      <c r="A247">
        <v>26</v>
      </c>
      <c r="B247" t="s">
        <v>200</v>
      </c>
      <c r="C247" t="s">
        <v>8</v>
      </c>
      <c r="E247" s="3">
        <f t="shared" si="7"/>
        <v>3</v>
      </c>
      <c r="F247" s="5">
        <v>44076.625</v>
      </c>
      <c r="H247" s="19" t="str">
        <f t="shared" si="8"/>
        <v/>
      </c>
    </row>
    <row r="248" spans="1:8">
      <c r="A248">
        <v>35</v>
      </c>
      <c r="B248" t="s">
        <v>201</v>
      </c>
      <c r="C248" t="s">
        <v>8</v>
      </c>
      <c r="E248" s="3">
        <f t="shared" si="7"/>
        <v>4</v>
      </c>
      <c r="F248" s="5">
        <v>44077.625</v>
      </c>
      <c r="G248" t="str">
        <f>IF(WEEKDAY(F248,2)=1,"Maanantai","")</f>
        <v/>
      </c>
      <c r="H248" s="19" t="str">
        <f t="shared" si="8"/>
        <v/>
      </c>
    </row>
    <row r="249" spans="1:8">
      <c r="A249">
        <v>42</v>
      </c>
      <c r="B249" t="s">
        <v>202</v>
      </c>
      <c r="C249" t="s">
        <v>8</v>
      </c>
      <c r="E249" s="3">
        <f t="shared" si="7"/>
        <v>5</v>
      </c>
      <c r="F249" s="5">
        <v>44078.625</v>
      </c>
      <c r="G249" t="str">
        <f t="shared" ref="G249:G251" si="9">IF(WEEKDAY(F249,2)=1,"Maanantai","")</f>
        <v/>
      </c>
      <c r="H249" s="19" t="str">
        <f t="shared" si="8"/>
        <v/>
      </c>
    </row>
    <row r="250" spans="1:8">
      <c r="A250">
        <v>22</v>
      </c>
      <c r="B250" t="s">
        <v>203</v>
      </c>
      <c r="C250" t="s">
        <v>8</v>
      </c>
      <c r="E250" s="3">
        <f t="shared" si="7"/>
        <v>6</v>
      </c>
      <c r="F250" s="5">
        <v>44079.625</v>
      </c>
      <c r="G250" t="str">
        <f t="shared" si="9"/>
        <v/>
      </c>
      <c r="H250" s="19" t="str">
        <f t="shared" si="8"/>
        <v/>
      </c>
    </row>
    <row r="251" spans="1:8">
      <c r="A251">
        <v>33</v>
      </c>
      <c r="B251" t="s">
        <v>204</v>
      </c>
      <c r="C251" t="s">
        <v>8</v>
      </c>
      <c r="E251" s="3">
        <f t="shared" si="7"/>
        <v>7</v>
      </c>
      <c r="F251" s="5">
        <v>44080.625</v>
      </c>
      <c r="G251" t="str">
        <f t="shared" si="9"/>
        <v/>
      </c>
      <c r="H251" s="19" t="str">
        <f t="shared" si="8"/>
        <v/>
      </c>
    </row>
    <row r="252" spans="1:8">
      <c r="A252">
        <v>45</v>
      </c>
      <c r="B252" t="s">
        <v>205</v>
      </c>
      <c r="C252" t="s">
        <v>8</v>
      </c>
      <c r="E252" s="3">
        <f t="shared" si="7"/>
        <v>1</v>
      </c>
      <c r="F252" s="5">
        <v>44081.625</v>
      </c>
      <c r="G252" t="str">
        <f>IF(WEEKDAY(F252,2)=1,"Maanantai","")</f>
        <v>Maanantai</v>
      </c>
      <c r="H252" s="19" t="str">
        <f t="shared" si="8"/>
        <v>W37</v>
      </c>
    </row>
    <row r="253" spans="1:8">
      <c r="A253">
        <v>57</v>
      </c>
      <c r="B253" t="s">
        <v>206</v>
      </c>
      <c r="C253" t="s">
        <v>8</v>
      </c>
      <c r="E253" s="3">
        <f t="shared" si="7"/>
        <v>2</v>
      </c>
      <c r="F253" s="5">
        <v>44082.625</v>
      </c>
      <c r="G253" t="str">
        <f t="shared" ref="G253:G307" si="10">IF(WEEKDAY(F253,2)=1,"Maanantai","")</f>
        <v/>
      </c>
      <c r="H253" s="19" t="str">
        <f t="shared" si="8"/>
        <v/>
      </c>
    </row>
    <row r="254" spans="1:8">
      <c r="A254">
        <v>55</v>
      </c>
      <c r="B254" t="s">
        <v>207</v>
      </c>
      <c r="C254" t="s">
        <v>8</v>
      </c>
      <c r="E254" s="3">
        <f t="shared" si="7"/>
        <v>3</v>
      </c>
      <c r="F254" s="5">
        <v>44083.625</v>
      </c>
      <c r="G254" t="str">
        <f t="shared" si="10"/>
        <v/>
      </c>
      <c r="H254" s="19" t="str">
        <f t="shared" si="8"/>
        <v/>
      </c>
    </row>
    <row r="255" spans="1:8">
      <c r="A255">
        <v>52</v>
      </c>
      <c r="B255" t="s">
        <v>208</v>
      </c>
      <c r="C255" t="s">
        <v>8</v>
      </c>
      <c r="E255" s="3">
        <f t="shared" si="7"/>
        <v>4</v>
      </c>
      <c r="F255" s="5">
        <v>44084.625</v>
      </c>
      <c r="G255" t="str">
        <f t="shared" si="10"/>
        <v/>
      </c>
      <c r="H255" s="19" t="str">
        <f t="shared" si="8"/>
        <v/>
      </c>
    </row>
    <row r="256" spans="1:8">
      <c r="A256">
        <v>57</v>
      </c>
      <c r="B256" t="s">
        <v>209</v>
      </c>
      <c r="C256" t="s">
        <v>8</v>
      </c>
      <c r="E256" s="3">
        <f t="shared" si="7"/>
        <v>5</v>
      </c>
      <c r="F256" s="5">
        <v>44085.625</v>
      </c>
      <c r="G256" t="str">
        <f t="shared" si="10"/>
        <v/>
      </c>
      <c r="H256" s="19" t="str">
        <f t="shared" si="8"/>
        <v/>
      </c>
    </row>
    <row r="257" spans="1:8">
      <c r="A257">
        <v>41</v>
      </c>
      <c r="B257" t="s">
        <v>210</v>
      </c>
      <c r="C257" t="s">
        <v>8</v>
      </c>
      <c r="E257" s="3">
        <f t="shared" si="7"/>
        <v>6</v>
      </c>
      <c r="F257" s="5">
        <v>44086.625</v>
      </c>
      <c r="G257" t="str">
        <f t="shared" si="10"/>
        <v/>
      </c>
      <c r="H257" s="19" t="str">
        <f t="shared" si="8"/>
        <v/>
      </c>
    </row>
    <row r="258" spans="1:8">
      <c r="A258">
        <v>46</v>
      </c>
      <c r="B258" t="s">
        <v>211</v>
      </c>
      <c r="C258" t="s">
        <v>8</v>
      </c>
      <c r="E258" s="3">
        <f t="shared" si="7"/>
        <v>7</v>
      </c>
      <c r="F258" s="5">
        <v>44087.625</v>
      </c>
      <c r="G258" t="str">
        <f t="shared" si="10"/>
        <v/>
      </c>
      <c r="H258" s="19" t="str">
        <f t="shared" si="8"/>
        <v/>
      </c>
    </row>
    <row r="259" spans="1:8">
      <c r="A259">
        <v>59</v>
      </c>
      <c r="B259" t="s">
        <v>212</v>
      </c>
      <c r="C259" t="s">
        <v>8</v>
      </c>
      <c r="E259" s="3">
        <f t="shared" ref="E259:E324" si="11">WEEKDAY(F259,2)</f>
        <v>1</v>
      </c>
      <c r="F259" s="5">
        <v>44088.625</v>
      </c>
      <c r="G259" t="str">
        <f t="shared" si="10"/>
        <v>Maanantai</v>
      </c>
      <c r="H259" s="19" t="str">
        <f t="shared" ref="H259:H307" si="12">IF(WEEKDAY(F259,2)=1,"W"&amp;WEEKNUM(F259,14),"")</f>
        <v>W38</v>
      </c>
    </row>
    <row r="260" spans="1:8">
      <c r="A260">
        <v>53</v>
      </c>
      <c r="B260" t="s">
        <v>213</v>
      </c>
      <c r="C260" t="s">
        <v>8</v>
      </c>
      <c r="E260" s="3">
        <f t="shared" si="11"/>
        <v>2</v>
      </c>
      <c r="F260" s="5">
        <v>44089.625</v>
      </c>
      <c r="G260" t="str">
        <f t="shared" si="10"/>
        <v/>
      </c>
      <c r="H260" s="19" t="str">
        <f t="shared" si="12"/>
        <v/>
      </c>
    </row>
    <row r="261" spans="1:8">
      <c r="A261">
        <v>57</v>
      </c>
      <c r="B261" t="s">
        <v>214</v>
      </c>
      <c r="C261" t="s">
        <v>8</v>
      </c>
      <c r="E261" s="3">
        <f t="shared" si="11"/>
        <v>3</v>
      </c>
      <c r="F261" s="5">
        <v>44090.625</v>
      </c>
      <c r="G261" t="str">
        <f t="shared" si="10"/>
        <v/>
      </c>
      <c r="H261" s="19" t="str">
        <f t="shared" si="12"/>
        <v/>
      </c>
    </row>
    <row r="262" spans="1:8">
      <c r="A262">
        <v>85</v>
      </c>
      <c r="B262" t="s">
        <v>215</v>
      </c>
      <c r="C262" t="s">
        <v>8</v>
      </c>
      <c r="E262" s="3">
        <f t="shared" si="11"/>
        <v>4</v>
      </c>
      <c r="F262" s="5">
        <v>44091.625</v>
      </c>
      <c r="G262" t="str">
        <f t="shared" si="10"/>
        <v/>
      </c>
      <c r="H262" s="19" t="str">
        <f t="shared" si="12"/>
        <v/>
      </c>
    </row>
    <row r="263" spans="1:8">
      <c r="A263">
        <v>77</v>
      </c>
      <c r="B263" t="s">
        <v>216</v>
      </c>
      <c r="C263" t="s">
        <v>8</v>
      </c>
      <c r="E263" s="3">
        <f t="shared" si="11"/>
        <v>5</v>
      </c>
      <c r="F263" s="5">
        <v>44092.625</v>
      </c>
      <c r="G263" t="str">
        <f t="shared" si="10"/>
        <v/>
      </c>
      <c r="H263" s="19" t="str">
        <f t="shared" si="12"/>
        <v/>
      </c>
    </row>
    <row r="264" spans="1:8">
      <c r="A264">
        <v>61</v>
      </c>
      <c r="B264" t="s">
        <v>217</v>
      </c>
      <c r="C264" t="s">
        <v>8</v>
      </c>
      <c r="E264" s="3">
        <f t="shared" si="11"/>
        <v>6</v>
      </c>
      <c r="F264" s="5">
        <v>44093.625</v>
      </c>
      <c r="G264" t="str">
        <f t="shared" si="10"/>
        <v/>
      </c>
      <c r="H264" s="19" t="str">
        <f t="shared" si="12"/>
        <v/>
      </c>
    </row>
    <row r="265" spans="1:8">
      <c r="A265">
        <v>74</v>
      </c>
      <c r="B265" t="s">
        <v>218</v>
      </c>
      <c r="C265" t="s">
        <v>8</v>
      </c>
      <c r="E265" s="3">
        <f t="shared" si="11"/>
        <v>7</v>
      </c>
      <c r="F265" s="5">
        <v>44094.625</v>
      </c>
      <c r="G265" t="str">
        <f t="shared" si="10"/>
        <v/>
      </c>
      <c r="H265" s="19" t="str">
        <f t="shared" si="12"/>
        <v/>
      </c>
    </row>
    <row r="266" spans="1:8">
      <c r="A266">
        <v>120</v>
      </c>
      <c r="B266" t="s">
        <v>219</v>
      </c>
      <c r="C266" t="s">
        <v>8</v>
      </c>
      <c r="E266" s="3">
        <f t="shared" si="11"/>
        <v>1</v>
      </c>
      <c r="F266" s="5">
        <v>44095.625</v>
      </c>
      <c r="G266" t="str">
        <f t="shared" si="10"/>
        <v>Maanantai</v>
      </c>
      <c r="H266" s="19" t="str">
        <f t="shared" si="12"/>
        <v>W39</v>
      </c>
    </row>
    <row r="267" spans="1:8">
      <c r="A267">
        <v>108</v>
      </c>
      <c r="B267" t="s">
        <v>220</v>
      </c>
      <c r="C267" t="s">
        <v>8</v>
      </c>
      <c r="E267" s="3">
        <f t="shared" si="11"/>
        <v>2</v>
      </c>
      <c r="F267" s="5">
        <v>44096.625</v>
      </c>
      <c r="G267" t="str">
        <f t="shared" si="10"/>
        <v/>
      </c>
      <c r="H267" s="19" t="str">
        <f t="shared" si="12"/>
        <v/>
      </c>
    </row>
    <row r="268" spans="1:8">
      <c r="A268">
        <v>117</v>
      </c>
      <c r="B268" t="s">
        <v>221</v>
      </c>
      <c r="C268" t="s">
        <v>8</v>
      </c>
      <c r="E268" s="3">
        <f t="shared" si="11"/>
        <v>3</v>
      </c>
      <c r="F268" s="5">
        <v>44097.625</v>
      </c>
      <c r="G268" t="str">
        <f t="shared" si="10"/>
        <v/>
      </c>
      <c r="H268" s="19" t="str">
        <f t="shared" si="12"/>
        <v/>
      </c>
    </row>
    <row r="269" spans="1:8">
      <c r="A269">
        <v>97</v>
      </c>
      <c r="B269" t="s">
        <v>222</v>
      </c>
      <c r="C269" t="s">
        <v>8</v>
      </c>
      <c r="E269" s="3">
        <f t="shared" si="11"/>
        <v>4</v>
      </c>
      <c r="F269" s="5">
        <v>44098.625</v>
      </c>
      <c r="G269" t="str">
        <f t="shared" si="10"/>
        <v/>
      </c>
      <c r="H269" s="19" t="str">
        <f t="shared" si="12"/>
        <v/>
      </c>
    </row>
    <row r="270" spans="1:8">
      <c r="A270">
        <v>127</v>
      </c>
      <c r="B270" t="s">
        <v>223</v>
      </c>
      <c r="C270" t="s">
        <v>8</v>
      </c>
      <c r="E270" s="3">
        <f t="shared" si="11"/>
        <v>5</v>
      </c>
      <c r="F270" s="5">
        <v>44099.625</v>
      </c>
      <c r="G270" t="str">
        <f t="shared" si="10"/>
        <v/>
      </c>
      <c r="H270" s="19" t="str">
        <f t="shared" si="12"/>
        <v/>
      </c>
    </row>
    <row r="271" spans="1:8">
      <c r="A271">
        <v>74</v>
      </c>
      <c r="B271" t="s">
        <v>224</v>
      </c>
      <c r="C271" t="s">
        <v>8</v>
      </c>
      <c r="E271" s="3">
        <f t="shared" si="11"/>
        <v>6</v>
      </c>
      <c r="F271" s="5">
        <v>44100.625</v>
      </c>
      <c r="G271" t="str">
        <f t="shared" si="10"/>
        <v/>
      </c>
      <c r="H271" s="19" t="str">
        <f t="shared" si="12"/>
        <v/>
      </c>
    </row>
    <row r="272" spans="1:8">
      <c r="A272">
        <v>71</v>
      </c>
      <c r="B272" t="s">
        <v>225</v>
      </c>
      <c r="C272" t="s">
        <v>8</v>
      </c>
      <c r="E272" s="3">
        <f t="shared" si="11"/>
        <v>7</v>
      </c>
      <c r="F272" s="5">
        <v>44101.625</v>
      </c>
      <c r="G272" t="str">
        <f t="shared" si="10"/>
        <v/>
      </c>
      <c r="H272" s="19" t="str">
        <f t="shared" si="12"/>
        <v/>
      </c>
    </row>
    <row r="273" spans="1:8">
      <c r="A273">
        <v>122</v>
      </c>
      <c r="B273" t="s">
        <v>226</v>
      </c>
      <c r="C273" t="s">
        <v>8</v>
      </c>
      <c r="E273" s="3">
        <f t="shared" si="11"/>
        <v>1</v>
      </c>
      <c r="F273" s="5">
        <v>44102.625</v>
      </c>
      <c r="G273" t="str">
        <f t="shared" si="10"/>
        <v>Maanantai</v>
      </c>
      <c r="H273" s="19" t="str">
        <f t="shared" si="12"/>
        <v>W40</v>
      </c>
    </row>
    <row r="274" spans="1:8">
      <c r="A274">
        <v>134</v>
      </c>
      <c r="B274" t="s">
        <v>227</v>
      </c>
      <c r="C274" t="s">
        <v>8</v>
      </c>
      <c r="E274" s="3">
        <f t="shared" si="11"/>
        <v>2</v>
      </c>
      <c r="F274" s="5">
        <v>44103.625</v>
      </c>
      <c r="G274" t="str">
        <f t="shared" si="10"/>
        <v/>
      </c>
      <c r="H274" s="19" t="str">
        <f t="shared" si="12"/>
        <v/>
      </c>
    </row>
    <row r="275" spans="1:8">
      <c r="A275">
        <v>165</v>
      </c>
      <c r="B275" t="s">
        <v>229</v>
      </c>
      <c r="C275" t="s">
        <v>8</v>
      </c>
      <c r="E275" s="3">
        <f t="shared" si="11"/>
        <v>3</v>
      </c>
      <c r="F275" s="5">
        <v>44104.625</v>
      </c>
      <c r="G275" t="str">
        <f t="shared" si="10"/>
        <v/>
      </c>
      <c r="H275" s="19" t="str">
        <f t="shared" si="12"/>
        <v/>
      </c>
    </row>
    <row r="276" spans="1:8">
      <c r="A276">
        <v>188</v>
      </c>
      <c r="B276" t="s">
        <v>231</v>
      </c>
      <c r="C276" t="s">
        <v>8</v>
      </c>
      <c r="E276" s="3">
        <f t="shared" si="11"/>
        <v>4</v>
      </c>
      <c r="F276" s="5">
        <v>44105.625</v>
      </c>
      <c r="G276" t="str">
        <f t="shared" si="10"/>
        <v/>
      </c>
      <c r="H276" s="19" t="str">
        <f t="shared" si="12"/>
        <v/>
      </c>
    </row>
    <row r="277" spans="1:8">
      <c r="A277">
        <v>189</v>
      </c>
      <c r="B277" t="s">
        <v>232</v>
      </c>
      <c r="C277" t="s">
        <v>8</v>
      </c>
      <c r="E277" s="3">
        <f t="shared" si="11"/>
        <v>5</v>
      </c>
      <c r="F277" s="5">
        <v>44106.625</v>
      </c>
      <c r="G277" t="str">
        <f t="shared" si="10"/>
        <v/>
      </c>
      <c r="H277" s="19" t="str">
        <f t="shared" si="12"/>
        <v/>
      </c>
    </row>
    <row r="278" spans="1:8">
      <c r="A278">
        <v>170</v>
      </c>
      <c r="B278" t="s">
        <v>234</v>
      </c>
      <c r="C278" t="s">
        <v>8</v>
      </c>
      <c r="E278" s="3">
        <f t="shared" si="11"/>
        <v>6</v>
      </c>
      <c r="F278" s="5">
        <v>44107.625</v>
      </c>
      <c r="G278" t="str">
        <f t="shared" si="10"/>
        <v/>
      </c>
      <c r="H278" s="19" t="str">
        <f t="shared" si="12"/>
        <v/>
      </c>
    </row>
    <row r="279" spans="1:8">
      <c r="A279">
        <v>146</v>
      </c>
      <c r="B279" t="s">
        <v>293</v>
      </c>
      <c r="C279" t="s">
        <v>8</v>
      </c>
      <c r="E279" s="3">
        <f t="shared" si="11"/>
        <v>7</v>
      </c>
      <c r="F279" s="5">
        <v>44108.625</v>
      </c>
      <c r="G279" t="str">
        <f t="shared" si="10"/>
        <v/>
      </c>
      <c r="H279" s="19" t="str">
        <f t="shared" si="12"/>
        <v/>
      </c>
    </row>
    <row r="280" spans="1:8" s="10" customFormat="1">
      <c r="A280" s="10">
        <v>289</v>
      </c>
      <c r="B280" s="10" t="s">
        <v>294</v>
      </c>
      <c r="C280" s="10" t="s">
        <v>8</v>
      </c>
      <c r="E280" s="14">
        <f t="shared" si="11"/>
        <v>1</v>
      </c>
      <c r="F280" s="18">
        <v>44109.625</v>
      </c>
      <c r="G280" s="10" t="str">
        <f t="shared" si="10"/>
        <v>Maanantai</v>
      </c>
      <c r="H280" s="19" t="str">
        <f t="shared" si="12"/>
        <v>W41</v>
      </c>
    </row>
    <row r="281" spans="1:8">
      <c r="A281">
        <v>303</v>
      </c>
      <c r="B281" t="s">
        <v>295</v>
      </c>
      <c r="C281" t="s">
        <v>8</v>
      </c>
      <c r="E281" s="3">
        <f t="shared" si="11"/>
        <v>2</v>
      </c>
      <c r="F281" s="5">
        <v>44110.625</v>
      </c>
      <c r="G281" t="str">
        <f t="shared" si="10"/>
        <v/>
      </c>
      <c r="H281" s="19" t="str">
        <f t="shared" si="12"/>
        <v/>
      </c>
    </row>
    <row r="282" spans="1:8">
      <c r="A282">
        <v>306</v>
      </c>
      <c r="B282" t="s">
        <v>296</v>
      </c>
      <c r="C282" t="s">
        <v>8</v>
      </c>
      <c r="E282" s="3">
        <f t="shared" si="11"/>
        <v>3</v>
      </c>
      <c r="F282" s="5">
        <v>44111.625</v>
      </c>
      <c r="G282" t="str">
        <f t="shared" si="10"/>
        <v/>
      </c>
      <c r="H282" s="19" t="str">
        <f t="shared" si="12"/>
        <v/>
      </c>
    </row>
    <row r="283" spans="1:8">
      <c r="A283">
        <v>260</v>
      </c>
      <c r="B283" t="s">
        <v>297</v>
      </c>
      <c r="C283" t="s">
        <v>8</v>
      </c>
      <c r="E283" s="3">
        <f t="shared" si="11"/>
        <v>4</v>
      </c>
      <c r="F283" s="5">
        <v>44112.625</v>
      </c>
      <c r="G283" t="str">
        <f t="shared" si="10"/>
        <v/>
      </c>
      <c r="H283" s="19" t="str">
        <f t="shared" si="12"/>
        <v/>
      </c>
    </row>
    <row r="284" spans="1:8">
      <c r="A284">
        <v>226</v>
      </c>
      <c r="B284" t="s">
        <v>298</v>
      </c>
      <c r="C284" t="s">
        <v>8</v>
      </c>
      <c r="E284" s="3">
        <f t="shared" si="11"/>
        <v>5</v>
      </c>
      <c r="F284" s="5">
        <v>44113.625</v>
      </c>
      <c r="G284" t="str">
        <f t="shared" si="10"/>
        <v/>
      </c>
      <c r="H284" s="19" t="str">
        <f t="shared" si="12"/>
        <v/>
      </c>
    </row>
    <row r="285" spans="1:8">
      <c r="A285">
        <v>109</v>
      </c>
      <c r="B285" t="s">
        <v>310</v>
      </c>
      <c r="C285" t="s">
        <v>8</v>
      </c>
      <c r="E285" s="3">
        <f t="shared" si="11"/>
        <v>6</v>
      </c>
      <c r="F285" s="5">
        <v>44114.625</v>
      </c>
      <c r="G285" t="str">
        <f t="shared" si="10"/>
        <v/>
      </c>
      <c r="H285" s="19" t="str">
        <f t="shared" si="12"/>
        <v/>
      </c>
    </row>
    <row r="286" spans="1:8">
      <c r="A286">
        <v>130</v>
      </c>
      <c r="B286" t="s">
        <v>311</v>
      </c>
      <c r="C286" t="s">
        <v>8</v>
      </c>
      <c r="E286" s="3">
        <f t="shared" si="11"/>
        <v>7</v>
      </c>
      <c r="F286" s="5">
        <v>44115.625</v>
      </c>
      <c r="G286" t="str">
        <f t="shared" si="10"/>
        <v/>
      </c>
      <c r="H286" s="19" t="str">
        <f t="shared" si="12"/>
        <v/>
      </c>
    </row>
    <row r="287" spans="1:8" s="10" customFormat="1">
      <c r="A287" s="10">
        <v>254</v>
      </c>
      <c r="B287" s="10" t="s">
        <v>315</v>
      </c>
      <c r="C287" s="10" t="s">
        <v>8</v>
      </c>
      <c r="E287" s="14">
        <f t="shared" si="11"/>
        <v>1</v>
      </c>
      <c r="F287" s="18">
        <v>44116.625</v>
      </c>
      <c r="G287" s="10" t="str">
        <f t="shared" si="10"/>
        <v>Maanantai</v>
      </c>
      <c r="H287" s="19" t="str">
        <f t="shared" si="12"/>
        <v>W42</v>
      </c>
    </row>
    <row r="288" spans="1:8">
      <c r="A288">
        <v>197</v>
      </c>
      <c r="B288" t="s">
        <v>316</v>
      </c>
      <c r="C288" t="s">
        <v>8</v>
      </c>
      <c r="E288" s="3">
        <f t="shared" si="11"/>
        <v>2</v>
      </c>
      <c r="F288" s="5">
        <v>44117.625</v>
      </c>
      <c r="G288" t="str">
        <f t="shared" si="10"/>
        <v/>
      </c>
      <c r="H288" s="19" t="str">
        <f t="shared" si="12"/>
        <v/>
      </c>
    </row>
    <row r="289" spans="1:8">
      <c r="A289">
        <v>201</v>
      </c>
      <c r="B289" t="s">
        <v>317</v>
      </c>
      <c r="C289" t="s">
        <v>8</v>
      </c>
      <c r="E289" s="3">
        <f t="shared" si="11"/>
        <v>3</v>
      </c>
      <c r="F289" s="5">
        <v>44118.625</v>
      </c>
      <c r="G289" t="str">
        <f t="shared" si="10"/>
        <v/>
      </c>
      <c r="H289" s="19" t="str">
        <f t="shared" si="12"/>
        <v/>
      </c>
    </row>
    <row r="290" spans="1:8">
      <c r="A290">
        <v>190</v>
      </c>
      <c r="B290" t="s">
        <v>318</v>
      </c>
      <c r="C290" t="s">
        <v>8</v>
      </c>
      <c r="E290" s="3">
        <f t="shared" si="11"/>
        <v>4</v>
      </c>
      <c r="F290" s="5">
        <v>44119.625</v>
      </c>
      <c r="G290" t="str">
        <f t="shared" si="10"/>
        <v/>
      </c>
      <c r="H290" s="19" t="str">
        <f t="shared" si="12"/>
        <v/>
      </c>
    </row>
    <row r="291" spans="1:8">
      <c r="A291">
        <v>192</v>
      </c>
      <c r="B291" t="s">
        <v>319</v>
      </c>
      <c r="C291" t="s">
        <v>8</v>
      </c>
      <c r="E291" s="3">
        <f t="shared" si="11"/>
        <v>5</v>
      </c>
      <c r="F291" s="5">
        <v>44120.625</v>
      </c>
      <c r="G291" t="str">
        <f t="shared" si="10"/>
        <v/>
      </c>
      <c r="H291" s="19" t="str">
        <f t="shared" si="12"/>
        <v/>
      </c>
    </row>
    <row r="292" spans="1:8">
      <c r="A292">
        <v>100</v>
      </c>
      <c r="B292" t="s">
        <v>320</v>
      </c>
      <c r="C292" t="s">
        <v>8</v>
      </c>
      <c r="E292" s="3">
        <f t="shared" si="11"/>
        <v>6</v>
      </c>
      <c r="F292" s="5">
        <v>44121.625</v>
      </c>
      <c r="G292" t="str">
        <f t="shared" si="10"/>
        <v/>
      </c>
      <c r="H292" s="19" t="str">
        <f t="shared" si="12"/>
        <v/>
      </c>
    </row>
    <row r="293" spans="1:8">
      <c r="A293">
        <v>127</v>
      </c>
      <c r="B293" t="s">
        <v>321</v>
      </c>
      <c r="C293" t="s">
        <v>8</v>
      </c>
      <c r="E293" s="3">
        <f t="shared" si="11"/>
        <v>7</v>
      </c>
      <c r="F293" s="5">
        <v>44122.625</v>
      </c>
      <c r="G293" t="str">
        <f t="shared" si="10"/>
        <v/>
      </c>
      <c r="H293" s="19" t="str">
        <f t="shared" si="12"/>
        <v/>
      </c>
    </row>
    <row r="294" spans="1:8" s="10" customFormat="1">
      <c r="A294" s="10">
        <v>243</v>
      </c>
      <c r="B294" s="10" t="s">
        <v>322</v>
      </c>
      <c r="C294" s="10" t="s">
        <v>8</v>
      </c>
      <c r="E294" s="14">
        <f t="shared" si="11"/>
        <v>1</v>
      </c>
      <c r="F294" s="18">
        <v>44123.625</v>
      </c>
      <c r="G294" s="10" t="str">
        <f t="shared" si="10"/>
        <v>Maanantai</v>
      </c>
      <c r="H294" s="19" t="str">
        <f t="shared" si="12"/>
        <v>W43</v>
      </c>
    </row>
    <row r="295" spans="1:8">
      <c r="A295">
        <v>163</v>
      </c>
      <c r="B295" t="s">
        <v>323</v>
      </c>
      <c r="C295" t="s">
        <v>8</v>
      </c>
      <c r="E295" s="3">
        <f t="shared" si="11"/>
        <v>2</v>
      </c>
      <c r="F295" s="5">
        <v>44124.625</v>
      </c>
      <c r="G295" t="str">
        <f t="shared" si="10"/>
        <v/>
      </c>
      <c r="H295" s="19" t="str">
        <f t="shared" si="12"/>
        <v/>
      </c>
    </row>
    <row r="296" spans="1:8">
      <c r="A296">
        <v>190</v>
      </c>
      <c r="B296" t="s">
        <v>324</v>
      </c>
      <c r="C296" t="s">
        <v>8</v>
      </c>
      <c r="E296" s="3">
        <f t="shared" si="11"/>
        <v>3</v>
      </c>
      <c r="F296" s="5">
        <v>44125.625</v>
      </c>
      <c r="G296" t="str">
        <f t="shared" si="10"/>
        <v/>
      </c>
      <c r="H296" s="19" t="str">
        <f t="shared" si="12"/>
        <v/>
      </c>
    </row>
    <row r="297" spans="1:8">
      <c r="A297">
        <v>218</v>
      </c>
      <c r="B297" t="s">
        <v>325</v>
      </c>
      <c r="C297" t="s">
        <v>8</v>
      </c>
      <c r="E297" s="3">
        <f t="shared" si="11"/>
        <v>4</v>
      </c>
      <c r="F297" s="5">
        <v>44126.625</v>
      </c>
      <c r="G297" t="str">
        <f t="shared" si="10"/>
        <v/>
      </c>
      <c r="H297" s="19" t="str">
        <f t="shared" si="12"/>
        <v/>
      </c>
    </row>
    <row r="298" spans="1:8">
      <c r="A298">
        <v>192</v>
      </c>
      <c r="B298" t="s">
        <v>326</v>
      </c>
      <c r="C298" t="s">
        <v>8</v>
      </c>
      <c r="E298" s="3">
        <f t="shared" si="11"/>
        <v>5</v>
      </c>
      <c r="F298" s="5">
        <v>44127.625</v>
      </c>
      <c r="G298" t="str">
        <f t="shared" si="10"/>
        <v/>
      </c>
      <c r="H298" s="19" t="str">
        <f t="shared" si="12"/>
        <v/>
      </c>
    </row>
    <row r="299" spans="1:8">
      <c r="A299">
        <v>108</v>
      </c>
      <c r="B299" t="s">
        <v>327</v>
      </c>
      <c r="C299" t="s">
        <v>8</v>
      </c>
      <c r="E299" s="3">
        <f t="shared" si="11"/>
        <v>6</v>
      </c>
      <c r="F299" s="5">
        <v>44128.625</v>
      </c>
      <c r="G299" t="str">
        <f t="shared" si="10"/>
        <v/>
      </c>
      <c r="H299" s="19" t="str">
        <f t="shared" si="12"/>
        <v/>
      </c>
    </row>
    <row r="300" spans="1:8">
      <c r="A300">
        <v>123</v>
      </c>
      <c r="B300" t="s">
        <v>328</v>
      </c>
      <c r="C300" t="s">
        <v>8</v>
      </c>
      <c r="E300" s="3">
        <f t="shared" si="11"/>
        <v>7</v>
      </c>
      <c r="F300" s="5">
        <v>44129.625</v>
      </c>
      <c r="G300" t="str">
        <f t="shared" si="10"/>
        <v/>
      </c>
      <c r="H300" s="19" t="str">
        <f t="shared" si="12"/>
        <v/>
      </c>
    </row>
    <row r="301" spans="1:8" s="10" customFormat="1">
      <c r="A301" s="10">
        <v>256</v>
      </c>
      <c r="B301" s="10" t="s">
        <v>330</v>
      </c>
      <c r="C301" s="10" t="s">
        <v>8</v>
      </c>
      <c r="E301" s="14">
        <f t="shared" si="11"/>
        <v>1</v>
      </c>
      <c r="F301" s="18">
        <v>44130.625</v>
      </c>
      <c r="G301" s="10" t="str">
        <f t="shared" si="10"/>
        <v>Maanantai</v>
      </c>
      <c r="H301" s="19" t="str">
        <f t="shared" si="12"/>
        <v>W44</v>
      </c>
    </row>
    <row r="302" spans="1:8">
      <c r="A302">
        <v>230</v>
      </c>
      <c r="B302" t="s">
        <v>331</v>
      </c>
      <c r="C302" t="s">
        <v>8</v>
      </c>
      <c r="E302" s="3">
        <f t="shared" si="11"/>
        <v>2</v>
      </c>
      <c r="F302" s="5">
        <v>44131.625</v>
      </c>
      <c r="G302" t="str">
        <f t="shared" si="10"/>
        <v/>
      </c>
      <c r="H302" s="19" t="str">
        <f t="shared" si="12"/>
        <v/>
      </c>
    </row>
    <row r="303" spans="1:8">
      <c r="A303">
        <v>240</v>
      </c>
      <c r="B303" t="s">
        <v>332</v>
      </c>
      <c r="C303" t="s">
        <v>8</v>
      </c>
      <c r="E303" s="3">
        <f t="shared" si="11"/>
        <v>3</v>
      </c>
      <c r="F303" s="5">
        <v>44132.625</v>
      </c>
      <c r="G303" t="str">
        <f t="shared" si="10"/>
        <v/>
      </c>
      <c r="H303" s="19" t="str">
        <f t="shared" si="12"/>
        <v/>
      </c>
    </row>
    <row r="304" spans="1:8">
      <c r="A304">
        <v>237</v>
      </c>
      <c r="B304" t="s">
        <v>333</v>
      </c>
      <c r="C304" t="s">
        <v>8</v>
      </c>
      <c r="E304" s="3">
        <f t="shared" si="11"/>
        <v>4</v>
      </c>
      <c r="F304" s="5">
        <v>44133.625</v>
      </c>
      <c r="G304" t="str">
        <f t="shared" si="10"/>
        <v/>
      </c>
      <c r="H304" s="19" t="str">
        <f t="shared" si="12"/>
        <v/>
      </c>
    </row>
    <row r="305" spans="1:8">
      <c r="A305">
        <v>219</v>
      </c>
      <c r="B305" t="s">
        <v>334</v>
      </c>
      <c r="C305" t="s">
        <v>8</v>
      </c>
      <c r="E305" s="3">
        <f t="shared" si="11"/>
        <v>5</v>
      </c>
      <c r="F305" s="5">
        <v>44134.625</v>
      </c>
      <c r="G305" t="str">
        <f t="shared" si="10"/>
        <v/>
      </c>
      <c r="H305" s="19" t="str">
        <f t="shared" si="12"/>
        <v/>
      </c>
    </row>
    <row r="306" spans="1:8">
      <c r="A306">
        <v>121</v>
      </c>
      <c r="B306" t="s">
        <v>335</v>
      </c>
      <c r="C306" t="s">
        <v>8</v>
      </c>
      <c r="E306" s="3">
        <f t="shared" si="11"/>
        <v>6</v>
      </c>
      <c r="F306" s="5">
        <v>44135.625</v>
      </c>
      <c r="G306" t="str">
        <f t="shared" si="10"/>
        <v/>
      </c>
      <c r="H306" s="19" t="str">
        <f t="shared" si="12"/>
        <v/>
      </c>
    </row>
    <row r="307" spans="1:8">
      <c r="A307">
        <v>150</v>
      </c>
      <c r="B307" t="s">
        <v>336</v>
      </c>
      <c r="C307" t="s">
        <v>8</v>
      </c>
      <c r="E307" s="3">
        <f t="shared" si="11"/>
        <v>7</v>
      </c>
      <c r="F307" s="5">
        <v>44136.625</v>
      </c>
      <c r="G307" t="str">
        <f t="shared" si="10"/>
        <v/>
      </c>
      <c r="H307" s="19" t="str">
        <f t="shared" si="12"/>
        <v/>
      </c>
    </row>
    <row r="308" spans="1:8" s="10" customFormat="1">
      <c r="A308" s="10">
        <v>281</v>
      </c>
      <c r="B308" s="10" t="s">
        <v>337</v>
      </c>
      <c r="C308" s="10" t="s">
        <v>8</v>
      </c>
      <c r="E308" s="14">
        <f t="shared" si="11"/>
        <v>1</v>
      </c>
      <c r="F308" s="18">
        <v>44137.625</v>
      </c>
      <c r="G308" s="10" t="str">
        <f>IF(WEEKDAY(F308,2)=1,"Maanantai","")</f>
        <v>Maanantai</v>
      </c>
      <c r="H308" s="19" t="str">
        <f>IF(WEEKDAY(F308,2)=1,"W"&amp;WEEKNUM(F308,14),"")</f>
        <v>W45</v>
      </c>
    </row>
    <row r="309" spans="1:8">
      <c r="A309">
        <v>241</v>
      </c>
      <c r="B309" t="s">
        <v>338</v>
      </c>
      <c r="C309" t="s">
        <v>8</v>
      </c>
      <c r="E309" s="3">
        <f t="shared" si="11"/>
        <v>2</v>
      </c>
      <c r="F309" s="5">
        <v>44138.625</v>
      </c>
      <c r="G309" s="10" t="str">
        <f t="shared" ref="G309:G344" si="13">IF(WEEKDAY(F309,2)=1,"Maanantai","")</f>
        <v/>
      </c>
      <c r="H309" s="19" t="str">
        <f t="shared" ref="H309:H366" si="14">IF(WEEKDAY(F309,2)=1,"W"&amp;WEEKNUM(F309,14),"")</f>
        <v/>
      </c>
    </row>
    <row r="310" spans="1:8">
      <c r="A310">
        <v>210</v>
      </c>
      <c r="B310" t="s">
        <v>339</v>
      </c>
      <c r="C310" t="s">
        <v>8</v>
      </c>
      <c r="E310" s="3">
        <f t="shared" si="11"/>
        <v>3</v>
      </c>
      <c r="F310" s="5">
        <v>44139.625</v>
      </c>
      <c r="G310" s="10" t="str">
        <f t="shared" si="13"/>
        <v/>
      </c>
      <c r="H310" s="19" t="str">
        <f t="shared" si="14"/>
        <v/>
      </c>
    </row>
    <row r="311" spans="1:8">
      <c r="A311">
        <v>221</v>
      </c>
      <c r="B311" t="s">
        <v>340</v>
      </c>
      <c r="C311" t="s">
        <v>8</v>
      </c>
      <c r="E311" s="3">
        <f t="shared" si="11"/>
        <v>4</v>
      </c>
      <c r="F311" s="5">
        <v>44140.625</v>
      </c>
      <c r="G311" s="10" t="str">
        <f t="shared" si="13"/>
        <v/>
      </c>
      <c r="H311" s="19" t="str">
        <f t="shared" si="14"/>
        <v/>
      </c>
    </row>
    <row r="312" spans="1:8">
      <c r="A312">
        <v>194</v>
      </c>
      <c r="B312" t="s">
        <v>341</v>
      </c>
      <c r="C312" t="s">
        <v>8</v>
      </c>
      <c r="E312" s="3">
        <f t="shared" si="11"/>
        <v>5</v>
      </c>
      <c r="F312" s="5">
        <v>44141.625</v>
      </c>
      <c r="G312" s="10" t="str">
        <f t="shared" si="13"/>
        <v/>
      </c>
      <c r="H312" s="19" t="str">
        <f t="shared" si="14"/>
        <v/>
      </c>
    </row>
    <row r="313" spans="1:8">
      <c r="A313">
        <v>128</v>
      </c>
      <c r="B313" t="s">
        <v>342</v>
      </c>
      <c r="C313" t="s">
        <v>8</v>
      </c>
      <c r="E313" s="3">
        <f t="shared" si="11"/>
        <v>6</v>
      </c>
      <c r="F313" s="5">
        <v>44142.625</v>
      </c>
      <c r="G313" s="10" t="str">
        <f t="shared" si="13"/>
        <v/>
      </c>
      <c r="H313" s="19" t="str">
        <f t="shared" si="14"/>
        <v/>
      </c>
    </row>
    <row r="314" spans="1:8">
      <c r="A314">
        <v>133</v>
      </c>
      <c r="B314" t="s">
        <v>343</v>
      </c>
      <c r="C314" t="s">
        <v>8</v>
      </c>
      <c r="E314" s="3">
        <f t="shared" si="11"/>
        <v>7</v>
      </c>
      <c r="F314" s="5">
        <v>44143.625</v>
      </c>
      <c r="G314" s="10" t="str">
        <f t="shared" si="13"/>
        <v/>
      </c>
      <c r="H314" s="19" t="str">
        <f t="shared" si="14"/>
        <v/>
      </c>
    </row>
    <row r="315" spans="1:8">
      <c r="A315">
        <v>275</v>
      </c>
      <c r="B315" t="s">
        <v>344</v>
      </c>
      <c r="C315" t="s">
        <v>8</v>
      </c>
      <c r="E315" s="3">
        <f t="shared" si="11"/>
        <v>1</v>
      </c>
      <c r="F315" s="5">
        <v>44144.625</v>
      </c>
      <c r="G315" s="10" t="str">
        <f t="shared" si="13"/>
        <v>Maanantai</v>
      </c>
      <c r="H315" s="19" t="str">
        <f t="shared" si="14"/>
        <v>W46</v>
      </c>
    </row>
    <row r="316" spans="1:8">
      <c r="A316">
        <v>205</v>
      </c>
      <c r="B316" t="s">
        <v>345</v>
      </c>
      <c r="C316" t="s">
        <v>8</v>
      </c>
      <c r="E316" s="3">
        <f t="shared" si="11"/>
        <v>2</v>
      </c>
      <c r="F316" s="5">
        <v>44145.625</v>
      </c>
      <c r="G316" s="10" t="str">
        <f t="shared" si="13"/>
        <v/>
      </c>
      <c r="H316" s="19" t="str">
        <f t="shared" si="14"/>
        <v/>
      </c>
    </row>
    <row r="317" spans="1:8">
      <c r="A317">
        <v>291</v>
      </c>
      <c r="B317" t="s">
        <v>346</v>
      </c>
      <c r="C317" t="s">
        <v>8</v>
      </c>
      <c r="E317" s="3">
        <f t="shared" si="11"/>
        <v>3</v>
      </c>
      <c r="F317" s="5">
        <v>44146.625</v>
      </c>
      <c r="G317" s="10" t="str">
        <f t="shared" si="13"/>
        <v/>
      </c>
      <c r="H317" s="19" t="str">
        <f t="shared" si="14"/>
        <v/>
      </c>
    </row>
    <row r="318" spans="1:8">
      <c r="A318">
        <v>277</v>
      </c>
      <c r="B318" t="s">
        <v>347</v>
      </c>
      <c r="C318" t="s">
        <v>8</v>
      </c>
      <c r="E318" s="3">
        <f t="shared" si="11"/>
        <v>4</v>
      </c>
      <c r="F318" s="5">
        <v>44147.625</v>
      </c>
      <c r="G318" s="10" t="str">
        <f t="shared" si="13"/>
        <v/>
      </c>
      <c r="H318" s="19" t="str">
        <f t="shared" si="14"/>
        <v/>
      </c>
    </row>
    <row r="319" spans="1:8">
      <c r="A319">
        <v>261</v>
      </c>
      <c r="B319" t="s">
        <v>348</v>
      </c>
      <c r="C319" t="s">
        <v>8</v>
      </c>
      <c r="E319" s="3">
        <f t="shared" si="11"/>
        <v>5</v>
      </c>
      <c r="F319" s="5">
        <v>44148.625</v>
      </c>
      <c r="G319" s="10" t="str">
        <f t="shared" si="13"/>
        <v/>
      </c>
      <c r="H319" s="19" t="str">
        <f t="shared" si="14"/>
        <v/>
      </c>
    </row>
    <row r="320" spans="1:8">
      <c r="A320">
        <v>143</v>
      </c>
      <c r="B320" t="s">
        <v>349</v>
      </c>
      <c r="C320" t="s">
        <v>8</v>
      </c>
      <c r="E320" s="3">
        <f t="shared" si="11"/>
        <v>6</v>
      </c>
      <c r="F320" s="5">
        <v>44149.625</v>
      </c>
      <c r="G320" s="10" t="str">
        <f t="shared" si="13"/>
        <v/>
      </c>
      <c r="H320" s="19" t="str">
        <f t="shared" si="14"/>
        <v/>
      </c>
    </row>
    <row r="321" spans="1:8">
      <c r="A321">
        <v>181</v>
      </c>
      <c r="B321" t="s">
        <v>350</v>
      </c>
      <c r="C321" t="s">
        <v>8</v>
      </c>
      <c r="E321" s="3">
        <f t="shared" si="11"/>
        <v>7</v>
      </c>
      <c r="F321" s="5">
        <v>44150.625</v>
      </c>
      <c r="G321" s="10" t="str">
        <f t="shared" si="13"/>
        <v/>
      </c>
      <c r="H321" s="19" t="str">
        <f t="shared" si="14"/>
        <v/>
      </c>
    </row>
    <row r="322" spans="1:8">
      <c r="A322">
        <v>392</v>
      </c>
      <c r="B322" t="s">
        <v>351</v>
      </c>
      <c r="C322" t="s">
        <v>8</v>
      </c>
      <c r="E322" s="3">
        <f t="shared" si="11"/>
        <v>1</v>
      </c>
      <c r="F322" s="5">
        <v>44151.625</v>
      </c>
      <c r="G322" s="10" t="str">
        <f t="shared" si="13"/>
        <v>Maanantai</v>
      </c>
      <c r="H322" s="19" t="str">
        <f t="shared" si="14"/>
        <v>W47</v>
      </c>
    </row>
    <row r="323" spans="1:8">
      <c r="A323">
        <v>393</v>
      </c>
      <c r="B323" t="s">
        <v>352</v>
      </c>
      <c r="C323" t="s">
        <v>8</v>
      </c>
      <c r="E323" s="3">
        <f t="shared" ref="E323" si="15">WEEKDAY(F323,2)</f>
        <v>2</v>
      </c>
      <c r="F323" s="5">
        <v>44152.625</v>
      </c>
      <c r="G323" s="10" t="str">
        <f t="shared" si="13"/>
        <v/>
      </c>
      <c r="H323" s="19" t="str">
        <f t="shared" si="14"/>
        <v/>
      </c>
    </row>
    <row r="324" spans="1:8">
      <c r="A324">
        <v>369</v>
      </c>
      <c r="B324" t="s">
        <v>353</v>
      </c>
      <c r="C324" t="s">
        <v>8</v>
      </c>
      <c r="E324" s="3">
        <f t="shared" si="11"/>
        <v>3</v>
      </c>
      <c r="F324" s="5">
        <v>44153.625</v>
      </c>
      <c r="G324" s="10" t="str">
        <f t="shared" si="13"/>
        <v/>
      </c>
      <c r="H324" s="19" t="str">
        <f t="shared" si="14"/>
        <v/>
      </c>
    </row>
    <row r="325" spans="1:8">
      <c r="A325">
        <v>471</v>
      </c>
      <c r="B325" t="s">
        <v>354</v>
      </c>
      <c r="C325" t="s">
        <v>8</v>
      </c>
      <c r="E325" s="3">
        <f t="shared" ref="E325:E366" si="16">WEEKDAY(F325,2)</f>
        <v>4</v>
      </c>
      <c r="F325" s="5">
        <v>44154.625</v>
      </c>
      <c r="G325" s="10" t="str">
        <f t="shared" si="13"/>
        <v/>
      </c>
      <c r="H325" s="19" t="str">
        <f t="shared" si="14"/>
        <v/>
      </c>
    </row>
    <row r="326" spans="1:8">
      <c r="A326">
        <v>367</v>
      </c>
      <c r="B326" t="s">
        <v>355</v>
      </c>
      <c r="C326" t="s">
        <v>8</v>
      </c>
      <c r="E326" s="3">
        <f t="shared" si="16"/>
        <v>5</v>
      </c>
      <c r="F326" s="5">
        <v>44155.625</v>
      </c>
      <c r="G326" s="10" t="str">
        <f t="shared" si="13"/>
        <v/>
      </c>
      <c r="H326" s="19" t="str">
        <f t="shared" si="14"/>
        <v/>
      </c>
    </row>
    <row r="327" spans="1:8">
      <c r="A327">
        <v>190</v>
      </c>
      <c r="B327" t="s">
        <v>358</v>
      </c>
      <c r="C327" t="s">
        <v>8</v>
      </c>
      <c r="E327" s="3">
        <f t="shared" si="16"/>
        <v>6</v>
      </c>
      <c r="F327" s="5">
        <v>44156.625</v>
      </c>
      <c r="G327" s="10" t="str">
        <f t="shared" si="13"/>
        <v/>
      </c>
      <c r="H327" s="19" t="str">
        <f t="shared" si="14"/>
        <v/>
      </c>
    </row>
    <row r="328" spans="1:8">
      <c r="A328">
        <v>66</v>
      </c>
      <c r="B328" t="s">
        <v>359</v>
      </c>
      <c r="C328" t="s">
        <v>8</v>
      </c>
      <c r="E328" s="3">
        <f t="shared" si="16"/>
        <v>7</v>
      </c>
      <c r="F328" s="5">
        <v>44157.625</v>
      </c>
      <c r="G328" s="10" t="str">
        <f t="shared" si="13"/>
        <v/>
      </c>
      <c r="H328" s="19" t="str">
        <f t="shared" si="14"/>
        <v/>
      </c>
    </row>
    <row r="329" spans="1:8">
      <c r="A329">
        <v>0</v>
      </c>
      <c r="B329" t="s">
        <v>360</v>
      </c>
      <c r="C329" t="s">
        <v>8</v>
      </c>
      <c r="E329" s="3">
        <f t="shared" si="16"/>
        <v>1</v>
      </c>
      <c r="F329" s="5">
        <v>44158.420671296299</v>
      </c>
      <c r="G329" s="10" t="str">
        <f t="shared" si="13"/>
        <v>Maanantai</v>
      </c>
      <c r="H329" s="19" t="str">
        <f t="shared" si="14"/>
        <v>W48</v>
      </c>
    </row>
    <row r="330" spans="1:8">
      <c r="E330" s="3">
        <f t="shared" si="16"/>
        <v>6</v>
      </c>
      <c r="G330" s="10" t="str">
        <f t="shared" si="13"/>
        <v/>
      </c>
      <c r="H330" s="19" t="str">
        <f t="shared" si="14"/>
        <v/>
      </c>
    </row>
    <row r="331" spans="1:8">
      <c r="E331" s="3">
        <f t="shared" si="16"/>
        <v>6</v>
      </c>
      <c r="G331" s="10" t="str">
        <f t="shared" si="13"/>
        <v/>
      </c>
      <c r="H331" s="19" t="str">
        <f t="shared" si="14"/>
        <v/>
      </c>
    </row>
    <row r="332" spans="1:8">
      <c r="E332" s="3">
        <f t="shared" si="16"/>
        <v>6</v>
      </c>
      <c r="G332" s="10" t="str">
        <f t="shared" si="13"/>
        <v/>
      </c>
      <c r="H332" s="19" t="str">
        <f t="shared" si="14"/>
        <v/>
      </c>
    </row>
    <row r="333" spans="1:8">
      <c r="E333" s="3">
        <f t="shared" si="16"/>
        <v>6</v>
      </c>
      <c r="G333" s="10" t="str">
        <f>IF(WEEKDAY(F333,2)=1,"Maanantai","")</f>
        <v/>
      </c>
      <c r="H333" s="19" t="str">
        <f t="shared" si="14"/>
        <v/>
      </c>
    </row>
    <row r="334" spans="1:8">
      <c r="E334" s="3">
        <f t="shared" si="16"/>
        <v>6</v>
      </c>
      <c r="G334" s="10" t="str">
        <f t="shared" si="13"/>
        <v/>
      </c>
      <c r="H334" s="19" t="str">
        <f t="shared" si="14"/>
        <v/>
      </c>
    </row>
    <row r="335" spans="1:8">
      <c r="E335" s="3">
        <f t="shared" si="16"/>
        <v>6</v>
      </c>
      <c r="G335" s="10" t="str">
        <f t="shared" si="13"/>
        <v/>
      </c>
      <c r="H335" s="19" t="str">
        <f t="shared" si="14"/>
        <v/>
      </c>
    </row>
    <row r="336" spans="1:8">
      <c r="E336" s="3">
        <f t="shared" si="16"/>
        <v>6</v>
      </c>
      <c r="G336" s="10" t="str">
        <f t="shared" si="13"/>
        <v/>
      </c>
      <c r="H336" s="19" t="str">
        <f t="shared" si="14"/>
        <v/>
      </c>
    </row>
    <row r="337" spans="5:8">
      <c r="E337" s="3">
        <f t="shared" si="16"/>
        <v>6</v>
      </c>
      <c r="G337" s="10" t="str">
        <f t="shared" si="13"/>
        <v/>
      </c>
      <c r="H337" s="19" t="str">
        <f t="shared" si="14"/>
        <v/>
      </c>
    </row>
    <row r="338" spans="5:8">
      <c r="E338" s="3">
        <f t="shared" si="16"/>
        <v>6</v>
      </c>
      <c r="G338" s="10" t="str">
        <f t="shared" si="13"/>
        <v/>
      </c>
      <c r="H338" s="19" t="str">
        <f t="shared" si="14"/>
        <v/>
      </c>
    </row>
    <row r="339" spans="5:8">
      <c r="E339" s="3">
        <f t="shared" si="16"/>
        <v>6</v>
      </c>
      <c r="G339" s="10" t="str">
        <f t="shared" si="13"/>
        <v/>
      </c>
      <c r="H339" s="19" t="str">
        <f t="shared" si="14"/>
        <v/>
      </c>
    </row>
    <row r="340" spans="5:8">
      <c r="E340" s="3">
        <f t="shared" si="16"/>
        <v>6</v>
      </c>
      <c r="G340" s="10" t="str">
        <f t="shared" si="13"/>
        <v/>
      </c>
      <c r="H340" s="19" t="str">
        <f t="shared" si="14"/>
        <v/>
      </c>
    </row>
    <row r="341" spans="5:8">
      <c r="E341" s="3">
        <f t="shared" si="16"/>
        <v>6</v>
      </c>
      <c r="G341" s="10" t="str">
        <f t="shared" si="13"/>
        <v/>
      </c>
      <c r="H341" s="19" t="str">
        <f t="shared" si="14"/>
        <v/>
      </c>
    </row>
    <row r="342" spans="5:8">
      <c r="E342" s="3">
        <f t="shared" si="16"/>
        <v>6</v>
      </c>
      <c r="G342" s="10" t="str">
        <f t="shared" si="13"/>
        <v/>
      </c>
      <c r="H342" s="19" t="str">
        <f t="shared" si="14"/>
        <v/>
      </c>
    </row>
    <row r="343" spans="5:8">
      <c r="E343" s="3">
        <f t="shared" si="16"/>
        <v>6</v>
      </c>
      <c r="G343" s="10" t="str">
        <f t="shared" si="13"/>
        <v/>
      </c>
      <c r="H343" s="19" t="str">
        <f t="shared" si="14"/>
        <v/>
      </c>
    </row>
    <row r="344" spans="5:8">
      <c r="E344" s="3">
        <f t="shared" si="16"/>
        <v>6</v>
      </c>
      <c r="G344" s="10" t="str">
        <f t="shared" si="13"/>
        <v/>
      </c>
      <c r="H344" s="19" t="str">
        <f t="shared" si="14"/>
        <v/>
      </c>
    </row>
    <row r="345" spans="5:8">
      <c r="E345" s="3">
        <f t="shared" si="16"/>
        <v>6</v>
      </c>
      <c r="H345" s="19" t="str">
        <f t="shared" si="14"/>
        <v/>
      </c>
    </row>
    <row r="346" spans="5:8">
      <c r="E346" s="3">
        <f t="shared" si="16"/>
        <v>6</v>
      </c>
      <c r="H346" s="19" t="str">
        <f t="shared" si="14"/>
        <v/>
      </c>
    </row>
    <row r="347" spans="5:8">
      <c r="E347" s="3">
        <f t="shared" si="16"/>
        <v>6</v>
      </c>
      <c r="H347" s="19" t="str">
        <f t="shared" si="14"/>
        <v/>
      </c>
    </row>
    <row r="348" spans="5:8">
      <c r="E348" s="3">
        <f t="shared" si="16"/>
        <v>6</v>
      </c>
      <c r="H348" s="19" t="str">
        <f t="shared" si="14"/>
        <v/>
      </c>
    </row>
    <row r="349" spans="5:8">
      <c r="E349" s="3">
        <f t="shared" si="16"/>
        <v>6</v>
      </c>
      <c r="H349" s="19" t="str">
        <f t="shared" si="14"/>
        <v/>
      </c>
    </row>
    <row r="350" spans="5:8">
      <c r="E350" s="3">
        <f t="shared" si="16"/>
        <v>6</v>
      </c>
      <c r="H350" s="19" t="str">
        <f t="shared" si="14"/>
        <v/>
      </c>
    </row>
    <row r="351" spans="5:8">
      <c r="E351" s="3">
        <f t="shared" si="16"/>
        <v>6</v>
      </c>
      <c r="H351" s="19" t="str">
        <f t="shared" si="14"/>
        <v/>
      </c>
    </row>
    <row r="352" spans="5:8">
      <c r="E352" s="3">
        <f t="shared" si="16"/>
        <v>6</v>
      </c>
      <c r="H352" s="19" t="str">
        <f t="shared" si="14"/>
        <v/>
      </c>
    </row>
    <row r="353" spans="5:8">
      <c r="E353" s="3">
        <f t="shared" si="16"/>
        <v>6</v>
      </c>
      <c r="H353" s="19" t="str">
        <f t="shared" si="14"/>
        <v/>
      </c>
    </row>
    <row r="354" spans="5:8">
      <c r="E354" s="3">
        <f t="shared" si="16"/>
        <v>6</v>
      </c>
      <c r="H354" s="19" t="str">
        <f t="shared" si="14"/>
        <v/>
      </c>
    </row>
    <row r="355" spans="5:8">
      <c r="E355" s="3">
        <f t="shared" si="16"/>
        <v>6</v>
      </c>
      <c r="H355" s="19" t="str">
        <f t="shared" si="14"/>
        <v/>
      </c>
    </row>
    <row r="356" spans="5:8">
      <c r="E356" s="3">
        <f t="shared" si="16"/>
        <v>6</v>
      </c>
      <c r="H356" s="19" t="str">
        <f t="shared" si="14"/>
        <v/>
      </c>
    </row>
    <row r="357" spans="5:8">
      <c r="E357" s="3">
        <f t="shared" si="16"/>
        <v>6</v>
      </c>
      <c r="H357" s="19" t="str">
        <f t="shared" si="14"/>
        <v/>
      </c>
    </row>
    <row r="358" spans="5:8">
      <c r="E358" s="3">
        <f t="shared" si="16"/>
        <v>6</v>
      </c>
      <c r="H358" s="19" t="str">
        <f t="shared" si="14"/>
        <v/>
      </c>
    </row>
    <row r="359" spans="5:8">
      <c r="E359" s="3">
        <f t="shared" si="16"/>
        <v>6</v>
      </c>
      <c r="H359" s="19" t="str">
        <f t="shared" si="14"/>
        <v/>
      </c>
    </row>
    <row r="360" spans="5:8">
      <c r="E360" s="3">
        <f t="shared" si="16"/>
        <v>6</v>
      </c>
      <c r="H360" s="19" t="str">
        <f t="shared" si="14"/>
        <v/>
      </c>
    </row>
    <row r="361" spans="5:8">
      <c r="E361" s="3">
        <f t="shared" si="16"/>
        <v>6</v>
      </c>
      <c r="H361" s="19" t="str">
        <f t="shared" si="14"/>
        <v/>
      </c>
    </row>
    <row r="362" spans="5:8">
      <c r="E362" s="3">
        <f t="shared" si="16"/>
        <v>6</v>
      </c>
      <c r="H362" s="19" t="str">
        <f t="shared" si="14"/>
        <v/>
      </c>
    </row>
    <row r="363" spans="5:8">
      <c r="E363" s="3">
        <f t="shared" si="16"/>
        <v>6</v>
      </c>
      <c r="H363" s="19" t="str">
        <f t="shared" si="14"/>
        <v/>
      </c>
    </row>
    <row r="364" spans="5:8">
      <c r="E364" s="3">
        <f t="shared" si="16"/>
        <v>6</v>
      </c>
      <c r="H364" s="19" t="str">
        <f t="shared" si="14"/>
        <v/>
      </c>
    </row>
    <row r="365" spans="5:8">
      <c r="E365" s="3">
        <f t="shared" si="16"/>
        <v>6</v>
      </c>
      <c r="H365" s="19" t="str">
        <f t="shared" si="14"/>
        <v/>
      </c>
    </row>
    <row r="366" spans="5:8">
      <c r="E366" s="3">
        <f t="shared" si="16"/>
        <v>6</v>
      </c>
      <c r="H366" s="19" t="str">
        <f t="shared" si="14"/>
        <v/>
      </c>
    </row>
  </sheetData>
  <autoFilter ref="A1:F281" xr:uid="{136F8AF3-8B2A-4AC6-9980-0AF3C69DCDC0}">
    <sortState xmlns:xlrd2="http://schemas.microsoft.com/office/spreadsheetml/2017/richdata2" ref="A61:F222">
      <sortCondition ref="D1:D226"/>
    </sortState>
  </autoFilter>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UpdateDialog">
                <anchor moveWithCells="1" sizeWithCells="1">
                  <from>
                    <xdr:col>1</xdr:col>
                    <xdr:colOff>348343</xdr:colOff>
                    <xdr:row>0</xdr:row>
                    <xdr:rowOff>43543</xdr:rowOff>
                  </from>
                  <to>
                    <xdr:col>1</xdr:col>
                    <xdr:colOff>1355271</xdr:colOff>
                    <xdr:row>0</xdr:row>
                    <xdr:rowOff>419100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7A09FF-4F29-44F9-AE9F-B84096EBE962}">
  <sheetPr codeName="Sheet2"/>
  <dimension ref="A1:IM78"/>
  <sheetViews>
    <sheetView tabSelected="1" zoomScale="85" zoomScaleNormal="85" workbookViewId="0">
      <selection activeCell="M4" sqref="M4"/>
    </sheetView>
  </sheetViews>
  <sheetFormatPr defaultRowHeight="14.6"/>
  <cols>
    <col min="2" max="2" width="10.07421875" customWidth="1"/>
    <col min="3" max="3" width="10.84375" bestFit="1" customWidth="1"/>
    <col min="11" max="11" width="9.23046875" style="4"/>
    <col min="13" max="13" width="12.15234375" style="16" customWidth="1"/>
    <col min="16" max="16" width="9.84375" style="16" customWidth="1"/>
    <col min="19" max="19" width="9.84375" style="16" customWidth="1"/>
    <col min="22" max="22" width="12.15234375" style="16" customWidth="1"/>
    <col min="25" max="25" width="12.15234375" style="16" customWidth="1"/>
    <col min="28" max="28" width="12.15234375" style="16" customWidth="1"/>
    <col min="31" max="31" width="12.15234375" style="16" customWidth="1"/>
    <col min="34" max="34" width="12.15234375" style="16" customWidth="1"/>
    <col min="37" max="37" width="12.15234375" style="16" customWidth="1"/>
    <col min="40" max="40" width="12.15234375" style="16" customWidth="1"/>
    <col min="43" max="43" width="9.23046875" style="16"/>
    <col min="46" max="46" width="9.23046875" style="16"/>
    <col min="49" max="49" width="9.23046875" style="16"/>
    <col min="52" max="52" width="9.23046875" style="16"/>
    <col min="55" max="55" width="9.23046875" style="16"/>
    <col min="58" max="58" width="9.23046875" style="16"/>
    <col min="61" max="61" width="9.23046875" style="16"/>
    <col min="64" max="64" width="9.23046875" style="16"/>
    <col min="67" max="67" width="9.23046875" style="16"/>
    <col min="70" max="70" width="9.23046875" style="16"/>
    <col min="73" max="73" width="9.23046875" style="16"/>
    <col min="76" max="76" width="9.23046875" style="16"/>
    <col min="79" max="79" width="9.23046875" style="16"/>
    <col min="82" max="82" width="9.23046875" style="16"/>
    <col min="85" max="85" width="9.23046875" style="16"/>
    <col min="88" max="88" width="9.23046875" style="16"/>
  </cols>
  <sheetData>
    <row r="1" spans="2:2" ht="11.15" customHeight="1"/>
    <row r="2" spans="2:2">
      <c r="B2" s="4"/>
    </row>
    <row r="3" spans="2:2">
      <c r="B3" s="4"/>
    </row>
    <row r="4" spans="2:2">
      <c r="B4" s="4"/>
    </row>
    <row r="5" spans="2:2">
      <c r="B5" s="4"/>
    </row>
    <row r="6" spans="2:2">
      <c r="B6" s="4"/>
    </row>
    <row r="7" spans="2:2">
      <c r="B7" s="4"/>
    </row>
    <row r="8" spans="2:2">
      <c r="B8" s="4"/>
    </row>
    <row r="9" spans="2:2">
      <c r="B9" s="4"/>
    </row>
    <row r="10" spans="2:2">
      <c r="B10" s="4"/>
    </row>
    <row r="11" spans="2:2">
      <c r="B11" s="4"/>
    </row>
    <row r="12" spans="2:2">
      <c r="B12" s="4"/>
    </row>
    <row r="13" spans="2:2">
      <c r="B13" s="4"/>
    </row>
    <row r="14" spans="2:2">
      <c r="B14" s="4"/>
    </row>
    <row r="15" spans="2:2">
      <c r="B15" s="4"/>
    </row>
    <row r="16" spans="2:2">
      <c r="B16" s="4"/>
    </row>
    <row r="17" spans="1:32">
      <c r="B17" s="4"/>
    </row>
    <row r="18" spans="1:32">
      <c r="B18" s="4"/>
      <c r="AF18" s="16"/>
    </row>
    <row r="19" spans="1:32">
      <c r="B19" s="4"/>
    </row>
    <row r="20" spans="1:32">
      <c r="B20" s="4"/>
    </row>
    <row r="21" spans="1:32">
      <c r="B21" s="4"/>
    </row>
    <row r="22" spans="1:32">
      <c r="B22" s="4"/>
    </row>
    <row r="23" spans="1:32">
      <c r="B23" s="4"/>
    </row>
    <row r="24" spans="1:32">
      <c r="B24" s="4"/>
    </row>
    <row r="25" spans="1:32">
      <c r="B25" s="4"/>
    </row>
    <row r="26" spans="1:32">
      <c r="B26" s="4"/>
    </row>
    <row r="27" spans="1:32">
      <c r="B27" s="4"/>
    </row>
    <row r="28" spans="1:32">
      <c r="B28" s="4"/>
      <c r="P28" t="str">
        <f ca="1">IF((C65-N65-E35)&lt;&gt;0," (joista vanhoja yli 28 päivän takaisia kirjauksia "&amp;(C65-N65-E35)&amp;")","")</f>
        <v/>
      </c>
    </row>
    <row r="29" spans="1:32">
      <c r="B29" s="4"/>
    </row>
    <row r="30" spans="1:32">
      <c r="B30" s="4"/>
    </row>
    <row r="31" spans="1:32">
      <c r="A31" t="str">
        <f ca="1">"Uusia COVID-19 tapauksia "&amp;TEXT(MAX(M:M),"p.kk")&amp;" n="&amp;(C$65-N$65)&amp;P$28&amp;". Yhteensä N="&amp;C$64&amp;". Edelliset 7 päivää "&amp;G$58&amp;" (päivittyy), "&amp;G$51&amp;" (muutos "&amp;H$51&amp;"), "&amp;G$44&amp;" ("&amp;H$44&amp;") ja "&amp;G$37&amp;" https://github.com/jussivirkkala/excel/tree/master/hs-koronavirus-avoindata"</f>
        <v>Uusia COVID-19 tapauksia 23.11 n=297. Yhteensä N=21936. Edelliset 7 päivää 2248 (päivittyy), 1633 (muutos 16 %), 1408 (-3 %) ja 1453 https://github.com/jussivirkkala/excel/tree/master/hs-koronavirus-avoindata</v>
      </c>
      <c r="B31" s="4"/>
    </row>
    <row r="32" spans="1:32">
      <c r="A32" t="str">
        <f ca="1">"Uusia COVID-19 tapauksia "&amp;TEXT(MAX(M:M),"p.kk")&amp;" n="&amp;(C$65-N$65)&amp;P$28&amp;". Yhteensä N="&amp;C$64&amp;". Melko pysyvät 7 päivää "&amp;TEXT(B55,"p.kk")&amp;"-"&amp;TEXT(B61,"p.kk")&amp;" yhteensä "&amp;J$55&amp;" (muutos "&amp;K55&amp;"), aiemmat 7 päivää "&amp;J$48&amp;" ("&amp;K$48&amp;") ja "&amp;J$41&amp;" https://github.com/jussivirkkala/excel/tree/master/hs-koronavirus-avoindata"</f>
        <v>Uusia COVID-19 tapauksia 23.11 n=297. Yhteensä N=21936. Melko pysyvät 7 päivää 13.11-19.11 yhteensä 2210 (muutos 47 %), aiemmat 7 päivää 1503 (4 %) ja 1443 https://github.com/jussivirkkala/excel/tree/master/hs-koronavirus-avoindata</v>
      </c>
      <c r="B32" s="4"/>
    </row>
    <row r="33" spans="1:247">
      <c r="B33" s="4"/>
    </row>
    <row r="34" spans="1:247">
      <c r="A34" t="str">
        <f ca="1">"Kirjattuja COVID-19 tapauksia N="&amp;C65&amp;"."&amp;CHAR(32)&amp;"Uusimmat "&amp;TEXT(MAX(M:M),"p.kk")&amp;" lisäykset punaisella n="&amp;L65&amp;"."</f>
        <v>Kirjattuja COVID-19 tapauksia N=21936. Uusimmat 23.11 lisäykset punaisella n=297.</v>
      </c>
      <c r="B34" s="4"/>
    </row>
    <row r="35" spans="1:247">
      <c r="B35" s="4" t="s">
        <v>5</v>
      </c>
      <c r="C35" t="s">
        <v>0</v>
      </c>
      <c r="D35" t="s">
        <v>6</v>
      </c>
      <c r="E35">
        <f ca="1">SUM(E37:E65)</f>
        <v>297</v>
      </c>
      <c r="F35" t="s">
        <v>228</v>
      </c>
      <c r="G35" t="s">
        <v>356</v>
      </c>
      <c r="I35" t="s">
        <v>357</v>
      </c>
      <c r="J35" t="s">
        <v>356</v>
      </c>
      <c r="M35" s="16" t="s">
        <v>312</v>
      </c>
      <c r="P35" s="16" t="s">
        <v>313</v>
      </c>
      <c r="S35" s="16" t="s">
        <v>314</v>
      </c>
    </row>
    <row r="36" spans="1:247">
      <c r="A36" t="str">
        <f ca="1">IF(WEEKDAY(B36,2)=1,"Ma "&amp;TEXT(B36,"p"),TEXT(B36,"p.k"))</f>
        <v>25.10</v>
      </c>
      <c r="B36" s="4">
        <f ca="1">B37-1</f>
        <v>44129</v>
      </c>
      <c r="C36" s="11">
        <f t="shared" ref="C36:C65" ca="1" si="0">SUMIF(aika,"&lt;"&amp;(B36+1),Id)</f>
        <v>15194</v>
      </c>
    </row>
    <row r="37" spans="1:247" s="10" customFormat="1">
      <c r="A37" t="str">
        <f t="shared" ref="A37:A65" ca="1" si="1">IF(WEEKDAY(B37,2)=1,"Ma "&amp;TEXT(B37,"p"),TEXT(B37,"p.k"))</f>
        <v>Ma 26</v>
      </c>
      <c r="B37" s="9">
        <f t="shared" ref="B37:B62" ca="1" si="2">B38-1</f>
        <v>44130</v>
      </c>
      <c r="C37" s="10">
        <f t="shared" ca="1" si="0"/>
        <v>15450</v>
      </c>
      <c r="D37" s="10">
        <f t="shared" ref="D37" ca="1" si="3">C37-C36</f>
        <v>256</v>
      </c>
      <c r="E37" s="10">
        <f t="shared" ref="E37:E64" ca="1" si="4">_xlfn.IFNA(D37-F37,"")</f>
        <v>0</v>
      </c>
      <c r="F37" s="10">
        <f ca="1">VLOOKUP(B37,Previous,3,FALSE)</f>
        <v>256</v>
      </c>
      <c r="G37" s="10">
        <f ca="1">SUM(D37:D43)</f>
        <v>1453</v>
      </c>
      <c r="I37" s="10">
        <f ca="1">SUM(D37:D50)</f>
        <v>2861</v>
      </c>
      <c r="K37" s="14"/>
      <c r="M37" s="17">
        <v>44130</v>
      </c>
      <c r="N37" s="10">
        <v>15450</v>
      </c>
      <c r="O37" s="10">
        <v>256</v>
      </c>
      <c r="P37" s="17">
        <v>44130</v>
      </c>
      <c r="Q37" s="10">
        <v>15450</v>
      </c>
      <c r="R37" s="10">
        <v>256</v>
      </c>
      <c r="S37" s="17">
        <v>44085</v>
      </c>
      <c r="T37" s="10">
        <v>8688</v>
      </c>
      <c r="U37" s="10">
        <v>57</v>
      </c>
      <c r="V37" s="17">
        <v>44086</v>
      </c>
      <c r="W37" s="10">
        <v>8730</v>
      </c>
      <c r="X37" s="10">
        <v>41</v>
      </c>
      <c r="Y37" s="17">
        <v>44087</v>
      </c>
      <c r="Z37" s="10">
        <v>8776</v>
      </c>
      <c r="AA37" s="10">
        <v>46</v>
      </c>
      <c r="AB37" s="17">
        <v>44088</v>
      </c>
      <c r="AC37" s="10">
        <v>8835</v>
      </c>
      <c r="AD37" s="10">
        <v>59</v>
      </c>
      <c r="AE37" s="17">
        <v>44089</v>
      </c>
      <c r="AF37" s="10">
        <v>8888</v>
      </c>
      <c r="AG37" s="10">
        <v>53</v>
      </c>
      <c r="AH37" s="17">
        <v>44090</v>
      </c>
      <c r="AI37" s="10">
        <v>8946</v>
      </c>
      <c r="AJ37" s="10">
        <v>57</v>
      </c>
      <c r="AK37" s="17">
        <v>44091</v>
      </c>
      <c r="AL37" s="10">
        <v>9030</v>
      </c>
      <c r="AM37" s="10">
        <v>85</v>
      </c>
      <c r="AN37" s="17">
        <v>44092</v>
      </c>
      <c r="AO37" s="10">
        <v>9106</v>
      </c>
      <c r="AP37" s="10">
        <v>76</v>
      </c>
      <c r="AQ37" s="17">
        <v>44093</v>
      </c>
      <c r="AR37" s="10">
        <v>9167</v>
      </c>
      <c r="AS37" s="10">
        <v>61</v>
      </c>
      <c r="AT37" s="17">
        <v>44094</v>
      </c>
      <c r="AU37" s="10">
        <v>9240</v>
      </c>
      <c r="AV37" s="10">
        <v>73</v>
      </c>
      <c r="AW37" s="17">
        <v>44095</v>
      </c>
      <c r="AX37" s="10">
        <v>9360</v>
      </c>
      <c r="AY37" s="10">
        <v>119</v>
      </c>
      <c r="AZ37" s="17">
        <v>44096</v>
      </c>
      <c r="BA37" s="10">
        <v>9464</v>
      </c>
      <c r="BB37" s="10">
        <v>104</v>
      </c>
      <c r="BC37" s="17">
        <v>44097</v>
      </c>
      <c r="BD37" s="10">
        <v>9582</v>
      </c>
      <c r="BE37" s="10">
        <v>118</v>
      </c>
      <c r="BF37" s="17">
        <v>44098</v>
      </c>
      <c r="BG37" s="10">
        <v>9677</v>
      </c>
      <c r="BH37" s="10">
        <v>97</v>
      </c>
      <c r="BI37" s="17">
        <v>44099</v>
      </c>
      <c r="BJ37" s="10">
        <v>9806</v>
      </c>
      <c r="BK37" s="10">
        <v>127</v>
      </c>
      <c r="BL37" s="17">
        <v>44100</v>
      </c>
      <c r="BM37" s="10">
        <v>9879</v>
      </c>
      <c r="BN37" s="10">
        <v>73</v>
      </c>
      <c r="BO37" s="17">
        <v>44101</v>
      </c>
      <c r="BP37" s="10">
        <v>9950</v>
      </c>
      <c r="BQ37" s="10">
        <v>71</v>
      </c>
      <c r="BR37" s="17">
        <v>44102</v>
      </c>
      <c r="BS37" s="10">
        <v>10073</v>
      </c>
      <c r="BT37" s="10">
        <v>122</v>
      </c>
      <c r="BU37" s="17">
        <v>44104</v>
      </c>
      <c r="BV37" s="10">
        <v>10371</v>
      </c>
      <c r="BW37" s="10">
        <v>165</v>
      </c>
      <c r="BX37" s="17">
        <v>44105</v>
      </c>
      <c r="BY37" s="10">
        <v>10560</v>
      </c>
      <c r="BZ37" s="10">
        <v>188</v>
      </c>
      <c r="CA37" s="17">
        <v>44106</v>
      </c>
      <c r="CB37" s="10">
        <v>10748</v>
      </c>
      <c r="CC37" s="10">
        <v>188</v>
      </c>
      <c r="CD37" s="17">
        <v>44107</v>
      </c>
      <c r="CE37" s="10">
        <v>10925</v>
      </c>
      <c r="CF37" s="10">
        <v>170</v>
      </c>
      <c r="CG37" s="17">
        <v>44108</v>
      </c>
      <c r="CH37" s="10">
        <v>11073</v>
      </c>
      <c r="CI37" s="10">
        <v>147</v>
      </c>
      <c r="CJ37" s="17">
        <v>44109</v>
      </c>
      <c r="CK37" s="10">
        <v>11363</v>
      </c>
      <c r="CL37" s="10">
        <v>290</v>
      </c>
      <c r="CM37" s="17">
        <v>44110</v>
      </c>
      <c r="CN37" s="10">
        <v>11664</v>
      </c>
      <c r="CO37" s="10">
        <v>301</v>
      </c>
      <c r="CP37" s="17">
        <v>44111</v>
      </c>
      <c r="CQ37" s="10">
        <v>11970</v>
      </c>
      <c r="CR37" s="10">
        <v>306</v>
      </c>
      <c r="CS37" s="17">
        <v>44112</v>
      </c>
      <c r="CT37" s="10">
        <v>12232</v>
      </c>
      <c r="CU37" s="10">
        <v>260</v>
      </c>
      <c r="CV37" s="17">
        <v>44113</v>
      </c>
      <c r="CW37" s="10">
        <v>12459</v>
      </c>
      <c r="CX37" s="10">
        <v>227</v>
      </c>
      <c r="CY37" s="17">
        <v>44115</v>
      </c>
      <c r="CZ37" s="10">
        <v>12696</v>
      </c>
      <c r="DA37" s="10">
        <v>130</v>
      </c>
      <c r="DB37" s="17">
        <v>44116</v>
      </c>
      <c r="DC37" s="10">
        <v>12950</v>
      </c>
      <c r="DD37" s="10">
        <v>254</v>
      </c>
      <c r="DE37" s="17">
        <v>44117</v>
      </c>
      <c r="DF37" s="10">
        <v>13147</v>
      </c>
      <c r="DG37" s="10">
        <v>197</v>
      </c>
      <c r="DH37" s="17">
        <v>44118</v>
      </c>
      <c r="DI37" s="10">
        <v>13348</v>
      </c>
      <c r="DJ37" s="10">
        <v>200</v>
      </c>
      <c r="DK37" s="17">
        <v>44119</v>
      </c>
      <c r="DL37" s="10">
        <v>13542</v>
      </c>
      <c r="DM37" s="10">
        <v>191</v>
      </c>
      <c r="DN37" s="17">
        <v>44120</v>
      </c>
      <c r="DO37" s="10">
        <v>13734</v>
      </c>
      <c r="DP37" s="10">
        <v>192</v>
      </c>
      <c r="DQ37" s="17">
        <v>44121</v>
      </c>
      <c r="DR37" s="10">
        <v>13835</v>
      </c>
      <c r="DS37" s="10">
        <v>100</v>
      </c>
      <c r="DT37" s="17">
        <v>44121</v>
      </c>
      <c r="DU37" s="10">
        <v>13963</v>
      </c>
      <c r="DV37" s="10">
        <v>128</v>
      </c>
      <c r="DW37" s="17">
        <v>44123</v>
      </c>
      <c r="DX37" s="10">
        <v>14207</v>
      </c>
      <c r="DY37" s="10">
        <v>244</v>
      </c>
      <c r="DZ37" s="17">
        <v>44124</v>
      </c>
      <c r="EA37" s="10">
        <v>14370</v>
      </c>
      <c r="EB37" s="10">
        <v>163</v>
      </c>
      <c r="EC37" s="17">
        <v>44125</v>
      </c>
      <c r="ED37" s="10">
        <v>14552</v>
      </c>
      <c r="EE37" s="10">
        <v>190</v>
      </c>
      <c r="EF37" s="17">
        <v>44126</v>
      </c>
      <c r="EG37" s="10">
        <v>14770</v>
      </c>
      <c r="EH37" s="10">
        <v>218</v>
      </c>
      <c r="EI37" s="17">
        <v>44127</v>
      </c>
      <c r="EJ37" s="10">
        <v>14962</v>
      </c>
      <c r="EK37" s="10">
        <v>192</v>
      </c>
      <c r="EL37" s="17">
        <v>44128</v>
      </c>
      <c r="EM37" s="10">
        <v>15070</v>
      </c>
      <c r="EN37" s="10">
        <v>108</v>
      </c>
      <c r="EO37" s="17">
        <v>44129</v>
      </c>
      <c r="EP37" s="10">
        <v>15193</v>
      </c>
      <c r="EQ37" s="10">
        <v>123</v>
      </c>
      <c r="ER37" s="17">
        <v>44130</v>
      </c>
      <c r="ES37" s="10">
        <v>15450</v>
      </c>
      <c r="ET37" s="10">
        <v>256</v>
      </c>
      <c r="EU37" s="17"/>
      <c r="EX37" s="17"/>
      <c r="FA37" s="17"/>
      <c r="FD37" s="17"/>
      <c r="FG37" s="17"/>
      <c r="FJ37" s="17"/>
      <c r="FM37" s="17"/>
      <c r="FP37" s="17"/>
      <c r="FS37" s="17"/>
      <c r="FV37" s="17"/>
      <c r="FY37" s="17"/>
      <c r="GB37" s="17"/>
      <c r="GE37" s="17"/>
      <c r="GH37" s="17"/>
      <c r="GK37" s="17"/>
      <c r="GN37" s="17"/>
      <c r="GQ37" s="17"/>
      <c r="GT37" s="17"/>
      <c r="GW37" s="17"/>
      <c r="GZ37" s="17"/>
      <c r="HC37" s="17"/>
      <c r="HF37" s="17"/>
      <c r="HI37" s="17"/>
      <c r="HL37" s="17"/>
      <c r="HO37" s="17"/>
      <c r="HR37" s="17"/>
      <c r="HU37" s="17"/>
      <c r="HX37" s="17"/>
      <c r="IA37" s="17"/>
      <c r="ID37" s="17"/>
      <c r="IG37" s="17"/>
      <c r="IJ37" s="17"/>
      <c r="IM37" s="17"/>
    </row>
    <row r="38" spans="1:247">
      <c r="A38" t="str">
        <f t="shared" ca="1" si="1"/>
        <v>27.10</v>
      </c>
      <c r="B38" s="4">
        <f t="shared" ca="1" si="2"/>
        <v>44131</v>
      </c>
      <c r="C38" s="11">
        <f t="shared" ca="1" si="0"/>
        <v>15680</v>
      </c>
      <c r="D38">
        <f t="shared" ref="D38" ca="1" si="5">C38-C37</f>
        <v>230</v>
      </c>
      <c r="E38" s="11">
        <f t="shared" ca="1" si="4"/>
        <v>0</v>
      </c>
      <c r="F38" s="11">
        <f t="shared" ref="F38:F65" ca="1" si="6">VLOOKUP(B38,Previous,3,FALSE)</f>
        <v>230</v>
      </c>
      <c r="K38" s="3"/>
      <c r="M38" s="16">
        <v>44131</v>
      </c>
      <c r="N38">
        <v>15680</v>
      </c>
      <c r="O38">
        <v>230</v>
      </c>
      <c r="P38" s="16">
        <v>44131</v>
      </c>
      <c r="Q38">
        <v>15680</v>
      </c>
      <c r="R38">
        <v>230</v>
      </c>
      <c r="S38" s="16">
        <v>44086</v>
      </c>
      <c r="T38">
        <v>8729</v>
      </c>
      <c r="U38">
        <v>41</v>
      </c>
      <c r="V38" s="16">
        <v>44087</v>
      </c>
      <c r="W38">
        <v>8776</v>
      </c>
      <c r="X38">
        <v>46</v>
      </c>
      <c r="Y38" s="16">
        <v>44088</v>
      </c>
      <c r="Z38">
        <v>8836</v>
      </c>
      <c r="AA38">
        <v>59</v>
      </c>
      <c r="AB38" s="16">
        <v>44089</v>
      </c>
      <c r="AC38">
        <v>8888</v>
      </c>
      <c r="AD38">
        <v>53</v>
      </c>
      <c r="AE38" s="16">
        <v>44090</v>
      </c>
      <c r="AF38">
        <v>8945</v>
      </c>
      <c r="AG38">
        <v>57</v>
      </c>
      <c r="AH38" s="16">
        <v>44091</v>
      </c>
      <c r="AI38">
        <v>9031</v>
      </c>
      <c r="AJ38">
        <v>85</v>
      </c>
      <c r="AK38" s="16">
        <v>44092</v>
      </c>
      <c r="AL38">
        <v>9106</v>
      </c>
      <c r="AM38">
        <v>76</v>
      </c>
      <c r="AN38" s="16">
        <v>44093</v>
      </c>
      <c r="AO38">
        <v>9167</v>
      </c>
      <c r="AP38">
        <v>61</v>
      </c>
      <c r="AQ38" s="16">
        <v>44094</v>
      </c>
      <c r="AR38">
        <v>9240</v>
      </c>
      <c r="AS38">
        <v>73</v>
      </c>
      <c r="AT38" s="16">
        <v>44095</v>
      </c>
      <c r="AU38">
        <v>9359</v>
      </c>
      <c r="AV38">
        <v>119</v>
      </c>
      <c r="AW38" s="16">
        <v>44096</v>
      </c>
      <c r="AX38">
        <v>9464</v>
      </c>
      <c r="AY38">
        <v>104</v>
      </c>
      <c r="AZ38" s="16">
        <v>44097</v>
      </c>
      <c r="BA38">
        <v>9582</v>
      </c>
      <c r="BB38">
        <v>118</v>
      </c>
      <c r="BC38" s="16">
        <v>44098</v>
      </c>
      <c r="BD38">
        <v>9679</v>
      </c>
      <c r="BE38">
        <v>97</v>
      </c>
      <c r="BF38" s="16">
        <v>44099</v>
      </c>
      <c r="BG38">
        <v>9804</v>
      </c>
      <c r="BH38">
        <v>127</v>
      </c>
      <c r="BI38" s="16">
        <v>44100</v>
      </c>
      <c r="BJ38">
        <v>9879</v>
      </c>
      <c r="BK38">
        <v>73</v>
      </c>
      <c r="BL38" s="16">
        <v>44101</v>
      </c>
      <c r="BM38">
        <v>9950</v>
      </c>
      <c r="BN38">
        <v>71</v>
      </c>
      <c r="BO38" s="16">
        <v>44102</v>
      </c>
      <c r="BP38">
        <v>10072</v>
      </c>
      <c r="BQ38">
        <v>122</v>
      </c>
      <c r="BR38" s="16">
        <v>44103</v>
      </c>
      <c r="BS38">
        <v>10206</v>
      </c>
      <c r="BT38">
        <v>133</v>
      </c>
      <c r="BU38" s="16">
        <v>44105</v>
      </c>
      <c r="BV38">
        <v>10559</v>
      </c>
      <c r="BW38">
        <v>188</v>
      </c>
      <c r="BX38" s="16">
        <v>44106</v>
      </c>
      <c r="BY38">
        <v>10748</v>
      </c>
      <c r="BZ38">
        <v>188</v>
      </c>
      <c r="CA38" s="16">
        <v>44107</v>
      </c>
      <c r="CB38">
        <v>10918</v>
      </c>
      <c r="CC38">
        <v>170</v>
      </c>
      <c r="CD38" s="16">
        <v>44108</v>
      </c>
      <c r="CE38">
        <v>11072</v>
      </c>
      <c r="CF38">
        <v>147</v>
      </c>
      <c r="CG38" s="16">
        <v>44109</v>
      </c>
      <c r="CH38">
        <v>11363</v>
      </c>
      <c r="CI38">
        <v>290</v>
      </c>
      <c r="CJ38" s="16">
        <v>44110</v>
      </c>
      <c r="CK38">
        <v>11664</v>
      </c>
      <c r="CL38">
        <v>301</v>
      </c>
      <c r="CM38" s="16">
        <v>44111</v>
      </c>
      <c r="CN38">
        <v>11970</v>
      </c>
      <c r="CO38">
        <v>306</v>
      </c>
      <c r="CP38" s="16">
        <v>44112</v>
      </c>
      <c r="CQ38">
        <v>12230</v>
      </c>
      <c r="CR38">
        <v>260</v>
      </c>
      <c r="CS38" s="16">
        <v>44113</v>
      </c>
      <c r="CT38">
        <v>12458</v>
      </c>
      <c r="CU38">
        <v>226</v>
      </c>
      <c r="CV38" s="16">
        <v>44114</v>
      </c>
      <c r="CW38">
        <v>12568</v>
      </c>
      <c r="CX38">
        <v>109</v>
      </c>
      <c r="CY38" s="16">
        <v>44116</v>
      </c>
      <c r="CZ38">
        <v>12950</v>
      </c>
      <c r="DA38">
        <v>254</v>
      </c>
      <c r="DB38" s="16">
        <v>44117</v>
      </c>
      <c r="DC38">
        <v>13147</v>
      </c>
      <c r="DD38">
        <v>197</v>
      </c>
      <c r="DE38" s="16">
        <v>44118</v>
      </c>
      <c r="DF38">
        <v>13347</v>
      </c>
      <c r="DG38">
        <v>200</v>
      </c>
      <c r="DH38" s="16">
        <v>44119</v>
      </c>
      <c r="DI38">
        <v>13539</v>
      </c>
      <c r="DJ38">
        <v>191</v>
      </c>
      <c r="DK38" s="16">
        <v>44120</v>
      </c>
      <c r="DL38">
        <v>13734</v>
      </c>
      <c r="DM38">
        <v>192</v>
      </c>
      <c r="DN38" s="16">
        <v>44121</v>
      </c>
      <c r="DO38">
        <v>13834</v>
      </c>
      <c r="DP38">
        <v>100</v>
      </c>
      <c r="DQ38" s="16">
        <v>44122</v>
      </c>
      <c r="DR38">
        <v>13963</v>
      </c>
      <c r="DS38">
        <v>128</v>
      </c>
      <c r="DT38" s="16">
        <v>44123</v>
      </c>
      <c r="DU38">
        <v>14207</v>
      </c>
      <c r="DV38">
        <v>244</v>
      </c>
      <c r="DW38" s="16">
        <v>44124</v>
      </c>
      <c r="DX38">
        <v>14370</v>
      </c>
      <c r="DY38">
        <v>163</v>
      </c>
      <c r="DZ38" s="16">
        <v>44125</v>
      </c>
      <c r="EA38">
        <v>14560</v>
      </c>
      <c r="EB38">
        <v>190</v>
      </c>
      <c r="EC38" s="16">
        <v>44126</v>
      </c>
      <c r="ED38">
        <v>14770</v>
      </c>
      <c r="EE38">
        <v>218</v>
      </c>
      <c r="EF38" s="16">
        <v>44127</v>
      </c>
      <c r="EG38">
        <v>14962</v>
      </c>
      <c r="EH38">
        <v>192</v>
      </c>
      <c r="EI38" s="16">
        <v>44128</v>
      </c>
      <c r="EJ38">
        <v>15070</v>
      </c>
      <c r="EK38">
        <v>108</v>
      </c>
      <c r="EL38" s="16">
        <v>44129</v>
      </c>
      <c r="EM38">
        <v>15193</v>
      </c>
      <c r="EN38">
        <v>123</v>
      </c>
      <c r="EO38" s="16">
        <v>44130</v>
      </c>
      <c r="EP38">
        <v>15449</v>
      </c>
      <c r="EQ38">
        <v>256</v>
      </c>
      <c r="ER38" s="16">
        <v>44131</v>
      </c>
      <c r="ES38">
        <v>15680</v>
      </c>
      <c r="ET38">
        <v>230</v>
      </c>
      <c r="EU38" s="16"/>
      <c r="EX38" s="16"/>
      <c r="FA38" s="16"/>
      <c r="FD38" s="16"/>
      <c r="FG38" s="16"/>
      <c r="FJ38" s="16"/>
      <c r="FM38" s="16"/>
      <c r="FP38" s="16"/>
      <c r="FS38" s="16"/>
      <c r="FV38" s="16"/>
      <c r="FY38" s="16"/>
      <c r="GB38" s="16"/>
      <c r="GE38" s="16"/>
      <c r="GH38" s="16"/>
      <c r="GK38" s="16"/>
      <c r="GN38" s="16"/>
      <c r="GQ38" s="16"/>
      <c r="GT38" s="16"/>
      <c r="GW38" s="16"/>
      <c r="GZ38" s="16"/>
      <c r="HC38" s="16"/>
      <c r="HF38" s="16"/>
      <c r="HI38" s="16"/>
      <c r="HL38" s="16"/>
      <c r="HO38" s="16"/>
      <c r="HR38" s="16"/>
      <c r="HU38" s="16"/>
      <c r="HX38" s="16"/>
      <c r="IA38" s="16"/>
      <c r="ID38" s="16"/>
      <c r="IG38" s="16"/>
      <c r="IJ38" s="16"/>
      <c r="IM38" s="16"/>
    </row>
    <row r="39" spans="1:247">
      <c r="A39" t="str">
        <f t="shared" ca="1" si="1"/>
        <v>28.10</v>
      </c>
      <c r="B39" s="4">
        <f t="shared" ca="1" si="2"/>
        <v>44132</v>
      </c>
      <c r="C39" s="11">
        <f t="shared" ca="1" si="0"/>
        <v>15920</v>
      </c>
      <c r="D39">
        <f t="shared" ref="D39" ca="1" si="7">C39-C38</f>
        <v>240</v>
      </c>
      <c r="E39" s="11">
        <f t="shared" ca="1" si="4"/>
        <v>0</v>
      </c>
      <c r="F39" s="11">
        <f t="shared" ca="1" si="6"/>
        <v>240</v>
      </c>
      <c r="K39" s="3"/>
      <c r="M39" s="16">
        <v>44132</v>
      </c>
      <c r="N39">
        <v>15920</v>
      </c>
      <c r="O39">
        <v>240</v>
      </c>
      <c r="P39" s="16">
        <v>44132</v>
      </c>
      <c r="Q39">
        <v>15920</v>
      </c>
      <c r="R39">
        <v>240</v>
      </c>
      <c r="S39" s="16">
        <v>44087</v>
      </c>
      <c r="T39">
        <v>8775</v>
      </c>
      <c r="U39">
        <v>46</v>
      </c>
      <c r="V39" s="16">
        <v>44088</v>
      </c>
      <c r="W39">
        <v>8835</v>
      </c>
      <c r="X39">
        <v>59</v>
      </c>
      <c r="Y39" s="16">
        <v>44089</v>
      </c>
      <c r="Z39">
        <v>8889</v>
      </c>
      <c r="AA39">
        <v>53</v>
      </c>
      <c r="AB39" s="16">
        <v>44090</v>
      </c>
      <c r="AC39">
        <v>8945</v>
      </c>
      <c r="AD39">
        <v>57</v>
      </c>
      <c r="AE39" s="16">
        <v>44091</v>
      </c>
      <c r="AF39">
        <v>9030</v>
      </c>
      <c r="AG39">
        <v>85</v>
      </c>
      <c r="AH39" s="16">
        <v>44092</v>
      </c>
      <c r="AI39">
        <v>9107</v>
      </c>
      <c r="AJ39">
        <v>76</v>
      </c>
      <c r="AK39" s="16">
        <v>44093</v>
      </c>
      <c r="AL39">
        <v>9167</v>
      </c>
      <c r="AM39">
        <v>61</v>
      </c>
      <c r="AN39" s="16">
        <v>44094</v>
      </c>
      <c r="AO39">
        <v>9240</v>
      </c>
      <c r="AP39">
        <v>73</v>
      </c>
      <c r="AQ39" s="16">
        <v>44095</v>
      </c>
      <c r="AR39">
        <v>9359</v>
      </c>
      <c r="AS39">
        <v>119</v>
      </c>
      <c r="AT39" s="16">
        <v>44096</v>
      </c>
      <c r="AU39">
        <v>9464</v>
      </c>
      <c r="AV39">
        <v>105</v>
      </c>
      <c r="AW39" s="16">
        <v>44097</v>
      </c>
      <c r="AX39">
        <v>9582</v>
      </c>
      <c r="AY39">
        <v>118</v>
      </c>
      <c r="AZ39" s="16">
        <v>44098</v>
      </c>
      <c r="BA39">
        <v>9679</v>
      </c>
      <c r="BB39">
        <v>97</v>
      </c>
      <c r="BC39" s="16">
        <v>44099</v>
      </c>
      <c r="BD39">
        <v>9806</v>
      </c>
      <c r="BE39">
        <v>127</v>
      </c>
      <c r="BF39" s="16">
        <v>44100</v>
      </c>
      <c r="BG39">
        <v>9877</v>
      </c>
      <c r="BH39">
        <v>73</v>
      </c>
      <c r="BI39" s="16">
        <v>44101</v>
      </c>
      <c r="BJ39">
        <v>9950</v>
      </c>
      <c r="BK39">
        <v>71</v>
      </c>
      <c r="BL39" s="16">
        <v>44102</v>
      </c>
      <c r="BM39">
        <v>10072</v>
      </c>
      <c r="BN39">
        <v>122</v>
      </c>
      <c r="BO39" s="16">
        <v>44103</v>
      </c>
      <c r="BP39">
        <v>10205</v>
      </c>
      <c r="BQ39">
        <v>133</v>
      </c>
      <c r="BR39" s="16">
        <v>44104</v>
      </c>
      <c r="BS39">
        <v>10371</v>
      </c>
      <c r="BT39">
        <v>165</v>
      </c>
      <c r="BU39" s="16">
        <v>44106</v>
      </c>
      <c r="BV39">
        <v>10747</v>
      </c>
      <c r="BW39">
        <v>188</v>
      </c>
      <c r="BX39" s="16">
        <v>44107</v>
      </c>
      <c r="BY39">
        <v>10918</v>
      </c>
      <c r="BZ39">
        <v>170</v>
      </c>
      <c r="CA39" s="16">
        <v>44108</v>
      </c>
      <c r="CB39">
        <v>11065</v>
      </c>
      <c r="CC39">
        <v>147</v>
      </c>
      <c r="CD39" s="16">
        <v>44109</v>
      </c>
      <c r="CE39">
        <v>11362</v>
      </c>
      <c r="CF39">
        <v>290</v>
      </c>
      <c r="CG39" s="16">
        <v>44110</v>
      </c>
      <c r="CH39">
        <v>11664</v>
      </c>
      <c r="CI39">
        <v>301</v>
      </c>
      <c r="CJ39" s="16">
        <v>44111</v>
      </c>
      <c r="CK39">
        <v>11970</v>
      </c>
      <c r="CL39">
        <v>306</v>
      </c>
      <c r="CM39" s="16">
        <v>44112</v>
      </c>
      <c r="CN39">
        <v>12230</v>
      </c>
      <c r="CO39">
        <v>260</v>
      </c>
      <c r="CP39" s="16">
        <v>44113</v>
      </c>
      <c r="CQ39">
        <v>12456</v>
      </c>
      <c r="CR39">
        <v>226</v>
      </c>
      <c r="CS39" s="16">
        <v>44114</v>
      </c>
      <c r="CT39">
        <v>12567</v>
      </c>
      <c r="CU39">
        <v>109</v>
      </c>
      <c r="CV39" s="16">
        <v>44115</v>
      </c>
      <c r="CW39">
        <v>12698</v>
      </c>
      <c r="CX39">
        <v>130</v>
      </c>
      <c r="CY39" s="16">
        <v>44117</v>
      </c>
      <c r="CZ39">
        <v>13147</v>
      </c>
      <c r="DA39">
        <v>197</v>
      </c>
      <c r="DB39" s="16">
        <v>44118</v>
      </c>
      <c r="DC39">
        <v>13347</v>
      </c>
      <c r="DD39">
        <v>200</v>
      </c>
      <c r="DE39" s="16">
        <v>44119</v>
      </c>
      <c r="DF39">
        <v>13538</v>
      </c>
      <c r="DG39">
        <v>191</v>
      </c>
      <c r="DH39" s="16">
        <v>44120</v>
      </c>
      <c r="DI39">
        <v>13732</v>
      </c>
      <c r="DJ39">
        <v>193</v>
      </c>
      <c r="DK39" s="16">
        <v>44121</v>
      </c>
      <c r="DL39">
        <v>13834</v>
      </c>
      <c r="DM39">
        <v>100</v>
      </c>
      <c r="DN39" s="16">
        <v>44122</v>
      </c>
      <c r="DO39">
        <v>13962</v>
      </c>
      <c r="DP39">
        <v>128</v>
      </c>
      <c r="DQ39" s="16">
        <v>44123</v>
      </c>
      <c r="DR39">
        <v>14207</v>
      </c>
      <c r="DS39">
        <v>244</v>
      </c>
      <c r="DT39" s="16">
        <v>44124</v>
      </c>
      <c r="DU39">
        <v>14370</v>
      </c>
      <c r="DV39">
        <v>163</v>
      </c>
      <c r="DW39" s="16">
        <v>44125</v>
      </c>
      <c r="DX39">
        <v>14560</v>
      </c>
      <c r="DY39">
        <v>190</v>
      </c>
      <c r="DZ39" s="16">
        <v>44126</v>
      </c>
      <c r="EA39">
        <v>14778</v>
      </c>
      <c r="EB39">
        <v>218</v>
      </c>
      <c r="EC39" s="16">
        <v>44127</v>
      </c>
      <c r="ED39">
        <v>14962</v>
      </c>
      <c r="EE39">
        <v>192</v>
      </c>
      <c r="EF39" s="16">
        <v>44128</v>
      </c>
      <c r="EG39">
        <v>15070</v>
      </c>
      <c r="EH39">
        <v>108</v>
      </c>
      <c r="EI39" s="16">
        <v>44129</v>
      </c>
      <c r="EJ39">
        <v>15193</v>
      </c>
      <c r="EK39">
        <v>123</v>
      </c>
      <c r="EL39" s="16">
        <v>44130</v>
      </c>
      <c r="EM39">
        <v>15449</v>
      </c>
      <c r="EN39">
        <v>256</v>
      </c>
      <c r="EO39" s="16">
        <v>44131</v>
      </c>
      <c r="EP39">
        <v>15679</v>
      </c>
      <c r="EQ39">
        <v>230</v>
      </c>
      <c r="ER39" s="16">
        <v>44132</v>
      </c>
      <c r="ES39">
        <v>15920</v>
      </c>
      <c r="ET39">
        <v>240</v>
      </c>
      <c r="EU39" s="16"/>
      <c r="EX39" s="16"/>
      <c r="FA39" s="16"/>
      <c r="FD39" s="16"/>
      <c r="FG39" s="16"/>
      <c r="FJ39" s="16"/>
      <c r="FM39" s="16"/>
      <c r="FP39" s="16"/>
      <c r="FS39" s="16"/>
      <c r="FV39" s="16"/>
      <c r="FY39" s="16"/>
      <c r="GB39" s="16"/>
      <c r="GE39" s="16"/>
      <c r="GH39" s="16"/>
      <c r="GK39" s="16"/>
      <c r="GN39" s="16"/>
      <c r="GQ39" s="16"/>
      <c r="GT39" s="16"/>
      <c r="GW39" s="16"/>
      <c r="GZ39" s="16"/>
      <c r="HC39" s="16"/>
      <c r="HF39" s="16"/>
      <c r="HI39" s="16"/>
      <c r="HL39" s="16"/>
      <c r="HO39" s="16"/>
      <c r="HR39" s="16"/>
      <c r="HU39" s="16"/>
      <c r="HX39" s="16"/>
      <c r="IA39" s="16"/>
      <c r="ID39" s="16"/>
      <c r="IG39" s="16"/>
      <c r="IJ39" s="16"/>
      <c r="IM39" s="16"/>
    </row>
    <row r="40" spans="1:247">
      <c r="A40" t="str">
        <f t="shared" ca="1" si="1"/>
        <v>29.10</v>
      </c>
      <c r="B40" s="4">
        <f t="shared" ca="1" si="2"/>
        <v>44133</v>
      </c>
      <c r="C40" s="11">
        <f t="shared" ca="1" si="0"/>
        <v>16157</v>
      </c>
      <c r="D40">
        <f t="shared" ref="D40" ca="1" si="8">C40-C39</f>
        <v>237</v>
      </c>
      <c r="E40" s="11">
        <f t="shared" ca="1" si="4"/>
        <v>0</v>
      </c>
      <c r="F40" s="11">
        <f t="shared" ca="1" si="6"/>
        <v>237</v>
      </c>
      <c r="K40" s="10"/>
      <c r="M40" s="16">
        <v>44133</v>
      </c>
      <c r="N40">
        <v>16157</v>
      </c>
      <c r="O40">
        <v>237</v>
      </c>
      <c r="P40" s="16">
        <v>44133</v>
      </c>
      <c r="Q40">
        <v>16157</v>
      </c>
      <c r="R40">
        <v>237</v>
      </c>
      <c r="S40" s="16">
        <v>44088</v>
      </c>
      <c r="T40">
        <v>8834</v>
      </c>
      <c r="U40">
        <v>59</v>
      </c>
      <c r="V40" s="16">
        <v>44089</v>
      </c>
      <c r="W40">
        <v>8888</v>
      </c>
      <c r="X40">
        <v>53</v>
      </c>
      <c r="Y40" s="16">
        <v>44090</v>
      </c>
      <c r="Z40">
        <v>8946</v>
      </c>
      <c r="AA40">
        <v>57</v>
      </c>
      <c r="AB40" s="16">
        <v>44091</v>
      </c>
      <c r="AC40">
        <v>9030</v>
      </c>
      <c r="AD40">
        <v>85</v>
      </c>
      <c r="AE40" s="16">
        <v>44092</v>
      </c>
      <c r="AF40">
        <v>9106</v>
      </c>
      <c r="AG40">
        <v>76</v>
      </c>
      <c r="AH40" s="16">
        <v>44093</v>
      </c>
      <c r="AI40">
        <v>9168</v>
      </c>
      <c r="AJ40">
        <v>61</v>
      </c>
      <c r="AK40" s="16">
        <v>44094</v>
      </c>
      <c r="AL40">
        <v>9240</v>
      </c>
      <c r="AM40">
        <v>73</v>
      </c>
      <c r="AN40" s="16">
        <v>44095</v>
      </c>
      <c r="AO40">
        <v>9359</v>
      </c>
      <c r="AP40">
        <v>119</v>
      </c>
      <c r="AQ40" s="16">
        <v>44096</v>
      </c>
      <c r="AR40">
        <v>9464</v>
      </c>
      <c r="AS40">
        <v>105</v>
      </c>
      <c r="AT40" s="16">
        <v>44097</v>
      </c>
      <c r="AU40">
        <v>9582</v>
      </c>
      <c r="AV40">
        <v>118</v>
      </c>
      <c r="AW40" s="16">
        <v>44098</v>
      </c>
      <c r="AX40">
        <v>9679</v>
      </c>
      <c r="AY40">
        <v>97</v>
      </c>
      <c r="AZ40" s="16">
        <v>44099</v>
      </c>
      <c r="BA40">
        <v>9806</v>
      </c>
      <c r="BB40">
        <v>127</v>
      </c>
      <c r="BC40" s="16">
        <v>44100</v>
      </c>
      <c r="BD40">
        <v>9879</v>
      </c>
      <c r="BE40">
        <v>73</v>
      </c>
      <c r="BF40" s="16">
        <v>44101</v>
      </c>
      <c r="BG40">
        <v>9948</v>
      </c>
      <c r="BH40">
        <v>71</v>
      </c>
      <c r="BI40" s="16">
        <v>44102</v>
      </c>
      <c r="BJ40">
        <v>10072</v>
      </c>
      <c r="BK40">
        <v>122</v>
      </c>
      <c r="BL40" s="16">
        <v>44103</v>
      </c>
      <c r="BM40">
        <v>10205</v>
      </c>
      <c r="BN40">
        <v>133</v>
      </c>
      <c r="BO40" s="16">
        <v>44104</v>
      </c>
      <c r="BP40">
        <v>10370</v>
      </c>
      <c r="BQ40">
        <v>165</v>
      </c>
      <c r="BR40" s="16">
        <v>44105</v>
      </c>
      <c r="BS40">
        <v>10559</v>
      </c>
      <c r="BT40">
        <v>188</v>
      </c>
      <c r="BU40" s="16">
        <v>44107</v>
      </c>
      <c r="BV40">
        <v>10916</v>
      </c>
      <c r="BW40">
        <v>169</v>
      </c>
      <c r="BX40" s="16">
        <v>44108</v>
      </c>
      <c r="BY40">
        <v>11065</v>
      </c>
      <c r="BZ40">
        <v>147</v>
      </c>
      <c r="CA40" s="16">
        <v>44109</v>
      </c>
      <c r="CB40">
        <v>11355</v>
      </c>
      <c r="CC40">
        <v>290</v>
      </c>
      <c r="CD40" s="16">
        <v>44110</v>
      </c>
      <c r="CE40">
        <v>11663</v>
      </c>
      <c r="CF40">
        <v>301</v>
      </c>
      <c r="CG40" s="16">
        <v>44111</v>
      </c>
      <c r="CH40">
        <v>11970</v>
      </c>
      <c r="CI40">
        <v>306</v>
      </c>
      <c r="CJ40" s="16">
        <v>44112</v>
      </c>
      <c r="CK40">
        <v>12230</v>
      </c>
      <c r="CL40">
        <v>260</v>
      </c>
      <c r="CM40" s="16">
        <v>44113</v>
      </c>
      <c r="CN40">
        <v>12456</v>
      </c>
      <c r="CO40">
        <v>226</v>
      </c>
      <c r="CP40" s="16">
        <v>44114</v>
      </c>
      <c r="CQ40">
        <v>12565</v>
      </c>
      <c r="CR40">
        <v>109</v>
      </c>
      <c r="CS40" s="16">
        <v>44115</v>
      </c>
      <c r="CT40">
        <v>12697</v>
      </c>
      <c r="CU40">
        <v>130</v>
      </c>
      <c r="CV40" s="16">
        <v>44116</v>
      </c>
      <c r="CW40">
        <v>12952</v>
      </c>
      <c r="CX40">
        <v>254</v>
      </c>
      <c r="CY40" s="16">
        <v>44118</v>
      </c>
      <c r="CZ40">
        <v>13347</v>
      </c>
      <c r="DA40">
        <v>200</v>
      </c>
      <c r="DB40" s="16">
        <v>44119</v>
      </c>
      <c r="DC40">
        <v>13538</v>
      </c>
      <c r="DD40">
        <v>191</v>
      </c>
      <c r="DE40" s="16">
        <v>44120</v>
      </c>
      <c r="DF40">
        <v>13731</v>
      </c>
      <c r="DG40">
        <v>193</v>
      </c>
      <c r="DH40" s="16">
        <v>44121</v>
      </c>
      <c r="DI40">
        <v>13832</v>
      </c>
      <c r="DJ40">
        <v>100</v>
      </c>
      <c r="DK40" s="16">
        <v>44122</v>
      </c>
      <c r="DL40">
        <v>13963</v>
      </c>
      <c r="DM40">
        <v>129</v>
      </c>
      <c r="DN40" s="16">
        <v>44123</v>
      </c>
      <c r="DO40">
        <v>14206</v>
      </c>
      <c r="DP40">
        <v>244</v>
      </c>
      <c r="DQ40" s="16">
        <v>44124</v>
      </c>
      <c r="DR40">
        <v>14370</v>
      </c>
      <c r="DS40">
        <v>163</v>
      </c>
      <c r="DT40" s="16">
        <v>44125</v>
      </c>
      <c r="DU40">
        <v>14560</v>
      </c>
      <c r="DV40">
        <v>190</v>
      </c>
      <c r="DW40" s="16">
        <v>44126</v>
      </c>
      <c r="DX40">
        <v>14778</v>
      </c>
      <c r="DY40">
        <v>218</v>
      </c>
      <c r="DZ40" s="16">
        <v>44127</v>
      </c>
      <c r="EA40">
        <v>14970</v>
      </c>
      <c r="EB40">
        <v>192</v>
      </c>
      <c r="EC40" s="16">
        <v>44128</v>
      </c>
      <c r="ED40">
        <v>15070</v>
      </c>
      <c r="EE40">
        <v>108</v>
      </c>
      <c r="EF40" s="16">
        <v>44129</v>
      </c>
      <c r="EG40">
        <v>15193</v>
      </c>
      <c r="EH40">
        <v>123</v>
      </c>
      <c r="EI40" s="16">
        <v>44130</v>
      </c>
      <c r="EJ40">
        <v>15449</v>
      </c>
      <c r="EK40">
        <v>256</v>
      </c>
      <c r="EL40" s="16">
        <v>44131</v>
      </c>
      <c r="EM40">
        <v>15679</v>
      </c>
      <c r="EN40">
        <v>230</v>
      </c>
      <c r="EO40" s="16">
        <v>44132</v>
      </c>
      <c r="EP40">
        <v>15919</v>
      </c>
      <c r="EQ40">
        <v>240</v>
      </c>
      <c r="ER40" s="16">
        <v>44133</v>
      </c>
      <c r="ES40">
        <v>16157</v>
      </c>
      <c r="ET40">
        <v>237</v>
      </c>
      <c r="EU40" s="16"/>
      <c r="EX40" s="16"/>
      <c r="FA40" s="16"/>
      <c r="FD40" s="16"/>
      <c r="FG40" s="16"/>
      <c r="FJ40" s="16"/>
      <c r="FM40" s="16"/>
      <c r="FP40" s="16"/>
      <c r="FS40" s="16"/>
      <c r="FV40" s="16"/>
      <c r="FY40" s="16"/>
      <c r="GB40" s="16"/>
      <c r="GE40" s="16"/>
      <c r="GH40" s="16"/>
      <c r="GK40" s="16"/>
      <c r="GN40" s="16"/>
      <c r="GQ40" s="16"/>
      <c r="GT40" s="16"/>
      <c r="GW40" s="16"/>
      <c r="GZ40" s="16"/>
      <c r="HC40" s="16"/>
      <c r="HF40" s="16"/>
      <c r="HI40" s="16"/>
      <c r="HL40" s="16"/>
      <c r="HO40" s="16"/>
      <c r="HR40" s="16"/>
      <c r="HU40" s="16"/>
      <c r="HX40" s="16"/>
      <c r="IA40" s="16"/>
      <c r="ID40" s="16"/>
      <c r="IG40" s="16"/>
      <c r="IJ40" s="16"/>
      <c r="IM40" s="16"/>
    </row>
    <row r="41" spans="1:247">
      <c r="A41" t="str">
        <f t="shared" ca="1" si="1"/>
        <v>30.10</v>
      </c>
      <c r="B41" s="4">
        <f t="shared" ca="1" si="2"/>
        <v>44134</v>
      </c>
      <c r="C41" s="11">
        <f t="shared" ca="1" si="0"/>
        <v>16376</v>
      </c>
      <c r="D41">
        <f t="shared" ref="D41" ca="1" si="9">C41-C40</f>
        <v>219</v>
      </c>
      <c r="E41" s="11">
        <f t="shared" ca="1" si="4"/>
        <v>0</v>
      </c>
      <c r="F41" s="11">
        <f t="shared" ca="1" si="6"/>
        <v>219</v>
      </c>
      <c r="J41" s="10">
        <f ca="1">SUM(D41:D47)</f>
        <v>1443</v>
      </c>
      <c r="K41" s="3"/>
      <c r="M41" s="16">
        <v>44134</v>
      </c>
      <c r="N41">
        <v>16376</v>
      </c>
      <c r="O41">
        <v>219</v>
      </c>
      <c r="P41" s="16">
        <v>44134</v>
      </c>
      <c r="Q41">
        <v>16376</v>
      </c>
      <c r="R41">
        <v>219</v>
      </c>
      <c r="S41" s="16">
        <v>44089</v>
      </c>
      <c r="T41">
        <v>8887</v>
      </c>
      <c r="U41">
        <v>53</v>
      </c>
      <c r="V41" s="16">
        <v>44090</v>
      </c>
      <c r="W41">
        <v>8945</v>
      </c>
      <c r="X41">
        <v>57</v>
      </c>
      <c r="Y41" s="16">
        <v>44091</v>
      </c>
      <c r="Z41">
        <v>9031</v>
      </c>
      <c r="AA41">
        <v>85</v>
      </c>
      <c r="AB41" s="16">
        <v>44092</v>
      </c>
      <c r="AC41">
        <v>9106</v>
      </c>
      <c r="AD41">
        <v>76</v>
      </c>
      <c r="AE41" s="16">
        <v>44093</v>
      </c>
      <c r="AF41">
        <v>9167</v>
      </c>
      <c r="AG41">
        <v>61</v>
      </c>
      <c r="AH41" s="16">
        <v>44094</v>
      </c>
      <c r="AI41">
        <v>9241</v>
      </c>
      <c r="AJ41">
        <v>73</v>
      </c>
      <c r="AK41" s="16">
        <v>44095</v>
      </c>
      <c r="AL41">
        <v>9359</v>
      </c>
      <c r="AM41">
        <v>119</v>
      </c>
      <c r="AN41" s="16">
        <v>44096</v>
      </c>
      <c r="AO41">
        <v>9464</v>
      </c>
      <c r="AP41">
        <v>105</v>
      </c>
      <c r="AQ41" s="16">
        <v>44097</v>
      </c>
      <c r="AR41">
        <v>9582</v>
      </c>
      <c r="AS41">
        <v>118</v>
      </c>
      <c r="AT41" s="16">
        <v>44098</v>
      </c>
      <c r="AU41">
        <v>9679</v>
      </c>
      <c r="AV41">
        <v>97</v>
      </c>
      <c r="AW41" s="16">
        <v>44099</v>
      </c>
      <c r="AX41">
        <v>9806</v>
      </c>
      <c r="AY41">
        <v>127</v>
      </c>
      <c r="AZ41" s="16">
        <v>44100</v>
      </c>
      <c r="BA41">
        <v>9879</v>
      </c>
      <c r="BB41">
        <v>73</v>
      </c>
      <c r="BC41" s="16">
        <v>44101</v>
      </c>
      <c r="BD41">
        <v>9950</v>
      </c>
      <c r="BE41">
        <v>71</v>
      </c>
      <c r="BF41" s="16">
        <v>44102</v>
      </c>
      <c r="BG41">
        <v>10070</v>
      </c>
      <c r="BH41">
        <v>122</v>
      </c>
      <c r="BI41" s="16">
        <v>44103</v>
      </c>
      <c r="BJ41">
        <v>10205</v>
      </c>
      <c r="BK41">
        <v>133</v>
      </c>
      <c r="BL41" s="16">
        <v>44104</v>
      </c>
      <c r="BM41">
        <v>10371</v>
      </c>
      <c r="BN41">
        <v>166</v>
      </c>
      <c r="BO41" s="16">
        <v>44105</v>
      </c>
      <c r="BP41">
        <v>10558</v>
      </c>
      <c r="BQ41">
        <v>188</v>
      </c>
      <c r="BR41" s="16">
        <v>44106</v>
      </c>
      <c r="BS41">
        <v>10747</v>
      </c>
      <c r="BT41">
        <v>188</v>
      </c>
      <c r="BU41" s="16">
        <v>44108</v>
      </c>
      <c r="BV41">
        <v>11063</v>
      </c>
      <c r="BW41">
        <v>147</v>
      </c>
      <c r="BX41" s="16">
        <v>44109</v>
      </c>
      <c r="BY41">
        <v>11354</v>
      </c>
      <c r="BZ41">
        <v>289</v>
      </c>
      <c r="CA41" s="16">
        <v>44110</v>
      </c>
      <c r="CB41">
        <v>11656</v>
      </c>
      <c r="CC41">
        <v>301</v>
      </c>
      <c r="CD41" s="16">
        <v>44111</v>
      </c>
      <c r="CE41">
        <v>11969</v>
      </c>
      <c r="CF41">
        <v>306</v>
      </c>
      <c r="CG41" s="16">
        <v>44112</v>
      </c>
      <c r="CH41">
        <v>12230</v>
      </c>
      <c r="CI41">
        <v>260</v>
      </c>
      <c r="CJ41" s="16">
        <v>44113</v>
      </c>
      <c r="CK41">
        <v>12456</v>
      </c>
      <c r="CL41">
        <v>226</v>
      </c>
      <c r="CM41" s="16">
        <v>44114</v>
      </c>
      <c r="CN41">
        <v>12565</v>
      </c>
      <c r="CO41">
        <v>109</v>
      </c>
      <c r="CP41" s="16">
        <v>44115</v>
      </c>
      <c r="CQ41">
        <v>12695</v>
      </c>
      <c r="CR41">
        <v>130</v>
      </c>
      <c r="CS41" s="16">
        <v>44116</v>
      </c>
      <c r="CT41">
        <v>12951</v>
      </c>
      <c r="CU41">
        <v>254</v>
      </c>
      <c r="CV41" s="16">
        <v>44117</v>
      </c>
      <c r="CW41">
        <v>13149</v>
      </c>
      <c r="CX41">
        <v>197</v>
      </c>
      <c r="CY41" s="16">
        <v>44119</v>
      </c>
      <c r="CZ41">
        <v>13538</v>
      </c>
      <c r="DA41">
        <v>191</v>
      </c>
      <c r="DB41" s="16">
        <v>44120</v>
      </c>
      <c r="DC41">
        <v>13731</v>
      </c>
      <c r="DD41">
        <v>193</v>
      </c>
      <c r="DE41" s="16">
        <v>44121</v>
      </c>
      <c r="DF41">
        <v>13831</v>
      </c>
      <c r="DG41">
        <v>100</v>
      </c>
      <c r="DH41" s="16">
        <v>44122</v>
      </c>
      <c r="DI41">
        <v>13960</v>
      </c>
      <c r="DJ41">
        <v>128</v>
      </c>
      <c r="DK41" s="16">
        <v>44123</v>
      </c>
      <c r="DL41">
        <v>14207</v>
      </c>
      <c r="DM41">
        <v>244</v>
      </c>
      <c r="DN41" s="16">
        <v>44124</v>
      </c>
      <c r="DO41">
        <v>14369</v>
      </c>
      <c r="DP41">
        <v>163</v>
      </c>
      <c r="DQ41" s="16">
        <v>44125</v>
      </c>
      <c r="DR41">
        <v>14560</v>
      </c>
      <c r="DS41">
        <v>190</v>
      </c>
      <c r="DT41" s="16">
        <v>44126</v>
      </c>
      <c r="DU41">
        <v>14778</v>
      </c>
      <c r="DV41">
        <v>218</v>
      </c>
      <c r="DW41" s="16">
        <v>44127</v>
      </c>
      <c r="DX41">
        <v>14970</v>
      </c>
      <c r="DY41">
        <v>192</v>
      </c>
      <c r="DZ41" s="16">
        <v>44128</v>
      </c>
      <c r="EA41">
        <v>15078</v>
      </c>
      <c r="EB41">
        <v>108</v>
      </c>
      <c r="EC41" s="16">
        <v>44129</v>
      </c>
      <c r="ED41">
        <v>15193</v>
      </c>
      <c r="EE41">
        <v>123</v>
      </c>
      <c r="EF41" s="16">
        <v>44130</v>
      </c>
      <c r="EG41">
        <v>15449</v>
      </c>
      <c r="EH41">
        <v>256</v>
      </c>
      <c r="EI41" s="16">
        <v>44131</v>
      </c>
      <c r="EJ41">
        <v>15679</v>
      </c>
      <c r="EK41">
        <v>230</v>
      </c>
      <c r="EL41" s="16">
        <v>44132</v>
      </c>
      <c r="EM41">
        <v>15919</v>
      </c>
      <c r="EN41">
        <v>240</v>
      </c>
      <c r="EO41" s="16">
        <v>44133</v>
      </c>
      <c r="EP41">
        <v>16156</v>
      </c>
      <c r="EQ41">
        <v>237</v>
      </c>
      <c r="ER41" s="16">
        <v>44134</v>
      </c>
      <c r="ES41">
        <v>16376</v>
      </c>
      <c r="ET41">
        <v>219</v>
      </c>
      <c r="EU41" s="16"/>
      <c r="EX41" s="16"/>
      <c r="FA41" s="16"/>
      <c r="FD41" s="16"/>
      <c r="FG41" s="16"/>
      <c r="FJ41" s="16"/>
      <c r="FM41" s="16"/>
      <c r="FP41" s="16"/>
      <c r="FS41" s="16"/>
      <c r="FV41" s="16"/>
      <c r="FY41" s="16"/>
      <c r="GB41" s="16"/>
      <c r="GE41" s="16"/>
      <c r="GH41" s="16"/>
      <c r="GK41" s="16"/>
      <c r="GN41" s="16"/>
      <c r="GQ41" s="16"/>
      <c r="GT41" s="16"/>
      <c r="GW41" s="16"/>
      <c r="GZ41" s="16"/>
      <c r="HC41" s="16"/>
      <c r="HF41" s="16"/>
      <c r="HI41" s="16"/>
      <c r="HL41" s="16"/>
      <c r="HO41" s="16"/>
      <c r="HR41" s="16"/>
      <c r="HU41" s="16"/>
      <c r="HX41" s="16"/>
      <c r="IA41" s="16"/>
      <c r="ID41" s="16"/>
      <c r="IG41" s="16"/>
      <c r="IJ41" s="16"/>
      <c r="IM41" s="16"/>
    </row>
    <row r="42" spans="1:247">
      <c r="A42" t="str">
        <f t="shared" ca="1" si="1"/>
        <v>31.10</v>
      </c>
      <c r="B42" s="4">
        <f t="shared" ca="1" si="2"/>
        <v>44135</v>
      </c>
      <c r="C42" s="11">
        <f t="shared" ca="1" si="0"/>
        <v>16497</v>
      </c>
      <c r="D42">
        <f t="shared" ref="D42" ca="1" si="10">C42-C41</f>
        <v>121</v>
      </c>
      <c r="E42" s="11">
        <f t="shared" ca="1" si="4"/>
        <v>0</v>
      </c>
      <c r="F42" s="11">
        <f t="shared" ca="1" si="6"/>
        <v>121</v>
      </c>
      <c r="K42" s="3"/>
      <c r="M42" s="16">
        <v>44135</v>
      </c>
      <c r="N42">
        <v>16497</v>
      </c>
      <c r="O42">
        <v>121</v>
      </c>
      <c r="P42" s="16">
        <v>44135</v>
      </c>
      <c r="Q42">
        <v>16497</v>
      </c>
      <c r="R42">
        <v>121</v>
      </c>
      <c r="S42" s="16">
        <v>44090</v>
      </c>
      <c r="T42">
        <v>8944</v>
      </c>
      <c r="U42">
        <v>57</v>
      </c>
      <c r="V42" s="16">
        <v>44091</v>
      </c>
      <c r="W42">
        <v>9030</v>
      </c>
      <c r="X42">
        <v>85</v>
      </c>
      <c r="Y42" s="16">
        <v>44092</v>
      </c>
      <c r="Z42">
        <v>9107</v>
      </c>
      <c r="AA42">
        <v>76</v>
      </c>
      <c r="AB42" s="16">
        <v>44093</v>
      </c>
      <c r="AC42">
        <v>9167</v>
      </c>
      <c r="AD42">
        <v>61</v>
      </c>
      <c r="AE42" s="16">
        <v>44094</v>
      </c>
      <c r="AF42">
        <v>9240</v>
      </c>
      <c r="AG42">
        <v>73</v>
      </c>
      <c r="AH42" s="16">
        <v>44095</v>
      </c>
      <c r="AI42">
        <v>9360</v>
      </c>
      <c r="AJ42">
        <v>119</v>
      </c>
      <c r="AK42" s="16">
        <v>44096</v>
      </c>
      <c r="AL42">
        <v>9464</v>
      </c>
      <c r="AM42">
        <v>105</v>
      </c>
      <c r="AN42" s="16">
        <v>44097</v>
      </c>
      <c r="AO42">
        <v>9582</v>
      </c>
      <c r="AP42">
        <v>118</v>
      </c>
      <c r="AQ42" s="16">
        <v>44098</v>
      </c>
      <c r="AR42">
        <v>9679</v>
      </c>
      <c r="AS42">
        <v>97</v>
      </c>
      <c r="AT42" s="16">
        <v>44099</v>
      </c>
      <c r="AU42">
        <v>9806</v>
      </c>
      <c r="AV42">
        <v>127</v>
      </c>
      <c r="AW42" s="16">
        <v>44100</v>
      </c>
      <c r="AX42">
        <v>9879</v>
      </c>
      <c r="AY42">
        <v>73</v>
      </c>
      <c r="AZ42" s="16">
        <v>44101</v>
      </c>
      <c r="BA42">
        <v>9950</v>
      </c>
      <c r="BB42">
        <v>71</v>
      </c>
      <c r="BC42" s="16">
        <v>44102</v>
      </c>
      <c r="BD42">
        <v>10072</v>
      </c>
      <c r="BE42">
        <v>122</v>
      </c>
      <c r="BF42" s="16">
        <v>44103</v>
      </c>
      <c r="BG42">
        <v>10203</v>
      </c>
      <c r="BH42">
        <v>133</v>
      </c>
      <c r="BI42" s="16">
        <v>44104</v>
      </c>
      <c r="BJ42">
        <v>10370</v>
      </c>
      <c r="BK42">
        <v>165</v>
      </c>
      <c r="BL42" s="16">
        <v>44105</v>
      </c>
      <c r="BM42">
        <v>10559</v>
      </c>
      <c r="BN42">
        <v>188</v>
      </c>
      <c r="BO42" s="16">
        <v>44106</v>
      </c>
      <c r="BP42">
        <v>10746</v>
      </c>
      <c r="BQ42">
        <v>188</v>
      </c>
      <c r="BR42" s="16">
        <v>44107</v>
      </c>
      <c r="BS42">
        <v>10916</v>
      </c>
      <c r="BT42">
        <v>169</v>
      </c>
      <c r="BU42" s="16">
        <v>44109</v>
      </c>
      <c r="BV42">
        <v>11352</v>
      </c>
      <c r="BW42">
        <v>289</v>
      </c>
      <c r="BX42" s="16">
        <v>44110</v>
      </c>
      <c r="BY42">
        <v>11653</v>
      </c>
      <c r="BZ42">
        <v>299</v>
      </c>
      <c r="CA42" s="16">
        <v>44111</v>
      </c>
      <c r="CB42">
        <v>11962</v>
      </c>
      <c r="CC42">
        <v>306</v>
      </c>
      <c r="CD42" s="16">
        <v>44112</v>
      </c>
      <c r="CE42">
        <v>12229</v>
      </c>
      <c r="CF42">
        <v>260</v>
      </c>
      <c r="CG42" s="16">
        <v>44113</v>
      </c>
      <c r="CH42">
        <v>12456</v>
      </c>
      <c r="CI42">
        <v>226</v>
      </c>
      <c r="CJ42" s="16">
        <v>44114</v>
      </c>
      <c r="CK42">
        <v>12565</v>
      </c>
      <c r="CL42">
        <v>109</v>
      </c>
      <c r="CM42" s="16">
        <v>44115</v>
      </c>
      <c r="CN42">
        <v>12695</v>
      </c>
      <c r="CO42">
        <v>130</v>
      </c>
      <c r="CP42" s="16">
        <v>44116</v>
      </c>
      <c r="CQ42">
        <v>12949</v>
      </c>
      <c r="CR42">
        <v>254</v>
      </c>
      <c r="CS42" s="16">
        <v>44117</v>
      </c>
      <c r="CT42">
        <v>13148</v>
      </c>
      <c r="CU42">
        <v>197</v>
      </c>
      <c r="CV42" s="16">
        <v>44118</v>
      </c>
      <c r="CW42">
        <v>13349</v>
      </c>
      <c r="CX42">
        <v>200</v>
      </c>
      <c r="CY42" s="16">
        <v>44120</v>
      </c>
      <c r="CZ42">
        <v>13731</v>
      </c>
      <c r="DA42">
        <v>193</v>
      </c>
      <c r="DB42" s="16">
        <v>44121</v>
      </c>
      <c r="DC42">
        <v>13831</v>
      </c>
      <c r="DD42">
        <v>100</v>
      </c>
      <c r="DE42" s="16">
        <v>44122</v>
      </c>
      <c r="DF42">
        <v>13959</v>
      </c>
      <c r="DG42">
        <v>128</v>
      </c>
      <c r="DH42" s="16">
        <v>44123</v>
      </c>
      <c r="DI42">
        <v>14204</v>
      </c>
      <c r="DJ42">
        <v>244</v>
      </c>
      <c r="DK42" s="16">
        <v>44124</v>
      </c>
      <c r="DL42">
        <v>14370</v>
      </c>
      <c r="DM42">
        <v>163</v>
      </c>
      <c r="DN42" s="16">
        <v>44125</v>
      </c>
      <c r="DO42">
        <v>14559</v>
      </c>
      <c r="DP42">
        <v>190</v>
      </c>
      <c r="DQ42" s="16">
        <v>44126</v>
      </c>
      <c r="DR42">
        <v>14777</v>
      </c>
      <c r="DS42">
        <v>217</v>
      </c>
      <c r="DT42" s="16">
        <v>44127</v>
      </c>
      <c r="DU42">
        <v>14970</v>
      </c>
      <c r="DV42">
        <v>192</v>
      </c>
      <c r="DW42" s="16">
        <v>44128</v>
      </c>
      <c r="DX42">
        <v>15078</v>
      </c>
      <c r="DY42">
        <v>108</v>
      </c>
      <c r="DZ42" s="16">
        <v>44129</v>
      </c>
      <c r="EA42">
        <v>15201</v>
      </c>
      <c r="EB42">
        <v>123</v>
      </c>
      <c r="EC42" s="16">
        <v>44130</v>
      </c>
      <c r="ED42">
        <v>15449</v>
      </c>
      <c r="EE42">
        <v>256</v>
      </c>
      <c r="EF42" s="16">
        <v>44131</v>
      </c>
      <c r="EG42">
        <v>15679</v>
      </c>
      <c r="EH42">
        <v>230</v>
      </c>
      <c r="EI42" s="16">
        <v>44132</v>
      </c>
      <c r="EJ42">
        <v>15919</v>
      </c>
      <c r="EK42">
        <v>240</v>
      </c>
      <c r="EL42" s="16">
        <v>44133</v>
      </c>
      <c r="EM42">
        <v>16156</v>
      </c>
      <c r="EN42">
        <v>237</v>
      </c>
      <c r="EO42" s="16">
        <v>44134</v>
      </c>
      <c r="EP42">
        <v>16375</v>
      </c>
      <c r="EQ42">
        <v>219</v>
      </c>
      <c r="ER42" s="16">
        <v>44135</v>
      </c>
      <c r="ES42">
        <v>16497</v>
      </c>
      <c r="ET42">
        <v>121</v>
      </c>
      <c r="EU42" s="16"/>
      <c r="EX42" s="16"/>
      <c r="FA42" s="16"/>
      <c r="FD42" s="16"/>
      <c r="FG42" s="16"/>
      <c r="FJ42" s="16"/>
      <c r="FM42" s="16"/>
      <c r="FP42" s="16"/>
      <c r="FS42" s="16"/>
      <c r="FV42" s="16"/>
      <c r="FY42" s="16"/>
      <c r="GB42" s="16"/>
      <c r="GE42" s="16"/>
      <c r="GH42" s="16"/>
      <c r="GK42" s="16"/>
      <c r="GN42" s="16"/>
      <c r="GQ42" s="16"/>
      <c r="GT42" s="16"/>
      <c r="GW42" s="16"/>
      <c r="GZ42" s="16"/>
      <c r="HC42" s="16"/>
      <c r="HF42" s="16"/>
      <c r="HI42" s="16"/>
      <c r="HL42" s="16"/>
      <c r="HO42" s="16"/>
      <c r="HR42" s="16"/>
      <c r="HU42" s="16"/>
      <c r="HX42" s="16"/>
      <c r="IA42" s="16"/>
      <c r="ID42" s="16"/>
      <c r="IG42" s="16"/>
      <c r="IJ42" s="16"/>
      <c r="IM42" s="16"/>
    </row>
    <row r="43" spans="1:247">
      <c r="A43" t="str">
        <f t="shared" ca="1" si="1"/>
        <v>1.11</v>
      </c>
      <c r="B43" s="4">
        <f t="shared" ca="1" si="2"/>
        <v>44136</v>
      </c>
      <c r="C43" s="11">
        <f t="shared" ca="1" si="0"/>
        <v>16647</v>
      </c>
      <c r="D43">
        <f t="shared" ref="D43" ca="1" si="11">C43-C42</f>
        <v>150</v>
      </c>
      <c r="E43" s="11">
        <f t="shared" ca="1" si="4"/>
        <v>0</v>
      </c>
      <c r="F43" s="11">
        <f t="shared" ca="1" si="6"/>
        <v>150</v>
      </c>
      <c r="G43" s="10"/>
      <c r="K43" s="3"/>
      <c r="M43" s="16">
        <v>44136</v>
      </c>
      <c r="N43">
        <v>16647</v>
      </c>
      <c r="O43">
        <v>150</v>
      </c>
      <c r="P43" s="16">
        <v>44136</v>
      </c>
      <c r="Q43">
        <v>16647</v>
      </c>
      <c r="R43">
        <v>150</v>
      </c>
      <c r="S43" s="16">
        <v>44091</v>
      </c>
      <c r="T43">
        <v>9029</v>
      </c>
      <c r="U43">
        <v>85</v>
      </c>
      <c r="V43" s="16">
        <v>44092</v>
      </c>
      <c r="W43">
        <v>9106</v>
      </c>
      <c r="X43">
        <v>76</v>
      </c>
      <c r="Y43" s="16">
        <v>44093</v>
      </c>
      <c r="Z43">
        <v>9168</v>
      </c>
      <c r="AA43">
        <v>61</v>
      </c>
      <c r="AB43" s="16">
        <v>44094</v>
      </c>
      <c r="AC43">
        <v>9240</v>
      </c>
      <c r="AD43">
        <v>73</v>
      </c>
      <c r="AE43" s="16">
        <v>44095</v>
      </c>
      <c r="AF43">
        <v>9359</v>
      </c>
      <c r="AG43">
        <v>119</v>
      </c>
      <c r="AH43" s="16">
        <v>44096</v>
      </c>
      <c r="AI43">
        <v>9465</v>
      </c>
      <c r="AJ43">
        <v>105</v>
      </c>
      <c r="AK43" s="16">
        <v>44097</v>
      </c>
      <c r="AL43">
        <v>9582</v>
      </c>
      <c r="AM43">
        <v>118</v>
      </c>
      <c r="AN43" s="16">
        <v>44098</v>
      </c>
      <c r="AO43">
        <v>9679</v>
      </c>
      <c r="AP43">
        <v>97</v>
      </c>
      <c r="AQ43" s="16">
        <v>44099</v>
      </c>
      <c r="AR43">
        <v>9806</v>
      </c>
      <c r="AS43">
        <v>127</v>
      </c>
      <c r="AT43" s="16">
        <v>44100</v>
      </c>
      <c r="AU43">
        <v>9879</v>
      </c>
      <c r="AV43">
        <v>73</v>
      </c>
      <c r="AW43" s="16">
        <v>44101</v>
      </c>
      <c r="AX43">
        <v>9950</v>
      </c>
      <c r="AY43">
        <v>71</v>
      </c>
      <c r="AZ43" s="16">
        <v>44102</v>
      </c>
      <c r="BA43">
        <v>10072</v>
      </c>
      <c r="BB43">
        <v>122</v>
      </c>
      <c r="BC43" s="16">
        <v>44103</v>
      </c>
      <c r="BD43">
        <v>10205</v>
      </c>
      <c r="BE43">
        <v>133</v>
      </c>
      <c r="BF43" s="16">
        <v>44104</v>
      </c>
      <c r="BG43">
        <v>10368</v>
      </c>
      <c r="BH43">
        <v>165</v>
      </c>
      <c r="BI43" s="16">
        <v>44105</v>
      </c>
      <c r="BJ43">
        <v>10558</v>
      </c>
      <c r="BK43">
        <v>188</v>
      </c>
      <c r="BL43" s="16">
        <v>44106</v>
      </c>
      <c r="BM43">
        <v>10747</v>
      </c>
      <c r="BN43">
        <v>188</v>
      </c>
      <c r="BO43" s="16">
        <v>44107</v>
      </c>
      <c r="BP43">
        <v>10915</v>
      </c>
      <c r="BQ43">
        <v>169</v>
      </c>
      <c r="BR43" s="16">
        <v>44108</v>
      </c>
      <c r="BS43">
        <v>11063</v>
      </c>
      <c r="BT43">
        <v>147</v>
      </c>
      <c r="BU43" s="16">
        <v>44110</v>
      </c>
      <c r="BV43">
        <v>11651</v>
      </c>
      <c r="BW43">
        <v>299</v>
      </c>
      <c r="BX43" s="16">
        <v>44111</v>
      </c>
      <c r="BY43">
        <v>11959</v>
      </c>
      <c r="BZ43">
        <v>306</v>
      </c>
      <c r="CA43" s="16">
        <v>44112</v>
      </c>
      <c r="CB43">
        <v>12222</v>
      </c>
      <c r="CC43">
        <v>260</v>
      </c>
      <c r="CD43" s="16">
        <v>44113</v>
      </c>
      <c r="CE43">
        <v>12455</v>
      </c>
      <c r="CF43">
        <v>226</v>
      </c>
      <c r="CG43" s="16">
        <v>44114</v>
      </c>
      <c r="CH43">
        <v>12565</v>
      </c>
      <c r="CI43">
        <v>109</v>
      </c>
      <c r="CJ43" s="16">
        <v>44115</v>
      </c>
      <c r="CK43">
        <v>12695</v>
      </c>
      <c r="CL43">
        <v>130</v>
      </c>
      <c r="CM43" s="16">
        <v>44116</v>
      </c>
      <c r="CN43">
        <v>12949</v>
      </c>
      <c r="CO43">
        <v>254</v>
      </c>
      <c r="CP43" s="16">
        <v>44117</v>
      </c>
      <c r="CQ43">
        <v>13146</v>
      </c>
      <c r="CR43">
        <v>197</v>
      </c>
      <c r="CS43" s="16">
        <v>44118</v>
      </c>
      <c r="CT43">
        <v>13348</v>
      </c>
      <c r="CU43">
        <v>200</v>
      </c>
      <c r="CV43" s="16">
        <v>44119</v>
      </c>
      <c r="CW43">
        <v>13540</v>
      </c>
      <c r="CX43">
        <v>191</v>
      </c>
      <c r="CY43" s="16">
        <v>44121</v>
      </c>
      <c r="CZ43">
        <v>13831</v>
      </c>
      <c r="DA43">
        <v>100</v>
      </c>
      <c r="DB43" s="16">
        <v>44122</v>
      </c>
      <c r="DC43">
        <v>13959</v>
      </c>
      <c r="DD43">
        <v>128</v>
      </c>
      <c r="DE43" s="16">
        <v>44123</v>
      </c>
      <c r="DF43">
        <v>14203</v>
      </c>
      <c r="DG43">
        <v>244</v>
      </c>
      <c r="DH43" s="16">
        <v>44124</v>
      </c>
      <c r="DI43">
        <v>14366</v>
      </c>
      <c r="DJ43">
        <v>162</v>
      </c>
      <c r="DK43" s="16">
        <v>44125</v>
      </c>
      <c r="DL43">
        <v>14559</v>
      </c>
      <c r="DM43">
        <v>189</v>
      </c>
      <c r="DN43" s="16">
        <v>44126</v>
      </c>
      <c r="DO43">
        <v>14776</v>
      </c>
      <c r="DP43">
        <v>217</v>
      </c>
      <c r="DQ43" s="16">
        <v>44127</v>
      </c>
      <c r="DR43">
        <v>14969</v>
      </c>
      <c r="DS43">
        <v>192</v>
      </c>
      <c r="DT43" s="16">
        <v>44128</v>
      </c>
      <c r="DU43">
        <v>15078</v>
      </c>
      <c r="DV43">
        <v>108</v>
      </c>
      <c r="DW43" s="16">
        <v>44129</v>
      </c>
      <c r="DX43">
        <v>15201</v>
      </c>
      <c r="DY43">
        <v>123</v>
      </c>
      <c r="DZ43" s="16">
        <v>44130</v>
      </c>
      <c r="EA43">
        <v>15457</v>
      </c>
      <c r="EB43">
        <v>256</v>
      </c>
      <c r="EC43" s="16">
        <v>44131</v>
      </c>
      <c r="ED43">
        <v>15679</v>
      </c>
      <c r="EE43">
        <v>230</v>
      </c>
      <c r="EF43" s="16">
        <v>44132</v>
      </c>
      <c r="EG43">
        <v>15919</v>
      </c>
      <c r="EH43">
        <v>240</v>
      </c>
      <c r="EI43" s="16">
        <v>44133</v>
      </c>
      <c r="EJ43">
        <v>16156</v>
      </c>
      <c r="EK43">
        <v>237</v>
      </c>
      <c r="EL43" s="16">
        <v>44134</v>
      </c>
      <c r="EM43">
        <v>16375</v>
      </c>
      <c r="EN43">
        <v>219</v>
      </c>
      <c r="EO43" s="16">
        <v>44135</v>
      </c>
      <c r="EP43">
        <v>16496</v>
      </c>
      <c r="EQ43">
        <v>121</v>
      </c>
      <c r="ER43" s="16">
        <v>44136</v>
      </c>
      <c r="ES43">
        <v>16647</v>
      </c>
      <c r="ET43">
        <v>150</v>
      </c>
      <c r="EU43" s="16"/>
      <c r="EX43" s="16"/>
      <c r="FA43" s="16"/>
      <c r="FD43" s="16"/>
      <c r="FG43" s="16"/>
      <c r="FJ43" s="16"/>
      <c r="FM43" s="16"/>
      <c r="FP43" s="16"/>
      <c r="FS43" s="16"/>
      <c r="FV43" s="16"/>
      <c r="FY43" s="16"/>
      <c r="GB43" s="16"/>
      <c r="GE43" s="16"/>
      <c r="GH43" s="16"/>
      <c r="GK43" s="16"/>
      <c r="GN43" s="16"/>
      <c r="GQ43" s="16"/>
      <c r="GT43" s="16"/>
      <c r="GW43" s="16"/>
      <c r="GZ43" s="16"/>
      <c r="HC43" s="16"/>
      <c r="HF43" s="16"/>
      <c r="HI43" s="16"/>
      <c r="HL43" s="16"/>
      <c r="HO43" s="16"/>
      <c r="HR43" s="16"/>
      <c r="HU43" s="16"/>
      <c r="HX43" s="16"/>
      <c r="IA43" s="16"/>
      <c r="ID43" s="16"/>
      <c r="IG43" s="16"/>
      <c r="IJ43" s="16"/>
      <c r="IM43" s="16"/>
    </row>
    <row r="44" spans="1:247" s="10" customFormat="1">
      <c r="A44" t="str">
        <f t="shared" ca="1" si="1"/>
        <v>Ma 2</v>
      </c>
      <c r="B44" s="9">
        <f t="shared" ca="1" si="2"/>
        <v>44137</v>
      </c>
      <c r="C44" s="10">
        <f t="shared" ca="1" si="0"/>
        <v>16928</v>
      </c>
      <c r="D44" s="10">
        <f t="shared" ref="D44" ca="1" si="12">C44-C43</f>
        <v>281</v>
      </c>
      <c r="E44" s="10">
        <f t="shared" ca="1" si="4"/>
        <v>0</v>
      </c>
      <c r="F44" s="10">
        <f t="shared" ca="1" si="6"/>
        <v>281</v>
      </c>
      <c r="G44" s="10">
        <f ca="1">SUM(D44:D50)</f>
        <v>1408</v>
      </c>
      <c r="H44" s="10" t="str">
        <f ca="1">TEXT(G44/G37-1,"0 %")</f>
        <v>-3 %</v>
      </c>
      <c r="K44" s="14"/>
      <c r="L44"/>
      <c r="M44" s="17">
        <v>44137</v>
      </c>
      <c r="N44" s="10">
        <v>16928</v>
      </c>
      <c r="O44" s="10">
        <v>281</v>
      </c>
      <c r="P44" s="17">
        <v>44137</v>
      </c>
      <c r="Q44" s="10">
        <v>16928</v>
      </c>
      <c r="R44" s="10">
        <v>281</v>
      </c>
      <c r="S44" s="17">
        <v>44092</v>
      </c>
      <c r="T44" s="10">
        <v>9105</v>
      </c>
      <c r="U44" s="10">
        <v>76</v>
      </c>
      <c r="V44" s="17">
        <v>44093</v>
      </c>
      <c r="W44" s="10">
        <v>9167</v>
      </c>
      <c r="X44" s="10">
        <v>61</v>
      </c>
      <c r="Y44" s="17">
        <v>44094</v>
      </c>
      <c r="Z44" s="10">
        <v>9241</v>
      </c>
      <c r="AA44" s="10">
        <v>73</v>
      </c>
      <c r="AB44" s="17">
        <v>44095</v>
      </c>
      <c r="AC44" s="10">
        <v>9359</v>
      </c>
      <c r="AD44" s="10">
        <v>119</v>
      </c>
      <c r="AE44" s="17">
        <v>44096</v>
      </c>
      <c r="AF44" s="10">
        <v>9464</v>
      </c>
      <c r="AG44" s="10">
        <v>105</v>
      </c>
      <c r="AH44" s="17">
        <v>44097</v>
      </c>
      <c r="AI44" s="10">
        <v>9583</v>
      </c>
      <c r="AJ44" s="10">
        <v>118</v>
      </c>
      <c r="AK44" s="17">
        <v>44098</v>
      </c>
      <c r="AL44" s="10">
        <v>9679</v>
      </c>
      <c r="AM44" s="10">
        <v>97</v>
      </c>
      <c r="AN44" s="17">
        <v>44099</v>
      </c>
      <c r="AO44" s="10">
        <v>9806</v>
      </c>
      <c r="AP44" s="10">
        <v>127</v>
      </c>
      <c r="AQ44" s="17">
        <v>44100</v>
      </c>
      <c r="AR44" s="10">
        <v>9879</v>
      </c>
      <c r="AS44" s="10">
        <v>73</v>
      </c>
      <c r="AT44" s="17">
        <v>44101</v>
      </c>
      <c r="AU44" s="10">
        <v>9950</v>
      </c>
      <c r="AV44" s="10">
        <v>71</v>
      </c>
      <c r="AW44" s="17">
        <v>44102</v>
      </c>
      <c r="AX44" s="10">
        <v>10072</v>
      </c>
      <c r="AY44" s="10">
        <v>122</v>
      </c>
      <c r="AZ44" s="17">
        <v>44103</v>
      </c>
      <c r="BA44" s="10">
        <v>10205</v>
      </c>
      <c r="BB44" s="10">
        <v>133</v>
      </c>
      <c r="BC44" s="17">
        <v>44104</v>
      </c>
      <c r="BD44" s="10">
        <v>10370</v>
      </c>
      <c r="BE44" s="10">
        <v>165</v>
      </c>
      <c r="BF44" s="17">
        <v>44105</v>
      </c>
      <c r="BG44" s="10">
        <v>10556</v>
      </c>
      <c r="BH44" s="10">
        <v>188</v>
      </c>
      <c r="BI44" s="17">
        <v>44106</v>
      </c>
      <c r="BJ44" s="10">
        <v>10746</v>
      </c>
      <c r="BK44" s="10">
        <v>188</v>
      </c>
      <c r="BL44" s="17">
        <v>44107</v>
      </c>
      <c r="BM44" s="10">
        <v>10916</v>
      </c>
      <c r="BN44" s="10">
        <v>169</v>
      </c>
      <c r="BO44" s="17">
        <v>44108</v>
      </c>
      <c r="BP44" s="10">
        <v>11062</v>
      </c>
      <c r="BQ44" s="10">
        <v>147</v>
      </c>
      <c r="BR44" s="17">
        <v>44109</v>
      </c>
      <c r="BS44" s="10">
        <v>11352</v>
      </c>
      <c r="BT44" s="10">
        <v>289</v>
      </c>
      <c r="BU44" s="17">
        <v>44111</v>
      </c>
      <c r="BV44" s="10">
        <v>11957</v>
      </c>
      <c r="BW44" s="10">
        <v>306</v>
      </c>
      <c r="BX44" s="17">
        <v>44112</v>
      </c>
      <c r="BY44" s="10">
        <v>12219</v>
      </c>
      <c r="BZ44" s="10">
        <v>260</v>
      </c>
      <c r="CA44" s="17">
        <v>44113</v>
      </c>
      <c r="CB44" s="10">
        <v>12448</v>
      </c>
      <c r="CC44" s="10">
        <v>226</v>
      </c>
      <c r="CD44" s="17">
        <v>44114</v>
      </c>
      <c r="CE44" s="10">
        <v>12564</v>
      </c>
      <c r="CF44" s="10">
        <v>109</v>
      </c>
      <c r="CG44" s="17">
        <v>44115</v>
      </c>
      <c r="CH44" s="10">
        <v>12695</v>
      </c>
      <c r="CI44" s="10">
        <v>130</v>
      </c>
      <c r="CJ44" s="17">
        <v>44116</v>
      </c>
      <c r="CK44" s="10">
        <v>12949</v>
      </c>
      <c r="CL44" s="10">
        <v>254</v>
      </c>
      <c r="CM44" s="17">
        <v>44117</v>
      </c>
      <c r="CN44" s="10">
        <v>13146</v>
      </c>
      <c r="CO44" s="10">
        <v>197</v>
      </c>
      <c r="CP44" s="17">
        <v>44118</v>
      </c>
      <c r="CQ44" s="10">
        <v>13346</v>
      </c>
      <c r="CR44" s="10">
        <v>200</v>
      </c>
      <c r="CS44" s="17">
        <v>44119</v>
      </c>
      <c r="CT44" s="10">
        <v>13539</v>
      </c>
      <c r="CU44" s="10">
        <v>191</v>
      </c>
      <c r="CV44" s="17">
        <v>44120</v>
      </c>
      <c r="CW44" s="10">
        <v>13733</v>
      </c>
      <c r="CX44" s="10">
        <v>193</v>
      </c>
      <c r="CY44" s="17">
        <v>44122</v>
      </c>
      <c r="CZ44" s="10">
        <v>13959</v>
      </c>
      <c r="DA44" s="10">
        <v>128</v>
      </c>
      <c r="DB44" s="17">
        <v>44123</v>
      </c>
      <c r="DC44" s="10">
        <v>14203</v>
      </c>
      <c r="DD44" s="10">
        <v>244</v>
      </c>
      <c r="DE44" s="17">
        <v>44124</v>
      </c>
      <c r="DF44" s="10">
        <v>14365</v>
      </c>
      <c r="DG44" s="10">
        <v>162</v>
      </c>
      <c r="DH44" s="17">
        <v>44125</v>
      </c>
      <c r="DI44" s="10">
        <v>14555</v>
      </c>
      <c r="DJ44" s="10">
        <v>189</v>
      </c>
      <c r="DK44" s="17">
        <v>44126</v>
      </c>
      <c r="DL44" s="10">
        <v>14775</v>
      </c>
      <c r="DM44" s="10">
        <v>216</v>
      </c>
      <c r="DN44" s="17">
        <v>44127</v>
      </c>
      <c r="DO44" s="10">
        <v>14968</v>
      </c>
      <c r="DP44" s="10">
        <v>192</v>
      </c>
      <c r="DQ44" s="17">
        <v>44128</v>
      </c>
      <c r="DR44" s="10">
        <v>15077</v>
      </c>
      <c r="DS44" s="10">
        <v>108</v>
      </c>
      <c r="DT44" s="17">
        <v>44129</v>
      </c>
      <c r="DU44" s="10">
        <v>15201</v>
      </c>
      <c r="DV44" s="10">
        <v>123</v>
      </c>
      <c r="DW44" s="17">
        <v>44130</v>
      </c>
      <c r="DX44" s="10">
        <v>15457</v>
      </c>
      <c r="DY44" s="10">
        <v>256</v>
      </c>
      <c r="DZ44" s="17">
        <v>44131</v>
      </c>
      <c r="EA44" s="10">
        <v>15687</v>
      </c>
      <c r="EB44" s="10">
        <v>230</v>
      </c>
      <c r="EC44" s="17">
        <v>44132</v>
      </c>
      <c r="ED44" s="10">
        <v>15919</v>
      </c>
      <c r="EE44" s="10">
        <v>240</v>
      </c>
      <c r="EF44" s="17">
        <v>44133</v>
      </c>
      <c r="EG44" s="10">
        <v>16156</v>
      </c>
      <c r="EH44" s="10">
        <v>237</v>
      </c>
      <c r="EI44" s="17">
        <v>44134</v>
      </c>
      <c r="EJ44" s="10">
        <v>16375</v>
      </c>
      <c r="EK44" s="10">
        <v>219</v>
      </c>
      <c r="EL44" s="17">
        <v>44135</v>
      </c>
      <c r="EM44" s="10">
        <v>16496</v>
      </c>
      <c r="EN44" s="10">
        <v>121</v>
      </c>
      <c r="EO44" s="17">
        <v>44136</v>
      </c>
      <c r="EP44" s="10">
        <v>16646</v>
      </c>
      <c r="EQ44" s="10">
        <v>150</v>
      </c>
      <c r="ER44" s="17">
        <v>44137</v>
      </c>
      <c r="ES44" s="10">
        <v>16928</v>
      </c>
      <c r="ET44" s="10">
        <v>281</v>
      </c>
      <c r="EU44" s="17"/>
      <c r="EX44" s="17"/>
      <c r="FA44" s="17"/>
      <c r="FD44" s="17"/>
      <c r="FG44" s="17"/>
      <c r="FJ44" s="17"/>
      <c r="FM44" s="17"/>
      <c r="FP44" s="17"/>
      <c r="FS44" s="17"/>
      <c r="FV44" s="17"/>
      <c r="FY44" s="17"/>
      <c r="GB44" s="17"/>
      <c r="GE44" s="17"/>
      <c r="GH44" s="17"/>
      <c r="GK44" s="17"/>
      <c r="GN44" s="17"/>
      <c r="GQ44" s="17"/>
      <c r="GT44" s="17"/>
      <c r="GW44" s="17"/>
      <c r="GZ44" s="17"/>
      <c r="HC44" s="17"/>
      <c r="HF44" s="17"/>
      <c r="HI44" s="17"/>
      <c r="HL44" s="17"/>
      <c r="HO44" s="17"/>
      <c r="HR44" s="17"/>
      <c r="HU44" s="17"/>
      <c r="HX44" s="17"/>
      <c r="IA44" s="17"/>
      <c r="ID44" s="17"/>
      <c r="IG44" s="17"/>
      <c r="IJ44" s="17"/>
      <c r="IM44" s="17"/>
    </row>
    <row r="45" spans="1:247">
      <c r="A45" t="str">
        <f t="shared" ca="1" si="1"/>
        <v>3.11</v>
      </c>
      <c r="B45" s="4">
        <f t="shared" ca="1" si="2"/>
        <v>44138</v>
      </c>
      <c r="C45" s="11">
        <f t="shared" ca="1" si="0"/>
        <v>17169</v>
      </c>
      <c r="D45">
        <f t="shared" ref="D45" ca="1" si="13">C45-C44</f>
        <v>241</v>
      </c>
      <c r="E45" s="11">
        <f t="shared" ca="1" si="4"/>
        <v>0</v>
      </c>
      <c r="F45" s="11">
        <f t="shared" ca="1" si="6"/>
        <v>241</v>
      </c>
      <c r="K45" s="3"/>
      <c r="M45" s="16">
        <v>44138</v>
      </c>
      <c r="N45">
        <v>17169</v>
      </c>
      <c r="O45">
        <v>241</v>
      </c>
      <c r="P45" s="16">
        <v>44138</v>
      </c>
      <c r="Q45">
        <v>17169</v>
      </c>
      <c r="R45">
        <v>241</v>
      </c>
      <c r="S45" s="16">
        <v>44093</v>
      </c>
      <c r="T45">
        <v>9166</v>
      </c>
      <c r="U45">
        <v>61</v>
      </c>
      <c r="V45" s="16">
        <v>44094</v>
      </c>
      <c r="W45">
        <v>9240</v>
      </c>
      <c r="X45">
        <v>73</v>
      </c>
      <c r="Y45" s="16">
        <v>44095</v>
      </c>
      <c r="Z45">
        <v>9360</v>
      </c>
      <c r="AA45">
        <v>119</v>
      </c>
      <c r="AB45" s="16">
        <v>44096</v>
      </c>
      <c r="AC45">
        <v>9464</v>
      </c>
      <c r="AD45">
        <v>105</v>
      </c>
      <c r="AE45" s="16">
        <v>44097</v>
      </c>
      <c r="AF45">
        <v>9582</v>
      </c>
      <c r="AG45">
        <v>118</v>
      </c>
      <c r="AH45" s="16">
        <v>44098</v>
      </c>
      <c r="AI45">
        <v>9680</v>
      </c>
      <c r="AJ45">
        <v>97</v>
      </c>
      <c r="AK45" s="16">
        <v>44099</v>
      </c>
      <c r="AL45">
        <v>9806</v>
      </c>
      <c r="AM45">
        <v>127</v>
      </c>
      <c r="AN45" s="16">
        <v>44100</v>
      </c>
      <c r="AO45">
        <v>9880</v>
      </c>
      <c r="AP45">
        <v>74</v>
      </c>
      <c r="AQ45" s="16">
        <v>44101</v>
      </c>
      <c r="AR45">
        <v>9950</v>
      </c>
      <c r="AS45">
        <v>71</v>
      </c>
      <c r="AT45" s="16">
        <v>44102</v>
      </c>
      <c r="AU45">
        <v>10072</v>
      </c>
      <c r="AV45">
        <v>122</v>
      </c>
      <c r="AW45" s="16">
        <v>44103</v>
      </c>
      <c r="AX45">
        <v>10205</v>
      </c>
      <c r="AY45">
        <v>133</v>
      </c>
      <c r="AZ45" s="16">
        <v>44104</v>
      </c>
      <c r="BA45">
        <v>10370</v>
      </c>
      <c r="BB45">
        <v>165</v>
      </c>
      <c r="BC45" s="16">
        <v>44105</v>
      </c>
      <c r="BD45">
        <v>10558</v>
      </c>
      <c r="BE45">
        <v>188</v>
      </c>
      <c r="BF45" s="16">
        <v>44106</v>
      </c>
      <c r="BG45">
        <v>10744</v>
      </c>
      <c r="BH45">
        <v>188</v>
      </c>
      <c r="BI45" s="16">
        <v>44107</v>
      </c>
      <c r="BJ45">
        <v>10915</v>
      </c>
      <c r="BK45">
        <v>169</v>
      </c>
      <c r="BL45" s="16">
        <v>44108</v>
      </c>
      <c r="BM45">
        <v>11063</v>
      </c>
      <c r="BN45">
        <v>147</v>
      </c>
      <c r="BO45" s="16">
        <v>44109</v>
      </c>
      <c r="BP45">
        <v>11351</v>
      </c>
      <c r="BQ45">
        <v>289</v>
      </c>
      <c r="BR45" s="16">
        <v>44110</v>
      </c>
      <c r="BS45">
        <v>11651</v>
      </c>
      <c r="BT45">
        <v>299</v>
      </c>
      <c r="BU45" s="16">
        <v>44112</v>
      </c>
      <c r="BV45">
        <v>12217</v>
      </c>
      <c r="BW45">
        <v>260</v>
      </c>
      <c r="BX45" s="16">
        <v>44113</v>
      </c>
      <c r="BY45">
        <v>12445</v>
      </c>
      <c r="BZ45">
        <v>226</v>
      </c>
      <c r="CA45" s="16">
        <v>44114</v>
      </c>
      <c r="CB45">
        <v>12557</v>
      </c>
      <c r="CC45">
        <v>109</v>
      </c>
      <c r="CD45" s="16">
        <v>44115</v>
      </c>
      <c r="CE45">
        <v>12694</v>
      </c>
      <c r="CF45">
        <v>130</v>
      </c>
      <c r="CG45" s="16">
        <v>44116</v>
      </c>
      <c r="CH45">
        <v>12949</v>
      </c>
      <c r="CI45">
        <v>254</v>
      </c>
      <c r="CJ45" s="16">
        <v>44117</v>
      </c>
      <c r="CK45">
        <v>13146</v>
      </c>
      <c r="CL45">
        <v>197</v>
      </c>
      <c r="CM45" s="16">
        <v>44118</v>
      </c>
      <c r="CN45">
        <v>13346</v>
      </c>
      <c r="CO45">
        <v>200</v>
      </c>
      <c r="CP45" s="16">
        <v>44119</v>
      </c>
      <c r="CQ45">
        <v>13536</v>
      </c>
      <c r="CR45">
        <v>190</v>
      </c>
      <c r="CS45" s="16">
        <v>44120</v>
      </c>
      <c r="CT45">
        <v>13732</v>
      </c>
      <c r="CU45">
        <v>193</v>
      </c>
      <c r="CV45" s="16">
        <v>44121</v>
      </c>
      <c r="CW45">
        <v>13833</v>
      </c>
      <c r="CX45">
        <v>100</v>
      </c>
      <c r="CY45" s="16">
        <v>44123</v>
      </c>
      <c r="CZ45">
        <v>14203</v>
      </c>
      <c r="DA45">
        <v>244</v>
      </c>
      <c r="DB45" s="16">
        <v>44124</v>
      </c>
      <c r="DC45">
        <v>14365</v>
      </c>
      <c r="DD45">
        <v>162</v>
      </c>
      <c r="DE45" s="16">
        <v>44125</v>
      </c>
      <c r="DF45">
        <v>14554</v>
      </c>
      <c r="DG45">
        <v>189</v>
      </c>
      <c r="DH45" s="16">
        <v>44126</v>
      </c>
      <c r="DI45">
        <v>14770</v>
      </c>
      <c r="DJ45">
        <v>215</v>
      </c>
      <c r="DK45" s="16">
        <v>44127</v>
      </c>
      <c r="DL45">
        <v>14967</v>
      </c>
      <c r="DM45">
        <v>192</v>
      </c>
      <c r="DN45" s="16">
        <v>44128</v>
      </c>
      <c r="DO45">
        <v>15076</v>
      </c>
      <c r="DP45">
        <v>108</v>
      </c>
      <c r="DQ45" s="16">
        <v>44129</v>
      </c>
      <c r="DR45">
        <v>15199</v>
      </c>
      <c r="DS45">
        <v>122</v>
      </c>
      <c r="DT45" s="16">
        <v>44130</v>
      </c>
      <c r="DU45">
        <v>15457</v>
      </c>
      <c r="DV45">
        <v>256</v>
      </c>
      <c r="DW45" s="16">
        <v>44131</v>
      </c>
      <c r="DX45">
        <v>15687</v>
      </c>
      <c r="DY45">
        <v>230</v>
      </c>
      <c r="DZ45" s="16">
        <v>44132</v>
      </c>
      <c r="EA45">
        <v>15927</v>
      </c>
      <c r="EB45">
        <v>240</v>
      </c>
      <c r="EC45" s="16">
        <v>44133</v>
      </c>
      <c r="ED45">
        <v>16156</v>
      </c>
      <c r="EE45">
        <v>237</v>
      </c>
      <c r="EF45" s="16">
        <v>44134</v>
      </c>
      <c r="EG45">
        <v>16375</v>
      </c>
      <c r="EH45">
        <v>219</v>
      </c>
      <c r="EI45" s="16">
        <v>44135</v>
      </c>
      <c r="EJ45">
        <v>16496</v>
      </c>
      <c r="EK45">
        <v>121</v>
      </c>
      <c r="EL45" s="16">
        <v>44136</v>
      </c>
      <c r="EM45">
        <v>16646</v>
      </c>
      <c r="EN45">
        <v>150</v>
      </c>
      <c r="EO45" s="16">
        <v>44137</v>
      </c>
      <c r="EP45">
        <v>16927</v>
      </c>
      <c r="EQ45">
        <v>281</v>
      </c>
      <c r="ER45" s="16">
        <v>44138</v>
      </c>
      <c r="ES45">
        <v>17169</v>
      </c>
      <c r="ET45">
        <v>241</v>
      </c>
      <c r="EU45" s="16"/>
      <c r="EX45" s="16"/>
      <c r="FA45" s="16"/>
      <c r="FD45" s="16"/>
      <c r="FG45" s="16"/>
      <c r="FJ45" s="16"/>
      <c r="FM45" s="16"/>
      <c r="FP45" s="16"/>
      <c r="FS45" s="16"/>
      <c r="FV45" s="16"/>
      <c r="FY45" s="16"/>
      <c r="GB45" s="16"/>
      <c r="GE45" s="16"/>
      <c r="GH45" s="16"/>
      <c r="GK45" s="16"/>
      <c r="GN45" s="16"/>
      <c r="GQ45" s="16"/>
      <c r="GT45" s="16"/>
      <c r="GW45" s="16"/>
      <c r="GZ45" s="16"/>
      <c r="HC45" s="16"/>
      <c r="HF45" s="16"/>
      <c r="HI45" s="16"/>
      <c r="HL45" s="16"/>
      <c r="HO45" s="16"/>
      <c r="HR45" s="16"/>
      <c r="HU45" s="16"/>
      <c r="HX45" s="16"/>
      <c r="IA45" s="16"/>
      <c r="ID45" s="16"/>
      <c r="IG45" s="16"/>
      <c r="IJ45" s="16"/>
      <c r="IM45" s="16"/>
    </row>
    <row r="46" spans="1:247">
      <c r="A46" t="str">
        <f t="shared" ca="1" si="1"/>
        <v>4.11</v>
      </c>
      <c r="B46" s="4">
        <f t="shared" ca="1" si="2"/>
        <v>44139</v>
      </c>
      <c r="C46" s="11">
        <f t="shared" ca="1" si="0"/>
        <v>17379</v>
      </c>
      <c r="D46">
        <f t="shared" ref="D46" ca="1" si="14">C46-C45</f>
        <v>210</v>
      </c>
      <c r="E46" s="11">
        <f t="shared" ca="1" si="4"/>
        <v>0</v>
      </c>
      <c r="F46" s="11">
        <f t="shared" ca="1" si="6"/>
        <v>210</v>
      </c>
      <c r="K46" s="3"/>
      <c r="M46" s="16">
        <v>44139</v>
      </c>
      <c r="N46">
        <v>17379</v>
      </c>
      <c r="O46">
        <v>210</v>
      </c>
      <c r="P46" s="16">
        <v>44139</v>
      </c>
      <c r="Q46">
        <v>17379</v>
      </c>
      <c r="R46">
        <v>210</v>
      </c>
      <c r="S46" s="16">
        <v>44094</v>
      </c>
      <c r="T46">
        <v>9239</v>
      </c>
      <c r="U46">
        <v>73</v>
      </c>
      <c r="V46" s="16">
        <v>44095</v>
      </c>
      <c r="W46">
        <v>9359</v>
      </c>
      <c r="X46">
        <v>119</v>
      </c>
      <c r="Y46" s="16">
        <v>44096</v>
      </c>
      <c r="Z46">
        <v>9465</v>
      </c>
      <c r="AA46">
        <v>105</v>
      </c>
      <c r="AB46" s="16">
        <v>44097</v>
      </c>
      <c r="AC46">
        <v>9582</v>
      </c>
      <c r="AD46">
        <v>118</v>
      </c>
      <c r="AE46" s="16">
        <v>44098</v>
      </c>
      <c r="AF46">
        <v>9680</v>
      </c>
      <c r="AG46">
        <v>98</v>
      </c>
      <c r="AH46" s="16">
        <v>44099</v>
      </c>
      <c r="AI46">
        <v>9807</v>
      </c>
      <c r="AJ46">
        <v>127</v>
      </c>
      <c r="AK46" s="16">
        <v>44100</v>
      </c>
      <c r="AL46">
        <v>9880</v>
      </c>
      <c r="AM46">
        <v>74</v>
      </c>
      <c r="AN46" s="16">
        <v>44101</v>
      </c>
      <c r="AO46">
        <v>9951</v>
      </c>
      <c r="AP46">
        <v>71</v>
      </c>
      <c r="AQ46" s="16">
        <v>44102</v>
      </c>
      <c r="AR46">
        <v>10072</v>
      </c>
      <c r="AS46">
        <v>122</v>
      </c>
      <c r="AT46" s="16">
        <v>44103</v>
      </c>
      <c r="AU46">
        <v>10206</v>
      </c>
      <c r="AV46">
        <v>134</v>
      </c>
      <c r="AW46" s="16">
        <v>44104</v>
      </c>
      <c r="AX46">
        <v>10370</v>
      </c>
      <c r="AY46">
        <v>165</v>
      </c>
      <c r="AZ46" s="16">
        <v>44105</v>
      </c>
      <c r="BA46">
        <v>10558</v>
      </c>
      <c r="BB46">
        <v>188</v>
      </c>
      <c r="BC46" s="16">
        <v>44106</v>
      </c>
      <c r="BD46">
        <v>10745</v>
      </c>
      <c r="BE46">
        <v>187</v>
      </c>
      <c r="BF46" s="16">
        <v>44107</v>
      </c>
      <c r="BG46">
        <v>10913</v>
      </c>
      <c r="BH46">
        <v>169</v>
      </c>
      <c r="BI46" s="16">
        <v>44108</v>
      </c>
      <c r="BJ46">
        <v>11062</v>
      </c>
      <c r="BK46">
        <v>147</v>
      </c>
      <c r="BL46" s="16">
        <v>44109</v>
      </c>
      <c r="BM46">
        <v>11352</v>
      </c>
      <c r="BN46">
        <v>289</v>
      </c>
      <c r="BO46" s="16">
        <v>44110</v>
      </c>
      <c r="BP46">
        <v>11650</v>
      </c>
      <c r="BQ46">
        <v>299</v>
      </c>
      <c r="BR46" s="16">
        <v>44111</v>
      </c>
      <c r="BS46">
        <v>11957</v>
      </c>
      <c r="BT46">
        <v>306</v>
      </c>
      <c r="BU46" s="16">
        <v>44113</v>
      </c>
      <c r="BV46">
        <v>12443</v>
      </c>
      <c r="BW46">
        <v>226</v>
      </c>
      <c r="BX46" s="16">
        <v>44114</v>
      </c>
      <c r="BY46">
        <v>12554</v>
      </c>
      <c r="BZ46">
        <v>109</v>
      </c>
      <c r="CA46" s="16">
        <v>44115</v>
      </c>
      <c r="CB46">
        <v>12687</v>
      </c>
      <c r="CC46">
        <v>130</v>
      </c>
      <c r="CD46" s="16">
        <v>44116</v>
      </c>
      <c r="CE46">
        <v>12948</v>
      </c>
      <c r="CF46">
        <v>254</v>
      </c>
      <c r="CG46" s="16">
        <v>44117</v>
      </c>
      <c r="CH46">
        <v>13146</v>
      </c>
      <c r="CI46">
        <v>197</v>
      </c>
      <c r="CJ46" s="16">
        <v>44118</v>
      </c>
      <c r="CK46">
        <v>13346</v>
      </c>
      <c r="CL46">
        <v>200</v>
      </c>
      <c r="CM46" s="16">
        <v>44119</v>
      </c>
      <c r="CN46">
        <v>13536</v>
      </c>
      <c r="CO46">
        <v>190</v>
      </c>
      <c r="CP46" s="16">
        <v>44120</v>
      </c>
      <c r="CQ46">
        <v>13728</v>
      </c>
      <c r="CR46">
        <v>192</v>
      </c>
      <c r="CS46" s="16">
        <v>44121</v>
      </c>
      <c r="CT46">
        <v>13832</v>
      </c>
      <c r="CU46">
        <v>100</v>
      </c>
      <c r="CV46" s="16">
        <v>44122</v>
      </c>
      <c r="CW46">
        <v>13961</v>
      </c>
      <c r="CX46">
        <v>128</v>
      </c>
      <c r="CY46" s="16">
        <v>44124</v>
      </c>
      <c r="CZ46">
        <v>14366</v>
      </c>
      <c r="DA46">
        <v>163</v>
      </c>
      <c r="DB46" s="16">
        <v>44125</v>
      </c>
      <c r="DC46">
        <v>14554</v>
      </c>
      <c r="DD46">
        <v>189</v>
      </c>
      <c r="DE46" s="16">
        <v>44126</v>
      </c>
      <c r="DF46">
        <v>14769</v>
      </c>
      <c r="DG46">
        <v>215</v>
      </c>
      <c r="DH46" s="16">
        <v>44127</v>
      </c>
      <c r="DI46">
        <v>14962</v>
      </c>
      <c r="DJ46">
        <v>192</v>
      </c>
      <c r="DK46" s="16">
        <v>44128</v>
      </c>
      <c r="DL46">
        <v>15075</v>
      </c>
      <c r="DM46">
        <v>108</v>
      </c>
      <c r="DN46" s="16">
        <v>44129</v>
      </c>
      <c r="DO46">
        <v>15198</v>
      </c>
      <c r="DP46">
        <v>122</v>
      </c>
      <c r="DQ46" s="16">
        <v>44130</v>
      </c>
      <c r="DR46">
        <v>15455</v>
      </c>
      <c r="DS46">
        <v>256</v>
      </c>
      <c r="DT46" s="16">
        <v>44131</v>
      </c>
      <c r="DU46">
        <v>15687</v>
      </c>
      <c r="DV46">
        <v>230</v>
      </c>
      <c r="DW46" s="16">
        <v>44132</v>
      </c>
      <c r="DX46">
        <v>15927</v>
      </c>
      <c r="DY46">
        <v>240</v>
      </c>
      <c r="DZ46" s="16">
        <v>44133</v>
      </c>
      <c r="EA46">
        <v>16164</v>
      </c>
      <c r="EB46">
        <v>237</v>
      </c>
      <c r="EC46" s="16">
        <v>44134</v>
      </c>
      <c r="ED46">
        <v>16375</v>
      </c>
      <c r="EE46">
        <v>219</v>
      </c>
      <c r="EF46" s="16">
        <v>44135</v>
      </c>
      <c r="EG46">
        <v>16496</v>
      </c>
      <c r="EH46">
        <v>121</v>
      </c>
      <c r="EI46" s="16">
        <v>44136</v>
      </c>
      <c r="EJ46">
        <v>16646</v>
      </c>
      <c r="EK46">
        <v>150</v>
      </c>
      <c r="EL46" s="16">
        <v>44137</v>
      </c>
      <c r="EM46">
        <v>16927</v>
      </c>
      <c r="EN46">
        <v>281</v>
      </c>
      <c r="EO46" s="16">
        <v>44138</v>
      </c>
      <c r="EP46">
        <v>17168</v>
      </c>
      <c r="EQ46">
        <v>241</v>
      </c>
      <c r="ER46" s="16">
        <v>44139</v>
      </c>
      <c r="ES46">
        <v>17379</v>
      </c>
      <c r="ET46">
        <v>210</v>
      </c>
      <c r="EU46" s="16"/>
      <c r="EX46" s="16"/>
      <c r="FA46" s="16"/>
      <c r="FD46" s="16"/>
      <c r="FG46" s="16"/>
      <c r="FJ46" s="16"/>
      <c r="FM46" s="16"/>
      <c r="FP46" s="16"/>
      <c r="FS46" s="16"/>
      <c r="FV46" s="16"/>
      <c r="FY46" s="16"/>
      <c r="GB46" s="16"/>
      <c r="GE46" s="16"/>
      <c r="GH46" s="16"/>
      <c r="GK46" s="16"/>
      <c r="GN46" s="16"/>
      <c r="GQ46" s="16"/>
      <c r="GT46" s="16"/>
      <c r="GW46" s="16"/>
      <c r="GZ46" s="16"/>
      <c r="HC46" s="16"/>
      <c r="HF46" s="16"/>
      <c r="HI46" s="16"/>
      <c r="HL46" s="16"/>
      <c r="HO46" s="16"/>
      <c r="HR46" s="16"/>
      <c r="HU46" s="16"/>
      <c r="HX46" s="16"/>
      <c r="IA46" s="16"/>
      <c r="ID46" s="16"/>
      <c r="IG46" s="16"/>
      <c r="IJ46" s="16"/>
      <c r="IM46" s="16"/>
    </row>
    <row r="47" spans="1:247">
      <c r="A47" t="str">
        <f t="shared" ca="1" si="1"/>
        <v>5.11</v>
      </c>
      <c r="B47" s="4">
        <f t="shared" ca="1" si="2"/>
        <v>44140</v>
      </c>
      <c r="C47" s="11">
        <f t="shared" ca="1" si="0"/>
        <v>17600</v>
      </c>
      <c r="D47">
        <f t="shared" ref="D47" ca="1" si="15">C47-C46</f>
        <v>221</v>
      </c>
      <c r="E47" s="11">
        <f t="shared" ca="1" si="4"/>
        <v>0</v>
      </c>
      <c r="F47" s="11">
        <f t="shared" ca="1" si="6"/>
        <v>221</v>
      </c>
      <c r="M47" s="16">
        <v>44140</v>
      </c>
      <c r="N47">
        <v>17600</v>
      </c>
      <c r="O47">
        <v>221</v>
      </c>
      <c r="P47" s="16">
        <v>44140</v>
      </c>
      <c r="Q47">
        <v>17600</v>
      </c>
      <c r="R47">
        <v>221</v>
      </c>
      <c r="S47" s="16">
        <v>44095</v>
      </c>
      <c r="T47">
        <v>9358</v>
      </c>
      <c r="U47">
        <v>119</v>
      </c>
      <c r="V47" s="16">
        <v>44096</v>
      </c>
      <c r="W47">
        <v>9464</v>
      </c>
      <c r="X47">
        <v>105</v>
      </c>
      <c r="Y47" s="16">
        <v>44097</v>
      </c>
      <c r="Z47">
        <v>9583</v>
      </c>
      <c r="AA47">
        <v>118</v>
      </c>
      <c r="AB47" s="16">
        <v>44098</v>
      </c>
      <c r="AC47">
        <v>9680</v>
      </c>
      <c r="AD47">
        <v>98</v>
      </c>
      <c r="AE47" s="16">
        <v>44099</v>
      </c>
      <c r="AF47">
        <v>9807</v>
      </c>
      <c r="AG47">
        <v>127</v>
      </c>
      <c r="AH47" s="16">
        <v>44100</v>
      </c>
      <c r="AI47">
        <v>9881</v>
      </c>
      <c r="AJ47">
        <v>74</v>
      </c>
      <c r="AK47" s="16">
        <v>44101</v>
      </c>
      <c r="AL47">
        <v>9951</v>
      </c>
      <c r="AM47">
        <v>71</v>
      </c>
      <c r="AN47" s="16">
        <v>44102</v>
      </c>
      <c r="AO47">
        <v>10073</v>
      </c>
      <c r="AP47">
        <v>122</v>
      </c>
      <c r="AQ47" s="16">
        <v>44103</v>
      </c>
      <c r="AR47">
        <v>10207</v>
      </c>
      <c r="AS47">
        <v>135</v>
      </c>
      <c r="AT47" s="16">
        <v>44104</v>
      </c>
      <c r="AU47">
        <v>10371</v>
      </c>
      <c r="AV47">
        <v>165</v>
      </c>
      <c r="AW47" s="16">
        <v>44105</v>
      </c>
      <c r="AX47">
        <v>10558</v>
      </c>
      <c r="AY47">
        <v>188</v>
      </c>
      <c r="AZ47" s="16">
        <v>44106</v>
      </c>
      <c r="BA47">
        <v>10745</v>
      </c>
      <c r="BB47">
        <v>187</v>
      </c>
      <c r="BC47" s="16">
        <v>44107</v>
      </c>
      <c r="BD47">
        <v>10914</v>
      </c>
      <c r="BE47">
        <v>169</v>
      </c>
      <c r="BF47" s="16">
        <v>44108</v>
      </c>
      <c r="BG47">
        <v>11060</v>
      </c>
      <c r="BH47">
        <v>147</v>
      </c>
      <c r="BI47" s="16">
        <v>44109</v>
      </c>
      <c r="BJ47">
        <v>11351</v>
      </c>
      <c r="BK47">
        <v>289</v>
      </c>
      <c r="BL47" s="16">
        <v>44110</v>
      </c>
      <c r="BM47">
        <v>11651</v>
      </c>
      <c r="BN47">
        <v>299</v>
      </c>
      <c r="BO47" s="16">
        <v>44111</v>
      </c>
      <c r="BP47">
        <v>11956</v>
      </c>
      <c r="BQ47">
        <v>306</v>
      </c>
      <c r="BR47" s="16">
        <v>44112</v>
      </c>
      <c r="BS47">
        <v>12217</v>
      </c>
      <c r="BT47">
        <v>260</v>
      </c>
      <c r="BU47" s="16">
        <v>44114</v>
      </c>
      <c r="BV47">
        <v>12552</v>
      </c>
      <c r="BW47">
        <v>109</v>
      </c>
      <c r="BX47" s="16">
        <v>44115</v>
      </c>
      <c r="BY47">
        <v>12684</v>
      </c>
      <c r="BZ47">
        <v>130</v>
      </c>
      <c r="CA47" s="16">
        <v>44116</v>
      </c>
      <c r="CB47">
        <v>12940</v>
      </c>
      <c r="CC47">
        <v>253</v>
      </c>
      <c r="CD47" s="16">
        <v>44117</v>
      </c>
      <c r="CE47">
        <v>13145</v>
      </c>
      <c r="CF47">
        <v>197</v>
      </c>
      <c r="CG47" s="16">
        <v>44118</v>
      </c>
      <c r="CH47">
        <v>13346</v>
      </c>
      <c r="CI47">
        <v>200</v>
      </c>
      <c r="CJ47" s="16">
        <v>44119</v>
      </c>
      <c r="CK47">
        <v>13536</v>
      </c>
      <c r="CL47">
        <v>190</v>
      </c>
      <c r="CM47" s="16">
        <v>44120</v>
      </c>
      <c r="CN47">
        <v>13728</v>
      </c>
      <c r="CO47">
        <v>192</v>
      </c>
      <c r="CP47" s="16">
        <v>44121</v>
      </c>
      <c r="CQ47">
        <v>13828</v>
      </c>
      <c r="CR47">
        <v>100</v>
      </c>
      <c r="CS47" s="16">
        <v>44122</v>
      </c>
      <c r="CT47">
        <v>13959</v>
      </c>
      <c r="CU47">
        <v>127</v>
      </c>
      <c r="CV47" s="16">
        <v>44123</v>
      </c>
      <c r="CW47">
        <v>14205</v>
      </c>
      <c r="CX47">
        <v>244</v>
      </c>
      <c r="CY47" s="16">
        <v>44125</v>
      </c>
      <c r="CZ47">
        <v>14555</v>
      </c>
      <c r="DA47">
        <v>189</v>
      </c>
      <c r="DB47" s="16">
        <v>44126</v>
      </c>
      <c r="DC47">
        <v>14767</v>
      </c>
      <c r="DD47">
        <v>213</v>
      </c>
      <c r="DE47" s="16">
        <v>44127</v>
      </c>
      <c r="DF47">
        <v>14961</v>
      </c>
      <c r="DG47">
        <v>192</v>
      </c>
      <c r="DH47" s="16">
        <v>44128</v>
      </c>
      <c r="DI47">
        <v>15070</v>
      </c>
      <c r="DJ47">
        <v>108</v>
      </c>
      <c r="DK47" s="16">
        <v>44129</v>
      </c>
      <c r="DL47">
        <v>15198</v>
      </c>
      <c r="DM47">
        <v>123</v>
      </c>
      <c r="DN47" s="16">
        <v>44130</v>
      </c>
      <c r="DO47">
        <v>15454</v>
      </c>
      <c r="DP47">
        <v>256</v>
      </c>
      <c r="DQ47" s="16">
        <v>44131</v>
      </c>
      <c r="DR47">
        <v>15685</v>
      </c>
      <c r="DS47">
        <v>230</v>
      </c>
      <c r="DT47" s="16">
        <v>44132</v>
      </c>
      <c r="DU47">
        <v>15927</v>
      </c>
      <c r="DV47">
        <v>240</v>
      </c>
      <c r="DW47" s="16">
        <v>44133</v>
      </c>
      <c r="DX47">
        <v>16164</v>
      </c>
      <c r="DY47">
        <v>237</v>
      </c>
      <c r="DZ47" s="16">
        <v>44134</v>
      </c>
      <c r="EA47">
        <v>16383</v>
      </c>
      <c r="EB47">
        <v>219</v>
      </c>
      <c r="EC47" s="16">
        <v>44135</v>
      </c>
      <c r="ED47">
        <v>16496</v>
      </c>
      <c r="EE47">
        <v>121</v>
      </c>
      <c r="EF47" s="16">
        <v>44136</v>
      </c>
      <c r="EG47">
        <v>16646</v>
      </c>
      <c r="EH47">
        <v>150</v>
      </c>
      <c r="EI47" s="16">
        <v>44137</v>
      </c>
      <c r="EJ47">
        <v>16927</v>
      </c>
      <c r="EK47">
        <v>281</v>
      </c>
      <c r="EL47" s="16">
        <v>44138</v>
      </c>
      <c r="EM47">
        <v>17168</v>
      </c>
      <c r="EN47">
        <v>241</v>
      </c>
      <c r="EO47" s="16">
        <v>44139</v>
      </c>
      <c r="EP47">
        <v>17378</v>
      </c>
      <c r="EQ47">
        <v>210</v>
      </c>
      <c r="ER47" s="16">
        <v>44140</v>
      </c>
      <c r="ES47">
        <v>17600</v>
      </c>
      <c r="ET47">
        <v>221</v>
      </c>
      <c r="EU47" s="16"/>
      <c r="EX47" s="16"/>
      <c r="FA47" s="16"/>
      <c r="FD47" s="16"/>
      <c r="FG47" s="16"/>
      <c r="FJ47" s="16"/>
      <c r="FM47" s="16"/>
      <c r="FP47" s="16"/>
      <c r="FS47" s="16"/>
      <c r="FV47" s="16"/>
      <c r="FY47" s="16"/>
      <c r="GB47" s="16"/>
      <c r="GE47" s="16"/>
      <c r="GH47" s="16"/>
      <c r="GK47" s="16"/>
      <c r="GN47" s="16"/>
      <c r="GQ47" s="16"/>
      <c r="GT47" s="16"/>
      <c r="GW47" s="16"/>
      <c r="GZ47" s="16"/>
      <c r="HC47" s="16"/>
      <c r="HF47" s="16"/>
      <c r="HI47" s="16"/>
      <c r="HL47" s="16"/>
      <c r="HO47" s="16"/>
      <c r="HR47" s="16"/>
      <c r="HU47" s="16"/>
      <c r="HX47" s="16"/>
      <c r="IA47" s="16"/>
      <c r="ID47" s="16"/>
      <c r="IG47" s="16"/>
      <c r="IJ47" s="16"/>
      <c r="IM47" s="16"/>
    </row>
    <row r="48" spans="1:247">
      <c r="A48" t="str">
        <f t="shared" ca="1" si="1"/>
        <v>6.11</v>
      </c>
      <c r="B48" s="4">
        <f t="shared" ca="1" si="2"/>
        <v>44141</v>
      </c>
      <c r="C48" s="11">
        <f t="shared" ca="1" si="0"/>
        <v>17794</v>
      </c>
      <c r="D48">
        <f t="shared" ref="D48" ca="1" si="16">C48-C47</f>
        <v>194</v>
      </c>
      <c r="E48" s="11">
        <f t="shared" ca="1" si="4"/>
        <v>0</v>
      </c>
      <c r="F48" s="11">
        <f t="shared" ca="1" si="6"/>
        <v>194</v>
      </c>
      <c r="J48" s="10">
        <f ca="1">SUM(D48:D54)</f>
        <v>1503</v>
      </c>
      <c r="K48" s="10" t="str">
        <f ca="1">TEXT(J48/J41-1,"0 %")</f>
        <v>4 %</v>
      </c>
      <c r="M48" s="16">
        <v>44141</v>
      </c>
      <c r="N48">
        <v>17794</v>
      </c>
      <c r="O48">
        <v>194</v>
      </c>
      <c r="P48" s="16">
        <v>44141</v>
      </c>
      <c r="Q48">
        <v>17794</v>
      </c>
      <c r="R48">
        <v>194</v>
      </c>
      <c r="S48" s="16">
        <v>44096</v>
      </c>
      <c r="T48">
        <v>9463</v>
      </c>
      <c r="U48">
        <v>105</v>
      </c>
      <c r="V48" s="16">
        <v>44097</v>
      </c>
      <c r="W48">
        <v>9582</v>
      </c>
      <c r="X48">
        <v>118</v>
      </c>
      <c r="Y48" s="16">
        <v>44098</v>
      </c>
      <c r="Z48">
        <v>9681</v>
      </c>
      <c r="AA48">
        <v>98</v>
      </c>
      <c r="AB48" s="16">
        <v>44099</v>
      </c>
      <c r="AC48">
        <v>9807</v>
      </c>
      <c r="AD48">
        <v>127</v>
      </c>
      <c r="AE48" s="16">
        <v>44100</v>
      </c>
      <c r="AF48">
        <v>9880</v>
      </c>
      <c r="AG48">
        <v>73</v>
      </c>
      <c r="AH48" s="16">
        <v>44101</v>
      </c>
      <c r="AI48">
        <v>9952</v>
      </c>
      <c r="AJ48">
        <v>71</v>
      </c>
      <c r="AK48" s="16">
        <v>44102</v>
      </c>
      <c r="AL48">
        <v>10073</v>
      </c>
      <c r="AM48">
        <v>122</v>
      </c>
      <c r="AN48" s="16">
        <v>44103</v>
      </c>
      <c r="AO48">
        <v>10208</v>
      </c>
      <c r="AP48">
        <v>135</v>
      </c>
      <c r="AQ48" s="16">
        <v>44104</v>
      </c>
      <c r="AR48">
        <v>10373</v>
      </c>
      <c r="AS48">
        <v>166</v>
      </c>
      <c r="AT48" s="16">
        <v>44105</v>
      </c>
      <c r="AU48">
        <v>10559</v>
      </c>
      <c r="AV48">
        <v>188</v>
      </c>
      <c r="AW48" s="16">
        <v>44106</v>
      </c>
      <c r="AX48">
        <v>10745</v>
      </c>
      <c r="AY48">
        <v>187</v>
      </c>
      <c r="AZ48" s="16">
        <v>44107</v>
      </c>
      <c r="BA48">
        <v>10914</v>
      </c>
      <c r="BB48">
        <v>169</v>
      </c>
      <c r="BC48" s="16">
        <v>44108</v>
      </c>
      <c r="BD48">
        <v>11061</v>
      </c>
      <c r="BE48">
        <v>147</v>
      </c>
      <c r="BF48" s="16">
        <v>44109</v>
      </c>
      <c r="BG48">
        <v>11349</v>
      </c>
      <c r="BH48">
        <v>289</v>
      </c>
      <c r="BI48" s="16">
        <v>44110</v>
      </c>
      <c r="BJ48">
        <v>11650</v>
      </c>
      <c r="BK48">
        <v>299</v>
      </c>
      <c r="BL48" s="16">
        <v>44111</v>
      </c>
      <c r="BM48">
        <v>11957</v>
      </c>
      <c r="BN48">
        <v>306</v>
      </c>
      <c r="BO48" s="16">
        <v>44112</v>
      </c>
      <c r="BP48">
        <v>12216</v>
      </c>
      <c r="BQ48">
        <v>260</v>
      </c>
      <c r="BR48" s="16">
        <v>44113</v>
      </c>
      <c r="BS48">
        <v>12443</v>
      </c>
      <c r="BT48">
        <v>226</v>
      </c>
      <c r="BU48" s="16">
        <v>44115</v>
      </c>
      <c r="BV48">
        <v>12682</v>
      </c>
      <c r="BW48">
        <v>130</v>
      </c>
      <c r="BX48" s="16">
        <v>44116</v>
      </c>
      <c r="BY48">
        <v>12936</v>
      </c>
      <c r="BZ48">
        <v>252</v>
      </c>
      <c r="CA48" s="16">
        <v>44117</v>
      </c>
      <c r="CB48">
        <v>13137</v>
      </c>
      <c r="CC48">
        <v>197</v>
      </c>
      <c r="CD48" s="16">
        <v>44118</v>
      </c>
      <c r="CE48">
        <v>13345</v>
      </c>
      <c r="CF48">
        <v>200</v>
      </c>
      <c r="CG48" s="16">
        <v>44119</v>
      </c>
      <c r="CH48">
        <v>13536</v>
      </c>
      <c r="CI48">
        <v>190</v>
      </c>
      <c r="CJ48" s="16">
        <v>44120</v>
      </c>
      <c r="CK48">
        <v>13728</v>
      </c>
      <c r="CL48">
        <v>192</v>
      </c>
      <c r="CM48" s="16">
        <v>44121</v>
      </c>
      <c r="CN48">
        <v>13828</v>
      </c>
      <c r="CO48">
        <v>100</v>
      </c>
      <c r="CP48" s="16">
        <v>44122</v>
      </c>
      <c r="CQ48">
        <v>13955</v>
      </c>
      <c r="CR48">
        <v>127</v>
      </c>
      <c r="CS48" s="16">
        <v>44123</v>
      </c>
      <c r="CT48">
        <v>14203</v>
      </c>
      <c r="CU48">
        <v>244</v>
      </c>
      <c r="CV48" s="16">
        <v>44124</v>
      </c>
      <c r="CW48">
        <v>14368</v>
      </c>
      <c r="CX48">
        <v>163</v>
      </c>
      <c r="CY48" s="16">
        <v>44126</v>
      </c>
      <c r="CZ48">
        <v>14768</v>
      </c>
      <c r="DA48">
        <v>213</v>
      </c>
      <c r="DB48" s="16">
        <v>44127</v>
      </c>
      <c r="DC48">
        <v>14959</v>
      </c>
      <c r="DD48">
        <v>192</v>
      </c>
      <c r="DE48" s="16">
        <v>44128</v>
      </c>
      <c r="DF48">
        <v>15069</v>
      </c>
      <c r="DG48">
        <v>108</v>
      </c>
      <c r="DH48" s="16">
        <v>44129</v>
      </c>
      <c r="DI48">
        <v>15193</v>
      </c>
      <c r="DJ48">
        <v>123</v>
      </c>
      <c r="DK48" s="16">
        <v>44130</v>
      </c>
      <c r="DL48">
        <v>15453</v>
      </c>
      <c r="DM48">
        <v>255</v>
      </c>
      <c r="DN48" s="16">
        <v>44131</v>
      </c>
      <c r="DO48">
        <v>15684</v>
      </c>
      <c r="DP48">
        <v>230</v>
      </c>
      <c r="DQ48" s="16">
        <v>44132</v>
      </c>
      <c r="DR48">
        <v>15925</v>
      </c>
      <c r="DS48">
        <v>240</v>
      </c>
      <c r="DT48" s="16">
        <v>44133</v>
      </c>
      <c r="DU48">
        <v>16164</v>
      </c>
      <c r="DV48">
        <v>237</v>
      </c>
      <c r="DW48" s="16">
        <v>44134</v>
      </c>
      <c r="DX48">
        <v>16383</v>
      </c>
      <c r="DY48">
        <v>219</v>
      </c>
      <c r="DZ48" s="16">
        <v>44135</v>
      </c>
      <c r="EA48">
        <v>16504</v>
      </c>
      <c r="EB48">
        <v>121</v>
      </c>
      <c r="EC48" s="16">
        <v>44136</v>
      </c>
      <c r="ED48">
        <v>16646</v>
      </c>
      <c r="EE48">
        <v>150</v>
      </c>
      <c r="EF48" s="16">
        <v>44137</v>
      </c>
      <c r="EG48">
        <v>16927</v>
      </c>
      <c r="EH48">
        <v>281</v>
      </c>
      <c r="EI48" s="16">
        <v>44138</v>
      </c>
      <c r="EJ48">
        <v>17168</v>
      </c>
      <c r="EK48">
        <v>241</v>
      </c>
      <c r="EL48" s="16">
        <v>44139</v>
      </c>
      <c r="EM48">
        <v>17378</v>
      </c>
      <c r="EN48">
        <v>210</v>
      </c>
      <c r="EO48" s="16">
        <v>44140</v>
      </c>
      <c r="EP48">
        <v>17598</v>
      </c>
      <c r="EQ48">
        <v>220</v>
      </c>
      <c r="ER48" s="16">
        <v>44141</v>
      </c>
      <c r="ES48">
        <v>17794</v>
      </c>
      <c r="ET48">
        <v>194</v>
      </c>
      <c r="EU48" s="16"/>
      <c r="EX48" s="16"/>
      <c r="FA48" s="16"/>
      <c r="FD48" s="16"/>
      <c r="FG48" s="16"/>
      <c r="FJ48" s="16"/>
      <c r="FM48" s="16"/>
      <c r="FP48" s="16"/>
      <c r="FS48" s="16"/>
      <c r="FV48" s="16"/>
      <c r="FY48" s="16"/>
      <c r="GB48" s="16"/>
      <c r="GE48" s="16"/>
      <c r="GH48" s="16"/>
      <c r="GK48" s="16"/>
      <c r="GN48" s="16"/>
      <c r="GQ48" s="16"/>
      <c r="GT48" s="16"/>
      <c r="GW48" s="16"/>
      <c r="GZ48" s="16"/>
      <c r="HC48" s="16"/>
      <c r="HF48" s="16"/>
      <c r="HI48" s="16"/>
      <c r="HL48" s="16"/>
      <c r="HO48" s="16"/>
      <c r="HR48" s="16"/>
      <c r="HU48" s="16"/>
      <c r="HX48" s="16"/>
      <c r="IA48" s="16"/>
      <c r="ID48" s="16"/>
      <c r="IG48" s="16"/>
      <c r="IJ48" s="16"/>
      <c r="IM48" s="16"/>
    </row>
    <row r="49" spans="1:247">
      <c r="A49" t="str">
        <f t="shared" ca="1" si="1"/>
        <v>7.11</v>
      </c>
      <c r="B49" s="4">
        <f t="shared" ca="1" si="2"/>
        <v>44142</v>
      </c>
      <c r="C49" s="11">
        <f t="shared" ca="1" si="0"/>
        <v>17922</v>
      </c>
      <c r="D49">
        <f t="shared" ref="D49" ca="1" si="17">C49-C48</f>
        <v>128</v>
      </c>
      <c r="E49" s="11">
        <f t="shared" ca="1" si="4"/>
        <v>0</v>
      </c>
      <c r="F49" s="11">
        <f t="shared" ca="1" si="6"/>
        <v>128</v>
      </c>
      <c r="K49" s="3"/>
      <c r="M49" s="16">
        <v>44142</v>
      </c>
      <c r="N49">
        <v>17922</v>
      </c>
      <c r="O49">
        <v>128</v>
      </c>
      <c r="P49" s="16">
        <v>44142</v>
      </c>
      <c r="Q49">
        <v>17922</v>
      </c>
      <c r="R49">
        <v>128</v>
      </c>
      <c r="S49" s="16">
        <v>44097</v>
      </c>
      <c r="T49">
        <v>9581</v>
      </c>
      <c r="U49">
        <v>118</v>
      </c>
      <c r="V49" s="16">
        <v>44098</v>
      </c>
      <c r="W49">
        <v>9680</v>
      </c>
      <c r="X49">
        <v>98</v>
      </c>
      <c r="Y49" s="16">
        <v>44099</v>
      </c>
      <c r="Z49">
        <v>9808</v>
      </c>
      <c r="AA49">
        <v>127</v>
      </c>
      <c r="AB49" s="16">
        <v>44100</v>
      </c>
      <c r="AC49">
        <v>9880</v>
      </c>
      <c r="AD49">
        <v>73</v>
      </c>
      <c r="AE49" s="16">
        <v>44101</v>
      </c>
      <c r="AF49">
        <v>9950</v>
      </c>
      <c r="AG49">
        <v>70</v>
      </c>
      <c r="AH49" s="16">
        <v>44102</v>
      </c>
      <c r="AI49">
        <v>10075</v>
      </c>
      <c r="AJ49">
        <v>123</v>
      </c>
      <c r="AK49" s="16">
        <v>44103</v>
      </c>
      <c r="AL49">
        <v>10208</v>
      </c>
      <c r="AM49">
        <v>135</v>
      </c>
      <c r="AN49" s="16">
        <v>44104</v>
      </c>
      <c r="AO49">
        <v>10374</v>
      </c>
      <c r="AP49">
        <v>166</v>
      </c>
      <c r="AQ49" s="16">
        <v>44105</v>
      </c>
      <c r="AR49">
        <v>10561</v>
      </c>
      <c r="AS49">
        <v>188</v>
      </c>
      <c r="AT49" s="16">
        <v>44106</v>
      </c>
      <c r="AU49">
        <v>10746</v>
      </c>
      <c r="AV49">
        <v>187</v>
      </c>
      <c r="AW49" s="16">
        <v>44107</v>
      </c>
      <c r="AX49">
        <v>10914</v>
      </c>
      <c r="AY49">
        <v>169</v>
      </c>
      <c r="AZ49" s="16">
        <v>44108</v>
      </c>
      <c r="BA49">
        <v>11061</v>
      </c>
      <c r="BB49">
        <v>147</v>
      </c>
      <c r="BC49" s="16">
        <v>44109</v>
      </c>
      <c r="BD49">
        <v>11350</v>
      </c>
      <c r="BE49">
        <v>289</v>
      </c>
      <c r="BF49" s="16">
        <v>44110</v>
      </c>
      <c r="BG49">
        <v>11648</v>
      </c>
      <c r="BH49">
        <v>299</v>
      </c>
      <c r="BI49" s="16">
        <v>44111</v>
      </c>
      <c r="BJ49">
        <v>11956</v>
      </c>
      <c r="BK49">
        <v>306</v>
      </c>
      <c r="BL49" s="16">
        <v>44112</v>
      </c>
      <c r="BM49">
        <v>12217</v>
      </c>
      <c r="BN49">
        <v>260</v>
      </c>
      <c r="BO49" s="16">
        <v>44113</v>
      </c>
      <c r="BP49">
        <v>12442</v>
      </c>
      <c r="BQ49">
        <v>226</v>
      </c>
      <c r="BR49" s="16">
        <v>44114</v>
      </c>
      <c r="BS49">
        <v>12552</v>
      </c>
      <c r="BT49">
        <v>109</v>
      </c>
      <c r="BU49" s="16">
        <v>44116</v>
      </c>
      <c r="BV49">
        <v>12934</v>
      </c>
      <c r="BW49">
        <v>252</v>
      </c>
      <c r="BX49" s="16">
        <v>44117</v>
      </c>
      <c r="BY49">
        <v>13133</v>
      </c>
      <c r="BZ49">
        <v>197</v>
      </c>
      <c r="CA49" s="16">
        <v>44118</v>
      </c>
      <c r="CB49">
        <v>13337</v>
      </c>
      <c r="CC49">
        <v>200</v>
      </c>
      <c r="CD49" s="16">
        <v>44119</v>
      </c>
      <c r="CE49">
        <v>13535</v>
      </c>
      <c r="CF49">
        <v>190</v>
      </c>
      <c r="CG49" s="16">
        <v>44120</v>
      </c>
      <c r="CH49">
        <v>13728</v>
      </c>
      <c r="CI49">
        <v>192</v>
      </c>
      <c r="CJ49" s="16">
        <v>44121</v>
      </c>
      <c r="CK49">
        <v>13828</v>
      </c>
      <c r="CL49">
        <v>100</v>
      </c>
      <c r="CM49" s="16">
        <v>44122</v>
      </c>
      <c r="CN49">
        <v>13955</v>
      </c>
      <c r="CO49">
        <v>127</v>
      </c>
      <c r="CP49" s="16">
        <v>44123</v>
      </c>
      <c r="CQ49">
        <v>14199</v>
      </c>
      <c r="CR49">
        <v>244</v>
      </c>
      <c r="CS49" s="16">
        <v>44124</v>
      </c>
      <c r="CT49">
        <v>14365</v>
      </c>
      <c r="CU49">
        <v>162</v>
      </c>
      <c r="CV49" s="16">
        <v>44125</v>
      </c>
      <c r="CW49">
        <v>14557</v>
      </c>
      <c r="CX49">
        <v>189</v>
      </c>
      <c r="CY49" s="16">
        <v>44127</v>
      </c>
      <c r="CZ49">
        <v>14960</v>
      </c>
      <c r="DA49">
        <v>192</v>
      </c>
      <c r="DB49" s="16">
        <v>44128</v>
      </c>
      <c r="DC49">
        <v>15067</v>
      </c>
      <c r="DD49">
        <v>108</v>
      </c>
      <c r="DE49" s="16">
        <v>44129</v>
      </c>
      <c r="DF49">
        <v>15192</v>
      </c>
      <c r="DG49">
        <v>123</v>
      </c>
      <c r="DH49" s="16">
        <v>44130</v>
      </c>
      <c r="DI49">
        <v>15448</v>
      </c>
      <c r="DJ49">
        <v>255</v>
      </c>
      <c r="DK49" s="16">
        <v>44131</v>
      </c>
      <c r="DL49">
        <v>15683</v>
      </c>
      <c r="DM49">
        <v>230</v>
      </c>
      <c r="DN49" s="16">
        <v>44132</v>
      </c>
      <c r="DO49">
        <v>15924</v>
      </c>
      <c r="DP49">
        <v>240</v>
      </c>
      <c r="DQ49" s="16">
        <v>44133</v>
      </c>
      <c r="DR49">
        <v>16162</v>
      </c>
      <c r="DS49">
        <v>237</v>
      </c>
      <c r="DT49" s="16">
        <v>44134</v>
      </c>
      <c r="DU49">
        <v>16383</v>
      </c>
      <c r="DV49">
        <v>219</v>
      </c>
      <c r="DW49" s="16">
        <v>44135</v>
      </c>
      <c r="DX49">
        <v>16504</v>
      </c>
      <c r="DY49">
        <v>121</v>
      </c>
      <c r="DZ49" s="16">
        <v>44136</v>
      </c>
      <c r="EA49">
        <v>16654</v>
      </c>
      <c r="EB49">
        <v>150</v>
      </c>
      <c r="EC49" s="16">
        <v>44137</v>
      </c>
      <c r="ED49">
        <v>16927</v>
      </c>
      <c r="EE49">
        <v>281</v>
      </c>
      <c r="EF49" s="16">
        <v>44138</v>
      </c>
      <c r="EG49">
        <v>17168</v>
      </c>
      <c r="EH49">
        <v>241</v>
      </c>
      <c r="EI49" s="16">
        <v>44139</v>
      </c>
      <c r="EJ49">
        <v>17378</v>
      </c>
      <c r="EK49">
        <v>210</v>
      </c>
      <c r="EL49" s="16">
        <v>44140</v>
      </c>
      <c r="EM49">
        <v>17598</v>
      </c>
      <c r="EN49">
        <v>220</v>
      </c>
      <c r="EO49" s="16">
        <v>44141</v>
      </c>
      <c r="EP49">
        <v>17792</v>
      </c>
      <c r="EQ49">
        <v>194</v>
      </c>
      <c r="ER49" s="16">
        <v>44142</v>
      </c>
      <c r="ES49">
        <v>17922</v>
      </c>
      <c r="ET49">
        <v>128</v>
      </c>
      <c r="EU49" s="16"/>
      <c r="EX49" s="16"/>
      <c r="FA49" s="16"/>
      <c r="FD49" s="16"/>
      <c r="FG49" s="16"/>
      <c r="FJ49" s="16"/>
      <c r="FM49" s="16"/>
      <c r="FP49" s="16"/>
      <c r="FS49" s="16"/>
      <c r="FV49" s="16"/>
      <c r="FY49" s="16"/>
      <c r="GB49" s="16"/>
      <c r="GE49" s="16"/>
      <c r="GH49" s="16"/>
      <c r="GK49" s="16"/>
      <c r="GN49" s="16"/>
      <c r="GQ49" s="16"/>
      <c r="GT49" s="16"/>
      <c r="GW49" s="16"/>
      <c r="GZ49" s="16"/>
      <c r="HC49" s="16"/>
      <c r="HF49" s="16"/>
      <c r="HI49" s="16"/>
      <c r="HL49" s="16"/>
      <c r="HO49" s="16"/>
      <c r="HR49" s="16"/>
      <c r="HU49" s="16"/>
      <c r="HX49" s="16"/>
      <c r="IA49" s="16"/>
      <c r="ID49" s="16"/>
      <c r="IG49" s="16"/>
      <c r="IJ49" s="16"/>
      <c r="IM49" s="16"/>
    </row>
    <row r="50" spans="1:247">
      <c r="A50" t="str">
        <f t="shared" ca="1" si="1"/>
        <v>8.11</v>
      </c>
      <c r="B50" s="4">
        <f t="shared" ca="1" si="2"/>
        <v>44143</v>
      </c>
      <c r="C50" s="11">
        <f t="shared" ca="1" si="0"/>
        <v>18055</v>
      </c>
      <c r="D50">
        <f t="shared" ref="D50" ca="1" si="18">C50-C49</f>
        <v>133</v>
      </c>
      <c r="E50" s="11">
        <f t="shared" ca="1" si="4"/>
        <v>0</v>
      </c>
      <c r="F50" s="11">
        <f ca="1">VLOOKUP(B50,Previous,3,FALSE)</f>
        <v>133</v>
      </c>
      <c r="K50" s="3"/>
      <c r="M50" s="16">
        <v>44143</v>
      </c>
      <c r="N50">
        <v>18055</v>
      </c>
      <c r="O50">
        <v>133</v>
      </c>
      <c r="P50" s="16">
        <v>44143</v>
      </c>
      <c r="Q50">
        <v>18055</v>
      </c>
      <c r="R50">
        <v>133</v>
      </c>
      <c r="S50" s="16">
        <v>44098</v>
      </c>
      <c r="T50">
        <v>9679</v>
      </c>
      <c r="U50">
        <v>98</v>
      </c>
      <c r="V50" s="16">
        <v>44099</v>
      </c>
      <c r="W50">
        <v>9805</v>
      </c>
      <c r="X50">
        <v>125</v>
      </c>
      <c r="Y50" s="16">
        <v>44100</v>
      </c>
      <c r="Z50">
        <v>9881</v>
      </c>
      <c r="AA50">
        <v>73</v>
      </c>
      <c r="AB50" s="16">
        <v>44101</v>
      </c>
      <c r="AC50">
        <v>9950</v>
      </c>
      <c r="AD50">
        <v>70</v>
      </c>
      <c r="AE50" s="16">
        <v>44102</v>
      </c>
      <c r="AF50">
        <v>10074</v>
      </c>
      <c r="AG50">
        <v>124</v>
      </c>
      <c r="AH50" s="16">
        <v>44103</v>
      </c>
      <c r="AI50">
        <v>10210</v>
      </c>
      <c r="AJ50">
        <v>135</v>
      </c>
      <c r="AK50" s="16">
        <v>44104</v>
      </c>
      <c r="AL50">
        <v>10374</v>
      </c>
      <c r="AM50">
        <v>166</v>
      </c>
      <c r="AN50" s="16">
        <v>44105</v>
      </c>
      <c r="AO50">
        <v>10562</v>
      </c>
      <c r="AP50">
        <v>188</v>
      </c>
      <c r="AQ50" s="16">
        <v>44106</v>
      </c>
      <c r="AR50">
        <v>10748</v>
      </c>
      <c r="AS50">
        <v>187</v>
      </c>
      <c r="AT50" s="16">
        <v>44107</v>
      </c>
      <c r="AU50">
        <v>10915</v>
      </c>
      <c r="AV50">
        <v>169</v>
      </c>
      <c r="AW50" s="16">
        <v>44108</v>
      </c>
      <c r="AX50">
        <v>11061</v>
      </c>
      <c r="AY50">
        <v>147</v>
      </c>
      <c r="AZ50" s="16">
        <v>44109</v>
      </c>
      <c r="BA50">
        <v>11347</v>
      </c>
      <c r="BB50">
        <v>286</v>
      </c>
      <c r="BC50" s="16">
        <v>44110</v>
      </c>
      <c r="BD50">
        <v>11649</v>
      </c>
      <c r="BE50">
        <v>299</v>
      </c>
      <c r="BF50" s="16">
        <v>44111</v>
      </c>
      <c r="BG50">
        <v>11954</v>
      </c>
      <c r="BH50">
        <v>306</v>
      </c>
      <c r="BI50" s="16">
        <v>44112</v>
      </c>
      <c r="BJ50">
        <v>12216</v>
      </c>
      <c r="BK50">
        <v>260</v>
      </c>
      <c r="BL50" s="16">
        <v>44113</v>
      </c>
      <c r="BM50">
        <v>12443</v>
      </c>
      <c r="BN50">
        <v>226</v>
      </c>
      <c r="BO50" s="16">
        <v>44114</v>
      </c>
      <c r="BP50">
        <v>12551</v>
      </c>
      <c r="BQ50">
        <v>109</v>
      </c>
      <c r="BR50" s="16">
        <v>44115</v>
      </c>
      <c r="BS50">
        <v>12682</v>
      </c>
      <c r="BT50">
        <v>130</v>
      </c>
      <c r="BU50" s="16">
        <v>44117</v>
      </c>
      <c r="BV50">
        <v>13132</v>
      </c>
      <c r="BW50">
        <v>198</v>
      </c>
      <c r="BX50" s="16">
        <v>44118</v>
      </c>
      <c r="BY50">
        <v>13333</v>
      </c>
      <c r="BZ50">
        <v>200</v>
      </c>
      <c r="CA50" s="16">
        <v>44119</v>
      </c>
      <c r="CB50">
        <v>13527</v>
      </c>
      <c r="CC50">
        <v>190</v>
      </c>
      <c r="CD50" s="16">
        <v>44120</v>
      </c>
      <c r="CE50">
        <v>13727</v>
      </c>
      <c r="CF50">
        <v>192</v>
      </c>
      <c r="CG50" s="16">
        <v>44121</v>
      </c>
      <c r="CH50">
        <v>13828</v>
      </c>
      <c r="CI50">
        <v>100</v>
      </c>
      <c r="CJ50" s="16">
        <v>44122</v>
      </c>
      <c r="CK50">
        <v>13955</v>
      </c>
      <c r="CL50">
        <v>127</v>
      </c>
      <c r="CM50" s="16">
        <v>44123</v>
      </c>
      <c r="CN50">
        <v>14199</v>
      </c>
      <c r="CO50">
        <v>244</v>
      </c>
      <c r="CP50" s="16">
        <v>44124</v>
      </c>
      <c r="CQ50">
        <v>14361</v>
      </c>
      <c r="CR50">
        <v>162</v>
      </c>
      <c r="CS50" s="16">
        <v>44125</v>
      </c>
      <c r="CT50">
        <v>14554</v>
      </c>
      <c r="CU50">
        <v>189</v>
      </c>
      <c r="CV50" s="16">
        <v>44126</v>
      </c>
      <c r="CW50">
        <v>14770</v>
      </c>
      <c r="CX50">
        <v>213</v>
      </c>
      <c r="CY50" s="16">
        <v>44128</v>
      </c>
      <c r="CZ50">
        <v>15068</v>
      </c>
      <c r="DA50">
        <v>108</v>
      </c>
      <c r="DB50" s="16">
        <v>44129</v>
      </c>
      <c r="DC50">
        <v>15190</v>
      </c>
      <c r="DD50">
        <v>123</v>
      </c>
      <c r="DE50" s="16">
        <v>44130</v>
      </c>
      <c r="DF50">
        <v>15447</v>
      </c>
      <c r="DG50">
        <v>255</v>
      </c>
      <c r="DH50" s="16">
        <v>44131</v>
      </c>
      <c r="DI50">
        <v>15677</v>
      </c>
      <c r="DJ50">
        <v>229</v>
      </c>
      <c r="DK50" s="16">
        <v>44132</v>
      </c>
      <c r="DL50">
        <v>15923</v>
      </c>
      <c r="DM50">
        <v>240</v>
      </c>
      <c r="DN50" s="16">
        <v>44133</v>
      </c>
      <c r="DO50">
        <v>16161</v>
      </c>
      <c r="DP50">
        <v>237</v>
      </c>
      <c r="DQ50" s="16">
        <v>44134</v>
      </c>
      <c r="DR50">
        <v>16381</v>
      </c>
      <c r="DS50">
        <v>219</v>
      </c>
      <c r="DT50" s="16">
        <v>44135</v>
      </c>
      <c r="DU50">
        <v>16504</v>
      </c>
      <c r="DV50">
        <v>121</v>
      </c>
      <c r="DW50" s="16">
        <v>44136</v>
      </c>
      <c r="DX50">
        <v>16654</v>
      </c>
      <c r="DY50">
        <v>150</v>
      </c>
      <c r="DZ50" s="16">
        <v>44137</v>
      </c>
      <c r="EA50">
        <v>16935</v>
      </c>
      <c r="EB50">
        <v>281</v>
      </c>
      <c r="EC50" s="16">
        <v>44138</v>
      </c>
      <c r="ED50">
        <v>17168</v>
      </c>
      <c r="EE50">
        <v>241</v>
      </c>
      <c r="EF50" s="16">
        <v>44139</v>
      </c>
      <c r="EG50">
        <v>17378</v>
      </c>
      <c r="EH50">
        <v>210</v>
      </c>
      <c r="EI50" s="16">
        <v>44140</v>
      </c>
      <c r="EJ50">
        <v>17598</v>
      </c>
      <c r="EK50">
        <v>220</v>
      </c>
      <c r="EL50" s="16">
        <v>44141</v>
      </c>
      <c r="EM50">
        <v>17792</v>
      </c>
      <c r="EN50">
        <v>194</v>
      </c>
      <c r="EO50" s="16">
        <v>44142</v>
      </c>
      <c r="EP50">
        <v>17920</v>
      </c>
      <c r="EQ50">
        <v>128</v>
      </c>
      <c r="ER50" s="16">
        <v>44143</v>
      </c>
      <c r="ES50">
        <v>18055</v>
      </c>
      <c r="ET50">
        <v>133</v>
      </c>
      <c r="EU50" s="16"/>
      <c r="EX50" s="16"/>
      <c r="FA50" s="16"/>
      <c r="FD50" s="16"/>
      <c r="FG50" s="16"/>
      <c r="FJ50" s="16"/>
      <c r="FM50" s="16"/>
      <c r="FP50" s="16"/>
      <c r="FS50" s="16"/>
      <c r="FV50" s="16"/>
      <c r="FY50" s="16"/>
      <c r="GB50" s="16"/>
      <c r="GE50" s="16"/>
      <c r="GH50" s="16"/>
      <c r="GK50" s="16"/>
      <c r="GN50" s="16"/>
      <c r="GQ50" s="16"/>
      <c r="GT50" s="16"/>
      <c r="GW50" s="16"/>
      <c r="GZ50" s="16"/>
      <c r="HC50" s="16"/>
      <c r="HF50" s="16"/>
      <c r="HI50" s="16"/>
      <c r="HL50" s="16"/>
      <c r="HO50" s="16"/>
      <c r="HR50" s="16"/>
      <c r="HU50" s="16"/>
      <c r="HX50" s="16"/>
      <c r="IA50" s="16"/>
      <c r="ID50" s="16"/>
      <c r="IG50" s="16"/>
      <c r="IJ50" s="16"/>
      <c r="IM50" s="16"/>
    </row>
    <row r="51" spans="1:247" s="10" customFormat="1">
      <c r="A51" t="str">
        <f t="shared" ca="1" si="1"/>
        <v>Ma 9</v>
      </c>
      <c r="B51" s="9">
        <f t="shared" ca="1" si="2"/>
        <v>44144</v>
      </c>
      <c r="C51" s="10">
        <f t="shared" ca="1" si="0"/>
        <v>18330</v>
      </c>
      <c r="D51" s="10">
        <f t="shared" ref="D51" ca="1" si="19">C51-C50</f>
        <v>275</v>
      </c>
      <c r="E51" s="10">
        <f t="shared" ca="1" si="4"/>
        <v>0</v>
      </c>
      <c r="F51" s="10">
        <f t="shared" ca="1" si="6"/>
        <v>275</v>
      </c>
      <c r="G51" s="10">
        <f ca="1">SUM(D51:D57)</f>
        <v>1633</v>
      </c>
      <c r="H51" s="10" t="str">
        <f ca="1">TEXT(G51/G44-1,"0 %")</f>
        <v>16 %</v>
      </c>
      <c r="I51" s="10">
        <f ca="1">SUM(D51:D64)</f>
        <v>3881</v>
      </c>
      <c r="K51" s="14"/>
      <c r="L51"/>
      <c r="M51" s="17">
        <v>44144</v>
      </c>
      <c r="N51" s="10">
        <v>18330</v>
      </c>
      <c r="O51" s="10">
        <v>275</v>
      </c>
      <c r="P51" s="17">
        <v>44144</v>
      </c>
      <c r="Q51" s="10">
        <v>18330</v>
      </c>
      <c r="R51" s="10">
        <v>275</v>
      </c>
      <c r="S51" s="17">
        <v>44099</v>
      </c>
      <c r="T51" s="10">
        <v>9804</v>
      </c>
      <c r="U51" s="10">
        <v>125</v>
      </c>
      <c r="V51" s="17">
        <v>44100</v>
      </c>
      <c r="W51" s="10">
        <v>9878</v>
      </c>
      <c r="X51" s="10">
        <v>73</v>
      </c>
      <c r="Y51" s="17">
        <v>44101</v>
      </c>
      <c r="Z51" s="10">
        <v>9951</v>
      </c>
      <c r="AA51" s="10">
        <v>70</v>
      </c>
      <c r="AB51" s="17">
        <v>44102</v>
      </c>
      <c r="AC51" s="10">
        <v>10074</v>
      </c>
      <c r="AD51" s="10">
        <v>124</v>
      </c>
      <c r="AE51" s="17">
        <v>44103</v>
      </c>
      <c r="AF51" s="10">
        <v>10209</v>
      </c>
      <c r="AG51" s="10">
        <v>135</v>
      </c>
      <c r="AH51" s="17">
        <v>44104</v>
      </c>
      <c r="AI51" s="10">
        <v>10379</v>
      </c>
      <c r="AJ51" s="10">
        <v>169</v>
      </c>
      <c r="AK51" s="17">
        <v>44105</v>
      </c>
      <c r="AL51" s="10">
        <v>10562</v>
      </c>
      <c r="AM51" s="10">
        <v>188</v>
      </c>
      <c r="AN51" s="17">
        <v>44106</v>
      </c>
      <c r="AO51" s="10">
        <v>10749</v>
      </c>
      <c r="AP51" s="10">
        <v>187</v>
      </c>
      <c r="AQ51" s="17">
        <v>44107</v>
      </c>
      <c r="AR51" s="10">
        <v>10917</v>
      </c>
      <c r="AS51" s="10">
        <v>169</v>
      </c>
      <c r="AT51" s="17">
        <v>44108</v>
      </c>
      <c r="AU51" s="10">
        <v>11062</v>
      </c>
      <c r="AV51" s="10">
        <v>147</v>
      </c>
      <c r="AW51" s="17">
        <v>44109</v>
      </c>
      <c r="AX51" s="10">
        <v>11347</v>
      </c>
      <c r="AY51" s="10">
        <v>286</v>
      </c>
      <c r="AZ51" s="17">
        <v>44110</v>
      </c>
      <c r="BA51" s="10">
        <v>11646</v>
      </c>
      <c r="BB51" s="10">
        <v>299</v>
      </c>
      <c r="BC51" s="17">
        <v>44111</v>
      </c>
      <c r="BD51" s="10">
        <v>11958</v>
      </c>
      <c r="BE51" s="10">
        <v>309</v>
      </c>
      <c r="BF51" s="17">
        <v>44112</v>
      </c>
      <c r="BG51" s="10">
        <v>12214</v>
      </c>
      <c r="BH51" s="10">
        <v>260</v>
      </c>
      <c r="BI51" s="17">
        <v>44113</v>
      </c>
      <c r="BJ51" s="10">
        <v>12442</v>
      </c>
      <c r="BK51" s="10">
        <v>226</v>
      </c>
      <c r="BL51" s="17">
        <v>44114</v>
      </c>
      <c r="BM51" s="10">
        <v>12552</v>
      </c>
      <c r="BN51" s="10">
        <v>109</v>
      </c>
      <c r="BO51" s="17">
        <v>44115</v>
      </c>
      <c r="BP51" s="10">
        <v>12681</v>
      </c>
      <c r="BQ51" s="10">
        <v>130</v>
      </c>
      <c r="BR51" s="17">
        <v>44116</v>
      </c>
      <c r="BS51" s="10">
        <v>12934</v>
      </c>
      <c r="BT51" s="10">
        <v>252</v>
      </c>
      <c r="BU51" s="17">
        <v>44118</v>
      </c>
      <c r="BV51" s="10">
        <v>13334</v>
      </c>
      <c r="BW51" s="10">
        <v>202</v>
      </c>
      <c r="BX51" s="17">
        <v>44119</v>
      </c>
      <c r="BY51" s="10">
        <v>13522</v>
      </c>
      <c r="BZ51" s="10">
        <v>189</v>
      </c>
      <c r="CA51" s="17">
        <v>44120</v>
      </c>
      <c r="CB51" s="10">
        <v>13719</v>
      </c>
      <c r="CC51" s="10">
        <v>192</v>
      </c>
      <c r="CD51" s="17">
        <v>44121</v>
      </c>
      <c r="CE51" s="10">
        <v>13827</v>
      </c>
      <c r="CF51" s="10">
        <v>100</v>
      </c>
      <c r="CG51" s="17">
        <v>44122</v>
      </c>
      <c r="CH51" s="10">
        <v>13955</v>
      </c>
      <c r="CI51" s="10">
        <v>127</v>
      </c>
      <c r="CJ51" s="17">
        <v>44123</v>
      </c>
      <c r="CK51" s="10">
        <v>14199</v>
      </c>
      <c r="CL51" s="10">
        <v>244</v>
      </c>
      <c r="CM51" s="17">
        <v>44124</v>
      </c>
      <c r="CN51" s="10">
        <v>14361</v>
      </c>
      <c r="CO51" s="10">
        <v>162</v>
      </c>
      <c r="CP51" s="17">
        <v>44125</v>
      </c>
      <c r="CQ51" s="10">
        <v>14550</v>
      </c>
      <c r="CR51" s="10">
        <v>189</v>
      </c>
      <c r="CS51" s="17">
        <v>44126</v>
      </c>
      <c r="CT51" s="10">
        <v>14766</v>
      </c>
      <c r="CU51" s="10">
        <v>212</v>
      </c>
      <c r="CV51" s="17">
        <v>44127</v>
      </c>
      <c r="CW51" s="10">
        <v>14962</v>
      </c>
      <c r="CX51" s="10">
        <v>192</v>
      </c>
      <c r="CY51" s="17">
        <v>44129</v>
      </c>
      <c r="CZ51" s="10">
        <v>15191</v>
      </c>
      <c r="DA51" s="10">
        <v>123</v>
      </c>
      <c r="DB51" s="17">
        <v>44130</v>
      </c>
      <c r="DC51" s="10">
        <v>15445</v>
      </c>
      <c r="DD51" s="10">
        <v>255</v>
      </c>
      <c r="DE51" s="17">
        <v>44131</v>
      </c>
      <c r="DF51" s="10">
        <v>15677</v>
      </c>
      <c r="DG51" s="10">
        <v>230</v>
      </c>
      <c r="DH51" s="17">
        <v>44132</v>
      </c>
      <c r="DI51" s="10">
        <v>15917</v>
      </c>
      <c r="DJ51" s="10">
        <v>240</v>
      </c>
      <c r="DK51" s="17">
        <v>44133</v>
      </c>
      <c r="DL51" s="10">
        <v>16160</v>
      </c>
      <c r="DM51" s="10">
        <v>237</v>
      </c>
      <c r="DN51" s="17">
        <v>44134</v>
      </c>
      <c r="DO51" s="10">
        <v>16380</v>
      </c>
      <c r="DP51" s="10">
        <v>219</v>
      </c>
      <c r="DQ51" s="17">
        <v>44135</v>
      </c>
      <c r="DR51" s="10">
        <v>16502</v>
      </c>
      <c r="DS51" s="10">
        <v>121</v>
      </c>
      <c r="DT51" s="17">
        <v>44136</v>
      </c>
      <c r="DU51" s="10">
        <v>16654</v>
      </c>
      <c r="DV51" s="10">
        <v>150</v>
      </c>
      <c r="DW51" s="17">
        <v>44137</v>
      </c>
      <c r="DX51" s="10">
        <v>16935</v>
      </c>
      <c r="DY51" s="10">
        <v>281</v>
      </c>
      <c r="DZ51" s="17">
        <v>44138</v>
      </c>
      <c r="EA51" s="10">
        <v>17176</v>
      </c>
      <c r="EB51" s="10">
        <v>241</v>
      </c>
      <c r="EC51" s="17">
        <v>44139</v>
      </c>
      <c r="ED51" s="10">
        <v>17378</v>
      </c>
      <c r="EE51" s="10">
        <v>210</v>
      </c>
      <c r="EF51" s="17">
        <v>44140</v>
      </c>
      <c r="EG51" s="10">
        <v>17598</v>
      </c>
      <c r="EH51" s="10">
        <v>220</v>
      </c>
      <c r="EI51" s="17">
        <v>44141</v>
      </c>
      <c r="EJ51" s="10">
        <v>17794</v>
      </c>
      <c r="EK51" s="10">
        <v>196</v>
      </c>
      <c r="EL51" s="17">
        <v>44142</v>
      </c>
      <c r="EM51" s="10">
        <v>17922</v>
      </c>
      <c r="EN51" s="10">
        <v>130</v>
      </c>
      <c r="EO51" s="17">
        <v>44143</v>
      </c>
      <c r="EP51" s="10">
        <v>18053</v>
      </c>
      <c r="EQ51" s="10">
        <v>133</v>
      </c>
      <c r="ER51" s="17">
        <v>44144</v>
      </c>
      <c r="ES51" s="10">
        <v>18330</v>
      </c>
      <c r="ET51" s="10">
        <v>275</v>
      </c>
      <c r="EU51" s="17"/>
      <c r="EX51" s="17"/>
      <c r="FA51" s="17"/>
      <c r="FD51" s="17"/>
      <c r="FG51" s="17"/>
      <c r="FJ51" s="17"/>
      <c r="FM51" s="17"/>
      <c r="FP51" s="17"/>
      <c r="FS51" s="17"/>
      <c r="FV51" s="17"/>
      <c r="FY51" s="17"/>
      <c r="GB51" s="17"/>
      <c r="GE51" s="17"/>
      <c r="GH51" s="17"/>
      <c r="GK51" s="17"/>
      <c r="GN51" s="17"/>
      <c r="GQ51" s="17"/>
      <c r="GT51" s="17"/>
      <c r="GW51" s="17"/>
      <c r="GZ51" s="17"/>
      <c r="HC51" s="17"/>
      <c r="HF51" s="17"/>
      <c r="HI51" s="17"/>
      <c r="HL51" s="17"/>
      <c r="HO51" s="17"/>
      <c r="HR51" s="17"/>
      <c r="HU51" s="17"/>
      <c r="HX51" s="17"/>
      <c r="IA51" s="17"/>
      <c r="ID51" s="17"/>
      <c r="IG51" s="17"/>
      <c r="IJ51" s="17"/>
      <c r="IM51" s="17"/>
    </row>
    <row r="52" spans="1:247">
      <c r="A52" t="str">
        <f t="shared" ca="1" si="1"/>
        <v>10.11</v>
      </c>
      <c r="B52" s="4">
        <f t="shared" ca="1" si="2"/>
        <v>44145</v>
      </c>
      <c r="C52" s="11">
        <f t="shared" ca="1" si="0"/>
        <v>18535</v>
      </c>
      <c r="D52">
        <f t="shared" ref="D52:D63" ca="1" si="20">C52-C51</f>
        <v>205</v>
      </c>
      <c r="E52" s="11">
        <f t="shared" ca="1" si="4"/>
        <v>-1</v>
      </c>
      <c r="F52" s="11">
        <f t="shared" ca="1" si="6"/>
        <v>206</v>
      </c>
      <c r="G52" s="10"/>
      <c r="K52" s="3"/>
      <c r="M52" s="16">
        <v>44145</v>
      </c>
      <c r="N52">
        <v>18536</v>
      </c>
      <c r="O52">
        <v>206</v>
      </c>
      <c r="P52" s="16">
        <v>44145</v>
      </c>
      <c r="Q52">
        <v>18536</v>
      </c>
      <c r="R52">
        <v>206</v>
      </c>
      <c r="S52" s="16">
        <v>44100</v>
      </c>
      <c r="T52">
        <v>9877</v>
      </c>
      <c r="U52">
        <v>73</v>
      </c>
      <c r="V52" s="16">
        <v>44101</v>
      </c>
      <c r="W52">
        <v>9947</v>
      </c>
      <c r="X52">
        <v>69</v>
      </c>
      <c r="Y52" s="16">
        <v>44102</v>
      </c>
      <c r="Z52">
        <v>10075</v>
      </c>
      <c r="AA52">
        <v>124</v>
      </c>
      <c r="AB52" s="16">
        <v>44103</v>
      </c>
      <c r="AC52">
        <v>10209</v>
      </c>
      <c r="AD52">
        <v>135</v>
      </c>
      <c r="AE52" s="16">
        <v>44104</v>
      </c>
      <c r="AF52">
        <v>10376</v>
      </c>
      <c r="AG52">
        <v>167</v>
      </c>
      <c r="AH52" s="16">
        <v>44105</v>
      </c>
      <c r="AI52">
        <v>10571</v>
      </c>
      <c r="AJ52">
        <v>192</v>
      </c>
      <c r="AK52" s="16">
        <v>44106</v>
      </c>
      <c r="AL52">
        <v>10749</v>
      </c>
      <c r="AM52">
        <v>187</v>
      </c>
      <c r="AN52" s="16">
        <v>44107</v>
      </c>
      <c r="AO52">
        <v>10918</v>
      </c>
      <c r="AP52">
        <v>169</v>
      </c>
      <c r="AQ52" s="16">
        <v>44108</v>
      </c>
      <c r="AR52">
        <v>11064</v>
      </c>
      <c r="AS52">
        <v>147</v>
      </c>
      <c r="AT52" s="16">
        <v>44109</v>
      </c>
      <c r="AU52">
        <v>11349</v>
      </c>
      <c r="AV52">
        <v>287</v>
      </c>
      <c r="AW52" s="16">
        <v>44110</v>
      </c>
      <c r="AX52">
        <v>11646</v>
      </c>
      <c r="AY52">
        <v>299</v>
      </c>
      <c r="AZ52" s="16">
        <v>44111</v>
      </c>
      <c r="BA52">
        <v>11954</v>
      </c>
      <c r="BB52">
        <v>308</v>
      </c>
      <c r="BC52" s="16">
        <v>44112</v>
      </c>
      <c r="BD52">
        <v>12219</v>
      </c>
      <c r="BE52">
        <v>261</v>
      </c>
      <c r="BF52" s="16">
        <v>44113</v>
      </c>
      <c r="BG52">
        <v>12440</v>
      </c>
      <c r="BH52">
        <v>226</v>
      </c>
      <c r="BI52" s="16">
        <v>44114</v>
      </c>
      <c r="BJ52">
        <v>12551</v>
      </c>
      <c r="BK52">
        <v>109</v>
      </c>
      <c r="BL52" s="16">
        <v>44115</v>
      </c>
      <c r="BM52">
        <v>12682</v>
      </c>
      <c r="BN52">
        <v>130</v>
      </c>
      <c r="BO52" s="16">
        <v>44116</v>
      </c>
      <c r="BP52">
        <v>12933</v>
      </c>
      <c r="BQ52">
        <v>252</v>
      </c>
      <c r="BR52" s="16">
        <v>44117</v>
      </c>
      <c r="BS52">
        <v>13131</v>
      </c>
      <c r="BT52">
        <v>197</v>
      </c>
      <c r="BU52" s="16">
        <v>44119</v>
      </c>
      <c r="BV52">
        <v>13524</v>
      </c>
      <c r="BW52">
        <v>190</v>
      </c>
      <c r="BX52" s="16">
        <v>44120</v>
      </c>
      <c r="BY52">
        <v>13714</v>
      </c>
      <c r="BZ52">
        <v>192</v>
      </c>
      <c r="CA52" s="16">
        <v>44121</v>
      </c>
      <c r="CB52">
        <v>13819</v>
      </c>
      <c r="CC52">
        <v>100</v>
      </c>
      <c r="CD52" s="16">
        <v>44122</v>
      </c>
      <c r="CE52">
        <v>13954</v>
      </c>
      <c r="CF52">
        <v>127</v>
      </c>
      <c r="CG52" s="16">
        <v>44123</v>
      </c>
      <c r="CH52">
        <v>14199</v>
      </c>
      <c r="CI52">
        <v>244</v>
      </c>
      <c r="CJ52" s="16">
        <v>44124</v>
      </c>
      <c r="CK52">
        <v>14361</v>
      </c>
      <c r="CL52">
        <v>162</v>
      </c>
      <c r="CM52" s="16">
        <v>44125</v>
      </c>
      <c r="CN52">
        <v>14550</v>
      </c>
      <c r="CO52">
        <v>189</v>
      </c>
      <c r="CP52" s="16">
        <v>44126</v>
      </c>
      <c r="CQ52">
        <v>14762</v>
      </c>
      <c r="CR52">
        <v>212</v>
      </c>
      <c r="CS52" s="16">
        <v>44127</v>
      </c>
      <c r="CT52">
        <v>14958</v>
      </c>
      <c r="CU52">
        <v>192</v>
      </c>
      <c r="CV52" s="16">
        <v>44128</v>
      </c>
      <c r="CW52">
        <v>15070</v>
      </c>
      <c r="CX52">
        <v>108</v>
      </c>
      <c r="CY52" s="16">
        <v>44130</v>
      </c>
      <c r="CZ52">
        <v>15446</v>
      </c>
      <c r="DA52">
        <v>255</v>
      </c>
      <c r="DB52" s="16">
        <v>44131</v>
      </c>
      <c r="DC52">
        <v>15675</v>
      </c>
      <c r="DD52">
        <v>230</v>
      </c>
      <c r="DE52" s="16">
        <v>44132</v>
      </c>
      <c r="DF52">
        <v>15918</v>
      </c>
      <c r="DG52">
        <v>241</v>
      </c>
      <c r="DH52" s="16">
        <v>44133</v>
      </c>
      <c r="DI52">
        <v>16154</v>
      </c>
      <c r="DJ52">
        <v>237</v>
      </c>
      <c r="DK52" s="16">
        <v>44134</v>
      </c>
      <c r="DL52">
        <v>16379</v>
      </c>
      <c r="DM52">
        <v>219</v>
      </c>
      <c r="DN52" s="16">
        <v>44135</v>
      </c>
      <c r="DO52">
        <v>16501</v>
      </c>
      <c r="DP52">
        <v>121</v>
      </c>
      <c r="DQ52" s="16">
        <v>44136</v>
      </c>
      <c r="DR52">
        <v>16651</v>
      </c>
      <c r="DS52">
        <v>149</v>
      </c>
      <c r="DT52" s="16">
        <v>44137</v>
      </c>
      <c r="DU52">
        <v>16935</v>
      </c>
      <c r="DV52">
        <v>281</v>
      </c>
      <c r="DW52" s="16">
        <v>44138</v>
      </c>
      <c r="DX52">
        <v>17176</v>
      </c>
      <c r="DY52">
        <v>241</v>
      </c>
      <c r="DZ52" s="16">
        <v>44139</v>
      </c>
      <c r="EA52">
        <v>17385</v>
      </c>
      <c r="EB52">
        <v>209</v>
      </c>
      <c r="EC52" s="16">
        <v>44140</v>
      </c>
      <c r="ED52">
        <v>17598</v>
      </c>
      <c r="EE52">
        <v>220</v>
      </c>
      <c r="EF52" s="16">
        <v>44141</v>
      </c>
      <c r="EG52">
        <v>17794</v>
      </c>
      <c r="EH52">
        <v>196</v>
      </c>
      <c r="EI52" s="16">
        <v>44142</v>
      </c>
      <c r="EJ52">
        <v>17924</v>
      </c>
      <c r="EK52">
        <v>130</v>
      </c>
      <c r="EL52" s="16">
        <v>44143</v>
      </c>
      <c r="EM52">
        <v>18055</v>
      </c>
      <c r="EN52">
        <v>133</v>
      </c>
      <c r="EO52" s="16">
        <v>44144</v>
      </c>
      <c r="EP52">
        <v>18328</v>
      </c>
      <c r="EQ52">
        <v>275</v>
      </c>
      <c r="ER52" s="16">
        <v>44145</v>
      </c>
      <c r="ES52">
        <v>18536</v>
      </c>
      <c r="ET52">
        <v>206</v>
      </c>
      <c r="EU52" s="16"/>
      <c r="EX52" s="16"/>
      <c r="FA52" s="16"/>
      <c r="FD52" s="16"/>
      <c r="FG52" s="16"/>
      <c r="FJ52" s="16"/>
      <c r="FM52" s="16"/>
      <c r="FP52" s="16"/>
      <c r="FS52" s="16"/>
      <c r="FV52" s="16"/>
      <c r="FY52" s="16"/>
      <c r="GB52" s="16"/>
      <c r="GE52" s="16"/>
      <c r="GH52" s="16"/>
      <c r="GK52" s="16"/>
      <c r="GN52" s="16"/>
      <c r="GQ52" s="16"/>
      <c r="GT52" s="16"/>
      <c r="GW52" s="16"/>
      <c r="GZ52" s="16"/>
      <c r="HC52" s="16"/>
      <c r="HF52" s="16"/>
      <c r="HI52" s="16"/>
      <c r="HL52" s="16"/>
      <c r="HO52" s="16"/>
      <c r="HR52" s="16"/>
      <c r="HU52" s="16"/>
      <c r="HX52" s="16"/>
      <c r="IA52" s="16"/>
      <c r="ID52" s="16"/>
      <c r="IG52" s="16"/>
      <c r="IJ52" s="16"/>
      <c r="IM52" s="16"/>
    </row>
    <row r="53" spans="1:247">
      <c r="A53" t="str">
        <f t="shared" ca="1" si="1"/>
        <v>11.11</v>
      </c>
      <c r="B53" s="4">
        <f t="shared" ca="1" si="2"/>
        <v>44146</v>
      </c>
      <c r="C53" s="11">
        <f t="shared" ca="1" si="0"/>
        <v>18826</v>
      </c>
      <c r="D53">
        <f t="shared" ca="1" si="20"/>
        <v>291</v>
      </c>
      <c r="E53" s="11">
        <f t="shared" ca="1" si="4"/>
        <v>0</v>
      </c>
      <c r="F53" s="11">
        <f t="shared" ca="1" si="6"/>
        <v>291</v>
      </c>
      <c r="J53" s="13"/>
      <c r="K53" s="3"/>
      <c r="M53" s="16">
        <v>44146</v>
      </c>
      <c r="N53">
        <v>18827</v>
      </c>
      <c r="O53">
        <v>291</v>
      </c>
      <c r="P53" s="16">
        <v>44146</v>
      </c>
      <c r="Q53">
        <v>18827</v>
      </c>
      <c r="R53">
        <v>291</v>
      </c>
      <c r="S53" s="16">
        <v>44101</v>
      </c>
      <c r="T53">
        <v>9946</v>
      </c>
      <c r="U53">
        <v>69</v>
      </c>
      <c r="V53" s="16">
        <v>44102</v>
      </c>
      <c r="W53">
        <v>10070</v>
      </c>
      <c r="X53">
        <v>123</v>
      </c>
      <c r="Y53" s="16">
        <v>44103</v>
      </c>
      <c r="Z53">
        <v>10210</v>
      </c>
      <c r="AA53">
        <v>135</v>
      </c>
      <c r="AB53" s="16">
        <v>44104</v>
      </c>
      <c r="AC53">
        <v>10376</v>
      </c>
      <c r="AD53">
        <v>167</v>
      </c>
      <c r="AE53" s="16">
        <v>44105</v>
      </c>
      <c r="AF53">
        <v>10568</v>
      </c>
      <c r="AG53">
        <v>192</v>
      </c>
      <c r="AH53" s="16">
        <v>44106</v>
      </c>
      <c r="AI53">
        <v>10760</v>
      </c>
      <c r="AJ53">
        <v>189</v>
      </c>
      <c r="AK53" s="16">
        <v>44107</v>
      </c>
      <c r="AL53">
        <v>10918</v>
      </c>
      <c r="AM53">
        <v>169</v>
      </c>
      <c r="AN53" s="16">
        <v>44108</v>
      </c>
      <c r="AO53">
        <v>11065</v>
      </c>
      <c r="AP53">
        <v>147</v>
      </c>
      <c r="AQ53" s="16">
        <v>44109</v>
      </c>
      <c r="AR53">
        <v>11351</v>
      </c>
      <c r="AS53">
        <v>287</v>
      </c>
      <c r="AT53" s="16">
        <v>44110</v>
      </c>
      <c r="AU53">
        <v>11648</v>
      </c>
      <c r="AV53">
        <v>299</v>
      </c>
      <c r="AW53" s="16">
        <v>44111</v>
      </c>
      <c r="AX53">
        <v>11954</v>
      </c>
      <c r="AY53">
        <v>308</v>
      </c>
      <c r="AZ53" s="16">
        <v>44112</v>
      </c>
      <c r="BA53">
        <v>12215</v>
      </c>
      <c r="BB53">
        <v>261</v>
      </c>
      <c r="BC53" s="16">
        <v>44113</v>
      </c>
      <c r="BD53">
        <v>12446</v>
      </c>
      <c r="BE53">
        <v>227</v>
      </c>
      <c r="BF53" s="16">
        <v>44114</v>
      </c>
      <c r="BG53">
        <v>12549</v>
      </c>
      <c r="BH53">
        <v>109</v>
      </c>
      <c r="BI53" s="16">
        <v>44115</v>
      </c>
      <c r="BJ53">
        <v>12681</v>
      </c>
      <c r="BK53">
        <v>130</v>
      </c>
      <c r="BL53" s="16">
        <v>44116</v>
      </c>
      <c r="BM53">
        <v>12934</v>
      </c>
      <c r="BN53">
        <v>252</v>
      </c>
      <c r="BO53" s="16">
        <v>44117</v>
      </c>
      <c r="BP53">
        <v>13133</v>
      </c>
      <c r="BQ53">
        <v>200</v>
      </c>
      <c r="BR53" s="16">
        <v>44118</v>
      </c>
      <c r="BS53">
        <v>13333</v>
      </c>
      <c r="BT53">
        <v>202</v>
      </c>
      <c r="BU53" s="16">
        <v>44120</v>
      </c>
      <c r="BV53">
        <v>13717</v>
      </c>
      <c r="BW53">
        <v>193</v>
      </c>
      <c r="BX53" s="16">
        <v>44121</v>
      </c>
      <c r="BY53">
        <v>13814</v>
      </c>
      <c r="BZ53">
        <v>100</v>
      </c>
      <c r="CA53" s="16">
        <v>44122</v>
      </c>
      <c r="CB53">
        <v>13946</v>
      </c>
      <c r="CC53">
        <v>127</v>
      </c>
      <c r="CD53" s="16">
        <v>44123</v>
      </c>
      <c r="CE53">
        <v>14198</v>
      </c>
      <c r="CF53">
        <v>244</v>
      </c>
      <c r="CG53" s="16">
        <v>44124</v>
      </c>
      <c r="CH53">
        <v>14361</v>
      </c>
      <c r="CI53">
        <v>162</v>
      </c>
      <c r="CJ53" s="16">
        <v>44125</v>
      </c>
      <c r="CK53">
        <v>14550</v>
      </c>
      <c r="CL53">
        <v>189</v>
      </c>
      <c r="CM53" s="16">
        <v>44126</v>
      </c>
      <c r="CN53">
        <v>14762</v>
      </c>
      <c r="CO53">
        <v>212</v>
      </c>
      <c r="CP53" s="16">
        <v>44127</v>
      </c>
      <c r="CQ53">
        <v>14954</v>
      </c>
      <c r="CR53">
        <v>192</v>
      </c>
      <c r="CS53" s="16">
        <v>44128</v>
      </c>
      <c r="CT53">
        <v>15066</v>
      </c>
      <c r="CU53">
        <v>108</v>
      </c>
      <c r="CV53" s="16">
        <v>44129</v>
      </c>
      <c r="CW53">
        <v>15193</v>
      </c>
      <c r="CX53">
        <v>123</v>
      </c>
      <c r="CY53" s="16">
        <v>44131</v>
      </c>
      <c r="CZ53">
        <v>15676</v>
      </c>
      <c r="DA53">
        <v>230</v>
      </c>
      <c r="DB53" s="16">
        <v>44132</v>
      </c>
      <c r="DC53">
        <v>15916</v>
      </c>
      <c r="DD53">
        <v>241</v>
      </c>
      <c r="DE53" s="16">
        <v>44133</v>
      </c>
      <c r="DF53">
        <v>16155</v>
      </c>
      <c r="DG53">
        <v>237</v>
      </c>
      <c r="DH53" s="16">
        <v>44134</v>
      </c>
      <c r="DI53">
        <v>16373</v>
      </c>
      <c r="DJ53">
        <v>219</v>
      </c>
      <c r="DK53" s="16">
        <v>44135</v>
      </c>
      <c r="DL53">
        <v>16500</v>
      </c>
      <c r="DM53">
        <v>121</v>
      </c>
      <c r="DN53" s="16">
        <v>44136</v>
      </c>
      <c r="DO53">
        <v>16651</v>
      </c>
      <c r="DP53">
        <v>150</v>
      </c>
      <c r="DQ53" s="16">
        <v>44137</v>
      </c>
      <c r="DR53">
        <v>16932</v>
      </c>
      <c r="DS53">
        <v>281</v>
      </c>
      <c r="DT53" s="16">
        <v>44138</v>
      </c>
      <c r="DU53">
        <v>17176</v>
      </c>
      <c r="DV53">
        <v>241</v>
      </c>
      <c r="DW53" s="16">
        <v>44139</v>
      </c>
      <c r="DX53">
        <v>17384</v>
      </c>
      <c r="DY53">
        <v>208</v>
      </c>
      <c r="DZ53" s="16">
        <v>44140</v>
      </c>
      <c r="EA53">
        <v>17604</v>
      </c>
      <c r="EB53">
        <v>219</v>
      </c>
      <c r="EC53" s="16">
        <v>44141</v>
      </c>
      <c r="ED53">
        <v>17792</v>
      </c>
      <c r="EE53">
        <v>194</v>
      </c>
      <c r="EF53" s="16">
        <v>44142</v>
      </c>
      <c r="EG53">
        <v>17924</v>
      </c>
      <c r="EH53">
        <v>130</v>
      </c>
      <c r="EI53" s="16">
        <v>44143</v>
      </c>
      <c r="EJ53">
        <v>18058</v>
      </c>
      <c r="EK53">
        <v>134</v>
      </c>
      <c r="EL53" s="16">
        <v>44144</v>
      </c>
      <c r="EM53">
        <v>18331</v>
      </c>
      <c r="EN53">
        <v>276</v>
      </c>
      <c r="EO53" s="16">
        <v>44145</v>
      </c>
      <c r="EP53">
        <v>18533</v>
      </c>
      <c r="EQ53">
        <v>205</v>
      </c>
      <c r="ER53" s="16">
        <v>44146</v>
      </c>
      <c r="ES53">
        <v>18827</v>
      </c>
      <c r="ET53">
        <v>291</v>
      </c>
      <c r="EU53" s="16"/>
      <c r="EX53" s="16"/>
      <c r="FA53" s="16"/>
      <c r="FD53" s="16"/>
      <c r="FG53" s="16"/>
      <c r="FJ53" s="16"/>
      <c r="FM53" s="16"/>
      <c r="FP53" s="16"/>
      <c r="FS53" s="16"/>
      <c r="FV53" s="16"/>
      <c r="FY53" s="16"/>
      <c r="GB53" s="16"/>
      <c r="GE53" s="16"/>
      <c r="GH53" s="16"/>
      <c r="GK53" s="16"/>
      <c r="GN53" s="16"/>
      <c r="GQ53" s="16"/>
      <c r="GT53" s="16"/>
      <c r="GW53" s="16"/>
      <c r="GZ53" s="16"/>
      <c r="HC53" s="16"/>
      <c r="HF53" s="16"/>
      <c r="HI53" s="16"/>
      <c r="HL53" s="16"/>
      <c r="HO53" s="16"/>
      <c r="HR53" s="16"/>
      <c r="HU53" s="16"/>
      <c r="HX53" s="16"/>
      <c r="IA53" s="16"/>
      <c r="ID53" s="16"/>
      <c r="IG53" s="16"/>
      <c r="IJ53" s="16"/>
      <c r="IM53" s="16"/>
    </row>
    <row r="54" spans="1:247">
      <c r="A54" t="str">
        <f t="shared" ca="1" si="1"/>
        <v>12.11</v>
      </c>
      <c r="B54" s="4">
        <f t="shared" ca="1" si="2"/>
        <v>44147</v>
      </c>
      <c r="C54" s="11">
        <f t="shared" ca="1" si="0"/>
        <v>19103</v>
      </c>
      <c r="D54">
        <f t="shared" ca="1" si="20"/>
        <v>277</v>
      </c>
      <c r="E54" s="11">
        <f t="shared" ca="1" si="4"/>
        <v>0</v>
      </c>
      <c r="F54" s="11">
        <f t="shared" ca="1" si="6"/>
        <v>277</v>
      </c>
      <c r="M54" s="16">
        <v>44147</v>
      </c>
      <c r="N54">
        <v>19104</v>
      </c>
      <c r="O54">
        <v>277</v>
      </c>
      <c r="P54" s="16">
        <v>44147</v>
      </c>
      <c r="Q54">
        <v>19104</v>
      </c>
      <c r="R54">
        <v>277</v>
      </c>
      <c r="S54" s="16">
        <v>44102</v>
      </c>
      <c r="T54">
        <v>10069</v>
      </c>
      <c r="U54">
        <v>123</v>
      </c>
      <c r="V54" s="16">
        <v>44103</v>
      </c>
      <c r="W54">
        <v>10205</v>
      </c>
      <c r="X54">
        <v>135</v>
      </c>
      <c r="Y54" s="16">
        <v>44104</v>
      </c>
      <c r="Z54">
        <v>10378</v>
      </c>
      <c r="AA54">
        <v>168</v>
      </c>
      <c r="AB54" s="16">
        <v>44105</v>
      </c>
      <c r="AC54">
        <v>10567</v>
      </c>
      <c r="AD54">
        <v>191</v>
      </c>
      <c r="AE54" s="16">
        <v>44106</v>
      </c>
      <c r="AF54">
        <v>10758</v>
      </c>
      <c r="AG54">
        <v>190</v>
      </c>
      <c r="AH54" s="16">
        <v>44107</v>
      </c>
      <c r="AI54">
        <v>10932</v>
      </c>
      <c r="AJ54">
        <v>172</v>
      </c>
      <c r="AK54" s="16">
        <v>44108</v>
      </c>
      <c r="AL54">
        <v>11065</v>
      </c>
      <c r="AM54">
        <v>147</v>
      </c>
      <c r="AN54" s="16">
        <v>44109</v>
      </c>
      <c r="AO54">
        <v>11353</v>
      </c>
      <c r="AP54">
        <v>288</v>
      </c>
      <c r="AQ54" s="16">
        <v>44110</v>
      </c>
      <c r="AR54">
        <v>11650</v>
      </c>
      <c r="AS54">
        <v>299</v>
      </c>
      <c r="AT54" s="16">
        <v>44111</v>
      </c>
      <c r="AU54">
        <v>11956</v>
      </c>
      <c r="AV54">
        <v>308</v>
      </c>
      <c r="AW54" s="16">
        <v>44112</v>
      </c>
      <c r="AX54">
        <v>12216</v>
      </c>
      <c r="AY54">
        <v>262</v>
      </c>
      <c r="AZ54" s="16">
        <v>44113</v>
      </c>
      <c r="BA54">
        <v>12443</v>
      </c>
      <c r="BB54">
        <v>228</v>
      </c>
      <c r="BC54" s="16">
        <v>44114</v>
      </c>
      <c r="BD54">
        <v>12559</v>
      </c>
      <c r="BE54">
        <v>113</v>
      </c>
      <c r="BF54" s="16">
        <v>44115</v>
      </c>
      <c r="BG54">
        <v>12679</v>
      </c>
      <c r="BH54">
        <v>130</v>
      </c>
      <c r="BI54" s="16">
        <v>44116</v>
      </c>
      <c r="BJ54">
        <v>12934</v>
      </c>
      <c r="BK54">
        <v>253</v>
      </c>
      <c r="BL54" s="16">
        <v>44117</v>
      </c>
      <c r="BM54">
        <v>13131</v>
      </c>
      <c r="BN54">
        <v>197</v>
      </c>
      <c r="BO54" s="16">
        <v>44118</v>
      </c>
      <c r="BP54">
        <v>13333</v>
      </c>
      <c r="BQ54">
        <v>200</v>
      </c>
      <c r="BR54" s="16">
        <v>44119</v>
      </c>
      <c r="BS54">
        <v>13523</v>
      </c>
      <c r="BT54">
        <v>190</v>
      </c>
      <c r="BU54" s="16">
        <v>44121</v>
      </c>
      <c r="BV54">
        <v>13818</v>
      </c>
      <c r="BW54">
        <v>101</v>
      </c>
      <c r="BX54" s="16">
        <v>44122</v>
      </c>
      <c r="BY54">
        <v>13941</v>
      </c>
      <c r="BZ54">
        <v>127</v>
      </c>
      <c r="CA54" s="16">
        <v>44123</v>
      </c>
      <c r="CB54">
        <v>14188</v>
      </c>
      <c r="CC54">
        <v>242</v>
      </c>
      <c r="CD54" s="16">
        <v>44124</v>
      </c>
      <c r="CE54">
        <v>14359</v>
      </c>
      <c r="CF54">
        <v>161</v>
      </c>
      <c r="CG54" s="16">
        <v>44125</v>
      </c>
      <c r="CH54">
        <v>14550</v>
      </c>
      <c r="CI54">
        <v>189</v>
      </c>
      <c r="CJ54" s="16">
        <v>44126</v>
      </c>
      <c r="CK54">
        <v>14762</v>
      </c>
      <c r="CL54">
        <v>212</v>
      </c>
      <c r="CM54" s="16">
        <v>44127</v>
      </c>
      <c r="CN54">
        <v>14954</v>
      </c>
      <c r="CO54">
        <v>192</v>
      </c>
      <c r="CP54" s="16">
        <v>44128</v>
      </c>
      <c r="CQ54">
        <v>15061</v>
      </c>
      <c r="CR54">
        <v>107</v>
      </c>
      <c r="CS54" s="16">
        <v>44129</v>
      </c>
      <c r="CT54">
        <v>15189</v>
      </c>
      <c r="CU54">
        <v>123</v>
      </c>
      <c r="CV54" s="16">
        <v>44130</v>
      </c>
      <c r="CW54">
        <v>15448</v>
      </c>
      <c r="CX54">
        <v>255</v>
      </c>
      <c r="CY54" s="16">
        <v>44132</v>
      </c>
      <c r="CZ54">
        <v>15917</v>
      </c>
      <c r="DA54">
        <v>241</v>
      </c>
      <c r="DB54" s="16">
        <v>44133</v>
      </c>
      <c r="DC54">
        <v>16153</v>
      </c>
      <c r="DD54">
        <v>237</v>
      </c>
      <c r="DE54" s="16">
        <v>44134</v>
      </c>
      <c r="DF54">
        <v>16371</v>
      </c>
      <c r="DG54">
        <v>216</v>
      </c>
      <c r="DH54" s="16">
        <v>44135</v>
      </c>
      <c r="DI54">
        <v>16494</v>
      </c>
      <c r="DJ54">
        <v>121</v>
      </c>
      <c r="DK54" s="16">
        <v>44136</v>
      </c>
      <c r="DL54">
        <v>16650</v>
      </c>
      <c r="DM54">
        <v>150</v>
      </c>
      <c r="DN54" s="16">
        <v>44137</v>
      </c>
      <c r="DO54">
        <v>16932</v>
      </c>
      <c r="DP54">
        <v>281</v>
      </c>
      <c r="DQ54" s="16">
        <v>44138</v>
      </c>
      <c r="DR54">
        <v>17173</v>
      </c>
      <c r="DS54">
        <v>241</v>
      </c>
      <c r="DT54" s="16">
        <v>44139</v>
      </c>
      <c r="DU54">
        <v>17384</v>
      </c>
      <c r="DV54">
        <v>208</v>
      </c>
      <c r="DW54" s="16">
        <v>44140</v>
      </c>
      <c r="DX54">
        <v>17603</v>
      </c>
      <c r="DY54">
        <v>219</v>
      </c>
      <c r="DZ54" s="16">
        <v>44141</v>
      </c>
      <c r="EA54">
        <v>17798</v>
      </c>
      <c r="EB54">
        <v>194</v>
      </c>
      <c r="EC54" s="16">
        <v>44142</v>
      </c>
      <c r="ED54">
        <v>17922</v>
      </c>
      <c r="EE54">
        <v>130</v>
      </c>
      <c r="EF54" s="16">
        <v>44143</v>
      </c>
      <c r="EG54">
        <v>18058</v>
      </c>
      <c r="EH54">
        <v>134</v>
      </c>
      <c r="EI54" s="16">
        <v>44144</v>
      </c>
      <c r="EJ54">
        <v>18335</v>
      </c>
      <c r="EK54">
        <v>277</v>
      </c>
      <c r="EL54" s="16">
        <v>44145</v>
      </c>
      <c r="EM54">
        <v>18544</v>
      </c>
      <c r="EN54">
        <v>213</v>
      </c>
      <c r="EO54" s="16">
        <v>44146</v>
      </c>
      <c r="EP54">
        <v>18824</v>
      </c>
      <c r="EQ54">
        <v>291</v>
      </c>
      <c r="ER54" s="16">
        <v>44147</v>
      </c>
      <c r="ES54">
        <v>19104</v>
      </c>
      <c r="ET54">
        <v>277</v>
      </c>
      <c r="EU54" s="16"/>
      <c r="EX54" s="16"/>
      <c r="FA54" s="16"/>
      <c r="FD54" s="16"/>
      <c r="FG54" s="16"/>
      <c r="FJ54" s="16"/>
      <c r="FM54" s="16"/>
      <c r="FP54" s="16"/>
      <c r="FS54" s="16"/>
      <c r="FV54" s="16"/>
      <c r="FY54" s="16"/>
      <c r="GB54" s="16"/>
      <c r="GE54" s="16"/>
      <c r="GH54" s="16"/>
      <c r="GK54" s="16"/>
      <c r="GN54" s="16"/>
      <c r="GQ54" s="16"/>
      <c r="GT54" s="16"/>
      <c r="GW54" s="16"/>
      <c r="GZ54" s="16"/>
      <c r="HC54" s="16"/>
      <c r="HF54" s="16"/>
      <c r="HI54" s="16"/>
      <c r="HL54" s="16"/>
      <c r="HO54" s="16"/>
      <c r="HR54" s="16"/>
      <c r="HU54" s="16"/>
      <c r="HX54" s="16"/>
      <c r="IA54" s="16"/>
      <c r="ID54" s="16"/>
      <c r="IG54" s="16"/>
      <c r="IJ54" s="16"/>
      <c r="IM54" s="16"/>
    </row>
    <row r="55" spans="1:247">
      <c r="A55" t="str">
        <f t="shared" ca="1" si="1"/>
        <v>13.11</v>
      </c>
      <c r="B55" s="4">
        <f t="shared" ca="1" si="2"/>
        <v>44148</v>
      </c>
      <c r="C55" s="11">
        <f t="shared" ca="1" si="0"/>
        <v>19364</v>
      </c>
      <c r="D55">
        <f t="shared" ca="1" si="20"/>
        <v>261</v>
      </c>
      <c r="E55" s="11">
        <f t="shared" ca="1" si="4"/>
        <v>0</v>
      </c>
      <c r="F55" s="11">
        <f t="shared" ca="1" si="6"/>
        <v>261</v>
      </c>
      <c r="I55" s="10"/>
      <c r="J55" s="10">
        <f ca="1">SUM(D55:D61)</f>
        <v>2210</v>
      </c>
      <c r="K55" s="10" t="str">
        <f ca="1">TEXT(J55/J48-1,"0 %")</f>
        <v>47 %</v>
      </c>
      <c r="M55" s="16">
        <v>44148</v>
      </c>
      <c r="N55">
        <v>19365</v>
      </c>
      <c r="O55">
        <v>261</v>
      </c>
      <c r="P55" s="16">
        <v>44148</v>
      </c>
      <c r="Q55">
        <v>19365</v>
      </c>
      <c r="R55">
        <v>261</v>
      </c>
      <c r="S55" s="16">
        <v>44103</v>
      </c>
      <c r="T55">
        <v>10205</v>
      </c>
      <c r="U55">
        <v>136</v>
      </c>
      <c r="V55" s="16">
        <v>44104</v>
      </c>
      <c r="W55">
        <v>10372</v>
      </c>
      <c r="X55">
        <v>167</v>
      </c>
      <c r="Y55" s="16">
        <v>44105</v>
      </c>
      <c r="Z55">
        <v>10569</v>
      </c>
      <c r="AA55">
        <v>191</v>
      </c>
      <c r="AB55" s="16">
        <v>44106</v>
      </c>
      <c r="AC55">
        <v>10758</v>
      </c>
      <c r="AD55">
        <v>191</v>
      </c>
      <c r="AE55" s="16">
        <v>44107</v>
      </c>
      <c r="AF55">
        <v>10930</v>
      </c>
      <c r="AG55">
        <v>172</v>
      </c>
      <c r="AH55" s="16">
        <v>44108</v>
      </c>
      <c r="AI55">
        <v>11080</v>
      </c>
      <c r="AJ55">
        <v>148</v>
      </c>
      <c r="AK55" s="16">
        <v>44109</v>
      </c>
      <c r="AL55">
        <v>11352</v>
      </c>
      <c r="AM55">
        <v>287</v>
      </c>
      <c r="AN55" s="16">
        <v>44110</v>
      </c>
      <c r="AO55">
        <v>11653</v>
      </c>
      <c r="AP55">
        <v>300</v>
      </c>
      <c r="AQ55" s="16">
        <v>44111</v>
      </c>
      <c r="AR55">
        <v>11958</v>
      </c>
      <c r="AS55">
        <v>308</v>
      </c>
      <c r="AT55" s="16">
        <v>44112</v>
      </c>
      <c r="AU55">
        <v>12217</v>
      </c>
      <c r="AV55">
        <v>261</v>
      </c>
      <c r="AW55" s="16">
        <v>44113</v>
      </c>
      <c r="AX55">
        <v>12443</v>
      </c>
      <c r="AY55">
        <v>227</v>
      </c>
      <c r="AZ55" s="16">
        <v>44114</v>
      </c>
      <c r="BA55">
        <v>12555</v>
      </c>
      <c r="BB55">
        <v>112</v>
      </c>
      <c r="BC55" s="16">
        <v>44115</v>
      </c>
      <c r="BD55">
        <v>12691</v>
      </c>
      <c r="BE55">
        <v>132</v>
      </c>
      <c r="BF55" s="16">
        <v>44116</v>
      </c>
      <c r="BG55">
        <v>12931</v>
      </c>
      <c r="BH55">
        <v>252</v>
      </c>
      <c r="BI55" s="16">
        <v>44117</v>
      </c>
      <c r="BJ55">
        <v>13131</v>
      </c>
      <c r="BK55">
        <v>197</v>
      </c>
      <c r="BL55" s="16">
        <v>44118</v>
      </c>
      <c r="BM55">
        <v>13332</v>
      </c>
      <c r="BN55">
        <v>201</v>
      </c>
      <c r="BO55" s="16">
        <v>44119</v>
      </c>
      <c r="BP55">
        <v>13523</v>
      </c>
      <c r="BQ55">
        <v>190</v>
      </c>
      <c r="BR55" s="16">
        <v>44120</v>
      </c>
      <c r="BS55">
        <v>13714</v>
      </c>
      <c r="BT55">
        <v>191</v>
      </c>
      <c r="BU55" s="16">
        <v>44122</v>
      </c>
      <c r="BV55">
        <v>13945</v>
      </c>
      <c r="BW55">
        <v>127</v>
      </c>
      <c r="BX55" s="16">
        <v>44123</v>
      </c>
      <c r="BY55">
        <v>14183</v>
      </c>
      <c r="BZ55">
        <v>242</v>
      </c>
      <c r="CA55" s="16">
        <v>44124</v>
      </c>
      <c r="CB55">
        <v>14348</v>
      </c>
      <c r="CC55">
        <v>160</v>
      </c>
      <c r="CD55" s="16">
        <v>44125</v>
      </c>
      <c r="CE55">
        <v>14548</v>
      </c>
      <c r="CF55">
        <v>189</v>
      </c>
      <c r="CG55" s="16">
        <v>44126</v>
      </c>
      <c r="CH55">
        <v>14762</v>
      </c>
      <c r="CI55">
        <v>212</v>
      </c>
      <c r="CJ55" s="16">
        <v>44127</v>
      </c>
      <c r="CK55">
        <v>14954</v>
      </c>
      <c r="CL55">
        <v>192</v>
      </c>
      <c r="CM55" s="16">
        <v>44128</v>
      </c>
      <c r="CN55">
        <v>15061</v>
      </c>
      <c r="CO55">
        <v>107</v>
      </c>
      <c r="CP55" s="16">
        <v>44129</v>
      </c>
      <c r="CQ55">
        <v>15184</v>
      </c>
      <c r="CR55">
        <v>123</v>
      </c>
      <c r="CS55" s="16">
        <v>44130</v>
      </c>
      <c r="CT55">
        <v>15443</v>
      </c>
      <c r="CU55">
        <v>254</v>
      </c>
      <c r="CV55" s="16">
        <v>44131</v>
      </c>
      <c r="CW55">
        <v>15678</v>
      </c>
      <c r="CX55">
        <v>230</v>
      </c>
      <c r="CY55" s="16">
        <v>44133</v>
      </c>
      <c r="CZ55">
        <v>16154</v>
      </c>
      <c r="DA55">
        <v>237</v>
      </c>
      <c r="DB55" s="16">
        <v>44134</v>
      </c>
      <c r="DC55">
        <v>16369</v>
      </c>
      <c r="DD55">
        <v>216</v>
      </c>
      <c r="DE55" s="16">
        <v>44135</v>
      </c>
      <c r="DF55">
        <v>16492</v>
      </c>
      <c r="DG55">
        <v>121</v>
      </c>
      <c r="DH55" s="16">
        <v>44136</v>
      </c>
      <c r="DI55">
        <v>16644</v>
      </c>
      <c r="DJ55">
        <v>150</v>
      </c>
      <c r="DK55" s="16">
        <v>44137</v>
      </c>
      <c r="DL55">
        <v>16931</v>
      </c>
      <c r="DM55">
        <v>281</v>
      </c>
      <c r="DN55" s="16">
        <v>44138</v>
      </c>
      <c r="DO55">
        <v>17171</v>
      </c>
      <c r="DP55">
        <v>239</v>
      </c>
      <c r="DQ55" s="16">
        <v>44139</v>
      </c>
      <c r="DR55">
        <v>17380</v>
      </c>
      <c r="DS55">
        <v>207</v>
      </c>
      <c r="DT55" s="16">
        <v>44140</v>
      </c>
      <c r="DU55">
        <v>17603</v>
      </c>
      <c r="DV55">
        <v>219</v>
      </c>
      <c r="DW55" s="16">
        <v>44141</v>
      </c>
      <c r="DX55">
        <v>17797</v>
      </c>
      <c r="DY55">
        <v>194</v>
      </c>
      <c r="DZ55" s="16">
        <v>44142</v>
      </c>
      <c r="EA55">
        <v>17926</v>
      </c>
      <c r="EB55">
        <v>128</v>
      </c>
      <c r="EC55" s="16">
        <v>44143</v>
      </c>
      <c r="ED55">
        <v>18055</v>
      </c>
      <c r="EE55">
        <v>133</v>
      </c>
      <c r="EF55" s="16">
        <v>44144</v>
      </c>
      <c r="EG55">
        <v>18335</v>
      </c>
      <c r="EH55">
        <v>277</v>
      </c>
      <c r="EI55" s="16">
        <v>44145</v>
      </c>
      <c r="EJ55">
        <v>18551</v>
      </c>
      <c r="EK55">
        <v>216</v>
      </c>
      <c r="EL55" s="16">
        <v>44146</v>
      </c>
      <c r="EM55">
        <v>18840</v>
      </c>
      <c r="EN55">
        <v>296</v>
      </c>
      <c r="EO55" s="16">
        <v>44147</v>
      </c>
      <c r="EP55">
        <v>19101</v>
      </c>
      <c r="EQ55">
        <v>277</v>
      </c>
      <c r="ER55" s="16">
        <v>44148</v>
      </c>
      <c r="ES55">
        <v>19365</v>
      </c>
      <c r="ET55">
        <v>261</v>
      </c>
      <c r="EU55" s="16"/>
      <c r="EX55" s="16"/>
      <c r="FA55" s="16"/>
      <c r="FD55" s="16"/>
      <c r="FG55" s="16"/>
      <c r="FJ55" s="16"/>
      <c r="FM55" s="16"/>
      <c r="FP55" s="16"/>
      <c r="FS55" s="16"/>
      <c r="FV55" s="16"/>
      <c r="FY55" s="16"/>
      <c r="GB55" s="16"/>
      <c r="GE55" s="16"/>
      <c r="GH55" s="16"/>
      <c r="GK55" s="16"/>
      <c r="GN55" s="16"/>
      <c r="GQ55" s="16"/>
      <c r="GT55" s="16"/>
      <c r="GW55" s="16"/>
      <c r="GZ55" s="16"/>
      <c r="HC55" s="16"/>
      <c r="HF55" s="16"/>
      <c r="HI55" s="16"/>
      <c r="HL55" s="16"/>
      <c r="HO55" s="16"/>
      <c r="HR55" s="16"/>
      <c r="HU55" s="16"/>
      <c r="HX55" s="16"/>
      <c r="IA55" s="16"/>
      <c r="ID55" s="16"/>
      <c r="IG55" s="16"/>
      <c r="IJ55" s="16"/>
      <c r="IM55" s="16"/>
    </row>
    <row r="56" spans="1:247">
      <c r="A56" t="str">
        <f t="shared" ca="1" si="1"/>
        <v>14.11</v>
      </c>
      <c r="B56" s="4">
        <f t="shared" ca="1" si="2"/>
        <v>44149</v>
      </c>
      <c r="C56" s="11">
        <f t="shared" ca="1" si="0"/>
        <v>19507</v>
      </c>
      <c r="D56">
        <f t="shared" ca="1" si="20"/>
        <v>143</v>
      </c>
      <c r="E56" s="11">
        <f t="shared" ca="1" si="4"/>
        <v>-2</v>
      </c>
      <c r="F56" s="11">
        <f t="shared" ca="1" si="6"/>
        <v>145</v>
      </c>
      <c r="K56" s="3"/>
      <c r="M56" s="16">
        <v>44149</v>
      </c>
      <c r="N56">
        <v>19510</v>
      </c>
      <c r="O56">
        <v>145</v>
      </c>
      <c r="P56" s="16">
        <v>44149</v>
      </c>
      <c r="Q56">
        <v>19510</v>
      </c>
      <c r="R56">
        <v>145</v>
      </c>
      <c r="S56" s="16">
        <v>44104</v>
      </c>
      <c r="T56">
        <v>10371</v>
      </c>
      <c r="U56">
        <v>166</v>
      </c>
      <c r="V56" s="16">
        <v>44105</v>
      </c>
      <c r="W56">
        <v>10560</v>
      </c>
      <c r="X56">
        <v>188</v>
      </c>
      <c r="Y56" s="16">
        <v>44106</v>
      </c>
      <c r="Z56">
        <v>10761</v>
      </c>
      <c r="AA56">
        <v>192</v>
      </c>
      <c r="AB56" s="16">
        <v>44107</v>
      </c>
      <c r="AC56">
        <v>10935</v>
      </c>
      <c r="AD56">
        <v>177</v>
      </c>
      <c r="AE56" s="16">
        <v>44108</v>
      </c>
      <c r="AF56">
        <v>11077</v>
      </c>
      <c r="AG56">
        <v>147</v>
      </c>
      <c r="AH56" s="16">
        <v>44109</v>
      </c>
      <c r="AI56">
        <v>11356</v>
      </c>
      <c r="AJ56">
        <v>276</v>
      </c>
      <c r="AK56" s="16">
        <v>44110</v>
      </c>
      <c r="AL56">
        <v>11652</v>
      </c>
      <c r="AM56">
        <v>300</v>
      </c>
      <c r="AN56" s="16">
        <v>44111</v>
      </c>
      <c r="AO56">
        <v>11956</v>
      </c>
      <c r="AP56">
        <v>303</v>
      </c>
      <c r="AQ56" s="16">
        <v>44112</v>
      </c>
      <c r="AR56">
        <v>12217</v>
      </c>
      <c r="AS56">
        <v>259</v>
      </c>
      <c r="AT56" s="16">
        <v>44113</v>
      </c>
      <c r="AU56">
        <v>12445</v>
      </c>
      <c r="AV56">
        <v>228</v>
      </c>
      <c r="AW56" s="16">
        <v>44114</v>
      </c>
      <c r="AX56">
        <v>12555</v>
      </c>
      <c r="AY56">
        <v>112</v>
      </c>
      <c r="AZ56" s="16">
        <v>44115</v>
      </c>
      <c r="BA56">
        <v>12685</v>
      </c>
      <c r="BB56">
        <v>130</v>
      </c>
      <c r="BC56" s="16">
        <v>44116</v>
      </c>
      <c r="BD56">
        <v>12929</v>
      </c>
      <c r="BE56">
        <v>238</v>
      </c>
      <c r="BF56" s="16">
        <v>44117</v>
      </c>
      <c r="BG56">
        <v>13128</v>
      </c>
      <c r="BH56">
        <v>197</v>
      </c>
      <c r="BI56" s="16">
        <v>44118</v>
      </c>
      <c r="BJ56">
        <v>13332</v>
      </c>
      <c r="BK56">
        <v>201</v>
      </c>
      <c r="BL56" s="16">
        <v>44119</v>
      </c>
      <c r="BM56">
        <v>13520</v>
      </c>
      <c r="BN56">
        <v>188</v>
      </c>
      <c r="BO56" s="16">
        <v>44120</v>
      </c>
      <c r="BP56">
        <v>13716</v>
      </c>
      <c r="BQ56">
        <v>193</v>
      </c>
      <c r="BR56" s="16">
        <v>44121</v>
      </c>
      <c r="BS56">
        <v>13814</v>
      </c>
      <c r="BT56">
        <v>100</v>
      </c>
      <c r="BU56" s="16">
        <v>44123</v>
      </c>
      <c r="BV56">
        <v>14187</v>
      </c>
      <c r="BW56">
        <v>242</v>
      </c>
      <c r="BX56" s="16">
        <v>44124</v>
      </c>
      <c r="BY56">
        <v>14342</v>
      </c>
      <c r="BZ56">
        <v>159</v>
      </c>
      <c r="CA56" s="16">
        <v>44125</v>
      </c>
      <c r="CB56">
        <v>14538</v>
      </c>
      <c r="CC56">
        <v>190</v>
      </c>
      <c r="CD56" s="16">
        <v>44126</v>
      </c>
      <c r="CE56">
        <v>14760</v>
      </c>
      <c r="CF56">
        <v>212</v>
      </c>
      <c r="CG56" s="16">
        <v>44127</v>
      </c>
      <c r="CH56">
        <v>14954</v>
      </c>
      <c r="CI56">
        <v>192</v>
      </c>
      <c r="CJ56" s="16">
        <v>44128</v>
      </c>
      <c r="CK56">
        <v>15061</v>
      </c>
      <c r="CL56">
        <v>107</v>
      </c>
      <c r="CM56" s="16">
        <v>44129</v>
      </c>
      <c r="CN56">
        <v>15184</v>
      </c>
      <c r="CO56">
        <v>123</v>
      </c>
      <c r="CP56" s="16">
        <v>44130</v>
      </c>
      <c r="CQ56">
        <v>15438</v>
      </c>
      <c r="CR56">
        <v>254</v>
      </c>
      <c r="CS56" s="16">
        <v>44131</v>
      </c>
      <c r="CT56">
        <v>15672</v>
      </c>
      <c r="CU56">
        <v>229</v>
      </c>
      <c r="CV56" s="16">
        <v>44132</v>
      </c>
      <c r="CW56">
        <v>15919</v>
      </c>
      <c r="CX56">
        <v>241</v>
      </c>
      <c r="CY56" s="16">
        <v>44134</v>
      </c>
      <c r="CZ56">
        <v>16369</v>
      </c>
      <c r="DA56">
        <v>215</v>
      </c>
      <c r="DB56" s="16">
        <v>44135</v>
      </c>
      <c r="DC56">
        <v>16490</v>
      </c>
      <c r="DD56">
        <v>121</v>
      </c>
      <c r="DE56" s="16">
        <v>44136</v>
      </c>
      <c r="DF56">
        <v>16642</v>
      </c>
      <c r="DG56">
        <v>150</v>
      </c>
      <c r="DH56" s="16">
        <v>44137</v>
      </c>
      <c r="DI56">
        <v>16925</v>
      </c>
      <c r="DJ56">
        <v>281</v>
      </c>
      <c r="DK56" s="16">
        <v>44138</v>
      </c>
      <c r="DL56">
        <v>17170</v>
      </c>
      <c r="DM56">
        <v>239</v>
      </c>
      <c r="DN56" s="16">
        <v>44139</v>
      </c>
      <c r="DO56">
        <v>17377</v>
      </c>
      <c r="DP56">
        <v>206</v>
      </c>
      <c r="DQ56" s="16">
        <v>44140</v>
      </c>
      <c r="DR56">
        <v>17601</v>
      </c>
      <c r="DS56">
        <v>221</v>
      </c>
      <c r="DT56" s="16">
        <v>44141</v>
      </c>
      <c r="DU56">
        <v>17797</v>
      </c>
      <c r="DV56">
        <v>194</v>
      </c>
      <c r="DW56" s="16">
        <v>44142</v>
      </c>
      <c r="DX56">
        <v>17926</v>
      </c>
      <c r="DY56">
        <v>129</v>
      </c>
      <c r="DZ56" s="16">
        <v>44143</v>
      </c>
      <c r="EA56">
        <v>18060</v>
      </c>
      <c r="EB56">
        <v>134</v>
      </c>
      <c r="EC56" s="16">
        <v>44144</v>
      </c>
      <c r="ED56">
        <v>18331</v>
      </c>
      <c r="EE56">
        <v>276</v>
      </c>
      <c r="EF56" s="16">
        <v>44145</v>
      </c>
      <c r="EG56">
        <v>18549</v>
      </c>
      <c r="EH56">
        <v>214</v>
      </c>
      <c r="EI56" s="16">
        <v>44146</v>
      </c>
      <c r="EJ56">
        <v>18840</v>
      </c>
      <c r="EK56">
        <v>289</v>
      </c>
      <c r="EL56" s="16">
        <v>44147</v>
      </c>
      <c r="EM56">
        <v>19110</v>
      </c>
      <c r="EN56">
        <v>270</v>
      </c>
      <c r="EO56" s="16">
        <v>44148</v>
      </c>
      <c r="EP56">
        <v>19362</v>
      </c>
      <c r="EQ56">
        <v>261</v>
      </c>
      <c r="ER56" s="16">
        <v>44149</v>
      </c>
      <c r="ES56">
        <v>19510</v>
      </c>
      <c r="ET56">
        <v>145</v>
      </c>
      <c r="EU56" s="16"/>
      <c r="EX56" s="16"/>
      <c r="FA56" s="16"/>
      <c r="FD56" s="16"/>
      <c r="FG56" s="16"/>
      <c r="FJ56" s="16"/>
      <c r="FM56" s="16"/>
      <c r="FP56" s="16"/>
      <c r="FS56" s="16"/>
      <c r="FV56" s="16"/>
      <c r="FY56" s="16"/>
      <c r="GB56" s="16"/>
      <c r="GE56" s="16"/>
      <c r="GH56" s="16"/>
      <c r="GK56" s="16"/>
      <c r="GN56" s="16"/>
      <c r="GQ56" s="16"/>
      <c r="GT56" s="16"/>
      <c r="GW56" s="16"/>
      <c r="GZ56" s="16"/>
      <c r="HC56" s="16"/>
      <c r="HF56" s="16"/>
      <c r="HI56" s="16"/>
      <c r="HL56" s="16"/>
      <c r="HO56" s="16"/>
      <c r="HR56" s="16"/>
      <c r="HU56" s="16"/>
      <c r="HX56" s="16"/>
      <c r="IA56" s="16"/>
      <c r="ID56" s="16"/>
      <c r="IG56" s="16"/>
      <c r="IJ56" s="16"/>
      <c r="IM56" s="16"/>
    </row>
    <row r="57" spans="1:247">
      <c r="A57" t="str">
        <f t="shared" ca="1" si="1"/>
        <v>15.11</v>
      </c>
      <c r="B57" s="4">
        <f t="shared" ca="1" si="2"/>
        <v>44150</v>
      </c>
      <c r="C57" s="11">
        <f t="shared" ca="1" si="0"/>
        <v>19688</v>
      </c>
      <c r="D57">
        <f t="shared" ca="1" si="20"/>
        <v>181</v>
      </c>
      <c r="E57" s="11">
        <f t="shared" ca="1" si="4"/>
        <v>-1</v>
      </c>
      <c r="F57" s="11">
        <f t="shared" ca="1" si="6"/>
        <v>182</v>
      </c>
      <c r="J57" s="13"/>
      <c r="K57" s="3"/>
      <c r="M57" s="16">
        <v>44150</v>
      </c>
      <c r="N57">
        <v>19692</v>
      </c>
      <c r="O57">
        <v>182</v>
      </c>
      <c r="P57" s="16">
        <v>44150</v>
      </c>
      <c r="Q57">
        <v>19692</v>
      </c>
      <c r="R57">
        <v>182</v>
      </c>
      <c r="S57" s="16">
        <v>44105</v>
      </c>
      <c r="T57">
        <v>10558</v>
      </c>
      <c r="U57">
        <v>187</v>
      </c>
      <c r="V57" s="16">
        <v>44106</v>
      </c>
      <c r="W57">
        <v>10748</v>
      </c>
      <c r="X57">
        <v>188</v>
      </c>
      <c r="Y57" s="16">
        <v>44107</v>
      </c>
      <c r="Z57">
        <v>10939</v>
      </c>
      <c r="AA57">
        <v>178</v>
      </c>
      <c r="AB57" s="16">
        <v>44108</v>
      </c>
      <c r="AC57">
        <v>11083</v>
      </c>
      <c r="AD57">
        <v>148</v>
      </c>
      <c r="AE57" s="16">
        <v>44109</v>
      </c>
      <c r="AF57">
        <v>11354</v>
      </c>
      <c r="AG57">
        <v>277</v>
      </c>
      <c r="AH57" s="16">
        <v>44110</v>
      </c>
      <c r="AI57">
        <v>11655</v>
      </c>
      <c r="AJ57">
        <v>299</v>
      </c>
      <c r="AK57" s="16">
        <v>44111</v>
      </c>
      <c r="AL57">
        <v>11955</v>
      </c>
      <c r="AM57">
        <v>303</v>
      </c>
      <c r="AN57" s="16">
        <v>44112</v>
      </c>
      <c r="AO57">
        <v>12217</v>
      </c>
      <c r="AP57">
        <v>261</v>
      </c>
      <c r="AQ57" s="16">
        <v>44113</v>
      </c>
      <c r="AR57">
        <v>12438</v>
      </c>
      <c r="AS57">
        <v>221</v>
      </c>
      <c r="AT57" s="16">
        <v>44114</v>
      </c>
      <c r="AU57">
        <v>12558</v>
      </c>
      <c r="AV57">
        <v>113</v>
      </c>
      <c r="AW57" s="16">
        <v>44115</v>
      </c>
      <c r="AX57">
        <v>12685</v>
      </c>
      <c r="AY57">
        <v>130</v>
      </c>
      <c r="AZ57" s="16">
        <v>44116</v>
      </c>
      <c r="BA57">
        <v>12893</v>
      </c>
      <c r="BB57">
        <v>208</v>
      </c>
      <c r="BC57" s="16">
        <v>44117</v>
      </c>
      <c r="BD57">
        <v>13117</v>
      </c>
      <c r="BE57">
        <v>188</v>
      </c>
      <c r="BF57" s="16">
        <v>44118</v>
      </c>
      <c r="BG57">
        <v>13328</v>
      </c>
      <c r="BH57">
        <v>200</v>
      </c>
      <c r="BI57" s="16">
        <v>44119</v>
      </c>
      <c r="BJ57">
        <v>13520</v>
      </c>
      <c r="BK57">
        <v>188</v>
      </c>
      <c r="BL57" s="16">
        <v>44120</v>
      </c>
      <c r="BM57">
        <v>13712</v>
      </c>
      <c r="BN57">
        <v>192</v>
      </c>
      <c r="BO57" s="16">
        <v>44121</v>
      </c>
      <c r="BP57">
        <v>13818</v>
      </c>
      <c r="BQ57">
        <v>102</v>
      </c>
      <c r="BR57" s="16">
        <v>44122</v>
      </c>
      <c r="BS57">
        <v>13941</v>
      </c>
      <c r="BT57">
        <v>127</v>
      </c>
      <c r="BU57" s="16">
        <v>44124</v>
      </c>
      <c r="BV57">
        <v>14350</v>
      </c>
      <c r="BW57">
        <v>163</v>
      </c>
      <c r="BX57" s="16">
        <v>44125</v>
      </c>
      <c r="BY57">
        <v>14532</v>
      </c>
      <c r="BZ57">
        <v>190</v>
      </c>
      <c r="CA57" s="16">
        <v>44126</v>
      </c>
      <c r="CB57">
        <v>14751</v>
      </c>
      <c r="CC57">
        <v>213</v>
      </c>
      <c r="CD57" s="16">
        <v>44127</v>
      </c>
      <c r="CE57">
        <v>14952</v>
      </c>
      <c r="CF57">
        <v>192</v>
      </c>
      <c r="CG57" s="16">
        <v>44128</v>
      </c>
      <c r="CH57">
        <v>15061</v>
      </c>
      <c r="CI57">
        <v>107</v>
      </c>
      <c r="CJ57" s="16">
        <v>44129</v>
      </c>
      <c r="CK57">
        <v>15184</v>
      </c>
      <c r="CL57">
        <v>123</v>
      </c>
      <c r="CM57" s="16">
        <v>44130</v>
      </c>
      <c r="CN57">
        <v>15437</v>
      </c>
      <c r="CO57">
        <v>253</v>
      </c>
      <c r="CP57" s="16">
        <v>44131</v>
      </c>
      <c r="CQ57">
        <v>15667</v>
      </c>
      <c r="CR57">
        <v>229</v>
      </c>
      <c r="CS57" s="16">
        <v>44132</v>
      </c>
      <c r="CT57">
        <v>15913</v>
      </c>
      <c r="CU57">
        <v>241</v>
      </c>
      <c r="CV57" s="16">
        <v>44133</v>
      </c>
      <c r="CW57">
        <v>16154</v>
      </c>
      <c r="CX57">
        <v>235</v>
      </c>
      <c r="CY57" s="16">
        <v>44135</v>
      </c>
      <c r="CZ57">
        <v>16490</v>
      </c>
      <c r="DA57">
        <v>121</v>
      </c>
      <c r="DB57" s="16">
        <v>44136</v>
      </c>
      <c r="DC57">
        <v>16640</v>
      </c>
      <c r="DD57">
        <v>150</v>
      </c>
      <c r="DE57" s="16">
        <v>44137</v>
      </c>
      <c r="DF57">
        <v>16923</v>
      </c>
      <c r="DG57">
        <v>281</v>
      </c>
      <c r="DH57" s="16">
        <v>44138</v>
      </c>
      <c r="DI57">
        <v>17164</v>
      </c>
      <c r="DJ57">
        <v>239</v>
      </c>
      <c r="DK57" s="16">
        <v>44139</v>
      </c>
      <c r="DL57">
        <v>17376</v>
      </c>
      <c r="DM57">
        <v>206</v>
      </c>
      <c r="DN57" s="16">
        <v>44140</v>
      </c>
      <c r="DO57">
        <v>17595</v>
      </c>
      <c r="DP57">
        <v>218</v>
      </c>
      <c r="DQ57" s="16">
        <v>44141</v>
      </c>
      <c r="DR57">
        <v>17795</v>
      </c>
      <c r="DS57">
        <v>194</v>
      </c>
      <c r="DT57" s="16">
        <v>44142</v>
      </c>
      <c r="DU57">
        <v>17925</v>
      </c>
      <c r="DV57">
        <v>128</v>
      </c>
      <c r="DW57" s="16">
        <v>44143</v>
      </c>
      <c r="DX57">
        <v>18060</v>
      </c>
      <c r="DY57">
        <v>134</v>
      </c>
      <c r="DZ57" s="16">
        <v>44144</v>
      </c>
      <c r="EA57">
        <v>18339</v>
      </c>
      <c r="EB57">
        <v>279</v>
      </c>
      <c r="EC57" s="16">
        <v>44145</v>
      </c>
      <c r="ED57">
        <v>18542</v>
      </c>
      <c r="EE57">
        <v>211</v>
      </c>
      <c r="EF57" s="16">
        <v>44146</v>
      </c>
      <c r="EG57">
        <v>18837</v>
      </c>
      <c r="EH57">
        <v>288</v>
      </c>
      <c r="EI57" s="16">
        <v>44147</v>
      </c>
      <c r="EJ57">
        <v>19081</v>
      </c>
      <c r="EK57">
        <v>241</v>
      </c>
      <c r="EL57" s="16">
        <v>44148</v>
      </c>
      <c r="EM57">
        <v>19370</v>
      </c>
      <c r="EN57">
        <v>260</v>
      </c>
      <c r="EO57" s="16">
        <v>44149</v>
      </c>
      <c r="EP57">
        <v>19508</v>
      </c>
      <c r="EQ57">
        <v>146</v>
      </c>
      <c r="ER57" s="16">
        <v>44150</v>
      </c>
      <c r="ES57">
        <v>19692</v>
      </c>
      <c r="ET57">
        <v>182</v>
      </c>
      <c r="EU57" s="16"/>
      <c r="EX57" s="16"/>
      <c r="FA57" s="16"/>
      <c r="FD57" s="16"/>
      <c r="FG57" s="16"/>
      <c r="FJ57" s="16"/>
      <c r="FM57" s="16"/>
      <c r="FP57" s="16"/>
      <c r="FS57" s="16"/>
      <c r="FV57" s="16"/>
      <c r="FY57" s="16"/>
      <c r="GB57" s="16"/>
      <c r="GE57" s="16"/>
      <c r="GH57" s="16"/>
      <c r="GK57" s="16"/>
      <c r="GN57" s="16"/>
      <c r="GQ57" s="16"/>
      <c r="GT57" s="16"/>
      <c r="GW57" s="16"/>
      <c r="GZ57" s="16"/>
      <c r="HC57" s="16"/>
      <c r="HF57" s="16"/>
      <c r="HI57" s="16"/>
      <c r="HL57" s="16"/>
      <c r="HO57" s="16"/>
      <c r="HR57" s="16"/>
      <c r="HU57" s="16"/>
      <c r="HX57" s="16"/>
      <c r="IA57" s="16"/>
      <c r="ID57" s="16"/>
      <c r="IG57" s="16"/>
      <c r="IJ57" s="16"/>
      <c r="IM57" s="16"/>
    </row>
    <row r="58" spans="1:247" s="10" customFormat="1">
      <c r="A58" t="str">
        <f t="shared" ca="1" si="1"/>
        <v>Ma 16</v>
      </c>
      <c r="B58" s="9">
        <f t="shared" ca="1" si="2"/>
        <v>44151</v>
      </c>
      <c r="C58" s="10">
        <f t="shared" ca="1" si="0"/>
        <v>20080</v>
      </c>
      <c r="D58" s="10">
        <f t="shared" ca="1" si="20"/>
        <v>392</v>
      </c>
      <c r="E58" s="10">
        <f t="shared" ca="1" si="4"/>
        <v>0</v>
      </c>
      <c r="F58" s="10">
        <f t="shared" ca="1" si="6"/>
        <v>392</v>
      </c>
      <c r="G58" s="10">
        <f ca="1">SUM(D58:D64)</f>
        <v>2248</v>
      </c>
      <c r="H58" s="10" t="str">
        <f ca="1">TEXT(G58/G51-1,"0 %")</f>
        <v>38 %</v>
      </c>
      <c r="K58" s="14"/>
      <c r="L58"/>
      <c r="M58" s="17">
        <v>44151</v>
      </c>
      <c r="N58" s="10">
        <v>20084</v>
      </c>
      <c r="O58" s="10">
        <v>392</v>
      </c>
      <c r="P58" s="17">
        <v>44151</v>
      </c>
      <c r="Q58" s="10">
        <v>20084</v>
      </c>
      <c r="R58" s="10">
        <v>392</v>
      </c>
      <c r="S58" s="17">
        <v>44106</v>
      </c>
      <c r="T58" s="10">
        <v>10747</v>
      </c>
      <c r="U58" s="10">
        <v>189</v>
      </c>
      <c r="V58" s="17">
        <v>44107</v>
      </c>
      <c r="W58" s="10">
        <v>10920</v>
      </c>
      <c r="X58" s="10">
        <v>172</v>
      </c>
      <c r="Y58" s="17">
        <v>44108</v>
      </c>
      <c r="Z58" s="10">
        <v>11091</v>
      </c>
      <c r="AA58" s="10">
        <v>152</v>
      </c>
      <c r="AB58" s="17">
        <v>44109</v>
      </c>
      <c r="AC58" s="10">
        <v>11355</v>
      </c>
      <c r="AD58" s="10">
        <v>272</v>
      </c>
      <c r="AE58" s="17">
        <v>44110</v>
      </c>
      <c r="AF58" s="10">
        <v>11616</v>
      </c>
      <c r="AG58" s="10">
        <v>262</v>
      </c>
      <c r="AH58" s="17">
        <v>44111</v>
      </c>
      <c r="AI58" s="10">
        <v>11959</v>
      </c>
      <c r="AJ58" s="10">
        <v>304</v>
      </c>
      <c r="AK58" s="17">
        <v>44112</v>
      </c>
      <c r="AL58" s="10">
        <v>12215</v>
      </c>
      <c r="AM58" s="10">
        <v>260</v>
      </c>
      <c r="AN58" s="17">
        <v>44113</v>
      </c>
      <c r="AO58" s="10">
        <v>12435</v>
      </c>
      <c r="AP58" s="10">
        <v>218</v>
      </c>
      <c r="AQ58" s="17">
        <v>44114</v>
      </c>
      <c r="AR58" s="10">
        <v>12545</v>
      </c>
      <c r="AS58" s="10">
        <v>107</v>
      </c>
      <c r="AT58" s="17">
        <v>44115</v>
      </c>
      <c r="AU58" s="10">
        <v>12689</v>
      </c>
      <c r="AV58" s="10">
        <v>131</v>
      </c>
      <c r="AW58" s="17">
        <v>44116</v>
      </c>
      <c r="AX58" s="10">
        <v>12894</v>
      </c>
      <c r="AY58" s="10">
        <v>209</v>
      </c>
      <c r="AZ58" s="17">
        <v>44117</v>
      </c>
      <c r="BA58" s="10">
        <v>13045</v>
      </c>
      <c r="BB58" s="10">
        <v>152</v>
      </c>
      <c r="BC58" s="17">
        <v>44118</v>
      </c>
      <c r="BD58" s="10">
        <v>13313</v>
      </c>
      <c r="BE58" s="10">
        <v>196</v>
      </c>
      <c r="BF58" s="17">
        <v>44119</v>
      </c>
      <c r="BG58" s="10">
        <v>13514</v>
      </c>
      <c r="BH58" s="10">
        <v>186</v>
      </c>
      <c r="BI58" s="17">
        <v>44120</v>
      </c>
      <c r="BJ58" s="10">
        <v>13711</v>
      </c>
      <c r="BK58" s="10">
        <v>191</v>
      </c>
      <c r="BL58" s="17">
        <v>44121</v>
      </c>
      <c r="BM58" s="10">
        <v>13813</v>
      </c>
      <c r="BN58" s="10">
        <v>101</v>
      </c>
      <c r="BO58" s="17">
        <v>44122</v>
      </c>
      <c r="BP58" s="10">
        <v>13947</v>
      </c>
      <c r="BQ58" s="10">
        <v>129</v>
      </c>
      <c r="BR58" s="17">
        <v>44123</v>
      </c>
      <c r="BS58" s="10">
        <v>14185</v>
      </c>
      <c r="BT58" s="10">
        <v>244</v>
      </c>
      <c r="BU58" s="17">
        <v>44125</v>
      </c>
      <c r="BV58" s="10">
        <v>14522</v>
      </c>
      <c r="BW58" s="10">
        <v>172</v>
      </c>
      <c r="BX58" s="17">
        <v>44126</v>
      </c>
      <c r="BY58" s="10">
        <v>14744</v>
      </c>
      <c r="BZ58" s="10">
        <v>212</v>
      </c>
      <c r="CA58" s="17">
        <v>44127</v>
      </c>
      <c r="CB58" s="10">
        <v>14944</v>
      </c>
      <c r="CC58" s="10">
        <v>193</v>
      </c>
      <c r="CD58" s="17">
        <v>44128</v>
      </c>
      <c r="CE58" s="10">
        <v>15059</v>
      </c>
      <c r="CF58" s="10">
        <v>107</v>
      </c>
      <c r="CG58" s="17">
        <v>44129</v>
      </c>
      <c r="CH58" s="10">
        <v>15184</v>
      </c>
      <c r="CI58" s="10">
        <v>123</v>
      </c>
      <c r="CJ58" s="17">
        <v>44130</v>
      </c>
      <c r="CK58" s="10">
        <v>15438</v>
      </c>
      <c r="CL58" s="10">
        <v>254</v>
      </c>
      <c r="CM58" s="17">
        <v>44131</v>
      </c>
      <c r="CN58" s="10">
        <v>15664</v>
      </c>
      <c r="CO58" s="10">
        <v>227</v>
      </c>
      <c r="CP58" s="17">
        <v>44132</v>
      </c>
      <c r="CQ58" s="10">
        <v>15908</v>
      </c>
      <c r="CR58" s="10">
        <v>241</v>
      </c>
      <c r="CS58" s="17">
        <v>44133</v>
      </c>
      <c r="CT58" s="10">
        <v>16147</v>
      </c>
      <c r="CU58" s="10">
        <v>234</v>
      </c>
      <c r="CV58" s="17">
        <v>44134</v>
      </c>
      <c r="CW58" s="10">
        <v>16367</v>
      </c>
      <c r="CX58" s="10">
        <v>213</v>
      </c>
      <c r="CY58" s="17">
        <v>44136</v>
      </c>
      <c r="CZ58" s="10">
        <v>16638</v>
      </c>
      <c r="DA58" s="10">
        <v>148</v>
      </c>
      <c r="DB58" s="17">
        <v>44137</v>
      </c>
      <c r="DC58" s="10">
        <v>16921</v>
      </c>
      <c r="DD58" s="10">
        <v>281</v>
      </c>
      <c r="DE58" s="17">
        <v>44138</v>
      </c>
      <c r="DF58" s="10">
        <v>17161</v>
      </c>
      <c r="DG58" s="10">
        <v>238</v>
      </c>
      <c r="DH58" s="17">
        <v>44139</v>
      </c>
      <c r="DI58" s="10">
        <v>17369</v>
      </c>
      <c r="DJ58" s="10">
        <v>205</v>
      </c>
      <c r="DK58" s="17">
        <v>44140</v>
      </c>
      <c r="DL58" s="10">
        <v>17593</v>
      </c>
      <c r="DM58" s="10">
        <v>217</v>
      </c>
      <c r="DN58" s="17">
        <v>44141</v>
      </c>
      <c r="DO58" s="10">
        <v>17789</v>
      </c>
      <c r="DP58" s="10">
        <v>194</v>
      </c>
      <c r="DQ58" s="17">
        <v>44142</v>
      </c>
      <c r="DR58" s="10">
        <v>17922</v>
      </c>
      <c r="DS58" s="10">
        <v>127</v>
      </c>
      <c r="DT58" s="17">
        <v>44143</v>
      </c>
      <c r="DU58" s="10">
        <v>18059</v>
      </c>
      <c r="DV58" s="10">
        <v>134</v>
      </c>
      <c r="DW58" s="17">
        <v>44144</v>
      </c>
      <c r="DX58" s="10">
        <v>18338</v>
      </c>
      <c r="DY58" s="10">
        <v>278</v>
      </c>
      <c r="DZ58" s="17">
        <v>44145</v>
      </c>
      <c r="EA58" s="10">
        <v>18547</v>
      </c>
      <c r="EB58" s="10">
        <v>208</v>
      </c>
      <c r="EC58" s="17">
        <v>44146</v>
      </c>
      <c r="ED58" s="10">
        <v>18830</v>
      </c>
      <c r="EE58" s="10">
        <v>288</v>
      </c>
      <c r="EF58" s="17">
        <v>44147</v>
      </c>
      <c r="EG58" s="10">
        <v>19078</v>
      </c>
      <c r="EH58" s="10">
        <v>241</v>
      </c>
      <c r="EI58" s="17">
        <v>44148</v>
      </c>
      <c r="EJ58" s="10">
        <v>19308</v>
      </c>
      <c r="EK58" s="10">
        <v>227</v>
      </c>
      <c r="EL58" s="17">
        <v>44149</v>
      </c>
      <c r="EM58" s="10">
        <v>19519</v>
      </c>
      <c r="EN58" s="10">
        <v>149</v>
      </c>
      <c r="EO58" s="17">
        <v>44150</v>
      </c>
      <c r="EP58" s="10">
        <v>19695</v>
      </c>
      <c r="EQ58" s="10">
        <v>187</v>
      </c>
      <c r="ER58" s="17">
        <v>44151</v>
      </c>
      <c r="ES58" s="10">
        <v>20084</v>
      </c>
      <c r="ET58" s="10">
        <v>392</v>
      </c>
      <c r="EU58" s="17"/>
      <c r="EX58" s="17"/>
      <c r="FA58" s="17"/>
      <c r="FD58" s="17"/>
      <c r="FG58" s="17"/>
      <c r="FJ58" s="17"/>
      <c r="FM58" s="17"/>
      <c r="FP58" s="17"/>
      <c r="FS58" s="17"/>
      <c r="FV58" s="17"/>
      <c r="FY58" s="17"/>
      <c r="GB58" s="17"/>
      <c r="GE58" s="17"/>
      <c r="GH58" s="17"/>
      <c r="GK58" s="17"/>
      <c r="GN58" s="17"/>
      <c r="GQ58" s="17"/>
      <c r="GT58" s="17"/>
      <c r="GW58" s="17"/>
      <c r="GZ58" s="17"/>
      <c r="HC58" s="17"/>
      <c r="HF58" s="17"/>
      <c r="HI58" s="17"/>
      <c r="HL58" s="17"/>
      <c r="HO58" s="17"/>
      <c r="HR58" s="17"/>
      <c r="HU58" s="17"/>
      <c r="HX58" s="17"/>
      <c r="IA58" s="17"/>
      <c r="ID58" s="17"/>
      <c r="IG58" s="17"/>
      <c r="IJ58" s="17"/>
      <c r="IM58" s="17"/>
    </row>
    <row r="59" spans="1:247">
      <c r="A59" t="str">
        <f t="shared" ca="1" si="1"/>
        <v>17.11</v>
      </c>
      <c r="B59" s="4">
        <f t="shared" ca="1" si="2"/>
        <v>44152</v>
      </c>
      <c r="C59" s="11">
        <f t="shared" ca="1" si="0"/>
        <v>20473</v>
      </c>
      <c r="D59">
        <f t="shared" ca="1" si="20"/>
        <v>393</v>
      </c>
      <c r="E59" s="11">
        <f t="shared" ca="1" si="4"/>
        <v>-1</v>
      </c>
      <c r="F59" s="11">
        <f t="shared" ca="1" si="6"/>
        <v>394</v>
      </c>
      <c r="H59" s="10"/>
      <c r="J59" s="13"/>
      <c r="K59" s="3"/>
      <c r="M59" s="16">
        <v>44152</v>
      </c>
      <c r="N59">
        <v>20478</v>
      </c>
      <c r="O59">
        <v>394</v>
      </c>
      <c r="P59" s="16">
        <v>44152</v>
      </c>
      <c r="Q59">
        <v>20478</v>
      </c>
      <c r="R59">
        <v>394</v>
      </c>
      <c r="S59" s="16">
        <v>44107</v>
      </c>
      <c r="T59">
        <v>10917</v>
      </c>
      <c r="U59">
        <v>170</v>
      </c>
      <c r="V59" s="16">
        <v>44108</v>
      </c>
      <c r="W59">
        <v>11067</v>
      </c>
      <c r="X59">
        <v>147</v>
      </c>
      <c r="Y59" s="16">
        <v>44109</v>
      </c>
      <c r="Z59">
        <v>11363</v>
      </c>
      <c r="AA59">
        <v>272</v>
      </c>
      <c r="AB59" s="16">
        <v>44110</v>
      </c>
      <c r="AC59">
        <v>11613</v>
      </c>
      <c r="AD59">
        <v>258</v>
      </c>
      <c r="AE59" s="16">
        <v>44111</v>
      </c>
      <c r="AF59">
        <v>11861</v>
      </c>
      <c r="AG59">
        <v>245</v>
      </c>
      <c r="AH59" s="16">
        <v>44112</v>
      </c>
      <c r="AI59">
        <v>12196</v>
      </c>
      <c r="AJ59">
        <v>237</v>
      </c>
      <c r="AK59" s="16">
        <v>44113</v>
      </c>
      <c r="AL59">
        <v>12418</v>
      </c>
      <c r="AM59">
        <v>203</v>
      </c>
      <c r="AN59" s="16">
        <v>44114</v>
      </c>
      <c r="AO59">
        <v>12544</v>
      </c>
      <c r="AP59">
        <v>109</v>
      </c>
      <c r="AQ59" s="16">
        <v>44115</v>
      </c>
      <c r="AR59">
        <v>12674</v>
      </c>
      <c r="AS59">
        <v>129</v>
      </c>
      <c r="AT59" s="16">
        <v>44116</v>
      </c>
      <c r="AU59">
        <v>12897</v>
      </c>
      <c r="AV59">
        <v>208</v>
      </c>
      <c r="AW59" s="16">
        <v>44117</v>
      </c>
      <c r="AX59">
        <v>13045</v>
      </c>
      <c r="AY59">
        <v>151</v>
      </c>
      <c r="AZ59" s="16">
        <v>44118</v>
      </c>
      <c r="BA59">
        <v>13197</v>
      </c>
      <c r="BB59">
        <v>152</v>
      </c>
      <c r="BC59" s="16">
        <v>44119</v>
      </c>
      <c r="BD59">
        <v>13494</v>
      </c>
      <c r="BE59">
        <v>181</v>
      </c>
      <c r="BF59" s="16">
        <v>44120</v>
      </c>
      <c r="BG59">
        <v>13700</v>
      </c>
      <c r="BH59">
        <v>186</v>
      </c>
      <c r="BI59" s="16">
        <v>44121</v>
      </c>
      <c r="BJ59">
        <v>13809</v>
      </c>
      <c r="BK59">
        <v>98</v>
      </c>
      <c r="BL59" s="16">
        <v>44122</v>
      </c>
      <c r="BM59">
        <v>13943</v>
      </c>
      <c r="BN59">
        <v>130</v>
      </c>
      <c r="BO59" s="16">
        <v>44123</v>
      </c>
      <c r="BP59">
        <v>14195</v>
      </c>
      <c r="BQ59">
        <v>248</v>
      </c>
      <c r="BR59" s="16">
        <v>44124</v>
      </c>
      <c r="BS59">
        <v>14350</v>
      </c>
      <c r="BT59">
        <v>165</v>
      </c>
      <c r="BU59" s="16">
        <v>44126</v>
      </c>
      <c r="BV59">
        <v>14697</v>
      </c>
      <c r="BW59">
        <v>175</v>
      </c>
      <c r="BX59" s="16">
        <v>44127</v>
      </c>
      <c r="BY59">
        <v>14935</v>
      </c>
      <c r="BZ59">
        <v>191</v>
      </c>
      <c r="CA59" s="16">
        <v>44128</v>
      </c>
      <c r="CB59">
        <v>15052</v>
      </c>
      <c r="CC59">
        <v>108</v>
      </c>
      <c r="CD59" s="16">
        <v>44129</v>
      </c>
      <c r="CE59">
        <v>15182</v>
      </c>
      <c r="CF59">
        <v>123</v>
      </c>
      <c r="CG59" s="16">
        <v>44130</v>
      </c>
      <c r="CH59">
        <v>15438</v>
      </c>
      <c r="CI59">
        <v>254</v>
      </c>
      <c r="CJ59" s="16">
        <v>44131</v>
      </c>
      <c r="CK59">
        <v>15664</v>
      </c>
      <c r="CL59">
        <v>226</v>
      </c>
      <c r="CM59" s="16">
        <v>44132</v>
      </c>
      <c r="CN59">
        <v>15887</v>
      </c>
      <c r="CO59">
        <v>223</v>
      </c>
      <c r="CP59" s="16">
        <v>44133</v>
      </c>
      <c r="CQ59">
        <v>16142</v>
      </c>
      <c r="CR59">
        <v>234</v>
      </c>
      <c r="CS59" s="16">
        <v>44134</v>
      </c>
      <c r="CT59">
        <v>16359</v>
      </c>
      <c r="CU59">
        <v>212</v>
      </c>
      <c r="CV59" s="16">
        <v>44135</v>
      </c>
      <c r="CW59">
        <v>16487</v>
      </c>
      <c r="CX59">
        <v>120</v>
      </c>
      <c r="CY59" s="16">
        <v>44137</v>
      </c>
      <c r="CZ59">
        <v>16916</v>
      </c>
      <c r="DA59">
        <v>278</v>
      </c>
      <c r="DB59" s="16">
        <v>44138</v>
      </c>
      <c r="DC59">
        <v>17159</v>
      </c>
      <c r="DD59">
        <v>238</v>
      </c>
      <c r="DE59" s="16">
        <v>44139</v>
      </c>
      <c r="DF59">
        <v>17362</v>
      </c>
      <c r="DG59">
        <v>201</v>
      </c>
      <c r="DH59" s="16">
        <v>44140</v>
      </c>
      <c r="DI59">
        <v>17586</v>
      </c>
      <c r="DJ59">
        <v>217</v>
      </c>
      <c r="DK59" s="16">
        <v>44141</v>
      </c>
      <c r="DL59">
        <v>17787</v>
      </c>
      <c r="DM59">
        <v>194</v>
      </c>
      <c r="DN59" s="16">
        <v>44142</v>
      </c>
      <c r="DO59">
        <v>17916</v>
      </c>
      <c r="DP59">
        <v>127</v>
      </c>
      <c r="DQ59" s="16">
        <v>44143</v>
      </c>
      <c r="DR59">
        <v>18055</v>
      </c>
      <c r="DS59">
        <v>133</v>
      </c>
      <c r="DT59" s="16">
        <v>44144</v>
      </c>
      <c r="DU59">
        <v>18337</v>
      </c>
      <c r="DV59">
        <v>278</v>
      </c>
      <c r="DW59" s="16">
        <v>44145</v>
      </c>
      <c r="DX59">
        <v>18546</v>
      </c>
      <c r="DY59">
        <v>208</v>
      </c>
      <c r="DZ59" s="16">
        <v>44146</v>
      </c>
      <c r="EA59">
        <v>18827</v>
      </c>
      <c r="EB59">
        <v>280</v>
      </c>
      <c r="EC59" s="16">
        <v>44147</v>
      </c>
      <c r="ED59">
        <v>19065</v>
      </c>
      <c r="EE59">
        <v>235</v>
      </c>
      <c r="EF59" s="16">
        <v>44148</v>
      </c>
      <c r="EG59">
        <v>19300</v>
      </c>
      <c r="EH59">
        <v>222</v>
      </c>
      <c r="EI59" s="16">
        <v>44149</v>
      </c>
      <c r="EJ59">
        <v>19442</v>
      </c>
      <c r="EK59">
        <v>134</v>
      </c>
      <c r="EL59" s="16">
        <v>44150</v>
      </c>
      <c r="EM59">
        <v>19706</v>
      </c>
      <c r="EN59">
        <v>187</v>
      </c>
      <c r="EO59" s="16">
        <v>44151</v>
      </c>
      <c r="EP59">
        <v>20091</v>
      </c>
      <c r="EQ59">
        <v>396</v>
      </c>
      <c r="ER59" s="16">
        <v>44152</v>
      </c>
      <c r="ES59">
        <v>20478</v>
      </c>
      <c r="ET59">
        <v>394</v>
      </c>
      <c r="EU59" s="16"/>
      <c r="EX59" s="16"/>
      <c r="FA59" s="16"/>
      <c r="FD59" s="16"/>
      <c r="FG59" s="16"/>
      <c r="FJ59" s="16"/>
      <c r="FM59" s="16"/>
      <c r="FP59" s="16"/>
      <c r="FS59" s="16"/>
      <c r="FV59" s="16"/>
      <c r="FY59" s="16"/>
      <c r="GB59" s="16"/>
      <c r="GE59" s="16"/>
      <c r="GH59" s="16"/>
      <c r="GK59" s="16"/>
      <c r="GN59" s="16"/>
      <c r="GQ59" s="16"/>
      <c r="GT59" s="16"/>
      <c r="GW59" s="16"/>
      <c r="GZ59" s="16"/>
      <c r="HC59" s="16"/>
      <c r="HF59" s="16"/>
      <c r="HI59" s="16"/>
      <c r="HL59" s="16"/>
      <c r="HO59" s="16"/>
      <c r="HR59" s="16"/>
      <c r="HU59" s="16"/>
      <c r="HX59" s="16"/>
      <c r="IA59" s="16"/>
      <c r="ID59" s="16"/>
      <c r="IG59" s="16"/>
      <c r="IJ59" s="16"/>
      <c r="IM59" s="16"/>
    </row>
    <row r="60" spans="1:247">
      <c r="A60" t="str">
        <f t="shared" ca="1" si="1"/>
        <v>18.11</v>
      </c>
      <c r="B60" s="4">
        <f t="shared" ca="1" si="2"/>
        <v>44153</v>
      </c>
      <c r="C60" s="11">
        <f t="shared" ca="1" si="0"/>
        <v>20842</v>
      </c>
      <c r="D60">
        <f t="shared" ca="1" si="20"/>
        <v>369</v>
      </c>
      <c r="E60" s="11">
        <f t="shared" ca="1" si="4"/>
        <v>-3</v>
      </c>
      <c r="F60" s="11">
        <f t="shared" ca="1" si="6"/>
        <v>372</v>
      </c>
      <c r="J60" s="4"/>
      <c r="K60" s="3"/>
      <c r="M60" s="16">
        <v>44153</v>
      </c>
      <c r="N60">
        <v>20850</v>
      </c>
      <c r="O60">
        <v>372</v>
      </c>
      <c r="P60" s="16">
        <v>44153</v>
      </c>
      <c r="Q60">
        <v>20850</v>
      </c>
      <c r="R60">
        <v>372</v>
      </c>
      <c r="S60" s="16">
        <v>44108</v>
      </c>
      <c r="T60">
        <v>11061</v>
      </c>
      <c r="U60">
        <v>144</v>
      </c>
      <c r="V60" s="16">
        <v>44109</v>
      </c>
      <c r="W60">
        <v>11308</v>
      </c>
      <c r="X60">
        <v>241</v>
      </c>
      <c r="Y60" s="16">
        <v>44110</v>
      </c>
      <c r="Z60">
        <v>11605</v>
      </c>
      <c r="AA60">
        <v>242</v>
      </c>
      <c r="AB60" s="16">
        <v>44111</v>
      </c>
      <c r="AC60">
        <v>11808</v>
      </c>
      <c r="AD60">
        <v>195</v>
      </c>
      <c r="AE60" s="16">
        <v>44112</v>
      </c>
      <c r="AF60">
        <v>12039</v>
      </c>
      <c r="AG60">
        <v>178</v>
      </c>
      <c r="AH60" s="16">
        <v>44113</v>
      </c>
      <c r="AI60">
        <v>12374</v>
      </c>
      <c r="AJ60">
        <v>178</v>
      </c>
      <c r="AK60" s="16">
        <v>44114</v>
      </c>
      <c r="AL60">
        <v>12513</v>
      </c>
      <c r="AM60">
        <v>95</v>
      </c>
      <c r="AN60" s="16">
        <v>44115</v>
      </c>
      <c r="AO60">
        <v>12670</v>
      </c>
      <c r="AP60">
        <v>126</v>
      </c>
      <c r="AQ60" s="16">
        <v>44116</v>
      </c>
      <c r="AR60">
        <v>12878</v>
      </c>
      <c r="AS60">
        <v>204</v>
      </c>
      <c r="AT60" s="16">
        <v>44117</v>
      </c>
      <c r="AU60">
        <v>13046</v>
      </c>
      <c r="AV60">
        <v>149</v>
      </c>
      <c r="AW60" s="16">
        <v>44118</v>
      </c>
      <c r="AX60">
        <v>13197</v>
      </c>
      <c r="AY60">
        <v>152</v>
      </c>
      <c r="AZ60" s="16">
        <v>44119</v>
      </c>
      <c r="BA60">
        <v>13333</v>
      </c>
      <c r="BB60">
        <v>136</v>
      </c>
      <c r="BC60" s="16">
        <v>44120</v>
      </c>
      <c r="BD60">
        <v>13670</v>
      </c>
      <c r="BE60">
        <v>176</v>
      </c>
      <c r="BF60" s="16">
        <v>44121</v>
      </c>
      <c r="BG60">
        <v>13796</v>
      </c>
      <c r="BH60">
        <v>96</v>
      </c>
      <c r="BI60" s="16">
        <v>44122</v>
      </c>
      <c r="BJ60">
        <v>13937</v>
      </c>
      <c r="BK60">
        <v>128</v>
      </c>
      <c r="BL60" s="16">
        <v>44123</v>
      </c>
      <c r="BM60">
        <v>14181</v>
      </c>
      <c r="BN60">
        <v>238</v>
      </c>
      <c r="BO60" s="16">
        <v>44124</v>
      </c>
      <c r="BP60">
        <v>14356</v>
      </c>
      <c r="BQ60">
        <v>161</v>
      </c>
      <c r="BR60" s="16">
        <v>44125</v>
      </c>
      <c r="BS60">
        <v>14520</v>
      </c>
      <c r="BT60">
        <v>170</v>
      </c>
      <c r="BU60" s="16">
        <v>44127</v>
      </c>
      <c r="BV60">
        <v>14852</v>
      </c>
      <c r="BW60">
        <v>155</v>
      </c>
      <c r="BX60" s="16">
        <v>44128</v>
      </c>
      <c r="BY60">
        <v>15041</v>
      </c>
      <c r="BZ60">
        <v>106</v>
      </c>
      <c r="CA60" s="16">
        <v>44129</v>
      </c>
      <c r="CB60">
        <v>15173</v>
      </c>
      <c r="CC60">
        <v>121</v>
      </c>
      <c r="CD60" s="16">
        <v>44130</v>
      </c>
      <c r="CE60">
        <v>15435</v>
      </c>
      <c r="CF60">
        <v>253</v>
      </c>
      <c r="CG60" s="16">
        <v>44131</v>
      </c>
      <c r="CH60">
        <v>15664</v>
      </c>
      <c r="CI60">
        <v>226</v>
      </c>
      <c r="CJ60" s="16">
        <v>44132</v>
      </c>
      <c r="CK60">
        <v>15886</v>
      </c>
      <c r="CL60">
        <v>222</v>
      </c>
      <c r="CM60" s="16">
        <v>44133</v>
      </c>
      <c r="CN60">
        <v>16074</v>
      </c>
      <c r="CO60">
        <v>187</v>
      </c>
      <c r="CP60" s="16">
        <v>44134</v>
      </c>
      <c r="CQ60">
        <v>16351</v>
      </c>
      <c r="CR60">
        <v>209</v>
      </c>
      <c r="CS60" s="16">
        <v>44135</v>
      </c>
      <c r="CT60">
        <v>16478</v>
      </c>
      <c r="CU60">
        <v>119</v>
      </c>
      <c r="CV60" s="16">
        <v>44136</v>
      </c>
      <c r="CW60">
        <v>16628</v>
      </c>
      <c r="CX60">
        <v>141</v>
      </c>
      <c r="CY60" s="16">
        <v>44138</v>
      </c>
      <c r="CZ60">
        <v>17139</v>
      </c>
      <c r="DA60">
        <v>223</v>
      </c>
      <c r="DB60" s="16">
        <v>44139</v>
      </c>
      <c r="DC60">
        <v>17359</v>
      </c>
      <c r="DD60">
        <v>200</v>
      </c>
      <c r="DE60" s="16">
        <v>44140</v>
      </c>
      <c r="DF60">
        <v>17561</v>
      </c>
      <c r="DG60">
        <v>199</v>
      </c>
      <c r="DH60" s="16">
        <v>44141</v>
      </c>
      <c r="DI60">
        <v>17777</v>
      </c>
      <c r="DJ60">
        <v>191</v>
      </c>
      <c r="DK60" s="16">
        <v>44142</v>
      </c>
      <c r="DL60">
        <v>17914</v>
      </c>
      <c r="DM60">
        <v>127</v>
      </c>
      <c r="DN60" s="16">
        <v>44143</v>
      </c>
      <c r="DO60">
        <v>18049</v>
      </c>
      <c r="DP60">
        <v>133</v>
      </c>
      <c r="DQ60" s="16">
        <v>44144</v>
      </c>
      <c r="DR60">
        <v>18331</v>
      </c>
      <c r="DS60">
        <v>276</v>
      </c>
      <c r="DT60" s="16">
        <v>44145</v>
      </c>
      <c r="DU60">
        <v>18544</v>
      </c>
      <c r="DV60">
        <v>207</v>
      </c>
      <c r="DW60" s="16">
        <v>44146</v>
      </c>
      <c r="DX60">
        <v>18825</v>
      </c>
      <c r="DY60">
        <v>279</v>
      </c>
      <c r="DZ60" s="16">
        <v>44147</v>
      </c>
      <c r="EA60">
        <v>19057</v>
      </c>
      <c r="EB60">
        <v>230</v>
      </c>
      <c r="EC60" s="16">
        <v>44148</v>
      </c>
      <c r="ED60">
        <v>19283</v>
      </c>
      <c r="EE60">
        <v>218</v>
      </c>
      <c r="EF60" s="16">
        <v>44149</v>
      </c>
      <c r="EG60">
        <v>19432</v>
      </c>
      <c r="EH60">
        <v>132</v>
      </c>
      <c r="EI60" s="16">
        <v>44150</v>
      </c>
      <c r="EJ60">
        <v>19609</v>
      </c>
      <c r="EK60">
        <v>167</v>
      </c>
      <c r="EL60" s="16">
        <v>44151</v>
      </c>
      <c r="EM60">
        <v>20066</v>
      </c>
      <c r="EN60">
        <v>360</v>
      </c>
      <c r="EO60" s="16">
        <v>44152</v>
      </c>
      <c r="EP60">
        <v>20478</v>
      </c>
      <c r="EQ60">
        <v>387</v>
      </c>
      <c r="ER60" s="16">
        <v>44153</v>
      </c>
      <c r="ES60">
        <v>20850</v>
      </c>
      <c r="ET60">
        <v>372</v>
      </c>
      <c r="EU60" s="16"/>
      <c r="EX60" s="16"/>
      <c r="FA60" s="16"/>
      <c r="FD60" s="16"/>
      <c r="FG60" s="16"/>
      <c r="FJ60" s="16"/>
      <c r="FM60" s="16"/>
      <c r="FP60" s="16"/>
      <c r="FS60" s="16"/>
      <c r="FV60" s="16"/>
      <c r="FY60" s="16"/>
      <c r="GB60" s="16"/>
      <c r="GE60" s="16"/>
      <c r="GH60" s="16"/>
      <c r="GK60" s="16"/>
      <c r="GN60" s="16"/>
      <c r="GQ60" s="16"/>
      <c r="GT60" s="16"/>
      <c r="GW60" s="16"/>
      <c r="GZ60" s="16"/>
      <c r="HC60" s="16"/>
      <c r="HF60" s="16"/>
      <c r="HI60" s="16"/>
      <c r="HL60" s="16"/>
      <c r="HO60" s="16"/>
      <c r="HR60" s="16"/>
      <c r="HU60" s="16"/>
      <c r="HX60" s="16"/>
      <c r="IA60" s="16"/>
      <c r="ID60" s="16"/>
      <c r="IG60" s="16"/>
      <c r="IJ60" s="16"/>
      <c r="IM60" s="16"/>
    </row>
    <row r="61" spans="1:247">
      <c r="A61" t="str">
        <f t="shared" ca="1" si="1"/>
        <v>19.11</v>
      </c>
      <c r="B61" s="4">
        <f t="shared" ca="1" si="2"/>
        <v>44154</v>
      </c>
      <c r="C61" s="11">
        <f t="shared" ca="1" si="0"/>
        <v>21313</v>
      </c>
      <c r="D61">
        <f t="shared" ca="1" si="20"/>
        <v>471</v>
      </c>
      <c r="E61" s="11">
        <f t="shared" ca="1" si="4"/>
        <v>63</v>
      </c>
      <c r="F61" s="11">
        <f t="shared" ca="1" si="6"/>
        <v>408</v>
      </c>
      <c r="J61" s="4"/>
      <c r="K61" s="3"/>
      <c r="M61" s="16">
        <v>44154</v>
      </c>
      <c r="N61">
        <v>21258</v>
      </c>
      <c r="O61">
        <v>408</v>
      </c>
      <c r="P61" s="16">
        <v>44154</v>
      </c>
      <c r="Q61">
        <v>21258</v>
      </c>
      <c r="R61">
        <v>408</v>
      </c>
      <c r="S61" s="16">
        <v>44109</v>
      </c>
      <c r="T61">
        <v>11250</v>
      </c>
      <c r="U61">
        <v>189</v>
      </c>
      <c r="V61" s="16">
        <v>44110</v>
      </c>
      <c r="W61">
        <v>11499</v>
      </c>
      <c r="X61">
        <v>191</v>
      </c>
      <c r="Y61" s="16">
        <v>44111</v>
      </c>
      <c r="Z61">
        <v>11779</v>
      </c>
      <c r="AA61">
        <v>174</v>
      </c>
      <c r="AB61" s="16">
        <v>44112</v>
      </c>
      <c r="AC61">
        <v>11954</v>
      </c>
      <c r="AD61">
        <v>146</v>
      </c>
      <c r="AE61" s="16">
        <v>44113</v>
      </c>
      <c r="AF61">
        <v>12160</v>
      </c>
      <c r="AG61">
        <v>121</v>
      </c>
      <c r="AH61" s="16">
        <v>44114</v>
      </c>
      <c r="AI61">
        <v>12432</v>
      </c>
      <c r="AJ61">
        <v>58</v>
      </c>
      <c r="AK61" s="16">
        <v>44115</v>
      </c>
      <c r="AL61">
        <v>12603</v>
      </c>
      <c r="AM61">
        <v>90</v>
      </c>
      <c r="AN61" s="16">
        <v>44116</v>
      </c>
      <c r="AO61">
        <v>12844</v>
      </c>
      <c r="AP61">
        <v>174</v>
      </c>
      <c r="AQ61" s="16">
        <v>44117</v>
      </c>
      <c r="AR61">
        <v>13023</v>
      </c>
      <c r="AS61">
        <v>145</v>
      </c>
      <c r="AT61" s="16">
        <v>44118</v>
      </c>
      <c r="AU61">
        <v>13186</v>
      </c>
      <c r="AV61">
        <v>140</v>
      </c>
      <c r="AW61" s="16">
        <v>44119</v>
      </c>
      <c r="AX61">
        <v>13316</v>
      </c>
      <c r="AY61">
        <v>119</v>
      </c>
      <c r="AZ61" s="16">
        <v>44120</v>
      </c>
      <c r="BA61">
        <v>13472</v>
      </c>
      <c r="BB61">
        <v>139</v>
      </c>
      <c r="BC61" s="16">
        <v>44121</v>
      </c>
      <c r="BD61">
        <v>13747</v>
      </c>
      <c r="BE61">
        <v>77</v>
      </c>
      <c r="BF61" s="16">
        <v>44122</v>
      </c>
      <c r="BG61">
        <v>13912</v>
      </c>
      <c r="BH61">
        <v>116</v>
      </c>
      <c r="BI61" s="16">
        <v>44123</v>
      </c>
      <c r="BJ61">
        <v>14148</v>
      </c>
      <c r="BK61">
        <v>211</v>
      </c>
      <c r="BL61" s="16">
        <v>44124</v>
      </c>
      <c r="BM61">
        <v>14322</v>
      </c>
      <c r="BN61">
        <v>141</v>
      </c>
      <c r="BO61" s="16">
        <v>44125</v>
      </c>
      <c r="BP61">
        <v>14510</v>
      </c>
      <c r="BQ61">
        <v>154</v>
      </c>
      <c r="BR61" s="16">
        <v>44126</v>
      </c>
      <c r="BS61">
        <v>14691</v>
      </c>
      <c r="BT61">
        <v>171</v>
      </c>
      <c r="BU61" s="16">
        <v>44128</v>
      </c>
      <c r="BV61">
        <v>14925</v>
      </c>
      <c r="BW61">
        <v>73</v>
      </c>
      <c r="BX61" s="16">
        <v>44129</v>
      </c>
      <c r="BY61">
        <v>15162</v>
      </c>
      <c r="BZ61">
        <v>121</v>
      </c>
      <c r="CA61" s="16">
        <v>44130</v>
      </c>
      <c r="CB61">
        <v>15395</v>
      </c>
      <c r="CC61">
        <v>222</v>
      </c>
      <c r="CD61" s="16">
        <v>44131</v>
      </c>
      <c r="CE61">
        <v>15651</v>
      </c>
      <c r="CF61">
        <v>216</v>
      </c>
      <c r="CG61" s="16">
        <v>44132</v>
      </c>
      <c r="CH61">
        <v>15886</v>
      </c>
      <c r="CI61">
        <v>222</v>
      </c>
      <c r="CJ61" s="16">
        <v>44133</v>
      </c>
      <c r="CK61">
        <v>16069</v>
      </c>
      <c r="CL61">
        <v>183</v>
      </c>
      <c r="CM61" s="16">
        <v>44134</v>
      </c>
      <c r="CN61">
        <v>16261</v>
      </c>
      <c r="CO61">
        <v>187</v>
      </c>
      <c r="CP61" s="16">
        <v>44135</v>
      </c>
      <c r="CQ61">
        <v>16467</v>
      </c>
      <c r="CR61">
        <v>116</v>
      </c>
      <c r="CS61" s="16">
        <v>44136</v>
      </c>
      <c r="CT61">
        <v>16618</v>
      </c>
      <c r="CU61">
        <v>140</v>
      </c>
      <c r="CV61" s="16">
        <v>44137</v>
      </c>
      <c r="CW61">
        <v>16895</v>
      </c>
      <c r="CX61">
        <v>267</v>
      </c>
      <c r="CY61" s="16">
        <v>44139</v>
      </c>
      <c r="CZ61">
        <v>17315</v>
      </c>
      <c r="DA61">
        <v>176</v>
      </c>
      <c r="DB61" s="16">
        <v>44140</v>
      </c>
      <c r="DC61">
        <v>17557</v>
      </c>
      <c r="DD61">
        <v>198</v>
      </c>
      <c r="DE61" s="16">
        <v>44141</v>
      </c>
      <c r="DF61">
        <v>17733</v>
      </c>
      <c r="DG61">
        <v>172</v>
      </c>
      <c r="DH61" s="16">
        <v>44142</v>
      </c>
      <c r="DI61">
        <v>17902</v>
      </c>
      <c r="DJ61">
        <v>125</v>
      </c>
      <c r="DK61" s="16">
        <v>44143</v>
      </c>
      <c r="DL61">
        <v>18047</v>
      </c>
      <c r="DM61">
        <v>133</v>
      </c>
      <c r="DN61" s="16">
        <v>44144</v>
      </c>
      <c r="DO61">
        <v>18313</v>
      </c>
      <c r="DP61">
        <v>264</v>
      </c>
      <c r="DQ61" s="16">
        <v>44145</v>
      </c>
      <c r="DR61">
        <v>18515</v>
      </c>
      <c r="DS61">
        <v>184</v>
      </c>
      <c r="DT61" s="16">
        <v>44146</v>
      </c>
      <c r="DU61">
        <v>18823</v>
      </c>
      <c r="DV61">
        <v>279</v>
      </c>
      <c r="DW61" s="16">
        <v>44147</v>
      </c>
      <c r="DX61">
        <v>19051</v>
      </c>
      <c r="DY61">
        <v>226</v>
      </c>
      <c r="DZ61" s="16">
        <v>44148</v>
      </c>
      <c r="EA61">
        <v>19264</v>
      </c>
      <c r="EB61">
        <v>207</v>
      </c>
      <c r="EC61" s="16">
        <v>44149</v>
      </c>
      <c r="ED61">
        <v>19408</v>
      </c>
      <c r="EE61">
        <v>125</v>
      </c>
      <c r="EF61" s="16">
        <v>44150</v>
      </c>
      <c r="EG61">
        <v>19592</v>
      </c>
      <c r="EH61">
        <v>160</v>
      </c>
      <c r="EI61" s="16">
        <v>44151</v>
      </c>
      <c r="EJ61">
        <v>19924</v>
      </c>
      <c r="EK61">
        <v>315</v>
      </c>
      <c r="EL61" s="16">
        <v>44152</v>
      </c>
      <c r="EM61">
        <v>20420</v>
      </c>
      <c r="EN61">
        <v>354</v>
      </c>
      <c r="EO61" s="16">
        <v>44153</v>
      </c>
      <c r="EP61">
        <v>20793</v>
      </c>
      <c r="EQ61">
        <v>315</v>
      </c>
      <c r="ER61" s="16">
        <v>44154</v>
      </c>
      <c r="ES61">
        <v>21258</v>
      </c>
      <c r="ET61">
        <v>408</v>
      </c>
      <c r="EU61" s="16"/>
      <c r="EX61" s="16"/>
      <c r="FA61" s="16"/>
      <c r="FD61" s="16"/>
      <c r="FG61" s="16"/>
      <c r="FJ61" s="16"/>
      <c r="FM61" s="16"/>
      <c r="FP61" s="16"/>
      <c r="FS61" s="16"/>
      <c r="FV61" s="16"/>
      <c r="FY61" s="16"/>
      <c r="GB61" s="16"/>
      <c r="GE61" s="16"/>
      <c r="GH61" s="16"/>
      <c r="GK61" s="16"/>
      <c r="GN61" s="16"/>
      <c r="GQ61" s="16"/>
      <c r="GT61" s="16"/>
      <c r="GW61" s="16"/>
      <c r="GZ61" s="16"/>
      <c r="HC61" s="16"/>
      <c r="HF61" s="16"/>
      <c r="HI61" s="16"/>
      <c r="HL61" s="16"/>
      <c r="HO61" s="16"/>
      <c r="HR61" s="16"/>
      <c r="HU61" s="16"/>
      <c r="HX61" s="16"/>
      <c r="IA61" s="16"/>
      <c r="ID61" s="16"/>
      <c r="IG61" s="16"/>
      <c r="IJ61" s="16"/>
      <c r="IM61" s="16"/>
    </row>
    <row r="62" spans="1:247">
      <c r="A62" t="str">
        <f t="shared" ca="1" si="1"/>
        <v>20.11</v>
      </c>
      <c r="B62" s="4">
        <f t="shared" ca="1" si="2"/>
        <v>44155</v>
      </c>
      <c r="C62" s="11">
        <f t="shared" ca="1" si="0"/>
        <v>21680</v>
      </c>
      <c r="D62">
        <f t="shared" ca="1" si="20"/>
        <v>367</v>
      </c>
      <c r="E62" s="11">
        <f t="shared" ca="1" si="4"/>
        <v>61</v>
      </c>
      <c r="F62" s="11">
        <f t="shared" ca="1" si="6"/>
        <v>306</v>
      </c>
      <c r="J62" s="4"/>
      <c r="K62" s="3"/>
      <c r="M62" s="16">
        <v>44155</v>
      </c>
      <c r="N62">
        <v>21564</v>
      </c>
      <c r="O62">
        <v>306</v>
      </c>
      <c r="P62" s="16">
        <v>44155</v>
      </c>
      <c r="Q62">
        <v>21564</v>
      </c>
      <c r="R62">
        <v>306</v>
      </c>
      <c r="S62" s="16">
        <v>44110</v>
      </c>
      <c r="T62">
        <v>11340</v>
      </c>
      <c r="U62">
        <v>90</v>
      </c>
      <c r="V62" s="16">
        <v>44111</v>
      </c>
      <c r="W62">
        <v>11574</v>
      </c>
      <c r="X62">
        <v>75</v>
      </c>
      <c r="Y62" s="16">
        <v>44112</v>
      </c>
      <c r="Z62">
        <v>11831</v>
      </c>
      <c r="AA62">
        <v>52</v>
      </c>
      <c r="AB62" s="16">
        <v>44113</v>
      </c>
      <c r="AC62">
        <v>11993</v>
      </c>
      <c r="AD62">
        <v>39</v>
      </c>
      <c r="AE62" s="16">
        <v>44114</v>
      </c>
      <c r="AF62">
        <v>12203</v>
      </c>
      <c r="AG62">
        <v>43</v>
      </c>
      <c r="AH62" s="16">
        <v>44115</v>
      </c>
      <c r="AI62">
        <v>12472</v>
      </c>
      <c r="AJ62">
        <v>40</v>
      </c>
      <c r="AK62" s="16">
        <v>44116</v>
      </c>
      <c r="AL62">
        <v>12691</v>
      </c>
      <c r="AM62">
        <v>88</v>
      </c>
      <c r="AN62" s="16">
        <v>44117</v>
      </c>
      <c r="AO62">
        <v>12922</v>
      </c>
      <c r="AP62">
        <v>78</v>
      </c>
      <c r="AQ62" s="16">
        <v>44118</v>
      </c>
      <c r="AR62">
        <v>13116</v>
      </c>
      <c r="AS62">
        <v>93</v>
      </c>
      <c r="AT62" s="16">
        <v>44119</v>
      </c>
      <c r="AU62">
        <v>13261</v>
      </c>
      <c r="AV62">
        <v>75</v>
      </c>
      <c r="AW62" s="16">
        <v>44120</v>
      </c>
      <c r="AX62">
        <v>13413</v>
      </c>
      <c r="AY62">
        <v>97</v>
      </c>
      <c r="AZ62" s="16">
        <v>44121</v>
      </c>
      <c r="BA62">
        <v>13527</v>
      </c>
      <c r="BB62">
        <v>55</v>
      </c>
      <c r="BC62" s="16">
        <v>44122</v>
      </c>
      <c r="BD62">
        <v>13835</v>
      </c>
      <c r="BE62">
        <v>88</v>
      </c>
      <c r="BF62" s="16">
        <v>44123</v>
      </c>
      <c r="BG62">
        <v>14054</v>
      </c>
      <c r="BH62">
        <v>142</v>
      </c>
      <c r="BI62" s="16">
        <v>44124</v>
      </c>
      <c r="BJ62">
        <v>14236</v>
      </c>
      <c r="BK62">
        <v>88</v>
      </c>
      <c r="BL62" s="16">
        <v>44125</v>
      </c>
      <c r="BM62">
        <v>14450</v>
      </c>
      <c r="BN62">
        <v>128</v>
      </c>
      <c r="BO62" s="16">
        <v>44126</v>
      </c>
      <c r="BP62">
        <v>14609</v>
      </c>
      <c r="BQ62">
        <v>99</v>
      </c>
      <c r="BR62" s="16">
        <v>44127</v>
      </c>
      <c r="BS62">
        <v>14823</v>
      </c>
      <c r="BT62">
        <v>132</v>
      </c>
      <c r="BU62" s="16">
        <v>44129</v>
      </c>
      <c r="BV62">
        <v>14970</v>
      </c>
      <c r="BW62">
        <v>45</v>
      </c>
      <c r="BX62" s="16">
        <v>44130</v>
      </c>
      <c r="BY62">
        <v>15336</v>
      </c>
      <c r="BZ62">
        <v>174</v>
      </c>
      <c r="CA62" s="16">
        <v>44131</v>
      </c>
      <c r="CB62">
        <v>15534</v>
      </c>
      <c r="CC62">
        <v>139</v>
      </c>
      <c r="CD62" s="16">
        <v>44132</v>
      </c>
      <c r="CE62">
        <v>15840</v>
      </c>
      <c r="CF62">
        <v>189</v>
      </c>
      <c r="CG62" s="16">
        <v>44133</v>
      </c>
      <c r="CH62">
        <v>16062</v>
      </c>
      <c r="CI62">
        <v>176</v>
      </c>
      <c r="CJ62" s="16">
        <v>44134</v>
      </c>
      <c r="CK62">
        <v>16247</v>
      </c>
      <c r="CL62">
        <v>178</v>
      </c>
      <c r="CM62" s="16">
        <v>44135</v>
      </c>
      <c r="CN62">
        <v>16353</v>
      </c>
      <c r="CO62">
        <v>92</v>
      </c>
      <c r="CP62" s="16">
        <v>44136</v>
      </c>
      <c r="CQ62">
        <v>16588</v>
      </c>
      <c r="CR62">
        <v>121</v>
      </c>
      <c r="CS62" s="16">
        <v>44137</v>
      </c>
      <c r="CT62">
        <v>16850</v>
      </c>
      <c r="CU62">
        <v>232</v>
      </c>
      <c r="CV62" s="16">
        <v>44138</v>
      </c>
      <c r="CW62">
        <v>17075</v>
      </c>
      <c r="CX62">
        <v>180</v>
      </c>
      <c r="CY62" s="16">
        <v>44140</v>
      </c>
      <c r="CZ62">
        <v>17385</v>
      </c>
      <c r="DA62">
        <v>70</v>
      </c>
      <c r="DB62" s="16">
        <v>44141</v>
      </c>
      <c r="DC62">
        <v>17721</v>
      </c>
      <c r="DD62">
        <v>164</v>
      </c>
      <c r="DE62" s="16">
        <v>44142</v>
      </c>
      <c r="DF62">
        <v>17846</v>
      </c>
      <c r="DG62">
        <v>113</v>
      </c>
      <c r="DH62" s="16">
        <v>44143</v>
      </c>
      <c r="DI62">
        <v>18023</v>
      </c>
      <c r="DJ62">
        <v>121</v>
      </c>
      <c r="DK62" s="16">
        <v>44144</v>
      </c>
      <c r="DL62">
        <v>18285</v>
      </c>
      <c r="DM62">
        <v>238</v>
      </c>
      <c r="DN62" s="16">
        <v>44145</v>
      </c>
      <c r="DO62">
        <v>18477</v>
      </c>
      <c r="DP62">
        <v>164</v>
      </c>
      <c r="DQ62" s="16">
        <v>44146</v>
      </c>
      <c r="DR62">
        <v>18770</v>
      </c>
      <c r="DS62">
        <v>255</v>
      </c>
      <c r="DT62" s="16">
        <v>44147</v>
      </c>
      <c r="DU62">
        <v>19032</v>
      </c>
      <c r="DV62">
        <v>209</v>
      </c>
      <c r="DW62" s="16">
        <v>44148</v>
      </c>
      <c r="DX62">
        <v>19252</v>
      </c>
      <c r="DY62">
        <v>201</v>
      </c>
      <c r="DZ62" s="16">
        <v>44149</v>
      </c>
      <c r="EA62">
        <v>19363</v>
      </c>
      <c r="EB62">
        <v>99</v>
      </c>
      <c r="EC62" s="16">
        <v>44150</v>
      </c>
      <c r="ED62">
        <v>19549</v>
      </c>
      <c r="EE62">
        <v>141</v>
      </c>
      <c r="EF62" s="16">
        <v>44151</v>
      </c>
      <c r="EG62">
        <v>19862</v>
      </c>
      <c r="EH62">
        <v>270</v>
      </c>
      <c r="EI62" s="16">
        <v>44152</v>
      </c>
      <c r="EJ62">
        <v>20220</v>
      </c>
      <c r="EK62">
        <v>296</v>
      </c>
      <c r="EL62" s="16">
        <v>44153</v>
      </c>
      <c r="EM62">
        <v>20687</v>
      </c>
      <c r="EN62">
        <v>267</v>
      </c>
      <c r="EO62" s="16">
        <v>44154</v>
      </c>
      <c r="EP62">
        <v>21150</v>
      </c>
      <c r="EQ62">
        <v>357</v>
      </c>
      <c r="ER62" s="16">
        <v>44155</v>
      </c>
      <c r="ES62">
        <v>21564</v>
      </c>
      <c r="ET62">
        <v>306</v>
      </c>
      <c r="EU62" s="16"/>
      <c r="EX62" s="16"/>
      <c r="FA62" s="16"/>
      <c r="FD62" s="16"/>
      <c r="FG62" s="16"/>
      <c r="FJ62" s="16"/>
      <c r="FM62" s="16"/>
      <c r="FP62" s="16"/>
      <c r="FS62" s="16"/>
      <c r="FV62" s="16"/>
      <c r="FY62" s="16"/>
      <c r="GB62" s="16"/>
      <c r="GE62" s="16"/>
      <c r="GH62" s="16"/>
      <c r="GK62" s="16"/>
      <c r="GN62" s="16"/>
      <c r="GQ62" s="16"/>
      <c r="GT62" s="16"/>
      <c r="GW62" s="16"/>
      <c r="GZ62" s="16"/>
      <c r="HC62" s="16"/>
      <c r="HF62" s="16"/>
      <c r="HI62" s="16"/>
      <c r="HL62" s="16"/>
      <c r="HO62" s="16"/>
      <c r="HR62" s="16"/>
      <c r="HU62" s="16"/>
      <c r="HX62" s="16"/>
      <c r="IA62" s="16"/>
      <c r="ID62" s="16"/>
      <c r="IG62" s="16"/>
      <c r="IJ62" s="16"/>
      <c r="IM62" s="16"/>
    </row>
    <row r="63" spans="1:247">
      <c r="A63" t="str">
        <f t="shared" ca="1" si="1"/>
        <v>21.11</v>
      </c>
      <c r="B63" s="4">
        <f ca="1">B64-1</f>
        <v>44156</v>
      </c>
      <c r="C63" s="11">
        <f t="shared" ca="1" si="0"/>
        <v>21870</v>
      </c>
      <c r="D63">
        <f t="shared" ca="1" si="20"/>
        <v>190</v>
      </c>
      <c r="E63" s="11">
        <f t="shared" ca="1" si="4"/>
        <v>115</v>
      </c>
      <c r="F63" s="11">
        <f t="shared" ca="1" si="6"/>
        <v>75</v>
      </c>
      <c r="J63" s="4"/>
      <c r="K63" s="3"/>
      <c r="M63" s="16">
        <v>44156</v>
      </c>
      <c r="N63">
        <v>21639</v>
      </c>
      <c r="O63">
        <v>75</v>
      </c>
      <c r="P63" s="16">
        <v>44156</v>
      </c>
      <c r="Q63">
        <v>21639</v>
      </c>
      <c r="R63">
        <v>75</v>
      </c>
      <c r="S63" s="16">
        <v>44111</v>
      </c>
      <c r="T63">
        <v>11345</v>
      </c>
      <c r="U63">
        <v>5</v>
      </c>
      <c r="V63" s="16">
        <v>44112</v>
      </c>
      <c r="W63">
        <v>11580</v>
      </c>
      <c r="X63">
        <v>6</v>
      </c>
      <c r="Y63" s="16">
        <v>44113</v>
      </c>
      <c r="Z63">
        <v>11849</v>
      </c>
      <c r="AA63">
        <v>18</v>
      </c>
      <c r="AB63" s="16">
        <v>44114</v>
      </c>
      <c r="AC63">
        <v>11998</v>
      </c>
      <c r="AD63">
        <v>5</v>
      </c>
      <c r="AE63" s="16">
        <v>44115</v>
      </c>
      <c r="AF63">
        <v>12212</v>
      </c>
      <c r="AG63">
        <v>9</v>
      </c>
      <c r="AH63" s="16">
        <v>44116</v>
      </c>
      <c r="AI63">
        <v>12499</v>
      </c>
      <c r="AJ63">
        <v>27</v>
      </c>
      <c r="AK63" s="16">
        <v>44117</v>
      </c>
      <c r="AL63">
        <v>12703</v>
      </c>
      <c r="AM63">
        <v>12</v>
      </c>
      <c r="AN63" s="16">
        <v>44118</v>
      </c>
      <c r="AO63">
        <v>12944</v>
      </c>
      <c r="AP63">
        <v>22</v>
      </c>
      <c r="AQ63" s="16">
        <v>44119</v>
      </c>
      <c r="AR63">
        <v>13133</v>
      </c>
      <c r="AS63">
        <v>17</v>
      </c>
      <c r="AT63" s="16">
        <v>44120</v>
      </c>
      <c r="AU63">
        <v>13293</v>
      </c>
      <c r="AV63">
        <v>32</v>
      </c>
      <c r="AW63" s="16">
        <v>44121</v>
      </c>
      <c r="AX63">
        <v>13424</v>
      </c>
      <c r="AY63">
        <v>11</v>
      </c>
      <c r="AZ63" s="16">
        <v>44122</v>
      </c>
      <c r="BA63">
        <v>13555</v>
      </c>
      <c r="BB63">
        <v>28</v>
      </c>
      <c r="BC63" s="16">
        <v>44123</v>
      </c>
      <c r="BD63">
        <v>13849</v>
      </c>
      <c r="BE63">
        <v>14</v>
      </c>
      <c r="BF63" s="16">
        <v>44124</v>
      </c>
      <c r="BG63">
        <v>14071</v>
      </c>
      <c r="BH63">
        <v>17</v>
      </c>
      <c r="BI63" s="16">
        <v>44125</v>
      </c>
      <c r="BJ63">
        <v>14255</v>
      </c>
      <c r="BK63">
        <v>19</v>
      </c>
      <c r="BL63" s="16">
        <v>44126</v>
      </c>
      <c r="BM63">
        <v>14474</v>
      </c>
      <c r="BN63">
        <v>24</v>
      </c>
      <c r="BO63" s="16">
        <v>44127</v>
      </c>
      <c r="BP63">
        <v>14652</v>
      </c>
      <c r="BQ63">
        <v>43</v>
      </c>
      <c r="BR63" s="16">
        <v>44128</v>
      </c>
      <c r="BS63">
        <v>14848</v>
      </c>
      <c r="BT63">
        <v>25</v>
      </c>
      <c r="BU63" s="16">
        <v>44130</v>
      </c>
      <c r="BV63">
        <v>14970</v>
      </c>
      <c r="BW63">
        <v>0</v>
      </c>
      <c r="BX63" s="16">
        <v>44131</v>
      </c>
      <c r="BY63">
        <v>15378</v>
      </c>
      <c r="BZ63">
        <v>42</v>
      </c>
      <c r="CA63" s="16">
        <v>44132</v>
      </c>
      <c r="CB63">
        <v>15566</v>
      </c>
      <c r="CC63">
        <v>32</v>
      </c>
      <c r="CD63" s="16">
        <v>44133</v>
      </c>
      <c r="CE63">
        <v>15910</v>
      </c>
      <c r="CF63">
        <v>70</v>
      </c>
      <c r="CG63" s="16">
        <v>44134</v>
      </c>
      <c r="CH63">
        <v>16113</v>
      </c>
      <c r="CI63">
        <v>51</v>
      </c>
      <c r="CJ63" s="16">
        <v>44135</v>
      </c>
      <c r="CK63">
        <v>16291</v>
      </c>
      <c r="CL63">
        <v>44</v>
      </c>
      <c r="CM63" s="16">
        <v>44136</v>
      </c>
      <c r="CN63">
        <v>16400</v>
      </c>
      <c r="CO63">
        <v>47</v>
      </c>
      <c r="CP63" s="16">
        <v>44137</v>
      </c>
      <c r="CQ63">
        <v>16637</v>
      </c>
      <c r="CR63">
        <v>49</v>
      </c>
      <c r="CS63" s="16">
        <v>44138</v>
      </c>
      <c r="CT63">
        <v>16929</v>
      </c>
      <c r="CU63">
        <v>79</v>
      </c>
      <c r="CV63" s="16">
        <v>44139</v>
      </c>
      <c r="CW63">
        <v>17119</v>
      </c>
      <c r="CX63">
        <v>44</v>
      </c>
      <c r="CY63" s="16">
        <v>44141</v>
      </c>
      <c r="CZ63">
        <v>17385</v>
      </c>
      <c r="DA63">
        <v>0</v>
      </c>
      <c r="DB63" s="16">
        <v>44142</v>
      </c>
      <c r="DC63">
        <v>17797</v>
      </c>
      <c r="DD63">
        <v>76</v>
      </c>
      <c r="DE63" s="16">
        <v>44143</v>
      </c>
      <c r="DF63">
        <v>17887</v>
      </c>
      <c r="DG63">
        <v>41</v>
      </c>
      <c r="DH63" s="16">
        <v>44144</v>
      </c>
      <c r="DI63">
        <v>18107</v>
      </c>
      <c r="DJ63">
        <v>84</v>
      </c>
      <c r="DK63" s="16">
        <v>44145</v>
      </c>
      <c r="DL63">
        <v>18345</v>
      </c>
      <c r="DM63">
        <v>60</v>
      </c>
      <c r="DN63" s="16">
        <v>44146</v>
      </c>
      <c r="DO63">
        <v>18542</v>
      </c>
      <c r="DP63">
        <v>65</v>
      </c>
      <c r="DQ63" s="16">
        <v>44147</v>
      </c>
      <c r="DR63">
        <v>18858</v>
      </c>
      <c r="DS63">
        <v>88</v>
      </c>
      <c r="DT63" s="16">
        <v>44148</v>
      </c>
      <c r="DU63">
        <v>19102</v>
      </c>
      <c r="DV63">
        <v>70</v>
      </c>
      <c r="DW63" s="16">
        <v>44149</v>
      </c>
      <c r="DX63">
        <v>19315</v>
      </c>
      <c r="DY63">
        <v>63</v>
      </c>
      <c r="DZ63" s="16">
        <v>44150</v>
      </c>
      <c r="EA63">
        <v>19419</v>
      </c>
      <c r="EB63">
        <v>56</v>
      </c>
      <c r="EC63" s="16">
        <v>44151</v>
      </c>
      <c r="ED63">
        <v>19647</v>
      </c>
      <c r="EE63">
        <v>98</v>
      </c>
      <c r="EF63" s="16">
        <v>44152</v>
      </c>
      <c r="EG63">
        <v>19935</v>
      </c>
      <c r="EH63">
        <v>73</v>
      </c>
      <c r="EI63" s="16">
        <v>44153</v>
      </c>
      <c r="EJ63">
        <v>20286</v>
      </c>
      <c r="EK63">
        <v>66</v>
      </c>
      <c r="EL63" s="16">
        <v>44154</v>
      </c>
      <c r="EM63">
        <v>20747</v>
      </c>
      <c r="EN63">
        <v>60</v>
      </c>
      <c r="EO63" s="16">
        <v>44155</v>
      </c>
      <c r="EP63">
        <v>21216</v>
      </c>
      <c r="EQ63">
        <v>66</v>
      </c>
      <c r="ER63" s="16">
        <v>44156</v>
      </c>
      <c r="ES63">
        <v>21639</v>
      </c>
      <c r="ET63">
        <v>75</v>
      </c>
      <c r="EU63" s="16"/>
      <c r="EX63" s="16"/>
      <c r="FA63" s="16"/>
      <c r="FD63" s="16"/>
      <c r="FG63" s="16"/>
      <c r="FJ63" s="16"/>
      <c r="FM63" s="16"/>
      <c r="FP63" s="16"/>
      <c r="FS63" s="16"/>
      <c r="FV63" s="16"/>
      <c r="FY63" s="16"/>
      <c r="GB63" s="16"/>
      <c r="GE63" s="16"/>
      <c r="GH63" s="16"/>
      <c r="GK63" s="16"/>
      <c r="GN63" s="16"/>
      <c r="GQ63" s="16"/>
      <c r="GT63" s="16"/>
      <c r="GW63" s="16"/>
      <c r="GZ63" s="16"/>
      <c r="HC63" s="16"/>
      <c r="HF63" s="16"/>
      <c r="HI63" s="16"/>
      <c r="HL63" s="16"/>
      <c r="HO63" s="16"/>
      <c r="HR63" s="16"/>
      <c r="HU63" s="16"/>
      <c r="HX63" s="16"/>
      <c r="IA63" s="16"/>
      <c r="ID63" s="16"/>
      <c r="IG63" s="16"/>
      <c r="IJ63" s="16"/>
      <c r="IM63" s="16"/>
    </row>
    <row r="64" spans="1:247" s="10" customFormat="1">
      <c r="A64" t="str">
        <f t="shared" ca="1" si="1"/>
        <v>22.11</v>
      </c>
      <c r="B64" s="9">
        <f ca="1">B65-1</f>
        <v>44157</v>
      </c>
      <c r="C64" s="10">
        <f t="shared" ca="1" si="0"/>
        <v>21936</v>
      </c>
      <c r="D64" s="10">
        <f ca="1">C64-C63</f>
        <v>66</v>
      </c>
      <c r="E64" s="10">
        <f t="shared" ca="1" si="4"/>
        <v>66</v>
      </c>
      <c r="F64" s="10">
        <f t="shared" ca="1" si="6"/>
        <v>0</v>
      </c>
      <c r="J64" s="9"/>
      <c r="K64" s="14"/>
      <c r="M64" s="17">
        <v>44157</v>
      </c>
      <c r="N64" s="10">
        <v>21639</v>
      </c>
      <c r="O64" s="10">
        <v>0</v>
      </c>
      <c r="P64" s="17">
        <v>44157</v>
      </c>
      <c r="Q64" s="10">
        <v>21639</v>
      </c>
      <c r="R64" s="10">
        <v>0</v>
      </c>
      <c r="S64" s="17">
        <v>44112</v>
      </c>
      <c r="T64" s="10">
        <v>11345</v>
      </c>
      <c r="U64" s="10">
        <v>0</v>
      </c>
      <c r="V64" s="17">
        <v>44113</v>
      </c>
      <c r="W64" s="10">
        <v>11580</v>
      </c>
      <c r="X64" s="10">
        <v>0</v>
      </c>
      <c r="Y64" s="17">
        <v>44114</v>
      </c>
      <c r="Z64" s="10">
        <v>11849</v>
      </c>
      <c r="AA64" s="10">
        <v>0</v>
      </c>
      <c r="AB64" s="17">
        <v>44115</v>
      </c>
      <c r="AC64" s="10">
        <v>11998</v>
      </c>
      <c r="AD64" s="10">
        <v>0</v>
      </c>
      <c r="AE64" s="17">
        <v>44116</v>
      </c>
      <c r="AF64" s="10">
        <v>12212</v>
      </c>
      <c r="AG64" s="10">
        <v>0</v>
      </c>
      <c r="AH64" s="17">
        <v>44117</v>
      </c>
      <c r="AI64" s="10">
        <v>12499</v>
      </c>
      <c r="AJ64" s="10">
        <v>0</v>
      </c>
      <c r="AK64" s="17">
        <v>44118</v>
      </c>
      <c r="AL64" s="10">
        <v>12703</v>
      </c>
      <c r="AM64" s="10">
        <v>0</v>
      </c>
      <c r="AN64" s="17">
        <v>44119</v>
      </c>
      <c r="AO64" s="10">
        <v>12944</v>
      </c>
      <c r="AP64" s="10">
        <v>0</v>
      </c>
      <c r="AQ64" s="17">
        <v>44120</v>
      </c>
      <c r="AR64" s="10">
        <v>13133</v>
      </c>
      <c r="AS64" s="10">
        <v>0</v>
      </c>
      <c r="AT64" s="17">
        <v>44121</v>
      </c>
      <c r="AU64" s="10">
        <v>13293</v>
      </c>
      <c r="AV64" s="10">
        <v>0</v>
      </c>
      <c r="AW64" s="17">
        <v>44122</v>
      </c>
      <c r="AX64" s="10">
        <v>13424</v>
      </c>
      <c r="AY64" s="10">
        <v>0</v>
      </c>
      <c r="AZ64" s="17">
        <v>44123</v>
      </c>
      <c r="BA64" s="10">
        <v>13555</v>
      </c>
      <c r="BB64" s="10">
        <v>0</v>
      </c>
      <c r="BC64" s="17">
        <v>44124</v>
      </c>
      <c r="BD64" s="10">
        <v>13849</v>
      </c>
      <c r="BE64" s="10">
        <v>0</v>
      </c>
      <c r="BF64" s="17">
        <v>44125</v>
      </c>
      <c r="BG64" s="10">
        <v>14071</v>
      </c>
      <c r="BH64" s="10">
        <v>0</v>
      </c>
      <c r="BI64" s="17">
        <v>44126</v>
      </c>
      <c r="BJ64" s="10">
        <v>14255</v>
      </c>
      <c r="BK64" s="10">
        <v>0</v>
      </c>
      <c r="BL64" s="17">
        <v>44127</v>
      </c>
      <c r="BM64" s="10">
        <v>14474</v>
      </c>
      <c r="BN64" s="10">
        <v>0</v>
      </c>
      <c r="BO64" s="17">
        <v>44128</v>
      </c>
      <c r="BP64" s="10">
        <v>14652</v>
      </c>
      <c r="BQ64" s="10">
        <v>0</v>
      </c>
      <c r="BR64" s="17">
        <v>44129</v>
      </c>
      <c r="BS64" s="10">
        <v>14848</v>
      </c>
      <c r="BT64" s="10">
        <v>0</v>
      </c>
      <c r="BU64" s="17">
        <v>44131</v>
      </c>
      <c r="BV64" s="10">
        <v>14970</v>
      </c>
      <c r="BW64" s="10">
        <v>0</v>
      </c>
      <c r="BX64" s="17">
        <v>44132</v>
      </c>
      <c r="BY64" s="10">
        <v>15378</v>
      </c>
      <c r="BZ64" s="10">
        <v>0</v>
      </c>
      <c r="CA64" s="17">
        <v>44133</v>
      </c>
      <c r="CB64" s="10">
        <v>15566</v>
      </c>
      <c r="CC64" s="10">
        <v>0</v>
      </c>
      <c r="CD64" s="17">
        <v>44134</v>
      </c>
      <c r="CE64" s="10">
        <v>15910</v>
      </c>
      <c r="CF64" s="10">
        <v>0</v>
      </c>
      <c r="CG64" s="17">
        <v>44135</v>
      </c>
      <c r="CH64" s="10">
        <v>16113</v>
      </c>
      <c r="CI64" s="10">
        <v>0</v>
      </c>
      <c r="CJ64" s="17">
        <v>44136</v>
      </c>
      <c r="CK64" s="10">
        <v>16291</v>
      </c>
      <c r="CL64" s="10">
        <v>0</v>
      </c>
      <c r="CM64" s="17">
        <v>44137</v>
      </c>
      <c r="CN64" s="10">
        <v>16400</v>
      </c>
      <c r="CO64" s="10">
        <v>0</v>
      </c>
      <c r="CP64" s="17">
        <v>44138</v>
      </c>
      <c r="CQ64" s="10">
        <v>16637</v>
      </c>
      <c r="CR64" s="10">
        <v>0</v>
      </c>
      <c r="CS64" s="17">
        <v>44139</v>
      </c>
      <c r="CT64" s="10">
        <v>16930</v>
      </c>
      <c r="CU64" s="10">
        <v>1</v>
      </c>
      <c r="CV64" s="17">
        <v>44140</v>
      </c>
      <c r="CW64" s="10">
        <v>17119</v>
      </c>
      <c r="CX64" s="10">
        <v>0</v>
      </c>
      <c r="CY64" s="17">
        <v>44142</v>
      </c>
      <c r="CZ64" s="10">
        <v>17385</v>
      </c>
      <c r="DA64" s="10">
        <v>0</v>
      </c>
      <c r="DB64" s="17">
        <v>44143</v>
      </c>
      <c r="DC64" s="10">
        <v>17797</v>
      </c>
      <c r="DD64" s="10">
        <v>0</v>
      </c>
      <c r="DE64" s="17">
        <v>44144</v>
      </c>
      <c r="DF64" s="10">
        <v>17887</v>
      </c>
      <c r="DG64" s="10">
        <v>0</v>
      </c>
      <c r="DH64" s="17">
        <v>44145</v>
      </c>
      <c r="DI64" s="10">
        <v>18107</v>
      </c>
      <c r="DJ64" s="10">
        <v>0</v>
      </c>
      <c r="DK64" s="17">
        <v>44146</v>
      </c>
      <c r="DL64" s="10">
        <v>18345</v>
      </c>
      <c r="DM64" s="10">
        <v>0</v>
      </c>
      <c r="DN64" s="17">
        <v>44147</v>
      </c>
      <c r="DO64" s="10">
        <v>18542</v>
      </c>
      <c r="DP64" s="10">
        <v>0</v>
      </c>
      <c r="DQ64" s="17">
        <v>44148</v>
      </c>
      <c r="DR64" s="10">
        <v>18858</v>
      </c>
      <c r="DS64" s="10">
        <v>0</v>
      </c>
      <c r="DT64" s="17">
        <v>44149</v>
      </c>
      <c r="DU64" s="10">
        <v>19102</v>
      </c>
      <c r="DV64" s="10">
        <v>0</v>
      </c>
      <c r="DW64" s="17">
        <v>44150</v>
      </c>
      <c r="DX64" s="10">
        <v>19315</v>
      </c>
      <c r="DY64" s="10">
        <v>0</v>
      </c>
      <c r="DZ64" s="17">
        <v>44151</v>
      </c>
      <c r="EA64" s="10">
        <v>19419</v>
      </c>
      <c r="EB64" s="10">
        <v>0</v>
      </c>
      <c r="EC64" s="17">
        <v>44152</v>
      </c>
      <c r="ED64" s="10">
        <v>19647</v>
      </c>
      <c r="EE64" s="10">
        <v>0</v>
      </c>
      <c r="EF64" s="17">
        <v>44153</v>
      </c>
      <c r="EG64" s="10">
        <v>19935</v>
      </c>
      <c r="EH64" s="10">
        <v>0</v>
      </c>
      <c r="EI64" s="17">
        <v>44154</v>
      </c>
      <c r="EJ64" s="10">
        <v>20286</v>
      </c>
      <c r="EK64" s="10">
        <v>0</v>
      </c>
      <c r="EL64" s="17">
        <v>44155</v>
      </c>
      <c r="EM64" s="10">
        <v>20747</v>
      </c>
      <c r="EN64" s="10">
        <v>0</v>
      </c>
      <c r="EO64" s="17">
        <v>44156</v>
      </c>
      <c r="EP64" s="10">
        <v>21216</v>
      </c>
      <c r="EQ64" s="10">
        <v>0</v>
      </c>
      <c r="ER64" s="17">
        <v>44157</v>
      </c>
      <c r="ES64" s="10">
        <v>21639</v>
      </c>
      <c r="ET64" s="10">
        <v>0</v>
      </c>
      <c r="EU64" s="17"/>
      <c r="EX64" s="17"/>
      <c r="FA64" s="17"/>
      <c r="FD64" s="17"/>
      <c r="FG64" s="17"/>
      <c r="FJ64" s="17"/>
      <c r="FM64" s="17"/>
      <c r="FP64" s="17"/>
      <c r="FS64" s="17"/>
      <c r="FV64" s="17"/>
      <c r="FY64" s="17"/>
      <c r="GB64" s="17"/>
      <c r="GE64" s="17"/>
      <c r="GH64" s="17"/>
      <c r="GK64" s="17"/>
      <c r="GN64" s="17"/>
      <c r="GQ64" s="17"/>
      <c r="GT64" s="17"/>
      <c r="GW64" s="17"/>
      <c r="GZ64" s="17"/>
      <c r="HC64" s="17"/>
      <c r="HF64" s="17"/>
      <c r="HI64" s="17"/>
      <c r="HL64" s="17"/>
      <c r="HO64" s="17"/>
      <c r="HR64" s="17"/>
      <c r="HU64" s="17"/>
      <c r="HX64" s="17"/>
      <c r="IA64" s="17"/>
      <c r="ID64" s="17"/>
      <c r="IG64" s="17"/>
      <c r="IJ64" s="17"/>
      <c r="IM64" s="17"/>
    </row>
    <row r="65" spans="1:247">
      <c r="A65" t="str">
        <f t="shared" ca="1" si="1"/>
        <v>Ma 23</v>
      </c>
      <c r="B65" s="12">
        <f ca="1">FLOOR(NOW(),1)</f>
        <v>44158</v>
      </c>
      <c r="C65" s="11">
        <f t="shared" ca="1" si="0"/>
        <v>21936</v>
      </c>
      <c r="D65" s="11">
        <f ca="1">C65-C64</f>
        <v>0</v>
      </c>
      <c r="E65" s="11">
        <f ca="1">_xlfn.IFNA(D65-F65,"")</f>
        <v>0</v>
      </c>
      <c r="F65" s="11">
        <f t="shared" ca="1" si="6"/>
        <v>0</v>
      </c>
      <c r="K65" t="s">
        <v>309</v>
      </c>
      <c r="L65">
        <f ca="1">C65-N65</f>
        <v>297</v>
      </c>
      <c r="M65" s="16">
        <v>44158</v>
      </c>
      <c r="N65">
        <v>21639</v>
      </c>
      <c r="O65">
        <v>0</v>
      </c>
      <c r="P65" s="16">
        <v>44158</v>
      </c>
      <c r="Q65">
        <v>21639</v>
      </c>
      <c r="R65">
        <v>0</v>
      </c>
      <c r="S65" s="16">
        <v>44113</v>
      </c>
      <c r="T65">
        <v>11345</v>
      </c>
      <c r="U65">
        <v>0</v>
      </c>
      <c r="V65" s="16">
        <v>44114</v>
      </c>
      <c r="W65">
        <v>11580</v>
      </c>
      <c r="X65">
        <v>0</v>
      </c>
      <c r="Y65" s="16">
        <v>44115</v>
      </c>
      <c r="Z65">
        <v>11849</v>
      </c>
      <c r="AA65">
        <v>0</v>
      </c>
      <c r="AB65" s="16">
        <v>44116</v>
      </c>
      <c r="AC65">
        <v>11998</v>
      </c>
      <c r="AD65">
        <v>0</v>
      </c>
      <c r="AE65" s="16">
        <v>44117</v>
      </c>
      <c r="AF65">
        <v>12212</v>
      </c>
      <c r="AG65">
        <v>0</v>
      </c>
      <c r="AH65" s="16">
        <v>44118</v>
      </c>
      <c r="AI65">
        <v>12499</v>
      </c>
      <c r="AJ65">
        <v>0</v>
      </c>
      <c r="AK65" s="16">
        <v>44119</v>
      </c>
      <c r="AL65">
        <v>12703</v>
      </c>
      <c r="AM65">
        <v>0</v>
      </c>
      <c r="AN65" s="16">
        <v>44120</v>
      </c>
      <c r="AO65">
        <v>12944</v>
      </c>
      <c r="AP65">
        <v>0</v>
      </c>
      <c r="AQ65" s="16">
        <v>44121</v>
      </c>
      <c r="AR65">
        <v>13133</v>
      </c>
      <c r="AS65">
        <v>0</v>
      </c>
      <c r="AT65" s="16">
        <v>44122</v>
      </c>
      <c r="AU65">
        <v>13293</v>
      </c>
      <c r="AV65">
        <v>0</v>
      </c>
      <c r="AW65" s="16">
        <v>44123</v>
      </c>
      <c r="AX65">
        <v>13424</v>
      </c>
      <c r="AY65">
        <v>0</v>
      </c>
      <c r="AZ65" s="16">
        <v>44124</v>
      </c>
      <c r="BA65">
        <v>13555</v>
      </c>
      <c r="BB65">
        <v>0</v>
      </c>
      <c r="BC65" s="16">
        <v>44125</v>
      </c>
      <c r="BD65">
        <v>13849</v>
      </c>
      <c r="BE65">
        <v>0</v>
      </c>
      <c r="BF65" s="16">
        <v>44126</v>
      </c>
      <c r="BG65">
        <v>14071</v>
      </c>
      <c r="BH65">
        <v>0</v>
      </c>
      <c r="BI65" s="16">
        <v>44127</v>
      </c>
      <c r="BJ65">
        <v>14255</v>
      </c>
      <c r="BK65">
        <v>0</v>
      </c>
      <c r="BL65" s="16">
        <v>44128</v>
      </c>
      <c r="BM65">
        <v>14474</v>
      </c>
      <c r="BN65">
        <v>0</v>
      </c>
      <c r="BO65" s="16">
        <v>44129</v>
      </c>
      <c r="BP65">
        <v>14652</v>
      </c>
      <c r="BQ65">
        <v>0</v>
      </c>
      <c r="BR65" s="16">
        <v>44130</v>
      </c>
      <c r="BS65">
        <v>14848</v>
      </c>
      <c r="BT65">
        <v>0</v>
      </c>
      <c r="BU65" s="16">
        <v>44132</v>
      </c>
      <c r="BV65">
        <v>14970</v>
      </c>
      <c r="BW65">
        <v>0</v>
      </c>
      <c r="BX65" s="16">
        <v>44133</v>
      </c>
      <c r="BY65">
        <v>15378</v>
      </c>
      <c r="BZ65">
        <v>0</v>
      </c>
      <c r="CA65" s="16">
        <v>44134</v>
      </c>
      <c r="CB65">
        <v>15566</v>
      </c>
      <c r="CC65">
        <v>0</v>
      </c>
      <c r="CD65" s="16">
        <v>44135</v>
      </c>
      <c r="CE65">
        <v>15910</v>
      </c>
      <c r="CF65">
        <v>0</v>
      </c>
      <c r="CG65" s="16">
        <v>44136</v>
      </c>
      <c r="CH65">
        <v>16113</v>
      </c>
      <c r="CI65">
        <v>0</v>
      </c>
      <c r="CJ65" s="16">
        <v>44137</v>
      </c>
      <c r="CK65">
        <v>16291</v>
      </c>
      <c r="CL65">
        <v>0</v>
      </c>
      <c r="CM65" s="16">
        <v>44138</v>
      </c>
      <c r="CN65">
        <v>16400</v>
      </c>
      <c r="CO65">
        <v>0</v>
      </c>
      <c r="CP65" s="16">
        <v>44139</v>
      </c>
      <c r="CQ65">
        <v>16637</v>
      </c>
      <c r="CR65">
        <v>0</v>
      </c>
      <c r="CS65" s="16">
        <v>44140</v>
      </c>
      <c r="CT65">
        <v>16930</v>
      </c>
      <c r="CU65">
        <v>0</v>
      </c>
      <c r="CV65" s="16">
        <v>44141</v>
      </c>
      <c r="CW65">
        <v>17119</v>
      </c>
      <c r="CX65">
        <v>0</v>
      </c>
      <c r="CY65" s="16">
        <v>44143</v>
      </c>
      <c r="CZ65">
        <v>17385</v>
      </c>
      <c r="DA65">
        <v>0</v>
      </c>
      <c r="DB65" s="16">
        <v>44144</v>
      </c>
      <c r="DC65">
        <v>17797</v>
      </c>
      <c r="DD65">
        <v>0</v>
      </c>
      <c r="DE65" s="16">
        <v>44145</v>
      </c>
      <c r="DF65">
        <v>17887</v>
      </c>
      <c r="DG65">
        <v>0</v>
      </c>
      <c r="DH65" s="16">
        <v>44146</v>
      </c>
      <c r="DI65">
        <v>18107</v>
      </c>
      <c r="DJ65">
        <v>0</v>
      </c>
      <c r="DK65" s="16">
        <v>44147</v>
      </c>
      <c r="DL65">
        <v>18345</v>
      </c>
      <c r="DM65">
        <v>0</v>
      </c>
      <c r="DN65" s="16">
        <v>44148</v>
      </c>
      <c r="DO65">
        <v>18542</v>
      </c>
      <c r="DP65">
        <v>0</v>
      </c>
      <c r="DQ65" s="16">
        <v>44149</v>
      </c>
      <c r="DR65">
        <v>18858</v>
      </c>
      <c r="DS65">
        <v>0</v>
      </c>
      <c r="DT65" s="16">
        <v>44150</v>
      </c>
      <c r="DU65">
        <v>19102</v>
      </c>
      <c r="DV65">
        <v>0</v>
      </c>
      <c r="DW65" s="16">
        <v>44151</v>
      </c>
      <c r="DX65">
        <v>19315</v>
      </c>
      <c r="DY65">
        <v>0</v>
      </c>
      <c r="DZ65" s="16">
        <v>44152</v>
      </c>
      <c r="EA65">
        <v>19419</v>
      </c>
      <c r="EB65">
        <v>0</v>
      </c>
      <c r="EC65" s="16">
        <v>44153</v>
      </c>
      <c r="ED65">
        <v>19647</v>
      </c>
      <c r="EE65">
        <v>0</v>
      </c>
      <c r="EF65" s="16">
        <v>44154</v>
      </c>
      <c r="EG65">
        <v>19935</v>
      </c>
      <c r="EH65">
        <v>0</v>
      </c>
      <c r="EI65" s="16">
        <v>44155</v>
      </c>
      <c r="EJ65">
        <v>20286</v>
      </c>
      <c r="EK65">
        <v>0</v>
      </c>
      <c r="EL65" s="16">
        <v>44156</v>
      </c>
      <c r="EM65">
        <v>20747</v>
      </c>
      <c r="EN65">
        <v>0</v>
      </c>
      <c r="EO65" s="16">
        <v>44157</v>
      </c>
      <c r="EP65">
        <v>21216</v>
      </c>
      <c r="EQ65">
        <v>0</v>
      </c>
      <c r="ER65" s="16">
        <v>44158</v>
      </c>
      <c r="ES65">
        <v>21639</v>
      </c>
      <c r="ET65">
        <v>0</v>
      </c>
      <c r="EU65" s="16"/>
      <c r="EX65" s="16"/>
      <c r="FA65" s="16"/>
      <c r="FD65" s="16"/>
      <c r="FG65" s="16"/>
      <c r="FJ65" s="16"/>
      <c r="FM65" s="16"/>
      <c r="FP65" s="16"/>
      <c r="FS65" s="16"/>
      <c r="FV65" s="16"/>
      <c r="FY65" s="16"/>
      <c r="GB65" s="16"/>
      <c r="GE65" s="16"/>
      <c r="GH65" s="16"/>
      <c r="GK65" s="16"/>
      <c r="GN65" s="16"/>
      <c r="GQ65" s="16"/>
      <c r="GT65" s="16"/>
      <c r="GW65" s="16"/>
      <c r="GZ65" s="16"/>
      <c r="HC65" s="16"/>
      <c r="HF65" s="16"/>
      <c r="HI65" s="16"/>
      <c r="HL65" s="16"/>
      <c r="HO65" s="16"/>
      <c r="HR65" s="16"/>
      <c r="HU65" s="16"/>
      <c r="HX65" s="16"/>
      <c r="IA65" s="16"/>
      <c r="ID65" s="16"/>
      <c r="IG65" s="16"/>
      <c r="IJ65" s="16"/>
      <c r="IM65" s="16"/>
    </row>
    <row r="66" spans="1:247">
      <c r="CM66" s="16"/>
      <c r="CP66" s="16"/>
      <c r="CS66" s="16"/>
      <c r="CV66" s="16"/>
      <c r="CY66" s="16"/>
      <c r="DB66" s="16"/>
      <c r="DE66" s="16"/>
      <c r="DH66" s="16"/>
      <c r="DK66" s="16"/>
      <c r="DN66" s="16"/>
      <c r="DQ66" s="16"/>
      <c r="DT66" s="16"/>
      <c r="DW66" s="16"/>
      <c r="DZ66" s="16"/>
    </row>
    <row r="67" spans="1:247">
      <c r="A67">
        <v>1</v>
      </c>
      <c r="B67">
        <v>2</v>
      </c>
      <c r="C67">
        <v>3</v>
      </c>
      <c r="D67">
        <v>4</v>
      </c>
      <c r="E67">
        <v>5</v>
      </c>
      <c r="F67">
        <v>6</v>
      </c>
      <c r="G67">
        <v>7</v>
      </c>
      <c r="H67">
        <v>8</v>
      </c>
      <c r="I67">
        <v>9</v>
      </c>
      <c r="J67">
        <v>10</v>
      </c>
      <c r="K67">
        <v>11</v>
      </c>
      <c r="L67">
        <v>12</v>
      </c>
      <c r="M67"/>
      <c r="P67"/>
      <c r="R67" t="s">
        <v>329</v>
      </c>
      <c r="S67">
        <f>W65-T65</f>
        <v>235</v>
      </c>
      <c r="U67" s="16"/>
      <c r="V67">
        <f>Z65-W65</f>
        <v>269</v>
      </c>
      <c r="X67" s="16"/>
      <c r="Y67">
        <f>AC65-Z65</f>
        <v>149</v>
      </c>
      <c r="AA67" s="16"/>
      <c r="AB67" s="10">
        <f>AF65-AC65</f>
        <v>214</v>
      </c>
      <c r="AD67" s="16"/>
      <c r="AE67">
        <f>AI65-AF65</f>
        <v>287</v>
      </c>
      <c r="AG67" s="16"/>
      <c r="AH67">
        <f>AL65-AI65</f>
        <v>204</v>
      </c>
      <c r="AJ67" s="16"/>
      <c r="AK67">
        <f>AO65-AL65</f>
        <v>241</v>
      </c>
      <c r="AM67" s="16"/>
      <c r="AN67">
        <f>AR65-AO65</f>
        <v>189</v>
      </c>
      <c r="AP67" s="16"/>
      <c r="AQ67">
        <f>AU65-AR65</f>
        <v>160</v>
      </c>
      <c r="AS67" s="16"/>
      <c r="AT67">
        <f>AX65-AU65</f>
        <v>131</v>
      </c>
      <c r="AV67" s="16"/>
      <c r="AW67" s="10">
        <f>BA65-AX65</f>
        <v>131</v>
      </c>
      <c r="AY67" s="16"/>
      <c r="AZ67">
        <f>BD65-BA65</f>
        <v>294</v>
      </c>
      <c r="BB67" s="16"/>
      <c r="BC67">
        <f>BG65-BD65</f>
        <v>222</v>
      </c>
      <c r="BF67">
        <f>BJ65-BG65</f>
        <v>184</v>
      </c>
      <c r="BH67" s="16"/>
      <c r="BI67">
        <f>BM65-BJ65</f>
        <v>219</v>
      </c>
      <c r="BK67" s="16"/>
      <c r="BL67">
        <f>BP65-BM65</f>
        <v>178</v>
      </c>
      <c r="BO67">
        <f>BS65-BP65</f>
        <v>196</v>
      </c>
      <c r="BR67">
        <f>BV65-BS65</f>
        <v>122</v>
      </c>
      <c r="BU67">
        <f>BY65-BV65</f>
        <v>408</v>
      </c>
      <c r="BX67">
        <f>CB65-BY65</f>
        <v>188</v>
      </c>
      <c r="CA67">
        <f>CE65-CB65</f>
        <v>344</v>
      </c>
      <c r="CD67">
        <f>CH65-CE65</f>
        <v>203</v>
      </c>
      <c r="CG67">
        <f>CK65-CH65</f>
        <v>178</v>
      </c>
      <c r="CJ67">
        <f>CN65-CK65</f>
        <v>109</v>
      </c>
      <c r="CL67" s="16"/>
      <c r="CM67">
        <f>CQ65-CN65</f>
        <v>237</v>
      </c>
      <c r="CO67" s="16"/>
      <c r="CP67">
        <f>CT65-CQ65</f>
        <v>293</v>
      </c>
      <c r="CR67" s="16"/>
      <c r="CS67" s="10">
        <f>CW65-CT65</f>
        <v>189</v>
      </c>
      <c r="CU67" s="16"/>
      <c r="CV67">
        <f>CZ65-CW65</f>
        <v>266</v>
      </c>
      <c r="CX67" s="16"/>
      <c r="CY67">
        <f>DC65-CZ65</f>
        <v>412</v>
      </c>
      <c r="DA67" s="16"/>
      <c r="DB67">
        <f>DF65-DC65</f>
        <v>90</v>
      </c>
      <c r="DD67" s="16"/>
      <c r="DE67">
        <f>DI65-DF65</f>
        <v>220</v>
      </c>
      <c r="DG67" s="16"/>
      <c r="DH67">
        <f>DL65-DI65</f>
        <v>238</v>
      </c>
      <c r="DJ67" s="16"/>
      <c r="DK67">
        <f>DO65-DL65</f>
        <v>197</v>
      </c>
      <c r="DM67" s="16"/>
      <c r="DN67" s="10">
        <f>DR65-DO65</f>
        <v>316</v>
      </c>
      <c r="DP67" s="16"/>
      <c r="DQ67">
        <f>DU65-DR65</f>
        <v>244</v>
      </c>
      <c r="DS67" s="16"/>
      <c r="DT67">
        <f>DX65-DU65</f>
        <v>213</v>
      </c>
      <c r="DW67">
        <f>EA65-DX65</f>
        <v>104</v>
      </c>
      <c r="DY67" s="16"/>
      <c r="DZ67">
        <f>ED65-EA65</f>
        <v>228</v>
      </c>
      <c r="EB67" s="16"/>
      <c r="EC67">
        <f>EG65-ED65</f>
        <v>288</v>
      </c>
      <c r="EF67">
        <f>EJ65-EG65</f>
        <v>351</v>
      </c>
      <c r="EI67">
        <f>EM65-EJ65</f>
        <v>461</v>
      </c>
      <c r="EL67">
        <f>EP65-EM65</f>
        <v>469</v>
      </c>
      <c r="EO67">
        <f>ES65-EP65</f>
        <v>423</v>
      </c>
      <c r="ER67">
        <f>EV65-ES65</f>
        <v>-21639</v>
      </c>
      <c r="EU67">
        <f>EY65-EV65</f>
        <v>0</v>
      </c>
      <c r="EX67">
        <f>FB65-EY65</f>
        <v>0</v>
      </c>
    </row>
    <row r="69" spans="1:247">
      <c r="EJ69">
        <f>EJ51-EG52</f>
        <v>0</v>
      </c>
    </row>
    <row r="70" spans="1:247">
      <c r="EJ70">
        <f t="shared" ref="EJ70:EJ78" si="21">EJ52-EG53</f>
        <v>0</v>
      </c>
    </row>
    <row r="71" spans="1:247">
      <c r="EJ71">
        <f t="shared" si="21"/>
        <v>0</v>
      </c>
    </row>
    <row r="72" spans="1:247">
      <c r="EJ72">
        <f t="shared" si="21"/>
        <v>0</v>
      </c>
    </row>
    <row r="73" spans="1:247">
      <c r="EJ73">
        <f t="shared" si="21"/>
        <v>2</v>
      </c>
    </row>
    <row r="74" spans="1:247">
      <c r="EJ74">
        <f t="shared" si="21"/>
        <v>3</v>
      </c>
    </row>
    <row r="75" spans="1:247">
      <c r="EJ75">
        <f t="shared" si="21"/>
        <v>3</v>
      </c>
    </row>
    <row r="76" spans="1:247">
      <c r="EJ76">
        <f t="shared" si="21"/>
        <v>8</v>
      </c>
    </row>
    <row r="77" spans="1:247">
      <c r="EJ77">
        <f t="shared" si="21"/>
        <v>10</v>
      </c>
    </row>
    <row r="78" spans="1:247">
      <c r="EJ78">
        <f t="shared" si="21"/>
        <v>17</v>
      </c>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ThisWorkbook.UpdateDialog">
                <anchor moveWithCells="1" sizeWithCells="1">
                  <from>
                    <xdr:col>10</xdr:col>
                    <xdr:colOff>272143</xdr:colOff>
                    <xdr:row>5</xdr:row>
                    <xdr:rowOff>16329</xdr:rowOff>
                  </from>
                  <to>
                    <xdr:col>11</xdr:col>
                    <xdr:colOff>625929</xdr:colOff>
                    <xdr:row>7</xdr:row>
                    <xdr:rowOff>21771</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9</vt:i4>
      </vt:variant>
    </vt:vector>
  </HeadingPairs>
  <TitlesOfParts>
    <vt:vector size="12" baseType="lpstr">
      <vt:lpstr>Ohje</vt:lpstr>
      <vt:lpstr>Data</vt:lpstr>
      <vt:lpstr>Kuvaajat</vt:lpstr>
      <vt:lpstr>aika</vt:lpstr>
      <vt:lpstr>alue</vt:lpstr>
      <vt:lpstr>database</vt:lpstr>
      <vt:lpstr>Id</vt:lpstr>
      <vt:lpstr>maa</vt:lpstr>
      <vt:lpstr>N</vt:lpstr>
      <vt:lpstr>Paivitetty</vt:lpstr>
      <vt:lpstr>Previous</vt:lpstr>
      <vt:lpstr>Tapauksia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Jussi Virkkala</dc:creator>
  <cp:lastModifiedBy>Jussi Virkkala</cp:lastModifiedBy>
  <cp:lastPrinted>2020-03-15T06:00:33Z</cp:lastPrinted>
  <dcterms:created xsi:type="dcterms:W3CDTF">2020-03-13T08:28:28Z</dcterms:created>
  <dcterms:modified xsi:type="dcterms:W3CDTF">2020-11-23T10:23:18Z</dcterms:modified>
</cp:coreProperties>
</file>