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77901" documentId="11_E2592FD77FB57AB2324C996F996671CBC9EB5388" xr6:coauthVersionLast="46" xr6:coauthVersionMax="46" xr10:uidLastSave="{793454C4-7480-4D75-9F64-EE912DAA58B1}"/>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M38" i="2" l="1"/>
  <c r="NJ38" i="2"/>
  <c r="NG38" i="2"/>
  <c r="ND38" i="2"/>
  <c r="NA38" i="2"/>
  <c r="MX38" i="2"/>
  <c r="MU38" i="2"/>
  <c r="MR38" i="2"/>
  <c r="MO38" i="2"/>
  <c r="LT38" i="2"/>
  <c r="LW38" i="2"/>
  <c r="LZ38" i="2"/>
  <c r="MC38" i="2"/>
  <c r="MF38" i="2"/>
  <c r="MI38" i="2"/>
  <c r="ML38"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E444" i="8" s="1"/>
  <c r="A445" i="8"/>
  <c r="C445" i="8"/>
  <c r="D445" i="8"/>
  <c r="A446" i="8"/>
  <c r="C446" i="8"/>
  <c r="D446" i="8"/>
  <c r="A447" i="8"/>
  <c r="C447" i="8"/>
  <c r="D447" i="8"/>
  <c r="A448" i="8"/>
  <c r="C448" i="8"/>
  <c r="D448" i="8"/>
  <c r="A449" i="8"/>
  <c r="C449" i="8"/>
  <c r="D449" i="8"/>
  <c r="A450" i="8"/>
  <c r="C450" i="8"/>
  <c r="D450" i="8"/>
  <c r="A451" i="8"/>
  <c r="C451" i="8"/>
  <c r="D451" i="8"/>
  <c r="A452" i="8"/>
  <c r="C452" i="8"/>
  <c r="D452" i="8"/>
  <c r="E452" i="8" s="1"/>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36" i="8" l="1"/>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N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W36" i="2"/>
  <c r="LZ36" i="2"/>
  <c r="MC36" i="2"/>
  <c r="MF36" i="2"/>
  <c r="MI36" i="2"/>
  <c r="ML36" i="2"/>
  <c r="MO36" i="2"/>
  <c r="MR36" i="2"/>
  <c r="MU36" i="2"/>
  <c r="MX36" i="2"/>
  <c r="NA36" i="2"/>
  <c r="ND36" i="2"/>
  <c r="NG36" i="2"/>
  <c r="NJ36" i="2"/>
  <c r="NM36" i="2"/>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K36" i="2"/>
  <c r="RK38" i="2" s="1"/>
  <c r="RN36" i="2"/>
  <c r="RN38" i="2" s="1"/>
  <c r="RQ36" i="2"/>
  <c r="RQ38" i="2" s="1"/>
  <c r="RT36" i="2"/>
  <c r="RT38" i="2" s="1"/>
  <c r="RW36" i="2"/>
  <c r="RZ36" i="2"/>
  <c r="RZ38" i="2" s="1"/>
  <c r="SC36" i="2"/>
  <c r="SC38" i="2" s="1"/>
  <c r="SF36" i="2"/>
  <c r="SF38" i="2" s="1"/>
  <c r="SI36" i="2"/>
  <c r="SI38" i="2" s="1"/>
  <c r="SL36" i="2"/>
  <c r="SL38" i="2" s="1"/>
  <c r="SO36" i="2"/>
  <c r="SO38" i="2" s="1"/>
  <c r="SR36" i="2"/>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PL38" i="2"/>
  <c r="RH38" i="2"/>
  <c r="RW38" i="2"/>
  <c r="SR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D35" i="2" s="1"/>
  <c r="L1" i="1" l="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59"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<sst xmlns="http://schemas.openxmlformats.org/spreadsheetml/2006/main" count="2372" uniqueCount="488">
  <si>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</si>
  <si>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</si>
  <si>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</si>
  <si>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</si>
  <si>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</si>
  <si>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</si>
  <si>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</si>
  <si>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</si>
  <si>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</si>
  <si>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</si>
  <si>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</si>
  <si>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</si>
  <si>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</si>
  <si>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</si>
  <si>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</si>
  <si>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</si>
  <si>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</si>
  <si>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</si>
  <si>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</si>
  <si>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</si>
  <si>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</si>
  <si>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</si>
  <si>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</si>
  <si>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</si>
  <si>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</si>
  <si>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</si>
  <si>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</si>
  <si>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</si>
  <si>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</si>
  <si>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</si>
  <si>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</si>
  <si>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</si>
  <si>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</si>
  <si>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</si>
  <si>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</si>
  <si>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</si>
  <si>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</si>
  <si>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</si>
  <si>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</si>
  <si>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</si>
  <si>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</si>
  <si>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</si>
  <si>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</si>
  <si>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</si>
  <si>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</si>
  <si>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</si>
  <si>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</si>
  <si>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</si>
  <si>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</si>
  <si>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</si>
  <si>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</si>
  <si>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</si>
  <si>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</si>
  <si>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</si>
  <si>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</si>
  <si>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</si>
  <si>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</si>
  <si>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</si>
  <si>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</si>
  <si>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</si>
  <si>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</si>
  <si>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</si>
  <si>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</si>
  <si>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</si>
  <si>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</si>
  <si>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</si>
  <si>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</si>
  <si>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</si>
  <si>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</si>
  <si>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</si>
  <si>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</si>
  <si>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</si>
  <si>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</si>
  <si>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</si>
  <si>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</si>
  <si>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</si>
  <si>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</si>
  <si>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</si>
  <si>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</si>
  <si>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</si>
  <si>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</si>
  <si>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</si>
  <si>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</si>
  <si>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</si>
  <si>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</si>
  <si>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</si>
  <si>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</si>
  <si>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</si>
  <si>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</si>
  <si>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</si>
  <si>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</si>
  <si>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</si>
  <si>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</si>
  <si>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</si>
  <si>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</si>
  <si>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</si>
  <si>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</si>
  <si>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</si>
  <si>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</si>
  <si>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</si>
  <si>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</si>
  <si>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</si>
  <si>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</si>
  <si>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</si>
  <si>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</si>
  <si>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</si>
  <si>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</si>
  <si>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</si>
  <si>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</si>
  <si>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</si>
  <si>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</si>
  <si>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</si>
  <si>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</si>
  <si>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</si>
  <si>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</si>
  <si>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</si>
  <si>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</si>
  <si>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</si>
  <si>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</si>
  <si>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</si>
  <si>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</si>
  <si>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</si>
  <si>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</si>
  <si>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</si>
  <si>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</si>
  <si>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</si>
  <si>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</si>
  <si>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</si>
  <si>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</si>
  <si>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</si>
  <si>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</si>
  <si>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</si>
  <si>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</si>
  <si>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</si>
  <si>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</si>
  <si>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</si>
  <si>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</si>
  <si>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</si>
  <si>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</si>
  <si>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</si>
  <si>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</si>
  <si>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</si>
  <si>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</si>
  <si>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</si>
  <si>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</si>
  <si>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</si>
  <si>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</si>
  <si>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</si>
  <si>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</si>
  <si>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</si>
  <si>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</si>
  <si>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</si>
  <si>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</si>
  <si>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</si>
  <si>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</si>
  <si>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</si>
  <si>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</si>
  <si>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</si>
  <si>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</si>
  <si>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</si>
  <si>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</si>
  <si>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</si>
  <si>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</si>
  <si>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</si>
  <si>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</si>
  <si>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</si>
  <si>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</si>
  <si>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</si>
  <si>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</si>
  <si>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</si>
  <si>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</si>
  <si>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</si>
  <si>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</si>
  <si>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</si>
  <si>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</si>
  <si>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</si>
  <si>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</si>
  <si>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</si>
  <si>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</si>
  <si>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</si>
  <si>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</si>
  <si>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</si>
  <si>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</si>
  <si>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</si>
  <si>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</si>
  <si>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</si>
  <si>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</si>
  <si>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</si>
  <si>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</si>
  <si>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</si>
  <si>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</si>
  <si>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</si>
  <si>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</si>
  <si>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</si>
  <si>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</si>
  <si>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</si>
  <si>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</si>
  <si>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</si>
  <si>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</si>
  <si>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</si>
  <si>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</si>
  <si>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</si>
  <si>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</si>
  <si>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</si>
  <si>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</si>
  <si>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</si>
  <si>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</si>
  <si>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</si>
  <si>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</si>
  <si>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</si>
  <si>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</si>
  <si>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</si>
  <si>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</si>
  <si>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</si>
  <si>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</si>
  <si>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</si>
  <si>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</si>
  <si>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</si>
  <si>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</si>
  <si>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</si>
  <si>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</si>
  <si>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</si>
  <si>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</si>
  <si>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</si>
  <si>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</si>
  <si>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</si>
  <si>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</si>
  <si>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</si>
  <si>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</si>
  <si>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</si>
  <si>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</si>
  <si>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</si>
  <si>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</si>
  <si>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</si>
  <si>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</si>
  <si>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</si>
  <si>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</si>
  <si>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</si>
  <si>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</si>
  <si>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</si>
  <si>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</si>
  <si>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</si>
  <si>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</si>
  <si>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</si>
  <si>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</si>
  <si>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</si>
  <si>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</si>
  <si>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</si>
  <si>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</si>
  <si>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</si>
  <si>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</si>
  <si>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</si>
  <si>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</si>
  <si>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</si>
  <si>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</si>
  <si>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</si>
  <si>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</si>
  <si>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</si>
  <si>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</si>
  <si>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</si>
  <si>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</si>
  <si>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</si>
  <si>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</si>
  <si>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</si>
  <si>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</si>
  <si>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</si>
  <si>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</si>
  <si>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</si>
  <si>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</si>
  <si>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</si>
  <si>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</si>
  <si>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</si>
  <si>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</si>
  <si>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</si>
  <si>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</si>
  <si>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</si>
  <si>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</si>
  <si>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</si>
  <si>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</si>
  <si>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</si>
  <si>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</si>
  <si>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</si>
  <si>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</si>
  <si>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</si>
  <si>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</si>
  <si>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</si>
  <si>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</si>
  <si>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</si>
  <si>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</si>
  <si>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</si>
  <si>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</si>
  <si>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</si>
  <si>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</si>
  <si>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</si>
  <si>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</si>
  <si>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</si>
  <si>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</si>
  <si>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</si>
  <si>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</si>
  <si>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</si>
  <si>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</si>
  <si>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</si>
  <si>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</si>
  <si>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</si>
  <si>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</si>
  <si>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</si>
  <si>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</si>
  <si>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</si>
  <si>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</si>
  <si>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</si>
  <si>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</si>
  <si>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</si>
  <si>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</si>
  <si>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</si>
  <si>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</si>
  <si>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</si>
  <si>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</si>
  <si>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</si>
  <si>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</si>
  <si>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</si>
  <si>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</si>
  <si>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</si>
  <si>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</si>
  <si>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</si>
  <si>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</si>
  <si>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</si>
  <si>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</si>
  <si>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</si>
  <si>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</si>
  <si>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</si>
  <si>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</si>
  <si>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</si>
  <si>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</si>
  <si>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</si>
  <si>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</si>
  <si>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</si>
  <si>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</si>
  <si>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</si>
  <si>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</si>
  <si>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</si>
  <si>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</si>
  <si>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</si>
  <si>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</si>
  <si>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</si>
  <si>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</si>
  <si>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</si>
  <si>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</si>
  <si>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</si>
  <si>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</si>
  <si>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</si>
  <si>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</si>
  <si>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</si>
  <si>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</si>
  <si>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</si>
  <si>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</si>
  <si>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</si>
  <si>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</si>
  <si>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</si>
  <si>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</si>
  <si>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</si>
  <si>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</si>
  <si>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</si>
  <si>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</si>
  <si>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</si>
  <si>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</si>
  <si>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</si>
  <si>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</si>
  <si>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</si>
  <si>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</si>
  <si>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</si>
  <si>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</si>
  <si>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</si>
  <si>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</si>
  <si>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</si>
  <si>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</si>
  <si>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</si>
  <si>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</si>
  <si>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</si>
  <si>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</si>
  <si>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</si>
  <si>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</si>
  <si>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</si>
  <si>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</si>
  <si>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</si>
  <si>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</si>
  <si>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</si>
  <si>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</si>
  <si>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</si>
  <si>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</si>
  <si>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</si>
  <si>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</si>
  <si>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</si>
  <si>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</si>
  <si>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</si>
  <si>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</si>
  <si>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</si>
  <si>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</si>
  <si>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</si>
  <si>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</si>
  <si>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</si>
  <si>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</si>
  <si>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</si>
  <si>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</si>
  <si>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</si>
  <si>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</si>
  <si>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</si>
  <si>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</si>
  <si>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</si>
  <si>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</si>
  <si>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</si>
  <si>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</si>
  <si>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</si>
  <si>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</si>
  <si>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</si>
  <si>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</si>
  <si>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</si>
  <si>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</si>
  <si>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</si>
  <si>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</si>
  <si>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</si>
  <si>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</si>
  <si>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</si>
  <si>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</si>
  <si>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</si>
  <si>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</si>
  <si>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</si>
  <si>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</si>
  <si>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</si>
  <si>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</si>
  <si>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</si>
  <si>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</si>
  <si>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</si>
  <si>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</si>
  <si>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</si>
  <si>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</si>
  <si>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</si>
  <si>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</si>
  <si>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</si>
  <si>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</si>
  <si>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</si>
  <si>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</si>
  <si>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</si>
  <si>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</si>
  <si>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</si>
  <si>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</si>
  <si>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</si>
  <si>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</si>
  <si>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</si>
  <si>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</si>
  <si>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</si>
  <si>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</si>
  <si>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</si>
  <si>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</si>
  <si>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</si>
  <si>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</si>
  <si>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</si>
  <si>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</si>
  <si>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</si>
  <si>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</si>
  <si>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</si>
  <si>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</si>
  <si>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</si>
  <si>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</si>
  <si>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</si>
  <si>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</si>
  <si>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</si>
  <si>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</si>
  <si>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</si>
  <si>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</si>
  <si>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</si>
  <si>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</si>
  <si>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</si>
  <si>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</si>
  <si>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</si>
  <si>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</si>
  <si>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</si>
  <si>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</si>
  <si>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</si>
  <si>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</si>
  <si>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</si>
  <si>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</si>
  <si>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</si>
  <si>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</si>
  <si>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</si>
  <si>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</si>
  <si>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</si>
  <si>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</si>
  <si>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2021-03-16T09:37:40.121Z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</si>
</sst>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127</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361</c:v>
                </c:pt>
                <c:pt idx="382">
                  <c:v>168</c:v>
                </c:pt>
                <c:pt idx="383">
                  <c:v>246</c:v>
                </c:pt>
                <c:pt idx="384">
                  <c:v>605</c:v>
                </c:pt>
                <c:pt idx="385">
                  <c:v>397</c:v>
                </c:pt>
                <c:pt idx="386">
                  <c:v>382</c:v>
                </c:pt>
                <c:pt idx="387">
                  <c:v>435</c:v>
                </c:pt>
                <c:pt idx="388">
                  <c:v>375</c:v>
                </c:pt>
                <c:pt idx="389">
                  <c:v>232</c:v>
                </c:pt>
                <c:pt idx="390">
                  <c:v>272</c:v>
                </c:pt>
                <c:pt idx="391">
                  <c:v>533</c:v>
                </c:pt>
                <c:pt idx="392">
                  <c:v>395</c:v>
                </c:pt>
                <c:pt idx="393">
                  <c:v>441</c:v>
                </c:pt>
                <c:pt idx="394">
                  <c:v>370</c:v>
                </c:pt>
                <c:pt idx="395">
                  <c:v>367</c:v>
                </c:pt>
                <c:pt idx="396">
                  <c:v>239</c:v>
                </c:pt>
                <c:pt idx="397">
                  <c:v>263</c:v>
                </c:pt>
                <c:pt idx="398">
                  <c:v>459</c:v>
                </c:pt>
                <c:pt idx="399">
                  <c:v>371</c:v>
                </c:pt>
                <c:pt idx="400">
                  <c:v>383</c:v>
                </c:pt>
                <c:pt idx="401">
                  <c:v>356</c:v>
                </c:pt>
                <c:pt idx="402">
                  <c:v>418</c:v>
                </c:pt>
                <c:pt idx="403">
                  <c:v>277</c:v>
                </c:pt>
                <c:pt idx="404">
                  <c:v>281</c:v>
                </c:pt>
                <c:pt idx="405">
                  <c:v>615</c:v>
                </c:pt>
                <c:pt idx="406">
                  <c:v>515</c:v>
                </c:pt>
                <c:pt idx="407">
                  <c:v>550</c:v>
                </c:pt>
                <c:pt idx="408">
                  <c:v>611</c:v>
                </c:pt>
                <c:pt idx="409">
                  <c:v>573</c:v>
                </c:pt>
                <c:pt idx="410">
                  <c:v>317</c:v>
                </c:pt>
                <c:pt idx="411">
                  <c:v>355</c:v>
                </c:pt>
                <c:pt idx="412">
                  <c:v>623</c:v>
                </c:pt>
                <c:pt idx="413">
                  <c:v>625</c:v>
                </c:pt>
                <c:pt idx="414">
                  <c:v>599</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8.7513781697905173E-3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2.1412895189513021E-2</c:v>
                </c:pt>
                <c:pt idx="382">
                  <c:v>1.4588398749565822E-2</c:v>
                </c:pt>
                <c:pt idx="383">
                  <c:v>2.8588030214991286E-2</c:v>
                </c:pt>
                <c:pt idx="384">
                  <c:v>5.3355675103624656E-2</c:v>
                </c:pt>
                <c:pt idx="385">
                  <c:v>1.9851985198519852E-2</c:v>
                </c:pt>
                <c:pt idx="386">
                  <c:v>2.3101112723754234E-2</c:v>
                </c:pt>
                <c:pt idx="387">
                  <c:v>2.6252263126131561E-2</c:v>
                </c:pt>
                <c:pt idx="388">
                  <c:v>2.0100771869639794E-2</c:v>
                </c:pt>
                <c:pt idx="389">
                  <c:v>1.8759602167057493E-2</c:v>
                </c:pt>
                <c:pt idx="390">
                  <c:v>2.5701596900689787E-2</c:v>
                </c:pt>
                <c:pt idx="391">
                  <c:v>4.1617865229952367E-2</c:v>
                </c:pt>
                <c:pt idx="392">
                  <c:v>2.0154089494361958E-2</c:v>
                </c:pt>
                <c:pt idx="393">
                  <c:v>1.9340408736075784E-2</c:v>
                </c:pt>
                <c:pt idx="394">
                  <c:v>1.9094803117097589E-2</c:v>
                </c:pt>
                <c:pt idx="395">
                  <c:v>2.0438850523501893E-2</c:v>
                </c:pt>
                <c:pt idx="396">
                  <c:v>1.6970815877298873E-2</c:v>
                </c:pt>
                <c:pt idx="397">
                  <c:v>2.9199511491062508E-2</c:v>
                </c:pt>
                <c:pt idx="398">
                  <c:v>3.2929191477150441E-2</c:v>
                </c:pt>
                <c:pt idx="399">
                  <c:v>1.6962326261887345E-2</c:v>
                </c:pt>
                <c:pt idx="400">
                  <c:v>1.8576001552041903E-2</c:v>
                </c:pt>
                <c:pt idx="401">
                  <c:v>1.9019125974997327E-2</c:v>
                </c:pt>
                <c:pt idx="402">
                  <c:v>2.2690261643686895E-2</c:v>
                </c:pt>
                <c:pt idx="403">
                  <c:v>2.1728898650768748E-2</c:v>
                </c:pt>
                <c:pt idx="404">
                  <c:v>2.9209979209979212E-2</c:v>
                </c:pt>
                <c:pt idx="405">
                  <c:v>4.254288876591035E-2</c:v>
                </c:pt>
                <c:pt idx="406">
                  <c:v>2.3891259974021153E-2</c:v>
                </c:pt>
                <c:pt idx="407">
                  <c:v>2.7028355201729814E-2</c:v>
                </c:pt>
                <c:pt idx="408">
                  <c:v>2.8928554519198901E-2</c:v>
                </c:pt>
                <c:pt idx="409">
                  <c:v>2.9743057357902933E-2</c:v>
                </c:pt>
                <c:pt idx="410">
                  <c:v>2.0110385078982426E-2</c:v>
                </c:pt>
                <c:pt idx="411">
                  <c:v>3.1449326718639266E-2</c:v>
                </c:pt>
                <c:pt idx="412">
                  <c:v>3.0282408982647158E-2</c:v>
                </c:pt>
                <c:pt idx="413">
                  <c:v>2.9915757227646948E-2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12.3.2021 saakka. Suurin arvo 869,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[0]!PlotY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550</c:v>
                </c:pt>
                <c:pt idx="414">
                  <c:v>611</c:v>
                </c:pt>
                <c:pt idx="415">
                  <c:v>573</c:v>
                </c:pt>
                <c:pt idx="416">
                  <c:v>317</c:v>
                </c:pt>
                <c:pt idx="417">
                  <c:v>355</c:v>
                </c:pt>
                <c:pt idx="418">
                  <c:v>623</c:v>
                </c:pt>
                <c:pt idx="419">
                  <c:v>625</c:v>
                </c:pt>
                <c:pt idx="420">
                  <c:v>599</c:v>
                </c:pt>
                <c:pt idx="421">
                  <c:v>618</c:v>
                </c:pt>
                <c:pt idx="422">
                  <c:v>691</c:v>
                </c:pt>
                <c:pt idx="423">
                  <c:v>400</c:v>
                </c:pt>
                <c:pt idx="424">
                  <c:v>420</c:v>
                </c:pt>
                <c:pt idx="425">
                  <c:v>869</c:v>
                </c:pt>
                <c:pt idx="426">
                  <c:v>757</c:v>
                </c:pt>
                <c:pt idx="427">
                  <c:v>737</c:v>
                </c:pt>
                <c:pt idx="428">
                  <c:v>624</c:v>
                </c:pt>
                <c:pt idx="429">
                  <c:v>600</c:v>
                </c:pt>
                <c:pt idx="430">
                  <c:v>435</c:v>
                </c:pt>
                <c:pt idx="431">
                  <c:v>391</c:v>
                </c:pt>
                <c:pt idx="432">
                  <c:v>828</c:v>
                </c:pt>
                <c:pt idx="433">
                  <c:v>742</c:v>
                </c:pt>
                <c:pt idx="434">
                  <c:v>775</c:v>
                </c:pt>
                <c:pt idx="435">
                  <c:v>743</c:v>
                </c:pt>
                <c:pt idx="436">
                  <c:v>774</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12.3.2021 saakka. Suurin arvo 509,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HUS!PlotY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pt idx="417">
                  <c:v>220</c:v>
                </c:pt>
                <c:pt idx="418">
                  <c:v>385</c:v>
                </c:pt>
                <c:pt idx="419">
                  <c:v>382</c:v>
                </c:pt>
                <c:pt idx="420">
                  <c:v>416</c:v>
                </c:pt>
                <c:pt idx="421">
                  <c:v>353</c:v>
                </c:pt>
                <c:pt idx="422">
                  <c:v>431</c:v>
                </c:pt>
                <c:pt idx="423">
                  <c:v>265</c:v>
                </c:pt>
                <c:pt idx="424">
                  <c:v>266</c:v>
                </c:pt>
                <c:pt idx="425">
                  <c:v>480</c:v>
                </c:pt>
                <c:pt idx="426">
                  <c:v>488</c:v>
                </c:pt>
                <c:pt idx="427">
                  <c:v>475</c:v>
                </c:pt>
                <c:pt idx="428">
                  <c:v>384</c:v>
                </c:pt>
                <c:pt idx="429">
                  <c:v>413</c:v>
                </c:pt>
                <c:pt idx="430">
                  <c:v>273</c:v>
                </c:pt>
                <c:pt idx="431">
                  <c:v>250</c:v>
                </c:pt>
                <c:pt idx="432">
                  <c:v>499</c:v>
                </c:pt>
                <c:pt idx="433">
                  <c:v>496</c:v>
                </c:pt>
                <c:pt idx="434">
                  <c:v>488</c:v>
                </c:pt>
                <c:pt idx="435">
                  <c:v>471</c:v>
                </c:pt>
                <c:pt idx="436">
                  <c:v>509</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0.54293628808864269</c:v>
                </c:pt>
                <c:pt idx="388">
                  <c:v>0.5535714285714286</c:v>
                </c:pt>
                <c:pt idx="389">
                  <c:v>0.61788617886178865</c:v>
                </c:pt>
                <c:pt idx="390">
                  <c:v>0.42314049586776858</c:v>
                </c:pt>
                <c:pt idx="391">
                  <c:v>0.53400503778337527</c:v>
                </c:pt>
                <c:pt idx="392">
                  <c:v>0.49214659685863876</c:v>
                </c:pt>
                <c:pt idx="393">
                  <c:v>0.52643678160919538</c:v>
                </c:pt>
                <c:pt idx="394">
                  <c:v>0.5013333333333333</c:v>
                </c:pt>
                <c:pt idx="395">
                  <c:v>0.56896551724137934</c:v>
                </c:pt>
                <c:pt idx="396">
                  <c:v>0.60661764705882348</c:v>
                </c:pt>
                <c:pt idx="397">
                  <c:v>0.55534709193245779</c:v>
                </c:pt>
                <c:pt idx="398">
                  <c:v>0.63291139240506333</c:v>
                </c:pt>
                <c:pt idx="399">
                  <c:v>0.59637188208616776</c:v>
                </c:pt>
                <c:pt idx="400">
                  <c:v>0.60540540540540544</c:v>
                </c:pt>
                <c:pt idx="401">
                  <c:v>0.58855585831062673</c:v>
                </c:pt>
                <c:pt idx="402">
                  <c:v>0.64016736401673635</c:v>
                </c:pt>
                <c:pt idx="403">
                  <c:v>0.6539923954372624</c:v>
                </c:pt>
                <c:pt idx="404">
                  <c:v>0.63834422657952072</c:v>
                </c:pt>
                <c:pt idx="405">
                  <c:v>0.64420485175202158</c:v>
                </c:pt>
                <c:pt idx="406">
                  <c:v>0.59530026109660572</c:v>
                </c:pt>
                <c:pt idx="407">
                  <c:v>0.65730337078651691</c:v>
                </c:pt>
                <c:pt idx="408">
                  <c:v>0.61961722488038273</c:v>
                </c:pt>
                <c:pt idx="409">
                  <c:v>0.68231046931407946</c:v>
                </c:pt>
                <c:pt idx="410">
                  <c:v>0.64768683274021355</c:v>
                </c:pt>
                <c:pt idx="411">
                  <c:v>0.58536585365853655</c:v>
                </c:pt>
                <c:pt idx="412">
                  <c:v>0.63883495145631064</c:v>
                </c:pt>
                <c:pt idx="413">
                  <c:v>0.58727272727272728</c:v>
                </c:pt>
                <c:pt idx="414">
                  <c:v>0.52209492635024546</c:v>
                </c:pt>
                <c:pt idx="415">
                  <c:v>0.52879581151832455</c:v>
                </c:pt>
                <c:pt idx="416">
                  <c:v>0.58359621451104104</c:v>
                </c:pt>
                <c:pt idx="417">
                  <c:v>0.61971830985915488</c:v>
                </c:pt>
                <c:pt idx="418">
                  <c:v>0.6179775280898876</c:v>
                </c:pt>
                <c:pt idx="419">
                  <c:v>0.61119999999999997</c:v>
                </c:pt>
                <c:pt idx="420">
                  <c:v>0.69449081803005008</c:v>
                </c:pt>
                <c:pt idx="421">
                  <c:v>0.57119741100323629</c:v>
                </c:pt>
                <c:pt idx="422">
                  <c:v>0.62373371924746746</c:v>
                </c:pt>
                <c:pt idx="423">
                  <c:v>0.66249999999999998</c:v>
                </c:pt>
                <c:pt idx="424">
                  <c:v>0.6333333333333333</c:v>
                </c:pt>
                <c:pt idx="425">
                  <c:v>0.55235903337169157</c:v>
                </c:pt>
                <c:pt idx="426">
                  <c:v>0.64464993394980186</c:v>
                </c:pt>
                <c:pt idx="427">
                  <c:v>0.64450474898236088</c:v>
                </c:pt>
                <c:pt idx="428">
                  <c:v>0.61538461538461542</c:v>
                </c:pt>
                <c:pt idx="429">
                  <c:v>0.68833333333333335</c:v>
                </c:pt>
                <c:pt idx="430">
                  <c:v>0.62758620689655176</c:v>
                </c:pt>
                <c:pt idx="431">
                  <c:v>0.63938618925831203</c:v>
                </c:pt>
                <c:pt idx="432">
                  <c:v>0.60265700483091789</c:v>
                </c:pt>
                <c:pt idx="433">
                  <c:v>0.66846361185983827</c:v>
                </c:pt>
                <c:pt idx="434">
                  <c:v>0.62967741935483867</c:v>
                </c:pt>
                <c:pt idx="435">
                  <c:v>0.63391655450874829</c:v>
                </c:pt>
                <c:pt idx="436">
                  <c:v>0.65762273901808788</c:v>
                </c:pt>
                <c:pt idx="437">
                  <c:v>0.69777777777777783</c:v>
                </c:pt>
                <c:pt idx="438">
                  <c:v>0.66666666666666663</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550</c:v>
                </c:pt>
                <c:pt idx="414">
                  <c:v>611</c:v>
                </c:pt>
                <c:pt idx="415">
                  <c:v>573</c:v>
                </c:pt>
                <c:pt idx="416">
                  <c:v>317</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12.3.2021 saakka. Suurin arvo 869,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[0]!PlotY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370</c:v>
                </c:pt>
                <c:pt idx="401">
                  <c:v>367</c:v>
                </c:pt>
                <c:pt idx="402">
                  <c:v>239</c:v>
                </c:pt>
                <c:pt idx="403">
                  <c:v>263</c:v>
                </c:pt>
                <c:pt idx="404">
                  <c:v>459</c:v>
                </c:pt>
                <c:pt idx="405">
                  <c:v>371</c:v>
                </c:pt>
                <c:pt idx="406">
                  <c:v>383</c:v>
                </c:pt>
                <c:pt idx="407">
                  <c:v>356</c:v>
                </c:pt>
                <c:pt idx="408">
                  <c:v>418</c:v>
                </c:pt>
                <c:pt idx="409">
                  <c:v>277</c:v>
                </c:pt>
                <c:pt idx="410">
                  <c:v>281</c:v>
                </c:pt>
                <c:pt idx="411">
                  <c:v>615</c:v>
                </c:pt>
                <c:pt idx="412">
                  <c:v>515</c:v>
                </c:pt>
                <c:pt idx="413">
                  <c:v>550</c:v>
                </c:pt>
                <c:pt idx="414">
                  <c:v>611</c:v>
                </c:pt>
                <c:pt idx="415">
                  <c:v>573</c:v>
                </c:pt>
                <c:pt idx="416">
                  <c:v>317</c:v>
                </c:pt>
                <c:pt idx="417">
                  <c:v>355</c:v>
                </c:pt>
                <c:pt idx="418">
                  <c:v>623</c:v>
                </c:pt>
                <c:pt idx="419">
                  <c:v>625</c:v>
                </c:pt>
                <c:pt idx="420">
                  <c:v>599</c:v>
                </c:pt>
                <c:pt idx="421">
                  <c:v>618</c:v>
                </c:pt>
                <c:pt idx="422">
                  <c:v>691</c:v>
                </c:pt>
                <c:pt idx="423">
                  <c:v>400</c:v>
                </c:pt>
                <c:pt idx="424">
                  <c:v>420</c:v>
                </c:pt>
                <c:pt idx="425">
                  <c:v>869</c:v>
                </c:pt>
                <c:pt idx="426">
                  <c:v>757</c:v>
                </c:pt>
                <c:pt idx="427">
                  <c:v>737</c:v>
                </c:pt>
                <c:pt idx="428">
                  <c:v>624</c:v>
                </c:pt>
                <c:pt idx="429">
                  <c:v>600</c:v>
                </c:pt>
                <c:pt idx="430">
                  <c:v>435</c:v>
                </c:pt>
                <c:pt idx="431">
                  <c:v>391</c:v>
                </c:pt>
                <c:pt idx="432">
                  <c:v>828</c:v>
                </c:pt>
                <c:pt idx="433">
                  <c:v>742</c:v>
                </c:pt>
                <c:pt idx="434">
                  <c:v>775</c:v>
                </c:pt>
                <c:pt idx="435">
                  <c:v>743</c:v>
                </c:pt>
                <c:pt idx="436">
                  <c:v>774</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203.46031746031747</c:v>
                </c:pt>
                <c:pt idx="1">
                  <c:v>167.25396825396825</c:v>
                </c:pt>
                <c:pt idx="2">
                  <c:v>171.60317460317461</c:v>
                </c:pt>
                <c:pt idx="3">
                  <c:v>166.25396825396825</c:v>
                </c:pt>
                <c:pt idx="4">
                  <c:v>159.82539682539684</c:v>
                </c:pt>
                <c:pt idx="5">
                  <c:v>100.92063492063492</c:v>
                </c:pt>
                <c:pt idx="6">
                  <c:v>107.68253968253968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N=67851. Uusimmat 16.3.2021 lisäykset 517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16.2</c:v>
                </c:pt>
                <c:pt idx="1">
                  <c:v>17.2</c:v>
                </c:pt>
                <c:pt idx="2">
                  <c:v>18.2</c:v>
                </c:pt>
                <c:pt idx="3">
                  <c:v>19.2</c:v>
                </c:pt>
                <c:pt idx="4">
                  <c:v>20.2</c:v>
                </c:pt>
                <c:pt idx="5">
                  <c:v>21.2</c:v>
                </c:pt>
                <c:pt idx="6">
                  <c:v>Ma 22</c:v>
                </c:pt>
                <c:pt idx="7">
                  <c:v>23.2</c:v>
                </c:pt>
                <c:pt idx="8">
                  <c:v>24.2</c:v>
                </c:pt>
                <c:pt idx="9">
                  <c:v>25.2</c:v>
                </c:pt>
                <c:pt idx="10">
                  <c:v>26.2</c:v>
                </c:pt>
                <c:pt idx="11">
                  <c:v>27.2</c:v>
                </c:pt>
                <c:pt idx="12">
                  <c:v>28.2</c:v>
                </c:pt>
                <c:pt idx="13">
                  <c:v>Ma 1</c:v>
                </c:pt>
                <c:pt idx="14">
                  <c:v>2.3</c:v>
                </c:pt>
                <c:pt idx="15">
                  <c:v>3.3</c:v>
                </c:pt>
                <c:pt idx="16">
                  <c:v>4.3</c:v>
                </c:pt>
                <c:pt idx="17">
                  <c:v>5.3</c:v>
                </c:pt>
                <c:pt idx="18">
                  <c:v>6.3</c:v>
                </c:pt>
                <c:pt idx="19">
                  <c:v>7.3</c:v>
                </c:pt>
                <c:pt idx="20">
                  <c:v>Ma 8</c:v>
                </c:pt>
                <c:pt idx="21">
                  <c:v>9.3</c:v>
                </c:pt>
                <c:pt idx="22">
                  <c:v>10.3</c:v>
                </c:pt>
                <c:pt idx="23">
                  <c:v>11.3</c:v>
                </c:pt>
                <c:pt idx="24">
                  <c:v>12.3</c:v>
                </c:pt>
                <c:pt idx="25">
                  <c:v>13.3</c:v>
                </c:pt>
                <c:pt idx="26">
                  <c:v>14.3</c:v>
                </c:pt>
                <c:pt idx="27">
                  <c:v>Ma 15</c:v>
                </c:pt>
              </c:strCache>
            </c:strRef>
          </c:cat>
          <c:val>
            <c:numRef>
              <c:f>Lisäys!$E$7:$E$34</c:f>
              <c:numCache>
                <c:formatCode>General</c:formatCode>
                <c:ptCount val="28"/>
                <c:pt idx="0">
                  <c:v>515</c:v>
                </c:pt>
                <c:pt idx="1">
                  <c:v>550</c:v>
                </c:pt>
                <c:pt idx="2">
                  <c:v>611</c:v>
                </c:pt>
                <c:pt idx="3">
                  <c:v>573</c:v>
                </c:pt>
                <c:pt idx="4">
                  <c:v>317</c:v>
                </c:pt>
                <c:pt idx="5">
                  <c:v>355</c:v>
                </c:pt>
                <c:pt idx="6">
                  <c:v>623</c:v>
                </c:pt>
                <c:pt idx="7">
                  <c:v>625</c:v>
                </c:pt>
                <c:pt idx="8">
                  <c:v>599</c:v>
                </c:pt>
                <c:pt idx="9">
                  <c:v>618</c:v>
                </c:pt>
                <c:pt idx="10">
                  <c:v>691</c:v>
                </c:pt>
                <c:pt idx="11">
                  <c:v>400</c:v>
                </c:pt>
                <c:pt idx="12">
                  <c:v>420</c:v>
                </c:pt>
                <c:pt idx="13">
                  <c:v>869</c:v>
                </c:pt>
                <c:pt idx="14">
                  <c:v>757</c:v>
                </c:pt>
                <c:pt idx="15">
                  <c:v>737</c:v>
                </c:pt>
                <c:pt idx="16">
                  <c:v>624</c:v>
                </c:pt>
                <c:pt idx="17">
                  <c:v>600</c:v>
                </c:pt>
                <c:pt idx="18">
                  <c:v>435</c:v>
                </c:pt>
                <c:pt idx="19">
                  <c:v>391</c:v>
                </c:pt>
                <c:pt idx="20">
                  <c:v>828</c:v>
                </c:pt>
                <c:pt idx="21">
                  <c:v>742</c:v>
                </c:pt>
                <c:pt idx="22">
                  <c:v>775</c:v>
                </c:pt>
                <c:pt idx="23">
                  <c:v>743</c:v>
                </c:pt>
                <c:pt idx="24">
                  <c:v>774</c:v>
                </c:pt>
                <c:pt idx="25">
                  <c:v>450</c:v>
                </c:pt>
                <c:pt idx="26">
                  <c:v>366</c:v>
                </c:pt>
                <c:pt idx="27">
                  <c:v>313</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16.2</c:v>
                </c:pt>
                <c:pt idx="1">
                  <c:v>17.2</c:v>
                </c:pt>
                <c:pt idx="2">
                  <c:v>18.2</c:v>
                </c:pt>
                <c:pt idx="3">
                  <c:v>19.2</c:v>
                </c:pt>
                <c:pt idx="4">
                  <c:v>20.2</c:v>
                </c:pt>
                <c:pt idx="5">
                  <c:v>21.2</c:v>
                </c:pt>
                <c:pt idx="6">
                  <c:v>Ma 22</c:v>
                </c:pt>
                <c:pt idx="7">
                  <c:v>23.2</c:v>
                </c:pt>
                <c:pt idx="8">
                  <c:v>24.2</c:v>
                </c:pt>
                <c:pt idx="9">
                  <c:v>25.2</c:v>
                </c:pt>
                <c:pt idx="10">
                  <c:v>26.2</c:v>
                </c:pt>
                <c:pt idx="11">
                  <c:v>27.2</c:v>
                </c:pt>
                <c:pt idx="12">
                  <c:v>28.2</c:v>
                </c:pt>
                <c:pt idx="13">
                  <c:v>Ma 1</c:v>
                </c:pt>
                <c:pt idx="14">
                  <c:v>2.3</c:v>
                </c:pt>
                <c:pt idx="15">
                  <c:v>3.3</c:v>
                </c:pt>
                <c:pt idx="16">
                  <c:v>4.3</c:v>
                </c:pt>
                <c:pt idx="17">
                  <c:v>5.3</c:v>
                </c:pt>
                <c:pt idx="18">
                  <c:v>6.3</c:v>
                </c:pt>
                <c:pt idx="19">
                  <c:v>7.3</c:v>
                </c:pt>
                <c:pt idx="20">
                  <c:v>Ma 8</c:v>
                </c:pt>
                <c:pt idx="21">
                  <c:v>9.3</c:v>
                </c:pt>
                <c:pt idx="22">
                  <c:v>10.3</c:v>
                </c:pt>
                <c:pt idx="23">
                  <c:v>11.3</c:v>
                </c:pt>
                <c:pt idx="24">
                  <c:v>12.3</c:v>
                </c:pt>
                <c:pt idx="25">
                  <c:v>13.3</c:v>
                </c:pt>
                <c:pt idx="26">
                  <c:v>14.3</c:v>
                </c:pt>
                <c:pt idx="27">
                  <c:v>Ma 15</c:v>
                </c:pt>
              </c:strCache>
            </c:strRef>
          </c:cat>
          <c:val>
            <c:numRef>
              <c:f>Lisäys!$F$7:$F$34</c:f>
              <c:numCache>
                <c:formatCode>General</c:formatCode>
                <c:ptCount val="28"/>
                <c:pt idx="0">
                  <c:v>0</c:v>
                </c:pt>
                <c:pt idx="1">
                  <c:v>0</c:v>
                </c:pt>
                <c:pt idx="2">
                  <c:v>0</c:v>
                </c:pt>
                <c:pt idx="3">
                  <c:v>2</c:v>
                </c:pt>
                <c:pt idx="4">
                  <c:v>0</c:v>
                </c:pt>
                <c:pt idx="5">
                  <c:v>0</c:v>
                </c:pt>
                <c:pt idx="6">
                  <c:v>0</c:v>
                </c:pt>
                <c:pt idx="7">
                  <c:v>1</c:v>
                </c:pt>
                <c:pt idx="8">
                  <c:v>0</c:v>
                </c:pt>
                <c:pt idx="9">
                  <c:v>0</c:v>
                </c:pt>
                <c:pt idx="10">
                  <c:v>0</c:v>
                </c:pt>
                <c:pt idx="11">
                  <c:v>0</c:v>
                </c:pt>
                <c:pt idx="12">
                  <c:v>0</c:v>
                </c:pt>
                <c:pt idx="13">
                  <c:v>1</c:v>
                </c:pt>
                <c:pt idx="14">
                  <c:v>1</c:v>
                </c:pt>
                <c:pt idx="15">
                  <c:v>0</c:v>
                </c:pt>
                <c:pt idx="16">
                  <c:v>-1</c:v>
                </c:pt>
                <c:pt idx="17">
                  <c:v>0</c:v>
                </c:pt>
                <c:pt idx="18">
                  <c:v>1</c:v>
                </c:pt>
                <c:pt idx="19">
                  <c:v>2</c:v>
                </c:pt>
                <c:pt idx="20">
                  <c:v>0</c:v>
                </c:pt>
                <c:pt idx="21">
                  <c:v>1</c:v>
                </c:pt>
                <c:pt idx="22">
                  <c:v>3</c:v>
                </c:pt>
                <c:pt idx="23">
                  <c:v>7</c:v>
                </c:pt>
                <c:pt idx="24">
                  <c:v>20</c:v>
                </c:pt>
                <c:pt idx="25">
                  <c:v>54</c:v>
                </c:pt>
                <c:pt idx="26">
                  <c:v>113</c:v>
                </c:pt>
                <c:pt idx="27">
                  <c:v>313</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12.3.2021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44267.625</c:v>
                </c:pt>
                <c:pt idx="1">
                  <c:v>44260.625</c:v>
                </c:pt>
                <c:pt idx="2">
                  <c:v>44253.625</c:v>
                </c:pt>
                <c:pt idx="3">
                  <c:v>44246.625</c:v>
                </c:pt>
                <c:pt idx="4">
                  <c:v>44239.625</c:v>
                </c:pt>
                <c:pt idx="5">
                  <c:v>44232.625</c:v>
                </c:pt>
                <c:pt idx="6">
                  <c:v>44225.625</c:v>
                </c:pt>
                <c:pt idx="7">
                  <c:v>44218.625</c:v>
                </c:pt>
                <c:pt idx="8">
                  <c:v>44211.625</c:v>
                </c:pt>
                <c:pt idx="9">
                  <c:v>44204.625</c:v>
                </c:pt>
              </c:numCache>
            </c:numRef>
          </c:xVal>
          <c:yVal>
            <c:numRef>
              <c:f>Lisäys!$E$50:$E$59</c:f>
              <c:numCache>
                <c:formatCode>General</c:formatCode>
                <c:ptCount val="10"/>
                <c:pt idx="0">
                  <c:v>774</c:v>
                </c:pt>
                <c:pt idx="1">
                  <c:v>600</c:v>
                </c:pt>
                <c:pt idx="2">
                  <c:v>691</c:v>
                </c:pt>
                <c:pt idx="3">
                  <c:v>573</c:v>
                </c:pt>
                <c:pt idx="4">
                  <c:v>418</c:v>
                </c:pt>
                <c:pt idx="5">
                  <c:v>367</c:v>
                </c:pt>
                <c:pt idx="6">
                  <c:v>375</c:v>
                </c:pt>
                <c:pt idx="7">
                  <c:v>361</c:v>
                </c:pt>
                <c:pt idx="8">
                  <c:v>266</c:v>
                </c:pt>
                <c:pt idx="9">
                  <c:v>252</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44266.625</c:v>
                </c:pt>
                <c:pt idx="1">
                  <c:v>44259.625</c:v>
                </c:pt>
                <c:pt idx="2">
                  <c:v>44252.625</c:v>
                </c:pt>
                <c:pt idx="3">
                  <c:v>44245.625</c:v>
                </c:pt>
                <c:pt idx="4">
                  <c:v>44238.625</c:v>
                </c:pt>
                <c:pt idx="5">
                  <c:v>44231.625</c:v>
                </c:pt>
                <c:pt idx="6">
                  <c:v>44224.625</c:v>
                </c:pt>
                <c:pt idx="7">
                  <c:v>44217.625</c:v>
                </c:pt>
                <c:pt idx="8">
                  <c:v>44210.625</c:v>
                </c:pt>
                <c:pt idx="9">
                  <c:v>44203.625</c:v>
                </c:pt>
              </c:numCache>
            </c:numRef>
          </c:xVal>
          <c:yVal>
            <c:numRef>
              <c:f>Lisäys!$I$50:$I$59</c:f>
              <c:numCache>
                <c:formatCode>General</c:formatCode>
                <c:ptCount val="10"/>
                <c:pt idx="0">
                  <c:v>743</c:v>
                </c:pt>
                <c:pt idx="1">
                  <c:v>624</c:v>
                </c:pt>
                <c:pt idx="2">
                  <c:v>618</c:v>
                </c:pt>
                <c:pt idx="3">
                  <c:v>611</c:v>
                </c:pt>
                <c:pt idx="4">
                  <c:v>356</c:v>
                </c:pt>
                <c:pt idx="5">
                  <c:v>370</c:v>
                </c:pt>
                <c:pt idx="6">
                  <c:v>435</c:v>
                </c:pt>
                <c:pt idx="7">
                  <c:v>376</c:v>
                </c:pt>
                <c:pt idx="8">
                  <c:v>249</c:v>
                </c:pt>
                <c:pt idx="9">
                  <c:v>332</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44265.625</c:v>
                </c:pt>
                <c:pt idx="1">
                  <c:v>44258.625</c:v>
                </c:pt>
                <c:pt idx="2">
                  <c:v>44251.625</c:v>
                </c:pt>
                <c:pt idx="3">
                  <c:v>44244.625</c:v>
                </c:pt>
                <c:pt idx="4">
                  <c:v>44237.625</c:v>
                </c:pt>
                <c:pt idx="5">
                  <c:v>44230.625</c:v>
                </c:pt>
                <c:pt idx="6">
                  <c:v>44223.625</c:v>
                </c:pt>
                <c:pt idx="7">
                  <c:v>44216.625</c:v>
                </c:pt>
                <c:pt idx="8">
                  <c:v>44209.625</c:v>
                </c:pt>
                <c:pt idx="9">
                  <c:v>44202.625</c:v>
                </c:pt>
              </c:numCache>
            </c:numRef>
          </c:xVal>
          <c:yVal>
            <c:numRef>
              <c:f>Lisäys!$M$50:$M$59</c:f>
              <c:numCache>
                <c:formatCode>General</c:formatCode>
                <c:ptCount val="10"/>
                <c:pt idx="0">
                  <c:v>775</c:v>
                </c:pt>
                <c:pt idx="1">
                  <c:v>737</c:v>
                </c:pt>
                <c:pt idx="2">
                  <c:v>599</c:v>
                </c:pt>
                <c:pt idx="3">
                  <c:v>550</c:v>
                </c:pt>
                <c:pt idx="4">
                  <c:v>383</c:v>
                </c:pt>
                <c:pt idx="5">
                  <c:v>441</c:v>
                </c:pt>
                <c:pt idx="6">
                  <c:v>382</c:v>
                </c:pt>
                <c:pt idx="7">
                  <c:v>406</c:v>
                </c:pt>
                <c:pt idx="8">
                  <c:v>259</c:v>
                </c:pt>
                <c:pt idx="9">
                  <c:v>209</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44264.625</c:v>
                </c:pt>
                <c:pt idx="1">
                  <c:v>44257.625</c:v>
                </c:pt>
                <c:pt idx="2">
                  <c:v>44250.625</c:v>
                </c:pt>
                <c:pt idx="3">
                  <c:v>44243.625</c:v>
                </c:pt>
                <c:pt idx="4">
                  <c:v>44236.625</c:v>
                </c:pt>
                <c:pt idx="5">
                  <c:v>44229.625</c:v>
                </c:pt>
                <c:pt idx="6">
                  <c:v>44222.625</c:v>
                </c:pt>
                <c:pt idx="7">
                  <c:v>44215.625</c:v>
                </c:pt>
                <c:pt idx="8">
                  <c:v>44208.625</c:v>
                </c:pt>
                <c:pt idx="9">
                  <c:v>44201.625</c:v>
                </c:pt>
              </c:numCache>
            </c:numRef>
          </c:xVal>
          <c:yVal>
            <c:numRef>
              <c:f>Lisäys!$Q$50:$Q$59</c:f>
              <c:numCache>
                <c:formatCode>General</c:formatCode>
                <c:ptCount val="10"/>
                <c:pt idx="0">
                  <c:v>742</c:v>
                </c:pt>
                <c:pt idx="1">
                  <c:v>757</c:v>
                </c:pt>
                <c:pt idx="2">
                  <c:v>625</c:v>
                </c:pt>
                <c:pt idx="3">
                  <c:v>515</c:v>
                </c:pt>
                <c:pt idx="4">
                  <c:v>371</c:v>
                </c:pt>
                <c:pt idx="5">
                  <c:v>395</c:v>
                </c:pt>
                <c:pt idx="6">
                  <c:v>397</c:v>
                </c:pt>
                <c:pt idx="7">
                  <c:v>342</c:v>
                </c:pt>
                <c:pt idx="8">
                  <c:v>229</c:v>
                </c:pt>
                <c:pt idx="9">
                  <c:v>263</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44263.625</c:v>
                </c:pt>
                <c:pt idx="1">
                  <c:v>44256.625</c:v>
                </c:pt>
                <c:pt idx="2">
                  <c:v>44249.625</c:v>
                </c:pt>
                <c:pt idx="3">
                  <c:v>44242.625</c:v>
                </c:pt>
                <c:pt idx="4">
                  <c:v>44235.625</c:v>
                </c:pt>
                <c:pt idx="5">
                  <c:v>44228.625</c:v>
                </c:pt>
                <c:pt idx="6">
                  <c:v>44221.625</c:v>
                </c:pt>
                <c:pt idx="7">
                  <c:v>44214.625</c:v>
                </c:pt>
                <c:pt idx="8">
                  <c:v>44207.625</c:v>
                </c:pt>
                <c:pt idx="9">
                  <c:v>44200.625</c:v>
                </c:pt>
              </c:numCache>
            </c:numRef>
          </c:xVal>
          <c:yVal>
            <c:numRef>
              <c:f>Lisäys!$U$50:$U$59</c:f>
              <c:numCache>
                <c:formatCode>General</c:formatCode>
                <c:ptCount val="10"/>
                <c:pt idx="0">
                  <c:v>828</c:v>
                </c:pt>
                <c:pt idx="1">
                  <c:v>869</c:v>
                </c:pt>
                <c:pt idx="2">
                  <c:v>623</c:v>
                </c:pt>
                <c:pt idx="3">
                  <c:v>615</c:v>
                </c:pt>
                <c:pt idx="4">
                  <c:v>459</c:v>
                </c:pt>
                <c:pt idx="5">
                  <c:v>533</c:v>
                </c:pt>
                <c:pt idx="6">
                  <c:v>605</c:v>
                </c:pt>
                <c:pt idx="7">
                  <c:v>448</c:v>
                </c:pt>
                <c:pt idx="8">
                  <c:v>386</c:v>
                </c:pt>
                <c:pt idx="9">
                  <c:v>399</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44262.625</c:v>
                </c:pt>
                <c:pt idx="1">
                  <c:v>44255.625</c:v>
                </c:pt>
                <c:pt idx="2">
                  <c:v>44248.625</c:v>
                </c:pt>
                <c:pt idx="3">
                  <c:v>44241.625</c:v>
                </c:pt>
                <c:pt idx="4">
                  <c:v>44234.625</c:v>
                </c:pt>
                <c:pt idx="5">
                  <c:v>44227.625</c:v>
                </c:pt>
                <c:pt idx="6">
                  <c:v>44220.625</c:v>
                </c:pt>
                <c:pt idx="7">
                  <c:v>44213.625</c:v>
                </c:pt>
                <c:pt idx="8">
                  <c:v>44206.625</c:v>
                </c:pt>
                <c:pt idx="9">
                  <c:v>44199.625</c:v>
                </c:pt>
              </c:numCache>
            </c:numRef>
          </c:xVal>
          <c:yVal>
            <c:numRef>
              <c:f>Lisäys!$Y$50:$Y$59</c:f>
              <c:numCache>
                <c:formatCode>General</c:formatCode>
                <c:ptCount val="10"/>
                <c:pt idx="0">
                  <c:v>391</c:v>
                </c:pt>
                <c:pt idx="1">
                  <c:v>420</c:v>
                </c:pt>
                <c:pt idx="2">
                  <c:v>355</c:v>
                </c:pt>
                <c:pt idx="3">
                  <c:v>281</c:v>
                </c:pt>
                <c:pt idx="4">
                  <c:v>263</c:v>
                </c:pt>
                <c:pt idx="5">
                  <c:v>272</c:v>
                </c:pt>
                <c:pt idx="6">
                  <c:v>246</c:v>
                </c:pt>
                <c:pt idx="7">
                  <c:v>196</c:v>
                </c:pt>
                <c:pt idx="8">
                  <c:v>186</c:v>
                </c:pt>
                <c:pt idx="9">
                  <c:v>169</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44261.625</c:v>
                </c:pt>
                <c:pt idx="1">
                  <c:v>44254.625</c:v>
                </c:pt>
                <c:pt idx="2">
                  <c:v>44247.625</c:v>
                </c:pt>
                <c:pt idx="3">
                  <c:v>44240.625</c:v>
                </c:pt>
                <c:pt idx="4">
                  <c:v>44233.625</c:v>
                </c:pt>
                <c:pt idx="5">
                  <c:v>44226.625</c:v>
                </c:pt>
                <c:pt idx="6">
                  <c:v>44219.625</c:v>
                </c:pt>
                <c:pt idx="7">
                  <c:v>44212.625</c:v>
                </c:pt>
                <c:pt idx="8">
                  <c:v>44205.625</c:v>
                </c:pt>
                <c:pt idx="9">
                  <c:v>44198.625</c:v>
                </c:pt>
              </c:numCache>
            </c:numRef>
          </c:xVal>
          <c:yVal>
            <c:numRef>
              <c:f>Lisäys!$AC$50:$AC$59</c:f>
              <c:numCache>
                <c:formatCode>General</c:formatCode>
                <c:ptCount val="10"/>
                <c:pt idx="0">
                  <c:v>435</c:v>
                </c:pt>
                <c:pt idx="1">
                  <c:v>400</c:v>
                </c:pt>
                <c:pt idx="2">
                  <c:v>317</c:v>
                </c:pt>
                <c:pt idx="3">
                  <c:v>277</c:v>
                </c:pt>
                <c:pt idx="4">
                  <c:v>239</c:v>
                </c:pt>
                <c:pt idx="5">
                  <c:v>232</c:v>
                </c:pt>
                <c:pt idx="6">
                  <c:v>168</c:v>
                </c:pt>
                <c:pt idx="7">
                  <c:v>171</c:v>
                </c:pt>
                <c:pt idx="8">
                  <c:v>194</c:v>
                </c:pt>
                <c:pt idx="9">
                  <c:v>206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869</c:v>
                </c:pt>
                <c:pt idx="1">
                  <c:v>757</c:v>
                </c:pt>
                <c:pt idx="2">
                  <c:v>775</c:v>
                </c:pt>
                <c:pt idx="3">
                  <c:v>743</c:v>
                </c:pt>
                <c:pt idx="4">
                  <c:v>774</c:v>
                </c:pt>
                <c:pt idx="5">
                  <c:v>450</c:v>
                </c:pt>
                <c:pt idx="6">
                  <c:v>420</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59148147-1020-4AD0-845D-6E038BCB2FE9}" type="CELLRANGE">
                      <a:rPr lang="en-US"/>
                      <a:pPr/>
                      <a:t>[CELLRANGE]</a:t>
                    </a:fld>
                    <a:r>
                      <a:rPr lang="en-US" baseline="0"/>
                      <a:t>; </a:t>
                    </a:r>
                    <a:fld id="{260DF7E9-9F78-4839-883C-E9DF6C964BD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A76DBFEE-C8BF-4B51-8F07-9738AC883759}" type="CELLRANGE">
                      <a:rPr lang="en-US"/>
                      <a:pPr/>
                      <a:t>[CELLRANGE]</a:t>
                    </a:fld>
                    <a:r>
                      <a:rPr lang="en-US" baseline="0"/>
                      <a:t>; </a:t>
                    </a:r>
                    <a:fld id="{6CB1E8E0-D673-4176-99C6-71541DC9959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6CDFF760-EB75-4C2A-BF3D-9CFCFDEBD983}" type="CELLRANGE">
                      <a:rPr lang="en-US"/>
                      <a:pPr/>
                      <a:t>[CELLRANGE]</a:t>
                    </a:fld>
                    <a:r>
                      <a:rPr lang="en-US" baseline="0"/>
                      <a:t>; </a:t>
                    </a:r>
                    <a:fld id="{C65DE65F-0E3D-418E-8B46-37AF8002030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768720D5-34E6-4D68-AE91-E825E3EA5E7C}" type="CELLRANGE">
                      <a:rPr lang="en-US"/>
                      <a:pPr/>
                      <a:t>[CELLRANGE]</a:t>
                    </a:fld>
                    <a:r>
                      <a:rPr lang="en-US" baseline="0"/>
                      <a:t>; </a:t>
                    </a:r>
                    <a:fld id="{D96842D8-1945-4E09-BC22-2469A531BDC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44B882BD-1940-4848-8E5C-FDD82B74B970}" type="CELLRANGE">
                      <a:rPr lang="en-US"/>
                      <a:pPr/>
                      <a:t>[CELLRANGE]</a:t>
                    </a:fld>
                    <a:r>
                      <a:rPr lang="en-US" baseline="0"/>
                      <a:t>; </a:t>
                    </a:r>
                    <a:fld id="{73F4048A-7CD5-42CD-A8B7-618B93877BA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1CB34BAB-3D75-41C5-AA43-2BC46D237BA6}" type="CELLRANGE">
                      <a:rPr lang="en-US"/>
                      <a:pPr/>
                      <a:t>[CELLRANGE]</a:t>
                    </a:fld>
                    <a:r>
                      <a:rPr lang="en-US" baseline="0"/>
                      <a:t>; </a:t>
                    </a:r>
                    <a:fld id="{B7068923-6945-47D9-A74B-965E81BA8E6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8C2C260B-8B33-4CC0-9E9F-795D6C1DA598}" type="CELLRANGE">
                      <a:rPr lang="en-US"/>
                      <a:pPr/>
                      <a:t>[CELLRANGE]</a:t>
                    </a:fld>
                    <a:r>
                      <a:rPr lang="en-US" baseline="0"/>
                      <a:t>; </a:t>
                    </a:r>
                    <a:fld id="{3A7D5E1A-5BF9-4BC5-9A0A-46E9BF72724F}"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869</c:v>
                </c:pt>
                <c:pt idx="1">
                  <c:v>757</c:v>
                </c:pt>
                <c:pt idx="2">
                  <c:v>775</c:v>
                </c:pt>
                <c:pt idx="3">
                  <c:v>743</c:v>
                </c:pt>
                <c:pt idx="4">
                  <c:v>774</c:v>
                </c:pt>
                <c:pt idx="5">
                  <c:v>450</c:v>
                </c:pt>
                <c:pt idx="6">
                  <c:v>420</c:v>
                </c:pt>
              </c:numCache>
            </c:numRef>
          </c:val>
          <c:extLst>
            <c:ext xmlns:c15="http://schemas.microsoft.com/office/drawing/2012/chart" uri="{02D57815-91ED-43cb-92C2-25804820EDAC}">
              <c15:datalabelsRange>
                <c15:f>Kuvaajat!$P$25:$P$31</c15:f>
                <c15:dlblRangeCache>
                  <c:ptCount val="7"/>
                  <c:pt idx="0">
                    <c:v>1.3.2021</c:v>
                  </c:pt>
                  <c:pt idx="1">
                    <c:v>2.3.2021</c:v>
                  </c:pt>
                  <c:pt idx="2">
                    <c:v>10.3.2021</c:v>
                  </c:pt>
                  <c:pt idx="3">
                    <c:v>11.3.2021</c:v>
                  </c:pt>
                  <c:pt idx="4">
                    <c:v>12.3.2021</c:v>
                  </c:pt>
                  <c:pt idx="5">
                    <c:v>13.3.2021</c:v>
                  </c:pt>
                  <c:pt idx="6">
                    <c:v>28.2.2021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12.3.2021 saakka. Suurin arvo 509,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HUS!PlotY</c:f>
              <c:numCache>
                <c:formatCode>General</c:formatCode>
                <c:ptCount val="4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329</c:v>
                </c:pt>
                <c:pt idx="413">
                  <c:v>323</c:v>
                </c:pt>
                <c:pt idx="414">
                  <c:v>319</c:v>
                </c:pt>
                <c:pt idx="415">
                  <c:v>303</c:v>
                </c:pt>
                <c:pt idx="416">
                  <c:v>185</c:v>
                </c:pt>
                <c:pt idx="417">
                  <c:v>220</c:v>
                </c:pt>
                <c:pt idx="418">
                  <c:v>385</c:v>
                </c:pt>
                <c:pt idx="419">
                  <c:v>382</c:v>
                </c:pt>
                <c:pt idx="420">
                  <c:v>416</c:v>
                </c:pt>
                <c:pt idx="421">
                  <c:v>353</c:v>
                </c:pt>
                <c:pt idx="422">
                  <c:v>431</c:v>
                </c:pt>
                <c:pt idx="423">
                  <c:v>265</c:v>
                </c:pt>
                <c:pt idx="424">
                  <c:v>266</c:v>
                </c:pt>
                <c:pt idx="425">
                  <c:v>480</c:v>
                </c:pt>
                <c:pt idx="426">
                  <c:v>488</c:v>
                </c:pt>
                <c:pt idx="427">
                  <c:v>475</c:v>
                </c:pt>
                <c:pt idx="428">
                  <c:v>384</c:v>
                </c:pt>
                <c:pt idx="429">
                  <c:v>413</c:v>
                </c:pt>
                <c:pt idx="430">
                  <c:v>273</c:v>
                </c:pt>
                <c:pt idx="431">
                  <c:v>250</c:v>
                </c:pt>
                <c:pt idx="432">
                  <c:v>499</c:v>
                </c:pt>
                <c:pt idx="433">
                  <c:v>496</c:v>
                </c:pt>
                <c:pt idx="434">
                  <c:v>488</c:v>
                </c:pt>
                <c:pt idx="435">
                  <c:v>471</c:v>
                </c:pt>
                <c:pt idx="436">
                  <c:v>509</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527685</xdr:colOff>
      <xdr:row>444</xdr:row>
      <xdr:rowOff>43815</xdr:rowOff>
    </xdr:from>
    <xdr:to>
      <xdr:col>12</xdr:col>
      <xdr:colOff>314325</xdr:colOff>
      <xdr:row>461</xdr:row>
      <xdr:rowOff>182608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xdr:row>
          <xdr:rowOff>76200</xdr:rowOff>
        </xdr:from>
        <xdr:to>
          <xdr:col>2</xdr:col>
          <xdr:colOff>447675</xdr:colOff>
          <xdr:row>3</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41</xdr:row>
      <xdr:rowOff>66675</xdr:rowOff>
    </xdr:from>
    <xdr:to>
      <xdr:col>11</xdr:col>
      <xdr:colOff>114300</xdr:colOff>
      <xdr:row>56</xdr:row>
      <xdr:rowOff>28574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2" workbookViewId="0">
      <selection activeCell="A2" sqref="A2"/>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99</v>
      </c>
      <c r="D80" s="39">
        <f t="shared" si="1"/>
        <v>0.12774193548387097</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127</v>
      </c>
      <c r="D270" s="39">
        <f t="shared" si="4"/>
        <v>8.7513781697905173E-3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132</v>
      </c>
      <c r="D314" s="39">
        <f t="shared" si="4"/>
        <v>2.2813688212927757E-2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277</v>
      </c>
      <c r="D359" s="39">
        <f t="shared" si="5"/>
        <v>1.3055568647782439E-2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361</v>
      </c>
      <c r="D389" s="39">
        <f t="shared" si="5"/>
        <v>2.1412895189513021E-2</v>
      </c>
    </row>
    <row r="390" spans="1:4">
      <c r="A390" t="s">
        <v>414</v>
      </c>
      <c r="B390">
        <v>11516</v>
      </c>
      <c r="C390">
        <f>Kaikki!A390</f>
        <v>168</v>
      </c>
      <c r="D390" s="39">
        <f t="shared" si="5"/>
        <v>1.4588398749565822E-2</v>
      </c>
    </row>
    <row r="391" spans="1:4">
      <c r="A391" t="s">
        <v>415</v>
      </c>
      <c r="B391">
        <v>8605</v>
      </c>
      <c r="C391">
        <f>Kaikki!A391</f>
        <v>246</v>
      </c>
      <c r="D391" s="39">
        <f t="shared" si="5"/>
        <v>2.8588030214991286E-2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382</v>
      </c>
      <c r="D394" s="39">
        <f t="shared" si="6"/>
        <v>2.3101112723754234E-2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533</v>
      </c>
      <c r="D399" s="39">
        <f t="shared" si="6"/>
        <v>4.1617865229952367E-2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370</v>
      </c>
      <c r="D402" s="39">
        <f t="shared" si="6"/>
        <v>1.9094803117097589E-2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383</v>
      </c>
      <c r="D408" s="39">
        <f t="shared" ref="D408:D423" si="7">C408/B408</f>
        <v>1.8576001552041903E-2</v>
      </c>
    </row>
    <row r="409" spans="1:4">
      <c r="A409" t="s">
        <v>441</v>
      </c>
      <c r="B409">
        <v>18718</v>
      </c>
      <c r="C409">
        <f>Kaikki!A409</f>
        <v>356</v>
      </c>
      <c r="D409" s="39">
        <f t="shared" si="7"/>
        <v>1.9019125974997327E-2</v>
      </c>
    </row>
    <row r="410" spans="1:4">
      <c r="A410" t="s">
        <v>442</v>
      </c>
      <c r="B410">
        <v>18422</v>
      </c>
      <c r="C410">
        <f>Kaikki!A410</f>
        <v>418</v>
      </c>
      <c r="D410" s="39">
        <f t="shared" si="7"/>
        <v>2.2690261643686895E-2</v>
      </c>
    </row>
    <row r="411" spans="1:4">
      <c r="A411" t="s">
        <v>443</v>
      </c>
      <c r="B411">
        <v>12748</v>
      </c>
      <c r="C411">
        <f>Kaikki!A411</f>
        <v>277</v>
      </c>
      <c r="D411" s="39">
        <f t="shared" si="7"/>
        <v>2.1728898650768748E-2</v>
      </c>
    </row>
    <row r="412" spans="1:4">
      <c r="A412" t="s">
        <v>444</v>
      </c>
      <c r="B412">
        <v>9620</v>
      </c>
      <c r="C412">
        <f>Kaikki!A412</f>
        <v>281</v>
      </c>
      <c r="D412" s="39">
        <f t="shared" si="7"/>
        <v>2.9209979209979212E-2</v>
      </c>
    </row>
    <row r="413" spans="1:4">
      <c r="A413" t="s">
        <v>445</v>
      </c>
      <c r="B413">
        <v>14456</v>
      </c>
      <c r="C413">
        <f>Kaikki!A413</f>
        <v>615</v>
      </c>
      <c r="D413" s="39">
        <f t="shared" si="7"/>
        <v>4.254288876591035E-2</v>
      </c>
    </row>
    <row r="414" spans="1:4">
      <c r="A414" t="s">
        <v>446</v>
      </c>
      <c r="B414">
        <v>21556</v>
      </c>
      <c r="C414">
        <f>Kaikki!A414</f>
        <v>515</v>
      </c>
      <c r="D414" s="39">
        <f t="shared" si="7"/>
        <v>2.3891259974021153E-2</v>
      </c>
    </row>
    <row r="415" spans="1:4">
      <c r="A415" t="s">
        <v>447</v>
      </c>
      <c r="B415">
        <v>20349</v>
      </c>
      <c r="C415">
        <f>Kaikki!A415</f>
        <v>550</v>
      </c>
      <c r="D415" s="39">
        <f t="shared" si="7"/>
        <v>2.7028355201729814E-2</v>
      </c>
    </row>
    <row r="416" spans="1:4">
      <c r="A416" t="s">
        <v>448</v>
      </c>
      <c r="B416">
        <v>21121</v>
      </c>
      <c r="C416">
        <f>Kaikki!A416</f>
        <v>611</v>
      </c>
      <c r="D416" s="39">
        <f t="shared" si="7"/>
        <v>2.8928554519198901E-2</v>
      </c>
    </row>
    <row r="417" spans="1:4">
      <c r="A417" t="s">
        <v>449</v>
      </c>
      <c r="B417">
        <v>19265</v>
      </c>
      <c r="C417">
        <f>Kaikki!A417</f>
        <v>573</v>
      </c>
      <c r="D417" s="39">
        <f t="shared" si="7"/>
        <v>2.9743057357902933E-2</v>
      </c>
    </row>
    <row r="418" spans="1:4">
      <c r="A418" t="s">
        <v>451</v>
      </c>
      <c r="B418">
        <v>15763</v>
      </c>
      <c r="C418">
        <f>Kaikki!A418</f>
        <v>317</v>
      </c>
      <c r="D418" s="39">
        <f t="shared" si="7"/>
        <v>2.0110385078982426E-2</v>
      </c>
    </row>
    <row r="419" spans="1:4">
      <c r="A419" t="s">
        <v>452</v>
      </c>
      <c r="B419">
        <v>11288</v>
      </c>
      <c r="C419">
        <f>Kaikki!A419</f>
        <v>355</v>
      </c>
      <c r="D419" s="39">
        <f t="shared" si="7"/>
        <v>3.1449326718639266E-2</v>
      </c>
    </row>
    <row r="420" spans="1:4">
      <c r="A420" t="s">
        <v>453</v>
      </c>
      <c r="B420">
        <v>20573</v>
      </c>
      <c r="C420">
        <f>Kaikki!A420</f>
        <v>623</v>
      </c>
      <c r="D420" s="39">
        <f t="shared" si="7"/>
        <v>3.0282408982647158E-2</v>
      </c>
    </row>
    <row r="421" spans="1:4">
      <c r="A421" t="s">
        <v>456</v>
      </c>
      <c r="B421">
        <v>20892</v>
      </c>
      <c r="C421">
        <f>Kaikki!A421</f>
        <v>625</v>
      </c>
      <c r="D421" s="39">
        <f t="shared" si="7"/>
        <v>2.9915757227646948E-2</v>
      </c>
    </row>
    <row r="422" spans="1:4">
      <c r="A422" t="s">
        <v>462</v>
      </c>
      <c r="B422">
        <v>239</v>
      </c>
      <c r="C422">
        <f>Kaikki!A422</f>
        <v>599</v>
      </c>
      <c r="D422" s="39">
        <f t="shared" si="7"/>
        <v>2.506276150627615</v>
      </c>
    </row>
    <row r="423" spans="1:4">
      <c r="A423" t="s">
        <v>463</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22" activePane="bottomLeft" state="frozen"/>
      <selection pane="bottomLeft" activeCell="B434" sqref="B434"/>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10" width="14.2851562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67851</v>
      </c>
      <c r="J1" s="8">
        <v>44271.496377314812</v>
      </c>
      <c r="K1" s="7">
        <f>MAX(A:A)</f>
        <v>869</v>
      </c>
      <c r="L1" s="15">
        <f>VLOOKUP(K1,A:F,6,FALSE)</f>
        <v>44256.625</v>
      </c>
      <c r="M1" s="7">
        <f>COUNT(DataN)-5</f>
        <v>436</v>
      </c>
      <c r="O1" s="7" t="str">
        <f>"Päivittäisiä COVID-19 tapauksia vuoden 2020 alusta lähtien "&amp;TEXT(MAX(Kaikki!F:F)-4,"p.k.vvvv")&amp;" saakka. Suurin arvo "&amp;Kaikki!K1&amp;", joka "&amp;TEXT(Kaikki!L1,"p.k.vvvv")&amp;". Uusimpien 4 päivien arvot tulevat viiveellä, joten ne jätetty pois kuvaajasta."</f>
        <v>Päivittäisiä COVID-19 tapauksia vuoden 2020 alusta lähtien 12.3.2021 saakka. Suurin arvo 869, joka 1.3.2021.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99</v>
      </c>
      <c r="B80" t="s">
        <v>35</v>
      </c>
      <c r="C80" t="s">
        <v>8</v>
      </c>
      <c r="E80" s="3">
        <f t="shared" si="3"/>
        <v>4</v>
      </c>
      <c r="F80" s="5">
        <v>43909.625</v>
      </c>
      <c r="G80" s="19" t="str">
        <f t="shared" si="4"/>
        <v/>
      </c>
      <c r="J80" s="28">
        <f t="shared" si="5"/>
        <v>0.64999999999999991</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0.14141414141414144</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716</v>
      </c>
      <c r="I266" s="28">
        <f>H266/H259-1</f>
        <v>0.53648068669527893</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127</v>
      </c>
      <c r="B270" t="s">
        <v>223</v>
      </c>
      <c r="C270" t="s">
        <v>8</v>
      </c>
      <c r="E270" s="3">
        <f t="shared" si="12"/>
        <v>5</v>
      </c>
      <c r="F270" s="5">
        <v>44099.625</v>
      </c>
      <c r="G270" s="19" t="str">
        <f t="shared" si="13"/>
        <v/>
      </c>
      <c r="J270" s="28">
        <f t="shared" si="14"/>
        <v>0.64935064935064934</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0.57262569832402233</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0.48031496062992129</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132</v>
      </c>
      <c r="B314" t="s">
        <v>333</v>
      </c>
      <c r="C314" t="s">
        <v>8</v>
      </c>
      <c r="E314" s="3">
        <f t="shared" si="12"/>
        <v>7</v>
      </c>
      <c r="F314" s="5">
        <v>44143.625</v>
      </c>
      <c r="G314" s="19" t="str">
        <f t="shared" si="13"/>
        <v/>
      </c>
      <c r="J314" s="28">
        <f t="shared" si="14"/>
        <v>-0.12</v>
      </c>
    </row>
    <row r="315" spans="1:10">
      <c r="A315" s="3">
        <v>273</v>
      </c>
      <c r="B315" t="s">
        <v>334</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0.3712121212121211</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277</v>
      </c>
      <c r="B359" t="s">
        <v>383</v>
      </c>
      <c r="C359" t="s">
        <v>8</v>
      </c>
      <c r="E359" s="3">
        <f t="shared" si="17"/>
        <v>3</v>
      </c>
      <c r="F359" s="5">
        <v>44188.625</v>
      </c>
      <c r="G359" s="19" t="str">
        <f t="shared" si="16"/>
        <v/>
      </c>
      <c r="J359" s="28">
        <f t="shared" si="18"/>
        <v>-0.2152974504249292</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6.291591046581968E-2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-7.5812274368231014E-2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2347</v>
      </c>
      <c r="I385" s="28">
        <f>H385/H378-1</f>
        <v>0.3365603644646924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361</v>
      </c>
      <c r="B389" t="s">
        <v>413</v>
      </c>
      <c r="C389" t="s">
        <v>8</v>
      </c>
      <c r="E389" s="3">
        <f t="shared" si="19"/>
        <v>5</v>
      </c>
      <c r="F389" s="5">
        <v>44218.625</v>
      </c>
      <c r="G389" s="19" t="str">
        <f t="shared" si="20"/>
        <v/>
      </c>
      <c r="J389" s="28">
        <f t="shared" si="18"/>
        <v>0.35714285714285721</v>
      </c>
    </row>
    <row r="390" spans="1:10">
      <c r="A390" s="3">
        <v>168</v>
      </c>
      <c r="B390" t="s">
        <v>414</v>
      </c>
      <c r="C390" t="s">
        <v>8</v>
      </c>
      <c r="E390" s="3">
        <f t="shared" si="19"/>
        <v>6</v>
      </c>
      <c r="F390" s="5">
        <v>44219.625</v>
      </c>
      <c r="G390" s="19" t="str">
        <f t="shared" si="20"/>
        <v/>
      </c>
      <c r="J390" s="28">
        <f t="shared" si="18"/>
        <v>-1.7543859649122862E-2</v>
      </c>
    </row>
    <row r="391" spans="1:10">
      <c r="A391" s="3">
        <v>246</v>
      </c>
      <c r="B391" t="s">
        <v>415</v>
      </c>
      <c r="C391" t="s">
        <v>8</v>
      </c>
      <c r="E391" s="3">
        <f t="shared" si="19"/>
        <v>7</v>
      </c>
      <c r="F391" s="5">
        <v>44220.625</v>
      </c>
      <c r="G391" s="19" t="str">
        <f t="shared" si="20"/>
        <v/>
      </c>
      <c r="J391" s="28">
        <f t="shared" si="18"/>
        <v>0.25510204081632648</v>
      </c>
    </row>
    <row r="392" spans="1:10">
      <c r="A392" s="3">
        <v>605</v>
      </c>
      <c r="B392" t="s">
        <v>416</v>
      </c>
      <c r="C392" t="s">
        <v>8</v>
      </c>
      <c r="E392" s="3">
        <f t="shared" si="19"/>
        <v>1</v>
      </c>
      <c r="F392" s="5">
        <v>44221.625</v>
      </c>
      <c r="G392" s="19" t="str">
        <f t="shared" si="20"/>
        <v>2021-W04</v>
      </c>
      <c r="H392">
        <f>SUM(A392:A398)</f>
        <v>2698</v>
      </c>
      <c r="I392" s="28">
        <f>H392/H385-1</f>
        <v>0.14955262036642525</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382</v>
      </c>
      <c r="B394" t="s">
        <v>418</v>
      </c>
      <c r="C394" t="s">
        <v>8</v>
      </c>
      <c r="E394" s="3">
        <f t="shared" si="19"/>
        <v>3</v>
      </c>
      <c r="F394" s="5">
        <v>44223.625</v>
      </c>
      <c r="G394" s="19" t="str">
        <f t="shared" si="20"/>
        <v/>
      </c>
      <c r="J394" s="28">
        <f t="shared" si="21"/>
        <v>-5.9113300492610876E-2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3.8781163434903121E-2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0.10569105691056913</v>
      </c>
    </row>
    <row r="399" spans="1:10">
      <c r="A399" s="3">
        <v>533</v>
      </c>
      <c r="B399" t="s">
        <v>424</v>
      </c>
      <c r="C399" t="s">
        <v>8</v>
      </c>
      <c r="E399" s="3">
        <f t="shared" si="19"/>
        <v>1</v>
      </c>
      <c r="F399" s="5">
        <v>44228.625</v>
      </c>
      <c r="G399" s="19" t="str">
        <f t="shared" si="20"/>
        <v>2021-W05</v>
      </c>
      <c r="H399">
        <f>SUM(A399:A405)</f>
        <v>2608</v>
      </c>
      <c r="I399" s="28">
        <f>H399/H392-1</f>
        <v>-3.3358042994810932E-2</v>
      </c>
      <c r="J399" s="28">
        <f t="shared" si="21"/>
        <v>-0.11900826446280988</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0.15445026178010468</v>
      </c>
    </row>
    <row r="402" spans="1:10">
      <c r="A402" s="3">
        <v>370</v>
      </c>
      <c r="B402" t="s">
        <v>427</v>
      </c>
      <c r="C402" t="s">
        <v>8</v>
      </c>
      <c r="E402" s="3">
        <f t="shared" si="19"/>
        <v>4</v>
      </c>
      <c r="F402" s="5">
        <v>44231.625</v>
      </c>
      <c r="G402" s="19" t="str">
        <f t="shared" si="20"/>
        <v/>
      </c>
      <c r="J402" s="28">
        <f t="shared" si="21"/>
        <v>-0.14942528735632188</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2545</v>
      </c>
      <c r="I406" s="28">
        <f>H406/H399-1</f>
        <v>-2.415644171779141E-2</v>
      </c>
      <c r="J406" s="28">
        <f t="shared" si="21"/>
        <v>-0.13883677298311448</v>
      </c>
    </row>
    <row r="407" spans="1:10">
      <c r="A407" s="3">
        <v>371</v>
      </c>
      <c r="B407" t="s">
        <v>439</v>
      </c>
      <c r="C407" t="s">
        <v>8</v>
      </c>
      <c r="E407" s="3">
        <f t="shared" si="19"/>
        <v>2</v>
      </c>
      <c r="F407" s="5">
        <v>44236.625</v>
      </c>
      <c r="G407" s="19" t="str">
        <f t="shared" si="20"/>
        <v/>
      </c>
      <c r="J407" s="28">
        <f t="shared" si="21"/>
        <v>-6.0759493670886067E-2</v>
      </c>
    </row>
    <row r="408" spans="1:10">
      <c r="A408" s="3">
        <v>383</v>
      </c>
      <c r="B408" t="s">
        <v>440</v>
      </c>
      <c r="C408" t="s">
        <v>8</v>
      </c>
      <c r="E408" s="3">
        <f t="shared" si="19"/>
        <v>3</v>
      </c>
      <c r="F408" s="5">
        <v>44237.625</v>
      </c>
      <c r="G408" s="19" t="str">
        <f t="shared" si="20"/>
        <v/>
      </c>
      <c r="J408" s="28">
        <f t="shared" si="21"/>
        <v>-0.13151927437641719</v>
      </c>
    </row>
    <row r="409" spans="1:10">
      <c r="A409" s="3">
        <v>356</v>
      </c>
      <c r="B409" t="s">
        <v>441</v>
      </c>
      <c r="C409" t="s">
        <v>8</v>
      </c>
      <c r="E409" s="3">
        <f t="shared" si="19"/>
        <v>4</v>
      </c>
      <c r="F409" s="5">
        <v>44238.625</v>
      </c>
      <c r="G409" s="19" t="str">
        <f t="shared" si="20"/>
        <v/>
      </c>
      <c r="J409" s="28">
        <f t="shared" si="21"/>
        <v>-3.7837837837837784E-2</v>
      </c>
    </row>
    <row r="410" spans="1:10">
      <c r="A410" s="3">
        <v>418</v>
      </c>
      <c r="B410" t="s">
        <v>442</v>
      </c>
      <c r="C410" t="s">
        <v>8</v>
      </c>
      <c r="E410" s="3">
        <f t="shared" si="19"/>
        <v>5</v>
      </c>
      <c r="F410" s="5">
        <v>44239.625</v>
      </c>
      <c r="G410" s="19" t="str">
        <f t="shared" si="20"/>
        <v/>
      </c>
      <c r="J410" s="28">
        <f t="shared" si="21"/>
        <v>0.13896457765667569</v>
      </c>
    </row>
    <row r="411" spans="1:10">
      <c r="A411" s="3">
        <v>277</v>
      </c>
      <c r="B411" t="s">
        <v>443</v>
      </c>
      <c r="C411" t="s">
        <v>8</v>
      </c>
      <c r="E411" s="3">
        <f t="shared" si="19"/>
        <v>6</v>
      </c>
      <c r="F411" s="5">
        <v>44240.625</v>
      </c>
      <c r="G411" s="19" t="str">
        <f t="shared" si="20"/>
        <v/>
      </c>
      <c r="J411" s="28">
        <f t="shared" si="21"/>
        <v>0.15899581589958167</v>
      </c>
    </row>
    <row r="412" spans="1:10">
      <c r="A412" s="3">
        <v>281</v>
      </c>
      <c r="B412" t="s">
        <v>444</v>
      </c>
      <c r="C412" t="s">
        <v>8</v>
      </c>
      <c r="E412" s="3">
        <f t="shared" si="19"/>
        <v>7</v>
      </c>
      <c r="F412" s="5">
        <v>44241.625</v>
      </c>
      <c r="G412" s="19" t="str">
        <f t="shared" si="20"/>
        <v/>
      </c>
      <c r="J412" s="28">
        <f t="shared" si="21"/>
        <v>6.8441064638783189E-2</v>
      </c>
    </row>
    <row r="413" spans="1:10" s="10" customFormat="1">
      <c r="A413" s="14">
        <v>615</v>
      </c>
      <c r="B413" s="10" t="s">
        <v>445</v>
      </c>
      <c r="C413" s="10" t="s">
        <v>8</v>
      </c>
      <c r="E413" s="14">
        <f t="shared" si="19"/>
        <v>1</v>
      </c>
      <c r="F413" s="18">
        <v>44242.625</v>
      </c>
      <c r="G413" s="19" t="str">
        <f t="shared" si="20"/>
        <v>2021-W07</v>
      </c>
      <c r="H413" s="10">
        <f>SUM(A413:A419)</f>
        <v>3536</v>
      </c>
      <c r="I413" s="34">
        <f>H413/H406-1</f>
        <v>0.38939096267190565</v>
      </c>
      <c r="J413" s="28">
        <f t="shared" si="21"/>
        <v>0.33986928104575154</v>
      </c>
    </row>
    <row r="414" spans="1:10">
      <c r="A414" s="3">
        <v>515</v>
      </c>
      <c r="B414" t="s">
        <v>446</v>
      </c>
      <c r="C414" t="s">
        <v>8</v>
      </c>
      <c r="E414" s="3">
        <f t="shared" si="19"/>
        <v>2</v>
      </c>
      <c r="F414" s="5">
        <v>44243.625</v>
      </c>
      <c r="G414" s="19" t="str">
        <f t="shared" si="20"/>
        <v/>
      </c>
      <c r="J414" s="28">
        <f t="shared" si="21"/>
        <v>0.38814016172506749</v>
      </c>
    </row>
    <row r="415" spans="1:10">
      <c r="A415" s="3">
        <v>550</v>
      </c>
      <c r="B415" t="s">
        <v>447</v>
      </c>
      <c r="C415" t="s">
        <v>8</v>
      </c>
      <c r="E415" s="3">
        <f t="shared" si="19"/>
        <v>3</v>
      </c>
      <c r="F415" s="5">
        <v>44244.625</v>
      </c>
      <c r="G415" s="19" t="str">
        <f t="shared" si="20"/>
        <v/>
      </c>
      <c r="J415" s="28">
        <f t="shared" si="21"/>
        <v>0.43603133159268936</v>
      </c>
    </row>
    <row r="416" spans="1:10">
      <c r="A416" s="3">
        <v>611</v>
      </c>
      <c r="B416" t="s">
        <v>448</v>
      </c>
      <c r="C416" t="s">
        <v>8</v>
      </c>
      <c r="E416" s="3">
        <f t="shared" si="19"/>
        <v>4</v>
      </c>
      <c r="F416" s="5">
        <v>44245.625</v>
      </c>
      <c r="G416" s="19" t="str">
        <f t="shared" si="20"/>
        <v/>
      </c>
      <c r="J416" s="28">
        <f t="shared" si="21"/>
        <v>0.71629213483146059</v>
      </c>
    </row>
    <row r="417" spans="1:10">
      <c r="A417" s="3">
        <v>573</v>
      </c>
      <c r="B417" t="s">
        <v>449</v>
      </c>
      <c r="C417" t="s">
        <v>8</v>
      </c>
      <c r="E417" s="3">
        <f t="shared" si="19"/>
        <v>5</v>
      </c>
      <c r="F417" s="5">
        <v>44246.625</v>
      </c>
      <c r="G417" s="19" t="str">
        <f t="shared" si="20"/>
        <v/>
      </c>
      <c r="J417" s="28">
        <f t="shared" si="21"/>
        <v>0.37081339712918671</v>
      </c>
    </row>
    <row r="418" spans="1:10">
      <c r="A418" s="3">
        <v>317</v>
      </c>
      <c r="B418" t="s">
        <v>451</v>
      </c>
      <c r="C418" t="s">
        <v>8</v>
      </c>
      <c r="E418" s="3">
        <f t="shared" si="19"/>
        <v>6</v>
      </c>
      <c r="F418" s="5">
        <v>44247.625</v>
      </c>
      <c r="G418" s="19" t="str">
        <f t="shared" si="20"/>
        <v/>
      </c>
      <c r="J418" s="28">
        <f t="shared" si="21"/>
        <v>0.14440433212996395</v>
      </c>
    </row>
    <row r="419" spans="1:10">
      <c r="A419" s="3">
        <v>355</v>
      </c>
      <c r="B419" t="s">
        <v>452</v>
      </c>
      <c r="C419" t="s">
        <v>8</v>
      </c>
      <c r="E419" s="3">
        <f t="shared" si="19"/>
        <v>7</v>
      </c>
      <c r="F419" s="5">
        <v>44248.625</v>
      </c>
      <c r="G419" s="19" t="str">
        <f t="shared" si="20"/>
        <v/>
      </c>
      <c r="J419" s="28">
        <f t="shared" si="21"/>
        <v>0.26334519572953741</v>
      </c>
    </row>
    <row r="420" spans="1:10">
      <c r="A420" s="3">
        <v>623</v>
      </c>
      <c r="B420" t="s">
        <v>453</v>
      </c>
      <c r="C420" t="s">
        <v>8</v>
      </c>
      <c r="E420" s="3">
        <f t="shared" si="19"/>
        <v>1</v>
      </c>
      <c r="F420" s="5">
        <v>44249.625</v>
      </c>
      <c r="G420" s="19" t="str">
        <f t="shared" si="20"/>
        <v>2021-W08</v>
      </c>
      <c r="H420">
        <f>SUM(A420:A426)</f>
        <v>3976</v>
      </c>
      <c r="I420" s="28">
        <f>H420/H413-1</f>
        <v>0.1244343891402715</v>
      </c>
      <c r="J420" s="28">
        <f t="shared" si="21"/>
        <v>1.3008130081300751E-2</v>
      </c>
    </row>
    <row r="421" spans="1:10">
      <c r="A421" s="3">
        <v>625</v>
      </c>
      <c r="B421" t="s">
        <v>456</v>
      </c>
      <c r="C421" t="s">
        <v>8</v>
      </c>
      <c r="E421" s="3">
        <f t="shared" si="19"/>
        <v>2</v>
      </c>
      <c r="F421" s="5">
        <v>44250.625</v>
      </c>
      <c r="G421" s="19" t="str">
        <f t="shared" si="20"/>
        <v/>
      </c>
      <c r="J421" s="28">
        <f t="shared" si="21"/>
        <v>0.21359223300970864</v>
      </c>
    </row>
    <row r="422" spans="1:10">
      <c r="A422" s="3">
        <v>599</v>
      </c>
      <c r="B422" t="s">
        <v>462</v>
      </c>
      <c r="C422" t="s">
        <v>8</v>
      </c>
      <c r="E422" s="3">
        <f t="shared" si="19"/>
        <v>3</v>
      </c>
      <c r="F422" s="5">
        <v>44251.625</v>
      </c>
      <c r="G422" s="19" t="str">
        <f t="shared" si="20"/>
        <v/>
      </c>
      <c r="J422" s="28">
        <f t="shared" si="21"/>
        <v>8.9090909090909109E-2</v>
      </c>
    </row>
    <row r="423" spans="1:10">
      <c r="A423" s="3">
        <v>618</v>
      </c>
      <c r="B423" t="s">
        <v>464</v>
      </c>
      <c r="C423" t="s">
        <v>8</v>
      </c>
      <c r="E423" s="3">
        <f t="shared" si="19"/>
        <v>4</v>
      </c>
      <c r="F423" s="5">
        <v>44252.625</v>
      </c>
      <c r="G423" s="19" t="str">
        <f t="shared" si="20"/>
        <v/>
      </c>
      <c r="J423" s="28">
        <f t="shared" si="21"/>
        <v>1.1456628477905184E-2</v>
      </c>
    </row>
    <row r="424" spans="1:10">
      <c r="A424" s="3">
        <v>691</v>
      </c>
      <c r="B424" t="s">
        <v>465</v>
      </c>
      <c r="C424" t="s">
        <v>8</v>
      </c>
      <c r="E424" s="3">
        <f t="shared" si="19"/>
        <v>5</v>
      </c>
      <c r="F424" s="5">
        <v>44253.625</v>
      </c>
      <c r="G424" s="19" t="str">
        <f t="shared" si="20"/>
        <v/>
      </c>
      <c r="J424" s="28">
        <f t="shared" si="21"/>
        <v>0.20593368237347298</v>
      </c>
    </row>
    <row r="425" spans="1:10">
      <c r="A425" s="3">
        <v>400</v>
      </c>
      <c r="B425" t="s">
        <v>470</v>
      </c>
      <c r="C425" t="s">
        <v>8</v>
      </c>
      <c r="E425" s="3">
        <f t="shared" si="19"/>
        <v>6</v>
      </c>
      <c r="F425" s="5">
        <v>44254.625</v>
      </c>
      <c r="G425" s="19" t="str">
        <f t="shared" si="20"/>
        <v/>
      </c>
      <c r="J425" s="28">
        <f t="shared" si="21"/>
        <v>0.26182965299684535</v>
      </c>
    </row>
    <row r="426" spans="1:10">
      <c r="A426" s="3">
        <v>420</v>
      </c>
      <c r="B426" t="s">
        <v>471</v>
      </c>
      <c r="C426" t="s">
        <v>8</v>
      </c>
      <c r="E426" s="3">
        <f t="shared" si="19"/>
        <v>7</v>
      </c>
      <c r="F426" s="5">
        <v>44255.625</v>
      </c>
      <c r="G426" s="19" t="str">
        <f t="shared" si="20"/>
        <v/>
      </c>
      <c r="J426" s="28">
        <f t="shared" si="21"/>
        <v>0.18309859154929575</v>
      </c>
    </row>
    <row r="427" spans="1:10">
      <c r="A427" s="3">
        <v>869</v>
      </c>
      <c r="B427" t="s">
        <v>472</v>
      </c>
      <c r="C427" t="s">
        <v>8</v>
      </c>
      <c r="E427" s="3">
        <f t="shared" si="19"/>
        <v>1</v>
      </c>
      <c r="F427" s="5">
        <v>44256.625</v>
      </c>
      <c r="G427" s="19" t="str">
        <f t="shared" si="20"/>
        <v>2021-W09</v>
      </c>
      <c r="H427">
        <f>SUM(A427:A433)</f>
        <v>4413</v>
      </c>
      <c r="I427" s="28">
        <f>H427/H420-1</f>
        <v>0.10990945674044261</v>
      </c>
      <c r="J427" s="28">
        <f t="shared" si="21"/>
        <v>0.39486356340288919</v>
      </c>
    </row>
    <row r="428" spans="1:10">
      <c r="A428" s="3">
        <v>757</v>
      </c>
      <c r="B428" t="s">
        <v>473</v>
      </c>
      <c r="C428" t="s">
        <v>8</v>
      </c>
      <c r="E428" s="3">
        <f t="shared" si="19"/>
        <v>2</v>
      </c>
      <c r="F428" s="5">
        <v>44257.625</v>
      </c>
      <c r="G428" s="19" t="str">
        <f t="shared" si="20"/>
        <v/>
      </c>
      <c r="J428" s="28">
        <f t="shared" si="21"/>
        <v>0.21120000000000005</v>
      </c>
    </row>
    <row r="429" spans="1:10">
      <c r="A429" s="3">
        <v>737</v>
      </c>
      <c r="B429" t="s">
        <v>474</v>
      </c>
      <c r="C429" t="s">
        <v>8</v>
      </c>
      <c r="E429" s="3">
        <f t="shared" si="19"/>
        <v>3</v>
      </c>
      <c r="F429" s="5">
        <v>44258.625</v>
      </c>
      <c r="G429" s="19" t="str">
        <f t="shared" si="20"/>
        <v/>
      </c>
      <c r="J429" s="28">
        <f t="shared" si="21"/>
        <v>0.23038397328881466</v>
      </c>
    </row>
    <row r="430" spans="1:10">
      <c r="A430" s="3">
        <v>624</v>
      </c>
      <c r="B430" t="s">
        <v>475</v>
      </c>
      <c r="C430" t="s">
        <v>8</v>
      </c>
      <c r="E430" s="3">
        <f t="shared" si="19"/>
        <v>4</v>
      </c>
      <c r="F430" s="5">
        <v>44259.625</v>
      </c>
      <c r="G430" s="19" t="str">
        <f t="shared" si="20"/>
        <v/>
      </c>
      <c r="J430" s="28">
        <f t="shared" si="21"/>
        <v>9.7087378640776656E-3</v>
      </c>
    </row>
    <row r="431" spans="1:10">
      <c r="A431" s="3">
        <v>600</v>
      </c>
      <c r="B431" t="s">
        <v>476</v>
      </c>
      <c r="C431" t="s">
        <v>8</v>
      </c>
      <c r="E431" s="3">
        <f t="shared" si="19"/>
        <v>5</v>
      </c>
      <c r="F431" s="5">
        <v>44260.625</v>
      </c>
      <c r="G431" s="19" t="str">
        <f t="shared" si="20"/>
        <v/>
      </c>
      <c r="J431" s="28">
        <f t="shared" si="21"/>
        <v>-0.13169319826338644</v>
      </c>
    </row>
    <row r="432" spans="1:10">
      <c r="A432" s="3">
        <v>435</v>
      </c>
      <c r="B432" t="s">
        <v>477</v>
      </c>
      <c r="C432" t="s">
        <v>8</v>
      </c>
      <c r="E432" s="3">
        <f t="shared" si="19"/>
        <v>6</v>
      </c>
      <c r="F432" s="5">
        <v>44261.625</v>
      </c>
      <c r="G432" s="19" t="str">
        <f t="shared" si="20"/>
        <v/>
      </c>
      <c r="J432" s="28">
        <f t="shared" si="21"/>
        <v>8.7499999999999911E-2</v>
      </c>
    </row>
    <row r="433" spans="1:10">
      <c r="A433" s="3">
        <v>391</v>
      </c>
      <c r="B433" t="s">
        <v>478</v>
      </c>
      <c r="C433" t="s">
        <v>8</v>
      </c>
      <c r="E433" s="3">
        <f t="shared" si="19"/>
        <v>7</v>
      </c>
      <c r="F433" s="5">
        <v>44262.625</v>
      </c>
      <c r="G433" s="19" t="str">
        <f t="shared" si="20"/>
        <v/>
      </c>
      <c r="J433" s="28">
        <f t="shared" si="21"/>
        <v>-6.9047619047619024E-2</v>
      </c>
    </row>
    <row r="434" spans="1:10">
      <c r="A434" s="3">
        <v>828</v>
      </c>
      <c r="B434" t="s">
        <v>479</v>
      </c>
      <c r="C434" t="s">
        <v>8</v>
      </c>
      <c r="E434" s="3">
        <f t="shared" si="19"/>
        <v>1</v>
      </c>
      <c r="F434" s="5">
        <v>44263.625</v>
      </c>
      <c r="G434" s="19" t="str">
        <f t="shared" si="20"/>
        <v>2021-W10</v>
      </c>
      <c r="H434">
        <f>SUM(A434:A440)</f>
        <v>4678</v>
      </c>
      <c r="I434" s="28">
        <f>H434/H427-1</f>
        <v>6.0049852707908524E-2</v>
      </c>
      <c r="J434" s="28">
        <f t="shared" si="21"/>
        <v>-4.718066743383198E-2</v>
      </c>
    </row>
    <row r="435" spans="1:10">
      <c r="A435" s="3">
        <v>742</v>
      </c>
      <c r="B435" t="s">
        <v>480</v>
      </c>
      <c r="C435" t="s">
        <v>8</v>
      </c>
      <c r="E435" s="3">
        <f t="shared" si="19"/>
        <v>2</v>
      </c>
      <c r="F435" s="5">
        <v>44264.625</v>
      </c>
      <c r="G435" s="19" t="str">
        <f t="shared" si="20"/>
        <v/>
      </c>
      <c r="J435" s="28">
        <f t="shared" si="21"/>
        <v>-1.9815059445178362E-2</v>
      </c>
    </row>
    <row r="436" spans="1:10">
      <c r="A436" s="3">
        <v>775</v>
      </c>
      <c r="B436" t="s">
        <v>481</v>
      </c>
      <c r="C436" t="s">
        <v>8</v>
      </c>
      <c r="E436" s="3">
        <f t="shared" si="19"/>
        <v>3</v>
      </c>
      <c r="F436" s="5">
        <v>44265.625</v>
      </c>
      <c r="G436" s="19" t="str">
        <f t="shared" si="20"/>
        <v/>
      </c>
      <c r="J436" s="28">
        <f t="shared" si="21"/>
        <v>5.1560379918588861E-2</v>
      </c>
    </row>
    <row r="437" spans="1:10">
      <c r="A437" s="3">
        <v>743</v>
      </c>
      <c r="B437" t="s">
        <v>482</v>
      </c>
      <c r="C437" t="s">
        <v>8</v>
      </c>
      <c r="E437" s="3">
        <f t="shared" si="19"/>
        <v>4</v>
      </c>
      <c r="F437" s="5">
        <v>44266.625</v>
      </c>
      <c r="G437" s="19" t="str">
        <f t="shared" si="20"/>
        <v/>
      </c>
      <c r="J437" s="28">
        <f t="shared" si="21"/>
        <v>0.19070512820512819</v>
      </c>
    </row>
    <row r="438" spans="1:10">
      <c r="A438" s="3">
        <v>774</v>
      </c>
      <c r="B438" t="s">
        <v>483</v>
      </c>
      <c r="C438" t="s">
        <v>8</v>
      </c>
      <c r="E438" s="3">
        <f t="shared" si="19"/>
        <v>5</v>
      </c>
      <c r="F438" s="5">
        <v>44267.625</v>
      </c>
      <c r="G438" s="19" t="str">
        <f t="shared" si="20"/>
        <v/>
      </c>
      <c r="J438" s="28">
        <f t="shared" si="21"/>
        <v>0.29000000000000004</v>
      </c>
    </row>
    <row r="439" spans="1:10">
      <c r="A439" s="3">
        <v>450</v>
      </c>
      <c r="B439" t="s">
        <v>484</v>
      </c>
      <c r="C439" t="s">
        <v>8</v>
      </c>
      <c r="E439" s="3">
        <f t="shared" si="19"/>
        <v>6</v>
      </c>
      <c r="F439" s="5">
        <v>44268.625</v>
      </c>
      <c r="G439" s="19" t="str">
        <f t="shared" si="20"/>
        <v/>
      </c>
      <c r="J439" s="28">
        <f t="shared" si="21"/>
        <v>3.4482758620689724E-2</v>
      </c>
    </row>
    <row r="440" spans="1:10">
      <c r="A440" s="3">
        <v>366</v>
      </c>
      <c r="B440" t="s">
        <v>485</v>
      </c>
      <c r="C440" t="s">
        <v>8</v>
      </c>
      <c r="E440" s="3">
        <f t="shared" si="19"/>
        <v>7</v>
      </c>
      <c r="F440" s="5">
        <v>44269.625</v>
      </c>
      <c r="G440" s="19" t="str">
        <f t="shared" si="20"/>
        <v/>
      </c>
      <c r="J440" s="28">
        <f t="shared" si="21"/>
        <v>-6.3938618925831192E-2</v>
      </c>
    </row>
    <row r="441" spans="1:10">
      <c r="A441" s="3">
        <v>313</v>
      </c>
      <c r="B441" t="s">
        <v>486</v>
      </c>
      <c r="C441" t="s">
        <v>8</v>
      </c>
      <c r="E441" s="3">
        <f t="shared" si="19"/>
        <v>1</v>
      </c>
      <c r="F441" s="5">
        <v>44270.625</v>
      </c>
      <c r="G441" s="19" t="str">
        <f t="shared" si="20"/>
        <v>2021-W11</v>
      </c>
      <c r="H441">
        <f>SUM(A441:A447)</f>
        <v>313</v>
      </c>
      <c r="I441" s="28">
        <f>H441/H434-1</f>
        <v>-0.93309106455750324</v>
      </c>
      <c r="J441" s="28">
        <f t="shared" si="21"/>
        <v>-0.6219806763285024</v>
      </c>
    </row>
    <row r="442" spans="1:10">
      <c r="A442" s="3">
        <v>0</v>
      </c>
      <c r="B442" t="s">
        <v>487</v>
      </c>
      <c r="C442" t="s">
        <v>8</v>
      </c>
      <c r="E442" s="3">
        <f t="shared" si="19"/>
        <v>2</v>
      </c>
      <c r="F442" s="5">
        <v>44271.40115740741</v>
      </c>
      <c r="G442" s="19" t="str">
        <f t="shared" si="20"/>
        <v/>
      </c>
      <c r="J442" s="28">
        <f t="shared" si="21"/>
        <v>-1</v>
      </c>
    </row>
    <row r="443" spans="1:10">
      <c r="E443" s="3">
        <f t="shared" si="19"/>
        <v>6</v>
      </c>
      <c r="G443" s="19" t="str">
        <f t="shared" si="20"/>
        <v/>
      </c>
      <c r="J443" s="28">
        <f t="shared" si="21"/>
        <v>-1</v>
      </c>
    </row>
    <row r="444" spans="1:10">
      <c r="E444" s="3">
        <f t="shared" si="19"/>
        <v>6</v>
      </c>
      <c r="G444" s="19" t="str">
        <f t="shared" si="20"/>
        <v/>
      </c>
      <c r="J444" s="28">
        <f t="shared" si="21"/>
        <v>-1</v>
      </c>
    </row>
    <row r="445" spans="1:10">
      <c r="E445" s="3">
        <f t="shared" si="19"/>
        <v>6</v>
      </c>
      <c r="G445" s="19" t="str">
        <f t="shared" si="20"/>
        <v/>
      </c>
      <c r="J445" s="28">
        <f t="shared" si="21"/>
        <v>-1</v>
      </c>
    </row>
    <row r="446" spans="1:10">
      <c r="E446" s="3">
        <f t="shared" si="19"/>
        <v>6</v>
      </c>
      <c r="G446" s="19" t="str">
        <f t="shared" si="20"/>
        <v/>
      </c>
      <c r="J446" s="28">
        <f t="shared" si="21"/>
        <v>-1</v>
      </c>
    </row>
    <row r="447" spans="1:10">
      <c r="E447" s="3">
        <f t="shared" ref="E447:E510" si="22">WEEKDAY(F447,2)</f>
        <v>6</v>
      </c>
      <c r="G447" s="19" t="str">
        <f t="shared" si="20"/>
        <v/>
      </c>
      <c r="J447" s="28">
        <f t="shared" si="21"/>
        <v>-1</v>
      </c>
    </row>
    <row r="448" spans="1:10">
      <c r="E448" s="3">
        <f t="shared" si="22"/>
        <v>6</v>
      </c>
      <c r="G448" s="19" t="str">
        <f t="shared" si="20"/>
        <v/>
      </c>
      <c r="H448">
        <f>SUM(A448:A454)</f>
        <v>0</v>
      </c>
      <c r="I448" s="28">
        <f>H448/H441-1</f>
        <v>-1</v>
      </c>
      <c r="J448" s="28">
        <f t="shared" si="21"/>
        <v>-1</v>
      </c>
    </row>
    <row r="449" spans="5:10">
      <c r="E449" s="3">
        <f t="shared" si="22"/>
        <v>6</v>
      </c>
      <c r="G449" s="19" t="str">
        <f t="shared" si="20"/>
        <v/>
      </c>
      <c r="J449" s="28" t="e">
        <f t="shared" si="21"/>
        <v>#DIV/0!</v>
      </c>
    </row>
    <row r="450" spans="5:10">
      <c r="E450" s="3">
        <f t="shared" si="22"/>
        <v>6</v>
      </c>
      <c r="G450" s="19" t="str">
        <f t="shared" si="20"/>
        <v/>
      </c>
      <c r="J450" s="28" t="e">
        <f t="shared" si="21"/>
        <v>#DIV/0!</v>
      </c>
    </row>
    <row r="451" spans="5:10">
      <c r="E451" s="3">
        <f t="shared" si="22"/>
        <v>6</v>
      </c>
      <c r="G451" s="19" t="str">
        <f t="shared" ref="G451:G514" si="23">IF(WEEKDAY(F451,2)=1,YEAR(F451)&amp;"-W"&amp;TEXT(WEEKNUM(F451,14),"00"),"")</f>
        <v/>
      </c>
      <c r="J451" s="28" t="e">
        <f t="shared" si="21"/>
        <v>#DIV/0!</v>
      </c>
    </row>
    <row r="452" spans="5:10">
      <c r="E452" s="3">
        <f t="shared" si="22"/>
        <v>6</v>
      </c>
      <c r="G452" s="19" t="str">
        <f t="shared" si="23"/>
        <v/>
      </c>
      <c r="J452" s="28" t="e">
        <f t="shared" si="21"/>
        <v>#DIV/0!</v>
      </c>
    </row>
    <row r="453" spans="5:10">
      <c r="E453" s="3">
        <f t="shared" si="22"/>
        <v>6</v>
      </c>
      <c r="G453" s="19" t="str">
        <f t="shared" si="23"/>
        <v/>
      </c>
      <c r="J453" s="28" t="e">
        <f t="shared" si="21"/>
        <v>#DIV/0!</v>
      </c>
    </row>
    <row r="454" spans="5:10">
      <c r="E454" s="3">
        <f t="shared" si="22"/>
        <v>6</v>
      </c>
      <c r="G454" s="19" t="str">
        <f t="shared" si="23"/>
        <v/>
      </c>
      <c r="J454" s="28" t="e">
        <f t="shared" si="21"/>
        <v>#DIV/0!</v>
      </c>
    </row>
    <row r="455" spans="5:10">
      <c r="E455" s="3">
        <f t="shared" si="22"/>
        <v>6</v>
      </c>
      <c r="G455" s="19" t="str">
        <f t="shared" si="23"/>
        <v/>
      </c>
      <c r="H455">
        <f>SUM(A455:A461)</f>
        <v>0</v>
      </c>
      <c r="I455" s="28" t="e">
        <f>H455/H448-1</f>
        <v>#DIV/0!</v>
      </c>
      <c r="J455" s="28" t="e">
        <f t="shared" si="21"/>
        <v>#DIV/0!</v>
      </c>
    </row>
    <row r="456" spans="5:10">
      <c r="E456" s="3">
        <f t="shared" si="22"/>
        <v>6</v>
      </c>
      <c r="G456" s="19" t="str">
        <f t="shared" si="23"/>
        <v/>
      </c>
      <c r="J456" s="28" t="e">
        <f t="shared" si="21"/>
        <v>#DIV/0!</v>
      </c>
    </row>
    <row r="457" spans="5:10">
      <c r="E457" s="3">
        <f t="shared" si="22"/>
        <v>6</v>
      </c>
      <c r="G457" s="19" t="str">
        <f t="shared" si="23"/>
        <v/>
      </c>
      <c r="J457" s="28" t="e">
        <f t="shared" ref="J457:J520" si="24">A457/A450-1</f>
        <v>#DIV/0!</v>
      </c>
    </row>
    <row r="458" spans="5:10">
      <c r="E458" s="3">
        <f t="shared" si="22"/>
        <v>6</v>
      </c>
      <c r="G458" s="19" t="str">
        <f t="shared" si="23"/>
        <v/>
      </c>
      <c r="J458" s="28" t="e">
        <f t="shared" si="24"/>
        <v>#DIV/0!</v>
      </c>
    </row>
    <row r="459" spans="5:10">
      <c r="E459" s="3">
        <f t="shared" si="22"/>
        <v>6</v>
      </c>
      <c r="G459" s="19" t="str">
        <f t="shared" si="23"/>
        <v/>
      </c>
      <c r="J459" s="28" t="e">
        <f t="shared" si="24"/>
        <v>#DIV/0!</v>
      </c>
    </row>
    <row r="460" spans="5:10">
      <c r="E460" s="3">
        <f t="shared" si="22"/>
        <v>6</v>
      </c>
      <c r="G460" s="19" t="str">
        <f t="shared" si="23"/>
        <v/>
      </c>
      <c r="J460" s="28" t="e">
        <f t="shared" si="24"/>
        <v>#DIV/0!</v>
      </c>
    </row>
    <row r="461" spans="5:10">
      <c r="E461" s="3">
        <f t="shared" si="22"/>
        <v>6</v>
      </c>
      <c r="G461" s="19" t="str">
        <f t="shared" si="23"/>
        <v/>
      </c>
      <c r="J461" s="28" t="e">
        <f t="shared" si="24"/>
        <v>#DIV/0!</v>
      </c>
    </row>
    <row r="462" spans="5:10">
      <c r="E462" s="3">
        <f t="shared" si="22"/>
        <v>6</v>
      </c>
      <c r="G462" s="19" t="str">
        <f t="shared" si="23"/>
        <v/>
      </c>
      <c r="H462">
        <f>SUM(A462:A468)</f>
        <v>0</v>
      </c>
      <c r="I462" s="28" t="e">
        <f>H462/H455-1</f>
        <v>#DIV/0!</v>
      </c>
      <c r="J462" s="28" t="e">
        <f t="shared" si="24"/>
        <v>#DIV/0!</v>
      </c>
    </row>
    <row r="463" spans="5:10">
      <c r="E463" s="3">
        <f t="shared" si="22"/>
        <v>6</v>
      </c>
      <c r="G463" s="19" t="str">
        <f t="shared" si="23"/>
        <v/>
      </c>
      <c r="J463" s="28" t="e">
        <f t="shared" si="24"/>
        <v>#DIV/0!</v>
      </c>
    </row>
    <row r="464" spans="5: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75" activePane="bottomLeft" state="frozen"/>
      <selection pane="bottomLeft" activeCell="A475" sqref="A475"/>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39983</v>
      </c>
      <c r="J1" s="7">
        <f>MAX(A:A)</f>
        <v>509</v>
      </c>
      <c r="K1" s="15">
        <f>VLOOKUP(J1,A:F,6,FALSE)</f>
        <v>44267.625</v>
      </c>
      <c r="L1" s="7">
        <f>COUNT(DataN)-5</f>
        <v>436</v>
      </c>
      <c r="N1" s="7" t="str">
        <f>"HUS COVID-19 tapauksia vuoden 2020 alusta lähtien "&amp;TEXT(MAX(HUS!F:F)-4,"p.k.vvvv")&amp;" saakka. Suurin arvo "&amp;HUS!J1&amp;", joka "&amp;TEXT(HUS!K1,"p.k.vvvv")&amp;". Uusimpien 4 päivien arvot tulevat viiveellä, joten ne jätetty pois kuvaajasta."</f>
        <v>HUS COVID-19 tapauksia vuoden 2020 alusta lähtien 12.3.2021 saakka. Suurin arvo 509, joka 12.3.2021.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391</v>
      </c>
      <c r="I77" s="28">
        <f>H77/H70-1</f>
        <v>0.99489795918367352</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74</v>
      </c>
      <c r="B80" t="s">
        <v>35</v>
      </c>
      <c r="C80" t="s">
        <v>457</v>
      </c>
      <c r="E80" s="3">
        <f t="shared" si="3"/>
        <v>4</v>
      </c>
      <c r="F80" s="5">
        <v>43909.625</v>
      </c>
      <c r="G80" s="19" t="str">
        <f t="shared" si="4"/>
        <v/>
      </c>
      <c r="J80" s="28">
        <f t="shared" si="5"/>
        <v>1.1142857142857143</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-9.4629156010230142E-2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-0.21621621621621623</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81</v>
      </c>
      <c r="B314" t="s">
        <v>333</v>
      </c>
      <c r="C314" t="s">
        <v>457</v>
      </c>
      <c r="E314" s="3">
        <f t="shared" si="12"/>
        <v>7</v>
      </c>
      <c r="F314" s="5">
        <v>44143.625</v>
      </c>
      <c r="G314" s="19" t="str">
        <f t="shared" si="13"/>
        <v/>
      </c>
      <c r="J314" s="28">
        <f t="shared" si="14"/>
        <v>-0.11956521739130432</v>
      </c>
    </row>
    <row r="315" spans="1:10">
      <c r="A315" s="3">
        <v>162</v>
      </c>
      <c r="B315" t="s">
        <v>334</v>
      </c>
      <c r="C315" t="s">
        <v>457</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0.35802469135802473</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146</v>
      </c>
      <c r="B359" t="s">
        <v>383</v>
      </c>
      <c r="C359" t="s">
        <v>457</v>
      </c>
      <c r="E359" s="3">
        <f t="shared" si="16"/>
        <v>3</v>
      </c>
      <c r="F359" s="5">
        <v>44188.625</v>
      </c>
      <c r="G359" s="19" t="str">
        <f t="shared" si="15"/>
        <v/>
      </c>
      <c r="J359" s="28">
        <f t="shared" si="17"/>
        <v>-0.23958333333333337</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-3.0851063829787195E-2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-0.24657534246575341</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1370</v>
      </c>
      <c r="I392" s="28">
        <f>H392/H385-1</f>
        <v>7.7044025157232632E-2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229</v>
      </c>
      <c r="B395" t="s">
        <v>419</v>
      </c>
      <c r="C395" t="s">
        <v>457</v>
      </c>
      <c r="E395" s="3">
        <f t="shared" si="19"/>
        <v>4</v>
      </c>
      <c r="F395" s="5">
        <v>44224.625</v>
      </c>
      <c r="G395" s="19" t="str">
        <f t="shared" si="18"/>
        <v/>
      </c>
      <c r="J395" s="28">
        <f t="shared" si="20"/>
        <v>0.29378531073446323</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296</v>
      </c>
      <c r="B399" t="s">
        <v>424</v>
      </c>
      <c r="C399" t="s">
        <v>457</v>
      </c>
      <c r="E399" s="3">
        <f t="shared" si="19"/>
        <v>1</v>
      </c>
      <c r="F399" s="5">
        <v>44228.625</v>
      </c>
      <c r="G399" s="19" t="str">
        <f t="shared" si="18"/>
        <v>2021-W05</v>
      </c>
      <c r="H399">
        <f>SUM(A399:A405)</f>
        <v>1574</v>
      </c>
      <c r="I399" s="28">
        <f>H399/H392-1</f>
        <v>0.148905109489051</v>
      </c>
      <c r="J399" s="28">
        <f t="shared" si="20"/>
        <v>0.15625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224</v>
      </c>
      <c r="B402" t="s">
        <v>427</v>
      </c>
      <c r="C402" t="s">
        <v>457</v>
      </c>
      <c r="E402" s="3">
        <f t="shared" si="19"/>
        <v>4</v>
      </c>
      <c r="F402" s="5">
        <v>44231.625</v>
      </c>
      <c r="G402" s="19" t="str">
        <f t="shared" si="18"/>
        <v/>
      </c>
      <c r="J402" s="28">
        <f t="shared" si="20"/>
        <v>-2.183406113537123E-2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1624</v>
      </c>
      <c r="I406" s="28">
        <f>H406/H399-1</f>
        <v>3.1766200762388896E-2</v>
      </c>
      <c r="J406" s="28">
        <f t="shared" si="20"/>
        <v>-1.0135135135135087E-2</v>
      </c>
    </row>
    <row r="407" spans="1:10">
      <c r="A407" s="3">
        <v>239</v>
      </c>
      <c r="B407" t="s">
        <v>439</v>
      </c>
      <c r="C407" t="s">
        <v>457</v>
      </c>
      <c r="E407" s="3">
        <f t="shared" si="19"/>
        <v>2</v>
      </c>
      <c r="F407" s="5">
        <v>44236.625</v>
      </c>
      <c r="G407" s="19" t="str">
        <f t="shared" si="18"/>
        <v/>
      </c>
      <c r="J407" s="28">
        <f t="shared" si="20"/>
        <v>-4.4000000000000039E-2</v>
      </c>
    </row>
    <row r="408" spans="1:10">
      <c r="A408" s="3">
        <v>228</v>
      </c>
      <c r="B408" t="s">
        <v>440</v>
      </c>
      <c r="C408" t="s">
        <v>457</v>
      </c>
      <c r="E408" s="3">
        <f t="shared" si="19"/>
        <v>3</v>
      </c>
      <c r="F408" s="5">
        <v>44237.625</v>
      </c>
      <c r="G408" s="19" t="str">
        <f t="shared" si="18"/>
        <v/>
      </c>
      <c r="J408" s="28">
        <f t="shared" si="20"/>
        <v>-0.13307984790874527</v>
      </c>
    </row>
    <row r="409" spans="1:10">
      <c r="A409" s="3">
        <v>234</v>
      </c>
      <c r="B409" t="s">
        <v>441</v>
      </c>
      <c r="C409" t="s">
        <v>457</v>
      </c>
      <c r="E409" s="3">
        <f t="shared" si="19"/>
        <v>4</v>
      </c>
      <c r="F409" s="5">
        <v>44238.625</v>
      </c>
      <c r="G409" s="19" t="str">
        <f t="shared" si="18"/>
        <v/>
      </c>
      <c r="J409" s="28">
        <f t="shared" si="20"/>
        <v>4.4642857142857206E-2</v>
      </c>
    </row>
    <row r="410" spans="1:10">
      <c r="A410" s="3">
        <v>259</v>
      </c>
      <c r="B410" t="s">
        <v>442</v>
      </c>
      <c r="C410" t="s">
        <v>457</v>
      </c>
      <c r="E410" s="3">
        <f t="shared" si="19"/>
        <v>5</v>
      </c>
      <c r="F410" s="5">
        <v>44239.625</v>
      </c>
      <c r="G410" s="19" t="str">
        <f t="shared" si="18"/>
        <v/>
      </c>
      <c r="J410" s="28">
        <f t="shared" si="20"/>
        <v>0.19907407407407418</v>
      </c>
    </row>
    <row r="411" spans="1:10">
      <c r="A411" s="3">
        <v>189</v>
      </c>
      <c r="B411" t="s">
        <v>443</v>
      </c>
      <c r="C411" t="s">
        <v>457</v>
      </c>
      <c r="E411" s="3">
        <f t="shared" si="19"/>
        <v>6</v>
      </c>
      <c r="F411" s="5">
        <v>44240.625</v>
      </c>
      <c r="G411" s="19" t="str">
        <f t="shared" si="18"/>
        <v/>
      </c>
      <c r="J411" s="28">
        <f t="shared" si="20"/>
        <v>0.23529411764705888</v>
      </c>
    </row>
    <row r="412" spans="1:10">
      <c r="A412" s="3">
        <v>182</v>
      </c>
      <c r="B412" t="s">
        <v>444</v>
      </c>
      <c r="C412" t="s">
        <v>457</v>
      </c>
      <c r="E412" s="3">
        <f t="shared" si="19"/>
        <v>7</v>
      </c>
      <c r="F412" s="5">
        <v>44241.625</v>
      </c>
      <c r="G412" s="19" t="str">
        <f t="shared" si="18"/>
        <v/>
      </c>
      <c r="J412" s="28">
        <f t="shared" si="20"/>
        <v>5.8139534883721034E-2</v>
      </c>
    </row>
    <row r="413" spans="1:10" s="10" customFormat="1">
      <c r="A413" s="14">
        <v>360</v>
      </c>
      <c r="B413" s="10" t="s">
        <v>445</v>
      </c>
      <c r="C413" s="10" t="s">
        <v>457</v>
      </c>
      <c r="E413" s="14">
        <f t="shared" si="19"/>
        <v>1</v>
      </c>
      <c r="F413" s="18">
        <v>44242.625</v>
      </c>
      <c r="G413" s="19" t="str">
        <f t="shared" si="18"/>
        <v>2021-W07</v>
      </c>
      <c r="H413" s="10">
        <f>SUM(A413:A419)</f>
        <v>2039</v>
      </c>
      <c r="I413" s="34">
        <f>H413/H406-1</f>
        <v>0.25554187192118216</v>
      </c>
      <c r="J413" s="28">
        <f t="shared" si="20"/>
        <v>0.22866894197952226</v>
      </c>
    </row>
    <row r="414" spans="1:10">
      <c r="A414" s="3">
        <v>329</v>
      </c>
      <c r="B414" t="s">
        <v>446</v>
      </c>
      <c r="C414" t="s">
        <v>457</v>
      </c>
      <c r="E414" s="3">
        <f t="shared" si="19"/>
        <v>2</v>
      </c>
      <c r="F414" s="5">
        <v>44243.625</v>
      </c>
      <c r="G414" s="19" t="str">
        <f t="shared" si="18"/>
        <v/>
      </c>
      <c r="J414" s="28">
        <f t="shared" si="20"/>
        <v>0.37656903765690375</v>
      </c>
    </row>
    <row r="415" spans="1:10">
      <c r="A415" s="3">
        <v>323</v>
      </c>
      <c r="B415" t="s">
        <v>447</v>
      </c>
      <c r="C415" t="s">
        <v>457</v>
      </c>
      <c r="E415" s="3">
        <f t="shared" si="19"/>
        <v>3</v>
      </c>
      <c r="F415" s="5">
        <v>44244.625</v>
      </c>
      <c r="G415" s="19" t="str">
        <f t="shared" si="18"/>
        <v/>
      </c>
      <c r="J415" s="28">
        <f t="shared" si="20"/>
        <v>0.41666666666666674</v>
      </c>
    </row>
    <row r="416" spans="1:10">
      <c r="A416" s="3">
        <v>319</v>
      </c>
      <c r="B416" t="s">
        <v>448</v>
      </c>
      <c r="C416" t="s">
        <v>457</v>
      </c>
      <c r="E416" s="3">
        <f t="shared" si="19"/>
        <v>4</v>
      </c>
      <c r="F416" s="5">
        <v>44245.625</v>
      </c>
      <c r="G416" s="19" t="str">
        <f t="shared" si="18"/>
        <v/>
      </c>
      <c r="J416" s="28">
        <f t="shared" si="20"/>
        <v>0.36324786324786329</v>
      </c>
    </row>
    <row r="417" spans="1:10">
      <c r="A417" s="3">
        <v>303</v>
      </c>
      <c r="B417" t="s">
        <v>449</v>
      </c>
      <c r="C417" t="s">
        <v>457</v>
      </c>
      <c r="E417" s="3">
        <f t="shared" si="19"/>
        <v>5</v>
      </c>
      <c r="F417" s="5">
        <v>44246.625</v>
      </c>
      <c r="G417" s="19" t="str">
        <f t="shared" si="18"/>
        <v/>
      </c>
      <c r="J417" s="28">
        <f t="shared" si="20"/>
        <v>0.16988416988416999</v>
      </c>
    </row>
    <row r="418" spans="1:10">
      <c r="A418" s="3">
        <v>185</v>
      </c>
      <c r="B418" t="s">
        <v>451</v>
      </c>
      <c r="C418" t="s">
        <v>457</v>
      </c>
      <c r="E418" s="3">
        <f t="shared" si="19"/>
        <v>6</v>
      </c>
      <c r="F418" s="5">
        <v>44247.625</v>
      </c>
      <c r="G418" s="19" t="str">
        <f t="shared" si="18"/>
        <v/>
      </c>
      <c r="J418" s="28">
        <f t="shared" si="20"/>
        <v>-2.1164021164021163E-2</v>
      </c>
    </row>
    <row r="419" spans="1:10">
      <c r="A419" s="3">
        <v>220</v>
      </c>
      <c r="B419" t="s">
        <v>452</v>
      </c>
      <c r="C419" t="s">
        <v>457</v>
      </c>
      <c r="E419" s="3">
        <f t="shared" si="19"/>
        <v>7</v>
      </c>
      <c r="F419" s="5">
        <v>44248.625</v>
      </c>
      <c r="G419" s="19" t="str">
        <f t="shared" si="18"/>
        <v/>
      </c>
      <c r="J419" s="28">
        <f t="shared" si="20"/>
        <v>0.20879120879120872</v>
      </c>
    </row>
    <row r="420" spans="1:10">
      <c r="A420" s="3">
        <v>385</v>
      </c>
      <c r="B420" t="s">
        <v>453</v>
      </c>
      <c r="C420" t="s">
        <v>457</v>
      </c>
      <c r="E420" s="3">
        <f t="shared" si="19"/>
        <v>1</v>
      </c>
      <c r="F420" s="5">
        <v>44249.625</v>
      </c>
      <c r="G420" s="19" t="str">
        <f t="shared" si="18"/>
        <v>2021-W08</v>
      </c>
      <c r="H420">
        <f>SUM(A420:A426)</f>
        <v>2498</v>
      </c>
      <c r="I420" s="28">
        <f>H420/H413-1</f>
        <v>0.22511034820990683</v>
      </c>
      <c r="J420" s="28">
        <f t="shared" si="20"/>
        <v>6.944444444444442E-2</v>
      </c>
    </row>
    <row r="421" spans="1:10">
      <c r="A421" s="3">
        <v>382</v>
      </c>
      <c r="B421" t="s">
        <v>456</v>
      </c>
      <c r="C421" t="s">
        <v>457</v>
      </c>
      <c r="E421" s="3">
        <f t="shared" si="19"/>
        <v>2</v>
      </c>
      <c r="F421" s="5">
        <v>44250.625</v>
      </c>
      <c r="G421" s="19" t="str">
        <f t="shared" si="18"/>
        <v/>
      </c>
      <c r="J421" s="28">
        <f t="shared" si="20"/>
        <v>0.16109422492401215</v>
      </c>
    </row>
    <row r="422" spans="1:10">
      <c r="A422" s="3">
        <v>416</v>
      </c>
      <c r="B422" t="s">
        <v>462</v>
      </c>
      <c r="C422" t="s">
        <v>457</v>
      </c>
      <c r="E422" s="3">
        <f t="shared" si="19"/>
        <v>3</v>
      </c>
      <c r="F422" s="5">
        <v>44251.625</v>
      </c>
      <c r="G422" s="19" t="str">
        <f t="shared" si="18"/>
        <v/>
      </c>
      <c r="J422" s="28">
        <f t="shared" si="20"/>
        <v>0.28792569659442724</v>
      </c>
    </row>
    <row r="423" spans="1:10">
      <c r="A423" s="3">
        <v>353</v>
      </c>
      <c r="B423" t="s">
        <v>464</v>
      </c>
      <c r="C423" t="s">
        <v>457</v>
      </c>
      <c r="E423" s="3">
        <f t="shared" si="19"/>
        <v>4</v>
      </c>
      <c r="F423" s="5">
        <v>44252.625</v>
      </c>
      <c r="G423" s="19" t="str">
        <f t="shared" si="18"/>
        <v/>
      </c>
      <c r="J423" s="28">
        <f t="shared" si="20"/>
        <v>0.10658307210031337</v>
      </c>
    </row>
    <row r="424" spans="1:10">
      <c r="A424" s="3">
        <v>431</v>
      </c>
      <c r="B424" t="s">
        <v>465</v>
      </c>
      <c r="C424" t="s">
        <v>457</v>
      </c>
      <c r="E424" s="3">
        <f t="shared" si="19"/>
        <v>5</v>
      </c>
      <c r="F424" s="5">
        <v>44253.625</v>
      </c>
      <c r="G424" s="19" t="str">
        <f t="shared" si="18"/>
        <v/>
      </c>
      <c r="J424" s="28">
        <f t="shared" si="20"/>
        <v>0.42244224422442245</v>
      </c>
    </row>
    <row r="425" spans="1:10">
      <c r="A425" s="3">
        <v>265</v>
      </c>
      <c r="B425" t="s">
        <v>470</v>
      </c>
      <c r="C425" t="s">
        <v>457</v>
      </c>
      <c r="E425" s="3">
        <f t="shared" si="19"/>
        <v>6</v>
      </c>
      <c r="F425" s="5">
        <v>44254.625</v>
      </c>
      <c r="G425" s="19" t="str">
        <f t="shared" si="18"/>
        <v/>
      </c>
      <c r="J425" s="28">
        <f t="shared" si="20"/>
        <v>0.43243243243243246</v>
      </c>
    </row>
    <row r="426" spans="1:10">
      <c r="A426" s="3">
        <v>266</v>
      </c>
      <c r="B426" t="s">
        <v>471</v>
      </c>
      <c r="C426" t="s">
        <v>457</v>
      </c>
      <c r="E426" s="3">
        <f t="shared" si="19"/>
        <v>7</v>
      </c>
      <c r="F426" s="5">
        <v>44255.625</v>
      </c>
      <c r="G426" s="19" t="str">
        <f t="shared" si="18"/>
        <v/>
      </c>
      <c r="J426" s="28">
        <f t="shared" si="20"/>
        <v>0.20909090909090899</v>
      </c>
    </row>
    <row r="427" spans="1:10">
      <c r="A427" s="3">
        <v>480</v>
      </c>
      <c r="B427" t="s">
        <v>472</v>
      </c>
      <c r="C427" t="s">
        <v>457</v>
      </c>
      <c r="E427" s="3">
        <f t="shared" si="19"/>
        <v>1</v>
      </c>
      <c r="F427" s="5">
        <v>44256.625</v>
      </c>
      <c r="G427" s="19" t="str">
        <f t="shared" si="18"/>
        <v>2021-W09</v>
      </c>
      <c r="H427">
        <f>SUM(A427:A433)</f>
        <v>2763</v>
      </c>
      <c r="I427" s="28">
        <f>H427/H420-1</f>
        <v>0.10608486789431537</v>
      </c>
      <c r="J427" s="28">
        <f t="shared" si="20"/>
        <v>0.24675324675324672</v>
      </c>
    </row>
    <row r="428" spans="1:10">
      <c r="A428" s="3">
        <v>488</v>
      </c>
      <c r="B428" t="s">
        <v>473</v>
      </c>
      <c r="C428" t="s">
        <v>457</v>
      </c>
      <c r="E428" s="3">
        <f t="shared" si="19"/>
        <v>2</v>
      </c>
      <c r="F428" s="5">
        <v>44257.625</v>
      </c>
      <c r="G428" s="19" t="str">
        <f t="shared" si="18"/>
        <v/>
      </c>
      <c r="J428" s="28">
        <f t="shared" si="20"/>
        <v>0.27748691099476441</v>
      </c>
    </row>
    <row r="429" spans="1:10">
      <c r="A429" s="3">
        <v>475</v>
      </c>
      <c r="B429" t="s">
        <v>474</v>
      </c>
      <c r="C429" t="s">
        <v>457</v>
      </c>
      <c r="E429" s="3">
        <f t="shared" si="19"/>
        <v>3</v>
      </c>
      <c r="F429" s="5">
        <v>44258.625</v>
      </c>
      <c r="G429" s="19" t="str">
        <f t="shared" si="18"/>
        <v/>
      </c>
      <c r="J429" s="28">
        <f t="shared" si="20"/>
        <v>0.14182692307692313</v>
      </c>
    </row>
    <row r="430" spans="1:10">
      <c r="A430" s="3">
        <v>384</v>
      </c>
      <c r="B430" t="s">
        <v>475</v>
      </c>
      <c r="C430" t="s">
        <v>457</v>
      </c>
      <c r="E430" s="3">
        <f t="shared" si="19"/>
        <v>4</v>
      </c>
      <c r="F430" s="5">
        <v>44259.625</v>
      </c>
      <c r="G430" s="19" t="str">
        <f t="shared" si="18"/>
        <v/>
      </c>
      <c r="J430" s="28">
        <f t="shared" si="20"/>
        <v>8.7818696883852798E-2</v>
      </c>
    </row>
    <row r="431" spans="1:10">
      <c r="A431" s="3">
        <v>413</v>
      </c>
      <c r="B431" t="s">
        <v>476</v>
      </c>
      <c r="C431" t="s">
        <v>457</v>
      </c>
      <c r="E431" s="3">
        <f t="shared" si="19"/>
        <v>5</v>
      </c>
      <c r="F431" s="5">
        <v>44260.625</v>
      </c>
      <c r="G431" s="19" t="str">
        <f t="shared" si="18"/>
        <v/>
      </c>
      <c r="J431" s="28">
        <f t="shared" si="20"/>
        <v>-4.1763341067285409E-2</v>
      </c>
    </row>
    <row r="432" spans="1:10">
      <c r="A432" s="3">
        <v>273</v>
      </c>
      <c r="B432" t="s">
        <v>477</v>
      </c>
      <c r="C432" t="s">
        <v>457</v>
      </c>
      <c r="E432" s="3">
        <f t="shared" si="19"/>
        <v>6</v>
      </c>
      <c r="F432" s="5">
        <v>44261.625</v>
      </c>
      <c r="G432" s="19" t="str">
        <f t="shared" si="18"/>
        <v/>
      </c>
      <c r="J432" s="28">
        <f t="shared" si="20"/>
        <v>3.0188679245283012E-2</v>
      </c>
    </row>
    <row r="433" spans="1:10">
      <c r="A433" s="3">
        <v>250</v>
      </c>
      <c r="B433" t="s">
        <v>478</v>
      </c>
      <c r="C433" t="s">
        <v>457</v>
      </c>
      <c r="E433" s="3">
        <f t="shared" si="19"/>
        <v>7</v>
      </c>
      <c r="F433" s="5">
        <v>44262.625</v>
      </c>
      <c r="G433" s="19" t="str">
        <f t="shared" si="18"/>
        <v/>
      </c>
      <c r="J433" s="28">
        <f t="shared" si="20"/>
        <v>-6.0150375939849621E-2</v>
      </c>
    </row>
    <row r="434" spans="1:10">
      <c r="A434" s="3">
        <v>499</v>
      </c>
      <c r="B434" t="s">
        <v>479</v>
      </c>
      <c r="C434" t="s">
        <v>457</v>
      </c>
      <c r="E434" s="3">
        <f t="shared" si="19"/>
        <v>1</v>
      </c>
      <c r="F434" s="5">
        <v>44263.625</v>
      </c>
      <c r="G434" s="19" t="str">
        <f t="shared" si="18"/>
        <v>2021-W10</v>
      </c>
      <c r="H434">
        <f>SUM(A434:A440)</f>
        <v>3021</v>
      </c>
      <c r="I434" s="28">
        <f>H434/H427-1</f>
        <v>9.3376764386536415E-2</v>
      </c>
      <c r="J434" s="28">
        <f t="shared" si="20"/>
        <v>3.9583333333333304E-2</v>
      </c>
    </row>
    <row r="435" spans="1:10">
      <c r="A435" s="3">
        <v>496</v>
      </c>
      <c r="B435" t="s">
        <v>480</v>
      </c>
      <c r="C435" t="s">
        <v>457</v>
      </c>
      <c r="E435" s="3">
        <f t="shared" si="19"/>
        <v>2</v>
      </c>
      <c r="F435" s="5">
        <v>44264.625</v>
      </c>
      <c r="G435" s="19" t="str">
        <f t="shared" si="18"/>
        <v/>
      </c>
      <c r="J435" s="28">
        <f t="shared" si="20"/>
        <v>1.6393442622950838E-2</v>
      </c>
    </row>
    <row r="436" spans="1:10">
      <c r="A436" s="3">
        <v>488</v>
      </c>
      <c r="B436" t="s">
        <v>481</v>
      </c>
      <c r="C436" t="s">
        <v>457</v>
      </c>
      <c r="E436" s="3">
        <f t="shared" si="19"/>
        <v>3</v>
      </c>
      <c r="F436" s="5">
        <v>44265.625</v>
      </c>
      <c r="G436" s="19" t="str">
        <f t="shared" si="18"/>
        <v/>
      </c>
      <c r="J436" s="28">
        <f t="shared" si="20"/>
        <v>2.7368421052631486E-2</v>
      </c>
    </row>
    <row r="437" spans="1:10">
      <c r="A437" s="3">
        <v>471</v>
      </c>
      <c r="B437" t="s">
        <v>482</v>
      </c>
      <c r="C437" t="s">
        <v>457</v>
      </c>
      <c r="E437" s="3">
        <f t="shared" si="19"/>
        <v>4</v>
      </c>
      <c r="F437" s="5">
        <v>44266.625</v>
      </c>
      <c r="G437" s="19" t="str">
        <f t="shared" si="18"/>
        <v/>
      </c>
      <c r="J437" s="28">
        <f t="shared" si="20"/>
        <v>0.2265625</v>
      </c>
    </row>
    <row r="438" spans="1:10">
      <c r="A438" s="3">
        <v>509</v>
      </c>
      <c r="B438" t="s">
        <v>483</v>
      </c>
      <c r="C438" t="s">
        <v>457</v>
      </c>
      <c r="E438" s="3">
        <f t="shared" si="19"/>
        <v>5</v>
      </c>
      <c r="F438" s="5">
        <v>44267.625</v>
      </c>
      <c r="G438" s="19" t="str">
        <f t="shared" si="18"/>
        <v/>
      </c>
      <c r="J438" s="28">
        <f t="shared" si="20"/>
        <v>0.23244552058111378</v>
      </c>
    </row>
    <row r="439" spans="1:10">
      <c r="A439" s="3">
        <v>314</v>
      </c>
      <c r="B439" t="s">
        <v>484</v>
      </c>
      <c r="C439" t="s">
        <v>457</v>
      </c>
      <c r="E439" s="3">
        <f t="shared" si="19"/>
        <v>6</v>
      </c>
      <c r="F439" s="5">
        <v>44268.625</v>
      </c>
      <c r="G439" s="19" t="str">
        <f t="shared" si="18"/>
        <v/>
      </c>
      <c r="J439" s="28">
        <f t="shared" si="20"/>
        <v>0.15018315018315009</v>
      </c>
    </row>
    <row r="440" spans="1:10">
      <c r="A440" s="3">
        <v>244</v>
      </c>
      <c r="B440" t="s">
        <v>485</v>
      </c>
      <c r="C440" t="s">
        <v>457</v>
      </c>
      <c r="E440" s="3">
        <f t="shared" si="19"/>
        <v>7</v>
      </c>
      <c r="F440" s="5">
        <v>44269.625</v>
      </c>
      <c r="G440" s="19" t="str">
        <f t="shared" si="18"/>
        <v/>
      </c>
      <c r="J440" s="28">
        <f t="shared" si="20"/>
        <v>-2.4000000000000021E-2</v>
      </c>
    </row>
    <row r="441" spans="1:10">
      <c r="A441" s="3">
        <v>259</v>
      </c>
      <c r="B441" t="s">
        <v>486</v>
      </c>
      <c r="C441" t="s">
        <v>457</v>
      </c>
      <c r="E441" s="3">
        <f t="shared" si="19"/>
        <v>1</v>
      </c>
      <c r="F441" s="5">
        <v>44270.625</v>
      </c>
      <c r="G441" s="19" t="str">
        <f t="shared" si="18"/>
        <v>2021-W11</v>
      </c>
      <c r="H441">
        <f>SUM(A441:A447)</f>
        <v>259</v>
      </c>
      <c r="I441" s="28">
        <f>H441/H434-1</f>
        <v>-0.91426679907315456</v>
      </c>
      <c r="J441" s="28">
        <f t="shared" si="20"/>
        <v>-0.48096192384769543</v>
      </c>
    </row>
    <row r="442" spans="1:10">
      <c r="A442" s="3">
        <v>0</v>
      </c>
      <c r="B442" t="s">
        <v>487</v>
      </c>
      <c r="C442" t="s">
        <v>457</v>
      </c>
      <c r="E442" s="3">
        <f t="shared" si="19"/>
        <v>2</v>
      </c>
      <c r="F442" s="5">
        <v>44271.40115740741</v>
      </c>
      <c r="G442" s="19" t="str">
        <f t="shared" si="18"/>
        <v/>
      </c>
      <c r="J442" s="28">
        <f t="shared" si="20"/>
        <v>-1</v>
      </c>
    </row>
    <row r="443" spans="1:10">
      <c r="E443" s="3">
        <f t="shared" si="19"/>
        <v>6</v>
      </c>
      <c r="G443" s="19" t="str">
        <f t="shared" si="18"/>
        <v/>
      </c>
      <c r="J443" s="28">
        <f t="shared" si="20"/>
        <v>-1</v>
      </c>
    </row>
    <row r="444" spans="1:10">
      <c r="E444" s="3">
        <f t="shared" si="19"/>
        <v>6</v>
      </c>
      <c r="G444" s="19" t="str">
        <f t="shared" si="18"/>
        <v/>
      </c>
      <c r="J444" s="28">
        <f t="shared" si="20"/>
        <v>-1</v>
      </c>
    </row>
    <row r="445" spans="1:10">
      <c r="E445" s="3">
        <f t="shared" si="19"/>
        <v>6</v>
      </c>
      <c r="G445" s="19" t="str">
        <f t="shared" si="18"/>
        <v/>
      </c>
      <c r="J445" s="28">
        <f t="shared" si="20"/>
        <v>-1</v>
      </c>
    </row>
    <row r="446" spans="1:10">
      <c r="E446" s="3">
        <f t="shared" si="19"/>
        <v>6</v>
      </c>
      <c r="G446" s="19" t="str">
        <f t="shared" si="18"/>
        <v/>
      </c>
      <c r="J446" s="28">
        <f t="shared" si="20"/>
        <v>-1</v>
      </c>
    </row>
    <row r="447" spans="1:10">
      <c r="E447" s="3">
        <f t="shared" si="19"/>
        <v>6</v>
      </c>
      <c r="G447" s="19" t="str">
        <f t="shared" si="18"/>
        <v/>
      </c>
      <c r="J447" s="28">
        <f t="shared" si="20"/>
        <v>-1</v>
      </c>
    </row>
    <row r="448" spans="1:10">
      <c r="E448" s="3">
        <f t="shared" si="19"/>
        <v>6</v>
      </c>
      <c r="G448" s="19" t="str">
        <f t="shared" si="18"/>
        <v/>
      </c>
      <c r="H448">
        <f>SUM(A448:A454)</f>
        <v>0</v>
      </c>
      <c r="I448" s="28">
        <f>H448/H441-1</f>
        <v>-1</v>
      </c>
      <c r="J448" s="28">
        <f t="shared" si="20"/>
        <v>-1</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IF(WEEKDAY(F451,2)=1,YEAR(F451)&amp;"-W"&amp;TEXT(WEEKNUM(F451,14),"00"),"")</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246</v>
      </c>
      <c r="D391">
        <f>HUS!A391</f>
        <v>152</v>
      </c>
      <c r="E391" s="38">
        <f t="shared" si="6"/>
        <v>0.61788617886178865</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533</v>
      </c>
      <c r="D399">
        <f>HUS!A399</f>
        <v>296</v>
      </c>
      <c r="E399" s="38">
        <f t="shared" si="6"/>
        <v>0.55534709193245779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370</v>
      </c>
      <c r="D402">
        <f>HUS!A402</f>
        <v>224</v>
      </c>
      <c r="E402" s="38">
        <f t="shared" si="6"/>
        <v>0.60540540540540544</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418</v>
      </c>
      <c r="D410">
        <f>HUS!A410</f>
        <v>259</v>
      </c>
      <c r="E410" s="38">
        <f t="shared" si="6"/>
        <v>0.61961722488038273</v>
      </c>
    </row>
    <row r="411" spans="1:5">
      <c r="A411" s="30">
        <f>Kaikki!F411</f>
        <v>44240.625</v>
      </c>
      <c r="B411" s="37" t="str">
        <f>Kaikki!G411</f>
        <v/>
      </c>
      <c r="C411">
        <f>Kaikki!A411</f>
        <v>277</v>
      </c>
      <c r="D411">
        <f>HUS!A411</f>
        <v>189</v>
      </c>
      <c r="E411" s="38">
        <f t="shared" si="6"/>
        <v>0.68231046931407946</v>
      </c>
    </row>
    <row r="412" spans="1:5">
      <c r="A412" s="30">
        <f>Kaikki!F412</f>
        <v>44241.625</v>
      </c>
      <c r="B412" s="37" t="str">
        <f>Kaikki!G412</f>
        <v/>
      </c>
      <c r="C412">
        <f>Kaikki!A412</f>
        <v>281</v>
      </c>
      <c r="D412">
        <f>HUS!A412</f>
        <v>182</v>
      </c>
      <c r="E412" s="38">
        <f t="shared" si="6"/>
        <v>0.64768683274021355</v>
      </c>
    </row>
    <row r="413" spans="1:5">
      <c r="A413" s="30">
        <f>Kaikki!F413</f>
        <v>44242.625</v>
      </c>
      <c r="B413" s="37" t="str">
        <f>Kaikki!G413</f>
        <v>2021-W07</v>
      </c>
      <c r="C413">
        <f>Kaikki!A413</f>
        <v>615</v>
      </c>
      <c r="D413">
        <f>HUS!A413</f>
        <v>360</v>
      </c>
      <c r="E413" s="38">
        <f t="shared" si="6"/>
        <v>0.58536585365853655</v>
      </c>
    </row>
    <row r="414" spans="1:5">
      <c r="A414" s="30">
        <f>Kaikki!F414</f>
        <v>44243.625</v>
      </c>
      <c r="B414" s="37" t="str">
        <f>Kaikki!G414</f>
        <v/>
      </c>
      <c r="C414">
        <f>Kaikki!A414</f>
        <v>515</v>
      </c>
      <c r="D414">
        <f>HUS!A414</f>
        <v>329</v>
      </c>
      <c r="E414" s="38">
        <f t="shared" si="6"/>
        <v>0.63883495145631064</v>
      </c>
    </row>
    <row r="415" spans="1:5">
      <c r="A415" s="30">
        <f>Kaikki!F415</f>
        <v>44244.625</v>
      </c>
      <c r="B415" s="37" t="str">
        <f>Kaikki!G415</f>
        <v/>
      </c>
      <c r="C415">
        <f>Kaikki!A415</f>
        <v>550</v>
      </c>
      <c r="D415">
        <f>HUS!A415</f>
        <v>323</v>
      </c>
      <c r="E415" s="38">
        <f t="shared" si="6"/>
        <v>0.58727272727272728</v>
      </c>
    </row>
    <row r="416" spans="1:5">
      <c r="A416" s="30">
        <f>Kaikki!F416</f>
        <v>44245.625</v>
      </c>
      <c r="B416" s="37" t="str">
        <f>Kaikki!G416</f>
        <v/>
      </c>
      <c r="C416">
        <f>Kaikki!A416</f>
        <v>611</v>
      </c>
      <c r="D416">
        <f>HUS!A416</f>
        <v>319</v>
      </c>
      <c r="E416" s="38">
        <f t="shared" si="6"/>
        <v>0.52209492635024546</v>
      </c>
    </row>
    <row r="417" spans="1:5">
      <c r="A417" s="30">
        <f>Kaikki!F417</f>
        <v>44246.625</v>
      </c>
      <c r="B417" s="37" t="str">
        <f>Kaikki!G417</f>
        <v/>
      </c>
      <c r="C417">
        <f>Kaikki!A417</f>
        <v>573</v>
      </c>
      <c r="D417">
        <f>HUS!A417</f>
        <v>303</v>
      </c>
      <c r="E417" s="38">
        <f t="shared" si="6"/>
        <v>0.52879581151832455</v>
      </c>
    </row>
    <row r="418" spans="1:5">
      <c r="A418" s="30">
        <f>Kaikki!F418</f>
        <v>44247.625</v>
      </c>
      <c r="B418" s="37" t="str">
        <f>Kaikki!G418</f>
        <v/>
      </c>
      <c r="C418">
        <f>Kaikki!A418</f>
        <v>317</v>
      </c>
      <c r="D418">
        <f>HUS!A418</f>
        <v>185</v>
      </c>
      <c r="E418" s="38">
        <f t="shared" si="6"/>
        <v>0.58359621451104104</v>
      </c>
    </row>
    <row r="419" spans="1:5">
      <c r="A419" s="30">
        <f>Kaikki!F419</f>
        <v>44248.625</v>
      </c>
      <c r="B419" s="37" t="str">
        <f>Kaikki!G419</f>
        <v/>
      </c>
      <c r="C419">
        <f>Kaikki!A419</f>
        <v>355</v>
      </c>
      <c r="D419">
        <f>HUS!A419</f>
        <v>220</v>
      </c>
      <c r="E419" s="38">
        <f t="shared" si="6"/>
        <v>0.61971830985915488</v>
      </c>
    </row>
    <row r="420" spans="1:5">
      <c r="A420" s="30">
        <f>Kaikki!F420</f>
        <v>44249.625</v>
      </c>
      <c r="B420" s="37" t="str">
        <f>Kaikki!G420</f>
        <v>2021-W08</v>
      </c>
      <c r="C420">
        <f>Kaikki!A420</f>
        <v>623</v>
      </c>
      <c r="D420">
        <f>HUS!A420</f>
        <v>385</v>
      </c>
      <c r="E420" s="38">
        <f t="shared" si="6"/>
        <v>0.6179775280898876</v>
      </c>
    </row>
    <row r="421" spans="1:5">
      <c r="A421" s="30">
        <f>Kaikki!F421</f>
        <v>44250.625</v>
      </c>
      <c r="B421" s="37" t="str">
        <f>Kaikki!G421</f>
        <v/>
      </c>
      <c r="C421">
        <f>Kaikki!A421</f>
        <v>625</v>
      </c>
      <c r="D421">
        <f>HUS!A421</f>
        <v>382</v>
      </c>
      <c r="E421" s="38">
        <f t="shared" si="6"/>
        <v>0.61119999999999997</v>
      </c>
    </row>
    <row r="422" spans="1:5">
      <c r="A422" s="30">
        <f>Kaikki!F422</f>
        <v>44251.625</v>
      </c>
      <c r="B422" s="37" t="str">
        <f>Kaikki!G422</f>
        <v/>
      </c>
      <c r="C422">
        <f>Kaikki!A422</f>
        <v>599</v>
      </c>
      <c r="D422">
        <f>HUS!A422</f>
        <v>416</v>
      </c>
      <c r="E422" s="38">
        <f t="shared" si="6"/>
        <v>0.69449081803005008</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691</v>
      </c>
      <c r="D424">
        <f>HUS!A424</f>
        <v>431</v>
      </c>
      <c r="E424" s="38">
        <f t="shared" si="6"/>
        <v>0.62373371924746746</v>
      </c>
    </row>
    <row r="425" spans="1:5">
      <c r="A425" s="30">
        <f>Kaikki!F425</f>
        <v>44254.625</v>
      </c>
      <c r="B425" s="37" t="str">
        <f>Kaikki!G425</f>
        <v/>
      </c>
      <c r="C425">
        <f>Kaikki!A425</f>
        <v>400</v>
      </c>
      <c r="D425">
        <f>HUS!A425</f>
        <v>265</v>
      </c>
      <c r="E425" s="38">
        <f t="shared" si="6"/>
        <v>0.66249999999999998</v>
      </c>
    </row>
    <row r="426" spans="1:5">
      <c r="A426" s="30">
        <f>Kaikki!F426</f>
        <v>44255.625</v>
      </c>
      <c r="B426" s="37" t="str">
        <f>Kaikki!G426</f>
        <v/>
      </c>
      <c r="C426">
        <f>Kaikki!A426</f>
        <v>420</v>
      </c>
      <c r="D426">
        <f>HUS!A426</f>
        <v>266</v>
      </c>
      <c r="E426" s="38">
        <f t="shared" si="6"/>
        <v>0.6333333333333333</v>
      </c>
    </row>
    <row r="427" spans="1:5">
      <c r="A427" s="30">
        <f>Kaikki!F427</f>
        <v>44256.625</v>
      </c>
      <c r="B427" s="37" t="str">
        <f>Kaikki!G427</f>
        <v>2021-W09</v>
      </c>
      <c r="C427">
        <f>Kaikki!A427</f>
        <v>869</v>
      </c>
      <c r="D427">
        <f>HUS!A427</f>
        <v>480</v>
      </c>
      <c r="E427" s="38">
        <f t="shared" si="6"/>
        <v>0.55235903337169157</v>
      </c>
    </row>
    <row r="428" spans="1:5">
      <c r="A428" s="30">
        <f>Kaikki!F428</f>
        <v>44257.625</v>
      </c>
      <c r="B428" s="37" t="str">
        <f>Kaikki!G428</f>
        <v/>
      </c>
      <c r="C428">
        <f>Kaikki!A428</f>
        <v>757</v>
      </c>
      <c r="D428">
        <f>HUS!A428</f>
        <v>488</v>
      </c>
      <c r="E428" s="38">
        <f t="shared" si="6"/>
        <v>0.64464993394980186</v>
      </c>
    </row>
    <row r="429" spans="1:5">
      <c r="A429" s="30">
        <f>Kaikki!F429</f>
        <v>44258.625</v>
      </c>
      <c r="B429" s="37" t="str">
        <f>Kaikki!G429</f>
        <v/>
      </c>
      <c r="C429">
        <f>Kaikki!A429</f>
        <v>737</v>
      </c>
      <c r="D429">
        <f>HUS!A429</f>
        <v>475</v>
      </c>
      <c r="E429" s="38">
        <f t="shared" si="6"/>
        <v>0.64450474898236088</v>
      </c>
    </row>
    <row r="430" spans="1:5">
      <c r="A430" s="30">
        <f>Kaikki!F430</f>
        <v>44259.625</v>
      </c>
      <c r="B430" s="37" t="str">
        <f>Kaikki!G430</f>
        <v/>
      </c>
      <c r="C430">
        <f>Kaikki!A430</f>
        <v>624</v>
      </c>
      <c r="D430">
        <f>HUS!A430</f>
        <v>384</v>
      </c>
      <c r="E430" s="38">
        <f t="shared" si="6"/>
        <v>0.61538461538461542</v>
      </c>
    </row>
    <row r="431" spans="1:5">
      <c r="A431" s="30">
        <f>Kaikki!F431</f>
        <v>44260.625</v>
      </c>
      <c r="B431" s="37" t="str">
        <f>Kaikki!G431</f>
        <v/>
      </c>
      <c r="C431">
        <f>Kaikki!A431</f>
        <v>600</v>
      </c>
      <c r="D431">
        <f>HUS!A431</f>
        <v>413</v>
      </c>
      <c r="E431" s="38">
        <f t="shared" si="6"/>
        <v>0.68833333333333335</v>
      </c>
    </row>
    <row r="432" spans="1:5">
      <c r="A432" s="30">
        <f>Kaikki!F432</f>
        <v>44261.625</v>
      </c>
      <c r="B432" s="37" t="str">
        <f>Kaikki!G432</f>
        <v/>
      </c>
      <c r="C432">
        <f>Kaikki!A432</f>
        <v>435</v>
      </c>
      <c r="D432">
        <f>HUS!A432</f>
        <v>273</v>
      </c>
      <c r="E432" s="38">
        <f t="shared" si="6"/>
        <v>0.62758620689655176</v>
      </c>
    </row>
    <row r="433" spans="1:5">
      <c r="A433" s="30">
        <f>Kaikki!F433</f>
        <v>44262.625</v>
      </c>
      <c r="B433" s="37" t="str">
        <f>Kaikki!G433</f>
        <v/>
      </c>
      <c r="C433">
        <f>Kaikki!A433</f>
        <v>391</v>
      </c>
      <c r="D433">
        <f>HUS!A433</f>
        <v>250</v>
      </c>
      <c r="E433" s="38">
        <f t="shared" si="6"/>
        <v>0.63938618925831203</v>
      </c>
    </row>
    <row r="434" spans="1:5">
      <c r="A434" s="30">
        <f>Kaikki!F434</f>
        <v>44263.625</v>
      </c>
      <c r="B434" s="37" t="str">
        <f>Kaikki!G434</f>
        <v>2021-W10</v>
      </c>
      <c r="C434">
        <f>Kaikki!A434</f>
        <v>828</v>
      </c>
      <c r="D434">
        <f>HUS!A434</f>
        <v>499</v>
      </c>
      <c r="E434" s="38">
        <f t="shared" si="6"/>
        <v>0.60265700483091789</v>
      </c>
    </row>
    <row r="435" spans="1:5">
      <c r="A435" s="30">
        <f>Kaikki!F435</f>
        <v>44264.625</v>
      </c>
      <c r="B435" s="37" t="str">
        <f>Kaikki!G435</f>
        <v/>
      </c>
      <c r="C435">
        <f>Kaikki!A435</f>
        <v>742</v>
      </c>
      <c r="D435">
        <f>HUS!A435</f>
        <v>496</v>
      </c>
      <c r="E435" s="38">
        <f t="shared" si="6"/>
        <v>0.66846361185983827</v>
      </c>
    </row>
    <row r="436" spans="1:5">
      <c r="A436" s="30">
        <f>Kaikki!F436</f>
        <v>44265.625</v>
      </c>
      <c r="B436" s="37" t="str">
        <f>Kaikki!G436</f>
        <v/>
      </c>
      <c r="C436">
        <f>Kaikki!A436</f>
        <v>775</v>
      </c>
      <c r="D436">
        <f>HUS!A436</f>
        <v>488</v>
      </c>
      <c r="E436" s="38">
        <f t="shared" si="6"/>
        <v>0.62967741935483867</v>
      </c>
    </row>
    <row r="437" spans="1:5">
      <c r="A437" s="30">
        <f>Kaikki!F437</f>
        <v>44266.625</v>
      </c>
      <c r="B437" s="37" t="str">
        <f>Kaikki!G437</f>
        <v/>
      </c>
      <c r="C437">
        <f>Kaikki!A437</f>
        <v>743</v>
      </c>
      <c r="D437">
        <f>HUS!A437</f>
        <v>471</v>
      </c>
      <c r="E437" s="38">
        <f t="shared" si="6"/>
        <v>0.63391655450874829</v>
      </c>
    </row>
    <row r="438" spans="1:5">
      <c r="A438" s="30">
        <f>Kaikki!F438</f>
        <v>44267.625</v>
      </c>
      <c r="B438" s="37" t="str">
        <f>Kaikki!G438</f>
        <v/>
      </c>
      <c r="C438">
        <f>Kaikki!A438</f>
        <v>774</v>
      </c>
      <c r="D438">
        <f>HUS!A438</f>
        <v>509</v>
      </c>
      <c r="E438" s="38">
        <f t="shared" si="6"/>
        <v>0.65762273901808788</v>
      </c>
    </row>
    <row r="439" spans="1:5">
      <c r="A439" s="30">
        <f>Kaikki!F439</f>
        <v>44268.625</v>
      </c>
      <c r="B439" s="37" t="str">
        <f>Kaikki!G439</f>
        <v/>
      </c>
      <c r="C439">
        <f>Kaikki!A439</f>
        <v>450</v>
      </c>
      <c r="D439">
        <f>HUS!A439</f>
        <v>314</v>
      </c>
      <c r="E439" s="38">
        <f t="shared" si="6"/>
        <v>0.69777777777777783</v>
      </c>
    </row>
    <row r="440" spans="1:5">
      <c r="A440" s="30">
        <f>Kaikki!F440</f>
        <v>44269.625</v>
      </c>
      <c r="B440" s="37" t="str">
        <f>Kaikki!G440</f>
        <v/>
      </c>
      <c r="C440">
        <f>Kaikki!A440</f>
        <v>366</v>
      </c>
      <c r="D440">
        <f>HUS!A440</f>
        <v>244</v>
      </c>
      <c r="E440" s="38">
        <f t="shared" si="6"/>
        <v>0.66666666666666663</v>
      </c>
    </row>
    <row r="441" spans="1:5">
      <c r="A441" s="30">
        <f>Kaikki!F441</f>
        <v>44270.625</v>
      </c>
      <c r="B441" s="37" t="str">
        <f>Kaikki!G441</f>
        <v>2021-W11</v>
      </c>
      <c r="C441">
        <f>Kaikki!A441</f>
        <v>313</v>
      </c>
      <c r="D441">
        <f>HUS!A441</f>
        <v>259</v>
      </c>
      <c r="E441" s="38">
        <f t="shared" si="6"/>
        <v>0.82747603833865813</v>
      </c>
    </row>
    <row r="442" spans="1:5">
      <c r="A442" s="30">
        <f>Kaikki!F442</f>
        <v>44271.40115740741</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topLeftCell="A30" zoomScaleNormal="100" workbookViewId="0">
      <selection activeCell="A39" sqref="A39"/>
    </sheetView>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518</v>
      </c>
      <c r="G5" t="s">
        <v>228</v>
      </c>
      <c r="H5" t="s">
        <v>346</v>
      </c>
      <c r="J5" t="s">
        <v>347</v>
      </c>
      <c r="K5" t="s">
        <v>346</v>
      </c>
      <c r="N5" s="16" t="s">
        <v>303</v>
      </c>
      <c r="Q5" s="16" t="s">
        <v>304</v>
      </c>
      <c r="T5" s="16" t="s">
        <v>305</v>
      </c>
    </row>
    <row r="6" spans="1:485">
      <c r="B6" t="str">
        <f t="shared" ref="B6:B35" ca="1" si="0">IF(WEEKDAY(C6,2)=1,"Ma "&amp;TEXT(C6,"p"),TEXT(C6,"p.k"))</f>
        <v>Ma 15</v>
      </c>
      <c r="C6" s="4">
        <f t="shared" ref="C6:C34" ca="1" si="1">C7-1</f>
        <v>44242</v>
      </c>
      <c r="D6" s="11">
        <f t="shared" ref="D6:D35" ca="1" si="2">SUMIF(aika,"&lt;"&amp;(C6+1),DataN)</f>
        <v>51550</v>
      </c>
      <c r="P6" s="10">
        <v>244</v>
      </c>
    </row>
    <row r="7" spans="1:485" s="10" customFormat="1">
      <c r="B7" t="str">
        <f t="shared" ca="1" si="0"/>
        <v>16.2</v>
      </c>
      <c r="C7" s="9">
        <f t="shared" ca="1" si="1"/>
        <v>44243</v>
      </c>
      <c r="D7" s="10">
        <f t="shared" ca="1" si="2"/>
        <v>52065</v>
      </c>
      <c r="E7" s="10">
        <f t="shared" ref="E7:E35" ca="1" si="3">D7-D6</f>
        <v>515</v>
      </c>
      <c r="F7" s="10">
        <f t="shared" ref="F7:F35" ca="1" si="4">_xlfn.IFNA(E7-G7,"")</f>
        <v>0</v>
      </c>
      <c r="G7" s="10">
        <f ca="1">VLOOKUP(C7,Previous,3,FALSE)</f>
        <v>515</v>
      </c>
      <c r="H7" s="10">
        <f ca="1">SUM(E7:E13)</f>
        <v>3544</v>
      </c>
      <c r="J7" s="10">
        <f ca="1">SUM(E7:E20)</f>
        <v>7766</v>
      </c>
      <c r="L7" s="14"/>
      <c r="N7" s="17">
        <v>44243</v>
      </c>
      <c r="O7" s="10">
        <v>52066</v>
      </c>
      <c r="P7">
        <v>515</v>
      </c>
      <c r="Q7" s="17">
        <v>44243</v>
      </c>
      <c r="R7" s="10">
        <v>52065</v>
      </c>
      <c r="S7" s="10">
        <v>515</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17.2</v>
      </c>
      <c r="C8" s="4">
        <f t="shared" ca="1" si="1"/>
        <v>44244</v>
      </c>
      <c r="D8" s="11">
        <f t="shared" ca="1" si="2"/>
        <v>52615</v>
      </c>
      <c r="E8">
        <f t="shared" ca="1" si="3"/>
        <v>550</v>
      </c>
      <c r="F8" s="11">
        <f t="shared" ca="1" si="4"/>
        <v>0</v>
      </c>
      <c r="G8" s="11">
        <f t="shared" ref="G8:G35" ca="1" si="5">VLOOKUP(C8,Previous,3,FALSE)</f>
        <v>550</v>
      </c>
      <c r="L8" s="3"/>
      <c r="N8" s="16">
        <v>44244</v>
      </c>
      <c r="O8">
        <v>52616</v>
      </c>
      <c r="P8">
        <v>550</v>
      </c>
      <c r="Q8" s="16">
        <v>44244</v>
      </c>
      <c r="R8">
        <v>52615</v>
      </c>
      <c r="S8">
        <v>550</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18.2</v>
      </c>
      <c r="C9" s="4">
        <f t="shared" ca="1" si="1"/>
        <v>44245</v>
      </c>
      <c r="D9" s="11">
        <f t="shared" ca="1" si="2"/>
        <v>53226</v>
      </c>
      <c r="E9">
        <f t="shared" ca="1" si="3"/>
        <v>611</v>
      </c>
      <c r="F9" s="11">
        <f t="shared" ca="1" si="4"/>
        <v>0</v>
      </c>
      <c r="G9" s="11">
        <f t="shared" ca="1" si="5"/>
        <v>611</v>
      </c>
      <c r="L9" s="3"/>
      <c r="N9" s="16">
        <v>44245</v>
      </c>
      <c r="O9">
        <v>53227</v>
      </c>
      <c r="P9">
        <v>611</v>
      </c>
      <c r="Q9" s="16">
        <v>44245</v>
      </c>
      <c r="R9">
        <v>53226</v>
      </c>
      <c r="S9">
        <v>611</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19.2</v>
      </c>
      <c r="C10" s="4">
        <f t="shared" ca="1" si="1"/>
        <v>44246</v>
      </c>
      <c r="D10" s="11">
        <f t="shared" ca="1" si="2"/>
        <v>53799</v>
      </c>
      <c r="E10">
        <f t="shared" ca="1" si="3"/>
        <v>573</v>
      </c>
      <c r="F10" s="11">
        <f t="shared" ca="1" si="4"/>
        <v>2</v>
      </c>
      <c r="G10" s="11">
        <f t="shared" ca="1" si="5"/>
        <v>571</v>
      </c>
      <c r="L10" s="10"/>
      <c r="N10" s="16">
        <v>44246</v>
      </c>
      <c r="O10">
        <v>53798</v>
      </c>
      <c r="P10">
        <v>571</v>
      </c>
      <c r="Q10" s="16">
        <v>44246</v>
      </c>
      <c r="R10">
        <v>53799</v>
      </c>
      <c r="S10">
        <v>573</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20.2</v>
      </c>
      <c r="C11" s="4">
        <f t="shared" ca="1" si="1"/>
        <v>44247</v>
      </c>
      <c r="D11" s="11">
        <f t="shared" ca="1" si="2"/>
        <v>54116</v>
      </c>
      <c r="E11">
        <f t="shared" ca="1" si="3"/>
        <v>317</v>
      </c>
      <c r="F11" s="11">
        <f t="shared" ca="1" si="4"/>
        <v>0</v>
      </c>
      <c r="G11" s="11">
        <f t="shared" ca="1" si="5"/>
        <v>317</v>
      </c>
      <c r="K11" s="10">
        <f ca="1">SUM(E11:E17)</f>
        <v>3828</v>
      </c>
      <c r="L11" s="3"/>
      <c r="N11" s="16">
        <v>44247</v>
      </c>
      <c r="O11">
        <v>54115</v>
      </c>
      <c r="P11">
        <v>317</v>
      </c>
      <c r="Q11" s="16">
        <v>44247</v>
      </c>
      <c r="R11">
        <v>54116</v>
      </c>
      <c r="S11">
        <v>317</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21.2</v>
      </c>
      <c r="C12" s="4">
        <f t="shared" ca="1" si="1"/>
        <v>44248</v>
      </c>
      <c r="D12" s="11">
        <f t="shared" ca="1" si="2"/>
        <v>54471</v>
      </c>
      <c r="E12">
        <f t="shared" ca="1" si="3"/>
        <v>355</v>
      </c>
      <c r="F12" s="11">
        <f t="shared" ca="1" si="4"/>
        <v>0</v>
      </c>
      <c r="G12" s="11">
        <f t="shared" ca="1" si="5"/>
        <v>355</v>
      </c>
      <c r="L12" s="3"/>
      <c r="N12" s="16">
        <v>44248</v>
      </c>
      <c r="O12">
        <v>54470</v>
      </c>
      <c r="P12">
        <v>355</v>
      </c>
      <c r="Q12" s="16">
        <v>44248</v>
      </c>
      <c r="R12">
        <v>54471</v>
      </c>
      <c r="S12">
        <v>355</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Ma 22</v>
      </c>
      <c r="C13" s="4">
        <f t="shared" ca="1" si="1"/>
        <v>44249</v>
      </c>
      <c r="D13" s="11">
        <f t="shared" ca="1" si="2"/>
        <v>55094</v>
      </c>
      <c r="E13">
        <f t="shared" ca="1" si="3"/>
        <v>623</v>
      </c>
      <c r="F13" s="11">
        <f t="shared" ca="1" si="4"/>
        <v>0</v>
      </c>
      <c r="G13" s="11">
        <f t="shared" ca="1" si="5"/>
        <v>623</v>
      </c>
      <c r="H13" s="10"/>
      <c r="L13" s="3"/>
      <c r="N13" s="16">
        <v>44249</v>
      </c>
      <c r="O13">
        <v>55093</v>
      </c>
      <c r="P13" s="10">
        <v>623</v>
      </c>
      <c r="Q13" s="16">
        <v>44249</v>
      </c>
      <c r="R13">
        <v>55094</v>
      </c>
      <c r="S13">
        <v>623</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23.2</v>
      </c>
      <c r="C14" s="9">
        <f t="shared" ca="1" si="1"/>
        <v>44250</v>
      </c>
      <c r="D14" s="10">
        <f t="shared" ca="1" si="2"/>
        <v>55719</v>
      </c>
      <c r="E14" s="10">
        <f t="shared" ca="1" si="3"/>
        <v>625</v>
      </c>
      <c r="F14" s="10">
        <f t="shared" ca="1" si="4"/>
        <v>1</v>
      </c>
      <c r="G14" s="10">
        <f t="shared" ca="1" si="5"/>
        <v>624</v>
      </c>
      <c r="H14" s="10">
        <f ca="1">SUM(E14:E20)</f>
        <v>4222</v>
      </c>
      <c r="I14" s="10" t="str">
        <f ca="1">TEXT(H14/H7-1,"0 %")</f>
        <v>19 %</v>
      </c>
      <c r="L14" s="14"/>
      <c r="M14"/>
      <c r="N14" s="17">
        <v>44250</v>
      </c>
      <c r="O14" s="10">
        <v>55717</v>
      </c>
      <c r="P14">
        <v>624</v>
      </c>
      <c r="Q14" s="17">
        <v>44250</v>
      </c>
      <c r="R14" s="10">
        <v>55719</v>
      </c>
      <c r="S14" s="10">
        <v>625</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24.2</v>
      </c>
      <c r="C15" s="4">
        <f t="shared" ca="1" si="1"/>
        <v>44251</v>
      </c>
      <c r="D15" s="11">
        <f t="shared" ca="1" si="2"/>
        <v>56318</v>
      </c>
      <c r="E15">
        <f t="shared" ca="1" si="3"/>
        <v>599</v>
      </c>
      <c r="F15" s="11">
        <f t="shared" ca="1" si="4"/>
        <v>0</v>
      </c>
      <c r="G15" s="11">
        <f t="shared" ca="1" si="5"/>
        <v>599</v>
      </c>
      <c r="L15" s="3"/>
      <c r="N15" s="16">
        <v>44251</v>
      </c>
      <c r="O15">
        <v>56316</v>
      </c>
      <c r="P15">
        <v>599</v>
      </c>
      <c r="Q15" s="16">
        <v>44251</v>
      </c>
      <c r="R15">
        <v>56318</v>
      </c>
      <c r="S15">
        <v>599</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25.2</v>
      </c>
      <c r="C16" s="4">
        <f t="shared" ca="1" si="1"/>
        <v>44252</v>
      </c>
      <c r="D16" s="11">
        <f t="shared" ca="1" si="2"/>
        <v>56936</v>
      </c>
      <c r="E16">
        <f t="shared" ca="1" si="3"/>
        <v>618</v>
      </c>
      <c r="F16" s="11">
        <f t="shared" ca="1" si="4"/>
        <v>0</v>
      </c>
      <c r="G16" s="11">
        <f t="shared" ca="1" si="5"/>
        <v>618</v>
      </c>
      <c r="L16" s="3"/>
      <c r="N16" s="16">
        <v>44252</v>
      </c>
      <c r="O16">
        <v>56934</v>
      </c>
      <c r="P16">
        <v>618</v>
      </c>
      <c r="Q16" s="16">
        <v>44252</v>
      </c>
      <c r="R16">
        <v>56936</v>
      </c>
      <c r="S16">
        <v>618</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26.2</v>
      </c>
      <c r="C17" s="4">
        <f t="shared" ca="1" si="1"/>
        <v>44253</v>
      </c>
      <c r="D17" s="11">
        <f t="shared" ca="1" si="2"/>
        <v>57627</v>
      </c>
      <c r="E17">
        <f t="shared" ca="1" si="3"/>
        <v>691</v>
      </c>
      <c r="F17" s="11">
        <f t="shared" ca="1" si="4"/>
        <v>0</v>
      </c>
      <c r="G17" s="11">
        <f t="shared" ca="1" si="5"/>
        <v>691</v>
      </c>
      <c r="N17" s="16">
        <v>44253</v>
      </c>
      <c r="O17">
        <v>57625</v>
      </c>
      <c r="P17">
        <v>691</v>
      </c>
      <c r="Q17" s="16">
        <v>44253</v>
      </c>
      <c r="R17">
        <v>57627</v>
      </c>
      <c r="S17">
        <v>691</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27.2</v>
      </c>
      <c r="C18" s="4">
        <f t="shared" ca="1" si="1"/>
        <v>44254</v>
      </c>
      <c r="D18" s="11">
        <f t="shared" ca="1" si="2"/>
        <v>58027</v>
      </c>
      <c r="E18">
        <f t="shared" ca="1" si="3"/>
        <v>400</v>
      </c>
      <c r="F18" s="11">
        <f t="shared" ca="1" si="4"/>
        <v>0</v>
      </c>
      <c r="G18" s="11">
        <f t="shared" ca="1" si="5"/>
        <v>400</v>
      </c>
      <c r="K18" s="10">
        <f ca="1">SUM(E18:E24)</f>
        <v>4407</v>
      </c>
      <c r="L18" s="10" t="str">
        <f ca="1">TEXT(K18/K11-1,"0 %")</f>
        <v>15 %</v>
      </c>
      <c r="N18" s="16">
        <v>44254</v>
      </c>
      <c r="O18">
        <v>58025</v>
      </c>
      <c r="P18">
        <v>400</v>
      </c>
      <c r="Q18" s="16">
        <v>44254</v>
      </c>
      <c r="R18">
        <v>58027</v>
      </c>
      <c r="S18">
        <v>400</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28.2</v>
      </c>
      <c r="C19" s="4">
        <f t="shared" ca="1" si="1"/>
        <v>44255</v>
      </c>
      <c r="D19" s="11">
        <f t="shared" ca="1" si="2"/>
        <v>58447</v>
      </c>
      <c r="E19">
        <f t="shared" ca="1" si="3"/>
        <v>420</v>
      </c>
      <c r="F19" s="11">
        <f t="shared" ca="1" si="4"/>
        <v>0</v>
      </c>
      <c r="G19" s="11">
        <f t="shared" ca="1" si="5"/>
        <v>420</v>
      </c>
      <c r="L19" s="3"/>
      <c r="N19" s="16">
        <v>44255</v>
      </c>
      <c r="O19">
        <v>58445</v>
      </c>
      <c r="P19">
        <v>420</v>
      </c>
      <c r="Q19" s="16">
        <v>44255</v>
      </c>
      <c r="R19">
        <v>58447</v>
      </c>
      <c r="S19">
        <v>420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Ma 1</v>
      </c>
      <c r="C20" s="4">
        <f t="shared" ca="1" si="1"/>
        <v>44256</v>
      </c>
      <c r="D20" s="11">
        <f t="shared" ca="1" si="2"/>
        <v>59316</v>
      </c>
      <c r="E20">
        <f t="shared" ca="1" si="3"/>
        <v>869</v>
      </c>
      <c r="F20" s="11">
        <f t="shared" ca="1" si="4"/>
        <v>1</v>
      </c>
      <c r="G20" s="11">
        <f t="shared" ca="1" si="5"/>
        <v>868</v>
      </c>
      <c r="L20" s="3"/>
      <c r="N20" s="16">
        <v>44256</v>
      </c>
      <c r="O20">
        <v>59313</v>
      </c>
      <c r="P20" s="10">
        <v>868</v>
      </c>
      <c r="Q20" s="16">
        <v>44256</v>
      </c>
      <c r="R20">
        <v>59316</v>
      </c>
      <c r="S20">
        <v>869</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2.3</v>
      </c>
      <c r="C21" s="9">
        <f t="shared" ca="1" si="1"/>
        <v>44257</v>
      </c>
      <c r="D21" s="10">
        <f t="shared" ca="1" si="2"/>
        <v>60073</v>
      </c>
      <c r="E21" s="10">
        <f t="shared" ca="1" si="3"/>
        <v>757</v>
      </c>
      <c r="F21" s="10">
        <f t="shared" ca="1" si="4"/>
        <v>1</v>
      </c>
      <c r="G21" s="10">
        <f t="shared" ca="1" si="5"/>
        <v>756</v>
      </c>
      <c r="H21" s="10">
        <f ca="1">SUM(E21:E27)</f>
        <v>4372</v>
      </c>
      <c r="I21" s="10" t="str">
        <f ca="1">TEXT(H21/H14-1,"0 %")</f>
        <v>4 %</v>
      </c>
      <c r="J21" s="10">
        <f ca="1">SUM(E21:E34)</f>
        <v>8535</v>
      </c>
      <c r="L21" s="14"/>
      <c r="M21"/>
      <c r="N21" s="17">
        <v>44257</v>
      </c>
      <c r="O21" s="10">
        <v>60069</v>
      </c>
      <c r="P21">
        <v>756</v>
      </c>
      <c r="Q21" s="17">
        <v>44257</v>
      </c>
      <c r="R21" s="10">
        <v>60073</v>
      </c>
      <c r="S21" s="10">
        <v>757</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3.3</v>
      </c>
      <c r="C22" s="4">
        <f t="shared" ca="1" si="1"/>
        <v>44258</v>
      </c>
      <c r="D22" s="11">
        <f t="shared" ca="1" si="2"/>
        <v>60810</v>
      </c>
      <c r="E22">
        <f t="shared" ca="1" si="3"/>
        <v>737</v>
      </c>
      <c r="F22" s="11">
        <f t="shared" ca="1" si="4"/>
        <v>0</v>
      </c>
      <c r="G22" s="11">
        <f t="shared" ca="1" si="5"/>
        <v>737</v>
      </c>
      <c r="H22" s="10"/>
      <c r="L22" s="3"/>
      <c r="N22" s="16">
        <v>44258</v>
      </c>
      <c r="O22">
        <v>60806</v>
      </c>
      <c r="P22">
        <v>737</v>
      </c>
      <c r="Q22" s="16">
        <v>44258</v>
      </c>
      <c r="R22">
        <v>60810</v>
      </c>
      <c r="S22">
        <v>737</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4.3</v>
      </c>
      <c r="C23" s="4">
        <f t="shared" ca="1" si="1"/>
        <v>44259</v>
      </c>
      <c r="D23" s="11">
        <f t="shared" ca="1" si="2"/>
        <v>61434</v>
      </c>
      <c r="E23">
        <f t="shared" ca="1" si="3"/>
        <v>624</v>
      </c>
      <c r="F23" s="11">
        <f t="shared" ca="1" si="4"/>
        <v>-1</v>
      </c>
      <c r="G23" s="11">
        <f t="shared" ca="1" si="5"/>
        <v>625</v>
      </c>
      <c r="K23" s="13"/>
      <c r="L23" s="3"/>
      <c r="N23" s="16">
        <v>44259</v>
      </c>
      <c r="O23">
        <v>61431</v>
      </c>
      <c r="P23">
        <v>625</v>
      </c>
      <c r="Q23" s="16">
        <v>44259</v>
      </c>
      <c r="R23">
        <v>61434</v>
      </c>
      <c r="S23">
        <v>624</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5.3</v>
      </c>
      <c r="C24" s="4">
        <f t="shared" ca="1" si="1"/>
        <v>44260</v>
      </c>
      <c r="D24" s="11">
        <f t="shared" ca="1" si="2"/>
        <v>62034</v>
      </c>
      <c r="E24">
        <f t="shared" ca="1" si="3"/>
        <v>600</v>
      </c>
      <c r="F24" s="11">
        <f t="shared" ca="1" si="4"/>
        <v>0</v>
      </c>
      <c r="G24" s="11">
        <f t="shared" ca="1" si="5"/>
        <v>600</v>
      </c>
      <c r="N24" s="16">
        <v>44260</v>
      </c>
      <c r="O24">
        <v>62031</v>
      </c>
      <c r="P24">
        <v>600</v>
      </c>
      <c r="Q24" s="16">
        <v>44260</v>
      </c>
      <c r="R24">
        <v>62034</v>
      </c>
      <c r="S24">
        <v>600</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6.3</v>
      </c>
      <c r="C25" s="4">
        <f t="shared" ca="1" si="1"/>
        <v>44261</v>
      </c>
      <c r="D25" s="11">
        <f t="shared" ca="1" si="2"/>
        <v>62469</v>
      </c>
      <c r="E25">
        <f t="shared" ca="1" si="3"/>
        <v>435</v>
      </c>
      <c r="F25" s="11">
        <f t="shared" ca="1" si="4"/>
        <v>1</v>
      </c>
      <c r="G25" s="11">
        <f t="shared" ca="1" si="5"/>
        <v>434</v>
      </c>
      <c r="J25" s="10"/>
      <c r="K25" s="10">
        <f ca="1">SUM(E25:E31)</f>
        <v>4688</v>
      </c>
      <c r="L25" s="10" t="str">
        <f ca="1">TEXT(K25/K18-1,"0 %")</f>
        <v>6 %</v>
      </c>
      <c r="N25" s="16">
        <v>44261</v>
      </c>
      <c r="O25">
        <v>62465</v>
      </c>
      <c r="P25">
        <v>434</v>
      </c>
      <c r="Q25" s="16">
        <v>44261</v>
      </c>
      <c r="R25">
        <v>62469</v>
      </c>
      <c r="S25">
        <v>435</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7.3</v>
      </c>
      <c r="C26" s="4">
        <f t="shared" ca="1" si="1"/>
        <v>44262</v>
      </c>
      <c r="D26" s="11">
        <f t="shared" ca="1" si="2"/>
        <v>62860</v>
      </c>
      <c r="E26">
        <f t="shared" ca="1" si="3"/>
        <v>391</v>
      </c>
      <c r="F26" s="11">
        <f t="shared" ca="1" si="4"/>
        <v>2</v>
      </c>
      <c r="G26" s="11">
        <f t="shared" ca="1" si="5"/>
        <v>389</v>
      </c>
      <c r="L26" s="3"/>
      <c r="N26" s="16">
        <v>44262</v>
      </c>
      <c r="O26">
        <v>62854</v>
      </c>
      <c r="P26">
        <v>389</v>
      </c>
      <c r="Q26" s="16">
        <v>44262</v>
      </c>
      <c r="R26">
        <v>62860</v>
      </c>
      <c r="S26">
        <v>391</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Ma 8</v>
      </c>
      <c r="C27" s="4">
        <f t="shared" ca="1" si="1"/>
        <v>44263</v>
      </c>
      <c r="D27" s="11">
        <f t="shared" ca="1" si="2"/>
        <v>63688</v>
      </c>
      <c r="E27">
        <f t="shared" ca="1" si="3"/>
        <v>828</v>
      </c>
      <c r="F27" s="11">
        <f t="shared" ca="1" si="4"/>
        <v>0</v>
      </c>
      <c r="G27" s="11">
        <f t="shared" ca="1" si="5"/>
        <v>828</v>
      </c>
      <c r="K27" s="13"/>
      <c r="L27" s="3"/>
      <c r="N27" s="16">
        <v>44263</v>
      </c>
      <c r="O27">
        <v>63682</v>
      </c>
      <c r="P27" s="10">
        <v>828</v>
      </c>
      <c r="Q27" s="16">
        <v>44263</v>
      </c>
      <c r="R27">
        <v>63688</v>
      </c>
      <c r="S27">
        <v>828</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9.3</v>
      </c>
      <c r="C28" s="9">
        <f t="shared" ca="1" si="1"/>
        <v>44264</v>
      </c>
      <c r="D28" s="10">
        <f t="shared" ca="1" si="2"/>
        <v>64430</v>
      </c>
      <c r="E28" s="10">
        <f t="shared" ca="1" si="3"/>
        <v>742</v>
      </c>
      <c r="F28" s="10">
        <f t="shared" ca="1" si="4"/>
        <v>1</v>
      </c>
      <c r="G28" s="10">
        <f t="shared" ca="1" si="5"/>
        <v>741</v>
      </c>
      <c r="H28" s="10">
        <f ca="1">SUM(E28:E34)</f>
        <v>4163</v>
      </c>
      <c r="I28" s="10" t="str">
        <f ca="1">TEXT(H28/H21-1,"0 %")</f>
        <v>-5 %</v>
      </c>
      <c r="L28" s="14"/>
      <c r="M28"/>
      <c r="N28" s="17">
        <v>44264</v>
      </c>
      <c r="O28" s="10">
        <v>64423</v>
      </c>
      <c r="P28">
        <v>741</v>
      </c>
      <c r="Q28" s="17">
        <v>44264</v>
      </c>
      <c r="R28" s="10">
        <v>64430</v>
      </c>
      <c r="S28" s="10">
        <v>742</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10.3</v>
      </c>
      <c r="C29" s="4">
        <f t="shared" ca="1" si="1"/>
        <v>44265</v>
      </c>
      <c r="D29" s="11">
        <f t="shared" ca="1" si="2"/>
        <v>65205</v>
      </c>
      <c r="E29">
        <f t="shared" ca="1" si="3"/>
        <v>775</v>
      </c>
      <c r="F29" s="11">
        <f t="shared" ca="1" si="4"/>
        <v>3</v>
      </c>
      <c r="G29" s="11">
        <f t="shared" ca="1" si="5"/>
        <v>772</v>
      </c>
      <c r="I29" s="10"/>
      <c r="K29" s="13"/>
      <c r="L29" s="3"/>
      <c r="N29" s="16">
        <v>44265</v>
      </c>
      <c r="O29">
        <v>65195</v>
      </c>
      <c r="P29">
        <v>772</v>
      </c>
      <c r="Q29" s="16">
        <v>44265</v>
      </c>
      <c r="R29">
        <v>65205</v>
      </c>
      <c r="S29">
        <v>775</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11.3</v>
      </c>
      <c r="C30" s="4">
        <f t="shared" ca="1" si="1"/>
        <v>44266</v>
      </c>
      <c r="D30" s="11">
        <f t="shared" ca="1" si="2"/>
        <v>65948</v>
      </c>
      <c r="E30">
        <f t="shared" ca="1" si="3"/>
        <v>743</v>
      </c>
      <c r="F30" s="11">
        <f t="shared" ca="1" si="4"/>
        <v>7</v>
      </c>
      <c r="G30" s="11">
        <f t="shared" ca="1" si="5"/>
        <v>736</v>
      </c>
      <c r="K30" s="4"/>
      <c r="L30" s="3"/>
      <c r="N30" s="16">
        <v>44266</v>
      </c>
      <c r="O30">
        <v>65931</v>
      </c>
      <c r="P30">
        <v>736</v>
      </c>
      <c r="Q30" s="16">
        <v>44266</v>
      </c>
      <c r="R30">
        <v>65948</v>
      </c>
      <c r="S30">
        <v>743</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12.3</v>
      </c>
      <c r="C31" s="4">
        <f t="shared" ca="1" si="1"/>
        <v>44267</v>
      </c>
      <c r="D31" s="11">
        <f t="shared" ca="1" si="2"/>
        <v>66722</v>
      </c>
      <c r="E31">
        <f t="shared" ca="1" si="3"/>
        <v>774</v>
      </c>
      <c r="F31" s="11">
        <f t="shared" ca="1" si="4"/>
        <v>20</v>
      </c>
      <c r="G31" s="11">
        <f t="shared" ca="1" si="5"/>
        <v>754</v>
      </c>
      <c r="K31" s="4"/>
      <c r="L31" s="3"/>
      <c r="N31" s="16">
        <v>44267</v>
      </c>
      <c r="O31">
        <v>66685</v>
      </c>
      <c r="P31">
        <v>754</v>
      </c>
      <c r="Q31" s="16">
        <v>44267</v>
      </c>
      <c r="R31">
        <v>66722</v>
      </c>
      <c r="S31">
        <v>774</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13.3</v>
      </c>
      <c r="C32" s="4">
        <f t="shared" ca="1" si="1"/>
        <v>44268</v>
      </c>
      <c r="D32" s="11">
        <f t="shared" ca="1" si="2"/>
        <v>67172</v>
      </c>
      <c r="E32">
        <f t="shared" ca="1" si="3"/>
        <v>450</v>
      </c>
      <c r="F32" s="11">
        <f t="shared" ca="1" si="4"/>
        <v>54</v>
      </c>
      <c r="G32" s="11">
        <f t="shared" ca="1" si="5"/>
        <v>396</v>
      </c>
      <c r="K32" s="4"/>
      <c r="L32" s="3"/>
      <c r="N32" s="16">
        <v>44268</v>
      </c>
      <c r="O32">
        <v>67081</v>
      </c>
      <c r="P32">
        <v>396</v>
      </c>
      <c r="Q32" s="16">
        <v>44268</v>
      </c>
      <c r="R32">
        <v>67172</v>
      </c>
      <c r="S32">
        <v>450</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14.3</v>
      </c>
      <c r="C33" s="4">
        <f t="shared" ca="1" si="1"/>
        <v>44269</v>
      </c>
      <c r="D33" s="11">
        <f t="shared" ca="1" si="2"/>
        <v>67538</v>
      </c>
      <c r="E33">
        <f t="shared" ca="1" si="3"/>
        <v>366</v>
      </c>
      <c r="F33" s="11">
        <f t="shared" ca="1" si="4"/>
        <v>113</v>
      </c>
      <c r="G33" s="11">
        <f t="shared" ca="1" si="5"/>
        <v>253</v>
      </c>
      <c r="K33" s="4"/>
      <c r="L33" s="3"/>
      <c r="N33" s="16">
        <v>44269</v>
      </c>
      <c r="O33">
        <v>67334</v>
      </c>
      <c r="P33">
        <v>253</v>
      </c>
      <c r="Q33" s="16">
        <v>44269</v>
      </c>
      <c r="R33">
        <v>67538</v>
      </c>
      <c r="S33">
        <v>366</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Ma 15</v>
      </c>
      <c r="C34" s="9">
        <f t="shared" ca="1" si="1"/>
        <v>44270</v>
      </c>
      <c r="D34" s="10">
        <f t="shared" ca="1" si="2"/>
        <v>67851</v>
      </c>
      <c r="E34" s="10">
        <f t="shared" ca="1" si="3"/>
        <v>313</v>
      </c>
      <c r="F34" s="10">
        <f t="shared" ca="1" si="4"/>
        <v>313</v>
      </c>
      <c r="G34" s="10">
        <f t="shared" ca="1" si="5"/>
        <v>0</v>
      </c>
      <c r="K34" s="9"/>
      <c r="L34" s="14"/>
      <c r="N34" s="17">
        <v>44270</v>
      </c>
      <c r="O34" s="10">
        <v>67334</v>
      </c>
      <c r="P34" s="10">
        <v>0</v>
      </c>
      <c r="Q34" s="17">
        <v>44270</v>
      </c>
      <c r="R34" s="10">
        <v>67851</v>
      </c>
      <c r="S34" s="10">
        <v>313</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16.3</v>
      </c>
      <c r="C35" s="12">
        <f ca="1">FLOOR(NOW(),1)</f>
        <v>44271</v>
      </c>
      <c r="D35" s="11">
        <f t="shared" ca="1" si="2"/>
        <v>67851</v>
      </c>
      <c r="E35" s="11">
        <f t="shared" ca="1" si="3"/>
        <v>0</v>
      </c>
      <c r="F35" s="11">
        <f t="shared" ca="1" si="4"/>
        <v>0</v>
      </c>
      <c r="G35" s="11">
        <f t="shared" ca="1" si="5"/>
        <v>0</v>
      </c>
      <c r="N35" s="16">
        <v>44271</v>
      </c>
      <c r="O35">
        <v>67334</v>
      </c>
      <c r="P35" s="11">
        <v>0</v>
      </c>
      <c r="Q35" s="16">
        <v>44271</v>
      </c>
      <c r="R35">
        <v>67851</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44271</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517</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-67334</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44271</v>
      </c>
      <c r="C40">
        <f t="shared" ref="C40:C47" ca="1" si="6">HLOOKUP(B40,$36:$37,2,FALSE)</f>
        <v>517</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44264</v>
      </c>
      <c r="C41">
        <f t="shared" si="6"/>
        <v>588</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44257</v>
      </c>
      <c r="C42">
        <f t="shared" si="6"/>
        <v>392</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44250</v>
      </c>
      <c r="C43">
        <f t="shared" si="6"/>
        <v>400</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44243</v>
      </c>
      <c r="C44">
        <f t="shared" si="6"/>
        <v>385</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44236</v>
      </c>
      <c r="C45">
        <f t="shared" si="6"/>
        <v>438</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44229</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44222</v>
      </c>
      <c r="C47">
        <f t="shared" si="6"/>
        <v>3179</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44267.625</v>
      </c>
      <c r="C50">
        <f>DMAX(_xlnm.Database,"n",B49:B50)</f>
        <v>774</v>
      </c>
      <c r="D50" s="21">
        <f>B50</f>
        <v>44267.625</v>
      </c>
      <c r="E50">
        <f>C50</f>
        <v>774</v>
      </c>
      <c r="F50" s="13">
        <f>B50-1</f>
        <v>44266.625</v>
      </c>
      <c r="G50">
        <f>DMAX(_xlnm.Database,"n",F49:F50)</f>
        <v>743</v>
      </c>
      <c r="H50" s="21">
        <f>F50</f>
        <v>44266.625</v>
      </c>
      <c r="I50">
        <f>G50</f>
        <v>743</v>
      </c>
      <c r="J50" s="13">
        <f>F50-1</f>
        <v>44265.625</v>
      </c>
      <c r="K50">
        <f>DMAX(_xlnm.Database,"n",J49:J50)</f>
        <v>775</v>
      </c>
      <c r="L50" s="21">
        <f>J50</f>
        <v>44265.625</v>
      </c>
      <c r="M50">
        <f>K50</f>
        <v>775</v>
      </c>
      <c r="N50" s="22">
        <f>J50-1</f>
        <v>44264.625</v>
      </c>
      <c r="O50">
        <f>DMAX(_xlnm.Database,"n",N49:N50)</f>
        <v>742</v>
      </c>
      <c r="P50" s="21">
        <f>N50</f>
        <v>44264.625</v>
      </c>
      <c r="Q50">
        <f>O50</f>
        <v>742</v>
      </c>
      <c r="R50" s="22">
        <f>N50-1</f>
        <v>44263.625</v>
      </c>
      <c r="S50">
        <f>DMAX(_xlnm.Database,"n",R49:R50)</f>
        <v>828</v>
      </c>
      <c r="T50" s="21">
        <f>R50</f>
        <v>44263.625</v>
      </c>
      <c r="U50">
        <f>S50</f>
        <v>828</v>
      </c>
      <c r="V50" s="22">
        <f>R50-1</f>
        <v>44262.625</v>
      </c>
      <c r="W50">
        <f>DMAX(_xlnm.Database,"n",V49:V50)</f>
        <v>391</v>
      </c>
      <c r="X50" s="21">
        <f>V50</f>
        <v>44262.625</v>
      </c>
      <c r="Y50">
        <f>W50</f>
        <v>391</v>
      </c>
      <c r="Z50" s="22">
        <f>V50-1</f>
        <v>44261.625</v>
      </c>
      <c r="AA50">
        <f>DMAX(_xlnm.Database,"n",Z49:Z50)</f>
        <v>435</v>
      </c>
      <c r="AB50" s="21">
        <f>Z50</f>
        <v>44261.625</v>
      </c>
      <c r="AC50">
        <f>AA50</f>
        <v>435</v>
      </c>
      <c r="AD50" s="22">
        <f>Z50-1</f>
        <v>44260.625</v>
      </c>
      <c r="AE50">
        <f>DMAX(_xlnm.Database,"n",AD49:AD50)</f>
        <v>600</v>
      </c>
      <c r="AF50" s="21">
        <f>AD50</f>
        <v>44260.625</v>
      </c>
      <c r="AG50">
        <f>AE50</f>
        <v>600</v>
      </c>
      <c r="AH50" s="16"/>
      <c r="AI50"/>
      <c r="AK50" s="16"/>
      <c r="AL50"/>
      <c r="AN50" s="16"/>
      <c r="AO50"/>
      <c r="AQ50" s="16"/>
      <c r="AR50"/>
      <c r="AT50" s="16"/>
    </row>
    <row r="51" spans="2:46">
      <c r="B51" s="13" t="s">
        <v>7</v>
      </c>
      <c r="D51" s="16">
        <f>D50-7</f>
        <v>44260.625</v>
      </c>
      <c r="E51">
        <f>C52</f>
        <v>600</v>
      </c>
      <c r="F51" s="13" t="s">
        <v>7</v>
      </c>
      <c r="H51" s="16">
        <f>H50-7</f>
        <v>44259.625</v>
      </c>
      <c r="I51">
        <f>G52</f>
        <v>624</v>
      </c>
      <c r="J51" s="13" t="s">
        <v>7</v>
      </c>
      <c r="L51" s="16">
        <f>L50-7</f>
        <v>44258.625</v>
      </c>
      <c r="M51">
        <f>K52</f>
        <v>737</v>
      </c>
      <c r="N51" t="s">
        <v>7</v>
      </c>
      <c r="P51" s="16">
        <f>P50-7</f>
        <v>44257.625</v>
      </c>
      <c r="Q51">
        <f>O52</f>
        <v>757</v>
      </c>
      <c r="R51" t="s">
        <v>7</v>
      </c>
      <c r="T51" s="16">
        <f>T50-7</f>
        <v>44256.625</v>
      </c>
      <c r="U51">
        <f>S52</f>
        <v>869</v>
      </c>
      <c r="V51" t="s">
        <v>7</v>
      </c>
      <c r="W51"/>
      <c r="X51" s="16">
        <f>X50-7</f>
        <v>44255.625</v>
      </c>
      <c r="Y51">
        <f>W52</f>
        <v>420</v>
      </c>
      <c r="Z51" t="s">
        <v>7</v>
      </c>
      <c r="AB51" s="16">
        <f>AB50-7</f>
        <v>44254.625</v>
      </c>
      <c r="AC51">
        <f>AA52</f>
        <v>400</v>
      </c>
      <c r="AD51" t="s">
        <v>7</v>
      </c>
      <c r="AF51" s="16">
        <f>AF50-7</f>
        <v>44253.625</v>
      </c>
      <c r="AG51">
        <f>AE52</f>
        <v>691</v>
      </c>
      <c r="AH51" s="16"/>
      <c r="AI51"/>
      <c r="AK51" s="16"/>
      <c r="AL51"/>
      <c r="AN51" s="16"/>
      <c r="AO51"/>
      <c r="AQ51" s="16"/>
      <c r="AR51"/>
      <c r="AT51" s="16"/>
    </row>
    <row r="52" spans="2:46">
      <c r="B52" s="13">
        <f>B50-7</f>
        <v>44260.625</v>
      </c>
      <c r="C52">
        <f>DMAX(_xlnm.Database,"n",B51:B52)</f>
        <v>600</v>
      </c>
      <c r="D52" s="16">
        <f t="shared" ref="D52:D59" si="8">D51-7</f>
        <v>44253.625</v>
      </c>
      <c r="E52">
        <f>C54</f>
        <v>691</v>
      </c>
      <c r="F52" s="13">
        <f>F50-7</f>
        <v>44259.625</v>
      </c>
      <c r="G52">
        <f>DMAX(_xlnm.Database,"n",F51:F52)</f>
        <v>624</v>
      </c>
      <c r="H52" s="16">
        <f t="shared" ref="H52:H59" si="9">H51-7</f>
        <v>44252.625</v>
      </c>
      <c r="I52">
        <f>G54</f>
        <v>618</v>
      </c>
      <c r="J52" s="13">
        <f>J50-7</f>
        <v>44258.625</v>
      </c>
      <c r="K52">
        <f>DMAX(_xlnm.Database,"n",J51:J52)</f>
        <v>737</v>
      </c>
      <c r="L52" s="16">
        <f t="shared" ref="L52:L59" si="10">L51-7</f>
        <v>44251.625</v>
      </c>
      <c r="M52">
        <f>K54</f>
        <v>599</v>
      </c>
      <c r="N52" s="22">
        <f>N50-7</f>
        <v>44257.625</v>
      </c>
      <c r="O52">
        <f>DMAX(_xlnm.Database,"n",N51:N52)</f>
        <v>757</v>
      </c>
      <c r="P52" s="16">
        <f t="shared" ref="P52:P59" si="11">P51-7</f>
        <v>44250.625</v>
      </c>
      <c r="Q52">
        <f>O54</f>
        <v>625</v>
      </c>
      <c r="R52" s="22">
        <f>R50-7</f>
        <v>44256.625</v>
      </c>
      <c r="S52">
        <f>DMAX(_xlnm.Database,"n",R51:R52)</f>
        <v>869</v>
      </c>
      <c r="T52" s="16">
        <f t="shared" ref="T52:T59" si="12">T51-7</f>
        <v>44249.625</v>
      </c>
      <c r="U52">
        <f>S54</f>
        <v>623</v>
      </c>
      <c r="V52" s="22">
        <f>V50-7</f>
        <v>44255.625</v>
      </c>
      <c r="W52">
        <f>DMAX(_xlnm.Database,"n",V51:V52)</f>
        <v>420</v>
      </c>
      <c r="X52" s="16">
        <f t="shared" ref="X52:X59" si="13">X51-7</f>
        <v>44248.625</v>
      </c>
      <c r="Y52">
        <f>W54</f>
        <v>355</v>
      </c>
      <c r="Z52" s="22">
        <f>Z50-7</f>
        <v>44254.625</v>
      </c>
      <c r="AA52">
        <f>DMAX(_xlnm.Database,"n",Z51:Z52)</f>
        <v>400</v>
      </c>
      <c r="AB52" s="16">
        <f t="shared" ref="AB52:AB59" si="14">AB51-7</f>
        <v>44247.625</v>
      </c>
      <c r="AC52">
        <f>AA54</f>
        <v>317</v>
      </c>
      <c r="AD52" s="22">
        <f>AD50-7</f>
        <v>44253.625</v>
      </c>
      <c r="AE52">
        <f>DMAX(_xlnm.Database,"n",AD51:AD52)</f>
        <v>691</v>
      </c>
      <c r="AF52" s="16">
        <f t="shared" ref="AF52:AF59" si="15">AF51-7</f>
        <v>44246.625</v>
      </c>
      <c r="AG52">
        <f>AE54</f>
        <v>573</v>
      </c>
      <c r="AH52" s="16"/>
      <c r="AI52"/>
      <c r="AK52" s="16"/>
      <c r="AL52"/>
      <c r="AN52" s="16"/>
      <c r="AO52"/>
      <c r="AQ52" s="16"/>
      <c r="AR52"/>
      <c r="AT52" s="16"/>
    </row>
    <row r="53" spans="2:46">
      <c r="B53" s="13" t="s">
        <v>7</v>
      </c>
      <c r="D53" s="16">
        <f t="shared" si="8"/>
        <v>44246.625</v>
      </c>
      <c r="E53">
        <f>C56</f>
        <v>573</v>
      </c>
      <c r="F53" s="13" t="s">
        <v>7</v>
      </c>
      <c r="H53" s="16">
        <f t="shared" si="9"/>
        <v>44245.625</v>
      </c>
      <c r="I53">
        <f>G56</f>
        <v>611</v>
      </c>
      <c r="J53" s="13" t="s">
        <v>7</v>
      </c>
      <c r="L53" s="16">
        <f t="shared" si="10"/>
        <v>44244.625</v>
      </c>
      <c r="M53">
        <f>K56</f>
        <v>550</v>
      </c>
      <c r="N53" t="s">
        <v>7</v>
      </c>
      <c r="P53" s="16">
        <f t="shared" si="11"/>
        <v>44243.625</v>
      </c>
      <c r="Q53">
        <f>O56</f>
        <v>515</v>
      </c>
      <c r="R53" t="s">
        <v>7</v>
      </c>
      <c r="T53" s="16">
        <f t="shared" si="12"/>
        <v>44242.625</v>
      </c>
      <c r="U53">
        <f>S56</f>
        <v>615</v>
      </c>
      <c r="V53" t="s">
        <v>7</v>
      </c>
      <c r="W53"/>
      <c r="X53" s="16">
        <f t="shared" si="13"/>
        <v>44241.625</v>
      </c>
      <c r="Y53">
        <f>W56</f>
        <v>281</v>
      </c>
      <c r="Z53" t="s">
        <v>7</v>
      </c>
      <c r="AB53" s="16">
        <f t="shared" si="14"/>
        <v>44240.625</v>
      </c>
      <c r="AC53">
        <f>AA56</f>
        <v>277</v>
      </c>
      <c r="AD53" t="s">
        <v>7</v>
      </c>
      <c r="AF53" s="16">
        <f t="shared" si="15"/>
        <v>44239.625</v>
      </c>
      <c r="AG53">
        <f>AE56</f>
        <v>418</v>
      </c>
      <c r="AH53" s="16"/>
      <c r="AI53"/>
      <c r="AK53" s="16"/>
      <c r="AL53"/>
      <c r="AN53" s="16"/>
      <c r="AO53"/>
      <c r="AQ53" s="16"/>
      <c r="AR53"/>
      <c r="AT53" s="16"/>
    </row>
    <row r="54" spans="2:46">
      <c r="B54" s="13">
        <f>B52-7</f>
        <v>44253.625</v>
      </c>
      <c r="C54">
        <f>DMAX(_xlnm.Database,"n",B53:B54)</f>
        <v>691</v>
      </c>
      <c r="D54" s="16">
        <f t="shared" si="8"/>
        <v>44239.625</v>
      </c>
      <c r="E54">
        <f>C58</f>
        <v>418</v>
      </c>
      <c r="F54" s="13">
        <f>F52-7</f>
        <v>44252.625</v>
      </c>
      <c r="G54">
        <f>DMAX(_xlnm.Database,"n",F53:F54)</f>
        <v>618</v>
      </c>
      <c r="H54" s="16">
        <f t="shared" si="9"/>
        <v>44238.625</v>
      </c>
      <c r="I54">
        <f>G58</f>
        <v>356</v>
      </c>
      <c r="J54" s="13">
        <f>J52-7</f>
        <v>44251.625</v>
      </c>
      <c r="K54">
        <f>DMAX(_xlnm.Database,"n",J53:J54)</f>
        <v>599</v>
      </c>
      <c r="L54" s="16">
        <f t="shared" si="10"/>
        <v>44237.625</v>
      </c>
      <c r="M54">
        <f>K58</f>
        <v>383</v>
      </c>
      <c r="N54" s="22">
        <f>N52-7</f>
        <v>44250.625</v>
      </c>
      <c r="O54">
        <f>DMAX(_xlnm.Database,"n",N53:N54)</f>
        <v>625</v>
      </c>
      <c r="P54" s="16">
        <f t="shared" si="11"/>
        <v>44236.625</v>
      </c>
      <c r="Q54">
        <f>O58</f>
        <v>371</v>
      </c>
      <c r="R54" s="22">
        <f>R52-7</f>
        <v>44249.625</v>
      </c>
      <c r="S54">
        <f>DMAX(_xlnm.Database,"n",R53:R54)</f>
        <v>623</v>
      </c>
      <c r="T54" s="16">
        <f t="shared" si="12"/>
        <v>44235.625</v>
      </c>
      <c r="U54">
        <f>S58</f>
        <v>459</v>
      </c>
      <c r="V54" s="22">
        <f>V52-7</f>
        <v>44248.625</v>
      </c>
      <c r="W54">
        <f>DMAX(_xlnm.Database,"n",V53:V54)</f>
        <v>355</v>
      </c>
      <c r="X54" s="16">
        <f t="shared" si="13"/>
        <v>44234.625</v>
      </c>
      <c r="Y54">
        <f>W58</f>
        <v>263</v>
      </c>
      <c r="Z54" s="22">
        <f>Z52-7</f>
        <v>44247.625</v>
      </c>
      <c r="AA54">
        <f>DMAX(_xlnm.Database,"n",Z53:Z54)</f>
        <v>317</v>
      </c>
      <c r="AB54" s="16">
        <f t="shared" si="14"/>
        <v>44233.625</v>
      </c>
      <c r="AC54">
        <f>AA58</f>
        <v>239</v>
      </c>
      <c r="AD54" s="22">
        <f>AD52-7</f>
        <v>44246.625</v>
      </c>
      <c r="AE54">
        <f>DMAX(_xlnm.Database,"n",AD53:AD54)</f>
        <v>573</v>
      </c>
      <c r="AF54" s="16">
        <f t="shared" si="15"/>
        <v>44232.625</v>
      </c>
      <c r="AG54">
        <f>AE58</f>
        <v>367</v>
      </c>
      <c r="AH54" s="16"/>
      <c r="AI54"/>
      <c r="AK54" s="16"/>
      <c r="AL54"/>
      <c r="AN54" s="16"/>
      <c r="AO54"/>
      <c r="AQ54" s="16"/>
      <c r="AR54"/>
      <c r="AT54" s="16"/>
    </row>
    <row r="55" spans="2:46">
      <c r="B55" s="13" t="s">
        <v>7</v>
      </c>
      <c r="D55" s="16">
        <f t="shared" si="8"/>
        <v>44232.625</v>
      </c>
      <c r="E55">
        <f>C60</f>
        <v>367</v>
      </c>
      <c r="F55" s="13" t="s">
        <v>7</v>
      </c>
      <c r="H55" s="16">
        <f t="shared" si="9"/>
        <v>44231.625</v>
      </c>
      <c r="I55">
        <f>G60</f>
        <v>370</v>
      </c>
      <c r="J55" s="13" t="s">
        <v>7</v>
      </c>
      <c r="L55" s="16">
        <f t="shared" si="10"/>
        <v>44230.625</v>
      </c>
      <c r="M55">
        <f>K60</f>
        <v>441</v>
      </c>
      <c r="N55" t="s">
        <v>7</v>
      </c>
      <c r="P55" s="16">
        <f t="shared" si="11"/>
        <v>44229.625</v>
      </c>
      <c r="Q55">
        <f>O60</f>
        <v>395</v>
      </c>
      <c r="R55" t="s">
        <v>7</v>
      </c>
      <c r="T55" s="16">
        <f t="shared" si="12"/>
        <v>44228.625</v>
      </c>
      <c r="U55">
        <f>S60</f>
        <v>533</v>
      </c>
      <c r="V55" t="s">
        <v>7</v>
      </c>
      <c r="W55"/>
      <c r="X55" s="16">
        <f t="shared" si="13"/>
        <v>44227.625</v>
      </c>
      <c r="Y55">
        <f>W60</f>
        <v>272</v>
      </c>
      <c r="Z55" t="s">
        <v>7</v>
      </c>
      <c r="AB55" s="16">
        <f t="shared" si="14"/>
        <v>44226.625</v>
      </c>
      <c r="AC55">
        <f>AA60</f>
        <v>232</v>
      </c>
      <c r="AD55" t="s">
        <v>7</v>
      </c>
      <c r="AF55" s="16">
        <f t="shared" si="15"/>
        <v>44225.625</v>
      </c>
      <c r="AG55">
        <f>AE60</f>
        <v>375</v>
      </c>
      <c r="AH55" s="16"/>
      <c r="AI55"/>
      <c r="AK55" s="16"/>
      <c r="AL55"/>
      <c r="AN55" s="16"/>
      <c r="AO55"/>
      <c r="AQ55" s="16"/>
      <c r="AR55"/>
      <c r="AT55" s="16"/>
    </row>
    <row r="56" spans="2:46">
      <c r="B56" s="13">
        <f>B54-7</f>
        <v>44246.625</v>
      </c>
      <c r="C56">
        <f>DMAX(_xlnm.Database,"n",B55:B56)</f>
        <v>573</v>
      </c>
      <c r="D56" s="16">
        <f t="shared" si="8"/>
        <v>44225.625</v>
      </c>
      <c r="E56">
        <f>C62</f>
        <v>375</v>
      </c>
      <c r="F56" s="13">
        <f>F54-7</f>
        <v>44245.625</v>
      </c>
      <c r="G56">
        <f>DMAX(_xlnm.Database,"n",F55:F56)</f>
        <v>611</v>
      </c>
      <c r="H56" s="16">
        <f t="shared" si="9"/>
        <v>44224.625</v>
      </c>
      <c r="I56">
        <f>G62</f>
        <v>435</v>
      </c>
      <c r="J56" s="13">
        <f>J54-7</f>
        <v>44244.625</v>
      </c>
      <c r="K56">
        <f>DMAX(_xlnm.Database,"n",J55:J56)</f>
        <v>550</v>
      </c>
      <c r="L56" s="16">
        <f t="shared" si="10"/>
        <v>44223.625</v>
      </c>
      <c r="M56">
        <f>K62</f>
        <v>382</v>
      </c>
      <c r="N56" s="22">
        <f>N54-7</f>
        <v>44243.625</v>
      </c>
      <c r="O56">
        <f>DMAX(_xlnm.Database,"n",N55:N56)</f>
        <v>515</v>
      </c>
      <c r="P56" s="16">
        <f t="shared" si="11"/>
        <v>44222.625</v>
      </c>
      <c r="Q56">
        <f>O62</f>
        <v>397</v>
      </c>
      <c r="R56" s="22">
        <f>R54-7</f>
        <v>44242.625</v>
      </c>
      <c r="S56">
        <f>DMAX(_xlnm.Database,"n",R55:R56)</f>
        <v>615</v>
      </c>
      <c r="T56" s="16">
        <f t="shared" si="12"/>
        <v>44221.625</v>
      </c>
      <c r="U56">
        <f>S62</f>
        <v>605</v>
      </c>
      <c r="V56" s="22">
        <f>V54-7</f>
        <v>44241.625</v>
      </c>
      <c r="W56">
        <f>DMAX(_xlnm.Database,"n",V55:V56)</f>
        <v>281</v>
      </c>
      <c r="X56" s="16">
        <f t="shared" si="13"/>
        <v>44220.625</v>
      </c>
      <c r="Y56">
        <f>W62</f>
        <v>246</v>
      </c>
      <c r="Z56" s="22">
        <f>Z54-7</f>
        <v>44240.625</v>
      </c>
      <c r="AA56">
        <f>DMAX(_xlnm.Database,"n",Z55:Z56)</f>
        <v>277</v>
      </c>
      <c r="AB56" s="16">
        <f t="shared" si="14"/>
        <v>44219.625</v>
      </c>
      <c r="AC56">
        <f>AA62</f>
        <v>168</v>
      </c>
      <c r="AD56" s="22">
        <f>AD54-7</f>
        <v>44239.625</v>
      </c>
      <c r="AE56">
        <f>DMAX(_xlnm.Database,"n",AD55:AD56)</f>
        <v>418</v>
      </c>
      <c r="AF56" s="16">
        <f t="shared" si="15"/>
        <v>44218.625</v>
      </c>
      <c r="AG56">
        <f>AE62</f>
        <v>361</v>
      </c>
      <c r="AH56" s="16"/>
      <c r="AI56"/>
      <c r="AK56" s="16"/>
      <c r="AL56"/>
      <c r="AN56" s="16"/>
      <c r="AO56"/>
      <c r="AQ56" s="16"/>
      <c r="AR56"/>
      <c r="AT56" s="16"/>
    </row>
    <row r="57" spans="2:46">
      <c r="B57" s="13" t="s">
        <v>7</v>
      </c>
      <c r="D57" s="16">
        <f t="shared" si="8"/>
        <v>44218.625</v>
      </c>
      <c r="E57">
        <f>C64</f>
        <v>361</v>
      </c>
      <c r="F57" s="13" t="s">
        <v>7</v>
      </c>
      <c r="H57" s="16">
        <f t="shared" si="9"/>
        <v>44217.625</v>
      </c>
      <c r="I57">
        <f>G64</f>
        <v>376</v>
      </c>
      <c r="J57" s="13" t="s">
        <v>7</v>
      </c>
      <c r="L57" s="16">
        <f t="shared" si="10"/>
        <v>44216.625</v>
      </c>
      <c r="M57">
        <f>K64</f>
        <v>406</v>
      </c>
      <c r="N57" t="s">
        <v>7</v>
      </c>
      <c r="P57" s="16">
        <f t="shared" si="11"/>
        <v>44215.625</v>
      </c>
      <c r="Q57">
        <f>O64</f>
        <v>342</v>
      </c>
      <c r="R57" t="s">
        <v>7</v>
      </c>
      <c r="T57" s="16">
        <f t="shared" si="12"/>
        <v>44214.625</v>
      </c>
      <c r="U57">
        <f>S64</f>
        <v>448</v>
      </c>
      <c r="V57" t="s">
        <v>7</v>
      </c>
      <c r="W57"/>
      <c r="X57" s="16">
        <f t="shared" si="13"/>
        <v>44213.625</v>
      </c>
      <c r="Y57">
        <f>W64</f>
        <v>196</v>
      </c>
      <c r="Z57" t="s">
        <v>7</v>
      </c>
      <c r="AB57" s="16">
        <f t="shared" si="14"/>
        <v>44212.625</v>
      </c>
      <c r="AC57">
        <f>AA64</f>
        <v>171</v>
      </c>
      <c r="AD57" t="s">
        <v>7</v>
      </c>
      <c r="AF57" s="16">
        <f t="shared" si="15"/>
        <v>44211.625</v>
      </c>
      <c r="AG57">
        <f>AE64</f>
        <v>266</v>
      </c>
      <c r="AH57" s="16"/>
      <c r="AI57"/>
      <c r="AK57" s="16"/>
      <c r="AL57"/>
      <c r="AN57" s="16"/>
      <c r="AO57"/>
      <c r="AQ57" s="16"/>
      <c r="AR57"/>
      <c r="AT57" s="16"/>
    </row>
    <row r="58" spans="2:46">
      <c r="B58" s="13">
        <f>B56-7</f>
        <v>44239.625</v>
      </c>
      <c r="C58">
        <f>DMAX(_xlnm.Database,"n",B57:B58)</f>
        <v>418</v>
      </c>
      <c r="D58" s="16">
        <f>D57-7</f>
        <v>44211.625</v>
      </c>
      <c r="E58">
        <f>C66</f>
        <v>266</v>
      </c>
      <c r="F58" s="13">
        <f>F56-7</f>
        <v>44238.625</v>
      </c>
      <c r="G58">
        <f>DMAX(_xlnm.Database,"n",F57:F58)</f>
        <v>356</v>
      </c>
      <c r="H58" s="16">
        <f>H57-7</f>
        <v>44210.625</v>
      </c>
      <c r="I58">
        <f>G66</f>
        <v>249</v>
      </c>
      <c r="J58" s="13">
        <f>J56-7</f>
        <v>44237.625</v>
      </c>
      <c r="K58">
        <f>DMAX(_xlnm.Database,"n",J57:J58)</f>
        <v>383</v>
      </c>
      <c r="L58" s="16">
        <f>L57-7</f>
        <v>44209.625</v>
      </c>
      <c r="M58">
        <f>K66</f>
        <v>259</v>
      </c>
      <c r="N58" s="22">
        <f>N56-7</f>
        <v>44236.625</v>
      </c>
      <c r="O58">
        <f>DMAX(_xlnm.Database,"n",N57:N58)</f>
        <v>371</v>
      </c>
      <c r="P58" s="16">
        <f>P57-7</f>
        <v>44208.625</v>
      </c>
      <c r="Q58">
        <f>O66</f>
        <v>229</v>
      </c>
      <c r="R58" s="22">
        <f>R56-7</f>
        <v>44235.625</v>
      </c>
      <c r="S58">
        <f>DMAX(_xlnm.Database,"n",R57:R58)</f>
        <v>459</v>
      </c>
      <c r="T58" s="16">
        <f>T57-7</f>
        <v>44207.625</v>
      </c>
      <c r="U58">
        <f>S66</f>
        <v>386</v>
      </c>
      <c r="V58" s="22">
        <f>V56-7</f>
        <v>44234.625</v>
      </c>
      <c r="W58">
        <f>DMAX(_xlnm.Database,"n",V57:V58)</f>
        <v>263</v>
      </c>
      <c r="X58" s="16">
        <f>X57-7</f>
        <v>44206.625</v>
      </c>
      <c r="Y58">
        <f>W66</f>
        <v>186</v>
      </c>
      <c r="Z58" s="22">
        <f>Z56-7</f>
        <v>44233.625</v>
      </c>
      <c r="AA58">
        <f>DMAX(_xlnm.Database,"n",Z57:Z58)</f>
        <v>239</v>
      </c>
      <c r="AB58" s="16">
        <f>AB57-7</f>
        <v>44205.625</v>
      </c>
      <c r="AC58">
        <f>AA66</f>
        <v>194</v>
      </c>
      <c r="AD58" s="22">
        <f>AD56-7</f>
        <v>44232.625</v>
      </c>
      <c r="AE58">
        <f>DMAX(_xlnm.Database,"n",AD57:AD58)</f>
        <v>367</v>
      </c>
      <c r="AF58" s="16">
        <f>AF57-7</f>
        <v>44204.625</v>
      </c>
      <c r="AG58">
        <f>AE66</f>
        <v>252</v>
      </c>
      <c r="AH58" s="16"/>
      <c r="AI58"/>
      <c r="AK58" s="16"/>
      <c r="AL58"/>
      <c r="AN58" s="16"/>
      <c r="AO58"/>
      <c r="AQ58" s="16"/>
      <c r="AR58"/>
      <c r="AT58" s="16"/>
    </row>
    <row r="59" spans="2:46">
      <c r="B59" s="13" t="s">
        <v>7</v>
      </c>
      <c r="D59" s="16">
        <f t="shared" si="8"/>
        <v>44204.625</v>
      </c>
      <c r="E59">
        <f>C68</f>
        <v>252</v>
      </c>
      <c r="F59" s="13" t="s">
        <v>7</v>
      </c>
      <c r="H59" s="16">
        <f t="shared" si="9"/>
        <v>44203.625</v>
      </c>
      <c r="I59">
        <f>G68</f>
        <v>332</v>
      </c>
      <c r="J59" s="13" t="s">
        <v>7</v>
      </c>
      <c r="L59" s="16">
        <f t="shared" si="10"/>
        <v>44202.625</v>
      </c>
      <c r="M59">
        <f>K68</f>
        <v>209</v>
      </c>
      <c r="N59" t="s">
        <v>7</v>
      </c>
      <c r="P59" s="16">
        <f t="shared" si="11"/>
        <v>44201.625</v>
      </c>
      <c r="Q59">
        <f>O68</f>
        <v>263</v>
      </c>
      <c r="R59" t="s">
        <v>7</v>
      </c>
      <c r="T59" s="16">
        <f t="shared" si="12"/>
        <v>44200.625</v>
      </c>
      <c r="U59">
        <f>S68</f>
        <v>399</v>
      </c>
      <c r="V59" t="s">
        <v>7</v>
      </c>
      <c r="W59"/>
      <c r="X59" s="16">
        <f t="shared" si="13"/>
        <v>44199.625</v>
      </c>
      <c r="Y59">
        <f>W68</f>
        <v>169</v>
      </c>
      <c r="Z59" t="s">
        <v>7</v>
      </c>
      <c r="AB59" s="16">
        <f t="shared" si="14"/>
        <v>44198.625</v>
      </c>
      <c r="AC59">
        <f>AA68</f>
        <v>206</v>
      </c>
      <c r="AD59" t="s">
        <v>7</v>
      </c>
      <c r="AF59" s="16">
        <f t="shared" si="15"/>
        <v>44197.625</v>
      </c>
      <c r="AG59">
        <f>AE68</f>
        <v>129</v>
      </c>
      <c r="AH59" s="16"/>
      <c r="AI59"/>
      <c r="AK59" s="16"/>
      <c r="AL59"/>
      <c r="AN59" s="16"/>
      <c r="AO59"/>
      <c r="AQ59" s="16"/>
      <c r="AR59"/>
      <c r="AT59" s="16"/>
    </row>
    <row r="60" spans="2:46">
      <c r="B60" s="13">
        <f>B58-7</f>
        <v>44232.625</v>
      </c>
      <c r="C60">
        <f>DMAX(_xlnm.Database,"n",B59:B60)</f>
        <v>367</v>
      </c>
      <c r="D60" s="16"/>
      <c r="F60" s="13">
        <f>F58-7</f>
        <v>44231.625</v>
      </c>
      <c r="G60">
        <f>DMAX(_xlnm.Database,"n",F59:F60)</f>
        <v>370</v>
      </c>
      <c r="H60" s="16"/>
      <c r="J60" s="13">
        <f>J58-7</f>
        <v>44230.625</v>
      </c>
      <c r="K60">
        <f>DMAX(_xlnm.Database,"n",J59:J60)</f>
        <v>441</v>
      </c>
      <c r="L60" s="16"/>
      <c r="N60" s="22">
        <f>N58-7</f>
        <v>44229.625</v>
      </c>
      <c r="O60">
        <f>DMAX(_xlnm.Database,"n",N59:N60)</f>
        <v>395</v>
      </c>
      <c r="P60" s="16"/>
      <c r="Q60"/>
      <c r="R60" s="22">
        <f>R58-7</f>
        <v>44228.625</v>
      </c>
      <c r="S60">
        <f>DMAX(_xlnm.Database,"n",R59:R60)</f>
        <v>533</v>
      </c>
      <c r="V60" s="22">
        <f>V58-7</f>
        <v>44227.625</v>
      </c>
      <c r="W60">
        <f>DMAX(_xlnm.Database,"n",V59:V60)</f>
        <v>272</v>
      </c>
      <c r="X60" s="16"/>
      <c r="Z60" s="22">
        <f>Z58-7</f>
        <v>44226.625</v>
      </c>
      <c r="AA60">
        <f>DMAX(_xlnm.Database,"n",Z59:Z60)</f>
        <v>232</v>
      </c>
      <c r="AB60" s="16"/>
      <c r="AC60"/>
      <c r="AD60" s="22">
        <f>AD58-7</f>
        <v>44225.625</v>
      </c>
      <c r="AE60">
        <f>DMAX(_xlnm.Database,"n",AD59:AD60)</f>
        <v>375</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44225.625</v>
      </c>
      <c r="C62">
        <f>DMAX(_xlnm.Database,"n",B61:B62)</f>
        <v>375</v>
      </c>
      <c r="D62" s="16"/>
      <c r="F62" s="13">
        <f>F60-7</f>
        <v>44224.625</v>
      </c>
      <c r="G62">
        <f>DMAX(_xlnm.Database,"n",F61:F62)</f>
        <v>435</v>
      </c>
      <c r="H62" s="16"/>
      <c r="J62" s="13">
        <f>J60-7</f>
        <v>44223.625</v>
      </c>
      <c r="K62">
        <f>DMAX(_xlnm.Database,"n",J61:J62)</f>
        <v>382</v>
      </c>
      <c r="L62" s="16"/>
      <c r="N62" s="22">
        <f>N60-7</f>
        <v>44222.625</v>
      </c>
      <c r="O62">
        <f>DMAX(_xlnm.Database,"n",N61:N62)</f>
        <v>397</v>
      </c>
      <c r="P62" s="16"/>
      <c r="Q62"/>
      <c r="R62" s="22">
        <f>R60-7</f>
        <v>44221.625</v>
      </c>
      <c r="S62">
        <f>DMAX(_xlnm.Database,"n",R61:R62)</f>
        <v>605</v>
      </c>
      <c r="V62" s="22">
        <f>V60-7</f>
        <v>44220.625</v>
      </c>
      <c r="W62">
        <f>DMAX(_xlnm.Database,"n",V61:V62)</f>
        <v>246</v>
      </c>
      <c r="X62" s="16"/>
      <c r="Z62" s="22">
        <f>Z60-7</f>
        <v>44219.625</v>
      </c>
      <c r="AA62">
        <f>DMAX(_xlnm.Database,"n",Z61:Z62)</f>
        <v>168</v>
      </c>
      <c r="AB62" s="16"/>
      <c r="AC62"/>
      <c r="AD62" s="22">
        <f>AD60-7</f>
        <v>44218.625</v>
      </c>
      <c r="AE62">
        <f>DMAX(_xlnm.Database,"n",AD61:AD62)</f>
        <v>361</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44218.625</v>
      </c>
      <c r="C64">
        <f>DMAX(_xlnm.Database,"n",B63:B64)</f>
        <v>361</v>
      </c>
      <c r="D64" s="16"/>
      <c r="F64" s="13">
        <f>F62-7</f>
        <v>44217.625</v>
      </c>
      <c r="G64">
        <f>DMAX(_xlnm.Database,"n",F63:F64)</f>
        <v>376</v>
      </c>
      <c r="H64" s="16"/>
      <c r="J64" s="13">
        <f>J62-7</f>
        <v>44216.625</v>
      </c>
      <c r="K64">
        <f>DMAX(_xlnm.Database,"n",J63:J64)</f>
        <v>406</v>
      </c>
      <c r="L64" s="16"/>
      <c r="N64" s="22">
        <f>N62-7</f>
        <v>44215.625</v>
      </c>
      <c r="O64">
        <f>DMAX(_xlnm.Database,"n",N63:N64)</f>
        <v>342</v>
      </c>
      <c r="P64" s="16"/>
      <c r="Q64"/>
      <c r="R64" s="22">
        <f>R62-7</f>
        <v>44214.625</v>
      </c>
      <c r="S64">
        <f>DMAX(_xlnm.Database,"n",R63:R64)</f>
        <v>448</v>
      </c>
      <c r="V64" s="22">
        <f>V62-7</f>
        <v>44213.625</v>
      </c>
      <c r="W64">
        <f>DMAX(_xlnm.Database,"n",V63:V64)</f>
        <v>196</v>
      </c>
      <c r="X64" s="16"/>
      <c r="Z64" s="22">
        <f>Z62-7</f>
        <v>44212.625</v>
      </c>
      <c r="AA64">
        <f>DMAX(_xlnm.Database,"n",Z63:Z64)</f>
        <v>171</v>
      </c>
      <c r="AB64" s="16"/>
      <c r="AC64"/>
      <c r="AD64" s="22">
        <f>AD62-7</f>
        <v>44211.625</v>
      </c>
      <c r="AE64">
        <f>DMAX(_xlnm.Database,"n",AD63:AD64)</f>
        <v>266</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44211.625</v>
      </c>
      <c r="C66">
        <f>DMAX(_xlnm.Database,"n",B65:B66)</f>
        <v>266</v>
      </c>
      <c r="D66" s="16"/>
      <c r="F66" s="13">
        <f>F64-7</f>
        <v>44210.625</v>
      </c>
      <c r="G66">
        <f>DMAX(_xlnm.Database,"n",F65:F66)</f>
        <v>249</v>
      </c>
      <c r="H66" s="16"/>
      <c r="J66" s="13">
        <f>J64-7</f>
        <v>44209.625</v>
      </c>
      <c r="K66">
        <f>DMAX(_xlnm.Database,"n",J65:J66)</f>
        <v>259</v>
      </c>
      <c r="L66" s="16"/>
      <c r="N66" s="22">
        <f>N64-7</f>
        <v>44208.625</v>
      </c>
      <c r="O66">
        <f>DMAX(_xlnm.Database,"n",N65:N66)</f>
        <v>229</v>
      </c>
      <c r="P66" s="16"/>
      <c r="Q66"/>
      <c r="R66" s="22">
        <f>R64-7</f>
        <v>44207.625</v>
      </c>
      <c r="S66">
        <f>DMAX(_xlnm.Database,"n",R65:R66)</f>
        <v>386</v>
      </c>
      <c r="V66" s="22">
        <f>V64-7</f>
        <v>44206.625</v>
      </c>
      <c r="W66">
        <f>DMAX(_xlnm.Database,"n",V65:V66)</f>
        <v>186</v>
      </c>
      <c r="X66" s="16"/>
      <c r="Z66" s="22">
        <f>Z64-7</f>
        <v>44205.625</v>
      </c>
      <c r="AA66">
        <f>DMAX(_xlnm.Database,"n",Z65:Z66)</f>
        <v>194</v>
      </c>
      <c r="AB66" s="16"/>
      <c r="AC66"/>
      <c r="AD66" s="22">
        <f>AD64-7</f>
        <v>44204.625</v>
      </c>
      <c r="AE66">
        <f>DMAX(_xlnm.Database,"n",AD65:AD66)</f>
        <v>252</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44204.625</v>
      </c>
      <c r="C68">
        <f>DMAX(_xlnm.Database,"n",B67:B68)</f>
        <v>252</v>
      </c>
      <c r="D68" s="16"/>
      <c r="F68" s="13">
        <f>F66-7</f>
        <v>44203.625</v>
      </c>
      <c r="G68">
        <f>DMAX(_xlnm.Database,"n",F67:F68)</f>
        <v>332</v>
      </c>
      <c r="H68" s="16"/>
      <c r="J68" s="13">
        <f>J66-7</f>
        <v>44202.625</v>
      </c>
      <c r="K68">
        <f>DMAX(_xlnm.Database,"n",J67:J68)</f>
        <v>209</v>
      </c>
      <c r="L68" s="16"/>
      <c r="N68" s="22">
        <f>N66-7</f>
        <v>44201.625</v>
      </c>
      <c r="O68">
        <f>DMAX(_xlnm.Database,"n",N67:N68)</f>
        <v>263</v>
      </c>
      <c r="P68" s="16"/>
      <c r="Q68"/>
      <c r="R68" s="22">
        <f>R66-7</f>
        <v>44200.625</v>
      </c>
      <c r="S68">
        <f>DMAX(_xlnm.Database,"n",R67:R68)</f>
        <v>399</v>
      </c>
      <c r="V68" s="22">
        <f>V66-7</f>
        <v>44199.625</v>
      </c>
      <c r="W68">
        <f>DMAX(_xlnm.Database,"n",V67:V68)</f>
        <v>169</v>
      </c>
      <c r="X68" s="16"/>
      <c r="Z68" s="22">
        <f>Z66-7</f>
        <v>44198.625</v>
      </c>
      <c r="AA68">
        <f>DMAX(_xlnm.Database,"n",Z67:Z68)</f>
        <v>206</v>
      </c>
      <c r="AB68" s="16"/>
      <c r="AC68"/>
      <c r="AD68" s="22">
        <f>AD66-7</f>
        <v>44197.625</v>
      </c>
      <c r="AE68">
        <f>DMAX(_xlnm.Database,"n",AD67:AD68)</f>
        <v>129</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44267.625</v>
      </c>
      <c r="C73">
        <f>DMAX(_xlnm.Database,"n",B72:B73)</f>
        <v>774</v>
      </c>
      <c r="D73" s="21">
        <f>B73</f>
        <v>44267.625</v>
      </c>
      <c r="E73">
        <f>C73</f>
        <v>774</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44266.625</v>
      </c>
      <c r="E74">
        <f>C75</f>
        <v>743</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44266.625</v>
      </c>
      <c r="C75">
        <f>DMAX(_xlnm.Database,"n",B74:B75)</f>
        <v>743</v>
      </c>
      <c r="D75" s="16">
        <f t="shared" ref="D75:D109" si="16">D74-1</f>
        <v>44265.625</v>
      </c>
      <c r="E75">
        <f>C77</f>
        <v>775</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44264.625</v>
      </c>
      <c r="E76">
        <f>C79</f>
        <v>742</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44265.625</v>
      </c>
      <c r="C77">
        <f>DMAX(_xlnm.Database,"n",B76:B77)</f>
        <v>775</v>
      </c>
      <c r="D77" s="16">
        <f t="shared" si="16"/>
        <v>44263.625</v>
      </c>
      <c r="E77">
        <f>C81</f>
        <v>828</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44262.625</v>
      </c>
      <c r="E78">
        <f>C83</f>
        <v>391</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44264.625</v>
      </c>
      <c r="C79">
        <f>DMAX(_xlnm.Database,"n",B78:B79)</f>
        <v>742</v>
      </c>
      <c r="D79" s="16">
        <f t="shared" si="16"/>
        <v>44261.625</v>
      </c>
      <c r="E79">
        <f>C85</f>
        <v>435</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44260.625</v>
      </c>
      <c r="E80">
        <f>C87</f>
        <v>600</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44263.625</v>
      </c>
      <c r="C81">
        <f>DMAX(_xlnm.Database,"n",B80:B81)</f>
        <v>828</v>
      </c>
      <c r="D81" s="16">
        <f t="shared" si="16"/>
        <v>44259.625</v>
      </c>
      <c r="E81">
        <f>C89</f>
        <v>624</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44258.625</v>
      </c>
      <c r="E82">
        <f>C91</f>
        <v>737</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44262.625</v>
      </c>
      <c r="C83">
        <f>DMAX(_xlnm.Database,"n",B82:B83)</f>
        <v>391</v>
      </c>
      <c r="D83" s="16">
        <f t="shared" si="16"/>
        <v>44257.625</v>
      </c>
      <c r="E83">
        <f>C93</f>
        <v>757</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44256.625</v>
      </c>
      <c r="E84">
        <f>C95</f>
        <v>869</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44261.625</v>
      </c>
      <c r="C85">
        <f>DMAX(_xlnm.Database,"n",B84:B85)</f>
        <v>435</v>
      </c>
      <c r="D85" s="16">
        <f t="shared" si="16"/>
        <v>44255.625</v>
      </c>
      <c r="E85">
        <f>C97</f>
        <v>420</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44254.625</v>
      </c>
      <c r="E86">
        <f>C99</f>
        <v>400</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44260.625</v>
      </c>
      <c r="C87">
        <f>DMAX(_xlnm.Database,"n",B86:B87)</f>
        <v>600</v>
      </c>
      <c r="D87" s="16">
        <f t="shared" si="16"/>
        <v>44253.625</v>
      </c>
      <c r="E87">
        <f>C101</f>
        <v>691</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44252.625</v>
      </c>
      <c r="E88">
        <f>C103</f>
        <v>618</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44259.625</v>
      </c>
      <c r="C89">
        <f>DMAX(_xlnm.Database,"n",B88:B89)</f>
        <v>624</v>
      </c>
      <c r="D89" s="16">
        <f t="shared" si="16"/>
        <v>44251.625</v>
      </c>
      <c r="E89">
        <f>C105</f>
        <v>599</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44250.625</v>
      </c>
      <c r="E90">
        <f>C107</f>
        <v>625</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44258.625</v>
      </c>
      <c r="C91">
        <f>DMAX(_xlnm.Database,"n",B90:B91)</f>
        <v>737</v>
      </c>
      <c r="D91" s="16">
        <f t="shared" si="16"/>
        <v>44249.625</v>
      </c>
      <c r="E91">
        <f>C109</f>
        <v>623</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44248.625</v>
      </c>
      <c r="E92">
        <f>C111</f>
        <v>355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44257.625</v>
      </c>
      <c r="C93">
        <f>DMAX(_xlnm.Database,"n",B92:B93)</f>
        <v>757</v>
      </c>
      <c r="D93" s="16">
        <f t="shared" si="16"/>
        <v>44247.625</v>
      </c>
      <c r="E93">
        <f>C113</f>
        <v>317</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44246.625</v>
      </c>
      <c r="E94">
        <f>C115</f>
        <v>573</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44256.625</v>
      </c>
      <c r="C95">
        <f>DMAX(_xlnm.Database,"n",B94:B95)</f>
        <v>869</v>
      </c>
      <c r="D95" s="16">
        <f t="shared" si="16"/>
        <v>44245.625</v>
      </c>
      <c r="E95">
        <f>C117</f>
        <v>611</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44244.625</v>
      </c>
      <c r="E96">
        <f>C119</f>
        <v>550</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44255.625</v>
      </c>
      <c r="C97">
        <f>DMAX(_xlnm.Database,"n",B96:B97)</f>
        <v>420</v>
      </c>
      <c r="D97" s="16">
        <f t="shared" si="16"/>
        <v>44243.625</v>
      </c>
      <c r="E97">
        <f>C121</f>
        <v>515</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44242.625</v>
      </c>
      <c r="E98">
        <f>C123</f>
        <v>615</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44254.625</v>
      </c>
      <c r="C99">
        <f>DMAX(_xlnm.Database,"n",B98:B99)</f>
        <v>400</v>
      </c>
      <c r="D99" s="16">
        <f t="shared" si="16"/>
        <v>44241.625</v>
      </c>
      <c r="E99">
        <f>C125</f>
        <v>281</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44240.625</v>
      </c>
      <c r="E100">
        <f>C127</f>
        <v>277</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44253.625</v>
      </c>
      <c r="C101">
        <f>DMAX(_xlnm.Database,"n",B100:B101)</f>
        <v>691</v>
      </c>
      <c r="D101" s="16">
        <f t="shared" si="16"/>
        <v>44239.625</v>
      </c>
      <c r="E101">
        <f>C129</f>
        <v>418</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44238.625</v>
      </c>
      <c r="E102">
        <f>C131</f>
        <v>356</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44252.625</v>
      </c>
      <c r="C103">
        <f>DMAX(_xlnm.Database,"n",B102:B103)</f>
        <v>618</v>
      </c>
      <c r="D103" s="16">
        <f t="shared" si="16"/>
        <v>44237.625</v>
      </c>
      <c r="E103">
        <f>C133</f>
        <v>383</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44236.625</v>
      </c>
      <c r="E104">
        <f>C135</f>
        <v>371</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44251.625</v>
      </c>
      <c r="C105">
        <f>DMAX(_xlnm.Database,"n",B104:B105)</f>
        <v>599</v>
      </c>
      <c r="D105" s="16">
        <f t="shared" si="16"/>
        <v>44235.625</v>
      </c>
      <c r="E105">
        <f>C137</f>
        <v>459</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44234.625</v>
      </c>
      <c r="E106">
        <f>C139</f>
        <v>263</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44250.625</v>
      </c>
      <c r="C107">
        <f>DMAX(_xlnm.Database,"n",B106:B107)</f>
        <v>625</v>
      </c>
      <c r="D107" s="16">
        <f t="shared" si="16"/>
        <v>44233.625</v>
      </c>
      <c r="E107">
        <f>C141</f>
        <v>239</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44232.625</v>
      </c>
      <c r="E108">
        <f>C143</f>
        <v>367</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44249.625</v>
      </c>
      <c r="C109">
        <f>DMAX(_xlnm.Database,"n",B108:B109)</f>
        <v>623</v>
      </c>
      <c r="D109" s="16">
        <f t="shared" si="16"/>
        <v>44231.625</v>
      </c>
      <c r="E109">
        <f>C145</f>
        <v>370</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44248.625</v>
      </c>
      <c r="C111">
        <f>DMAX(_xlnm.Database,"n",B110:B111)</f>
        <v>355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44247.625</v>
      </c>
      <c r="C113">
        <f>DMAX(_xlnm.Database,"n",B112:B113)</f>
        <v>317</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44246.625</v>
      </c>
      <c r="C115">
        <f>DMAX(_xlnm.Database,"n",B114:B115)</f>
        <v>573</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44245.625</v>
      </c>
      <c r="C117">
        <f>DMAX(_xlnm.Database,"n",B116:B117)</f>
        <v>611</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44244.625</v>
      </c>
      <c r="C119">
        <f>DMAX(_xlnm.Database,"n",B118:B119)</f>
        <v>550</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44243.625</v>
      </c>
      <c r="C121">
        <f>DMAX(_xlnm.Database,"n",B120:B121)</f>
        <v>515</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44242.625</v>
      </c>
      <c r="C123">
        <f>DMAX(_xlnm.Database,"n",B122:B123)</f>
        <v>615</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44241.625</v>
      </c>
      <c r="C125">
        <f>DMAX(_xlnm.Database,"n",B124:B125)</f>
        <v>281</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44240.625</v>
      </c>
      <c r="C127">
        <f>DMAX(_xlnm.Database,"n",B126:B127)</f>
        <v>277</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44239.625</v>
      </c>
      <c r="C129">
        <f>DMAX(_xlnm.Database,"n",B128:B129)</f>
        <v>418</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44238.625</v>
      </c>
      <c r="C131">
        <f>DMAX(_xlnm.Database,"n",B130:B131)</f>
        <v>356</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44237.625</v>
      </c>
      <c r="C133">
        <f>DMAX(_xlnm.Database,"n",B132:B133)</f>
        <v>383</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44236.625</v>
      </c>
      <c r="C135">
        <f>DMAX(_xlnm.Database,"n",B134:B135)</f>
        <v>371</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44235.625</v>
      </c>
      <c r="C137">
        <f>DMAX(_xlnm.Database,"n",B136:B137)</f>
        <v>459</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44234.625</v>
      </c>
      <c r="C139">
        <f>DMAX(_xlnm.Database,"n",B138:B139)</f>
        <v>263</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44233.625</v>
      </c>
      <c r="C141">
        <f>DMAX(_xlnm.Database,"n",B140:B141)</f>
        <v>239</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44232.625</v>
      </c>
      <c r="C143">
        <f>DMAX(_xlnm.Database,"n",B142:B143)</f>
        <v>367</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44231.625</v>
      </c>
      <c r="C145">
        <f>DMAX(_xlnm.Database,"n",B144:B145)</f>
        <v>370</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A66" workbookViewId="0">
      <selection activeCell="A79" sqref="A7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19.5" customHeight="1"/>
    <row r="24" spans="12:21">
      <c r="L24" t="s">
        <v>299</v>
      </c>
      <c r="N24" t="s">
        <v>421</v>
      </c>
      <c r="O24" t="s">
        <v>450</v>
      </c>
      <c r="R24" s="13"/>
      <c r="T24" s="3" t="s">
        <v>291</v>
      </c>
      <c r="U24" t="s">
        <v>300</v>
      </c>
    </row>
    <row r="25" spans="12:21">
      <c r="L25">
        <v>1</v>
      </c>
      <c r="M25" t="s">
        <v>431</v>
      </c>
      <c r="N25" s="29">
        <f>AVERAGEIF(Kaikki!E:E,L25,DataN)</f>
        <v>203.46031746031747</v>
      </c>
      <c r="O25" s="32">
        <f>T25</f>
        <v>869</v>
      </c>
      <c r="P25" s="13">
        <f>S25</f>
        <v>44256.625</v>
      </c>
      <c r="R25" s="13"/>
      <c r="S25" s="30">
        <f>DMAX(_xlnm.Database,"aika",T24:U25)</f>
        <v>44256.625</v>
      </c>
      <c r="T25" s="3">
        <f>DMAX(_xlnm.Database,"n",U24:U25)</f>
        <v>869</v>
      </c>
      <c r="U25">
        <v>1</v>
      </c>
    </row>
    <row r="26" spans="12:21">
      <c r="L26">
        <v>2</v>
      </c>
      <c r="M26" t="s">
        <v>432</v>
      </c>
      <c r="N26" s="29">
        <f>AVERAGEIF(Kaikki!E:E,L26,DataN)</f>
        <v>167.25396825396825</v>
      </c>
      <c r="O26" s="32">
        <f>T27</f>
        <v>757</v>
      </c>
      <c r="P26" s="13">
        <f>S27</f>
        <v>44257.625</v>
      </c>
      <c r="R26" s="13"/>
      <c r="T26" s="3" t="s">
        <v>291</v>
      </c>
      <c r="U26" t="s">
        <v>300</v>
      </c>
    </row>
    <row r="27" spans="12:21">
      <c r="L27">
        <v>3</v>
      </c>
      <c r="M27" t="s">
        <v>433</v>
      </c>
      <c r="N27" s="29">
        <f>AVERAGEIF(Kaikki!E:E,L27,DataN)</f>
        <v>171.60317460317461</v>
      </c>
      <c r="O27" s="32">
        <f>T29</f>
        <v>775</v>
      </c>
      <c r="P27" s="13">
        <f>S29</f>
        <v>44265.625</v>
      </c>
      <c r="R27" s="13"/>
      <c r="S27" s="30">
        <f>DMAX(_xlnm.Database,"aika",T26:U27)</f>
        <v>44257.625</v>
      </c>
      <c r="T27" s="3">
        <f>DMAX(_xlnm.Database,"n",U26:U27)</f>
        <v>757</v>
      </c>
      <c r="U27">
        <v>2</v>
      </c>
    </row>
    <row r="28" spans="12:21">
      <c r="L28">
        <v>4</v>
      </c>
      <c r="M28" t="s">
        <v>434</v>
      </c>
      <c r="N28" s="29">
        <f>AVERAGEIF(Kaikki!E:E,L28,DataN)</f>
        <v>166.25396825396825</v>
      </c>
      <c r="O28" s="32">
        <f>T31</f>
        <v>743</v>
      </c>
      <c r="P28" s="13">
        <f>S31</f>
        <v>44266.625</v>
      </c>
      <c r="R28" s="13"/>
      <c r="T28" s="3" t="s">
        <v>291</v>
      </c>
      <c r="U28" t="s">
        <v>300</v>
      </c>
    </row>
    <row r="29" spans="12:21">
      <c r="L29">
        <v>5</v>
      </c>
      <c r="M29" t="s">
        <v>435</v>
      </c>
      <c r="N29" s="29">
        <f>AVERAGEIF(Kaikki!E:E,L29,DataN)</f>
        <v>159.82539682539684</v>
      </c>
      <c r="O29" s="32">
        <f>T33</f>
        <v>774</v>
      </c>
      <c r="P29" s="13">
        <f>S33</f>
        <v>44267.625</v>
      </c>
      <c r="R29" s="13"/>
      <c r="S29" s="30">
        <f>DMAX(_xlnm.Database,"aika",T28:U29)</f>
        <v>44265.625</v>
      </c>
      <c r="T29" s="3">
        <f>DMAX(_xlnm.Database,"n",U28:U29)</f>
        <v>775</v>
      </c>
      <c r="U29">
        <v>3</v>
      </c>
    </row>
    <row r="30" spans="12:21">
      <c r="L30">
        <v>6</v>
      </c>
      <c r="M30" t="s">
        <v>436</v>
      </c>
      <c r="N30" s="29">
        <f>AVERAGEIF(Kaikki!E:E,L30,DataN)</f>
        <v>100.92063492063492</v>
      </c>
      <c r="O30" s="32">
        <f>T35</f>
        <v>450</v>
      </c>
      <c r="P30" s="13">
        <f>S35</f>
        <v>44268.625</v>
      </c>
      <c r="R30" s="13"/>
      <c r="T30" s="3" t="s">
        <v>291</v>
      </c>
      <c r="U30" t="s">
        <v>300</v>
      </c>
    </row>
    <row r="31" spans="12:21">
      <c r="L31">
        <v>7</v>
      </c>
      <c r="M31" t="s">
        <v>437</v>
      </c>
      <c r="N31" s="29">
        <f>AVERAGEIF(Kaikki!E:E,L31,DataN)</f>
        <v>107.68253968253968</v>
      </c>
      <c r="O31" s="32">
        <f>T37</f>
        <v>420</v>
      </c>
      <c r="P31" s="13">
        <f>S37</f>
        <v>44255.625</v>
      </c>
      <c r="R31" s="13"/>
      <c r="S31" s="30">
        <f>DMAX(_xlnm.Database,"aika",T30:U31)</f>
        <v>44266.625</v>
      </c>
      <c r="T31" s="3">
        <f>DMAX(_xlnm.Database,"n",U30:U31)</f>
        <v>743</v>
      </c>
      <c r="U31">
        <v>4</v>
      </c>
    </row>
    <row r="32" spans="12:21">
      <c r="R32" s="13"/>
      <c r="T32" s="3" t="s">
        <v>291</v>
      </c>
      <c r="U32" t="s">
        <v>300</v>
      </c>
    </row>
    <row r="33" spans="2:21">
      <c r="L33" t="s">
        <v>454</v>
      </c>
      <c r="R33" s="13"/>
      <c r="S33" s="30">
        <f>DMAX(_xlnm.Database,"aika",T32:U33)</f>
        <v>44267.625</v>
      </c>
      <c r="T33" s="3">
        <f>DMAX(_xlnm.Database,"n",U32:U33)</f>
        <v>774</v>
      </c>
      <c r="U33">
        <v>5</v>
      </c>
    </row>
    <row r="34" spans="2:21">
      <c r="R34" s="13"/>
      <c r="T34" s="3" t="s">
        <v>291</v>
      </c>
      <c r="U34" t="s">
        <v>300</v>
      </c>
    </row>
    <row r="35" spans="2:21">
      <c r="M35" t="s">
        <v>468</v>
      </c>
      <c r="N35" t="s">
        <v>469</v>
      </c>
      <c r="O35" s="3"/>
      <c r="R35" s="13"/>
      <c r="S35" s="30">
        <f>DMAX(_xlnm.Database,"aika",T34:U35)</f>
        <v>44268.625</v>
      </c>
      <c r="T35" s="3">
        <f>DMAX(_xlnm.Database,"n",U34:U35)</f>
        <v>450</v>
      </c>
      <c r="U35">
        <v>6</v>
      </c>
    </row>
    <row r="36" spans="2:21">
      <c r="M36" s="33">
        <f>MAX(Kaikki!H$2:H10000)</f>
        <v>4678</v>
      </c>
      <c r="N36" s="30">
        <f>DMAX(_xlnm.Database,"aika",M35:M36)</f>
        <v>44263.625</v>
      </c>
      <c r="O36" s="37"/>
      <c r="R36" s="13"/>
      <c r="T36" s="3" t="s">
        <v>291</v>
      </c>
      <c r="U36" t="s">
        <v>300</v>
      </c>
    </row>
    <row r="37" spans="2:21">
      <c r="R37" s="13"/>
      <c r="S37" s="30">
        <f>DMAX(_xlnm.Database,"aika",T36:U37)</f>
        <v>44255.625</v>
      </c>
      <c r="T37" s="3">
        <f>DMAX(_xlnm.Database,"n",U36:U37)</f>
        <v>420</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16.3 n=517 (joista vanhoja yli 28 päivän takaisia kirjauksia -1). Yhteensä N=67851. Edelliset 7 päivää 4163 (päivittyy), 4372 (muutos 4 %), 4222 (19 %) ja 3544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N=67851. Uusimmat 16.3.2021 lisäykset 517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16.3.2021 n=517 (joista vanhoja yli 28 päivän takaisia kirjauksia -1). Yhteensä N=67851. Melko pysyvät 7 päivää 6.3-12.3 yhteensä 4688 (muutos 6 %), aiemmat 7 päivää 4407 (15 %) ja 3828 https://github.com/jussivirkkala/excel/tree/master/hs-koronavirus-avoindata</v>
      </c>
    </row>
    <row r="80" spans="2:2" ht="18.75">
      <c r="B80" s="23" t="str">
        <f>" COVID-19 tapauksia 7 päivän välein "&amp;TEXT(Lisäys!B73,"p.k.vvvv")&amp;" saakka (- uusin ... vanhin)."</f>
        <v xml:space="preserve"> COVID-19 tapauksia 7 päivän välein 12.3.2021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95250</xdr:colOff>
                    <xdr:row>1</xdr:row>
                    <xdr:rowOff>76200</xdr:rowOff>
                  </from>
                  <to>
                    <xdr:col>2</xdr:col>
                    <xdr:colOff>447675</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2021-03-16T11:31:04Z</dcterms:modified>
</cp:coreProperties>
</file>