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0" documentId="11_1ACBFA098EF2399B704802A955DE7D58D26377BB" xr6:coauthVersionLast="46" xr6:coauthVersionMax="46" xr10:uidLastSave="{00000000-0000-0000-0000-000000000000}"/>
  <bookViews>
    <workbookView xWindow="810" yWindow="-120" windowWidth="19800" windowHeight="11760" activeTab="5" xr2:uid="{00000000-000D-0000-FFFF-FFFF00000000}"/>
  </bookViews>
  <sheets>
    <sheet name="Ohje" sheetId="3" r:id="rId1"/>
    <sheet name="Kaikki" sheetId="1" r:id="rId2"/>
    <sheet name="HUS" sheetId="7" r:id="rId3"/>
    <sheet name="Vertailu" sheetId="8" r:id="rId4"/>
    <sheet name="Lisäys" sheetId="2" r:id="rId5"/>
    <sheet name="Kuvaajat" sheetId="4" r:id="rId6"/>
  </sheets>
  <definedNames>
    <definedName name="_xlnm._FilterDatabase" localSheetId="2" hidden="1">HUS!$A$1:$K$805</definedName>
    <definedName name="_xlnm._FilterDatabase" localSheetId="1" hidden="1">Kaikki!$A$1:$K$805</definedName>
    <definedName name="aika" localSheetId="2">HUS!$F:$F</definedName>
    <definedName name="aika">Kaikki!$F:$F</definedName>
    <definedName name="_xlnm.Database" localSheetId="2">HUS!$A:$F</definedName>
    <definedName name="_xlnm.Database">Kaikki!$A:$F</definedName>
    <definedName name="DataN" localSheetId="2">HUS!$A:$A</definedName>
    <definedName name="DataN">Kaikki!$A:$A</definedName>
    <definedName name="N">Lisäys!$D$34</definedName>
    <definedName name="Paivitetty" localSheetId="2">HUS!$H$1</definedName>
    <definedName name="Paivitetty">Kaikki!$H$1</definedName>
    <definedName name="PlotX" localSheetId="2">HUS!$G$2:OFFSET(HUS!$G$2,HUS!$K$1,0)</definedName>
    <definedName name="PlotX" localSheetId="3">Vertailu!$H$2:OFFSET(Vertailu!$H$2,HUS!$K$1,0)</definedName>
    <definedName name="PlotX">Kaikki!$G$2:OFFSET(Kaikki!$G$2,Kaikki!$K$1,0)</definedName>
    <definedName name="PlotY" localSheetId="2">HUS!$A$2:OFFSET(HUS!$A$2,HUS!$K$1,0)</definedName>
    <definedName name="PlotY" localSheetId="3">Vertailu!$A$2:OFFSET(Vertailu!$A$2,HUS!$K$1,0)</definedName>
    <definedName name="PlotY">Kaikki!$A$2:OFFSET(Kaikki!$A$2,Kaikki!$K$1,0)</definedName>
    <definedName name="Previous">Lisäys!$N$7:$P$35</definedName>
    <definedName name="Tapauksia" localSheetId="2">HUS!$G$1</definedName>
    <definedName name="Tapauksia">Kaikki!$G$1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8" l="1"/>
  <c r="C3" i="8"/>
  <c r="D3" i="8"/>
  <c r="E3" i="8" s="1"/>
  <c r="A4" i="8"/>
  <c r="C4" i="8"/>
  <c r="D4" i="8"/>
  <c r="E4" i="8" s="1"/>
  <c r="A5" i="8"/>
  <c r="C5" i="8"/>
  <c r="D5" i="8"/>
  <c r="E5" i="8" s="1"/>
  <c r="A6" i="8"/>
  <c r="C6" i="8"/>
  <c r="D6" i="8"/>
  <c r="A7" i="8"/>
  <c r="C7" i="8"/>
  <c r="D7" i="8"/>
  <c r="A8" i="8"/>
  <c r="C8" i="8"/>
  <c r="D8" i="8"/>
  <c r="A9" i="8"/>
  <c r="C9" i="8"/>
  <c r="D9" i="8"/>
  <c r="A10" i="8"/>
  <c r="C10" i="8"/>
  <c r="D10" i="8"/>
  <c r="A11" i="8"/>
  <c r="C11" i="8"/>
  <c r="D11" i="8"/>
  <c r="E11" i="8" s="1"/>
  <c r="A12" i="8"/>
  <c r="C12" i="8"/>
  <c r="D12" i="8"/>
  <c r="E12" i="8" s="1"/>
  <c r="A13" i="8"/>
  <c r="C13" i="8"/>
  <c r="D13" i="8"/>
  <c r="E13" i="8" s="1"/>
  <c r="A14" i="8"/>
  <c r="C14" i="8"/>
  <c r="D14" i="8"/>
  <c r="A15" i="8"/>
  <c r="C15" i="8"/>
  <c r="D15" i="8"/>
  <c r="A16" i="8"/>
  <c r="C16" i="8"/>
  <c r="D16" i="8"/>
  <c r="A17" i="8"/>
  <c r="C17" i="8"/>
  <c r="D17" i="8"/>
  <c r="A18" i="8"/>
  <c r="C18" i="8"/>
  <c r="D18" i="8"/>
  <c r="A19" i="8"/>
  <c r="C19" i="8"/>
  <c r="D19" i="8"/>
  <c r="E19" i="8" s="1"/>
  <c r="A20" i="8"/>
  <c r="C20" i="8"/>
  <c r="D20" i="8"/>
  <c r="E20" i="8" s="1"/>
  <c r="A21" i="8"/>
  <c r="C21" i="8"/>
  <c r="D21" i="8"/>
  <c r="E21" i="8" s="1"/>
  <c r="A22" i="8"/>
  <c r="C22" i="8"/>
  <c r="D22" i="8"/>
  <c r="A23" i="8"/>
  <c r="C23" i="8"/>
  <c r="D23" i="8"/>
  <c r="A24" i="8"/>
  <c r="C24" i="8"/>
  <c r="D24" i="8"/>
  <c r="A25" i="8"/>
  <c r="C25" i="8"/>
  <c r="D25" i="8"/>
  <c r="A26" i="8"/>
  <c r="C26" i="8"/>
  <c r="D26" i="8"/>
  <c r="A27" i="8"/>
  <c r="C27" i="8"/>
  <c r="D27" i="8"/>
  <c r="E27" i="8" s="1"/>
  <c r="A28" i="8"/>
  <c r="C28" i="8"/>
  <c r="D28" i="8"/>
  <c r="E28" i="8" s="1"/>
  <c r="A29" i="8"/>
  <c r="C29" i="8"/>
  <c r="D29" i="8"/>
  <c r="E29" i="8" s="1"/>
  <c r="A30" i="8"/>
  <c r="C30" i="8"/>
  <c r="D30" i="8"/>
  <c r="A31" i="8"/>
  <c r="C31" i="8"/>
  <c r="D31" i="8"/>
  <c r="A32" i="8"/>
  <c r="C32" i="8"/>
  <c r="D32" i="8"/>
  <c r="A33" i="8"/>
  <c r="C33" i="8"/>
  <c r="D33" i="8"/>
  <c r="A34" i="8"/>
  <c r="C34" i="8"/>
  <c r="D34" i="8"/>
  <c r="A35" i="8"/>
  <c r="C35" i="8"/>
  <c r="D35" i="8"/>
  <c r="E35" i="8" s="1"/>
  <c r="A36" i="8"/>
  <c r="C36" i="8"/>
  <c r="D36" i="8"/>
  <c r="E36" i="8" s="1"/>
  <c r="A37" i="8"/>
  <c r="C37" i="8"/>
  <c r="D37" i="8"/>
  <c r="E37" i="8" s="1"/>
  <c r="A38" i="8"/>
  <c r="C38" i="8"/>
  <c r="D38" i="8"/>
  <c r="A39" i="8"/>
  <c r="C39" i="8"/>
  <c r="D39" i="8"/>
  <c r="A40" i="8"/>
  <c r="C40" i="8"/>
  <c r="D40" i="8"/>
  <c r="A41" i="8"/>
  <c r="C41" i="8"/>
  <c r="D41" i="8"/>
  <c r="A42" i="8"/>
  <c r="C42" i="8"/>
  <c r="D42" i="8"/>
  <c r="A43" i="8"/>
  <c r="C43" i="8"/>
  <c r="D43" i="8"/>
  <c r="E43" i="8" s="1"/>
  <c r="A44" i="8"/>
  <c r="C44" i="8"/>
  <c r="D44" i="8"/>
  <c r="E44" i="8" s="1"/>
  <c r="A45" i="8"/>
  <c r="C45" i="8"/>
  <c r="D45" i="8"/>
  <c r="E45" i="8" s="1"/>
  <c r="A46" i="8"/>
  <c r="C46" i="8"/>
  <c r="D46" i="8"/>
  <c r="A47" i="8"/>
  <c r="C47" i="8"/>
  <c r="D47" i="8"/>
  <c r="A48" i="8"/>
  <c r="C48" i="8"/>
  <c r="D48" i="8"/>
  <c r="A49" i="8"/>
  <c r="C49" i="8"/>
  <c r="D49" i="8"/>
  <c r="A50" i="8"/>
  <c r="C50" i="8"/>
  <c r="D50" i="8"/>
  <c r="A51" i="8"/>
  <c r="C51" i="8"/>
  <c r="D51" i="8"/>
  <c r="E51" i="8" s="1"/>
  <c r="A52" i="8"/>
  <c r="C52" i="8"/>
  <c r="D52" i="8"/>
  <c r="E52" i="8" s="1"/>
  <c r="A53" i="8"/>
  <c r="C53" i="8"/>
  <c r="D53" i="8"/>
  <c r="E53" i="8" s="1"/>
  <c r="A54" i="8"/>
  <c r="C54" i="8"/>
  <c r="D54" i="8"/>
  <c r="A55" i="8"/>
  <c r="C55" i="8"/>
  <c r="D55" i="8"/>
  <c r="A56" i="8"/>
  <c r="C56" i="8"/>
  <c r="D56" i="8"/>
  <c r="A57" i="8"/>
  <c r="C57" i="8"/>
  <c r="D57" i="8"/>
  <c r="A58" i="8"/>
  <c r="C58" i="8"/>
  <c r="D58" i="8"/>
  <c r="A59" i="8"/>
  <c r="C59" i="8"/>
  <c r="D59" i="8"/>
  <c r="E59" i="8" s="1"/>
  <c r="A60" i="8"/>
  <c r="C60" i="8"/>
  <c r="D60" i="8"/>
  <c r="E60" i="8" s="1"/>
  <c r="A61" i="8"/>
  <c r="C61" i="8"/>
  <c r="D61" i="8"/>
  <c r="E61" i="8" s="1"/>
  <c r="A62" i="8"/>
  <c r="C62" i="8"/>
  <c r="D62" i="8"/>
  <c r="A63" i="8"/>
  <c r="C63" i="8"/>
  <c r="D63" i="8"/>
  <c r="A64" i="8"/>
  <c r="C64" i="8"/>
  <c r="D64" i="8"/>
  <c r="A65" i="8"/>
  <c r="C65" i="8"/>
  <c r="D65" i="8"/>
  <c r="A66" i="8"/>
  <c r="C66" i="8"/>
  <c r="D66" i="8"/>
  <c r="A67" i="8"/>
  <c r="C67" i="8"/>
  <c r="D67" i="8"/>
  <c r="E67" i="8" s="1"/>
  <c r="A68" i="8"/>
  <c r="C68" i="8"/>
  <c r="D68" i="8"/>
  <c r="E68" i="8" s="1"/>
  <c r="A69" i="8"/>
  <c r="C69" i="8"/>
  <c r="D69" i="8"/>
  <c r="E69" i="8" s="1"/>
  <c r="A70" i="8"/>
  <c r="C70" i="8"/>
  <c r="D70" i="8"/>
  <c r="A71" i="8"/>
  <c r="C71" i="8"/>
  <c r="D71" i="8"/>
  <c r="A72" i="8"/>
  <c r="C72" i="8"/>
  <c r="D72" i="8"/>
  <c r="A73" i="8"/>
  <c r="C73" i="8"/>
  <c r="D73" i="8"/>
  <c r="A74" i="8"/>
  <c r="C74" i="8"/>
  <c r="D74" i="8"/>
  <c r="A75" i="8"/>
  <c r="C75" i="8"/>
  <c r="D75" i="8"/>
  <c r="E75" i="8" s="1"/>
  <c r="A76" i="8"/>
  <c r="C76" i="8"/>
  <c r="D76" i="8"/>
  <c r="E76" i="8" s="1"/>
  <c r="A77" i="8"/>
  <c r="C77" i="8"/>
  <c r="D77" i="8"/>
  <c r="E77" i="8" s="1"/>
  <c r="A78" i="8"/>
  <c r="C78" i="8"/>
  <c r="D78" i="8"/>
  <c r="A79" i="8"/>
  <c r="C79" i="8"/>
  <c r="D79" i="8"/>
  <c r="A80" i="8"/>
  <c r="C80" i="8"/>
  <c r="D80" i="8"/>
  <c r="A81" i="8"/>
  <c r="C81" i="8"/>
  <c r="D81" i="8"/>
  <c r="A82" i="8"/>
  <c r="C82" i="8"/>
  <c r="D82" i="8"/>
  <c r="A83" i="8"/>
  <c r="C83" i="8"/>
  <c r="D83" i="8"/>
  <c r="E83" i="8" s="1"/>
  <c r="A84" i="8"/>
  <c r="C84" i="8"/>
  <c r="D84" i="8"/>
  <c r="E84" i="8" s="1"/>
  <c r="A85" i="8"/>
  <c r="C85" i="8"/>
  <c r="D85" i="8"/>
  <c r="E85" i="8" s="1"/>
  <c r="A86" i="8"/>
  <c r="C86" i="8"/>
  <c r="D86" i="8"/>
  <c r="A87" i="8"/>
  <c r="C87" i="8"/>
  <c r="D87" i="8"/>
  <c r="A88" i="8"/>
  <c r="C88" i="8"/>
  <c r="D88" i="8"/>
  <c r="A89" i="8"/>
  <c r="C89" i="8"/>
  <c r="D89" i="8"/>
  <c r="A90" i="8"/>
  <c r="C90" i="8"/>
  <c r="D90" i="8"/>
  <c r="A91" i="8"/>
  <c r="C91" i="8"/>
  <c r="D91" i="8"/>
  <c r="E91" i="8" s="1"/>
  <c r="A92" i="8"/>
  <c r="C92" i="8"/>
  <c r="D92" i="8"/>
  <c r="E92" i="8" s="1"/>
  <c r="A93" i="8"/>
  <c r="C93" i="8"/>
  <c r="D93" i="8"/>
  <c r="E93" i="8" s="1"/>
  <c r="A94" i="8"/>
  <c r="C94" i="8"/>
  <c r="D94" i="8"/>
  <c r="A95" i="8"/>
  <c r="C95" i="8"/>
  <c r="D95" i="8"/>
  <c r="A96" i="8"/>
  <c r="C96" i="8"/>
  <c r="D96" i="8"/>
  <c r="A97" i="8"/>
  <c r="C97" i="8"/>
  <c r="D97" i="8"/>
  <c r="A98" i="8"/>
  <c r="C98" i="8"/>
  <c r="D98" i="8"/>
  <c r="A99" i="8"/>
  <c r="C99" i="8"/>
  <c r="D99" i="8"/>
  <c r="E99" i="8" s="1"/>
  <c r="A100" i="8"/>
  <c r="C100" i="8"/>
  <c r="D100" i="8"/>
  <c r="E100" i="8" s="1"/>
  <c r="A101" i="8"/>
  <c r="C101" i="8"/>
  <c r="D101" i="8"/>
  <c r="E101" i="8" s="1"/>
  <c r="A102" i="8"/>
  <c r="C102" i="8"/>
  <c r="D102" i="8"/>
  <c r="E102" i="8" s="1"/>
  <c r="A103" i="8"/>
  <c r="C103" i="8"/>
  <c r="D103" i="8"/>
  <c r="A104" i="8"/>
  <c r="C104" i="8"/>
  <c r="D104" i="8"/>
  <c r="E104" i="8" s="1"/>
  <c r="A105" i="8"/>
  <c r="C105" i="8"/>
  <c r="D105" i="8"/>
  <c r="A106" i="8"/>
  <c r="C106" i="8"/>
  <c r="D106" i="8"/>
  <c r="A107" i="8"/>
  <c r="C107" i="8"/>
  <c r="D107" i="8"/>
  <c r="A108" i="8"/>
  <c r="C108" i="8"/>
  <c r="D108" i="8"/>
  <c r="E108" i="8" s="1"/>
  <c r="A109" i="8"/>
  <c r="C109" i="8"/>
  <c r="D109" i="8"/>
  <c r="E109" i="8" s="1"/>
  <c r="A110" i="8"/>
  <c r="C110" i="8"/>
  <c r="D110" i="8"/>
  <c r="A111" i="8"/>
  <c r="C111" i="8"/>
  <c r="D111" i="8"/>
  <c r="A112" i="8"/>
  <c r="C112" i="8"/>
  <c r="D112" i="8"/>
  <c r="E112" i="8" s="1"/>
  <c r="A113" i="8"/>
  <c r="C113" i="8"/>
  <c r="D113" i="8"/>
  <c r="A114" i="8"/>
  <c r="C114" i="8"/>
  <c r="D114" i="8"/>
  <c r="A115" i="8"/>
  <c r="C115" i="8"/>
  <c r="D115" i="8"/>
  <c r="A116" i="8"/>
  <c r="C116" i="8"/>
  <c r="D116" i="8"/>
  <c r="E116" i="8" s="1"/>
  <c r="A117" i="8"/>
  <c r="C117" i="8"/>
  <c r="D117" i="8"/>
  <c r="E117" i="8" s="1"/>
  <c r="A118" i="8"/>
  <c r="C118" i="8"/>
  <c r="D118" i="8"/>
  <c r="A119" i="8"/>
  <c r="C119" i="8"/>
  <c r="D119" i="8"/>
  <c r="A120" i="8"/>
  <c r="C120" i="8"/>
  <c r="D120" i="8"/>
  <c r="E120" i="8" s="1"/>
  <c r="A121" i="8"/>
  <c r="C121" i="8"/>
  <c r="D121" i="8"/>
  <c r="E121" i="8" s="1"/>
  <c r="A122" i="8"/>
  <c r="C122" i="8"/>
  <c r="D122" i="8"/>
  <c r="A123" i="8"/>
  <c r="C123" i="8"/>
  <c r="D123" i="8"/>
  <c r="A124" i="8"/>
  <c r="C124" i="8"/>
  <c r="D124" i="8"/>
  <c r="E124" i="8" s="1"/>
  <c r="A125" i="8"/>
  <c r="C125" i="8"/>
  <c r="D125" i="8"/>
  <c r="A126" i="8"/>
  <c r="C126" i="8"/>
  <c r="D126" i="8"/>
  <c r="A127" i="8"/>
  <c r="C127" i="8"/>
  <c r="D127" i="8"/>
  <c r="A128" i="8"/>
  <c r="C128" i="8"/>
  <c r="D128" i="8"/>
  <c r="E128" i="8" s="1"/>
  <c r="A129" i="8"/>
  <c r="C129" i="8"/>
  <c r="D129" i="8"/>
  <c r="E129" i="8" s="1"/>
  <c r="A130" i="8"/>
  <c r="C130" i="8"/>
  <c r="D130" i="8"/>
  <c r="E130" i="8" s="1"/>
  <c r="A131" i="8"/>
  <c r="C131" i="8"/>
  <c r="D131" i="8"/>
  <c r="A132" i="8"/>
  <c r="C132" i="8"/>
  <c r="D132" i="8"/>
  <c r="E132" i="8" s="1"/>
  <c r="A133" i="8"/>
  <c r="C133" i="8"/>
  <c r="D133" i="8"/>
  <c r="A134" i="8"/>
  <c r="C134" i="8"/>
  <c r="D134" i="8"/>
  <c r="A135" i="8"/>
  <c r="C135" i="8"/>
  <c r="D135" i="8"/>
  <c r="A136" i="8"/>
  <c r="C136" i="8"/>
  <c r="D136" i="8"/>
  <c r="E136" i="8" s="1"/>
  <c r="A137" i="8"/>
  <c r="C137" i="8"/>
  <c r="D137" i="8"/>
  <c r="E137" i="8" s="1"/>
  <c r="A138" i="8"/>
  <c r="C138" i="8"/>
  <c r="D138" i="8"/>
  <c r="E138" i="8" s="1"/>
  <c r="A139" i="8"/>
  <c r="C139" i="8"/>
  <c r="D139" i="8"/>
  <c r="A140" i="8"/>
  <c r="C140" i="8"/>
  <c r="D140" i="8"/>
  <c r="E140" i="8" s="1"/>
  <c r="A141" i="8"/>
  <c r="C141" i="8"/>
  <c r="D141" i="8"/>
  <c r="A142" i="8"/>
  <c r="C142" i="8"/>
  <c r="D142" i="8"/>
  <c r="A143" i="8"/>
  <c r="C143" i="8"/>
  <c r="D143" i="8"/>
  <c r="A144" i="8"/>
  <c r="C144" i="8"/>
  <c r="D144" i="8"/>
  <c r="E144" i="8" s="1"/>
  <c r="A145" i="8"/>
  <c r="C145" i="8"/>
  <c r="D145" i="8"/>
  <c r="E145" i="8" s="1"/>
  <c r="A146" i="8"/>
  <c r="C146" i="8"/>
  <c r="D146" i="8"/>
  <c r="E146" i="8" s="1"/>
  <c r="A147" i="8"/>
  <c r="C147" i="8"/>
  <c r="D147" i="8"/>
  <c r="A148" i="8"/>
  <c r="C148" i="8"/>
  <c r="D148" i="8"/>
  <c r="E148" i="8" s="1"/>
  <c r="A149" i="8"/>
  <c r="C149" i="8"/>
  <c r="D149" i="8"/>
  <c r="A150" i="8"/>
  <c r="C150" i="8"/>
  <c r="D150" i="8"/>
  <c r="A151" i="8"/>
  <c r="C151" i="8"/>
  <c r="D151" i="8"/>
  <c r="A152" i="8"/>
  <c r="C152" i="8"/>
  <c r="D152" i="8"/>
  <c r="E152" i="8" s="1"/>
  <c r="A153" i="8"/>
  <c r="C153" i="8"/>
  <c r="D153" i="8"/>
  <c r="E153" i="8" s="1"/>
  <c r="A154" i="8"/>
  <c r="C154" i="8"/>
  <c r="D154" i="8"/>
  <c r="E154" i="8" s="1"/>
  <c r="A155" i="8"/>
  <c r="C155" i="8"/>
  <c r="D155" i="8"/>
  <c r="A156" i="8"/>
  <c r="C156" i="8"/>
  <c r="D156" i="8"/>
  <c r="E156" i="8" s="1"/>
  <c r="A157" i="8"/>
  <c r="C157" i="8"/>
  <c r="D157" i="8"/>
  <c r="A158" i="8"/>
  <c r="C158" i="8"/>
  <c r="D158" i="8"/>
  <c r="A159" i="8"/>
  <c r="C159" i="8"/>
  <c r="D159" i="8"/>
  <c r="A160" i="8"/>
  <c r="C160" i="8"/>
  <c r="D160" i="8"/>
  <c r="E160" i="8" s="1"/>
  <c r="A161" i="8"/>
  <c r="C161" i="8"/>
  <c r="D161" i="8"/>
  <c r="E161" i="8" s="1"/>
  <c r="A162" i="8"/>
  <c r="C162" i="8"/>
  <c r="D162" i="8"/>
  <c r="E162" i="8" s="1"/>
  <c r="A163" i="8"/>
  <c r="C163" i="8"/>
  <c r="D163" i="8"/>
  <c r="A164" i="8"/>
  <c r="C164" i="8"/>
  <c r="D164" i="8"/>
  <c r="E164" i="8" s="1"/>
  <c r="A165" i="8"/>
  <c r="C165" i="8"/>
  <c r="D165" i="8"/>
  <c r="A166" i="8"/>
  <c r="C166" i="8"/>
  <c r="D166" i="8"/>
  <c r="A167" i="8"/>
  <c r="C167" i="8"/>
  <c r="D167" i="8"/>
  <c r="A168" i="8"/>
  <c r="C168" i="8"/>
  <c r="D168" i="8"/>
  <c r="E168" i="8" s="1"/>
  <c r="A169" i="8"/>
  <c r="C169" i="8"/>
  <c r="D169" i="8"/>
  <c r="E169" i="8" s="1"/>
  <c r="A170" i="8"/>
  <c r="C170" i="8"/>
  <c r="D170" i="8"/>
  <c r="E170" i="8" s="1"/>
  <c r="A171" i="8"/>
  <c r="C171" i="8"/>
  <c r="D171" i="8"/>
  <c r="A172" i="8"/>
  <c r="C172" i="8"/>
  <c r="D172" i="8"/>
  <c r="E172" i="8" s="1"/>
  <c r="A173" i="8"/>
  <c r="C173" i="8"/>
  <c r="D173" i="8"/>
  <c r="A174" i="8"/>
  <c r="C174" i="8"/>
  <c r="D174" i="8"/>
  <c r="A175" i="8"/>
  <c r="C175" i="8"/>
  <c r="D175" i="8"/>
  <c r="A176" i="8"/>
  <c r="C176" i="8"/>
  <c r="D176" i="8"/>
  <c r="E176" i="8" s="1"/>
  <c r="A177" i="8"/>
  <c r="C177" i="8"/>
  <c r="D177" i="8"/>
  <c r="E177" i="8" s="1"/>
  <c r="A178" i="8"/>
  <c r="C178" i="8"/>
  <c r="D178" i="8"/>
  <c r="E178" i="8" s="1"/>
  <c r="A179" i="8"/>
  <c r="C179" i="8"/>
  <c r="D179" i="8"/>
  <c r="A180" i="8"/>
  <c r="C180" i="8"/>
  <c r="D180" i="8"/>
  <c r="E180" i="8" s="1"/>
  <c r="A181" i="8"/>
  <c r="C181" i="8"/>
  <c r="D181" i="8"/>
  <c r="A182" i="8"/>
  <c r="C182" i="8"/>
  <c r="D182" i="8"/>
  <c r="A183" i="8"/>
  <c r="C183" i="8"/>
  <c r="D183" i="8"/>
  <c r="A184" i="8"/>
  <c r="C184" i="8"/>
  <c r="D184" i="8"/>
  <c r="E184" i="8" s="1"/>
  <c r="A185" i="8"/>
  <c r="C185" i="8"/>
  <c r="D185" i="8"/>
  <c r="E185" i="8" s="1"/>
  <c r="A186" i="8"/>
  <c r="C186" i="8"/>
  <c r="D186" i="8"/>
  <c r="E186" i="8" s="1"/>
  <c r="A187" i="8"/>
  <c r="C187" i="8"/>
  <c r="D187" i="8"/>
  <c r="A188" i="8"/>
  <c r="C188" i="8"/>
  <c r="D188" i="8"/>
  <c r="E188" i="8" s="1"/>
  <c r="A189" i="8"/>
  <c r="C189" i="8"/>
  <c r="D189" i="8"/>
  <c r="A190" i="8"/>
  <c r="C190" i="8"/>
  <c r="D190" i="8"/>
  <c r="A191" i="8"/>
  <c r="C191" i="8"/>
  <c r="D191" i="8"/>
  <c r="A192" i="8"/>
  <c r="C192" i="8"/>
  <c r="D192" i="8"/>
  <c r="E192" i="8" s="1"/>
  <c r="A193" i="8"/>
  <c r="C193" i="8"/>
  <c r="D193" i="8"/>
  <c r="E193" i="8" s="1"/>
  <c r="A194" i="8"/>
  <c r="C194" i="8"/>
  <c r="D194" i="8"/>
  <c r="E194" i="8" s="1"/>
  <c r="A195" i="8"/>
  <c r="C195" i="8"/>
  <c r="D195" i="8"/>
  <c r="A196" i="8"/>
  <c r="C196" i="8"/>
  <c r="D196" i="8"/>
  <c r="E196" i="8" s="1"/>
  <c r="A197" i="8"/>
  <c r="C197" i="8"/>
  <c r="D197" i="8"/>
  <c r="A198" i="8"/>
  <c r="C198" i="8"/>
  <c r="D198" i="8"/>
  <c r="A199" i="8"/>
  <c r="C199" i="8"/>
  <c r="D199" i="8"/>
  <c r="A200" i="8"/>
  <c r="C200" i="8"/>
  <c r="D200" i="8"/>
  <c r="E200" i="8" s="1"/>
  <c r="A201" i="8"/>
  <c r="C201" i="8"/>
  <c r="D201" i="8"/>
  <c r="E201" i="8" s="1"/>
  <c r="A202" i="8"/>
  <c r="C202" i="8"/>
  <c r="D202" i="8"/>
  <c r="E202" i="8" s="1"/>
  <c r="A203" i="8"/>
  <c r="C203" i="8"/>
  <c r="D203" i="8"/>
  <c r="A204" i="8"/>
  <c r="C204" i="8"/>
  <c r="D204" i="8"/>
  <c r="E204" i="8" s="1"/>
  <c r="A205" i="8"/>
  <c r="C205" i="8"/>
  <c r="D205" i="8"/>
  <c r="A206" i="8"/>
  <c r="C206" i="8"/>
  <c r="D206" i="8"/>
  <c r="A207" i="8"/>
  <c r="C207" i="8"/>
  <c r="D207" i="8"/>
  <c r="A208" i="8"/>
  <c r="C208" i="8"/>
  <c r="D208" i="8"/>
  <c r="E208" i="8" s="1"/>
  <c r="A209" i="8"/>
  <c r="C209" i="8"/>
  <c r="D209" i="8"/>
  <c r="E209" i="8" s="1"/>
  <c r="A210" i="8"/>
  <c r="C210" i="8"/>
  <c r="D210" i="8"/>
  <c r="E210" i="8" s="1"/>
  <c r="A211" i="8"/>
  <c r="C211" i="8"/>
  <c r="D211" i="8"/>
  <c r="A212" i="8"/>
  <c r="C212" i="8"/>
  <c r="D212" i="8"/>
  <c r="E212" i="8" s="1"/>
  <c r="A213" i="8"/>
  <c r="C213" i="8"/>
  <c r="D213" i="8"/>
  <c r="A214" i="8"/>
  <c r="C214" i="8"/>
  <c r="D214" i="8"/>
  <c r="A215" i="8"/>
  <c r="C215" i="8"/>
  <c r="D215" i="8"/>
  <c r="A216" i="8"/>
  <c r="C216" i="8"/>
  <c r="D216" i="8"/>
  <c r="E216" i="8" s="1"/>
  <c r="A217" i="8"/>
  <c r="C217" i="8"/>
  <c r="D217" i="8"/>
  <c r="E217" i="8" s="1"/>
  <c r="A218" i="8"/>
  <c r="C218" i="8"/>
  <c r="D218" i="8"/>
  <c r="E218" i="8" s="1"/>
  <c r="A219" i="8"/>
  <c r="C219" i="8"/>
  <c r="D219" i="8"/>
  <c r="A220" i="8"/>
  <c r="C220" i="8"/>
  <c r="D220" i="8"/>
  <c r="E220" i="8" s="1"/>
  <c r="A221" i="8"/>
  <c r="C221" i="8"/>
  <c r="D221" i="8"/>
  <c r="A222" i="8"/>
  <c r="C222" i="8"/>
  <c r="D222" i="8"/>
  <c r="A223" i="8"/>
  <c r="C223" i="8"/>
  <c r="D223" i="8"/>
  <c r="A224" i="8"/>
  <c r="C224" i="8"/>
  <c r="D224" i="8"/>
  <c r="E224" i="8" s="1"/>
  <c r="A225" i="8"/>
  <c r="C225" i="8"/>
  <c r="D225" i="8"/>
  <c r="E225" i="8" s="1"/>
  <c r="A226" i="8"/>
  <c r="C226" i="8"/>
  <c r="D226" i="8"/>
  <c r="E226" i="8" s="1"/>
  <c r="A227" i="8"/>
  <c r="C227" i="8"/>
  <c r="D227" i="8"/>
  <c r="A228" i="8"/>
  <c r="C228" i="8"/>
  <c r="D228" i="8"/>
  <c r="E228" i="8" s="1"/>
  <c r="A229" i="8"/>
  <c r="C229" i="8"/>
  <c r="D229" i="8"/>
  <c r="A230" i="8"/>
  <c r="C230" i="8"/>
  <c r="D230" i="8"/>
  <c r="A231" i="8"/>
  <c r="C231" i="8"/>
  <c r="D231" i="8"/>
  <c r="A232" i="8"/>
  <c r="C232" i="8"/>
  <c r="D232" i="8"/>
  <c r="E232" i="8" s="1"/>
  <c r="A233" i="8"/>
  <c r="C233" i="8"/>
  <c r="D233" i="8"/>
  <c r="E233" i="8" s="1"/>
  <c r="A234" i="8"/>
  <c r="C234" i="8"/>
  <c r="D234" i="8"/>
  <c r="E234" i="8" s="1"/>
  <c r="A235" i="8"/>
  <c r="C235" i="8"/>
  <c r="D235" i="8"/>
  <c r="A236" i="8"/>
  <c r="C236" i="8"/>
  <c r="D236" i="8"/>
  <c r="E236" i="8" s="1"/>
  <c r="A237" i="8"/>
  <c r="C237" i="8"/>
  <c r="D237" i="8"/>
  <c r="A238" i="8"/>
  <c r="C238" i="8"/>
  <c r="D238" i="8"/>
  <c r="E238" i="8" s="1"/>
  <c r="A239" i="8"/>
  <c r="C239" i="8"/>
  <c r="D239" i="8"/>
  <c r="A240" i="8"/>
  <c r="C240" i="8"/>
  <c r="D240" i="8"/>
  <c r="E240" i="8" s="1"/>
  <c r="A241" i="8"/>
  <c r="C241" i="8"/>
  <c r="D241" i="8"/>
  <c r="E241" i="8" s="1"/>
  <c r="A242" i="8"/>
  <c r="C242" i="8"/>
  <c r="D242" i="8"/>
  <c r="E242" i="8" s="1"/>
  <c r="A243" i="8"/>
  <c r="C243" i="8"/>
  <c r="D243" i="8"/>
  <c r="A244" i="8"/>
  <c r="C244" i="8"/>
  <c r="D244" i="8"/>
  <c r="E244" i="8" s="1"/>
  <c r="A245" i="8"/>
  <c r="C245" i="8"/>
  <c r="D245" i="8"/>
  <c r="A246" i="8"/>
  <c r="C246" i="8"/>
  <c r="D246" i="8"/>
  <c r="E246" i="8" s="1"/>
  <c r="A247" i="8"/>
  <c r="C247" i="8"/>
  <c r="D247" i="8"/>
  <c r="A248" i="8"/>
  <c r="C248" i="8"/>
  <c r="D248" i="8"/>
  <c r="E248" i="8" s="1"/>
  <c r="A249" i="8"/>
  <c r="C249" i="8"/>
  <c r="D249" i="8"/>
  <c r="E249" i="8" s="1"/>
  <c r="A250" i="8"/>
  <c r="C250" i="8"/>
  <c r="D250" i="8"/>
  <c r="E250" i="8" s="1"/>
  <c r="A251" i="8"/>
  <c r="C251" i="8"/>
  <c r="D251" i="8"/>
  <c r="A252" i="8"/>
  <c r="C252" i="8"/>
  <c r="D252" i="8"/>
  <c r="E252" i="8" s="1"/>
  <c r="A253" i="8"/>
  <c r="C253" i="8"/>
  <c r="D253" i="8"/>
  <c r="A254" i="8"/>
  <c r="C254" i="8"/>
  <c r="D254" i="8"/>
  <c r="E254" i="8" s="1"/>
  <c r="A255" i="8"/>
  <c r="C255" i="8"/>
  <c r="D255" i="8"/>
  <c r="A256" i="8"/>
  <c r="C256" i="8"/>
  <c r="D256" i="8"/>
  <c r="E256" i="8" s="1"/>
  <c r="A257" i="8"/>
  <c r="C257" i="8"/>
  <c r="D257" i="8"/>
  <c r="E257" i="8" s="1"/>
  <c r="A258" i="8"/>
  <c r="C258" i="8"/>
  <c r="D258" i="8"/>
  <c r="E258" i="8" s="1"/>
  <c r="A259" i="8"/>
  <c r="C259" i="8"/>
  <c r="D259" i="8"/>
  <c r="A260" i="8"/>
  <c r="C260" i="8"/>
  <c r="D260" i="8"/>
  <c r="E260" i="8" s="1"/>
  <c r="A261" i="8"/>
  <c r="C261" i="8"/>
  <c r="D261" i="8"/>
  <c r="A262" i="8"/>
  <c r="C262" i="8"/>
  <c r="D262" i="8"/>
  <c r="E262" i="8" s="1"/>
  <c r="A263" i="8"/>
  <c r="C263" i="8"/>
  <c r="D263" i="8"/>
  <c r="A264" i="8"/>
  <c r="C264" i="8"/>
  <c r="D264" i="8"/>
  <c r="E264" i="8" s="1"/>
  <c r="A265" i="8"/>
  <c r="C265" i="8"/>
  <c r="D265" i="8"/>
  <c r="E265" i="8" s="1"/>
  <c r="A266" i="8"/>
  <c r="C266" i="8"/>
  <c r="D266" i="8"/>
  <c r="E266" i="8" s="1"/>
  <c r="A267" i="8"/>
  <c r="C267" i="8"/>
  <c r="D267" i="8"/>
  <c r="A268" i="8"/>
  <c r="C268" i="8"/>
  <c r="D268" i="8"/>
  <c r="E268" i="8" s="1"/>
  <c r="A269" i="8"/>
  <c r="C269" i="8"/>
  <c r="D269" i="8"/>
  <c r="A270" i="8"/>
  <c r="C270" i="8"/>
  <c r="D270" i="8"/>
  <c r="E270" i="8" s="1"/>
  <c r="A271" i="8"/>
  <c r="C271" i="8"/>
  <c r="D271" i="8"/>
  <c r="A272" i="8"/>
  <c r="C272" i="8"/>
  <c r="D272" i="8"/>
  <c r="E272" i="8" s="1"/>
  <c r="A273" i="8"/>
  <c r="C273" i="8"/>
  <c r="D273" i="8"/>
  <c r="E273" i="8" s="1"/>
  <c r="A274" i="8"/>
  <c r="C274" i="8"/>
  <c r="D274" i="8"/>
  <c r="E274" i="8" s="1"/>
  <c r="A275" i="8"/>
  <c r="C275" i="8"/>
  <c r="D275" i="8"/>
  <c r="A276" i="8"/>
  <c r="C276" i="8"/>
  <c r="D276" i="8"/>
  <c r="E276" i="8" s="1"/>
  <c r="A277" i="8"/>
  <c r="C277" i="8"/>
  <c r="D277" i="8"/>
  <c r="A278" i="8"/>
  <c r="C278" i="8"/>
  <c r="D278" i="8"/>
  <c r="E278" i="8" s="1"/>
  <c r="A279" i="8"/>
  <c r="C279" i="8"/>
  <c r="D279" i="8"/>
  <c r="A280" i="8"/>
  <c r="C280" i="8"/>
  <c r="D280" i="8"/>
  <c r="E280" i="8" s="1"/>
  <c r="A281" i="8"/>
  <c r="C281" i="8"/>
  <c r="D281" i="8"/>
  <c r="E281" i="8" s="1"/>
  <c r="A282" i="8"/>
  <c r="C282" i="8"/>
  <c r="D282" i="8"/>
  <c r="E282" i="8" s="1"/>
  <c r="A283" i="8"/>
  <c r="C283" i="8"/>
  <c r="D283" i="8"/>
  <c r="A284" i="8"/>
  <c r="C284" i="8"/>
  <c r="D284" i="8"/>
  <c r="E284" i="8" s="1"/>
  <c r="A285" i="8"/>
  <c r="C285" i="8"/>
  <c r="D285" i="8"/>
  <c r="A286" i="8"/>
  <c r="C286" i="8"/>
  <c r="D286" i="8"/>
  <c r="E286" i="8" s="1"/>
  <c r="A287" i="8"/>
  <c r="C287" i="8"/>
  <c r="D287" i="8"/>
  <c r="A288" i="8"/>
  <c r="C288" i="8"/>
  <c r="D288" i="8"/>
  <c r="E288" i="8" s="1"/>
  <c r="A289" i="8"/>
  <c r="C289" i="8"/>
  <c r="D289" i="8"/>
  <c r="E289" i="8" s="1"/>
  <c r="A290" i="8"/>
  <c r="C290" i="8"/>
  <c r="D290" i="8"/>
  <c r="E290" i="8" s="1"/>
  <c r="A291" i="8"/>
  <c r="C291" i="8"/>
  <c r="D291" i="8"/>
  <c r="A292" i="8"/>
  <c r="C292" i="8"/>
  <c r="D292" i="8"/>
  <c r="E292" i="8" s="1"/>
  <c r="A293" i="8"/>
  <c r="C293" i="8"/>
  <c r="D293" i="8"/>
  <c r="A294" i="8"/>
  <c r="C294" i="8"/>
  <c r="D294" i="8"/>
  <c r="E294" i="8" s="1"/>
  <c r="A295" i="8"/>
  <c r="C295" i="8"/>
  <c r="D295" i="8"/>
  <c r="A296" i="8"/>
  <c r="C296" i="8"/>
  <c r="D296" i="8"/>
  <c r="E296" i="8" s="1"/>
  <c r="A297" i="8"/>
  <c r="C297" i="8"/>
  <c r="D297" i="8"/>
  <c r="E297" i="8" s="1"/>
  <c r="A298" i="8"/>
  <c r="C298" i="8"/>
  <c r="D298" i="8"/>
  <c r="E298" i="8" s="1"/>
  <c r="A299" i="8"/>
  <c r="C299" i="8"/>
  <c r="D299" i="8"/>
  <c r="A300" i="8"/>
  <c r="C300" i="8"/>
  <c r="D300" i="8"/>
  <c r="E300" i="8" s="1"/>
  <c r="A301" i="8"/>
  <c r="C301" i="8"/>
  <c r="D301" i="8"/>
  <c r="A302" i="8"/>
  <c r="C302" i="8"/>
  <c r="D302" i="8"/>
  <c r="E302" i="8" s="1"/>
  <c r="A303" i="8"/>
  <c r="C303" i="8"/>
  <c r="D303" i="8"/>
  <c r="A304" i="8"/>
  <c r="C304" i="8"/>
  <c r="D304" i="8"/>
  <c r="E304" i="8" s="1"/>
  <c r="A305" i="8"/>
  <c r="C305" i="8"/>
  <c r="D305" i="8"/>
  <c r="E305" i="8" s="1"/>
  <c r="A306" i="8"/>
  <c r="C306" i="8"/>
  <c r="D306" i="8"/>
  <c r="E306" i="8" s="1"/>
  <c r="A307" i="8"/>
  <c r="C307" i="8"/>
  <c r="D307" i="8"/>
  <c r="A308" i="8"/>
  <c r="C308" i="8"/>
  <c r="D308" i="8"/>
  <c r="E308" i="8" s="1"/>
  <c r="A309" i="8"/>
  <c r="C309" i="8"/>
  <c r="D309" i="8"/>
  <c r="A310" i="8"/>
  <c r="C310" i="8"/>
  <c r="D310" i="8"/>
  <c r="E310" i="8" s="1"/>
  <c r="A311" i="8"/>
  <c r="C311" i="8"/>
  <c r="D311" i="8"/>
  <c r="A312" i="8"/>
  <c r="C312" i="8"/>
  <c r="D312" i="8"/>
  <c r="E312" i="8" s="1"/>
  <c r="A313" i="8"/>
  <c r="C313" i="8"/>
  <c r="D313" i="8"/>
  <c r="E313" i="8" s="1"/>
  <c r="A314" i="8"/>
  <c r="C314" i="8"/>
  <c r="D314" i="8"/>
  <c r="E314" i="8" s="1"/>
  <c r="A315" i="8"/>
  <c r="C315" i="8"/>
  <c r="D315" i="8"/>
  <c r="A316" i="8"/>
  <c r="C316" i="8"/>
  <c r="D316" i="8"/>
  <c r="E316" i="8" s="1"/>
  <c r="A317" i="8"/>
  <c r="C317" i="8"/>
  <c r="D317" i="8"/>
  <c r="A318" i="8"/>
  <c r="C318" i="8"/>
  <c r="D318" i="8"/>
  <c r="E318" i="8" s="1"/>
  <c r="A319" i="8"/>
  <c r="C319" i="8"/>
  <c r="D319" i="8"/>
  <c r="A320" i="8"/>
  <c r="C320" i="8"/>
  <c r="D320" i="8"/>
  <c r="E320" i="8" s="1"/>
  <c r="A321" i="8"/>
  <c r="C321" i="8"/>
  <c r="D321" i="8"/>
  <c r="E321" i="8" s="1"/>
  <c r="A322" i="8"/>
  <c r="C322" i="8"/>
  <c r="D322" i="8"/>
  <c r="E322" i="8" s="1"/>
  <c r="A323" i="8"/>
  <c r="C323" i="8"/>
  <c r="D323" i="8"/>
  <c r="A324" i="8"/>
  <c r="C324" i="8"/>
  <c r="D324" i="8"/>
  <c r="E324" i="8" s="1"/>
  <c r="A325" i="8"/>
  <c r="C325" i="8"/>
  <c r="D325" i="8"/>
  <c r="A326" i="8"/>
  <c r="C326" i="8"/>
  <c r="D326" i="8"/>
  <c r="E326" i="8" s="1"/>
  <c r="A327" i="8"/>
  <c r="C327" i="8"/>
  <c r="D327" i="8"/>
  <c r="A328" i="8"/>
  <c r="C328" i="8"/>
  <c r="D328" i="8"/>
  <c r="E328" i="8" s="1"/>
  <c r="A329" i="8"/>
  <c r="C329" i="8"/>
  <c r="D329" i="8"/>
  <c r="E329" i="8" s="1"/>
  <c r="A330" i="8"/>
  <c r="C330" i="8"/>
  <c r="D330" i="8"/>
  <c r="E330" i="8" s="1"/>
  <c r="A331" i="8"/>
  <c r="C331" i="8"/>
  <c r="D331" i="8"/>
  <c r="A332" i="8"/>
  <c r="C332" i="8"/>
  <c r="D332" i="8"/>
  <c r="E332" i="8" s="1"/>
  <c r="A333" i="8"/>
  <c r="C333" i="8"/>
  <c r="D333" i="8"/>
  <c r="A334" i="8"/>
  <c r="C334" i="8"/>
  <c r="D334" i="8"/>
  <c r="E334" i="8" s="1"/>
  <c r="A335" i="8"/>
  <c r="C335" i="8"/>
  <c r="D335" i="8"/>
  <c r="A336" i="8"/>
  <c r="C336" i="8"/>
  <c r="D336" i="8"/>
  <c r="E336" i="8" s="1"/>
  <c r="A337" i="8"/>
  <c r="C337" i="8"/>
  <c r="D337" i="8"/>
  <c r="E337" i="8" s="1"/>
  <c r="A338" i="8"/>
  <c r="C338" i="8"/>
  <c r="D338" i="8"/>
  <c r="E338" i="8" s="1"/>
  <c r="A339" i="8"/>
  <c r="C339" i="8"/>
  <c r="D339" i="8"/>
  <c r="A340" i="8"/>
  <c r="C340" i="8"/>
  <c r="D340" i="8"/>
  <c r="E340" i="8" s="1"/>
  <c r="A341" i="8"/>
  <c r="C341" i="8"/>
  <c r="D341" i="8"/>
  <c r="A342" i="8"/>
  <c r="C342" i="8"/>
  <c r="D342" i="8"/>
  <c r="E342" i="8" s="1"/>
  <c r="A343" i="8"/>
  <c r="C343" i="8"/>
  <c r="D343" i="8"/>
  <c r="A344" i="8"/>
  <c r="C344" i="8"/>
  <c r="D344" i="8"/>
  <c r="E344" i="8" s="1"/>
  <c r="A345" i="8"/>
  <c r="C345" i="8"/>
  <c r="D345" i="8"/>
  <c r="E345" i="8" s="1"/>
  <c r="A346" i="8"/>
  <c r="C346" i="8"/>
  <c r="D346" i="8"/>
  <c r="E346" i="8" s="1"/>
  <c r="A347" i="8"/>
  <c r="C347" i="8"/>
  <c r="D347" i="8"/>
  <c r="A348" i="8"/>
  <c r="C348" i="8"/>
  <c r="D348" i="8"/>
  <c r="E348" i="8" s="1"/>
  <c r="A349" i="8"/>
  <c r="C349" i="8"/>
  <c r="D349" i="8"/>
  <c r="A350" i="8"/>
  <c r="C350" i="8"/>
  <c r="D350" i="8"/>
  <c r="E350" i="8" s="1"/>
  <c r="A351" i="8"/>
  <c r="C351" i="8"/>
  <c r="D351" i="8"/>
  <c r="A352" i="8"/>
  <c r="C352" i="8"/>
  <c r="D352" i="8"/>
  <c r="E352" i="8" s="1"/>
  <c r="A353" i="8"/>
  <c r="C353" i="8"/>
  <c r="D353" i="8"/>
  <c r="E353" i="8" s="1"/>
  <c r="A354" i="8"/>
  <c r="C354" i="8"/>
  <c r="D354" i="8"/>
  <c r="E354" i="8" s="1"/>
  <c r="A355" i="8"/>
  <c r="C355" i="8"/>
  <c r="D355" i="8"/>
  <c r="A356" i="8"/>
  <c r="C356" i="8"/>
  <c r="D356" i="8"/>
  <c r="E356" i="8" s="1"/>
  <c r="A357" i="8"/>
  <c r="C357" i="8"/>
  <c r="D357" i="8"/>
  <c r="A358" i="8"/>
  <c r="C358" i="8"/>
  <c r="D358" i="8"/>
  <c r="E358" i="8" s="1"/>
  <c r="A359" i="8"/>
  <c r="C359" i="8"/>
  <c r="D359" i="8"/>
  <c r="A360" i="8"/>
  <c r="C360" i="8"/>
  <c r="D360" i="8"/>
  <c r="E360" i="8" s="1"/>
  <c r="A361" i="8"/>
  <c r="C361" i="8"/>
  <c r="D361" i="8"/>
  <c r="E361" i="8" s="1"/>
  <c r="A362" i="8"/>
  <c r="C362" i="8"/>
  <c r="D362" i="8"/>
  <c r="E362" i="8" s="1"/>
  <c r="A363" i="8"/>
  <c r="C363" i="8"/>
  <c r="D363" i="8"/>
  <c r="A364" i="8"/>
  <c r="C364" i="8"/>
  <c r="D364" i="8"/>
  <c r="E364" i="8" s="1"/>
  <c r="A365" i="8"/>
  <c r="C365" i="8"/>
  <c r="D365" i="8"/>
  <c r="A366" i="8"/>
  <c r="C366" i="8"/>
  <c r="D366" i="8"/>
  <c r="E366" i="8" s="1"/>
  <c r="A367" i="8"/>
  <c r="C367" i="8"/>
  <c r="D367" i="8"/>
  <c r="A368" i="8"/>
  <c r="C368" i="8"/>
  <c r="D368" i="8"/>
  <c r="E368" i="8" s="1"/>
  <c r="A369" i="8"/>
  <c r="C369" i="8"/>
  <c r="D369" i="8"/>
  <c r="E369" i="8" s="1"/>
  <c r="A370" i="8"/>
  <c r="C370" i="8"/>
  <c r="D370" i="8"/>
  <c r="E370" i="8" s="1"/>
  <c r="A371" i="8"/>
  <c r="C371" i="8"/>
  <c r="D371" i="8"/>
  <c r="A372" i="8"/>
  <c r="C372" i="8"/>
  <c r="D372" i="8"/>
  <c r="E372" i="8" s="1"/>
  <c r="A373" i="8"/>
  <c r="C373" i="8"/>
  <c r="D373" i="8"/>
  <c r="A374" i="8"/>
  <c r="C374" i="8"/>
  <c r="D374" i="8"/>
  <c r="E374" i="8" s="1"/>
  <c r="A375" i="8"/>
  <c r="C375" i="8"/>
  <c r="D375" i="8"/>
  <c r="A376" i="8"/>
  <c r="C376" i="8"/>
  <c r="D376" i="8"/>
  <c r="E376" i="8" s="1"/>
  <c r="A377" i="8"/>
  <c r="C377" i="8"/>
  <c r="D377" i="8"/>
  <c r="E377" i="8" s="1"/>
  <c r="A378" i="8"/>
  <c r="C378" i="8"/>
  <c r="D378" i="8"/>
  <c r="E378" i="8" s="1"/>
  <c r="A379" i="8"/>
  <c r="C379" i="8"/>
  <c r="D379" i="8"/>
  <c r="A380" i="8"/>
  <c r="C380" i="8"/>
  <c r="D380" i="8"/>
  <c r="E380" i="8" s="1"/>
  <c r="A381" i="8"/>
  <c r="C381" i="8"/>
  <c r="D381" i="8"/>
  <c r="A382" i="8"/>
  <c r="C382" i="8"/>
  <c r="D382" i="8"/>
  <c r="E382" i="8" s="1"/>
  <c r="A383" i="8"/>
  <c r="C383" i="8"/>
  <c r="D383" i="8"/>
  <c r="A384" i="8"/>
  <c r="C384" i="8"/>
  <c r="D384" i="8"/>
  <c r="E384" i="8" s="1"/>
  <c r="A385" i="8"/>
  <c r="C385" i="8"/>
  <c r="D385" i="8"/>
  <c r="E385" i="8" s="1"/>
  <c r="A386" i="8"/>
  <c r="C386" i="8"/>
  <c r="D386" i="8"/>
  <c r="E386" i="8" s="1"/>
  <c r="A387" i="8"/>
  <c r="C387" i="8"/>
  <c r="D387" i="8"/>
  <c r="A388" i="8"/>
  <c r="C388" i="8"/>
  <c r="D388" i="8"/>
  <c r="E388" i="8" s="1"/>
  <c r="A389" i="8"/>
  <c r="C389" i="8"/>
  <c r="D389" i="8"/>
  <c r="A390" i="8"/>
  <c r="C390" i="8"/>
  <c r="D390" i="8"/>
  <c r="E390" i="8" s="1"/>
  <c r="A391" i="8"/>
  <c r="C391" i="8"/>
  <c r="D391" i="8"/>
  <c r="A392" i="8"/>
  <c r="C392" i="8"/>
  <c r="D392" i="8"/>
  <c r="E392" i="8" s="1"/>
  <c r="A393" i="8"/>
  <c r="C393" i="8"/>
  <c r="D393" i="8"/>
  <c r="E393" i="8" s="1"/>
  <c r="A394" i="8"/>
  <c r="C394" i="8"/>
  <c r="D394" i="8"/>
  <c r="E394" i="8" s="1"/>
  <c r="A395" i="8"/>
  <c r="C395" i="8"/>
  <c r="D395" i="8"/>
  <c r="A396" i="8"/>
  <c r="C396" i="8"/>
  <c r="D396" i="8"/>
  <c r="E396" i="8" s="1"/>
  <c r="A397" i="8"/>
  <c r="C397" i="8"/>
  <c r="D397" i="8"/>
  <c r="A398" i="8"/>
  <c r="C398" i="8"/>
  <c r="D398" i="8"/>
  <c r="E398" i="8" s="1"/>
  <c r="A399" i="8"/>
  <c r="C399" i="8"/>
  <c r="D399" i="8"/>
  <c r="A400" i="8"/>
  <c r="C400" i="8"/>
  <c r="D400" i="8"/>
  <c r="E400" i="8" s="1"/>
  <c r="A401" i="8"/>
  <c r="C401" i="8"/>
  <c r="D401" i="8"/>
  <c r="E401" i="8" s="1"/>
  <c r="A402" i="8"/>
  <c r="C402" i="8"/>
  <c r="D402" i="8"/>
  <c r="E402" i="8" s="1"/>
  <c r="A403" i="8"/>
  <c r="C403" i="8"/>
  <c r="D403" i="8"/>
  <c r="A404" i="8"/>
  <c r="C404" i="8"/>
  <c r="D404" i="8"/>
  <c r="E404" i="8" s="1"/>
  <c r="A405" i="8"/>
  <c r="C405" i="8"/>
  <c r="D405" i="8"/>
  <c r="A406" i="8"/>
  <c r="C406" i="8"/>
  <c r="D406" i="8"/>
  <c r="E406" i="8" s="1"/>
  <c r="A407" i="8"/>
  <c r="C407" i="8"/>
  <c r="D407" i="8"/>
  <c r="A408" i="8"/>
  <c r="C408" i="8"/>
  <c r="D408" i="8"/>
  <c r="E408" i="8" s="1"/>
  <c r="A409" i="8"/>
  <c r="C409" i="8"/>
  <c r="D409" i="8"/>
  <c r="E409" i="8" s="1"/>
  <c r="A410" i="8"/>
  <c r="C410" i="8"/>
  <c r="D410" i="8"/>
  <c r="E410" i="8" s="1"/>
  <c r="A411" i="8"/>
  <c r="C411" i="8"/>
  <c r="D411" i="8"/>
  <c r="A412" i="8"/>
  <c r="C412" i="8"/>
  <c r="D412" i="8"/>
  <c r="E412" i="8" s="1"/>
  <c r="A413" i="8"/>
  <c r="C413" i="8"/>
  <c r="D413" i="8"/>
  <c r="A414" i="8"/>
  <c r="C414" i="8"/>
  <c r="D414" i="8"/>
  <c r="E414" i="8" s="1"/>
  <c r="A415" i="8"/>
  <c r="C415" i="8"/>
  <c r="D415" i="8"/>
  <c r="A416" i="8"/>
  <c r="C416" i="8"/>
  <c r="D416" i="8"/>
  <c r="E416" i="8" s="1"/>
  <c r="A417" i="8"/>
  <c r="C417" i="8"/>
  <c r="D417" i="8"/>
  <c r="E417" i="8" s="1"/>
  <c r="A418" i="8"/>
  <c r="C418" i="8"/>
  <c r="D418" i="8"/>
  <c r="E418" i="8" s="1"/>
  <c r="A419" i="8"/>
  <c r="C419" i="8"/>
  <c r="D419" i="8"/>
  <c r="A420" i="8"/>
  <c r="C420" i="8"/>
  <c r="D420" i="8"/>
  <c r="E420" i="8" s="1"/>
  <c r="A421" i="8"/>
  <c r="C421" i="8"/>
  <c r="D421" i="8"/>
  <c r="A422" i="8"/>
  <c r="C422" i="8"/>
  <c r="D422" i="8"/>
  <c r="E422" i="8" s="1"/>
  <c r="A423" i="8"/>
  <c r="C423" i="8"/>
  <c r="D423" i="8"/>
  <c r="A424" i="8"/>
  <c r="C424" i="8"/>
  <c r="D424" i="8"/>
  <c r="E424" i="8" s="1"/>
  <c r="A425" i="8"/>
  <c r="C425" i="8"/>
  <c r="D425" i="8"/>
  <c r="E425" i="8" s="1"/>
  <c r="A426" i="8"/>
  <c r="C426" i="8"/>
  <c r="D426" i="8"/>
  <c r="E426" i="8" s="1"/>
  <c r="A427" i="8"/>
  <c r="C427" i="8"/>
  <c r="D427" i="8"/>
  <c r="A428" i="8"/>
  <c r="C428" i="8"/>
  <c r="D428" i="8"/>
  <c r="E428" i="8" s="1"/>
  <c r="A429" i="8"/>
  <c r="C429" i="8"/>
  <c r="D429" i="8"/>
  <c r="A430" i="8"/>
  <c r="C430" i="8"/>
  <c r="D430" i="8"/>
  <c r="E430" i="8" s="1"/>
  <c r="A431" i="8"/>
  <c r="C431" i="8"/>
  <c r="D431" i="8"/>
  <c r="A432" i="8"/>
  <c r="C432" i="8"/>
  <c r="D432" i="8"/>
  <c r="E432" i="8" s="1"/>
  <c r="A433" i="8"/>
  <c r="C433" i="8"/>
  <c r="D433" i="8"/>
  <c r="E433" i="8" s="1"/>
  <c r="A434" i="8"/>
  <c r="C434" i="8"/>
  <c r="D434" i="8"/>
  <c r="E434" i="8" s="1"/>
  <c r="A435" i="8"/>
  <c r="C435" i="8"/>
  <c r="D435" i="8"/>
  <c r="A436" i="8"/>
  <c r="C436" i="8"/>
  <c r="D436" i="8"/>
  <c r="E436" i="8" s="1"/>
  <c r="A437" i="8"/>
  <c r="C437" i="8"/>
  <c r="D437" i="8"/>
  <c r="A438" i="8"/>
  <c r="C438" i="8"/>
  <c r="D438" i="8"/>
  <c r="E438" i="8" s="1"/>
  <c r="A439" i="8"/>
  <c r="C439" i="8"/>
  <c r="D439" i="8"/>
  <c r="A440" i="8"/>
  <c r="C440" i="8"/>
  <c r="D440" i="8"/>
  <c r="E440" i="8" s="1"/>
  <c r="A441" i="8"/>
  <c r="C441" i="8"/>
  <c r="D441" i="8"/>
  <c r="E441" i="8" s="1"/>
  <c r="A442" i="8"/>
  <c r="C442" i="8"/>
  <c r="D442" i="8"/>
  <c r="E442" i="8" s="1"/>
  <c r="A443" i="8"/>
  <c r="C443" i="8"/>
  <c r="D443" i="8"/>
  <c r="A444" i="8"/>
  <c r="C444" i="8"/>
  <c r="D444" i="8"/>
  <c r="E444" i="8" s="1"/>
  <c r="A445" i="8"/>
  <c r="C445" i="8"/>
  <c r="D445" i="8"/>
  <c r="A446" i="8"/>
  <c r="C446" i="8"/>
  <c r="D446" i="8"/>
  <c r="E446" i="8" s="1"/>
  <c r="A447" i="8"/>
  <c r="C447" i="8"/>
  <c r="D447" i="8"/>
  <c r="A448" i="8"/>
  <c r="C448" i="8"/>
  <c r="D448" i="8"/>
  <c r="E448" i="8" s="1"/>
  <c r="A449" i="8"/>
  <c r="C449" i="8"/>
  <c r="D449" i="8"/>
  <c r="E449" i="8" s="1"/>
  <c r="A450" i="8"/>
  <c r="C450" i="8"/>
  <c r="D450" i="8"/>
  <c r="E450" i="8" s="1"/>
  <c r="A451" i="8"/>
  <c r="C451" i="8"/>
  <c r="D451" i="8"/>
  <c r="A452" i="8"/>
  <c r="C452" i="8"/>
  <c r="D452" i="8"/>
  <c r="E452" i="8" s="1"/>
  <c r="A453" i="8"/>
  <c r="C453" i="8"/>
  <c r="D453" i="8"/>
  <c r="A454" i="8"/>
  <c r="C454" i="8"/>
  <c r="D454" i="8"/>
  <c r="E454" i="8" s="1"/>
  <c r="A455" i="8"/>
  <c r="C455" i="8"/>
  <c r="D455" i="8"/>
  <c r="A456" i="8"/>
  <c r="C456" i="8"/>
  <c r="D456" i="8"/>
  <c r="E456" i="8" s="1"/>
  <c r="A457" i="8"/>
  <c r="C457" i="8"/>
  <c r="D457" i="8"/>
  <c r="E457" i="8" s="1"/>
  <c r="A458" i="8"/>
  <c r="C458" i="8"/>
  <c r="D458" i="8"/>
  <c r="E458" i="8" s="1"/>
  <c r="A459" i="8"/>
  <c r="C459" i="8"/>
  <c r="D459" i="8"/>
  <c r="A460" i="8"/>
  <c r="C460" i="8"/>
  <c r="D460" i="8"/>
  <c r="E460" i="8" s="1"/>
  <c r="A461" i="8"/>
  <c r="C461" i="8"/>
  <c r="D461" i="8"/>
  <c r="A462" i="8"/>
  <c r="C462" i="8"/>
  <c r="D462" i="8"/>
  <c r="E462" i="8" s="1"/>
  <c r="A463" i="8"/>
  <c r="C463" i="8"/>
  <c r="D463" i="8"/>
  <c r="A464" i="8"/>
  <c r="C464" i="8"/>
  <c r="D464" i="8"/>
  <c r="E464" i="8" s="1"/>
  <c r="A465" i="8"/>
  <c r="C465" i="8"/>
  <c r="D465" i="8"/>
  <c r="E465" i="8" s="1"/>
  <c r="A466" i="8"/>
  <c r="C466" i="8"/>
  <c r="D466" i="8"/>
  <c r="E466" i="8" s="1"/>
  <c r="A467" i="8"/>
  <c r="C467" i="8"/>
  <c r="D467" i="8"/>
  <c r="A468" i="8"/>
  <c r="C468" i="8"/>
  <c r="D468" i="8"/>
  <c r="E468" i="8" s="1"/>
  <c r="A469" i="8"/>
  <c r="C469" i="8"/>
  <c r="D469" i="8"/>
  <c r="A470" i="8"/>
  <c r="C470" i="8"/>
  <c r="D470" i="8"/>
  <c r="E470" i="8" s="1"/>
  <c r="A471" i="8"/>
  <c r="C471" i="8"/>
  <c r="D471" i="8"/>
  <c r="A472" i="8"/>
  <c r="C472" i="8"/>
  <c r="D472" i="8"/>
  <c r="E472" i="8" s="1"/>
  <c r="A473" i="8"/>
  <c r="C473" i="8"/>
  <c r="D473" i="8"/>
  <c r="E473" i="8" s="1"/>
  <c r="A474" i="8"/>
  <c r="C474" i="8"/>
  <c r="D474" i="8"/>
  <c r="E474" i="8" s="1"/>
  <c r="A475" i="8"/>
  <c r="C475" i="8"/>
  <c r="D475" i="8"/>
  <c r="A476" i="8"/>
  <c r="C476" i="8"/>
  <c r="D476" i="8"/>
  <c r="E476" i="8" s="1"/>
  <c r="A477" i="8"/>
  <c r="C477" i="8"/>
  <c r="D477" i="8"/>
  <c r="A478" i="8"/>
  <c r="C478" i="8"/>
  <c r="D478" i="8"/>
  <c r="E478" i="8" s="1"/>
  <c r="A479" i="8"/>
  <c r="C479" i="8"/>
  <c r="D479" i="8"/>
  <c r="A480" i="8"/>
  <c r="C480" i="8"/>
  <c r="D480" i="8"/>
  <c r="E480" i="8" s="1"/>
  <c r="A481" i="8"/>
  <c r="C481" i="8"/>
  <c r="D481" i="8"/>
  <c r="E481" i="8" s="1"/>
  <c r="A482" i="8"/>
  <c r="C482" i="8"/>
  <c r="D482" i="8"/>
  <c r="E482" i="8" s="1"/>
  <c r="A483" i="8"/>
  <c r="C483" i="8"/>
  <c r="D483" i="8"/>
  <c r="A484" i="8"/>
  <c r="C484" i="8"/>
  <c r="D484" i="8"/>
  <c r="E484" i="8" s="1"/>
  <c r="A485" i="8"/>
  <c r="C485" i="8"/>
  <c r="D485" i="8"/>
  <c r="A486" i="8"/>
  <c r="C486" i="8"/>
  <c r="D486" i="8"/>
  <c r="E486" i="8" s="1"/>
  <c r="A487" i="8"/>
  <c r="C487" i="8"/>
  <c r="D487" i="8"/>
  <c r="A488" i="8"/>
  <c r="C488" i="8"/>
  <c r="D488" i="8"/>
  <c r="E488" i="8" s="1"/>
  <c r="A489" i="8"/>
  <c r="C489" i="8"/>
  <c r="D489" i="8"/>
  <c r="E489" i="8" s="1"/>
  <c r="A490" i="8"/>
  <c r="C490" i="8"/>
  <c r="D490" i="8"/>
  <c r="E490" i="8" s="1"/>
  <c r="A491" i="8"/>
  <c r="C491" i="8"/>
  <c r="D491" i="8"/>
  <c r="A492" i="8"/>
  <c r="C492" i="8"/>
  <c r="D492" i="8"/>
  <c r="E492" i="8" s="1"/>
  <c r="A493" i="8"/>
  <c r="C493" i="8"/>
  <c r="D493" i="8"/>
  <c r="A494" i="8"/>
  <c r="C494" i="8"/>
  <c r="D494" i="8"/>
  <c r="E494" i="8" s="1"/>
  <c r="A495" i="8"/>
  <c r="C495" i="8"/>
  <c r="D495" i="8"/>
  <c r="A496" i="8"/>
  <c r="C496" i="8"/>
  <c r="D496" i="8"/>
  <c r="E496" i="8" s="1"/>
  <c r="A497" i="8"/>
  <c r="C497" i="8"/>
  <c r="D497" i="8"/>
  <c r="E497" i="8" s="1"/>
  <c r="A498" i="8"/>
  <c r="C498" i="8"/>
  <c r="D498" i="8"/>
  <c r="E498" i="8" s="1"/>
  <c r="A499" i="8"/>
  <c r="C499" i="8"/>
  <c r="D499" i="8"/>
  <c r="A500" i="8"/>
  <c r="C500" i="8"/>
  <c r="D500" i="8"/>
  <c r="E500" i="8" s="1"/>
  <c r="A501" i="8"/>
  <c r="C501" i="8"/>
  <c r="D501" i="8"/>
  <c r="A502" i="8"/>
  <c r="C502" i="8"/>
  <c r="D502" i="8"/>
  <c r="E502" i="8" s="1"/>
  <c r="A503" i="8"/>
  <c r="C503" i="8"/>
  <c r="D503" i="8"/>
  <c r="A504" i="8"/>
  <c r="C504" i="8"/>
  <c r="D504" i="8"/>
  <c r="E504" i="8" s="1"/>
  <c r="A505" i="8"/>
  <c r="C505" i="8"/>
  <c r="D505" i="8"/>
  <c r="E505" i="8" s="1"/>
  <c r="A506" i="8"/>
  <c r="C506" i="8"/>
  <c r="D506" i="8"/>
  <c r="E506" i="8" s="1"/>
  <c r="A507" i="8"/>
  <c r="C507" i="8"/>
  <c r="D507" i="8"/>
  <c r="A508" i="8"/>
  <c r="C508" i="8"/>
  <c r="D508" i="8"/>
  <c r="E508" i="8" s="1"/>
  <c r="A509" i="8"/>
  <c r="C509" i="8"/>
  <c r="D509" i="8"/>
  <c r="A510" i="8"/>
  <c r="C510" i="8"/>
  <c r="D510" i="8"/>
  <c r="E510" i="8" s="1"/>
  <c r="A511" i="8"/>
  <c r="C511" i="8"/>
  <c r="D511" i="8"/>
  <c r="A512" i="8"/>
  <c r="C512" i="8"/>
  <c r="D512" i="8"/>
  <c r="E512" i="8" s="1"/>
  <c r="A513" i="8"/>
  <c r="C513" i="8"/>
  <c r="D513" i="8"/>
  <c r="E513" i="8" s="1"/>
  <c r="A514" i="8"/>
  <c r="C514" i="8"/>
  <c r="D514" i="8"/>
  <c r="E514" i="8" s="1"/>
  <c r="A515" i="8"/>
  <c r="C515" i="8"/>
  <c r="D515" i="8"/>
  <c r="A516" i="8"/>
  <c r="C516" i="8"/>
  <c r="D516" i="8"/>
  <c r="E516" i="8" s="1"/>
  <c r="A517" i="8"/>
  <c r="C517" i="8"/>
  <c r="D517" i="8"/>
  <c r="A518" i="8"/>
  <c r="C518" i="8"/>
  <c r="D518" i="8"/>
  <c r="E518" i="8" s="1"/>
  <c r="A519" i="8"/>
  <c r="C519" i="8"/>
  <c r="D519" i="8"/>
  <c r="A520" i="8"/>
  <c r="C520" i="8"/>
  <c r="D520" i="8"/>
  <c r="E520" i="8" s="1"/>
  <c r="A521" i="8"/>
  <c r="C521" i="8"/>
  <c r="D521" i="8"/>
  <c r="E521" i="8" s="1"/>
  <c r="A522" i="8"/>
  <c r="C522" i="8"/>
  <c r="D522" i="8"/>
  <c r="E522" i="8" s="1"/>
  <c r="A523" i="8"/>
  <c r="C523" i="8"/>
  <c r="D523" i="8"/>
  <c r="A524" i="8"/>
  <c r="C524" i="8"/>
  <c r="D524" i="8"/>
  <c r="E524" i="8" s="1"/>
  <c r="A525" i="8"/>
  <c r="C525" i="8"/>
  <c r="D525" i="8"/>
  <c r="A526" i="8"/>
  <c r="C526" i="8"/>
  <c r="D526" i="8"/>
  <c r="E526" i="8" s="1"/>
  <c r="A527" i="8"/>
  <c r="C527" i="8"/>
  <c r="D527" i="8"/>
  <c r="A528" i="8"/>
  <c r="C528" i="8"/>
  <c r="D528" i="8"/>
  <c r="E528" i="8" s="1"/>
  <c r="A529" i="8"/>
  <c r="C529" i="8"/>
  <c r="D529" i="8"/>
  <c r="E529" i="8" s="1"/>
  <c r="A530" i="8"/>
  <c r="C530" i="8"/>
  <c r="D530" i="8"/>
  <c r="E530" i="8" s="1"/>
  <c r="A531" i="8"/>
  <c r="C531" i="8"/>
  <c r="D531" i="8"/>
  <c r="A532" i="8"/>
  <c r="C532" i="8"/>
  <c r="D532" i="8"/>
  <c r="E532" i="8" s="1"/>
  <c r="A533" i="8"/>
  <c r="C533" i="8"/>
  <c r="D533" i="8"/>
  <c r="A534" i="8"/>
  <c r="C534" i="8"/>
  <c r="D534" i="8"/>
  <c r="E534" i="8" s="1"/>
  <c r="A535" i="8"/>
  <c r="C535" i="8"/>
  <c r="D535" i="8"/>
  <c r="A536" i="8"/>
  <c r="C536" i="8"/>
  <c r="D536" i="8"/>
  <c r="E536" i="8" s="1"/>
  <c r="A537" i="8"/>
  <c r="C537" i="8"/>
  <c r="D537" i="8"/>
  <c r="E537" i="8" s="1"/>
  <c r="A538" i="8"/>
  <c r="C538" i="8"/>
  <c r="D538" i="8"/>
  <c r="E538" i="8" s="1"/>
  <c r="A539" i="8"/>
  <c r="C539" i="8"/>
  <c r="D539" i="8"/>
  <c r="A540" i="8"/>
  <c r="C540" i="8"/>
  <c r="D540" i="8"/>
  <c r="E540" i="8" s="1"/>
  <c r="A541" i="8"/>
  <c r="C541" i="8"/>
  <c r="D541" i="8"/>
  <c r="A542" i="8"/>
  <c r="C542" i="8"/>
  <c r="D542" i="8"/>
  <c r="E542" i="8" s="1"/>
  <c r="A543" i="8"/>
  <c r="C543" i="8"/>
  <c r="D543" i="8"/>
  <c r="A544" i="8"/>
  <c r="C544" i="8"/>
  <c r="D544" i="8"/>
  <c r="E544" i="8" s="1"/>
  <c r="A545" i="8"/>
  <c r="C545" i="8"/>
  <c r="D545" i="8"/>
  <c r="E545" i="8" s="1"/>
  <c r="A546" i="8"/>
  <c r="C546" i="8"/>
  <c r="D546" i="8"/>
  <c r="E546" i="8" s="1"/>
  <c r="A547" i="8"/>
  <c r="C547" i="8"/>
  <c r="D547" i="8"/>
  <c r="A548" i="8"/>
  <c r="C548" i="8"/>
  <c r="D548" i="8"/>
  <c r="E548" i="8" s="1"/>
  <c r="A549" i="8"/>
  <c r="C549" i="8"/>
  <c r="D549" i="8"/>
  <c r="A550" i="8"/>
  <c r="C550" i="8"/>
  <c r="D550" i="8"/>
  <c r="E550" i="8" s="1"/>
  <c r="A551" i="8"/>
  <c r="C551" i="8"/>
  <c r="D551" i="8"/>
  <c r="A552" i="8"/>
  <c r="C552" i="8"/>
  <c r="D552" i="8"/>
  <c r="E552" i="8" s="1"/>
  <c r="A553" i="8"/>
  <c r="C553" i="8"/>
  <c r="D553" i="8"/>
  <c r="E553" i="8" s="1"/>
  <c r="A554" i="8"/>
  <c r="C554" i="8"/>
  <c r="D554" i="8"/>
  <c r="E554" i="8" s="1"/>
  <c r="A555" i="8"/>
  <c r="C555" i="8"/>
  <c r="D555" i="8"/>
  <c r="A556" i="8"/>
  <c r="C556" i="8"/>
  <c r="D556" i="8"/>
  <c r="E556" i="8" s="1"/>
  <c r="D2" i="8"/>
  <c r="C2" i="8"/>
  <c r="A2" i="8"/>
  <c r="J805" i="7"/>
  <c r="H805" i="7"/>
  <c r="I805" i="7" s="1"/>
  <c r="G805" i="7"/>
  <c r="E805" i="7"/>
  <c r="G804" i="7"/>
  <c r="E804" i="7"/>
  <c r="G803" i="7"/>
  <c r="E803" i="7"/>
  <c r="G802" i="7"/>
  <c r="E802" i="7"/>
  <c r="G801" i="7"/>
  <c r="E801" i="7"/>
  <c r="G800" i="7"/>
  <c r="E800" i="7"/>
  <c r="G799" i="7"/>
  <c r="E799" i="7"/>
  <c r="J798" i="7"/>
  <c r="H798" i="7"/>
  <c r="G798" i="7"/>
  <c r="E798" i="7"/>
  <c r="G797" i="7"/>
  <c r="E797" i="7"/>
  <c r="G796" i="7"/>
  <c r="E796" i="7"/>
  <c r="G795" i="7"/>
  <c r="E795" i="7"/>
  <c r="G794" i="7"/>
  <c r="E794" i="7"/>
  <c r="G793" i="7"/>
  <c r="E793" i="7"/>
  <c r="G792" i="7"/>
  <c r="E792" i="7"/>
  <c r="J791" i="7"/>
  <c r="H791" i="7"/>
  <c r="G791" i="7"/>
  <c r="E791" i="7"/>
  <c r="G790" i="7"/>
  <c r="E790" i="7"/>
  <c r="G789" i="7"/>
  <c r="E789" i="7"/>
  <c r="G788" i="7"/>
  <c r="E788" i="7"/>
  <c r="G787" i="7"/>
  <c r="E787" i="7"/>
  <c r="G786" i="7"/>
  <c r="E786" i="7"/>
  <c r="G785" i="7"/>
  <c r="E785" i="7"/>
  <c r="J784" i="7"/>
  <c r="H784" i="7"/>
  <c r="I791" i="7" s="1"/>
  <c r="G784" i="7"/>
  <c r="E784" i="7"/>
  <c r="G783" i="7"/>
  <c r="E783" i="7"/>
  <c r="G782" i="7"/>
  <c r="E782" i="7"/>
  <c r="G781" i="7"/>
  <c r="E781" i="7"/>
  <c r="G780" i="7"/>
  <c r="E780" i="7"/>
  <c r="G779" i="7"/>
  <c r="E779" i="7"/>
  <c r="G778" i="7"/>
  <c r="E778" i="7"/>
  <c r="J777" i="7"/>
  <c r="H777" i="7"/>
  <c r="G777" i="7"/>
  <c r="E777" i="7"/>
  <c r="G776" i="7"/>
  <c r="E776" i="7"/>
  <c r="G775" i="7"/>
  <c r="E775" i="7"/>
  <c r="G774" i="7"/>
  <c r="E774" i="7"/>
  <c r="G773" i="7"/>
  <c r="E773" i="7"/>
  <c r="G772" i="7"/>
  <c r="E772" i="7"/>
  <c r="G771" i="7"/>
  <c r="E771" i="7"/>
  <c r="J770" i="7"/>
  <c r="H770" i="7"/>
  <c r="I777" i="7" s="1"/>
  <c r="G770" i="7"/>
  <c r="E770" i="7"/>
  <c r="G769" i="7"/>
  <c r="E769" i="7"/>
  <c r="G768" i="7"/>
  <c r="E768" i="7"/>
  <c r="G767" i="7"/>
  <c r="E767" i="7"/>
  <c r="G766" i="7"/>
  <c r="E766" i="7"/>
  <c r="G765" i="7"/>
  <c r="E765" i="7"/>
  <c r="G764" i="7"/>
  <c r="E764" i="7"/>
  <c r="J763" i="7"/>
  <c r="H763" i="7"/>
  <c r="I763" i="7" s="1"/>
  <c r="G763" i="7"/>
  <c r="E763" i="7"/>
  <c r="G762" i="7"/>
  <c r="E762" i="7"/>
  <c r="G761" i="7"/>
  <c r="E761" i="7"/>
  <c r="G760" i="7"/>
  <c r="E760" i="7"/>
  <c r="G759" i="7"/>
  <c r="E759" i="7"/>
  <c r="G758" i="7"/>
  <c r="E758" i="7"/>
  <c r="G757" i="7"/>
  <c r="E757" i="7"/>
  <c r="J756" i="7"/>
  <c r="H756" i="7"/>
  <c r="I756" i="7" s="1"/>
  <c r="G756" i="7"/>
  <c r="E756" i="7"/>
  <c r="G755" i="7"/>
  <c r="E755" i="7"/>
  <c r="G754" i="7"/>
  <c r="E754" i="7"/>
  <c r="G753" i="7"/>
  <c r="E753" i="7"/>
  <c r="G752" i="7"/>
  <c r="E752" i="7"/>
  <c r="G751" i="7"/>
  <c r="E751" i="7"/>
  <c r="G750" i="7"/>
  <c r="E750" i="7"/>
  <c r="J749" i="7"/>
  <c r="I749" i="7"/>
  <c r="H749" i="7"/>
  <c r="G749" i="7"/>
  <c r="E749" i="7"/>
  <c r="G748" i="7"/>
  <c r="E748" i="7"/>
  <c r="G747" i="7"/>
  <c r="E747" i="7"/>
  <c r="G746" i="7"/>
  <c r="E746" i="7"/>
  <c r="G745" i="7"/>
  <c r="E745" i="7"/>
  <c r="G744" i="7"/>
  <c r="E744" i="7"/>
  <c r="G743" i="7"/>
  <c r="E743" i="7"/>
  <c r="J742" i="7"/>
  <c r="H742" i="7"/>
  <c r="G742" i="7"/>
  <c r="E742" i="7"/>
  <c r="G741" i="7"/>
  <c r="E741" i="7"/>
  <c r="G740" i="7"/>
  <c r="E740" i="7"/>
  <c r="G739" i="7"/>
  <c r="E739" i="7"/>
  <c r="G738" i="7"/>
  <c r="E738" i="7"/>
  <c r="G737" i="7"/>
  <c r="E737" i="7"/>
  <c r="G736" i="7"/>
  <c r="E736" i="7"/>
  <c r="J735" i="7"/>
  <c r="H735" i="7"/>
  <c r="G735" i="7"/>
  <c r="E735" i="7"/>
  <c r="G734" i="7"/>
  <c r="E734" i="7"/>
  <c r="G733" i="7"/>
  <c r="E733" i="7"/>
  <c r="G732" i="7"/>
  <c r="E732" i="7"/>
  <c r="G731" i="7"/>
  <c r="E731" i="7"/>
  <c r="G730" i="7"/>
  <c r="E730" i="7"/>
  <c r="G729" i="7"/>
  <c r="E729" i="7"/>
  <c r="J728" i="7"/>
  <c r="H728" i="7"/>
  <c r="I735" i="7" s="1"/>
  <c r="G728" i="7"/>
  <c r="E728" i="7"/>
  <c r="G727" i="7"/>
  <c r="E727" i="7"/>
  <c r="G726" i="7"/>
  <c r="E726" i="7"/>
  <c r="G725" i="7"/>
  <c r="E725" i="7"/>
  <c r="G724" i="7"/>
  <c r="E724" i="7"/>
  <c r="G723" i="7"/>
  <c r="E723" i="7"/>
  <c r="G722" i="7"/>
  <c r="E722" i="7"/>
  <c r="J721" i="7"/>
  <c r="H721" i="7"/>
  <c r="G721" i="7"/>
  <c r="E721" i="7"/>
  <c r="G720" i="7"/>
  <c r="E720" i="7"/>
  <c r="G719" i="7"/>
  <c r="E719" i="7"/>
  <c r="G718" i="7"/>
  <c r="E718" i="7"/>
  <c r="G717" i="7"/>
  <c r="E717" i="7"/>
  <c r="G716" i="7"/>
  <c r="E716" i="7"/>
  <c r="G715" i="7"/>
  <c r="E715" i="7"/>
  <c r="J714" i="7"/>
  <c r="H714" i="7"/>
  <c r="I721" i="7" s="1"/>
  <c r="G714" i="7"/>
  <c r="E714" i="7"/>
  <c r="G713" i="7"/>
  <c r="E713" i="7"/>
  <c r="G712" i="7"/>
  <c r="E712" i="7"/>
  <c r="G711" i="7"/>
  <c r="E711" i="7"/>
  <c r="G710" i="7"/>
  <c r="E710" i="7"/>
  <c r="G709" i="7"/>
  <c r="E709" i="7"/>
  <c r="G708" i="7"/>
  <c r="E708" i="7"/>
  <c r="J707" i="7"/>
  <c r="H707" i="7"/>
  <c r="I707" i="7" s="1"/>
  <c r="G707" i="7"/>
  <c r="E707" i="7"/>
  <c r="G706" i="7"/>
  <c r="E706" i="7"/>
  <c r="G705" i="7"/>
  <c r="E705" i="7"/>
  <c r="G704" i="7"/>
  <c r="E704" i="7"/>
  <c r="G703" i="7"/>
  <c r="E703" i="7"/>
  <c r="G702" i="7"/>
  <c r="E702" i="7"/>
  <c r="G701" i="7"/>
  <c r="E701" i="7"/>
  <c r="J700" i="7"/>
  <c r="H700" i="7"/>
  <c r="G700" i="7"/>
  <c r="E700" i="7"/>
  <c r="G699" i="7"/>
  <c r="E699" i="7"/>
  <c r="G698" i="7"/>
  <c r="E698" i="7"/>
  <c r="G697" i="7"/>
  <c r="E697" i="7"/>
  <c r="G696" i="7"/>
  <c r="E696" i="7"/>
  <c r="G695" i="7"/>
  <c r="E695" i="7"/>
  <c r="G694" i="7"/>
  <c r="E694" i="7"/>
  <c r="J693" i="7"/>
  <c r="H693" i="7"/>
  <c r="I693" i="7" s="1"/>
  <c r="G693" i="7"/>
  <c r="E693" i="7"/>
  <c r="G692" i="7"/>
  <c r="E692" i="7"/>
  <c r="G691" i="7"/>
  <c r="E691" i="7"/>
  <c r="G690" i="7"/>
  <c r="E690" i="7"/>
  <c r="G689" i="7"/>
  <c r="E689" i="7"/>
  <c r="G688" i="7"/>
  <c r="E688" i="7"/>
  <c r="G687" i="7"/>
  <c r="E687" i="7"/>
  <c r="J686" i="7"/>
  <c r="H686" i="7"/>
  <c r="G686" i="7"/>
  <c r="E686" i="7"/>
  <c r="G685" i="7"/>
  <c r="E685" i="7"/>
  <c r="G684" i="7"/>
  <c r="E684" i="7"/>
  <c r="G683" i="7"/>
  <c r="E683" i="7"/>
  <c r="G682" i="7"/>
  <c r="E682" i="7"/>
  <c r="G681" i="7"/>
  <c r="E681" i="7"/>
  <c r="G680" i="7"/>
  <c r="E680" i="7"/>
  <c r="J679" i="7"/>
  <c r="H679" i="7"/>
  <c r="G679" i="7"/>
  <c r="E679" i="7"/>
  <c r="G678" i="7"/>
  <c r="E678" i="7"/>
  <c r="G677" i="7"/>
  <c r="E677" i="7"/>
  <c r="G676" i="7"/>
  <c r="E676" i="7"/>
  <c r="G675" i="7"/>
  <c r="E675" i="7"/>
  <c r="G674" i="7"/>
  <c r="E674" i="7"/>
  <c r="G673" i="7"/>
  <c r="E673" i="7"/>
  <c r="J672" i="7"/>
  <c r="H672" i="7"/>
  <c r="I679" i="7" s="1"/>
  <c r="G672" i="7"/>
  <c r="E672" i="7"/>
  <c r="G671" i="7"/>
  <c r="E671" i="7"/>
  <c r="G670" i="7"/>
  <c r="E670" i="7"/>
  <c r="G669" i="7"/>
  <c r="E669" i="7"/>
  <c r="G668" i="7"/>
  <c r="E668" i="7"/>
  <c r="G667" i="7"/>
  <c r="E667" i="7"/>
  <c r="G666" i="7"/>
  <c r="E666" i="7"/>
  <c r="J665" i="7"/>
  <c r="H665" i="7"/>
  <c r="G665" i="7"/>
  <c r="E665" i="7"/>
  <c r="G664" i="7"/>
  <c r="E664" i="7"/>
  <c r="G663" i="7"/>
  <c r="E663" i="7"/>
  <c r="G662" i="7"/>
  <c r="E662" i="7"/>
  <c r="G661" i="7"/>
  <c r="E661" i="7"/>
  <c r="G660" i="7"/>
  <c r="E660" i="7"/>
  <c r="G659" i="7"/>
  <c r="E659" i="7"/>
  <c r="J658" i="7"/>
  <c r="H658" i="7"/>
  <c r="I665" i="7" s="1"/>
  <c r="G658" i="7"/>
  <c r="E658" i="7"/>
  <c r="G657" i="7"/>
  <c r="E657" i="7"/>
  <c r="G656" i="7"/>
  <c r="E656" i="7"/>
  <c r="G655" i="7"/>
  <c r="E655" i="7"/>
  <c r="G654" i="7"/>
  <c r="E654" i="7"/>
  <c r="G653" i="7"/>
  <c r="E653" i="7"/>
  <c r="G652" i="7"/>
  <c r="E652" i="7"/>
  <c r="J651" i="7"/>
  <c r="H651" i="7"/>
  <c r="I651" i="7" s="1"/>
  <c r="G651" i="7"/>
  <c r="E651" i="7"/>
  <c r="G650" i="7"/>
  <c r="E650" i="7"/>
  <c r="G649" i="7"/>
  <c r="E649" i="7"/>
  <c r="G648" i="7"/>
  <c r="E648" i="7"/>
  <c r="G647" i="7"/>
  <c r="E647" i="7"/>
  <c r="G646" i="7"/>
  <c r="E646" i="7"/>
  <c r="G645" i="7"/>
  <c r="E645" i="7"/>
  <c r="J644" i="7"/>
  <c r="H644" i="7"/>
  <c r="I644" i="7" s="1"/>
  <c r="G644" i="7"/>
  <c r="E644" i="7"/>
  <c r="G643" i="7"/>
  <c r="E643" i="7"/>
  <c r="G642" i="7"/>
  <c r="E642" i="7"/>
  <c r="J641" i="7"/>
  <c r="G641" i="7"/>
  <c r="E641" i="7"/>
  <c r="J640" i="7"/>
  <c r="G640" i="7"/>
  <c r="E640" i="7"/>
  <c r="J639" i="7"/>
  <c r="G639" i="7"/>
  <c r="E639" i="7"/>
  <c r="J638" i="7"/>
  <c r="G638" i="7"/>
  <c r="E638" i="7"/>
  <c r="J637" i="7"/>
  <c r="H637" i="7"/>
  <c r="G637" i="7"/>
  <c r="E637" i="7"/>
  <c r="J636" i="7"/>
  <c r="G636" i="7"/>
  <c r="E636" i="7"/>
  <c r="J635" i="7"/>
  <c r="G635" i="7"/>
  <c r="E635" i="7"/>
  <c r="J634" i="7"/>
  <c r="G634" i="7"/>
  <c r="E634" i="7"/>
  <c r="J633" i="7"/>
  <c r="G633" i="7"/>
  <c r="E633" i="7"/>
  <c r="J632" i="7"/>
  <c r="G632" i="7"/>
  <c r="E632" i="7"/>
  <c r="J631" i="7"/>
  <c r="G631" i="7"/>
  <c r="E631" i="7"/>
  <c r="J630" i="7"/>
  <c r="H630" i="7"/>
  <c r="G630" i="7"/>
  <c r="E630" i="7"/>
  <c r="J629" i="7"/>
  <c r="G629" i="7"/>
  <c r="E629" i="7"/>
  <c r="J628" i="7"/>
  <c r="G628" i="7"/>
  <c r="E628" i="7"/>
  <c r="J627" i="7"/>
  <c r="G627" i="7"/>
  <c r="E627" i="7"/>
  <c r="J626" i="7"/>
  <c r="G626" i="7"/>
  <c r="E626" i="7"/>
  <c r="J625" i="7"/>
  <c r="G625" i="7"/>
  <c r="E625" i="7"/>
  <c r="J624" i="7"/>
  <c r="G624" i="7"/>
  <c r="E624" i="7"/>
  <c r="J623" i="7"/>
  <c r="H623" i="7"/>
  <c r="G623" i="7"/>
  <c r="E623" i="7"/>
  <c r="J622" i="7"/>
  <c r="G622" i="7"/>
  <c r="E622" i="7"/>
  <c r="J621" i="7"/>
  <c r="G621" i="7"/>
  <c r="E621" i="7"/>
  <c r="J620" i="7"/>
  <c r="G620" i="7"/>
  <c r="E620" i="7"/>
  <c r="J619" i="7"/>
  <c r="G619" i="7"/>
  <c r="E619" i="7"/>
  <c r="J618" i="7"/>
  <c r="G618" i="7"/>
  <c r="E618" i="7"/>
  <c r="J617" i="7"/>
  <c r="G617" i="7"/>
  <c r="E617" i="7"/>
  <c r="J616" i="7"/>
  <c r="H616" i="7"/>
  <c r="G616" i="7"/>
  <c r="E616" i="7"/>
  <c r="J615" i="7"/>
  <c r="G615" i="7"/>
  <c r="E615" i="7"/>
  <c r="J614" i="7"/>
  <c r="G614" i="7"/>
  <c r="E614" i="7"/>
  <c r="J613" i="7"/>
  <c r="G613" i="7"/>
  <c r="E613" i="7"/>
  <c r="J612" i="7"/>
  <c r="G612" i="7"/>
  <c r="E612" i="7"/>
  <c r="J611" i="7"/>
  <c r="G611" i="7"/>
  <c r="E611" i="7"/>
  <c r="J610" i="7"/>
  <c r="G610" i="7"/>
  <c r="E610" i="7"/>
  <c r="J609" i="7"/>
  <c r="H609" i="7"/>
  <c r="G609" i="7"/>
  <c r="E609" i="7"/>
  <c r="J608" i="7"/>
  <c r="G608" i="7"/>
  <c r="E608" i="7"/>
  <c r="J607" i="7"/>
  <c r="G607" i="7"/>
  <c r="E607" i="7"/>
  <c r="J606" i="7"/>
  <c r="G606" i="7"/>
  <c r="E606" i="7"/>
  <c r="J605" i="7"/>
  <c r="G605" i="7"/>
  <c r="E605" i="7"/>
  <c r="J604" i="7"/>
  <c r="G604" i="7"/>
  <c r="E604" i="7"/>
  <c r="J603" i="7"/>
  <c r="G603" i="7"/>
  <c r="E603" i="7"/>
  <c r="J602" i="7"/>
  <c r="H602" i="7"/>
  <c r="G602" i="7"/>
  <c r="E602" i="7"/>
  <c r="J601" i="7"/>
  <c r="G601" i="7"/>
  <c r="E601" i="7"/>
  <c r="J600" i="7"/>
  <c r="G600" i="7"/>
  <c r="E600" i="7"/>
  <c r="J599" i="7"/>
  <c r="G599" i="7"/>
  <c r="E599" i="7"/>
  <c r="J598" i="7"/>
  <c r="G598" i="7"/>
  <c r="E598" i="7"/>
  <c r="J597" i="7"/>
  <c r="G597" i="7"/>
  <c r="E597" i="7"/>
  <c r="J596" i="7"/>
  <c r="G596" i="7"/>
  <c r="E596" i="7"/>
  <c r="J595" i="7"/>
  <c r="H595" i="7"/>
  <c r="G595" i="7"/>
  <c r="E595" i="7"/>
  <c r="J594" i="7"/>
  <c r="G594" i="7"/>
  <c r="E594" i="7"/>
  <c r="J593" i="7"/>
  <c r="G593" i="7"/>
  <c r="E593" i="7"/>
  <c r="J592" i="7"/>
  <c r="G592" i="7"/>
  <c r="E592" i="7"/>
  <c r="J591" i="7"/>
  <c r="G591" i="7"/>
  <c r="E591" i="7"/>
  <c r="J590" i="7"/>
  <c r="G590" i="7"/>
  <c r="E590" i="7"/>
  <c r="J589" i="7"/>
  <c r="G589" i="7"/>
  <c r="E589" i="7"/>
  <c r="J588" i="7"/>
  <c r="H588" i="7"/>
  <c r="G588" i="7"/>
  <c r="E588" i="7"/>
  <c r="J587" i="7"/>
  <c r="G587" i="7"/>
  <c r="E587" i="7"/>
  <c r="J586" i="7"/>
  <c r="G586" i="7"/>
  <c r="E586" i="7"/>
  <c r="J585" i="7"/>
  <c r="G585" i="7"/>
  <c r="E585" i="7"/>
  <c r="J584" i="7"/>
  <c r="G584" i="7"/>
  <c r="E584" i="7"/>
  <c r="J583" i="7"/>
  <c r="G583" i="7"/>
  <c r="E583" i="7"/>
  <c r="J582" i="7"/>
  <c r="G582" i="7"/>
  <c r="E582" i="7"/>
  <c r="J581" i="7"/>
  <c r="H581" i="7"/>
  <c r="G581" i="7"/>
  <c r="E581" i="7"/>
  <c r="J580" i="7"/>
  <c r="G580" i="7"/>
  <c r="E580" i="7"/>
  <c r="J579" i="7"/>
  <c r="G579" i="7"/>
  <c r="E579" i="7"/>
  <c r="J578" i="7"/>
  <c r="G578" i="7"/>
  <c r="E578" i="7"/>
  <c r="J577" i="7"/>
  <c r="G577" i="7"/>
  <c r="E577" i="7"/>
  <c r="J576" i="7"/>
  <c r="G576" i="7"/>
  <c r="E576" i="7"/>
  <c r="J575" i="7"/>
  <c r="G575" i="7"/>
  <c r="E575" i="7"/>
  <c r="J574" i="7"/>
  <c r="H574" i="7"/>
  <c r="G574" i="7"/>
  <c r="E574" i="7"/>
  <c r="J573" i="7"/>
  <c r="G573" i="7"/>
  <c r="E573" i="7"/>
  <c r="J572" i="7"/>
  <c r="G572" i="7"/>
  <c r="E572" i="7"/>
  <c r="J571" i="7"/>
  <c r="G571" i="7"/>
  <c r="E571" i="7"/>
  <c r="J570" i="7"/>
  <c r="G570" i="7"/>
  <c r="E570" i="7"/>
  <c r="J569" i="7"/>
  <c r="G569" i="7"/>
  <c r="E569" i="7"/>
  <c r="J568" i="7"/>
  <c r="G568" i="7"/>
  <c r="E568" i="7"/>
  <c r="J567" i="7"/>
  <c r="H567" i="7"/>
  <c r="G567" i="7"/>
  <c r="E567" i="7"/>
  <c r="J566" i="7"/>
  <c r="G566" i="7"/>
  <c r="E566" i="7"/>
  <c r="J565" i="7"/>
  <c r="G565" i="7"/>
  <c r="E565" i="7"/>
  <c r="J564" i="7"/>
  <c r="G564" i="7"/>
  <c r="E564" i="7"/>
  <c r="J563" i="7"/>
  <c r="G563" i="7"/>
  <c r="E563" i="7"/>
  <c r="J562" i="7"/>
  <c r="G562" i="7"/>
  <c r="E562" i="7"/>
  <c r="J561" i="7"/>
  <c r="G561" i="7"/>
  <c r="E561" i="7"/>
  <c r="J560" i="7"/>
  <c r="H560" i="7"/>
  <c r="G560" i="7"/>
  <c r="E560" i="7"/>
  <c r="J559" i="7"/>
  <c r="G559" i="7"/>
  <c r="E559" i="7"/>
  <c r="J558" i="7"/>
  <c r="G558" i="7"/>
  <c r="E558" i="7"/>
  <c r="J557" i="7"/>
  <c r="G557" i="7"/>
  <c r="E557" i="7"/>
  <c r="J556" i="7"/>
  <c r="G556" i="7"/>
  <c r="E556" i="7"/>
  <c r="J555" i="7"/>
  <c r="G555" i="7"/>
  <c r="E555" i="7"/>
  <c r="J554" i="7"/>
  <c r="G554" i="7"/>
  <c r="E554" i="7"/>
  <c r="J553" i="7"/>
  <c r="H553" i="7"/>
  <c r="G553" i="7"/>
  <c r="E553" i="7"/>
  <c r="J552" i="7"/>
  <c r="G552" i="7"/>
  <c r="E552" i="7"/>
  <c r="J551" i="7"/>
  <c r="G551" i="7"/>
  <c r="E551" i="7"/>
  <c r="J550" i="7"/>
  <c r="G550" i="7"/>
  <c r="E550" i="7"/>
  <c r="J549" i="7"/>
  <c r="G549" i="7"/>
  <c r="E549" i="7"/>
  <c r="J548" i="7"/>
  <c r="G548" i="7"/>
  <c r="E548" i="7"/>
  <c r="J547" i="7"/>
  <c r="G547" i="7"/>
  <c r="E547" i="7"/>
  <c r="J546" i="7"/>
  <c r="H546" i="7"/>
  <c r="G546" i="7"/>
  <c r="E546" i="7"/>
  <c r="J545" i="7"/>
  <c r="G545" i="7"/>
  <c r="E545" i="7"/>
  <c r="J544" i="7"/>
  <c r="G544" i="7"/>
  <c r="E544" i="7"/>
  <c r="J543" i="7"/>
  <c r="G543" i="7"/>
  <c r="E543" i="7"/>
  <c r="J542" i="7"/>
  <c r="G542" i="7"/>
  <c r="E542" i="7"/>
  <c r="J541" i="7"/>
  <c r="G541" i="7"/>
  <c r="E541" i="7"/>
  <c r="J540" i="7"/>
  <c r="G540" i="7"/>
  <c r="E540" i="7"/>
  <c r="J539" i="7"/>
  <c r="H539" i="7"/>
  <c r="G539" i="7"/>
  <c r="E539" i="7"/>
  <c r="J538" i="7"/>
  <c r="G538" i="7"/>
  <c r="E538" i="7"/>
  <c r="J537" i="7"/>
  <c r="G537" i="7"/>
  <c r="E537" i="7"/>
  <c r="J536" i="7"/>
  <c r="G536" i="7"/>
  <c r="E536" i="7"/>
  <c r="J535" i="7"/>
  <c r="G535" i="7"/>
  <c r="E535" i="7"/>
  <c r="J534" i="7"/>
  <c r="G534" i="7"/>
  <c r="E534" i="7"/>
  <c r="J533" i="7"/>
  <c r="G533" i="7"/>
  <c r="E533" i="7"/>
  <c r="J532" i="7"/>
  <c r="H532" i="7"/>
  <c r="G532" i="7"/>
  <c r="E532" i="7"/>
  <c r="J531" i="7"/>
  <c r="G531" i="7"/>
  <c r="E531" i="7"/>
  <c r="J530" i="7"/>
  <c r="G530" i="7"/>
  <c r="E530" i="7"/>
  <c r="J529" i="7"/>
  <c r="G529" i="7"/>
  <c r="E529" i="7"/>
  <c r="J528" i="7"/>
  <c r="G528" i="7"/>
  <c r="E528" i="7"/>
  <c r="J527" i="7"/>
  <c r="G527" i="7"/>
  <c r="E527" i="7"/>
  <c r="J526" i="7"/>
  <c r="G526" i="7"/>
  <c r="E526" i="7"/>
  <c r="J525" i="7"/>
  <c r="H525" i="7"/>
  <c r="G525" i="7"/>
  <c r="E525" i="7"/>
  <c r="J524" i="7"/>
  <c r="G524" i="7"/>
  <c r="E524" i="7"/>
  <c r="J523" i="7"/>
  <c r="G523" i="7"/>
  <c r="E523" i="7"/>
  <c r="J522" i="7"/>
  <c r="G522" i="7"/>
  <c r="E522" i="7"/>
  <c r="J521" i="7"/>
  <c r="G521" i="7"/>
  <c r="E521" i="7"/>
  <c r="J520" i="7"/>
  <c r="G520" i="7"/>
  <c r="E520" i="7"/>
  <c r="J519" i="7"/>
  <c r="G519" i="7"/>
  <c r="E519" i="7"/>
  <c r="J518" i="7"/>
  <c r="H518" i="7"/>
  <c r="G518" i="7"/>
  <c r="E518" i="7"/>
  <c r="J517" i="7"/>
  <c r="G517" i="7"/>
  <c r="E517" i="7"/>
  <c r="J516" i="7"/>
  <c r="G516" i="7"/>
  <c r="E516" i="7"/>
  <c r="J515" i="7"/>
  <c r="G515" i="7"/>
  <c r="E515" i="7"/>
  <c r="J514" i="7"/>
  <c r="G514" i="7"/>
  <c r="E514" i="7"/>
  <c r="J513" i="7"/>
  <c r="G513" i="7"/>
  <c r="E513" i="7"/>
  <c r="J512" i="7"/>
  <c r="G512" i="7"/>
  <c r="E512" i="7"/>
  <c r="J511" i="7"/>
  <c r="H511" i="7"/>
  <c r="G511" i="7"/>
  <c r="E511" i="7"/>
  <c r="J510" i="7"/>
  <c r="G510" i="7"/>
  <c r="E510" i="7"/>
  <c r="J509" i="7"/>
  <c r="G509" i="7"/>
  <c r="E509" i="7"/>
  <c r="J508" i="7"/>
  <c r="G508" i="7"/>
  <c r="E508" i="7"/>
  <c r="J507" i="7"/>
  <c r="G507" i="7"/>
  <c r="E507" i="7"/>
  <c r="J506" i="7"/>
  <c r="G506" i="7"/>
  <c r="E506" i="7"/>
  <c r="J505" i="7"/>
  <c r="G505" i="7"/>
  <c r="E505" i="7"/>
  <c r="J504" i="7"/>
  <c r="H504" i="7"/>
  <c r="G504" i="7"/>
  <c r="E504" i="7"/>
  <c r="J503" i="7"/>
  <c r="G503" i="7"/>
  <c r="E503" i="7"/>
  <c r="J502" i="7"/>
  <c r="G502" i="7"/>
  <c r="E502" i="7"/>
  <c r="J501" i="7"/>
  <c r="G501" i="7"/>
  <c r="E501" i="7"/>
  <c r="J500" i="7"/>
  <c r="G500" i="7"/>
  <c r="E500" i="7"/>
  <c r="J499" i="7"/>
  <c r="G499" i="7"/>
  <c r="E499" i="7"/>
  <c r="J498" i="7"/>
  <c r="G498" i="7"/>
  <c r="E498" i="7"/>
  <c r="J497" i="7"/>
  <c r="H497" i="7"/>
  <c r="G497" i="7"/>
  <c r="E497" i="7"/>
  <c r="J496" i="7"/>
  <c r="G496" i="7"/>
  <c r="E496" i="7"/>
  <c r="J495" i="7"/>
  <c r="G495" i="7"/>
  <c r="E495" i="7"/>
  <c r="J494" i="7"/>
  <c r="G494" i="7"/>
  <c r="E494" i="7"/>
  <c r="J493" i="7"/>
  <c r="G493" i="7"/>
  <c r="E493" i="7"/>
  <c r="J492" i="7"/>
  <c r="G492" i="7"/>
  <c r="E492" i="7"/>
  <c r="J491" i="7"/>
  <c r="G491" i="7"/>
  <c r="E491" i="7"/>
  <c r="J490" i="7"/>
  <c r="H490" i="7"/>
  <c r="G490" i="7"/>
  <c r="E490" i="7"/>
  <c r="J489" i="7"/>
  <c r="G489" i="7"/>
  <c r="E489" i="7"/>
  <c r="J488" i="7"/>
  <c r="G488" i="7"/>
  <c r="E488" i="7"/>
  <c r="J487" i="7"/>
  <c r="G487" i="7"/>
  <c r="E487" i="7"/>
  <c r="J486" i="7"/>
  <c r="G486" i="7"/>
  <c r="E486" i="7"/>
  <c r="J485" i="7"/>
  <c r="G485" i="7"/>
  <c r="E485" i="7"/>
  <c r="J484" i="7"/>
  <c r="G484" i="7"/>
  <c r="E484" i="7"/>
  <c r="J483" i="7"/>
  <c r="H483" i="7"/>
  <c r="G483" i="7"/>
  <c r="E483" i="7"/>
  <c r="J482" i="7"/>
  <c r="G482" i="7"/>
  <c r="E482" i="7"/>
  <c r="J481" i="7"/>
  <c r="G481" i="7"/>
  <c r="E481" i="7"/>
  <c r="J480" i="7"/>
  <c r="G480" i="7"/>
  <c r="E480" i="7"/>
  <c r="J479" i="7"/>
  <c r="G479" i="7"/>
  <c r="E479" i="7"/>
  <c r="J478" i="7"/>
  <c r="G478" i="7"/>
  <c r="E478" i="7"/>
  <c r="J477" i="7"/>
  <c r="G477" i="7"/>
  <c r="E477" i="7"/>
  <c r="J476" i="7"/>
  <c r="H476" i="7"/>
  <c r="G476" i="7"/>
  <c r="E476" i="7"/>
  <c r="J475" i="7"/>
  <c r="G475" i="7"/>
  <c r="E475" i="7"/>
  <c r="J474" i="7"/>
  <c r="G474" i="7"/>
  <c r="E474" i="7"/>
  <c r="J473" i="7"/>
  <c r="G473" i="7"/>
  <c r="E473" i="7"/>
  <c r="J472" i="7"/>
  <c r="G472" i="7"/>
  <c r="E472" i="7"/>
  <c r="J471" i="7"/>
  <c r="G471" i="7"/>
  <c r="E471" i="7"/>
  <c r="J470" i="7"/>
  <c r="G470" i="7"/>
  <c r="E470" i="7"/>
  <c r="J469" i="7"/>
  <c r="H469" i="7"/>
  <c r="G469" i="7"/>
  <c r="E469" i="7"/>
  <c r="J468" i="7"/>
  <c r="G468" i="7"/>
  <c r="E468" i="7"/>
  <c r="J467" i="7"/>
  <c r="G467" i="7"/>
  <c r="E467" i="7"/>
  <c r="J466" i="7"/>
  <c r="G466" i="7"/>
  <c r="E466" i="7"/>
  <c r="J465" i="7"/>
  <c r="G465" i="7"/>
  <c r="E465" i="7"/>
  <c r="J464" i="7"/>
  <c r="G464" i="7"/>
  <c r="E464" i="7"/>
  <c r="J463" i="7"/>
  <c r="G463" i="7"/>
  <c r="E463" i="7"/>
  <c r="J462" i="7"/>
  <c r="H462" i="7"/>
  <c r="G462" i="7"/>
  <c r="E462" i="7"/>
  <c r="J461" i="7"/>
  <c r="G461" i="7"/>
  <c r="E461" i="7"/>
  <c r="J460" i="7"/>
  <c r="G460" i="7"/>
  <c r="E460" i="7"/>
  <c r="J459" i="7"/>
  <c r="G459" i="7"/>
  <c r="E459" i="7"/>
  <c r="J458" i="7"/>
  <c r="G458" i="7"/>
  <c r="E458" i="7"/>
  <c r="J457" i="7"/>
  <c r="G457" i="7"/>
  <c r="E457" i="7"/>
  <c r="J456" i="7"/>
  <c r="G456" i="7"/>
  <c r="E456" i="7"/>
  <c r="J455" i="7"/>
  <c r="H455" i="7"/>
  <c r="G455" i="7"/>
  <c r="E455" i="7"/>
  <c r="J454" i="7"/>
  <c r="G454" i="7"/>
  <c r="E454" i="7"/>
  <c r="J453" i="7"/>
  <c r="G453" i="7"/>
  <c r="E453" i="7"/>
  <c r="J452" i="7"/>
  <c r="G452" i="7"/>
  <c r="E452" i="7"/>
  <c r="J451" i="7"/>
  <c r="G451" i="7"/>
  <c r="E451" i="7"/>
  <c r="J450" i="7"/>
  <c r="G450" i="7"/>
  <c r="E450" i="7"/>
  <c r="J449" i="7"/>
  <c r="G449" i="7"/>
  <c r="E449" i="7"/>
  <c r="J448" i="7"/>
  <c r="H448" i="7"/>
  <c r="G448" i="7"/>
  <c r="E448" i="7"/>
  <c r="J447" i="7"/>
  <c r="G447" i="7"/>
  <c r="E447" i="7"/>
  <c r="J446" i="7"/>
  <c r="G446" i="7"/>
  <c r="E446" i="7"/>
  <c r="J445" i="7"/>
  <c r="G445" i="7"/>
  <c r="E445" i="7"/>
  <c r="J444" i="7"/>
  <c r="G444" i="7"/>
  <c r="E444" i="7"/>
  <c r="J443" i="7"/>
  <c r="G443" i="7"/>
  <c r="E443" i="7"/>
  <c r="J442" i="7"/>
  <c r="G442" i="7"/>
  <c r="E442" i="7"/>
  <c r="J441" i="7"/>
  <c r="H441" i="7"/>
  <c r="G441" i="7"/>
  <c r="E441" i="7"/>
  <c r="J440" i="7"/>
  <c r="G440" i="7"/>
  <c r="E440" i="7"/>
  <c r="J439" i="7"/>
  <c r="G439" i="7"/>
  <c r="E439" i="7"/>
  <c r="J438" i="7"/>
  <c r="G438" i="7"/>
  <c r="E438" i="7"/>
  <c r="J437" i="7"/>
  <c r="G437" i="7"/>
  <c r="E437" i="7"/>
  <c r="J436" i="7"/>
  <c r="G436" i="7"/>
  <c r="E436" i="7"/>
  <c r="J435" i="7"/>
  <c r="G435" i="7"/>
  <c r="E435" i="7"/>
  <c r="J434" i="7"/>
  <c r="H434" i="7"/>
  <c r="G434" i="7"/>
  <c r="E434" i="7"/>
  <c r="J433" i="7"/>
  <c r="G433" i="7"/>
  <c r="E433" i="7"/>
  <c r="J432" i="7"/>
  <c r="G432" i="7"/>
  <c r="E432" i="7"/>
  <c r="J431" i="7"/>
  <c r="G431" i="7"/>
  <c r="E431" i="7"/>
  <c r="J430" i="7"/>
  <c r="G430" i="7"/>
  <c r="E430" i="7"/>
  <c r="J429" i="7"/>
  <c r="G429" i="7"/>
  <c r="E429" i="7"/>
  <c r="J428" i="7"/>
  <c r="G428" i="7"/>
  <c r="E428" i="7"/>
  <c r="J427" i="7"/>
  <c r="H427" i="7"/>
  <c r="G427" i="7"/>
  <c r="E427" i="7"/>
  <c r="J426" i="7"/>
  <c r="G426" i="7"/>
  <c r="E426" i="7"/>
  <c r="J425" i="7"/>
  <c r="G425" i="7"/>
  <c r="E425" i="7"/>
  <c r="J424" i="7"/>
  <c r="G424" i="7"/>
  <c r="E424" i="7"/>
  <c r="J423" i="7"/>
  <c r="G423" i="7"/>
  <c r="E423" i="7"/>
  <c r="J422" i="7"/>
  <c r="G422" i="7"/>
  <c r="E422" i="7"/>
  <c r="J421" i="7"/>
  <c r="G421" i="7"/>
  <c r="E421" i="7"/>
  <c r="J420" i="7"/>
  <c r="H420" i="7"/>
  <c r="G420" i="7"/>
  <c r="E420" i="7"/>
  <c r="J419" i="7"/>
  <c r="G419" i="7"/>
  <c r="E419" i="7"/>
  <c r="J418" i="7"/>
  <c r="G418" i="7"/>
  <c r="E418" i="7"/>
  <c r="J417" i="7"/>
  <c r="G417" i="7"/>
  <c r="E417" i="7"/>
  <c r="J416" i="7"/>
  <c r="G416" i="7"/>
  <c r="E416" i="7"/>
  <c r="J415" i="7"/>
  <c r="G415" i="7"/>
  <c r="E415" i="7"/>
  <c r="J414" i="7"/>
  <c r="G414" i="7"/>
  <c r="E414" i="7"/>
  <c r="J413" i="7"/>
  <c r="H413" i="7"/>
  <c r="G413" i="7"/>
  <c r="E413" i="7"/>
  <c r="J412" i="7"/>
  <c r="G412" i="7"/>
  <c r="E412" i="7"/>
  <c r="J411" i="7"/>
  <c r="G411" i="7"/>
  <c r="E411" i="7"/>
  <c r="J410" i="7"/>
  <c r="G410" i="7"/>
  <c r="E410" i="7"/>
  <c r="J409" i="7"/>
  <c r="G409" i="7"/>
  <c r="E409" i="7"/>
  <c r="J408" i="7"/>
  <c r="G408" i="7"/>
  <c r="E408" i="7"/>
  <c r="J407" i="7"/>
  <c r="G407" i="7"/>
  <c r="E407" i="7"/>
  <c r="J406" i="7"/>
  <c r="H406" i="7"/>
  <c r="G406" i="7"/>
  <c r="E406" i="7"/>
  <c r="J405" i="7"/>
  <c r="G405" i="7"/>
  <c r="E405" i="7"/>
  <c r="J404" i="7"/>
  <c r="G404" i="7"/>
  <c r="E404" i="7"/>
  <c r="J403" i="7"/>
  <c r="G403" i="7"/>
  <c r="E403" i="7"/>
  <c r="J402" i="7"/>
  <c r="G402" i="7"/>
  <c r="E402" i="7"/>
  <c r="J401" i="7"/>
  <c r="G401" i="7"/>
  <c r="E401" i="7"/>
  <c r="J400" i="7"/>
  <c r="G400" i="7"/>
  <c r="E400" i="7"/>
  <c r="J399" i="7"/>
  <c r="H399" i="7"/>
  <c r="G399" i="7"/>
  <c r="E399" i="7"/>
  <c r="J398" i="7"/>
  <c r="G398" i="7"/>
  <c r="E398" i="7"/>
  <c r="J397" i="7"/>
  <c r="G397" i="7"/>
  <c r="E397" i="7"/>
  <c r="J396" i="7"/>
  <c r="G396" i="7"/>
  <c r="E396" i="7"/>
  <c r="J395" i="7"/>
  <c r="G395" i="7"/>
  <c r="E395" i="7"/>
  <c r="J394" i="7"/>
  <c r="G394" i="7"/>
  <c r="E394" i="7"/>
  <c r="J393" i="7"/>
  <c r="G393" i="7"/>
  <c r="E393" i="7"/>
  <c r="J392" i="7"/>
  <c r="H392" i="7"/>
  <c r="G392" i="7"/>
  <c r="E392" i="7"/>
  <c r="J391" i="7"/>
  <c r="G391" i="7"/>
  <c r="E391" i="7"/>
  <c r="J390" i="7"/>
  <c r="G390" i="7"/>
  <c r="E390" i="7"/>
  <c r="J389" i="7"/>
  <c r="G389" i="7"/>
  <c r="E389" i="7"/>
  <c r="J388" i="7"/>
  <c r="G388" i="7"/>
  <c r="E388" i="7"/>
  <c r="J387" i="7"/>
  <c r="G387" i="7"/>
  <c r="E387" i="7"/>
  <c r="J386" i="7"/>
  <c r="G386" i="7"/>
  <c r="E386" i="7"/>
  <c r="J385" i="7"/>
  <c r="H385" i="7"/>
  <c r="G385" i="7"/>
  <c r="E385" i="7"/>
  <c r="J384" i="7"/>
  <c r="G384" i="7"/>
  <c r="E384" i="7"/>
  <c r="J383" i="7"/>
  <c r="G383" i="7"/>
  <c r="E383" i="7"/>
  <c r="J382" i="7"/>
  <c r="G382" i="7"/>
  <c r="E382" i="7"/>
  <c r="J381" i="7"/>
  <c r="G381" i="7"/>
  <c r="E381" i="7"/>
  <c r="J380" i="7"/>
  <c r="G380" i="7"/>
  <c r="E380" i="7"/>
  <c r="J379" i="7"/>
  <c r="G379" i="7"/>
  <c r="E379" i="7"/>
  <c r="J378" i="7"/>
  <c r="H378" i="7"/>
  <c r="I385" i="7" s="1"/>
  <c r="G378" i="7"/>
  <c r="E378" i="7"/>
  <c r="J377" i="7"/>
  <c r="G377" i="7"/>
  <c r="E377" i="7"/>
  <c r="J376" i="7"/>
  <c r="G376" i="7"/>
  <c r="E376" i="7"/>
  <c r="J375" i="7"/>
  <c r="G375" i="7"/>
  <c r="E375" i="7"/>
  <c r="J374" i="7"/>
  <c r="G374" i="7"/>
  <c r="E374" i="7"/>
  <c r="J373" i="7"/>
  <c r="G373" i="7"/>
  <c r="E373" i="7"/>
  <c r="J372" i="7"/>
  <c r="G372" i="7"/>
  <c r="E372" i="7"/>
  <c r="J371" i="7"/>
  <c r="H371" i="7"/>
  <c r="I378" i="7" s="1"/>
  <c r="G371" i="7"/>
  <c r="E371" i="7"/>
  <c r="J370" i="7"/>
  <c r="G370" i="7"/>
  <c r="E370" i="7"/>
  <c r="J369" i="7"/>
  <c r="G369" i="7"/>
  <c r="E369" i="7"/>
  <c r="J368" i="7"/>
  <c r="G368" i="7"/>
  <c r="E368" i="7"/>
  <c r="J367" i="7"/>
  <c r="G367" i="7"/>
  <c r="E367" i="7"/>
  <c r="J366" i="7"/>
  <c r="G366" i="7"/>
  <c r="E366" i="7"/>
  <c r="J365" i="7"/>
  <c r="G365" i="7"/>
  <c r="E365" i="7"/>
  <c r="J364" i="7"/>
  <c r="H364" i="7"/>
  <c r="G364" i="7"/>
  <c r="E364" i="7"/>
  <c r="J363" i="7"/>
  <c r="G363" i="7"/>
  <c r="E363" i="7"/>
  <c r="J362" i="7"/>
  <c r="G362" i="7"/>
  <c r="E362" i="7"/>
  <c r="J361" i="7"/>
  <c r="G361" i="7"/>
  <c r="E361" i="7"/>
  <c r="J360" i="7"/>
  <c r="G360" i="7"/>
  <c r="E360" i="7"/>
  <c r="J359" i="7"/>
  <c r="G359" i="7"/>
  <c r="E359" i="7"/>
  <c r="J358" i="7"/>
  <c r="G358" i="7"/>
  <c r="E358" i="7"/>
  <c r="J357" i="7"/>
  <c r="H357" i="7"/>
  <c r="G357" i="7"/>
  <c r="E357" i="7"/>
  <c r="J356" i="7"/>
  <c r="G356" i="7"/>
  <c r="E356" i="7"/>
  <c r="J355" i="7"/>
  <c r="G355" i="7"/>
  <c r="E355" i="7"/>
  <c r="J354" i="7"/>
  <c r="G354" i="7"/>
  <c r="E354" i="7"/>
  <c r="J353" i="7"/>
  <c r="G353" i="7"/>
  <c r="E353" i="7"/>
  <c r="J352" i="7"/>
  <c r="G352" i="7"/>
  <c r="E352" i="7"/>
  <c r="J351" i="7"/>
  <c r="G351" i="7"/>
  <c r="E351" i="7"/>
  <c r="J350" i="7"/>
  <c r="H350" i="7"/>
  <c r="G350" i="7"/>
  <c r="E350" i="7"/>
  <c r="J349" i="7"/>
  <c r="G349" i="7"/>
  <c r="E349" i="7"/>
  <c r="J348" i="7"/>
  <c r="G348" i="7"/>
  <c r="E348" i="7"/>
  <c r="J347" i="7"/>
  <c r="G347" i="7"/>
  <c r="E347" i="7"/>
  <c r="J346" i="7"/>
  <c r="G346" i="7"/>
  <c r="E346" i="7"/>
  <c r="J345" i="7"/>
  <c r="G345" i="7"/>
  <c r="E345" i="7"/>
  <c r="J344" i="7"/>
  <c r="G344" i="7"/>
  <c r="E344" i="7"/>
  <c r="J343" i="7"/>
  <c r="H343" i="7"/>
  <c r="G343" i="7"/>
  <c r="E343" i="7"/>
  <c r="J342" i="7"/>
  <c r="G342" i="7"/>
  <c r="E342" i="7"/>
  <c r="J341" i="7"/>
  <c r="G341" i="7"/>
  <c r="E341" i="7"/>
  <c r="J340" i="7"/>
  <c r="G340" i="7"/>
  <c r="E340" i="7"/>
  <c r="J339" i="7"/>
  <c r="G339" i="7"/>
  <c r="E339" i="7"/>
  <c r="J338" i="7"/>
  <c r="G338" i="7"/>
  <c r="E338" i="7"/>
  <c r="J337" i="7"/>
  <c r="G337" i="7"/>
  <c r="E337" i="7"/>
  <c r="J336" i="7"/>
  <c r="H336" i="7"/>
  <c r="G336" i="7"/>
  <c r="E336" i="7"/>
  <c r="J335" i="7"/>
  <c r="G335" i="7"/>
  <c r="E335" i="7"/>
  <c r="J334" i="7"/>
  <c r="G334" i="7"/>
  <c r="E334" i="7"/>
  <c r="J333" i="7"/>
  <c r="G333" i="7"/>
  <c r="E333" i="7"/>
  <c r="J332" i="7"/>
  <c r="G332" i="7"/>
  <c r="E332" i="7"/>
  <c r="J331" i="7"/>
  <c r="G331" i="7"/>
  <c r="E331" i="7"/>
  <c r="J330" i="7"/>
  <c r="G330" i="7"/>
  <c r="E330" i="7"/>
  <c r="J329" i="7"/>
  <c r="H329" i="7"/>
  <c r="G329" i="7"/>
  <c r="E329" i="7"/>
  <c r="J328" i="7"/>
  <c r="G328" i="7"/>
  <c r="E328" i="7"/>
  <c r="J327" i="7"/>
  <c r="G327" i="7"/>
  <c r="E327" i="7"/>
  <c r="J326" i="7"/>
  <c r="G326" i="7"/>
  <c r="E326" i="7"/>
  <c r="J325" i="7"/>
  <c r="G325" i="7"/>
  <c r="E325" i="7"/>
  <c r="J324" i="7"/>
  <c r="G324" i="7"/>
  <c r="E324" i="7"/>
  <c r="J323" i="7"/>
  <c r="G323" i="7"/>
  <c r="E323" i="7"/>
  <c r="J322" i="7"/>
  <c r="H322" i="7"/>
  <c r="G322" i="7"/>
  <c r="E322" i="7"/>
  <c r="J321" i="7"/>
  <c r="G321" i="7"/>
  <c r="E321" i="7"/>
  <c r="J320" i="7"/>
  <c r="G320" i="7"/>
  <c r="E320" i="7"/>
  <c r="J319" i="7"/>
  <c r="G319" i="7"/>
  <c r="E319" i="7"/>
  <c r="J318" i="7"/>
  <c r="G318" i="7"/>
  <c r="E318" i="7"/>
  <c r="J317" i="7"/>
  <c r="G317" i="7"/>
  <c r="E317" i="7"/>
  <c r="J316" i="7"/>
  <c r="G316" i="7"/>
  <c r="E316" i="7"/>
  <c r="J315" i="7"/>
  <c r="H315" i="7"/>
  <c r="G315" i="7"/>
  <c r="E315" i="7"/>
  <c r="J314" i="7"/>
  <c r="G314" i="7"/>
  <c r="E314" i="7"/>
  <c r="J313" i="7"/>
  <c r="G313" i="7"/>
  <c r="E313" i="7"/>
  <c r="J312" i="7"/>
  <c r="G312" i="7"/>
  <c r="E312" i="7"/>
  <c r="J311" i="7"/>
  <c r="G311" i="7"/>
  <c r="E311" i="7"/>
  <c r="J310" i="7"/>
  <c r="G310" i="7"/>
  <c r="E310" i="7"/>
  <c r="J309" i="7"/>
  <c r="G309" i="7"/>
  <c r="E309" i="7"/>
  <c r="J308" i="7"/>
  <c r="H308" i="7"/>
  <c r="G308" i="7"/>
  <c r="E308" i="7"/>
  <c r="J307" i="7"/>
  <c r="G307" i="7"/>
  <c r="E307" i="7"/>
  <c r="J306" i="7"/>
  <c r="G306" i="7"/>
  <c r="E306" i="7"/>
  <c r="J305" i="7"/>
  <c r="G305" i="7"/>
  <c r="E305" i="7"/>
  <c r="J304" i="7"/>
  <c r="G304" i="7"/>
  <c r="E304" i="7"/>
  <c r="J303" i="7"/>
  <c r="G303" i="7"/>
  <c r="E303" i="7"/>
  <c r="J302" i="7"/>
  <c r="G302" i="7"/>
  <c r="E302" i="7"/>
  <c r="J301" i="7"/>
  <c r="H301" i="7"/>
  <c r="G301" i="7"/>
  <c r="E301" i="7"/>
  <c r="J300" i="7"/>
  <c r="G300" i="7"/>
  <c r="E300" i="7"/>
  <c r="J299" i="7"/>
  <c r="G299" i="7"/>
  <c r="E299" i="7"/>
  <c r="J298" i="7"/>
  <c r="G298" i="7"/>
  <c r="E298" i="7"/>
  <c r="J297" i="7"/>
  <c r="G297" i="7"/>
  <c r="E297" i="7"/>
  <c r="J296" i="7"/>
  <c r="G296" i="7"/>
  <c r="E296" i="7"/>
  <c r="J295" i="7"/>
  <c r="G295" i="7"/>
  <c r="E295" i="7"/>
  <c r="J294" i="7"/>
  <c r="H294" i="7"/>
  <c r="G294" i="7"/>
  <c r="E294" i="7"/>
  <c r="J293" i="7"/>
  <c r="G293" i="7"/>
  <c r="E293" i="7"/>
  <c r="J292" i="7"/>
  <c r="G292" i="7"/>
  <c r="E292" i="7"/>
  <c r="J291" i="7"/>
  <c r="G291" i="7"/>
  <c r="E291" i="7"/>
  <c r="J290" i="7"/>
  <c r="G290" i="7"/>
  <c r="E290" i="7"/>
  <c r="J289" i="7"/>
  <c r="G289" i="7"/>
  <c r="E289" i="7"/>
  <c r="J288" i="7"/>
  <c r="G288" i="7"/>
  <c r="E288" i="7"/>
  <c r="J287" i="7"/>
  <c r="H287" i="7"/>
  <c r="G287" i="7"/>
  <c r="E287" i="7"/>
  <c r="J286" i="7"/>
  <c r="G286" i="7"/>
  <c r="E286" i="7"/>
  <c r="J285" i="7"/>
  <c r="G285" i="7"/>
  <c r="E285" i="7"/>
  <c r="J284" i="7"/>
  <c r="G284" i="7"/>
  <c r="E284" i="7"/>
  <c r="J283" i="7"/>
  <c r="G283" i="7"/>
  <c r="E283" i="7"/>
  <c r="J282" i="7"/>
  <c r="G282" i="7"/>
  <c r="E282" i="7"/>
  <c r="J281" i="7"/>
  <c r="G281" i="7"/>
  <c r="E281" i="7"/>
  <c r="J280" i="7"/>
  <c r="H280" i="7"/>
  <c r="G280" i="7"/>
  <c r="E280" i="7"/>
  <c r="J279" i="7"/>
  <c r="G279" i="7"/>
  <c r="E279" i="7"/>
  <c r="J278" i="7"/>
  <c r="G278" i="7"/>
  <c r="E278" i="7"/>
  <c r="J277" i="7"/>
  <c r="G277" i="7"/>
  <c r="E277" i="7"/>
  <c r="J276" i="7"/>
  <c r="G276" i="7"/>
  <c r="E276" i="7"/>
  <c r="J275" i="7"/>
  <c r="G275" i="7"/>
  <c r="E275" i="7"/>
  <c r="J274" i="7"/>
  <c r="G274" i="7"/>
  <c r="E274" i="7"/>
  <c r="J273" i="7"/>
  <c r="H273" i="7"/>
  <c r="G273" i="7"/>
  <c r="E273" i="7"/>
  <c r="J272" i="7"/>
  <c r="G272" i="7"/>
  <c r="E272" i="7"/>
  <c r="J271" i="7"/>
  <c r="G271" i="7"/>
  <c r="E271" i="7"/>
  <c r="J270" i="7"/>
  <c r="G270" i="7"/>
  <c r="E270" i="7"/>
  <c r="J269" i="7"/>
  <c r="G269" i="7"/>
  <c r="E269" i="7"/>
  <c r="J268" i="7"/>
  <c r="G268" i="7"/>
  <c r="E268" i="7"/>
  <c r="J267" i="7"/>
  <c r="G267" i="7"/>
  <c r="E267" i="7"/>
  <c r="J266" i="7"/>
  <c r="H266" i="7"/>
  <c r="G266" i="7"/>
  <c r="E266" i="7"/>
  <c r="J265" i="7"/>
  <c r="G265" i="7"/>
  <c r="E265" i="7"/>
  <c r="J264" i="7"/>
  <c r="G264" i="7"/>
  <c r="E264" i="7"/>
  <c r="J263" i="7"/>
  <c r="G263" i="7"/>
  <c r="E263" i="7"/>
  <c r="J262" i="7"/>
  <c r="G262" i="7"/>
  <c r="E262" i="7"/>
  <c r="J261" i="7"/>
  <c r="G261" i="7"/>
  <c r="E261" i="7"/>
  <c r="J260" i="7"/>
  <c r="G260" i="7"/>
  <c r="E260" i="7"/>
  <c r="J259" i="7"/>
  <c r="H259" i="7"/>
  <c r="G259" i="7"/>
  <c r="E259" i="7"/>
  <c r="J258" i="7"/>
  <c r="G258" i="7"/>
  <c r="E258" i="7"/>
  <c r="J257" i="7"/>
  <c r="G257" i="7"/>
  <c r="E257" i="7"/>
  <c r="J256" i="7"/>
  <c r="G256" i="7"/>
  <c r="E256" i="7"/>
  <c r="J255" i="7"/>
  <c r="G255" i="7"/>
  <c r="E255" i="7"/>
  <c r="J254" i="7"/>
  <c r="G254" i="7"/>
  <c r="E254" i="7"/>
  <c r="J253" i="7"/>
  <c r="G253" i="7"/>
  <c r="E253" i="7"/>
  <c r="J252" i="7"/>
  <c r="H252" i="7"/>
  <c r="G252" i="7"/>
  <c r="E252" i="7"/>
  <c r="J251" i="7"/>
  <c r="G251" i="7"/>
  <c r="E251" i="7"/>
  <c r="J250" i="7"/>
  <c r="G250" i="7"/>
  <c r="E250" i="7"/>
  <c r="J249" i="7"/>
  <c r="G249" i="7"/>
  <c r="E249" i="7"/>
  <c r="J248" i="7"/>
  <c r="G248" i="7"/>
  <c r="E248" i="7"/>
  <c r="J247" i="7"/>
  <c r="G247" i="7"/>
  <c r="E247" i="7"/>
  <c r="J246" i="7"/>
  <c r="G246" i="7"/>
  <c r="E246" i="7"/>
  <c r="J245" i="7"/>
  <c r="H245" i="7"/>
  <c r="G245" i="7"/>
  <c r="E245" i="7"/>
  <c r="J244" i="7"/>
  <c r="G244" i="7"/>
  <c r="E244" i="7"/>
  <c r="J243" i="7"/>
  <c r="G243" i="7"/>
  <c r="E243" i="7"/>
  <c r="J242" i="7"/>
  <c r="G242" i="7"/>
  <c r="E242" i="7"/>
  <c r="J241" i="7"/>
  <c r="G241" i="7"/>
  <c r="E241" i="7"/>
  <c r="J240" i="7"/>
  <c r="G240" i="7"/>
  <c r="E240" i="7"/>
  <c r="J239" i="7"/>
  <c r="G239" i="7"/>
  <c r="E239" i="7"/>
  <c r="J238" i="7"/>
  <c r="H238" i="7"/>
  <c r="G238" i="7"/>
  <c r="E238" i="7"/>
  <c r="J237" i="7"/>
  <c r="G237" i="7"/>
  <c r="E237" i="7"/>
  <c r="J236" i="7"/>
  <c r="G236" i="7"/>
  <c r="E236" i="7"/>
  <c r="J235" i="7"/>
  <c r="G235" i="7"/>
  <c r="E235" i="7"/>
  <c r="J234" i="7"/>
  <c r="G234" i="7"/>
  <c r="E234" i="7"/>
  <c r="J233" i="7"/>
  <c r="G233" i="7"/>
  <c r="E233" i="7"/>
  <c r="J232" i="7"/>
  <c r="G232" i="7"/>
  <c r="E232" i="7"/>
  <c r="J231" i="7"/>
  <c r="H231" i="7"/>
  <c r="G231" i="7"/>
  <c r="E231" i="7"/>
  <c r="J230" i="7"/>
  <c r="G230" i="7"/>
  <c r="E230" i="7"/>
  <c r="J229" i="7"/>
  <c r="G229" i="7"/>
  <c r="E229" i="7"/>
  <c r="J228" i="7"/>
  <c r="G228" i="7"/>
  <c r="E228" i="7"/>
  <c r="J227" i="7"/>
  <c r="G227" i="7"/>
  <c r="E227" i="7"/>
  <c r="J226" i="7"/>
  <c r="G226" i="7"/>
  <c r="E226" i="7"/>
  <c r="J225" i="7"/>
  <c r="G225" i="7"/>
  <c r="E225" i="7"/>
  <c r="J224" i="7"/>
  <c r="H224" i="7"/>
  <c r="G224" i="7"/>
  <c r="E224" i="7"/>
  <c r="J223" i="7"/>
  <c r="G223" i="7"/>
  <c r="E223" i="7"/>
  <c r="J222" i="7"/>
  <c r="G222" i="7"/>
  <c r="E222" i="7"/>
  <c r="J221" i="7"/>
  <c r="G221" i="7"/>
  <c r="E221" i="7"/>
  <c r="J220" i="7"/>
  <c r="G220" i="7"/>
  <c r="E220" i="7"/>
  <c r="J219" i="7"/>
  <c r="G219" i="7"/>
  <c r="E219" i="7"/>
  <c r="J218" i="7"/>
  <c r="G218" i="7"/>
  <c r="E218" i="7"/>
  <c r="J217" i="7"/>
  <c r="H217" i="7"/>
  <c r="G217" i="7"/>
  <c r="E217" i="7"/>
  <c r="J216" i="7"/>
  <c r="G216" i="7"/>
  <c r="E216" i="7"/>
  <c r="J215" i="7"/>
  <c r="G215" i="7"/>
  <c r="E215" i="7"/>
  <c r="J214" i="7"/>
  <c r="G214" i="7"/>
  <c r="E214" i="7"/>
  <c r="J213" i="7"/>
  <c r="G213" i="7"/>
  <c r="E213" i="7"/>
  <c r="J212" i="7"/>
  <c r="G212" i="7"/>
  <c r="E212" i="7"/>
  <c r="J211" i="7"/>
  <c r="G211" i="7"/>
  <c r="E211" i="7"/>
  <c r="J210" i="7"/>
  <c r="H210" i="7"/>
  <c r="G210" i="7"/>
  <c r="E210" i="7"/>
  <c r="J209" i="7"/>
  <c r="G209" i="7"/>
  <c r="E209" i="7"/>
  <c r="J208" i="7"/>
  <c r="G208" i="7"/>
  <c r="E208" i="7"/>
  <c r="J207" i="7"/>
  <c r="G207" i="7"/>
  <c r="E207" i="7"/>
  <c r="J206" i="7"/>
  <c r="G206" i="7"/>
  <c r="E206" i="7"/>
  <c r="J205" i="7"/>
  <c r="G205" i="7"/>
  <c r="E205" i="7"/>
  <c r="J204" i="7"/>
  <c r="G204" i="7"/>
  <c r="E204" i="7"/>
  <c r="J203" i="7"/>
  <c r="H203" i="7"/>
  <c r="G203" i="7"/>
  <c r="E203" i="7"/>
  <c r="J202" i="7"/>
  <c r="G202" i="7"/>
  <c r="E202" i="7"/>
  <c r="J201" i="7"/>
  <c r="G201" i="7"/>
  <c r="E201" i="7"/>
  <c r="J200" i="7"/>
  <c r="G200" i="7"/>
  <c r="E200" i="7"/>
  <c r="J199" i="7"/>
  <c r="G199" i="7"/>
  <c r="E199" i="7"/>
  <c r="J198" i="7"/>
  <c r="G198" i="7"/>
  <c r="E198" i="7"/>
  <c r="J197" i="7"/>
  <c r="G197" i="7"/>
  <c r="E197" i="7"/>
  <c r="J196" i="7"/>
  <c r="H196" i="7"/>
  <c r="G196" i="7"/>
  <c r="E196" i="7"/>
  <c r="J195" i="7"/>
  <c r="G195" i="7"/>
  <c r="E195" i="7"/>
  <c r="J194" i="7"/>
  <c r="G194" i="7"/>
  <c r="E194" i="7"/>
  <c r="J193" i="7"/>
  <c r="G193" i="7"/>
  <c r="E193" i="7"/>
  <c r="J192" i="7"/>
  <c r="G192" i="7"/>
  <c r="E192" i="7"/>
  <c r="J191" i="7"/>
  <c r="G191" i="7"/>
  <c r="E191" i="7"/>
  <c r="J190" i="7"/>
  <c r="G190" i="7"/>
  <c r="E190" i="7"/>
  <c r="J189" i="7"/>
  <c r="H189" i="7"/>
  <c r="G189" i="7"/>
  <c r="E189" i="7"/>
  <c r="J188" i="7"/>
  <c r="G188" i="7"/>
  <c r="E188" i="7"/>
  <c r="J187" i="7"/>
  <c r="G187" i="7"/>
  <c r="E187" i="7"/>
  <c r="J186" i="7"/>
  <c r="G186" i="7"/>
  <c r="E186" i="7"/>
  <c r="J185" i="7"/>
  <c r="G185" i="7"/>
  <c r="E185" i="7"/>
  <c r="J184" i="7"/>
  <c r="G184" i="7"/>
  <c r="E184" i="7"/>
  <c r="J183" i="7"/>
  <c r="G183" i="7"/>
  <c r="E183" i="7"/>
  <c r="J182" i="7"/>
  <c r="H182" i="7"/>
  <c r="G182" i="7"/>
  <c r="E182" i="7"/>
  <c r="J181" i="7"/>
  <c r="G181" i="7"/>
  <c r="E181" i="7"/>
  <c r="J180" i="7"/>
  <c r="G180" i="7"/>
  <c r="E180" i="7"/>
  <c r="J179" i="7"/>
  <c r="G179" i="7"/>
  <c r="E179" i="7"/>
  <c r="J178" i="7"/>
  <c r="G178" i="7"/>
  <c r="E178" i="7"/>
  <c r="J177" i="7"/>
  <c r="G177" i="7"/>
  <c r="E177" i="7"/>
  <c r="J176" i="7"/>
  <c r="G176" i="7"/>
  <c r="E176" i="7"/>
  <c r="J175" i="7"/>
  <c r="H175" i="7"/>
  <c r="G175" i="7"/>
  <c r="E175" i="7"/>
  <c r="J174" i="7"/>
  <c r="G174" i="7"/>
  <c r="E174" i="7"/>
  <c r="J173" i="7"/>
  <c r="G173" i="7"/>
  <c r="E173" i="7"/>
  <c r="J172" i="7"/>
  <c r="G172" i="7"/>
  <c r="E172" i="7"/>
  <c r="J171" i="7"/>
  <c r="G171" i="7"/>
  <c r="E171" i="7"/>
  <c r="J170" i="7"/>
  <c r="G170" i="7"/>
  <c r="E170" i="7"/>
  <c r="J169" i="7"/>
  <c r="G169" i="7"/>
  <c r="E169" i="7"/>
  <c r="J168" i="7"/>
  <c r="H168" i="7"/>
  <c r="G168" i="7"/>
  <c r="E168" i="7"/>
  <c r="J167" i="7"/>
  <c r="G167" i="7"/>
  <c r="E167" i="7"/>
  <c r="J166" i="7"/>
  <c r="G166" i="7"/>
  <c r="E166" i="7"/>
  <c r="J165" i="7"/>
  <c r="G165" i="7"/>
  <c r="E165" i="7"/>
  <c r="J164" i="7"/>
  <c r="G164" i="7"/>
  <c r="E164" i="7"/>
  <c r="J163" i="7"/>
  <c r="G163" i="7"/>
  <c r="E163" i="7"/>
  <c r="J162" i="7"/>
  <c r="G162" i="7"/>
  <c r="E162" i="7"/>
  <c r="J161" i="7"/>
  <c r="H161" i="7"/>
  <c r="G161" i="7"/>
  <c r="E161" i="7"/>
  <c r="J160" i="7"/>
  <c r="G160" i="7"/>
  <c r="E160" i="7"/>
  <c r="J159" i="7"/>
  <c r="G159" i="7"/>
  <c r="E159" i="7"/>
  <c r="J158" i="7"/>
  <c r="G158" i="7"/>
  <c r="E158" i="7"/>
  <c r="J157" i="7"/>
  <c r="G157" i="7"/>
  <c r="E157" i="7"/>
  <c r="J156" i="7"/>
  <c r="G156" i="7"/>
  <c r="E156" i="7"/>
  <c r="J155" i="7"/>
  <c r="G155" i="7"/>
  <c r="E155" i="7"/>
  <c r="J154" i="7"/>
  <c r="H154" i="7"/>
  <c r="G154" i="7"/>
  <c r="E154" i="7"/>
  <c r="J153" i="7"/>
  <c r="G153" i="7"/>
  <c r="E153" i="7"/>
  <c r="J152" i="7"/>
  <c r="G152" i="7"/>
  <c r="E152" i="7"/>
  <c r="J151" i="7"/>
  <c r="G151" i="7"/>
  <c r="E151" i="7"/>
  <c r="J150" i="7"/>
  <c r="G150" i="7"/>
  <c r="E150" i="7"/>
  <c r="J149" i="7"/>
  <c r="G149" i="7"/>
  <c r="E149" i="7"/>
  <c r="J148" i="7"/>
  <c r="G148" i="7"/>
  <c r="E148" i="7"/>
  <c r="J147" i="7"/>
  <c r="H147" i="7"/>
  <c r="G147" i="7"/>
  <c r="E147" i="7"/>
  <c r="J146" i="7"/>
  <c r="G146" i="7"/>
  <c r="E146" i="7"/>
  <c r="J145" i="7"/>
  <c r="G145" i="7"/>
  <c r="E145" i="7"/>
  <c r="J144" i="7"/>
  <c r="G144" i="7"/>
  <c r="E144" i="7"/>
  <c r="J143" i="7"/>
  <c r="G143" i="7"/>
  <c r="E143" i="7"/>
  <c r="J142" i="7"/>
  <c r="G142" i="7"/>
  <c r="E142" i="7"/>
  <c r="J141" i="7"/>
  <c r="G141" i="7"/>
  <c r="E141" i="7"/>
  <c r="J140" i="7"/>
  <c r="H140" i="7"/>
  <c r="G140" i="7"/>
  <c r="E140" i="7"/>
  <c r="J139" i="7"/>
  <c r="G139" i="7"/>
  <c r="E139" i="7"/>
  <c r="J138" i="7"/>
  <c r="G138" i="7"/>
  <c r="E138" i="7"/>
  <c r="J137" i="7"/>
  <c r="G137" i="7"/>
  <c r="E137" i="7"/>
  <c r="J136" i="7"/>
  <c r="G136" i="7"/>
  <c r="E136" i="7"/>
  <c r="J135" i="7"/>
  <c r="G135" i="7"/>
  <c r="E135" i="7"/>
  <c r="J134" i="7"/>
  <c r="G134" i="7"/>
  <c r="E134" i="7"/>
  <c r="J133" i="7"/>
  <c r="H133" i="7"/>
  <c r="G133" i="7"/>
  <c r="E133" i="7"/>
  <c r="J132" i="7"/>
  <c r="G132" i="7"/>
  <c r="E132" i="7"/>
  <c r="J131" i="7"/>
  <c r="G131" i="7"/>
  <c r="E131" i="7"/>
  <c r="J130" i="7"/>
  <c r="G130" i="7"/>
  <c r="E130" i="7"/>
  <c r="J129" i="7"/>
  <c r="G129" i="7"/>
  <c r="E129" i="7"/>
  <c r="J128" i="7"/>
  <c r="G128" i="7"/>
  <c r="E128" i="7"/>
  <c r="J127" i="7"/>
  <c r="G127" i="7"/>
  <c r="E127" i="7"/>
  <c r="J126" i="7"/>
  <c r="H126" i="7"/>
  <c r="G126" i="7"/>
  <c r="E126" i="7"/>
  <c r="J125" i="7"/>
  <c r="G125" i="7"/>
  <c r="E125" i="7"/>
  <c r="J124" i="7"/>
  <c r="G124" i="7"/>
  <c r="E124" i="7"/>
  <c r="J123" i="7"/>
  <c r="G123" i="7"/>
  <c r="E123" i="7"/>
  <c r="J122" i="7"/>
  <c r="G122" i="7"/>
  <c r="E122" i="7"/>
  <c r="J121" i="7"/>
  <c r="G121" i="7"/>
  <c r="E121" i="7"/>
  <c r="J120" i="7"/>
  <c r="G120" i="7"/>
  <c r="E120" i="7"/>
  <c r="J119" i="7"/>
  <c r="H119" i="7"/>
  <c r="G119" i="7"/>
  <c r="E119" i="7"/>
  <c r="J118" i="7"/>
  <c r="G118" i="7"/>
  <c r="E118" i="7"/>
  <c r="J117" i="7"/>
  <c r="G117" i="7"/>
  <c r="E117" i="7"/>
  <c r="J116" i="7"/>
  <c r="G116" i="7"/>
  <c r="E116" i="7"/>
  <c r="J115" i="7"/>
  <c r="G115" i="7"/>
  <c r="E115" i="7"/>
  <c r="J114" i="7"/>
  <c r="G114" i="7"/>
  <c r="E114" i="7"/>
  <c r="J113" i="7"/>
  <c r="G113" i="7"/>
  <c r="E113" i="7"/>
  <c r="J112" i="7"/>
  <c r="H112" i="7"/>
  <c r="G112" i="7"/>
  <c r="E112" i="7"/>
  <c r="J111" i="7"/>
  <c r="G111" i="7"/>
  <c r="E111" i="7"/>
  <c r="J110" i="7"/>
  <c r="G110" i="7"/>
  <c r="E110" i="7"/>
  <c r="J109" i="7"/>
  <c r="G109" i="7"/>
  <c r="E109" i="7"/>
  <c r="J108" i="7"/>
  <c r="G108" i="7"/>
  <c r="E108" i="7"/>
  <c r="J107" i="7"/>
  <c r="G107" i="7"/>
  <c r="E107" i="7"/>
  <c r="J106" i="7"/>
  <c r="G106" i="7"/>
  <c r="E106" i="7"/>
  <c r="J105" i="7"/>
  <c r="H105" i="7"/>
  <c r="G105" i="7"/>
  <c r="E105" i="7"/>
  <c r="J104" i="7"/>
  <c r="G104" i="7"/>
  <c r="E104" i="7"/>
  <c r="J103" i="7"/>
  <c r="G103" i="7"/>
  <c r="E103" i="7"/>
  <c r="J102" i="7"/>
  <c r="G102" i="7"/>
  <c r="E102" i="7"/>
  <c r="J101" i="7"/>
  <c r="G101" i="7"/>
  <c r="E101" i="7"/>
  <c r="J100" i="7"/>
  <c r="G100" i="7"/>
  <c r="E100" i="7"/>
  <c r="J99" i="7"/>
  <c r="G99" i="7"/>
  <c r="E99" i="7"/>
  <c r="J98" i="7"/>
  <c r="H98" i="7"/>
  <c r="G98" i="7"/>
  <c r="E98" i="7"/>
  <c r="J97" i="7"/>
  <c r="G97" i="7"/>
  <c r="E97" i="7"/>
  <c r="J96" i="7"/>
  <c r="G96" i="7"/>
  <c r="E96" i="7"/>
  <c r="J95" i="7"/>
  <c r="G95" i="7"/>
  <c r="E95" i="7"/>
  <c r="J94" i="7"/>
  <c r="G94" i="7"/>
  <c r="E94" i="7"/>
  <c r="J93" i="7"/>
  <c r="G93" i="7"/>
  <c r="E93" i="7"/>
  <c r="J92" i="7"/>
  <c r="G92" i="7"/>
  <c r="E92" i="7"/>
  <c r="J91" i="7"/>
  <c r="H91" i="7"/>
  <c r="G91" i="7"/>
  <c r="E91" i="7"/>
  <c r="J90" i="7"/>
  <c r="G90" i="7"/>
  <c r="E90" i="7"/>
  <c r="J89" i="7"/>
  <c r="G89" i="7"/>
  <c r="E89" i="7"/>
  <c r="J88" i="7"/>
  <c r="G88" i="7"/>
  <c r="E88" i="7"/>
  <c r="J87" i="7"/>
  <c r="G87" i="7"/>
  <c r="E87" i="7"/>
  <c r="J86" i="7"/>
  <c r="G86" i="7"/>
  <c r="E86" i="7"/>
  <c r="J85" i="7"/>
  <c r="G85" i="7"/>
  <c r="E85" i="7"/>
  <c r="J84" i="7"/>
  <c r="H84" i="7"/>
  <c r="G84" i="7"/>
  <c r="E84" i="7"/>
  <c r="J83" i="7"/>
  <c r="G83" i="7"/>
  <c r="E83" i="7"/>
  <c r="J82" i="7"/>
  <c r="G82" i="7"/>
  <c r="E82" i="7"/>
  <c r="J81" i="7"/>
  <c r="G81" i="7"/>
  <c r="E81" i="7"/>
  <c r="J80" i="7"/>
  <c r="G80" i="7"/>
  <c r="E80" i="7"/>
  <c r="J79" i="7"/>
  <c r="G79" i="7"/>
  <c r="E79" i="7"/>
  <c r="J78" i="7"/>
  <c r="G78" i="7"/>
  <c r="E78" i="7"/>
  <c r="J77" i="7"/>
  <c r="H77" i="7"/>
  <c r="G77" i="7"/>
  <c r="E77" i="7"/>
  <c r="J76" i="7"/>
  <c r="G76" i="7"/>
  <c r="E76" i="7"/>
  <c r="J75" i="7"/>
  <c r="G75" i="7"/>
  <c r="E75" i="7"/>
  <c r="J74" i="7"/>
  <c r="G74" i="7"/>
  <c r="E74" i="7"/>
  <c r="J73" i="7"/>
  <c r="G73" i="7"/>
  <c r="E73" i="7"/>
  <c r="J72" i="7"/>
  <c r="G72" i="7"/>
  <c r="E72" i="7"/>
  <c r="J71" i="7"/>
  <c r="G71" i="7"/>
  <c r="E71" i="7"/>
  <c r="J70" i="7"/>
  <c r="H70" i="7"/>
  <c r="G70" i="7"/>
  <c r="E70" i="7"/>
  <c r="J69" i="7"/>
  <c r="G69" i="7"/>
  <c r="E69" i="7"/>
  <c r="J68" i="7"/>
  <c r="G68" i="7"/>
  <c r="E68" i="7"/>
  <c r="J67" i="7"/>
  <c r="G67" i="7"/>
  <c r="E67" i="7"/>
  <c r="J66" i="7"/>
  <c r="G66" i="7"/>
  <c r="E66" i="7"/>
  <c r="J65" i="7"/>
  <c r="G65" i="7"/>
  <c r="E65" i="7"/>
  <c r="J64" i="7"/>
  <c r="G64" i="7"/>
  <c r="E64" i="7"/>
  <c r="J63" i="7"/>
  <c r="H63" i="7"/>
  <c r="G63" i="7"/>
  <c r="E63" i="7"/>
  <c r="J62" i="7"/>
  <c r="G62" i="7"/>
  <c r="E62" i="7"/>
  <c r="J61" i="7"/>
  <c r="G61" i="7"/>
  <c r="E61" i="7"/>
  <c r="J60" i="7"/>
  <c r="G60" i="7"/>
  <c r="E60" i="7"/>
  <c r="J59" i="7"/>
  <c r="G59" i="7"/>
  <c r="E59" i="7"/>
  <c r="J58" i="7"/>
  <c r="G58" i="7"/>
  <c r="E58" i="7"/>
  <c r="J57" i="7"/>
  <c r="G57" i="7"/>
  <c r="E57" i="7"/>
  <c r="J56" i="7"/>
  <c r="H56" i="7"/>
  <c r="G56" i="7"/>
  <c r="E56" i="7"/>
  <c r="J55" i="7"/>
  <c r="G55" i="7"/>
  <c r="E55" i="7"/>
  <c r="J54" i="7"/>
  <c r="G54" i="7"/>
  <c r="E54" i="7"/>
  <c r="J53" i="7"/>
  <c r="G53" i="7"/>
  <c r="E53" i="7"/>
  <c r="J52" i="7"/>
  <c r="G52" i="7"/>
  <c r="E52" i="7"/>
  <c r="J51" i="7"/>
  <c r="G51" i="7"/>
  <c r="E51" i="7"/>
  <c r="J50" i="7"/>
  <c r="G50" i="7"/>
  <c r="E50" i="7"/>
  <c r="J49" i="7"/>
  <c r="H49" i="7"/>
  <c r="G49" i="7"/>
  <c r="E49" i="7"/>
  <c r="J48" i="7"/>
  <c r="G48" i="7"/>
  <c r="E48" i="7"/>
  <c r="J47" i="7"/>
  <c r="G47" i="7"/>
  <c r="E47" i="7"/>
  <c r="J46" i="7"/>
  <c r="G46" i="7"/>
  <c r="E46" i="7"/>
  <c r="J45" i="7"/>
  <c r="G45" i="7"/>
  <c r="E45" i="7"/>
  <c r="J44" i="7"/>
  <c r="G44" i="7"/>
  <c r="E44" i="7"/>
  <c r="J43" i="7"/>
  <c r="G43" i="7"/>
  <c r="E43" i="7"/>
  <c r="J42" i="7"/>
  <c r="H42" i="7"/>
  <c r="G42" i="7"/>
  <c r="E42" i="7"/>
  <c r="J41" i="7"/>
  <c r="G41" i="7"/>
  <c r="E41" i="7"/>
  <c r="J40" i="7"/>
  <c r="G40" i="7"/>
  <c r="E40" i="7"/>
  <c r="J39" i="7"/>
  <c r="G39" i="7"/>
  <c r="E39" i="7"/>
  <c r="J38" i="7"/>
  <c r="G38" i="7"/>
  <c r="E38" i="7"/>
  <c r="J37" i="7"/>
  <c r="G37" i="7"/>
  <c r="E37" i="7"/>
  <c r="J36" i="7"/>
  <c r="G36" i="7"/>
  <c r="E36" i="7"/>
  <c r="J35" i="7"/>
  <c r="H35" i="7"/>
  <c r="G35" i="7"/>
  <c r="E35" i="7"/>
  <c r="J34" i="7"/>
  <c r="G34" i="7"/>
  <c r="E34" i="7"/>
  <c r="J33" i="7"/>
  <c r="G33" i="7"/>
  <c r="E33" i="7"/>
  <c r="J32" i="7"/>
  <c r="G32" i="7"/>
  <c r="E32" i="7"/>
  <c r="J31" i="7"/>
  <c r="G31" i="7"/>
  <c r="E31" i="7"/>
  <c r="J30" i="7"/>
  <c r="G30" i="7"/>
  <c r="E30" i="7"/>
  <c r="J29" i="7"/>
  <c r="G29" i="7"/>
  <c r="E29" i="7"/>
  <c r="J28" i="7"/>
  <c r="H28" i="7"/>
  <c r="G28" i="7"/>
  <c r="E28" i="7"/>
  <c r="J27" i="7"/>
  <c r="G27" i="7"/>
  <c r="E27" i="7"/>
  <c r="J26" i="7"/>
  <c r="G26" i="7"/>
  <c r="E26" i="7"/>
  <c r="J25" i="7"/>
  <c r="G25" i="7"/>
  <c r="E25" i="7"/>
  <c r="J24" i="7"/>
  <c r="G24" i="7"/>
  <c r="E24" i="7"/>
  <c r="J23" i="7"/>
  <c r="G23" i="7"/>
  <c r="E23" i="7"/>
  <c r="J22" i="7"/>
  <c r="G22" i="7"/>
  <c r="E22" i="7"/>
  <c r="J21" i="7"/>
  <c r="H21" i="7"/>
  <c r="G21" i="7"/>
  <c r="E21" i="7"/>
  <c r="J20" i="7"/>
  <c r="G20" i="7"/>
  <c r="E20" i="7"/>
  <c r="J19" i="7"/>
  <c r="G19" i="7"/>
  <c r="E19" i="7"/>
  <c r="J18" i="7"/>
  <c r="G18" i="7"/>
  <c r="E18" i="7"/>
  <c r="J17" i="7"/>
  <c r="G17" i="7"/>
  <c r="E17" i="7"/>
  <c r="J16" i="7"/>
  <c r="G16" i="7"/>
  <c r="E16" i="7"/>
  <c r="J15" i="7"/>
  <c r="G15" i="7"/>
  <c r="E15" i="7"/>
  <c r="J14" i="7"/>
  <c r="H14" i="7"/>
  <c r="G14" i="7"/>
  <c r="E14" i="7"/>
  <c r="J13" i="7"/>
  <c r="G13" i="7"/>
  <c r="E13" i="7"/>
  <c r="J12" i="7"/>
  <c r="G12" i="7"/>
  <c r="E12" i="7"/>
  <c r="J11" i="7"/>
  <c r="G11" i="7"/>
  <c r="E11" i="7"/>
  <c r="J10" i="7"/>
  <c r="G10" i="7"/>
  <c r="E10" i="7"/>
  <c r="J9" i="7"/>
  <c r="G9" i="7"/>
  <c r="E9" i="7"/>
  <c r="G8" i="7"/>
  <c r="E8" i="7"/>
  <c r="H7" i="7"/>
  <c r="G7" i="7"/>
  <c r="E7" i="7"/>
  <c r="G6" i="7"/>
  <c r="E6" i="7"/>
  <c r="G5" i="7"/>
  <c r="E5" i="7"/>
  <c r="G4" i="7"/>
  <c r="E4" i="7"/>
  <c r="G3" i="7"/>
  <c r="E3" i="7"/>
  <c r="G2" i="7"/>
  <c r="E2" i="7"/>
  <c r="K1" i="7"/>
  <c r="I1" i="7"/>
  <c r="J1" i="7" s="1"/>
  <c r="G1" i="7"/>
  <c r="I686" i="7" l="1"/>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M1"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H406" i="1" l="1"/>
  <c r="G406" i="1"/>
  <c r="B406" i="8" s="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MC36" i="2"/>
  <c r="MC38" i="2" s="1"/>
  <c r="MF36" i="2"/>
  <c r="MF38" i="2" s="1"/>
  <c r="MI36" i="2"/>
  <c r="MI38" i="2" s="1"/>
  <c r="ML36" i="2"/>
  <c r="ML38" i="2" s="1"/>
  <c r="MO36" i="2"/>
  <c r="MR36" i="2"/>
  <c r="MU36" i="2"/>
  <c r="MX36" i="2"/>
  <c r="NA36" i="2"/>
  <c r="ND36" i="2"/>
  <c r="NG36" i="2"/>
  <c r="NJ36" i="2"/>
  <c r="NM36" i="2"/>
  <c r="NP36" i="2"/>
  <c r="NP38" i="2" s="1"/>
  <c r="NS36" i="2"/>
  <c r="NS38" i="2" s="1"/>
  <c r="NV36" i="2"/>
  <c r="NV38" i="2" s="1"/>
  <c r="NY36" i="2"/>
  <c r="NY38" i="2" s="1"/>
  <c r="OB36" i="2"/>
  <c r="OE36" i="2"/>
  <c r="OE38" i="2" s="1"/>
  <c r="OH36" i="2"/>
  <c r="OH38" i="2" s="1"/>
  <c r="OK36" i="2"/>
  <c r="OK38" i="2" s="1"/>
  <c r="ON36" i="2"/>
  <c r="OQ36" i="2"/>
  <c r="OQ38" i="2" s="1"/>
  <c r="OT36" i="2"/>
  <c r="OT38" i="2" s="1"/>
  <c r="OW36" i="2"/>
  <c r="OW38" i="2" s="1"/>
  <c r="OZ36" i="2"/>
  <c r="OZ38" i="2" s="1"/>
  <c r="PC36" i="2"/>
  <c r="PC38" i="2" s="1"/>
  <c r="PF36" i="2"/>
  <c r="PF38" i="2" s="1"/>
  <c r="PI36" i="2"/>
  <c r="PI38" i="2" s="1"/>
  <c r="PL36" i="2"/>
  <c r="PO36" i="2"/>
  <c r="PO38" i="2" s="1"/>
  <c r="PR36" i="2"/>
  <c r="PR38" i="2" s="1"/>
  <c r="PU36" i="2"/>
  <c r="PU38" i="2"/>
  <c r="PX36" i="2"/>
  <c r="PX38" i="2" s="1"/>
  <c r="QA36" i="2"/>
  <c r="QA38" i="2" s="1"/>
  <c r="QD36" i="2"/>
  <c r="QD38" i="2" s="1"/>
  <c r="QG36" i="2"/>
  <c r="QG38" i="2" s="1"/>
  <c r="QJ36" i="2"/>
  <c r="QJ38" i="2" s="1"/>
  <c r="QM36" i="2"/>
  <c r="QM38" i="2" s="1"/>
  <c r="QP36" i="2"/>
  <c r="QP38" i="2" s="1"/>
  <c r="QS36" i="2"/>
  <c r="QS38" i="2" s="1"/>
  <c r="QV36" i="2"/>
  <c r="QY36" i="2"/>
  <c r="QY38" i="2" s="1"/>
  <c r="RB36" i="2"/>
  <c r="RB38" i="2" s="1"/>
  <c r="RE36" i="2"/>
  <c r="RE38" i="2" s="1"/>
  <c r="RH36" i="2"/>
  <c r="RK36" i="2"/>
  <c r="RK38" i="2" s="1"/>
  <c r="RN36" i="2"/>
  <c r="RN38" i="2" s="1"/>
  <c r="RQ36" i="2"/>
  <c r="RQ38" i="2" s="1"/>
  <c r="RT36" i="2"/>
  <c r="RT38" i="2" s="1"/>
  <c r="RW36" i="2"/>
  <c r="RZ36" i="2"/>
  <c r="SC36" i="2"/>
  <c r="SC38" i="2" s="1"/>
  <c r="SF36" i="2"/>
  <c r="SF38" i="2" s="1"/>
  <c r="SI36" i="2"/>
  <c r="SI38" i="2" s="1"/>
  <c r="SL36" i="2"/>
  <c r="SL38" i="2" s="1"/>
  <c r="SO36" i="2"/>
  <c r="SO38" i="2" s="1"/>
  <c r="SR36" i="2"/>
  <c r="SU36" i="2"/>
  <c r="SU38" i="2" s="1"/>
  <c r="SX36" i="2"/>
  <c r="SX38" i="2" s="1"/>
  <c r="TA36" i="2"/>
  <c r="TA38" i="2" s="1"/>
  <c r="TD36" i="2"/>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OB38" i="2"/>
  <c r="ON38" i="2"/>
  <c r="PL38" i="2"/>
  <c r="QV38" i="2"/>
  <c r="RH38" i="2"/>
  <c r="RW38" i="2"/>
  <c r="RZ38" i="2"/>
  <c r="SR38" i="2"/>
  <c r="TD38" i="2"/>
  <c r="G407" i="1"/>
  <c r="B407" i="8" s="1"/>
  <c r="G408" i="1"/>
  <c r="B408" i="8" s="1"/>
  <c r="G409" i="1"/>
  <c r="B409" i="8" s="1"/>
  <c r="G410" i="1"/>
  <c r="B410" i="8" s="1"/>
  <c r="G411" i="1"/>
  <c r="B411" i="8" s="1"/>
  <c r="G412" i="1"/>
  <c r="B412" i="8" s="1"/>
  <c r="G413" i="1"/>
  <c r="B413" i="8" s="1"/>
  <c r="H413" i="1"/>
  <c r="G414" i="1"/>
  <c r="B414" i="8" s="1"/>
  <c r="G415" i="1"/>
  <c r="B415" i="8" s="1"/>
  <c r="G416" i="1"/>
  <c r="B416" i="8" s="1"/>
  <c r="G417" i="1"/>
  <c r="B417" i="8" s="1"/>
  <c r="G418" i="1"/>
  <c r="B418" i="8" s="1"/>
  <c r="G419" i="1"/>
  <c r="B419" i="8" s="1"/>
  <c r="G420" i="1"/>
  <c r="B420" i="8" s="1"/>
  <c r="H420" i="1"/>
  <c r="G421" i="1"/>
  <c r="B421" i="8" s="1"/>
  <c r="G422" i="1"/>
  <c r="B422" i="8" s="1"/>
  <c r="G423" i="1"/>
  <c r="B423" i="8" s="1"/>
  <c r="G424" i="1"/>
  <c r="B424" i="8" s="1"/>
  <c r="G425" i="1"/>
  <c r="B425" i="8" s="1"/>
  <c r="G426" i="1"/>
  <c r="B426" i="8" s="1"/>
  <c r="G427" i="1"/>
  <c r="B427" i="8" s="1"/>
  <c r="H427" i="1"/>
  <c r="G428" i="1"/>
  <c r="B428" i="8" s="1"/>
  <c r="G429" i="1"/>
  <c r="B429" i="8" s="1"/>
  <c r="G430" i="1"/>
  <c r="B430" i="8" s="1"/>
  <c r="G431" i="1"/>
  <c r="B431" i="8" s="1"/>
  <c r="G432" i="1"/>
  <c r="B432" i="8" s="1"/>
  <c r="G433" i="1"/>
  <c r="B433" i="8" s="1"/>
  <c r="G434" i="1"/>
  <c r="B434" i="8" s="1"/>
  <c r="H434" i="1"/>
  <c r="G435" i="1"/>
  <c r="B435" i="8" s="1"/>
  <c r="G436" i="1"/>
  <c r="B436" i="8" s="1"/>
  <c r="G437" i="1"/>
  <c r="B437" i="8" s="1"/>
  <c r="G438" i="1"/>
  <c r="B438" i="8" s="1"/>
  <c r="G439" i="1"/>
  <c r="B439" i="8" s="1"/>
  <c r="G440" i="1"/>
  <c r="B440" i="8" s="1"/>
  <c r="G441" i="1"/>
  <c r="B441" i="8" s="1"/>
  <c r="H441" i="1"/>
  <c r="G442" i="1"/>
  <c r="B442" i="8" s="1"/>
  <c r="G443" i="1"/>
  <c r="B443" i="8" s="1"/>
  <c r="G444" i="1"/>
  <c r="B444" i="8" s="1"/>
  <c r="G445" i="1"/>
  <c r="B445" i="8" s="1"/>
  <c r="G446" i="1"/>
  <c r="B446" i="8" s="1"/>
  <c r="G447" i="1"/>
  <c r="B447" i="8" s="1"/>
  <c r="G448" i="1"/>
  <c r="B448" i="8" s="1"/>
  <c r="H448" i="1"/>
  <c r="G449" i="1"/>
  <c r="B449" i="8" s="1"/>
  <c r="G450" i="1"/>
  <c r="B450" i="8" s="1"/>
  <c r="G451" i="1"/>
  <c r="B451" i="8" s="1"/>
  <c r="G452" i="1"/>
  <c r="B452" i="8" s="1"/>
  <c r="G453" i="1"/>
  <c r="B453" i="8" s="1"/>
  <c r="G454" i="1"/>
  <c r="B454" i="8" s="1"/>
  <c r="G455" i="1"/>
  <c r="B455" i="8" s="1"/>
  <c r="H455" i="1"/>
  <c r="G456" i="1"/>
  <c r="B456" i="8" s="1"/>
  <c r="G457" i="1"/>
  <c r="B457" i="8" s="1"/>
  <c r="G458" i="1"/>
  <c r="B458" i="8" s="1"/>
  <c r="G459" i="1"/>
  <c r="B459" i="8" s="1"/>
  <c r="G460" i="1"/>
  <c r="B460" i="8" s="1"/>
  <c r="G461" i="1"/>
  <c r="B461" i="8" s="1"/>
  <c r="G462" i="1"/>
  <c r="B462" i="8" s="1"/>
  <c r="H462" i="1"/>
  <c r="G463" i="1"/>
  <c r="B463" i="8" s="1"/>
  <c r="G464" i="1"/>
  <c r="B464" i="8" s="1"/>
  <c r="G465" i="1"/>
  <c r="B465" i="8" s="1"/>
  <c r="G466" i="1"/>
  <c r="B466" i="8" s="1"/>
  <c r="G467" i="1"/>
  <c r="B467" i="8" s="1"/>
  <c r="G468" i="1"/>
  <c r="B468" i="8" s="1"/>
  <c r="G469" i="1"/>
  <c r="B469" i="8" s="1"/>
  <c r="H469" i="1"/>
  <c r="G470" i="1"/>
  <c r="B470" i="8" s="1"/>
  <c r="G471" i="1"/>
  <c r="B471" i="8" s="1"/>
  <c r="G472" i="1"/>
  <c r="B472" i="8" s="1"/>
  <c r="G473" i="1"/>
  <c r="B473" i="8" s="1"/>
  <c r="G474" i="1"/>
  <c r="B474" i="8" s="1"/>
  <c r="G475" i="1"/>
  <c r="B475" i="8" s="1"/>
  <c r="G476" i="1"/>
  <c r="B476" i="8" s="1"/>
  <c r="H476" i="1"/>
  <c r="G477" i="1"/>
  <c r="B477" i="8" s="1"/>
  <c r="G478" i="1"/>
  <c r="B478" i="8" s="1"/>
  <c r="G479" i="1"/>
  <c r="B479" i="8" s="1"/>
  <c r="G480" i="1"/>
  <c r="B480" i="8" s="1"/>
  <c r="G481" i="1"/>
  <c r="B481" i="8" s="1"/>
  <c r="G482" i="1"/>
  <c r="B482" i="8" s="1"/>
  <c r="G483" i="1"/>
  <c r="B483" i="8" s="1"/>
  <c r="H483" i="1"/>
  <c r="G484" i="1"/>
  <c r="B484" i="8" s="1"/>
  <c r="G485" i="1"/>
  <c r="B485" i="8" s="1"/>
  <c r="G486" i="1"/>
  <c r="B486" i="8" s="1"/>
  <c r="G487" i="1"/>
  <c r="B487" i="8" s="1"/>
  <c r="G488" i="1"/>
  <c r="B488" i="8" s="1"/>
  <c r="G489" i="1"/>
  <c r="B489" i="8" s="1"/>
  <c r="G490" i="1"/>
  <c r="B490" i="8" s="1"/>
  <c r="H490" i="1"/>
  <c r="G491" i="1"/>
  <c r="B491" i="8" s="1"/>
  <c r="G492" i="1"/>
  <c r="B492" i="8" s="1"/>
  <c r="G493" i="1"/>
  <c r="B493" i="8" s="1"/>
  <c r="G494" i="1"/>
  <c r="B494" i="8" s="1"/>
  <c r="G495" i="1"/>
  <c r="B495" i="8" s="1"/>
  <c r="G496" i="1"/>
  <c r="B496" i="8" s="1"/>
  <c r="G497" i="1"/>
  <c r="B497" i="8" s="1"/>
  <c r="H497" i="1"/>
  <c r="G498" i="1"/>
  <c r="B498" i="8" s="1"/>
  <c r="G499" i="1"/>
  <c r="B499" i="8" s="1"/>
  <c r="G500" i="1"/>
  <c r="B500" i="8" s="1"/>
  <c r="G501" i="1"/>
  <c r="B501" i="8" s="1"/>
  <c r="G502" i="1"/>
  <c r="B502" i="8" s="1"/>
  <c r="G503" i="1"/>
  <c r="B503" i="8" s="1"/>
  <c r="G504" i="1"/>
  <c r="B504" i="8" s="1"/>
  <c r="H504" i="1"/>
  <c r="G505" i="1"/>
  <c r="B505" i="8" s="1"/>
  <c r="G506" i="1"/>
  <c r="B506" i="8" s="1"/>
  <c r="G507" i="1"/>
  <c r="B507" i="8" s="1"/>
  <c r="G508" i="1"/>
  <c r="B508" i="8" s="1"/>
  <c r="G509" i="1"/>
  <c r="B509" i="8" s="1"/>
  <c r="G510" i="1"/>
  <c r="B510" i="8" s="1"/>
  <c r="G511" i="1"/>
  <c r="B511" i="8" s="1"/>
  <c r="H511" i="1"/>
  <c r="G512" i="1"/>
  <c r="B512" i="8" s="1"/>
  <c r="G513" i="1"/>
  <c r="B513" i="8" s="1"/>
  <c r="G514" i="1"/>
  <c r="B514" i="8" s="1"/>
  <c r="G515" i="1"/>
  <c r="B515" i="8" s="1"/>
  <c r="G516" i="1"/>
  <c r="B516" i="8" s="1"/>
  <c r="G517" i="1"/>
  <c r="B517" i="8" s="1"/>
  <c r="G518" i="1"/>
  <c r="B518" i="8" s="1"/>
  <c r="H518" i="1"/>
  <c r="G519" i="1"/>
  <c r="B519" i="8" s="1"/>
  <c r="G520" i="1"/>
  <c r="B520" i="8" s="1"/>
  <c r="G521" i="1"/>
  <c r="B521" i="8" s="1"/>
  <c r="G522" i="1"/>
  <c r="B522" i="8" s="1"/>
  <c r="G523" i="1"/>
  <c r="B523" i="8" s="1"/>
  <c r="G524" i="1"/>
  <c r="B524" i="8" s="1"/>
  <c r="G525" i="1"/>
  <c r="B525" i="8" s="1"/>
  <c r="H525" i="1"/>
  <c r="G526" i="1"/>
  <c r="B526" i="8" s="1"/>
  <c r="G527" i="1"/>
  <c r="B527" i="8" s="1"/>
  <c r="G528" i="1"/>
  <c r="B528" i="8" s="1"/>
  <c r="G529" i="1"/>
  <c r="B529" i="8" s="1"/>
  <c r="G530" i="1"/>
  <c r="B530" i="8" s="1"/>
  <c r="G531" i="1"/>
  <c r="B531" i="8" s="1"/>
  <c r="G532" i="1"/>
  <c r="B532" i="8" s="1"/>
  <c r="H532" i="1"/>
  <c r="G533" i="1"/>
  <c r="B533" i="8" s="1"/>
  <c r="G534" i="1"/>
  <c r="B534" i="8" s="1"/>
  <c r="G535" i="1"/>
  <c r="B535" i="8" s="1"/>
  <c r="G536" i="1"/>
  <c r="B536" i="8" s="1"/>
  <c r="G537" i="1"/>
  <c r="B537" i="8" s="1"/>
  <c r="G538" i="1"/>
  <c r="B538" i="8" s="1"/>
  <c r="G539" i="1"/>
  <c r="B539" i="8" s="1"/>
  <c r="H539" i="1"/>
  <c r="G540" i="1"/>
  <c r="B540" i="8" s="1"/>
  <c r="G541" i="1"/>
  <c r="B541" i="8" s="1"/>
  <c r="G542" i="1"/>
  <c r="B542" i="8" s="1"/>
  <c r="G543" i="1"/>
  <c r="B543" i="8" s="1"/>
  <c r="G544" i="1"/>
  <c r="B544" i="8" s="1"/>
  <c r="G545" i="1"/>
  <c r="B545" i="8" s="1"/>
  <c r="G546" i="1"/>
  <c r="B546" i="8" s="1"/>
  <c r="H546" i="1"/>
  <c r="G547" i="1"/>
  <c r="B547" i="8" s="1"/>
  <c r="G548" i="1"/>
  <c r="B548" i="8" s="1"/>
  <c r="G549" i="1"/>
  <c r="B549" i="8" s="1"/>
  <c r="G550" i="1"/>
  <c r="B550" i="8" s="1"/>
  <c r="G551" i="1"/>
  <c r="B551" i="8" s="1"/>
  <c r="G552" i="1"/>
  <c r="B552" i="8" s="1"/>
  <c r="G553" i="1"/>
  <c r="B553" i="8" s="1"/>
  <c r="H553" i="1"/>
  <c r="G554" i="1"/>
  <c r="B554" i="8" s="1"/>
  <c r="G555" i="1"/>
  <c r="B555" i="8" s="1"/>
  <c r="G556" i="1"/>
  <c r="B556" i="8" s="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J644" i="1"/>
  <c r="G645" i="1"/>
  <c r="G646" i="1"/>
  <c r="G647" i="1"/>
  <c r="G648" i="1"/>
  <c r="G649" i="1"/>
  <c r="G650" i="1"/>
  <c r="G651" i="1"/>
  <c r="H651" i="1"/>
  <c r="J651" i="1"/>
  <c r="G652" i="1"/>
  <c r="G653" i="1"/>
  <c r="G654" i="1"/>
  <c r="G655" i="1"/>
  <c r="G656" i="1"/>
  <c r="G657" i="1"/>
  <c r="G658" i="1"/>
  <c r="H658" i="1"/>
  <c r="J658" i="1"/>
  <c r="G659" i="1"/>
  <c r="G660" i="1"/>
  <c r="G661" i="1"/>
  <c r="G662" i="1"/>
  <c r="G663" i="1"/>
  <c r="G664" i="1"/>
  <c r="G665" i="1"/>
  <c r="H665" i="1"/>
  <c r="J665" i="1"/>
  <c r="G666" i="1"/>
  <c r="G667" i="1"/>
  <c r="G668" i="1"/>
  <c r="G669" i="1"/>
  <c r="G670" i="1"/>
  <c r="G671" i="1"/>
  <c r="G672" i="1"/>
  <c r="H672" i="1"/>
  <c r="J672" i="1"/>
  <c r="G673" i="1"/>
  <c r="G674" i="1"/>
  <c r="G675" i="1"/>
  <c r="G676" i="1"/>
  <c r="G677" i="1"/>
  <c r="G678" i="1"/>
  <c r="G679" i="1"/>
  <c r="H679" i="1"/>
  <c r="J679" i="1"/>
  <c r="G680" i="1"/>
  <c r="G681" i="1"/>
  <c r="G682" i="1"/>
  <c r="G683" i="1"/>
  <c r="G684" i="1"/>
  <c r="G685" i="1"/>
  <c r="G686" i="1"/>
  <c r="H686" i="1"/>
  <c r="J686" i="1"/>
  <c r="G687" i="1"/>
  <c r="G688" i="1"/>
  <c r="G689" i="1"/>
  <c r="G690" i="1"/>
  <c r="G691" i="1"/>
  <c r="G692" i="1"/>
  <c r="G693" i="1"/>
  <c r="H693" i="1"/>
  <c r="J693" i="1"/>
  <c r="G694" i="1"/>
  <c r="G695" i="1"/>
  <c r="G696" i="1"/>
  <c r="G697" i="1"/>
  <c r="G698" i="1"/>
  <c r="G699" i="1"/>
  <c r="G700" i="1"/>
  <c r="H700" i="1"/>
  <c r="J700" i="1"/>
  <c r="G701" i="1"/>
  <c r="G702" i="1"/>
  <c r="G703" i="1"/>
  <c r="G704" i="1"/>
  <c r="G705" i="1"/>
  <c r="G706" i="1"/>
  <c r="G707" i="1"/>
  <c r="H707" i="1"/>
  <c r="J707" i="1"/>
  <c r="G708" i="1"/>
  <c r="G709" i="1"/>
  <c r="G710" i="1"/>
  <c r="G711" i="1"/>
  <c r="G712" i="1"/>
  <c r="G713" i="1"/>
  <c r="G714" i="1"/>
  <c r="H714" i="1"/>
  <c r="J714" i="1"/>
  <c r="G715" i="1"/>
  <c r="G716" i="1"/>
  <c r="G717" i="1"/>
  <c r="G718" i="1"/>
  <c r="G719" i="1"/>
  <c r="G720" i="1"/>
  <c r="G721" i="1"/>
  <c r="H721" i="1"/>
  <c r="J721" i="1"/>
  <c r="G722" i="1"/>
  <c r="G723" i="1"/>
  <c r="G724" i="1"/>
  <c r="G725" i="1"/>
  <c r="G726" i="1"/>
  <c r="G727" i="1"/>
  <c r="G728" i="1"/>
  <c r="H728" i="1"/>
  <c r="J728" i="1"/>
  <c r="G729" i="1"/>
  <c r="G730" i="1"/>
  <c r="G731" i="1"/>
  <c r="G732" i="1"/>
  <c r="G733" i="1"/>
  <c r="G734" i="1"/>
  <c r="G735" i="1"/>
  <c r="H735" i="1"/>
  <c r="J735" i="1"/>
  <c r="G736" i="1"/>
  <c r="G737" i="1"/>
  <c r="G738" i="1"/>
  <c r="G739" i="1"/>
  <c r="G740" i="1"/>
  <c r="G741" i="1"/>
  <c r="G742" i="1"/>
  <c r="H742" i="1"/>
  <c r="J742" i="1"/>
  <c r="G743" i="1"/>
  <c r="G744" i="1"/>
  <c r="G745" i="1"/>
  <c r="G746" i="1"/>
  <c r="G747" i="1"/>
  <c r="G748" i="1"/>
  <c r="G749" i="1"/>
  <c r="H749" i="1"/>
  <c r="J749" i="1"/>
  <c r="G750" i="1"/>
  <c r="G751" i="1"/>
  <c r="G752" i="1"/>
  <c r="G753" i="1"/>
  <c r="G754" i="1"/>
  <c r="G755" i="1"/>
  <c r="G756" i="1"/>
  <c r="H756" i="1"/>
  <c r="J756" i="1"/>
  <c r="G757" i="1"/>
  <c r="G758" i="1"/>
  <c r="G759" i="1"/>
  <c r="G760" i="1"/>
  <c r="G761" i="1"/>
  <c r="G762" i="1"/>
  <c r="G763" i="1"/>
  <c r="H763" i="1"/>
  <c r="J763" i="1"/>
  <c r="G764" i="1"/>
  <c r="G765" i="1"/>
  <c r="G766" i="1"/>
  <c r="G767" i="1"/>
  <c r="G768" i="1"/>
  <c r="G769" i="1"/>
  <c r="G770" i="1"/>
  <c r="H770" i="1"/>
  <c r="J770" i="1"/>
  <c r="G771" i="1"/>
  <c r="G772" i="1"/>
  <c r="G773" i="1"/>
  <c r="G774" i="1"/>
  <c r="G775" i="1"/>
  <c r="G776" i="1"/>
  <c r="G777" i="1"/>
  <c r="H777" i="1"/>
  <c r="J777" i="1"/>
  <c r="G778" i="1"/>
  <c r="G779" i="1"/>
  <c r="G780" i="1"/>
  <c r="G781" i="1"/>
  <c r="G782" i="1"/>
  <c r="G783" i="1"/>
  <c r="G784" i="1"/>
  <c r="H784" i="1"/>
  <c r="J784" i="1"/>
  <c r="G785" i="1"/>
  <c r="G786" i="1"/>
  <c r="G787" i="1"/>
  <c r="G788" i="1"/>
  <c r="G789" i="1"/>
  <c r="G790" i="1"/>
  <c r="G791" i="1"/>
  <c r="H791" i="1"/>
  <c r="J791" i="1"/>
  <c r="G792" i="1"/>
  <c r="G793" i="1"/>
  <c r="G794" i="1"/>
  <c r="G795" i="1"/>
  <c r="G796" i="1"/>
  <c r="G797" i="1"/>
  <c r="G798" i="1"/>
  <c r="H798" i="1"/>
  <c r="J798" i="1"/>
  <c r="G799" i="1"/>
  <c r="G800" i="1"/>
  <c r="G801" i="1"/>
  <c r="G802" i="1"/>
  <c r="G803" i="1"/>
  <c r="G804" i="1"/>
  <c r="G805" i="1"/>
  <c r="H805" i="1"/>
  <c r="J805" i="1"/>
  <c r="H238" i="1"/>
  <c r="G238" i="1"/>
  <c r="B238" i="8" s="1"/>
  <c r="G237" i="1"/>
  <c r="B237" i="8" s="1"/>
  <c r="G236" i="1"/>
  <c r="B236" i="8" s="1"/>
  <c r="G235" i="1"/>
  <c r="B235" i="8" s="1"/>
  <c r="G234" i="1"/>
  <c r="B234" i="8" s="1"/>
  <c r="G233" i="1"/>
  <c r="B233" i="8" s="1"/>
  <c r="G232" i="1"/>
  <c r="B232" i="8" s="1"/>
  <c r="H231" i="1"/>
  <c r="G231" i="1"/>
  <c r="B231" i="8" s="1"/>
  <c r="G230" i="1"/>
  <c r="B230" i="8" s="1"/>
  <c r="G229" i="1"/>
  <c r="B229" i="8" s="1"/>
  <c r="G228" i="1"/>
  <c r="B228" i="8" s="1"/>
  <c r="G227" i="1"/>
  <c r="B227" i="8" s="1"/>
  <c r="G226" i="1"/>
  <c r="B226" i="8" s="1"/>
  <c r="G225" i="1"/>
  <c r="B225" i="8" s="1"/>
  <c r="H224" i="1"/>
  <c r="G224" i="1"/>
  <c r="B224" i="8" s="1"/>
  <c r="G223" i="1"/>
  <c r="B223" i="8" s="1"/>
  <c r="G222" i="1"/>
  <c r="B222" i="8" s="1"/>
  <c r="G221" i="1"/>
  <c r="B221" i="8" s="1"/>
  <c r="G220" i="1"/>
  <c r="B220" i="8" s="1"/>
  <c r="G219" i="1"/>
  <c r="B219" i="8" s="1"/>
  <c r="G218" i="1"/>
  <c r="B218" i="8" s="1"/>
  <c r="H217" i="1"/>
  <c r="G217" i="1"/>
  <c r="B217" i="8" s="1"/>
  <c r="G216" i="1"/>
  <c r="B216" i="8" s="1"/>
  <c r="G215" i="1"/>
  <c r="B215" i="8" s="1"/>
  <c r="G214" i="1"/>
  <c r="B214" i="8" s="1"/>
  <c r="G213" i="1"/>
  <c r="B213" i="8" s="1"/>
  <c r="G212" i="1"/>
  <c r="B212" i="8" s="1"/>
  <c r="G211" i="1"/>
  <c r="B211" i="8" s="1"/>
  <c r="H210" i="1"/>
  <c r="G210" i="1"/>
  <c r="B210" i="8" s="1"/>
  <c r="G209" i="1"/>
  <c r="B209" i="8" s="1"/>
  <c r="G208" i="1"/>
  <c r="B208" i="8" s="1"/>
  <c r="G207" i="1"/>
  <c r="B207" i="8" s="1"/>
  <c r="G206" i="1"/>
  <c r="B206" i="8" s="1"/>
  <c r="G205" i="1"/>
  <c r="B205" i="8" s="1"/>
  <c r="G204" i="1"/>
  <c r="B204" i="8" s="1"/>
  <c r="H203" i="1"/>
  <c r="G203" i="1"/>
  <c r="B203" i="8" s="1"/>
  <c r="G202" i="1"/>
  <c r="B202" i="8" s="1"/>
  <c r="G201" i="1"/>
  <c r="B201" i="8" s="1"/>
  <c r="G200" i="1"/>
  <c r="B200" i="8" s="1"/>
  <c r="G199" i="1"/>
  <c r="B199" i="8" s="1"/>
  <c r="G198" i="1"/>
  <c r="B198" i="8" s="1"/>
  <c r="G197" i="1"/>
  <c r="B197" i="8" s="1"/>
  <c r="H196" i="1"/>
  <c r="G196" i="1"/>
  <c r="B196" i="8" s="1"/>
  <c r="G195" i="1"/>
  <c r="B195" i="8" s="1"/>
  <c r="G194" i="1"/>
  <c r="B194" i="8" s="1"/>
  <c r="G193" i="1"/>
  <c r="B193" i="8" s="1"/>
  <c r="G192" i="1"/>
  <c r="B192" i="8" s="1"/>
  <c r="G191" i="1"/>
  <c r="B191" i="8" s="1"/>
  <c r="G190" i="1"/>
  <c r="B190" i="8" s="1"/>
  <c r="H189" i="1"/>
  <c r="G189" i="1"/>
  <c r="B189" i="8" s="1"/>
  <c r="G188" i="1"/>
  <c r="B188" i="8" s="1"/>
  <c r="G187" i="1"/>
  <c r="B187" i="8" s="1"/>
  <c r="G186" i="1"/>
  <c r="B186" i="8" s="1"/>
  <c r="G185" i="1"/>
  <c r="B185" i="8" s="1"/>
  <c r="G184" i="1"/>
  <c r="B184" i="8" s="1"/>
  <c r="G183" i="1"/>
  <c r="B183" i="8" s="1"/>
  <c r="H182" i="1"/>
  <c r="G182" i="1"/>
  <c r="B182" i="8" s="1"/>
  <c r="G181" i="1"/>
  <c r="B181" i="8" s="1"/>
  <c r="G180" i="1"/>
  <c r="B180" i="8" s="1"/>
  <c r="G179" i="1"/>
  <c r="B179" i="8" s="1"/>
  <c r="G178" i="1"/>
  <c r="B178" i="8" s="1"/>
  <c r="G177" i="1"/>
  <c r="B177" i="8" s="1"/>
  <c r="G176" i="1"/>
  <c r="B176" i="8" s="1"/>
  <c r="H175" i="1"/>
  <c r="G175" i="1"/>
  <c r="B175" i="8" s="1"/>
  <c r="G174" i="1"/>
  <c r="B174" i="8" s="1"/>
  <c r="G173" i="1"/>
  <c r="B173" i="8" s="1"/>
  <c r="G172" i="1"/>
  <c r="B172" i="8" s="1"/>
  <c r="G171" i="1"/>
  <c r="B171" i="8" s="1"/>
  <c r="G170" i="1"/>
  <c r="B170" i="8" s="1"/>
  <c r="G169" i="1"/>
  <c r="B169" i="8" s="1"/>
  <c r="H168" i="1"/>
  <c r="G168" i="1"/>
  <c r="B168" i="8" s="1"/>
  <c r="G167" i="1"/>
  <c r="B167" i="8" s="1"/>
  <c r="G166" i="1"/>
  <c r="B166" i="8" s="1"/>
  <c r="G165" i="1"/>
  <c r="B165" i="8" s="1"/>
  <c r="G164" i="1"/>
  <c r="B164" i="8" s="1"/>
  <c r="G163" i="1"/>
  <c r="B163" i="8" s="1"/>
  <c r="G162" i="1"/>
  <c r="B162" i="8" s="1"/>
  <c r="H161" i="1"/>
  <c r="G161" i="1"/>
  <c r="B161" i="8" s="1"/>
  <c r="G160" i="1"/>
  <c r="B160" i="8" s="1"/>
  <c r="G159" i="1"/>
  <c r="B159" i="8" s="1"/>
  <c r="G158" i="1"/>
  <c r="B158" i="8" s="1"/>
  <c r="G157" i="1"/>
  <c r="B157" i="8" s="1"/>
  <c r="G156" i="1"/>
  <c r="B156" i="8" s="1"/>
  <c r="G155" i="1"/>
  <c r="B155" i="8" s="1"/>
  <c r="H154" i="1"/>
  <c r="G154" i="1"/>
  <c r="B154" i="8" s="1"/>
  <c r="G153" i="1"/>
  <c r="B153" i="8" s="1"/>
  <c r="G152" i="1"/>
  <c r="B152" i="8" s="1"/>
  <c r="G151" i="1"/>
  <c r="B151" i="8" s="1"/>
  <c r="G150" i="1"/>
  <c r="B150" i="8" s="1"/>
  <c r="G149" i="1"/>
  <c r="B149" i="8" s="1"/>
  <c r="G148" i="1"/>
  <c r="B148" i="8" s="1"/>
  <c r="H147" i="1"/>
  <c r="G147" i="1"/>
  <c r="B147" i="8" s="1"/>
  <c r="G146" i="1"/>
  <c r="B146" i="8" s="1"/>
  <c r="G145" i="1"/>
  <c r="B145" i="8" s="1"/>
  <c r="G144" i="1"/>
  <c r="B144" i="8" s="1"/>
  <c r="G143" i="1"/>
  <c r="B143" i="8" s="1"/>
  <c r="G142" i="1"/>
  <c r="B142" i="8" s="1"/>
  <c r="G141" i="1"/>
  <c r="B141" i="8" s="1"/>
  <c r="H140" i="1"/>
  <c r="G140" i="1"/>
  <c r="B140" i="8" s="1"/>
  <c r="G139" i="1"/>
  <c r="B139" i="8" s="1"/>
  <c r="G138" i="1"/>
  <c r="B138" i="8" s="1"/>
  <c r="G137" i="1"/>
  <c r="B137" i="8" s="1"/>
  <c r="G136" i="1"/>
  <c r="B136" i="8" s="1"/>
  <c r="G135" i="1"/>
  <c r="B135" i="8" s="1"/>
  <c r="G134" i="1"/>
  <c r="B134" i="8" s="1"/>
  <c r="H133" i="1"/>
  <c r="G133" i="1"/>
  <c r="B133" i="8" s="1"/>
  <c r="G132" i="1"/>
  <c r="B132" i="8" s="1"/>
  <c r="G131" i="1"/>
  <c r="B131" i="8" s="1"/>
  <c r="G130" i="1"/>
  <c r="B130" i="8" s="1"/>
  <c r="G129" i="1"/>
  <c r="B129" i="8" s="1"/>
  <c r="G128" i="1"/>
  <c r="B128" i="8" s="1"/>
  <c r="G127" i="1"/>
  <c r="B127" i="8" s="1"/>
  <c r="H126" i="1"/>
  <c r="G126" i="1"/>
  <c r="B126" i="8" s="1"/>
  <c r="G125" i="1"/>
  <c r="B125" i="8" s="1"/>
  <c r="G124" i="1"/>
  <c r="B124" i="8" s="1"/>
  <c r="G123" i="1"/>
  <c r="B123" i="8" s="1"/>
  <c r="G122" i="1"/>
  <c r="B122" i="8" s="1"/>
  <c r="G121" i="1"/>
  <c r="B121" i="8" s="1"/>
  <c r="G120" i="1"/>
  <c r="B120" i="8" s="1"/>
  <c r="H119" i="1"/>
  <c r="G119" i="1"/>
  <c r="B119" i="8" s="1"/>
  <c r="G118" i="1"/>
  <c r="B118" i="8" s="1"/>
  <c r="G117" i="1"/>
  <c r="B117" i="8" s="1"/>
  <c r="G116" i="1"/>
  <c r="B116" i="8" s="1"/>
  <c r="G115" i="1"/>
  <c r="B115" i="8" s="1"/>
  <c r="G114" i="1"/>
  <c r="B114" i="8" s="1"/>
  <c r="G113" i="1"/>
  <c r="B113" i="8" s="1"/>
  <c r="H112" i="1"/>
  <c r="G112" i="1"/>
  <c r="B112" i="8" s="1"/>
  <c r="G111" i="1"/>
  <c r="B111" i="8" s="1"/>
  <c r="G110" i="1"/>
  <c r="B110" i="8" s="1"/>
  <c r="G109" i="1"/>
  <c r="B109" i="8" s="1"/>
  <c r="G108" i="1"/>
  <c r="B108" i="8" s="1"/>
  <c r="G107" i="1"/>
  <c r="B107" i="8" s="1"/>
  <c r="G106" i="1"/>
  <c r="B106" i="8" s="1"/>
  <c r="H105" i="1"/>
  <c r="G105" i="1"/>
  <c r="B105" i="8" s="1"/>
  <c r="G104" i="1"/>
  <c r="B104" i="8" s="1"/>
  <c r="G103" i="1"/>
  <c r="B103" i="8" s="1"/>
  <c r="G102" i="1"/>
  <c r="B102" i="8" s="1"/>
  <c r="G101" i="1"/>
  <c r="B101" i="8" s="1"/>
  <c r="G100" i="1"/>
  <c r="B100" i="8" s="1"/>
  <c r="G99" i="1"/>
  <c r="B99" i="8" s="1"/>
  <c r="H98" i="1"/>
  <c r="G98" i="1"/>
  <c r="B98" i="8" s="1"/>
  <c r="G97" i="1"/>
  <c r="B97" i="8" s="1"/>
  <c r="G96" i="1"/>
  <c r="B96" i="8" s="1"/>
  <c r="G95" i="1"/>
  <c r="B95" i="8" s="1"/>
  <c r="G94" i="1"/>
  <c r="B94" i="8" s="1"/>
  <c r="G93" i="1"/>
  <c r="B93" i="8" s="1"/>
  <c r="G92" i="1"/>
  <c r="B92" i="8" s="1"/>
  <c r="H91" i="1"/>
  <c r="G91" i="1"/>
  <c r="B91" i="8" s="1"/>
  <c r="G90" i="1"/>
  <c r="B90" i="8" s="1"/>
  <c r="G89" i="1"/>
  <c r="B89" i="8" s="1"/>
  <c r="G88" i="1"/>
  <c r="B88" i="8" s="1"/>
  <c r="G87" i="1"/>
  <c r="B87" i="8" s="1"/>
  <c r="G86" i="1"/>
  <c r="B86" i="8" s="1"/>
  <c r="G85" i="1"/>
  <c r="B85" i="8" s="1"/>
  <c r="H84" i="1"/>
  <c r="G84" i="1"/>
  <c r="B84" i="8" s="1"/>
  <c r="G83" i="1"/>
  <c r="B83" i="8" s="1"/>
  <c r="G82" i="1"/>
  <c r="B82" i="8" s="1"/>
  <c r="G81" i="1"/>
  <c r="B81" i="8" s="1"/>
  <c r="G80" i="1"/>
  <c r="B80" i="8" s="1"/>
  <c r="G79" i="1"/>
  <c r="B79" i="8" s="1"/>
  <c r="G78" i="1"/>
  <c r="B78" i="8" s="1"/>
  <c r="H77" i="1"/>
  <c r="G77" i="1"/>
  <c r="B77" i="8" s="1"/>
  <c r="G76" i="1"/>
  <c r="B76" i="8" s="1"/>
  <c r="G75" i="1"/>
  <c r="B75" i="8" s="1"/>
  <c r="G74" i="1"/>
  <c r="B74" i="8" s="1"/>
  <c r="G73" i="1"/>
  <c r="B73" i="8" s="1"/>
  <c r="G72" i="1"/>
  <c r="B72" i="8" s="1"/>
  <c r="G71" i="1"/>
  <c r="B71" i="8" s="1"/>
  <c r="H70" i="1"/>
  <c r="G70" i="1"/>
  <c r="B70" i="8" s="1"/>
  <c r="G69" i="1"/>
  <c r="B69" i="8" s="1"/>
  <c r="G68" i="1"/>
  <c r="B68" i="8" s="1"/>
  <c r="G67" i="1"/>
  <c r="B67" i="8" s="1"/>
  <c r="G66" i="1"/>
  <c r="B66" i="8" s="1"/>
  <c r="G65" i="1"/>
  <c r="B65" i="8" s="1"/>
  <c r="G64" i="1"/>
  <c r="B64" i="8" s="1"/>
  <c r="H63" i="1"/>
  <c r="G63" i="1"/>
  <c r="B63" i="8" s="1"/>
  <c r="G62" i="1"/>
  <c r="B62" i="8" s="1"/>
  <c r="G61" i="1"/>
  <c r="B61" i="8" s="1"/>
  <c r="G60" i="1"/>
  <c r="B60" i="8" s="1"/>
  <c r="G59" i="1"/>
  <c r="B59" i="8" s="1"/>
  <c r="G58" i="1"/>
  <c r="B58" i="8" s="1"/>
  <c r="G57" i="1"/>
  <c r="B57" i="8" s="1"/>
  <c r="H56" i="1"/>
  <c r="G56" i="1"/>
  <c r="B56" i="8" s="1"/>
  <c r="G55" i="1"/>
  <c r="B55" i="8" s="1"/>
  <c r="G54" i="1"/>
  <c r="B54" i="8" s="1"/>
  <c r="G53" i="1"/>
  <c r="B53" i="8" s="1"/>
  <c r="G52" i="1"/>
  <c r="B52" i="8" s="1"/>
  <c r="G51" i="1"/>
  <c r="B51" i="8" s="1"/>
  <c r="G50" i="1"/>
  <c r="B50" i="8" s="1"/>
  <c r="H49" i="1"/>
  <c r="G49" i="1"/>
  <c r="B49" i="8" s="1"/>
  <c r="G48" i="1"/>
  <c r="B48" i="8" s="1"/>
  <c r="G47" i="1"/>
  <c r="B47" i="8" s="1"/>
  <c r="G46" i="1"/>
  <c r="B46" i="8" s="1"/>
  <c r="G45" i="1"/>
  <c r="B45" i="8" s="1"/>
  <c r="G44" i="1"/>
  <c r="B44" i="8" s="1"/>
  <c r="G43" i="1"/>
  <c r="B43" i="8" s="1"/>
  <c r="H42" i="1"/>
  <c r="G42" i="1"/>
  <c r="B42" i="8" s="1"/>
  <c r="G41" i="1"/>
  <c r="B41" i="8" s="1"/>
  <c r="G40" i="1"/>
  <c r="B40" i="8" s="1"/>
  <c r="G39" i="1"/>
  <c r="B39" i="8" s="1"/>
  <c r="G38" i="1"/>
  <c r="B38" i="8" s="1"/>
  <c r="G37" i="1"/>
  <c r="B37" i="8" s="1"/>
  <c r="G36" i="1"/>
  <c r="B36" i="8" s="1"/>
  <c r="H35" i="1"/>
  <c r="G35" i="1"/>
  <c r="B35" i="8" s="1"/>
  <c r="G34" i="1"/>
  <c r="B34" i="8" s="1"/>
  <c r="G33" i="1"/>
  <c r="B33" i="8" s="1"/>
  <c r="G32" i="1"/>
  <c r="B32" i="8" s="1"/>
  <c r="G31" i="1"/>
  <c r="B31" i="8" s="1"/>
  <c r="G30" i="1"/>
  <c r="B30" i="8" s="1"/>
  <c r="G29" i="1"/>
  <c r="B29" i="8" s="1"/>
  <c r="H28" i="1"/>
  <c r="G28" i="1"/>
  <c r="B28" i="8" s="1"/>
  <c r="G27" i="1"/>
  <c r="B27" i="8" s="1"/>
  <c r="G26" i="1"/>
  <c r="B26" i="8" s="1"/>
  <c r="G25" i="1"/>
  <c r="B25" i="8" s="1"/>
  <c r="G24" i="1"/>
  <c r="B24" i="8" s="1"/>
  <c r="G23" i="1"/>
  <c r="B23" i="8" s="1"/>
  <c r="G22" i="1"/>
  <c r="B22" i="8" s="1"/>
  <c r="H21" i="1"/>
  <c r="G21" i="1"/>
  <c r="B21" i="8" s="1"/>
  <c r="G20" i="1"/>
  <c r="B20" i="8" s="1"/>
  <c r="G19" i="1"/>
  <c r="B19" i="8" s="1"/>
  <c r="G18" i="1"/>
  <c r="B18" i="8" s="1"/>
  <c r="G17" i="1"/>
  <c r="B17" i="8" s="1"/>
  <c r="G16" i="1"/>
  <c r="B16" i="8" s="1"/>
  <c r="G15" i="1"/>
  <c r="B15" i="8" s="1"/>
  <c r="H14" i="1"/>
  <c r="G14" i="1"/>
  <c r="B14" i="8" s="1"/>
  <c r="G13" i="1"/>
  <c r="B13" i="8" s="1"/>
  <c r="G12" i="1"/>
  <c r="B12" i="8" s="1"/>
  <c r="G11" i="1"/>
  <c r="B11" i="8" s="1"/>
  <c r="G10" i="1"/>
  <c r="B10" i="8" s="1"/>
  <c r="G9" i="1"/>
  <c r="B9" i="8" s="1"/>
  <c r="G8" i="1"/>
  <c r="B8" i="8" s="1"/>
  <c r="H7" i="1"/>
  <c r="G7" i="1"/>
  <c r="B7" i="8" s="1"/>
  <c r="H245" i="1"/>
  <c r="G245" i="1"/>
  <c r="B245" i="8" s="1"/>
  <c r="H252" i="1"/>
  <c r="G252" i="1"/>
  <c r="B252" i="8" s="1"/>
  <c r="H259" i="1"/>
  <c r="G259" i="1"/>
  <c r="B259" i="8" s="1"/>
  <c r="H266" i="1"/>
  <c r="G266" i="1"/>
  <c r="B266" i="8" s="1"/>
  <c r="H273" i="1"/>
  <c r="G273" i="1"/>
  <c r="B273" i="8" s="1"/>
  <c r="H280" i="1"/>
  <c r="G280" i="1"/>
  <c r="B280" i="8" s="1"/>
  <c r="H287" i="1"/>
  <c r="G287" i="1"/>
  <c r="B287" i="8" s="1"/>
  <c r="H315" i="1"/>
  <c r="G315" i="1"/>
  <c r="B315" i="8" s="1"/>
  <c r="H308" i="1"/>
  <c r="G308" i="1"/>
  <c r="B308" i="8" s="1"/>
  <c r="H301" i="1"/>
  <c r="G301" i="1"/>
  <c r="B301" i="8" s="1"/>
  <c r="H294" i="1"/>
  <c r="G294" i="1"/>
  <c r="B294" i="8" s="1"/>
  <c r="H322" i="1"/>
  <c r="G322" i="1"/>
  <c r="B322" i="8" s="1"/>
  <c r="H329" i="1"/>
  <c r="G329" i="1"/>
  <c r="B329" i="8" s="1"/>
  <c r="H336" i="1"/>
  <c r="G336" i="1"/>
  <c r="B336" i="8" s="1"/>
  <c r="H343" i="1"/>
  <c r="G343" i="1"/>
  <c r="B343" i="8" s="1"/>
  <c r="H350" i="1"/>
  <c r="G350" i="1"/>
  <c r="B350" i="8" s="1"/>
  <c r="H357" i="1"/>
  <c r="G357" i="1"/>
  <c r="B357" i="8" s="1"/>
  <c r="H364" i="1"/>
  <c r="G364" i="1"/>
  <c r="B364" i="8" s="1"/>
  <c r="H399" i="1"/>
  <c r="I406" i="1" s="1"/>
  <c r="G399" i="1"/>
  <c r="B399" i="8" s="1"/>
  <c r="H392" i="1"/>
  <c r="G392" i="1"/>
  <c r="B392" i="8" s="1"/>
  <c r="H385" i="1"/>
  <c r="G385" i="1"/>
  <c r="B385" i="8" s="1"/>
  <c r="H378" i="1"/>
  <c r="G378" i="1"/>
  <c r="B378" i="8" s="1"/>
  <c r="H371" i="1"/>
  <c r="K1" i="1"/>
  <c r="G393" i="1"/>
  <c r="B393" i="8" s="1"/>
  <c r="G394" i="1"/>
  <c r="B394" i="8" s="1"/>
  <c r="G395" i="1"/>
  <c r="B395" i="8" s="1"/>
  <c r="G396" i="1"/>
  <c r="B396" i="8" s="1"/>
  <c r="G397" i="1"/>
  <c r="B397" i="8" s="1"/>
  <c r="G398" i="1"/>
  <c r="B398" i="8" s="1"/>
  <c r="G400" i="1"/>
  <c r="B400" i="8" s="1"/>
  <c r="G401" i="1"/>
  <c r="B401" i="8" s="1"/>
  <c r="G402" i="1"/>
  <c r="B402" i="8" s="1"/>
  <c r="G403" i="1"/>
  <c r="B403" i="8" s="1"/>
  <c r="G404" i="1"/>
  <c r="B404" i="8" s="1"/>
  <c r="G405" i="1"/>
  <c r="B405" i="8" s="1"/>
  <c r="E383" i="1"/>
  <c r="G383" i="1"/>
  <c r="B383" i="8" s="1"/>
  <c r="E384" i="1"/>
  <c r="G384" i="1"/>
  <c r="B384" i="8" s="1"/>
  <c r="E385" i="1"/>
  <c r="E386" i="1"/>
  <c r="G386" i="1"/>
  <c r="B386" i="8" s="1"/>
  <c r="E387" i="1"/>
  <c r="G387" i="1"/>
  <c r="B387" i="8" s="1"/>
  <c r="E388" i="1"/>
  <c r="G388" i="1"/>
  <c r="B388" i="8" s="1"/>
  <c r="E389" i="1"/>
  <c r="G389" i="1"/>
  <c r="B389" i="8" s="1"/>
  <c r="E390" i="1"/>
  <c r="G390" i="1"/>
  <c r="B390" i="8" s="1"/>
  <c r="E391" i="1"/>
  <c r="G391" i="1"/>
  <c r="B391" i="8" s="1"/>
  <c r="E392" i="1"/>
  <c r="E393" i="1"/>
  <c r="G367" i="1"/>
  <c r="B367" i="8" s="1"/>
  <c r="G368" i="1"/>
  <c r="B368" i="8" s="1"/>
  <c r="G369" i="1"/>
  <c r="B369" i="8" s="1"/>
  <c r="G370" i="1"/>
  <c r="B370" i="8" s="1"/>
  <c r="G371" i="1"/>
  <c r="B371" i="8" s="1"/>
  <c r="G372" i="1"/>
  <c r="B372" i="8" s="1"/>
  <c r="G373" i="1"/>
  <c r="B373" i="8" s="1"/>
  <c r="G374" i="1"/>
  <c r="B374" i="8" s="1"/>
  <c r="G375" i="1"/>
  <c r="B375" i="8" s="1"/>
  <c r="G376" i="1"/>
  <c r="B376" i="8" s="1"/>
  <c r="G377" i="1"/>
  <c r="B377" i="8" s="1"/>
  <c r="G379" i="1"/>
  <c r="B379" i="8" s="1"/>
  <c r="G380" i="1"/>
  <c r="B380" i="8" s="1"/>
  <c r="G381" i="1"/>
  <c r="B381" i="8" s="1"/>
  <c r="G382" i="1"/>
  <c r="B382" i="8" s="1"/>
  <c r="G365" i="1"/>
  <c r="B365" i="8" s="1"/>
  <c r="G366" i="1"/>
  <c r="B366" i="8" s="1"/>
  <c r="JI37" i="2"/>
  <c r="JF37" i="2"/>
  <c r="JC37" i="2"/>
  <c r="IZ37" i="2"/>
  <c r="JI36" i="2"/>
  <c r="JI38" i="2"/>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c r="HD36" i="2"/>
  <c r="HD38" i="2"/>
  <c r="HA36" i="2"/>
  <c r="HA38" i="2" s="1"/>
  <c r="GX36" i="2"/>
  <c r="GX38" i="2" s="1"/>
  <c r="GU37" i="2"/>
  <c r="GR37" i="2"/>
  <c r="GO37" i="2"/>
  <c r="GL37" i="2"/>
  <c r="GI37" i="2"/>
  <c r="GF37" i="2"/>
  <c r="GC37" i="2"/>
  <c r="GU36" i="2"/>
  <c r="GU38" i="2" s="1"/>
  <c r="GR36" i="2"/>
  <c r="GR38" i="2" s="1"/>
  <c r="GO36" i="2"/>
  <c r="GO38" i="2" s="1"/>
  <c r="GL36" i="2"/>
  <c r="GL38" i="2" s="1"/>
  <c r="GI36" i="2"/>
  <c r="GI38" i="2" s="1"/>
  <c r="GF36" i="2"/>
  <c r="GF38" i="2"/>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G323" i="1"/>
  <c r="B323" i="8" s="1"/>
  <c r="G324" i="1"/>
  <c r="B324" i="8" s="1"/>
  <c r="G325" i="1"/>
  <c r="B325" i="8" s="1"/>
  <c r="G326" i="1"/>
  <c r="B326" i="8" s="1"/>
  <c r="G327" i="1"/>
  <c r="B327" i="8" s="1"/>
  <c r="G328" i="1"/>
  <c r="B328" i="8" s="1"/>
  <c r="G330" i="1"/>
  <c r="B330" i="8" s="1"/>
  <c r="G331" i="1"/>
  <c r="B331" i="8" s="1"/>
  <c r="G332" i="1"/>
  <c r="B332" i="8" s="1"/>
  <c r="G333" i="1"/>
  <c r="B333" i="8" s="1"/>
  <c r="G334" i="1"/>
  <c r="B334" i="8" s="1"/>
  <c r="G335" i="1"/>
  <c r="B335" i="8" s="1"/>
  <c r="G337" i="1"/>
  <c r="B337" i="8" s="1"/>
  <c r="G338" i="1"/>
  <c r="B338" i="8" s="1"/>
  <c r="G339" i="1"/>
  <c r="B339" i="8" s="1"/>
  <c r="G340" i="1"/>
  <c r="B340" i="8" s="1"/>
  <c r="G341" i="1"/>
  <c r="B341" i="8" s="1"/>
  <c r="G342" i="1"/>
  <c r="B342" i="8" s="1"/>
  <c r="G344" i="1"/>
  <c r="B344" i="8" s="1"/>
  <c r="G345" i="1"/>
  <c r="B345" i="8" s="1"/>
  <c r="G346" i="1"/>
  <c r="B346" i="8" s="1"/>
  <c r="G347" i="1"/>
  <c r="B347" i="8" s="1"/>
  <c r="G348" i="1"/>
  <c r="B348" i="8" s="1"/>
  <c r="G349" i="1"/>
  <c r="B349" i="8" s="1"/>
  <c r="G351" i="1"/>
  <c r="B351" i="8" s="1"/>
  <c r="G352" i="1"/>
  <c r="B352" i="8" s="1"/>
  <c r="G353" i="1"/>
  <c r="B353" i="8" s="1"/>
  <c r="G354" i="1"/>
  <c r="B354" i="8" s="1"/>
  <c r="G355" i="1"/>
  <c r="B355" i="8" s="1"/>
  <c r="G356" i="1"/>
  <c r="B356" i="8" s="1"/>
  <c r="G358" i="1"/>
  <c r="B358" i="8" s="1"/>
  <c r="G359" i="1"/>
  <c r="B359" i="8" s="1"/>
  <c r="G360" i="1"/>
  <c r="B360" i="8" s="1"/>
  <c r="G361" i="1"/>
  <c r="B361" i="8" s="1"/>
  <c r="G362" i="1"/>
  <c r="B362" i="8" s="1"/>
  <c r="G363" i="1"/>
  <c r="B363" i="8" s="1"/>
  <c r="G309" i="1"/>
  <c r="B309" i="8" s="1"/>
  <c r="G310" i="1"/>
  <c r="B310" i="8" s="1"/>
  <c r="G311" i="1"/>
  <c r="B311" i="8" s="1"/>
  <c r="G312" i="1"/>
  <c r="B312" i="8" s="1"/>
  <c r="G313" i="1"/>
  <c r="B313" i="8" s="1"/>
  <c r="G314" i="1"/>
  <c r="B314" i="8" s="1"/>
  <c r="G316" i="1"/>
  <c r="B316" i="8" s="1"/>
  <c r="G317" i="1"/>
  <c r="B317" i="8" s="1"/>
  <c r="G318" i="1"/>
  <c r="B318" i="8" s="1"/>
  <c r="G319" i="1"/>
  <c r="B319" i="8" s="1"/>
  <c r="G320" i="1"/>
  <c r="B320" i="8" s="1"/>
  <c r="G321" i="1"/>
  <c r="B321" i="8" s="1"/>
  <c r="G3" i="1"/>
  <c r="B3" i="8" s="1"/>
  <c r="G4" i="1"/>
  <c r="B4" i="8" s="1"/>
  <c r="G5" i="1"/>
  <c r="B5" i="8" s="1"/>
  <c r="G6" i="1"/>
  <c r="B6" i="8" s="1"/>
  <c r="G239" i="1"/>
  <c r="B239" i="8" s="1"/>
  <c r="G240" i="1"/>
  <c r="B240" i="8" s="1"/>
  <c r="G241" i="1"/>
  <c r="B241" i="8" s="1"/>
  <c r="G242" i="1"/>
  <c r="B242" i="8" s="1"/>
  <c r="G243" i="1"/>
  <c r="B243" i="8" s="1"/>
  <c r="G244" i="1"/>
  <c r="B244" i="8" s="1"/>
  <c r="G246" i="1"/>
  <c r="B246" i="8" s="1"/>
  <c r="G247" i="1"/>
  <c r="B247" i="8" s="1"/>
  <c r="G248" i="1"/>
  <c r="B248" i="8" s="1"/>
  <c r="G249" i="1"/>
  <c r="B249" i="8" s="1"/>
  <c r="G250" i="1"/>
  <c r="B250" i="8" s="1"/>
  <c r="G251" i="1"/>
  <c r="B251" i="8" s="1"/>
  <c r="G253" i="1"/>
  <c r="B253" i="8" s="1"/>
  <c r="G254" i="1"/>
  <c r="B254" i="8" s="1"/>
  <c r="G255" i="1"/>
  <c r="B255" i="8" s="1"/>
  <c r="G256" i="1"/>
  <c r="B256" i="8" s="1"/>
  <c r="G257" i="1"/>
  <c r="B257" i="8" s="1"/>
  <c r="G258" i="1"/>
  <c r="B258" i="8" s="1"/>
  <c r="G260" i="1"/>
  <c r="B260" i="8" s="1"/>
  <c r="G261" i="1"/>
  <c r="B261" i="8" s="1"/>
  <c r="G262" i="1"/>
  <c r="B262" i="8" s="1"/>
  <c r="G263" i="1"/>
  <c r="B263" i="8" s="1"/>
  <c r="G264" i="1"/>
  <c r="B264" i="8" s="1"/>
  <c r="G265" i="1"/>
  <c r="B265" i="8" s="1"/>
  <c r="G267" i="1"/>
  <c r="B267" i="8" s="1"/>
  <c r="G268" i="1"/>
  <c r="B268" i="8" s="1"/>
  <c r="G269" i="1"/>
  <c r="B269" i="8" s="1"/>
  <c r="G270" i="1"/>
  <c r="B270" i="8" s="1"/>
  <c r="G271" i="1"/>
  <c r="B271" i="8" s="1"/>
  <c r="G272" i="1"/>
  <c r="B272" i="8" s="1"/>
  <c r="G274" i="1"/>
  <c r="B274" i="8" s="1"/>
  <c r="G275" i="1"/>
  <c r="B275" i="8" s="1"/>
  <c r="G276" i="1"/>
  <c r="B276" i="8" s="1"/>
  <c r="G277" i="1"/>
  <c r="B277" i="8" s="1"/>
  <c r="G278" i="1"/>
  <c r="B278" i="8" s="1"/>
  <c r="G279" i="1"/>
  <c r="B279" i="8" s="1"/>
  <c r="G281" i="1"/>
  <c r="B281" i="8" s="1"/>
  <c r="G282" i="1"/>
  <c r="B282" i="8" s="1"/>
  <c r="G283" i="1"/>
  <c r="B283" i="8" s="1"/>
  <c r="G284" i="1"/>
  <c r="B284" i="8" s="1"/>
  <c r="G285" i="1"/>
  <c r="B285" i="8" s="1"/>
  <c r="G286" i="1"/>
  <c r="B286" i="8" s="1"/>
  <c r="G288" i="1"/>
  <c r="B288" i="8" s="1"/>
  <c r="G289" i="1"/>
  <c r="B289" i="8" s="1"/>
  <c r="G290" i="1"/>
  <c r="B290" i="8" s="1"/>
  <c r="G291" i="1"/>
  <c r="B291" i="8" s="1"/>
  <c r="G292" i="1"/>
  <c r="B292" i="8" s="1"/>
  <c r="G293" i="1"/>
  <c r="B293" i="8" s="1"/>
  <c r="G295" i="1"/>
  <c r="B295" i="8" s="1"/>
  <c r="G296" i="1"/>
  <c r="B296" i="8" s="1"/>
  <c r="G297" i="1"/>
  <c r="B297" i="8" s="1"/>
  <c r="G298" i="1"/>
  <c r="B298" i="8" s="1"/>
  <c r="G299" i="1"/>
  <c r="B299" i="8" s="1"/>
  <c r="G300" i="1"/>
  <c r="B300" i="8" s="1"/>
  <c r="G302" i="1"/>
  <c r="B302" i="8" s="1"/>
  <c r="G303" i="1"/>
  <c r="B303" i="8" s="1"/>
  <c r="G304" i="1"/>
  <c r="B304" i="8" s="1"/>
  <c r="G305" i="1"/>
  <c r="B305" i="8" s="1"/>
  <c r="G306" i="1"/>
  <c r="B306" i="8" s="1"/>
  <c r="G307" i="1"/>
  <c r="B307" i="8" s="1"/>
  <c r="G2" i="1"/>
  <c r="B2" i="8" s="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G1" i="1"/>
  <c r="C35" i="2"/>
  <c r="D35" i="2" s="1"/>
  <c r="J1" i="1" l="1"/>
  <c r="M1" i="1" s="1"/>
  <c r="T37" i="4"/>
  <c r="T27" i="4"/>
  <c r="T35" i="4"/>
  <c r="T33" i="4"/>
  <c r="T29" i="4"/>
  <c r="T25" i="4"/>
  <c r="T31" i="4"/>
  <c r="I462" i="1"/>
  <c r="I602" i="1"/>
  <c r="I546" i="1"/>
  <c r="I490" i="1"/>
  <c r="I469" i="1"/>
  <c r="M34" i="4"/>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B35" i="2"/>
  <c r="C34" i="2"/>
  <c r="Q37" i="2"/>
  <c r="G35" i="2"/>
  <c r="S31" i="4" l="1"/>
  <c r="P28" i="4" s="1"/>
  <c r="O28" i="4"/>
  <c r="O25"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B80"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34" i="2"/>
  <c r="D34" i="2"/>
  <c r="G34" i="2"/>
  <c r="C33" i="2"/>
  <c r="Q38" i="2"/>
  <c r="C40" i="2"/>
  <c r="P25" i="4" l="1"/>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B33" i="2"/>
  <c r="C32" i="2"/>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B32" i="2"/>
  <c r="D32" i="2"/>
  <c r="C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G31" i="2"/>
  <c r="D31" i="2"/>
  <c r="B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B30" i="2"/>
  <c r="D30" i="2"/>
  <c r="C29" i="2"/>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B29" i="2"/>
  <c r="G29" i="2"/>
  <c r="C28" i="2"/>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D28" i="2"/>
  <c r="G28" i="2"/>
  <c r="B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B27" i="2"/>
  <c r="C26" i="2"/>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B26" i="2"/>
  <c r="G26" i="2"/>
  <c r="D26" i="2"/>
  <c r="C25" i="2"/>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5" i="2"/>
  <c r="G25" i="2"/>
  <c r="E26" i="2" l="1"/>
  <c r="F26" i="2" s="1"/>
  <c r="W62" i="2"/>
  <c r="Y56" i="2" s="1"/>
  <c r="V64" i="2"/>
  <c r="B95" i="2"/>
  <c r="C93" i="2"/>
  <c r="E83" i="2" s="1"/>
  <c r="R66" i="2"/>
  <c r="S64" i="2"/>
  <c r="U57" i="2" s="1"/>
  <c r="AE58" i="2"/>
  <c r="AG54" i="2" s="1"/>
  <c r="AD60" i="2"/>
  <c r="Z62" i="2"/>
  <c r="AA60" i="2"/>
  <c r="AC55" i="2" s="1"/>
  <c r="N68" i="2"/>
  <c r="O68" i="2" s="1"/>
  <c r="Q59" i="2" s="1"/>
  <c r="O66" i="2"/>
  <c r="Q58" i="2" s="1"/>
  <c r="B24" i="2"/>
  <c r="G24" i="2"/>
  <c r="C23" i="2"/>
  <c r="D24" i="2"/>
  <c r="B58" i="4" l="1"/>
  <c r="E25" i="2"/>
  <c r="F25" i="2" s="1"/>
  <c r="Z64" i="2"/>
  <c r="AA62" i="2"/>
  <c r="AC56" i="2" s="1"/>
  <c r="AE60" i="2"/>
  <c r="AG55" i="2" s="1"/>
  <c r="AD62" i="2"/>
  <c r="R68" i="2"/>
  <c r="S68" i="2" s="1"/>
  <c r="U59" i="2" s="1"/>
  <c r="S66" i="2"/>
  <c r="U58" i="2" s="1"/>
  <c r="C95" i="2"/>
  <c r="E84" i="2" s="1"/>
  <c r="B97" i="2"/>
  <c r="V66" i="2"/>
  <c r="W64" i="2"/>
  <c r="Y57" i="2" s="1"/>
  <c r="D23" i="2"/>
  <c r="C22" i="2"/>
  <c r="B23" i="2"/>
  <c r="G23" i="2"/>
  <c r="K25" i="2" l="1"/>
  <c r="E24" i="2"/>
  <c r="F24" i="2" s="1"/>
  <c r="C97" i="2"/>
  <c r="E85" i="2" s="1"/>
  <c r="B99" i="2"/>
  <c r="AD64" i="2"/>
  <c r="AE62" i="2"/>
  <c r="AG56" i="2" s="1"/>
  <c r="V68" i="2"/>
  <c r="W68" i="2" s="1"/>
  <c r="Y59" i="2" s="1"/>
  <c r="W66" i="2"/>
  <c r="Y58" i="2" s="1"/>
  <c r="Z66" i="2"/>
  <c r="AA64" i="2"/>
  <c r="AC57" i="2" s="1"/>
  <c r="G22" i="2"/>
  <c r="B22" i="2"/>
  <c r="D22" i="2"/>
  <c r="C21" i="2"/>
  <c r="E23" i="2" l="1"/>
  <c r="F23" i="2" s="1"/>
  <c r="AE64" i="2"/>
  <c r="AG57" i="2" s="1"/>
  <c r="AD66" i="2"/>
  <c r="AA66" i="2"/>
  <c r="AC58" i="2" s="1"/>
  <c r="Z68" i="2"/>
  <c r="AA68" i="2" s="1"/>
  <c r="AC59" i="2" s="1"/>
  <c r="C99" i="2"/>
  <c r="E86" i="2" s="1"/>
  <c r="B101" i="2"/>
  <c r="C20" i="2"/>
  <c r="G21" i="2"/>
  <c r="D21" i="2"/>
  <c r="B21" i="2"/>
  <c r="E22" i="2" l="1"/>
  <c r="F22" i="2" s="1"/>
  <c r="B103" i="2"/>
  <c r="C101" i="2"/>
  <c r="E87" i="2" s="1"/>
  <c r="AD68" i="2"/>
  <c r="AE68" i="2" s="1"/>
  <c r="AG59" i="2" s="1"/>
  <c r="AE66" i="2"/>
  <c r="AG58" i="2" s="1"/>
  <c r="B20" i="2"/>
  <c r="C19" i="2"/>
  <c r="D20" i="2"/>
  <c r="G20" i="2"/>
  <c r="E21" i="2" l="1"/>
  <c r="B105" i="2"/>
  <c r="C103" i="2"/>
  <c r="E88" i="2" s="1"/>
  <c r="G19" i="2"/>
  <c r="D19" i="2"/>
  <c r="B19" i="2"/>
  <c r="C18" i="2"/>
  <c r="H21" i="2" l="1"/>
  <c r="I28" i="2" s="1"/>
  <c r="F21" i="2"/>
  <c r="E20" i="2"/>
  <c r="F20" i="2" s="1"/>
  <c r="J21" i="2"/>
  <c r="B107" i="2"/>
  <c r="C105" i="2"/>
  <c r="E89" i="2" s="1"/>
  <c r="D18" i="2"/>
  <c r="C17" i="2"/>
  <c r="B18" i="2"/>
  <c r="G18" i="2"/>
  <c r="C107" i="2" l="1"/>
  <c r="E90" i="2" s="1"/>
  <c r="B109" i="2"/>
  <c r="E19" i="2"/>
  <c r="F19" i="2" s="1"/>
  <c r="C16" i="2"/>
  <c r="B17" i="2"/>
  <c r="D17" i="2"/>
  <c r="G17" i="2"/>
  <c r="E18" i="2" l="1"/>
  <c r="F18" i="2" s="1"/>
  <c r="B111" i="2"/>
  <c r="C109" i="2"/>
  <c r="E91" i="2" s="1"/>
  <c r="B16" i="2"/>
  <c r="C15" i="2"/>
  <c r="G16" i="2"/>
  <c r="D16" i="2"/>
  <c r="K18" i="2" l="1"/>
  <c r="L25" i="2" s="1"/>
  <c r="C111" i="2"/>
  <c r="E92" i="2" s="1"/>
  <c r="B113" i="2"/>
  <c r="E17" i="2"/>
  <c r="F17" i="2" s="1"/>
  <c r="B15" i="2"/>
  <c r="G15" i="2"/>
  <c r="D15" i="2"/>
  <c r="C14" i="2"/>
  <c r="E16" i="2" l="1"/>
  <c r="F16" i="2" s="1"/>
  <c r="C113" i="2"/>
  <c r="E93" i="2" s="1"/>
  <c r="B115" i="2"/>
  <c r="G14" i="2"/>
  <c r="D14" i="2"/>
  <c r="C13" i="2"/>
  <c r="B14" i="2"/>
  <c r="E15" i="2" l="1"/>
  <c r="F15" i="2" s="1"/>
  <c r="B117" i="2"/>
  <c r="C115" i="2"/>
  <c r="E94" i="2" s="1"/>
  <c r="B13" i="2"/>
  <c r="G13" i="2"/>
  <c r="D13" i="2"/>
  <c r="C12" i="2"/>
  <c r="E14" i="2" l="1"/>
  <c r="F14" i="2" s="1"/>
  <c r="C117" i="2"/>
  <c r="E95" i="2" s="1"/>
  <c r="B119" i="2"/>
  <c r="G12" i="2"/>
  <c r="D12" i="2"/>
  <c r="C11" i="2"/>
  <c r="B12" i="2"/>
  <c r="H14" i="2" l="1"/>
  <c r="I21" i="2" s="1"/>
  <c r="E13" i="2"/>
  <c r="F13" i="2" s="1"/>
  <c r="C119" i="2"/>
  <c r="E96" i="2" s="1"/>
  <c r="B121" i="2"/>
  <c r="C10" i="2"/>
  <c r="G11" i="2"/>
  <c r="D11" i="2"/>
  <c r="B11" i="2"/>
  <c r="B123" i="2" l="1"/>
  <c r="C121" i="2"/>
  <c r="E97" i="2" s="1"/>
  <c r="E12" i="2"/>
  <c r="F12" i="2" s="1"/>
  <c r="G10" i="2"/>
  <c r="D10" i="2"/>
  <c r="C9" i="2"/>
  <c r="B10" i="2"/>
  <c r="E11" i="2" l="1"/>
  <c r="B125" i="2"/>
  <c r="C123" i="2"/>
  <c r="E98" i="2" s="1"/>
  <c r="D9" i="2"/>
  <c r="G9" i="2"/>
  <c r="B9" i="2"/>
  <c r="C8" i="2"/>
  <c r="K11" i="2" l="1"/>
  <c r="L18" i="2" s="1"/>
  <c r="F11" i="2"/>
  <c r="E10" i="2"/>
  <c r="F10" i="2" s="1"/>
  <c r="B127" i="2"/>
  <c r="C125" i="2"/>
  <c r="E99" i="2" s="1"/>
  <c r="G8" i="2"/>
  <c r="B8" i="2"/>
  <c r="C7" i="2"/>
  <c r="G7" i="2" s="1"/>
  <c r="D8" i="2"/>
  <c r="E9" i="2" l="1"/>
  <c r="F9" i="2" s="1"/>
  <c r="C127" i="2"/>
  <c r="E100" i="2" s="1"/>
  <c r="B129" i="2"/>
  <c r="D7" i="2"/>
  <c r="C6" i="2"/>
  <c r="B7" i="2"/>
  <c r="E8" i="2" l="1"/>
  <c r="F8" i="2" s="1"/>
  <c r="C129" i="2"/>
  <c r="E101" i="2" s="1"/>
  <c r="B131" i="2"/>
  <c r="B6" i="2"/>
  <c r="D6" i="2"/>
  <c r="E7" i="2" s="1"/>
  <c r="F7" i="2" s="1"/>
  <c r="C131" i="2" l="1"/>
  <c r="E102" i="2" s="1"/>
  <c r="B133" i="2"/>
  <c r="F5" i="2"/>
  <c r="B40" i="4" s="1"/>
  <c r="B42" i="4" s="1"/>
  <c r="J7" i="2"/>
  <c r="H7" i="2"/>
  <c r="I14" i="2" s="1"/>
  <c r="B135" i="2" l="1"/>
  <c r="C133" i="2"/>
  <c r="E103" i="2" s="1"/>
  <c r="B41" i="4"/>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<sst xmlns="http://schemas.openxmlformats.org/spreadsheetml/2006/main" count="1863" uniqueCount="463">
  <si>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</si>
  <si>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</si>
  <si>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</si>
  <si>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</si>
  <si>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</si>
  <si>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</si>
  <si>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</si>
  <si>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</si>
  <si>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</si>
  <si>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</si>
  <si>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</si>
  <si>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</si>
  <si>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</si>
  <si>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</si>
  <si>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</si>
  <si>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</si>
  <si>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</si>
  <si>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</si>
  <si>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</si>
  <si>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</si>
  <si>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</si>
  <si>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</si>
  <si>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</si>
  <si>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</si>
  <si>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</si>
  <si>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</si>
  <si>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</si>
  <si>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</si>
  <si>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</si>
  <si>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</si>
  <si>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</si>
  <si>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</si>
  <si>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</si>
  <si>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</si>
  <si>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</si>
  <si>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</si>
  <si>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</si>
  <si>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</si>
  <si>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</si>
  <si>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</si>
  <si>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</si>
  <si>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</si>
  <si>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</si>
  <si>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</si>
  <si>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</si>
  <si>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</si>
  <si>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</si>
  <si>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</si>
  <si>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</si>
  <si>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</si>
  <si>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</si>
  <si>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</si>
  <si>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</si>
  <si>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</si>
  <si>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</si>
  <si>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</si>
  <si>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</si>
  <si>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</si>
  <si>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</si>
  <si>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</si>
  <si>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</si>
  <si>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</si>
  <si>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</si>
  <si>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</si>
  <si>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</si>
  <si>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</si>
  <si>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</si>
  <si>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</si>
  <si>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</si>
  <si>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</si>
  <si>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</si>
  <si>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</si>
  <si>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</si>
  <si>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</si>
  <si>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</si>
  <si>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</si>
  <si>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</si>
  <si>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</si>
  <si>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</si>
  <si>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</si>
  <si>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</si>
  <si>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</si>
  <si>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</si>
  <si>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</si>
  <si>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</si>
  <si>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</si>
  <si>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</si>
  <si>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</si>
  <si>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</si>
  <si>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</si>
  <si>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</si>
  <si>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</si>
  <si>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</si>
  <si>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</si>
  <si>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</si>
  <si>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</si>
  <si>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</si>
  <si>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</si>
  <si>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</si>
  <si>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</si>
  <si>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</si>
  <si>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</si>
  <si>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</si>
  <si>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</si>
  <si>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</si>
  <si>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</si>
  <si>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</si>
  <si>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</si>
  <si>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</si>
  <si>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</si>
  <si>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</si>
  <si>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</si>
  <si>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</si>
  <si>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</si>
  <si>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</si>
  <si>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</si>
  <si>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</si>
  <si>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</si>
  <si>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</si>
  <si>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</si>
  <si>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</si>
  <si>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</si>
  <si>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</si>
  <si>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</si>
  <si>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</si>
  <si>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</si>
  <si>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</si>
  <si>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</si>
  <si>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</si>
  <si>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</si>
  <si>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</si>
  <si>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</si>
  <si>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</si>
  <si>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</si>
  <si>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</si>
  <si>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</si>
  <si>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</si>
  <si>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</si>
  <si>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</si>
  <si>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</si>
  <si>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</si>
  <si>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</si>
  <si>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</si>
  <si>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</si>
  <si>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</si>
  <si>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</si>
  <si>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</si>
  <si>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</si>
  <si>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</si>
  <si>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</si>
  <si>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</si>
  <si>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</si>
  <si>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</si>
  <si>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</si>
  <si>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</si>
  <si>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</si>
  <si>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</si>
  <si>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</si>
  <si>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</si>
  <si>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</si>
  <si>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</si>
  <si>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</si>
  <si>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</si>
  <si>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</si>
  <si>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</si>
  <si>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</si>
  <si>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</si>
  <si>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</si>
  <si>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</si>
  <si>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</si>
  <si>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</si>
  <si>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</si>
  <si>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</si>
  <si>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</si>
  <si>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</si>
  <si>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</si>
  <si>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</si>
  <si>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</si>
  <si>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</si>
  <si>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</si>
  <si>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</si>
  <si>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</si>
  <si>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</si>
  <si>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</si>
  <si>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</si>
  <si>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</si>
  <si>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</si>
  <si>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</si>
  <si>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</si>
  <si>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</si>
  <si>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</si>
  <si>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</si>
  <si>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</si>
  <si>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</si>
  <si>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</si>
  <si>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</si>
  <si>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</si>
  <si>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</si>
  <si>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</si>
  <si>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</si>
  <si>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</si>
  <si>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</si>
  <si>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</si>
  <si>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</si>
  <si>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</si>
  <si>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</si>
  <si>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</si>
  <si>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</si>
  <si>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</si>
  <si>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</si>
  <si>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</si>
  <si>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</si>
  <si>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</si>
  <si>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</si>
  <si>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</si>
  <si>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</si>
  <si>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</si>
  <si>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</si>
  <si>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</si>
  <si>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</si>
  <si>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</si>
  <si>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</si>
  <si>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</si>
  <si>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</si>
  <si>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</si>
  <si>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</si>
  <si>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</si>
  <si>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</si>
  <si>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</si>
  <si>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</si>
  <si>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</si>
  <si>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</si>
  <si>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</si>
  <si>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</si>
  <si>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</si>
  <si>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</si>
  <si>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</si>
  <si>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</si>
  <si>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</si>
  <si>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</si>
  <si>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</si>
  <si>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</si>
  <si>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</si>
  <si>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</si>
  <si>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</si>
  <si>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</si>
  <si>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</si>
  <si>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</si>
  <si>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</si>
  <si>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</si>
  <si>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</si>
  <si>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</si>
  <si>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</si>
  <si>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</si>
  <si>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</si>
  <si>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</si>
  <si>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</si>
  <si>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</si>
  <si>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</si>
  <si>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</si>
  <si>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</si>
  <si>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</si>
  <si>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</si>
  <si>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</si>
  <si>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</si>
  <si>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</si>
  <si>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</si>
  <si>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</si>
  <si>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</si>
  <si>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</si>
  <si>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</si>
  <si>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</si>
  <si>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</si>
  <si>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</si>
  <si>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</si>
  <si>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</si>
  <si>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</si>
  <si>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</si>
  <si>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</si>
  <si>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</si>
  <si>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</si>
  <si>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</si>
  <si>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</si>
  <si>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</si>
  <si>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</si>
  <si>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</si>
  <si>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</si>
  <si>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</si>
  <si>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</si>
  <si>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</si>
  <si>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</si>
  <si>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</si>
  <si>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</si>
  <si>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</si>
  <si>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</si>
  <si>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</si>
  <si>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</si>
  <si>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</si>
  <si>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</si>
  <si>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</si>
  <si>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</si>
  <si>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</si>
  <si>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</si>
  <si>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</si>
  <si>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</si>
  <si>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</si>
  <si>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</si>
  <si>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</si>
  <si>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</si>
  <si>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</si>
  <si>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</si>
  <si>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</si>
  <si>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</si>
  <si>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</si>
  <si>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</si>
  <si>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</si>
  <si>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</si>
  <si>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</si>
  <si>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</si>
  <si>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</si>
  <si>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</si>
  <si>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</si>
  <si>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</si>
  <si>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</si>
  <si>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</si>
  <si>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</si>
  <si>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</si>
  <si>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</si>
  <si>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</si>
  <si>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</si>
  <si>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</si>
  <si>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</si>
  <si>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</si>
  <si>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</si>
  <si>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</si>
  <si>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</si>
  <si>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</si>
  <si>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</si>
  <si>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</si>
  <si>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</si>
  <si>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</si>
  <si>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</si>
  <si>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</si>
  <si>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</si>
  <si>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</si>
  <si>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</si>
  <si>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</si>
  <si>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</si>
  <si>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</si>
  <si>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</si>
  <si>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</si>
  <si>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</si>
  <si>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</si>
  <si>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</si>
  <si>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</si>
  <si>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</si>
  <si>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</si>
  <si>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</si>
  <si>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</si>
  <si>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</si>
  <si>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</si>
  <si>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</si>
  <si>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</si>
  <si>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</si>
  <si>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</si>
  <si>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</si>
  <si>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</si>
  <si>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</si>
  <si>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</si>
  <si>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</si>
  <si>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</si>
  <si>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</si>
  <si>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</si>
  <si>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</si>
  <si>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</si>
  <si>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</si>
  <si>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</si>
  <si>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</si>
  <si>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</si>
  <si>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</si>
  <si>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</si>
  <si>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</si>
  <si>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</si>
  <si>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</si>
  <si>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</si>
  <si>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</si>
  <si>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</si>
  <si>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</si>
  <si>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</si>
  <si>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</si>
  <si>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</si>
  <si>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</si>
  <si>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</si>
  <si>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</si>
  <si>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</si>
  <si>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</si>
  <si>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</si>
  <si>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</si>
  <si>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</si>
  <si>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</si>
  <si>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</si>
  <si>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</si>
  <si>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</si>
  <si>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</si>
  <si>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</si>
  <si>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</si>
  <si>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</si>
  <si>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</si>
  <si>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</si>
  <si>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</si>
  <si>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</si>
  <si>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</si>
  <si>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</si>
  <si>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</si>
  <si>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</si>
  <si>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</si>
  <si>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</si>
  <si>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</si>
  <si>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</si>
  <si>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</si>
  <si>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</si>
  <si>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</si>
  <si>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</si>
  <si>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</si>
  <si>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</si>
  <si>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</si>
  <si>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</si>
  <si>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</si>
  <si>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</si>
  <si>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</si>
  <si>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</si>
  <si>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</si>
  <si>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</si>
  <si>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</si>
  <si>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</si>
  <si>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</si>
  <si>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</si>
  <si>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</si>
  <si>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</si>
  <si>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</si>
  <si>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</si>
  <si>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</si>
  <si>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</si>
  <si>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</si>
  <si>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</si>
  <si>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</si>
  <si>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</si>
  <si>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</si>
  <si>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</si>
  <si>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</si>
  <si>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</si>
  <si>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</si>
  <si>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</si>
  <si>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</si>
  <si>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</si>
  <si>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</si>
  <si>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</si>
  <si>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2021-02-24T09:36:43.219Z</t>
  </si>
  <si>
    <t>HUS</t>
  </si>
  <si>
    <t>2021-02-04 Removed use of MAXIF. Renamed Data as Kaikki. Added HUS.</t>
  </si>
  <si>
    <t>Kaikki</t>
  </si>
  <si>
    <t>HUS osuus COVID-19 tapauksista vuoden 2020 alusta lähtien.</t>
  </si>
  <si>
    <t>HUS ja kaikki COVID-19 tapaukset vuoden 2020 alusta lähtien.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</si>
</sst>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m/yyyy;@"/>
    <numFmt numFmtId="165" formatCode="d/m\ hh:mm"/>
    <numFmt numFmtId="166" formatCode="d/m/;@"/>
    <numFmt numFmtId="167" formatCode="d/m"/>
    <numFmt numFmtId="168" formatCode="d/m/yyyy\ h:mm;@"/>
    <numFmt numFmtId="169" formatCode="0.0"/>
    <numFmt numFmtId="170" formatCode="d\.m\.yyyy;@"/>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Kaikki!$M$1</c:f>
          <c:strCache>
            <c:ptCount val="1"/>
            <c:pt idx="0">
              <c:v>Päivittäisiä COVID-19 tapauksia vuoden 2020 alusta lähtien 20.2.2021 saakka. Suurin arvo 619, joka 25.11.2020.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[0]!PlotY</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1</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604</c:v>
                </c:pt>
                <c:pt idx="391">
                  <c:v>398</c:v>
                </c:pt>
                <c:pt idx="392">
                  <c:v>383</c:v>
                </c:pt>
                <c:pt idx="393">
                  <c:v>436</c:v>
                </c:pt>
                <c:pt idx="394">
                  <c:v>375</c:v>
                </c:pt>
                <c:pt idx="395">
                  <c:v>232</c:v>
                </c:pt>
                <c:pt idx="396">
                  <c:v>272</c:v>
                </c:pt>
                <c:pt idx="397">
                  <c:v>530</c:v>
                </c:pt>
                <c:pt idx="398">
                  <c:v>396</c:v>
                </c:pt>
                <c:pt idx="399">
                  <c:v>440</c:v>
                </c:pt>
                <c:pt idx="400">
                  <c:v>370</c:v>
                </c:pt>
                <c:pt idx="401">
                  <c:v>366</c:v>
                </c:pt>
                <c:pt idx="402">
                  <c:v>240</c:v>
                </c:pt>
                <c:pt idx="403">
                  <c:v>261</c:v>
                </c:pt>
                <c:pt idx="404">
                  <c:v>460</c:v>
                </c:pt>
                <c:pt idx="405">
                  <c:v>370</c:v>
                </c:pt>
                <c:pt idx="406">
                  <c:v>382</c:v>
                </c:pt>
                <c:pt idx="407">
                  <c:v>354</c:v>
                </c:pt>
                <c:pt idx="408">
                  <c:v>418</c:v>
                </c:pt>
                <c:pt idx="409">
                  <c:v>277</c:v>
                </c:pt>
                <c:pt idx="410">
                  <c:v>273</c:v>
                </c:pt>
                <c:pt idx="411">
                  <c:v>609</c:v>
                </c:pt>
                <c:pt idx="412">
                  <c:v>501</c:v>
                </c:pt>
                <c:pt idx="413">
                  <c:v>526</c:v>
                </c:pt>
                <c:pt idx="414">
                  <c:v>594</c:v>
                </c:pt>
                <c:pt idx="415">
                  <c:v>552</c:v>
                </c:pt>
                <c:pt idx="416">
                  <c:v>305</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HUS!$M$1</c:f>
          <c:strCache>
            <c:ptCount val="1"/>
            <c:pt idx="0">
              <c:v>HUS COVID-19 tapauksia vuoden 2020 alusta lähtien 20.2.2021 saakka. Suurin arvo 359, joka 15.2.2021.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HUS!PlotY</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59</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240</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293</c:v>
                </c:pt>
                <c:pt idx="398">
                  <c:v>251</c:v>
                </c:pt>
                <c:pt idx="399">
                  <c:v>262</c:v>
                </c:pt>
                <c:pt idx="400">
                  <c:v>223</c:v>
                </c:pt>
                <c:pt idx="401">
                  <c:v>215</c:v>
                </c:pt>
                <c:pt idx="402">
                  <c:v>154</c:v>
                </c:pt>
                <c:pt idx="403">
                  <c:v>171</c:v>
                </c:pt>
                <c:pt idx="404">
                  <c:v>294</c:v>
                </c:pt>
                <c:pt idx="405">
                  <c:v>238</c:v>
                </c:pt>
                <c:pt idx="406">
                  <c:v>226</c:v>
                </c:pt>
                <c:pt idx="407">
                  <c:v>233</c:v>
                </c:pt>
                <c:pt idx="408">
                  <c:v>260</c:v>
                </c:pt>
                <c:pt idx="409">
                  <c:v>190</c:v>
                </c:pt>
                <c:pt idx="410">
                  <c:v>180</c:v>
                </c:pt>
                <c:pt idx="411">
                  <c:v>359</c:v>
                </c:pt>
                <c:pt idx="412">
                  <c:v>317</c:v>
                </c:pt>
                <c:pt idx="413">
                  <c:v>309</c:v>
                </c:pt>
                <c:pt idx="414">
                  <c:v>318</c:v>
                </c:pt>
                <c:pt idx="415">
                  <c:v>289</c:v>
                </c:pt>
                <c:pt idx="416">
                  <c:v>181</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Vertailu!$B$2:$B$418</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Vertailu!$E$2:$E$418</c:f>
              <c:numCache>
                <c:formatCode>0%</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0.75</c:v>
                </c:pt>
                <c:pt idx="79">
                  <c:v>0.60919540229885061</c:v>
                </c:pt>
                <c:pt idx="80">
                  <c:v>0.77011494252873558</c:v>
                </c:pt>
                <c:pt idx="81">
                  <c:v>0.76923076923076927</c:v>
                </c:pt>
                <c:pt idx="82">
                  <c:v>0.48809523809523808</c:v>
                </c:pt>
                <c:pt idx="83">
                  <c:v>0.53535353535353536</c:v>
                </c:pt>
                <c:pt idx="84">
                  <c:v>0.50961538461538458</c:v>
                </c:pt>
                <c:pt idx="85">
                  <c:v>0.51754385964912286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0.2857142857142857</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0.6692913385826772</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0.4022346368715084</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0.61654135338345861</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0.66494845360824739</c:v>
                </c:pt>
                <c:pt idx="322">
                  <c:v>0.64</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0.54038997214484674</c:v>
                </c:pt>
                <c:pt idx="350">
                  <c:v>0.5439093484419264</c:v>
                </c:pt>
                <c:pt idx="351">
                  <c:v>0.46749226006191952</c:v>
                </c:pt>
                <c:pt idx="352">
                  <c:v>0.46055979643765904</c:v>
                </c:pt>
                <c:pt idx="353">
                  <c:v>0.65789473684210531</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0.5444444444444444</c:v>
                </c:pt>
                <c:pt idx="388">
                  <c:v>0.5535714285714286</c:v>
                </c:pt>
                <c:pt idx="389">
                  <c:v>0.62040816326530612</c:v>
                </c:pt>
                <c:pt idx="390">
                  <c:v>0.42384105960264901</c:v>
                </c:pt>
                <c:pt idx="391">
                  <c:v>0.53266331658291455</c:v>
                </c:pt>
                <c:pt idx="392">
                  <c:v>0.49086161879895562</c:v>
                </c:pt>
                <c:pt idx="393">
                  <c:v>0.52752293577981646</c:v>
                </c:pt>
                <c:pt idx="394">
                  <c:v>0.5013333333333333</c:v>
                </c:pt>
                <c:pt idx="395">
                  <c:v>0.56896551724137934</c:v>
                </c:pt>
                <c:pt idx="396">
                  <c:v>0.60661764705882348</c:v>
                </c:pt>
                <c:pt idx="397">
                  <c:v>0.55283018867924527</c:v>
                </c:pt>
                <c:pt idx="398">
                  <c:v>0.63383838383838387</c:v>
                </c:pt>
                <c:pt idx="399">
                  <c:v>0.59545454545454546</c:v>
                </c:pt>
                <c:pt idx="400">
                  <c:v>0.60270270270270265</c:v>
                </c:pt>
                <c:pt idx="401">
                  <c:v>0.58743169398907102</c:v>
                </c:pt>
                <c:pt idx="402">
                  <c:v>0.64166666666666672</c:v>
                </c:pt>
                <c:pt idx="403">
                  <c:v>0.65517241379310343</c:v>
                </c:pt>
                <c:pt idx="404">
                  <c:v>0.63913043478260867</c:v>
                </c:pt>
                <c:pt idx="405">
                  <c:v>0.64324324324324322</c:v>
                </c:pt>
                <c:pt idx="406">
                  <c:v>0.59162303664921467</c:v>
                </c:pt>
                <c:pt idx="407">
                  <c:v>0.65819209039548021</c:v>
                </c:pt>
                <c:pt idx="408">
                  <c:v>0.62200956937799046</c:v>
                </c:pt>
                <c:pt idx="409">
                  <c:v>0.6859205776173285</c:v>
                </c:pt>
                <c:pt idx="410">
                  <c:v>0.65934065934065933</c:v>
                </c:pt>
                <c:pt idx="411">
                  <c:v>0.58949096880131358</c:v>
                </c:pt>
                <c:pt idx="412">
                  <c:v>0.63273453093812371</c:v>
                </c:pt>
                <c:pt idx="413">
                  <c:v>0.5874524714828897</c:v>
                </c:pt>
                <c:pt idx="414">
                  <c:v>0.53535353535353536</c:v>
                </c:pt>
                <c:pt idx="415">
                  <c:v>0.52355072463768115</c:v>
                </c:pt>
                <c:pt idx="416">
                  <c:v>0.59344262295081962</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59</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240</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293</c:v>
                </c:pt>
                <c:pt idx="398">
                  <c:v>251</c:v>
                </c:pt>
                <c:pt idx="399">
                  <c:v>262</c:v>
                </c:pt>
                <c:pt idx="400">
                  <c:v>223</c:v>
                </c:pt>
                <c:pt idx="401">
                  <c:v>215</c:v>
                </c:pt>
                <c:pt idx="402">
                  <c:v>154</c:v>
                </c:pt>
                <c:pt idx="403">
                  <c:v>171</c:v>
                </c:pt>
                <c:pt idx="404">
                  <c:v>294</c:v>
                </c:pt>
                <c:pt idx="405">
                  <c:v>238</c:v>
                </c:pt>
                <c:pt idx="406">
                  <c:v>226</c:v>
                </c:pt>
                <c:pt idx="407">
                  <c:v>233</c:v>
                </c:pt>
                <c:pt idx="408">
                  <c:v>260</c:v>
                </c:pt>
                <c:pt idx="409">
                  <c:v>190</c:v>
                </c:pt>
                <c:pt idx="410">
                  <c:v>180</c:v>
                </c:pt>
                <c:pt idx="411">
                  <c:v>359</c:v>
                </c:pt>
                <c:pt idx="412">
                  <c:v>317</c:v>
                </c:pt>
                <c:pt idx="413">
                  <c:v>309</c:v>
                </c:pt>
                <c:pt idx="414">
                  <c:v>318</c:v>
                </c:pt>
                <c:pt idx="415">
                  <c:v>289</c:v>
                </c:pt>
                <c:pt idx="416">
                  <c:v>181</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1</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604</c:v>
                </c:pt>
                <c:pt idx="391">
                  <c:v>398</c:v>
                </c:pt>
                <c:pt idx="392">
                  <c:v>383</c:v>
                </c:pt>
                <c:pt idx="393">
                  <c:v>436</c:v>
                </c:pt>
                <c:pt idx="394">
                  <c:v>375</c:v>
                </c:pt>
                <c:pt idx="395">
                  <c:v>232</c:v>
                </c:pt>
                <c:pt idx="396">
                  <c:v>272</c:v>
                </c:pt>
                <c:pt idx="397">
                  <c:v>530</c:v>
                </c:pt>
                <c:pt idx="398">
                  <c:v>396</c:v>
                </c:pt>
                <c:pt idx="399">
                  <c:v>440</c:v>
                </c:pt>
                <c:pt idx="400">
                  <c:v>370</c:v>
                </c:pt>
                <c:pt idx="401">
                  <c:v>366</c:v>
                </c:pt>
                <c:pt idx="402">
                  <c:v>240</c:v>
                </c:pt>
                <c:pt idx="403">
                  <c:v>261</c:v>
                </c:pt>
                <c:pt idx="404">
                  <c:v>460</c:v>
                </c:pt>
                <c:pt idx="405">
                  <c:v>370</c:v>
                </c:pt>
                <c:pt idx="406">
                  <c:v>382</c:v>
                </c:pt>
                <c:pt idx="407">
                  <c:v>354</c:v>
                </c:pt>
                <c:pt idx="408">
                  <c:v>418</c:v>
                </c:pt>
                <c:pt idx="409">
                  <c:v>277</c:v>
                </c:pt>
                <c:pt idx="410">
                  <c:v>273</c:v>
                </c:pt>
                <c:pt idx="411">
                  <c:v>609</c:v>
                </c:pt>
                <c:pt idx="412">
                  <c:v>501</c:v>
                </c:pt>
                <c:pt idx="413">
                  <c:v>526</c:v>
                </c:pt>
                <c:pt idx="414">
                  <c:v>594</c:v>
                </c:pt>
                <c:pt idx="415">
                  <c:v>552</c:v>
                </c:pt>
                <c:pt idx="416">
                  <c:v>305</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Kaikki!$M$1</c:f>
          <c:strCache>
            <c:ptCount val="1"/>
            <c:pt idx="0">
              <c:v>Päivittäisiä COVID-19 tapauksia vuoden 2020 alusta lähtien 20.2.2021 saakka. Suurin arvo 619, joka 25.11.2020.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[0]!PlotY</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1</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604</c:v>
                </c:pt>
                <c:pt idx="391">
                  <c:v>398</c:v>
                </c:pt>
                <c:pt idx="392">
                  <c:v>383</c:v>
                </c:pt>
                <c:pt idx="393">
                  <c:v>436</c:v>
                </c:pt>
                <c:pt idx="394">
                  <c:v>375</c:v>
                </c:pt>
                <c:pt idx="395">
                  <c:v>232</c:v>
                </c:pt>
                <c:pt idx="396">
                  <c:v>272</c:v>
                </c:pt>
                <c:pt idx="397">
                  <c:v>530</c:v>
                </c:pt>
                <c:pt idx="398">
                  <c:v>396</c:v>
                </c:pt>
                <c:pt idx="399">
                  <c:v>440</c:v>
                </c:pt>
                <c:pt idx="400">
                  <c:v>370</c:v>
                </c:pt>
                <c:pt idx="401">
                  <c:v>366</c:v>
                </c:pt>
                <c:pt idx="402">
                  <c:v>240</c:v>
                </c:pt>
                <c:pt idx="403">
                  <c:v>261</c:v>
                </c:pt>
                <c:pt idx="404">
                  <c:v>460</c:v>
                </c:pt>
                <c:pt idx="405">
                  <c:v>370</c:v>
                </c:pt>
                <c:pt idx="406">
                  <c:v>382</c:v>
                </c:pt>
                <c:pt idx="407">
                  <c:v>354</c:v>
                </c:pt>
                <c:pt idx="408">
                  <c:v>418</c:v>
                </c:pt>
                <c:pt idx="409">
                  <c:v>277</c:v>
                </c:pt>
                <c:pt idx="410">
                  <c:v>273</c:v>
                </c:pt>
                <c:pt idx="411">
                  <c:v>609</c:v>
                </c:pt>
                <c:pt idx="412">
                  <c:v>501</c:v>
                </c:pt>
                <c:pt idx="413">
                  <c:v>526</c:v>
                </c:pt>
                <c:pt idx="414">
                  <c:v>594</c:v>
                </c:pt>
                <c:pt idx="415">
                  <c:v>552</c:v>
                </c:pt>
                <c:pt idx="416">
                  <c:v>305</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178.08333333333334</c:v>
                </c:pt>
                <c:pt idx="1">
                  <c:v>144.41666666666666</c:v>
                </c:pt>
                <c:pt idx="2">
                  <c:v>142.19672131147541</c:v>
                </c:pt>
                <c:pt idx="3">
                  <c:v>141.21666666666667</c:v>
                </c:pt>
                <c:pt idx="4">
                  <c:v>133.03333333333333</c:v>
                </c:pt>
                <c:pt idx="5">
                  <c:v>84.36666666666666</c:v>
                </c:pt>
                <c:pt idx="6">
                  <c:v>93.016666666666666</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N=55122. Uusimmat 24.2.2021 lisäykset 590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27.1</c:v>
                </c:pt>
                <c:pt idx="1">
                  <c:v>28.1</c:v>
                </c:pt>
                <c:pt idx="2">
                  <c:v>29.1</c:v>
                </c:pt>
                <c:pt idx="3">
                  <c:v>30.1</c:v>
                </c:pt>
                <c:pt idx="4">
                  <c:v>31.1</c:v>
                </c:pt>
                <c:pt idx="5">
                  <c:v>Ma 1</c:v>
                </c:pt>
                <c:pt idx="6">
                  <c:v>2.2</c:v>
                </c:pt>
                <c:pt idx="7">
                  <c:v>3.2</c:v>
                </c:pt>
                <c:pt idx="8">
                  <c:v>4.2</c:v>
                </c:pt>
                <c:pt idx="9">
                  <c:v>5.2</c:v>
                </c:pt>
                <c:pt idx="10">
                  <c:v>6.2</c:v>
                </c:pt>
                <c:pt idx="11">
                  <c:v>7.2</c:v>
                </c:pt>
                <c:pt idx="12">
                  <c:v>Ma 8</c:v>
                </c:pt>
                <c:pt idx="13">
                  <c:v>9.2</c:v>
                </c:pt>
                <c:pt idx="14">
                  <c:v>10.2</c:v>
                </c:pt>
                <c:pt idx="15">
                  <c:v>11.2</c:v>
                </c:pt>
                <c:pt idx="16">
                  <c:v>12.2</c:v>
                </c:pt>
                <c:pt idx="17">
                  <c:v>13.2</c:v>
                </c:pt>
                <c:pt idx="18">
                  <c:v>14.2</c:v>
                </c:pt>
                <c:pt idx="19">
                  <c:v>Ma 15</c:v>
                </c:pt>
                <c:pt idx="20">
                  <c:v>16.2</c:v>
                </c:pt>
                <c:pt idx="21">
                  <c:v>17.2</c:v>
                </c:pt>
                <c:pt idx="22">
                  <c:v>18.2</c:v>
                </c:pt>
                <c:pt idx="23">
                  <c:v>19.2</c:v>
                </c:pt>
                <c:pt idx="24">
                  <c:v>20.2</c:v>
                </c:pt>
                <c:pt idx="25">
                  <c:v>21.2</c:v>
                </c:pt>
                <c:pt idx="26">
                  <c:v>Ma 22</c:v>
                </c:pt>
                <c:pt idx="27">
                  <c:v>23.2</c:v>
                </c:pt>
              </c:strCache>
            </c:strRef>
          </c:cat>
          <c:val>
            <c:numRef>
              <c:f>Lisäys!$E$7:$E$34</c:f>
              <c:numCache>
                <c:formatCode>General</c:formatCode>
                <c:ptCount val="28"/>
                <c:pt idx="0">
                  <c:v>383</c:v>
                </c:pt>
                <c:pt idx="1">
                  <c:v>436</c:v>
                </c:pt>
                <c:pt idx="2">
                  <c:v>375</c:v>
                </c:pt>
                <c:pt idx="3">
                  <c:v>232</c:v>
                </c:pt>
                <c:pt idx="4">
                  <c:v>272</c:v>
                </c:pt>
                <c:pt idx="5">
                  <c:v>530</c:v>
                </c:pt>
                <c:pt idx="6">
                  <c:v>396</c:v>
                </c:pt>
                <c:pt idx="7">
                  <c:v>440</c:v>
                </c:pt>
                <c:pt idx="8">
                  <c:v>370</c:v>
                </c:pt>
                <c:pt idx="9">
                  <c:v>366</c:v>
                </c:pt>
                <c:pt idx="10">
                  <c:v>240</c:v>
                </c:pt>
                <c:pt idx="11">
                  <c:v>261</c:v>
                </c:pt>
                <c:pt idx="12">
                  <c:v>460</c:v>
                </c:pt>
                <c:pt idx="13">
                  <c:v>370</c:v>
                </c:pt>
                <c:pt idx="14">
                  <c:v>382</c:v>
                </c:pt>
                <c:pt idx="15">
                  <c:v>354</c:v>
                </c:pt>
                <c:pt idx="16">
                  <c:v>418</c:v>
                </c:pt>
                <c:pt idx="17">
                  <c:v>277</c:v>
                </c:pt>
                <c:pt idx="18">
                  <c:v>273</c:v>
                </c:pt>
                <c:pt idx="19">
                  <c:v>609</c:v>
                </c:pt>
                <c:pt idx="20">
                  <c:v>501</c:v>
                </c:pt>
                <c:pt idx="21">
                  <c:v>526</c:v>
                </c:pt>
                <c:pt idx="22">
                  <c:v>594</c:v>
                </c:pt>
                <c:pt idx="23">
                  <c:v>552</c:v>
                </c:pt>
                <c:pt idx="24">
                  <c:v>305</c:v>
                </c:pt>
                <c:pt idx="25">
                  <c:v>339</c:v>
                </c:pt>
                <c:pt idx="26">
                  <c:v>509</c:v>
                </c:pt>
                <c:pt idx="27">
                  <c:v>265</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27.1</c:v>
                </c:pt>
                <c:pt idx="1">
                  <c:v>28.1</c:v>
                </c:pt>
                <c:pt idx="2">
                  <c:v>29.1</c:v>
                </c:pt>
                <c:pt idx="3">
                  <c:v>30.1</c:v>
                </c:pt>
                <c:pt idx="4">
                  <c:v>31.1</c:v>
                </c:pt>
                <c:pt idx="5">
                  <c:v>Ma 1</c:v>
                </c:pt>
                <c:pt idx="6">
                  <c:v>2.2</c:v>
                </c:pt>
                <c:pt idx="7">
                  <c:v>3.2</c:v>
                </c:pt>
                <c:pt idx="8">
                  <c:v>4.2</c:v>
                </c:pt>
                <c:pt idx="9">
                  <c:v>5.2</c:v>
                </c:pt>
                <c:pt idx="10">
                  <c:v>6.2</c:v>
                </c:pt>
                <c:pt idx="11">
                  <c:v>7.2</c:v>
                </c:pt>
                <c:pt idx="12">
                  <c:v>Ma 8</c:v>
                </c:pt>
                <c:pt idx="13">
                  <c:v>9.2</c:v>
                </c:pt>
                <c:pt idx="14">
                  <c:v>10.2</c:v>
                </c:pt>
                <c:pt idx="15">
                  <c:v>11.2</c:v>
                </c:pt>
                <c:pt idx="16">
                  <c:v>12.2</c:v>
                </c:pt>
                <c:pt idx="17">
                  <c:v>13.2</c:v>
                </c:pt>
                <c:pt idx="18">
                  <c:v>14.2</c:v>
                </c:pt>
                <c:pt idx="19">
                  <c:v>Ma 15</c:v>
                </c:pt>
                <c:pt idx="20">
                  <c:v>16.2</c:v>
                </c:pt>
                <c:pt idx="21">
                  <c:v>17.2</c:v>
                </c:pt>
                <c:pt idx="22">
                  <c:v>18.2</c:v>
                </c:pt>
                <c:pt idx="23">
                  <c:v>19.2</c:v>
                </c:pt>
                <c:pt idx="24">
                  <c:v>20.2</c:v>
                </c:pt>
                <c:pt idx="25">
                  <c:v>21.2</c:v>
                </c:pt>
                <c:pt idx="26">
                  <c:v>Ma 22</c:v>
                </c:pt>
                <c:pt idx="27">
                  <c:v>23.2</c:v>
                </c:pt>
              </c:strCache>
            </c:strRef>
          </c:cat>
          <c:val>
            <c:numRef>
              <c:f>Lisäys!$F$7:$F$34</c:f>
              <c:numCache>
                <c:formatCode>General</c:formatCode>
                <c:ptCount val="28"/>
                <c:pt idx="0">
                  <c:v>0</c:v>
                </c:pt>
                <c:pt idx="1">
                  <c:v>0</c:v>
                </c:pt>
                <c:pt idx="2">
                  <c:v>0</c:v>
                </c:pt>
                <c:pt idx="3">
                  <c:v>0</c:v>
                </c:pt>
                <c:pt idx="4">
                  <c:v>0</c:v>
                </c:pt>
                <c:pt idx="5">
                  <c:v>0</c:v>
                </c:pt>
                <c:pt idx="6">
                  <c:v>1</c:v>
                </c:pt>
                <c:pt idx="7">
                  <c:v>0</c:v>
                </c:pt>
                <c:pt idx="8">
                  <c:v>0</c:v>
                </c:pt>
                <c:pt idx="9">
                  <c:v>0</c:v>
                </c:pt>
                <c:pt idx="10">
                  <c:v>0</c:v>
                </c:pt>
                <c:pt idx="11">
                  <c:v>0</c:v>
                </c:pt>
                <c:pt idx="12">
                  <c:v>0</c:v>
                </c:pt>
                <c:pt idx="13">
                  <c:v>0</c:v>
                </c:pt>
                <c:pt idx="14">
                  <c:v>0</c:v>
                </c:pt>
                <c:pt idx="15">
                  <c:v>0</c:v>
                </c:pt>
                <c:pt idx="16">
                  <c:v>4</c:v>
                </c:pt>
                <c:pt idx="17">
                  <c:v>3</c:v>
                </c:pt>
                <c:pt idx="18">
                  <c:v>4</c:v>
                </c:pt>
                <c:pt idx="19">
                  <c:v>0</c:v>
                </c:pt>
                <c:pt idx="20">
                  <c:v>2</c:v>
                </c:pt>
                <c:pt idx="21">
                  <c:v>0</c:v>
                </c:pt>
                <c:pt idx="22">
                  <c:v>2</c:v>
                </c:pt>
                <c:pt idx="23">
                  <c:v>2</c:v>
                </c:pt>
                <c:pt idx="24">
                  <c:v>4</c:v>
                </c:pt>
                <c:pt idx="25">
                  <c:v>23</c:v>
                </c:pt>
                <c:pt idx="26">
                  <c:v>281</c:v>
                </c:pt>
                <c:pt idx="27">
                  <c:v>265</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20.2.2021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44247.625</c:v>
                </c:pt>
                <c:pt idx="1">
                  <c:v>44240.625</c:v>
                </c:pt>
                <c:pt idx="2">
                  <c:v>44233.625</c:v>
                </c:pt>
                <c:pt idx="3">
                  <c:v>44226.625</c:v>
                </c:pt>
                <c:pt idx="4">
                  <c:v>44219.625</c:v>
                </c:pt>
                <c:pt idx="5">
                  <c:v>44212.625</c:v>
                </c:pt>
                <c:pt idx="6">
                  <c:v>44205.625</c:v>
                </c:pt>
                <c:pt idx="7">
                  <c:v>44198.625</c:v>
                </c:pt>
                <c:pt idx="8">
                  <c:v>44191.625</c:v>
                </c:pt>
                <c:pt idx="9">
                  <c:v>44184.625</c:v>
                </c:pt>
              </c:numCache>
            </c:numRef>
          </c:xVal>
          <c:yVal>
            <c:numRef>
              <c:f>Lisäys!$E$50:$E$59</c:f>
              <c:numCache>
                <c:formatCode>General</c:formatCode>
                <c:ptCount val="10"/>
                <c:pt idx="0">
                  <c:v>305</c:v>
                </c:pt>
                <c:pt idx="1">
                  <c:v>277</c:v>
                </c:pt>
                <c:pt idx="2">
                  <c:v>240</c:v>
                </c:pt>
                <c:pt idx="3">
                  <c:v>232</c:v>
                </c:pt>
                <c:pt idx="4">
                  <c:v>168</c:v>
                </c:pt>
                <c:pt idx="5">
                  <c:v>171</c:v>
                </c:pt>
                <c:pt idx="6">
                  <c:v>194</c:v>
                </c:pt>
                <c:pt idx="7">
                  <c:v>206</c:v>
                </c:pt>
                <c:pt idx="8">
                  <c:v>183</c:v>
                </c:pt>
                <c:pt idx="9">
                  <c:v>190</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44246.625</c:v>
                </c:pt>
                <c:pt idx="1">
                  <c:v>44239.625</c:v>
                </c:pt>
                <c:pt idx="2">
                  <c:v>44232.625</c:v>
                </c:pt>
                <c:pt idx="3">
                  <c:v>44225.625</c:v>
                </c:pt>
                <c:pt idx="4">
                  <c:v>44218.625</c:v>
                </c:pt>
                <c:pt idx="5">
                  <c:v>44211.625</c:v>
                </c:pt>
                <c:pt idx="6">
                  <c:v>44204.625</c:v>
                </c:pt>
                <c:pt idx="7">
                  <c:v>44197.625</c:v>
                </c:pt>
                <c:pt idx="8">
                  <c:v>44190.625</c:v>
                </c:pt>
                <c:pt idx="9">
                  <c:v>44183.625</c:v>
                </c:pt>
              </c:numCache>
            </c:numRef>
          </c:xVal>
          <c:yVal>
            <c:numRef>
              <c:f>Lisäys!$I$50:$I$59</c:f>
              <c:numCache>
                <c:formatCode>General</c:formatCode>
                <c:ptCount val="10"/>
                <c:pt idx="0">
                  <c:v>552</c:v>
                </c:pt>
                <c:pt idx="1">
                  <c:v>418</c:v>
                </c:pt>
                <c:pt idx="2">
                  <c:v>366</c:v>
                </c:pt>
                <c:pt idx="3">
                  <c:v>375</c:v>
                </c:pt>
                <c:pt idx="4">
                  <c:v>360</c:v>
                </c:pt>
                <c:pt idx="5">
                  <c:v>266</c:v>
                </c:pt>
                <c:pt idx="6">
                  <c:v>252</c:v>
                </c:pt>
                <c:pt idx="7">
                  <c:v>129</c:v>
                </c:pt>
                <c:pt idx="8">
                  <c:v>157</c:v>
                </c:pt>
                <c:pt idx="9">
                  <c:v>393</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44245.625</c:v>
                </c:pt>
                <c:pt idx="1">
                  <c:v>44238.625</c:v>
                </c:pt>
                <c:pt idx="2">
                  <c:v>44231.625</c:v>
                </c:pt>
                <c:pt idx="3">
                  <c:v>44224.625</c:v>
                </c:pt>
                <c:pt idx="4">
                  <c:v>44217.625</c:v>
                </c:pt>
                <c:pt idx="5">
                  <c:v>44210.625</c:v>
                </c:pt>
                <c:pt idx="6">
                  <c:v>44203.625</c:v>
                </c:pt>
                <c:pt idx="7">
                  <c:v>44196.625</c:v>
                </c:pt>
                <c:pt idx="8">
                  <c:v>44189.625</c:v>
                </c:pt>
                <c:pt idx="9">
                  <c:v>44182.625</c:v>
                </c:pt>
              </c:numCache>
            </c:numRef>
          </c:xVal>
          <c:yVal>
            <c:numRef>
              <c:f>Lisäys!$M$50:$M$59</c:f>
              <c:numCache>
                <c:formatCode>General</c:formatCode>
                <c:ptCount val="10"/>
                <c:pt idx="0">
                  <c:v>594</c:v>
                </c:pt>
                <c:pt idx="1">
                  <c:v>354</c:v>
                </c:pt>
                <c:pt idx="2">
                  <c:v>370</c:v>
                </c:pt>
                <c:pt idx="3">
                  <c:v>436</c:v>
                </c:pt>
                <c:pt idx="4">
                  <c:v>376</c:v>
                </c:pt>
                <c:pt idx="5">
                  <c:v>249</c:v>
                </c:pt>
                <c:pt idx="6">
                  <c:v>332</c:v>
                </c:pt>
                <c:pt idx="7">
                  <c:v>253</c:v>
                </c:pt>
                <c:pt idx="8">
                  <c:v>138</c:v>
                </c:pt>
                <c:pt idx="9">
                  <c:v>323</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44244.625</c:v>
                </c:pt>
                <c:pt idx="1">
                  <c:v>44237.625</c:v>
                </c:pt>
                <c:pt idx="2">
                  <c:v>44230.625</c:v>
                </c:pt>
                <c:pt idx="3">
                  <c:v>44223.625</c:v>
                </c:pt>
                <c:pt idx="4">
                  <c:v>44216.625</c:v>
                </c:pt>
                <c:pt idx="5">
                  <c:v>44209.625</c:v>
                </c:pt>
                <c:pt idx="6">
                  <c:v>44202.625</c:v>
                </c:pt>
                <c:pt idx="7">
                  <c:v>44195.625</c:v>
                </c:pt>
                <c:pt idx="8">
                  <c:v>44188.625</c:v>
                </c:pt>
                <c:pt idx="9">
                  <c:v>44181.625</c:v>
                </c:pt>
              </c:numCache>
            </c:numRef>
          </c:xVal>
          <c:yVal>
            <c:numRef>
              <c:f>Lisäys!$Q$50:$Q$59</c:f>
              <c:numCache>
                <c:formatCode>General</c:formatCode>
                <c:ptCount val="10"/>
                <c:pt idx="0">
                  <c:v>526</c:v>
                </c:pt>
                <c:pt idx="1">
                  <c:v>382</c:v>
                </c:pt>
                <c:pt idx="2">
                  <c:v>440</c:v>
                </c:pt>
                <c:pt idx="3">
                  <c:v>383</c:v>
                </c:pt>
                <c:pt idx="4">
                  <c:v>406</c:v>
                </c:pt>
                <c:pt idx="5">
                  <c:v>259</c:v>
                </c:pt>
                <c:pt idx="6">
                  <c:v>209</c:v>
                </c:pt>
                <c:pt idx="7">
                  <c:v>256</c:v>
                </c:pt>
                <c:pt idx="8">
                  <c:v>277</c:v>
                </c:pt>
                <c:pt idx="9">
                  <c:v>353</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44243.625</c:v>
                </c:pt>
                <c:pt idx="1">
                  <c:v>44236.625</c:v>
                </c:pt>
                <c:pt idx="2">
                  <c:v>44229.625</c:v>
                </c:pt>
                <c:pt idx="3">
                  <c:v>44222.625</c:v>
                </c:pt>
                <c:pt idx="4">
                  <c:v>44215.625</c:v>
                </c:pt>
                <c:pt idx="5">
                  <c:v>44208.625</c:v>
                </c:pt>
                <c:pt idx="6">
                  <c:v>44201.625</c:v>
                </c:pt>
                <c:pt idx="7">
                  <c:v>44194.625</c:v>
                </c:pt>
                <c:pt idx="8">
                  <c:v>44187.625</c:v>
                </c:pt>
                <c:pt idx="9">
                  <c:v>44180.625</c:v>
                </c:pt>
              </c:numCache>
            </c:numRef>
          </c:xVal>
          <c:yVal>
            <c:numRef>
              <c:f>Lisäys!$U$50:$U$59</c:f>
              <c:numCache>
                <c:formatCode>General</c:formatCode>
                <c:ptCount val="10"/>
                <c:pt idx="0">
                  <c:v>501</c:v>
                </c:pt>
                <c:pt idx="1">
                  <c:v>370</c:v>
                </c:pt>
                <c:pt idx="2">
                  <c:v>396</c:v>
                </c:pt>
                <c:pt idx="3">
                  <c:v>398</c:v>
                </c:pt>
                <c:pt idx="4">
                  <c:v>342</c:v>
                </c:pt>
                <c:pt idx="5">
                  <c:v>229</c:v>
                </c:pt>
                <c:pt idx="6">
                  <c:v>263</c:v>
                </c:pt>
                <c:pt idx="7">
                  <c:v>307</c:v>
                </c:pt>
                <c:pt idx="8">
                  <c:v>332</c:v>
                </c:pt>
                <c:pt idx="9">
                  <c:v>359</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44242.625</c:v>
                </c:pt>
                <c:pt idx="1">
                  <c:v>44235.625</c:v>
                </c:pt>
                <c:pt idx="2">
                  <c:v>44228.625</c:v>
                </c:pt>
                <c:pt idx="3">
                  <c:v>44221.625</c:v>
                </c:pt>
                <c:pt idx="4">
                  <c:v>44214.625</c:v>
                </c:pt>
                <c:pt idx="5">
                  <c:v>44207.625</c:v>
                </c:pt>
                <c:pt idx="6">
                  <c:v>44200.625</c:v>
                </c:pt>
                <c:pt idx="7">
                  <c:v>44193.625</c:v>
                </c:pt>
                <c:pt idx="8">
                  <c:v>44186.625</c:v>
                </c:pt>
                <c:pt idx="9">
                  <c:v>44179.625</c:v>
                </c:pt>
              </c:numCache>
            </c:numRef>
          </c:xVal>
          <c:yVal>
            <c:numRef>
              <c:f>Lisäys!$Y$50:$Y$59</c:f>
              <c:numCache>
                <c:formatCode>General</c:formatCode>
                <c:ptCount val="10"/>
                <c:pt idx="0">
                  <c:v>609</c:v>
                </c:pt>
                <c:pt idx="1">
                  <c:v>460</c:v>
                </c:pt>
                <c:pt idx="2">
                  <c:v>530</c:v>
                </c:pt>
                <c:pt idx="3">
                  <c:v>604</c:v>
                </c:pt>
                <c:pt idx="4">
                  <c:v>448</c:v>
                </c:pt>
                <c:pt idx="5">
                  <c:v>386</c:v>
                </c:pt>
                <c:pt idx="6">
                  <c:v>399</c:v>
                </c:pt>
                <c:pt idx="7">
                  <c:v>437</c:v>
                </c:pt>
                <c:pt idx="8">
                  <c:v>375</c:v>
                </c:pt>
                <c:pt idx="9">
                  <c:v>463</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44241.625</c:v>
                </c:pt>
                <c:pt idx="1">
                  <c:v>44234.625</c:v>
                </c:pt>
                <c:pt idx="2">
                  <c:v>44227.625</c:v>
                </c:pt>
                <c:pt idx="3">
                  <c:v>44220.625</c:v>
                </c:pt>
                <c:pt idx="4">
                  <c:v>44213.625</c:v>
                </c:pt>
                <c:pt idx="5">
                  <c:v>44206.625</c:v>
                </c:pt>
                <c:pt idx="6">
                  <c:v>44199.625</c:v>
                </c:pt>
                <c:pt idx="7">
                  <c:v>44192.625</c:v>
                </c:pt>
                <c:pt idx="8">
                  <c:v>44185.625</c:v>
                </c:pt>
                <c:pt idx="9">
                  <c:v>44178.625</c:v>
                </c:pt>
              </c:numCache>
            </c:numRef>
          </c:xVal>
          <c:yVal>
            <c:numRef>
              <c:f>Lisäys!$AC$50:$AC$59</c:f>
              <c:numCache>
                <c:formatCode>General</c:formatCode>
                <c:ptCount val="10"/>
                <c:pt idx="0">
                  <c:v>273</c:v>
                </c:pt>
                <c:pt idx="1">
                  <c:v>261</c:v>
                </c:pt>
                <c:pt idx="2">
                  <c:v>272</c:v>
                </c:pt>
                <c:pt idx="3">
                  <c:v>245</c:v>
                </c:pt>
                <c:pt idx="4">
                  <c:v>196</c:v>
                </c:pt>
                <c:pt idx="5">
                  <c:v>186</c:v>
                </c:pt>
                <c:pt idx="6">
                  <c:v>169</c:v>
                </c:pt>
                <c:pt idx="7">
                  <c:v>191</c:v>
                </c:pt>
                <c:pt idx="8">
                  <c:v>244</c:v>
                </c:pt>
                <c:pt idx="9">
                  <c:v>276</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609</c:v>
                </c:pt>
                <c:pt idx="1">
                  <c:v>501</c:v>
                </c:pt>
                <c:pt idx="2">
                  <c:v>619</c:v>
                </c:pt>
                <c:pt idx="3">
                  <c:v>594</c:v>
                </c:pt>
                <c:pt idx="4">
                  <c:v>552</c:v>
                </c:pt>
                <c:pt idx="5">
                  <c:v>305</c:v>
                </c:pt>
                <c:pt idx="6">
                  <c:v>339</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 ja minä päivänä.</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583DE6C1-3C6E-4A85-96C4-090A0C8D68DC}" type="CELLRANGE">
                      <a:rPr lang="en-US"/>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62C-45AB-9ACB-4B7B0DD19F34}"/>
                </c:ext>
              </c:extLst>
            </c:dLbl>
            <c:dLbl>
              <c:idx val="1"/>
              <c:tx>
                <c:rich>
                  <a:bodyPr/>
                  <a:lstStyle/>
                  <a:p>
                    <a:fld id="{2E391DBD-7C7E-448A-8553-34FA938C0D0C}"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38987514-0A22-4956-88AD-C46AE90B2A30}"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7DEA7C6E-77D2-4359-998E-28021EFF09B2}"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E7722F54-C011-425C-B586-C5AD2F61CDB8}"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9C4AA10A-DF14-4E5E-AE20-2BE368A64FA8}"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535618BF-83C3-42D6-A46B-AE4E9C87447B}"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609</c:v>
                </c:pt>
                <c:pt idx="1">
                  <c:v>501</c:v>
                </c:pt>
                <c:pt idx="2">
                  <c:v>619</c:v>
                </c:pt>
                <c:pt idx="3">
                  <c:v>594</c:v>
                </c:pt>
                <c:pt idx="4">
                  <c:v>552</c:v>
                </c:pt>
                <c:pt idx="5">
                  <c:v>305</c:v>
                </c:pt>
                <c:pt idx="6">
                  <c:v>339</c:v>
                </c:pt>
              </c:numCache>
            </c:numRef>
          </c:val>
          <c:extLst>
            <c:ext xmlns:c15="http://schemas.microsoft.com/office/drawing/2012/chart" uri="{02D57815-91ED-43cb-92C2-25804820EDAC}">
              <c15:datalabelsRange>
                <c15:f>Kuvaajat!$P$25:$P$31</c15:f>
                <c15:dlblRangeCache>
                  <c:ptCount val="7"/>
                  <c:pt idx="0">
                    <c:v>15.2.2021</c:v>
                  </c:pt>
                  <c:pt idx="1">
                    <c:v>16.2.2021</c:v>
                  </c:pt>
                  <c:pt idx="2">
                    <c:v>25.11.2020</c:v>
                  </c:pt>
                  <c:pt idx="3">
                    <c:v>18.2.2021</c:v>
                  </c:pt>
                  <c:pt idx="4">
                    <c:v>19.2.2021</c:v>
                  </c:pt>
                  <c:pt idx="5">
                    <c:v>20.2.2021</c:v>
                  </c:pt>
                  <c:pt idx="6">
                    <c:v>21.2.2021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594360</xdr:colOff>
      <xdr:row>428</xdr:row>
      <xdr:rowOff>91440</xdr:rowOff>
    </xdr:from>
    <xdr:to>
      <xdr:col>10</xdr:col>
      <xdr:colOff>206286</xdr:colOff>
      <xdr:row>446</xdr:row>
      <xdr:rowOff>39733</xdr:rowOff>
    </xdr:to>
    <xdr:graphicFrame macro="">
      <xdr:nvGraphicFramePr>
        <xdr:cNvPr id="3" name="Chart 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594360</xdr:colOff>
      <xdr:row>428</xdr:row>
      <xdr:rowOff>91440</xdr:rowOff>
    </xdr:from>
    <xdr:to>
      <xdr:col>10</xdr:col>
      <xdr:colOff>206286</xdr:colOff>
      <xdr:row>446</xdr:row>
      <xdr:rowOff>39733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180975</xdr:rowOff>
    </xdr:from>
    <xdr:to>
      <xdr:col>15</xdr:col>
      <xdr:colOff>322491</xdr:colOff>
      <xdr:row>21</xdr:row>
      <xdr:rowOff>129268</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409574</xdr:colOff>
      <xdr:row>44</xdr:row>
      <xdr:rowOff>9524</xdr:rowOff>
    </xdr:from>
    <xdr:to>
      <xdr:col>9</xdr:col>
      <xdr:colOff>304799</xdr:colOff>
      <xdr:row>55</xdr:row>
      <xdr:rowOff>171449</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137160</xdr:colOff>
      <xdr:row>44</xdr:row>
      <xdr:rowOff>15240</xdr:rowOff>
    </xdr:from>
    <xdr:to>
      <xdr:col>18</xdr:col>
      <xdr:colOff>438150</xdr:colOff>
      <xdr:row>55</xdr:row>
      <xdr:rowOff>180975</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9" sqref="A19"/>
    </sheetView>
  </sheetViews>
  <sheetFormatPr defaultRowHeight="15"/>
  <sheetData>
    <row r="2" spans="2:12" ht="14.65" customHeight="1">
      <c r="B2" s="39" t="s">
        <v>10</v>
      </c>
      <c r="C2" s="40"/>
      <c r="D2" s="40"/>
      <c r="E2" s="40"/>
      <c r="F2" s="40"/>
      <c r="G2" s="40"/>
      <c r="H2" s="40"/>
      <c r="I2" s="41"/>
      <c r="J2" s="41"/>
      <c r="K2" s="41"/>
      <c r="L2" s="41"/>
    </row>
    <row r="3" spans="2:12">
      <c r="B3" s="40"/>
      <c r="C3" s="40"/>
      <c r="D3" s="40"/>
      <c r="E3" s="40"/>
      <c r="F3" s="40"/>
      <c r="G3" s="40"/>
      <c r="H3" s="40"/>
      <c r="I3" s="41"/>
      <c r="J3" s="41"/>
      <c r="K3" s="41"/>
      <c r="L3" s="41"/>
    </row>
    <row r="4" spans="2:12">
      <c r="B4" s="40"/>
      <c r="C4" s="40"/>
      <c r="D4" s="40"/>
      <c r="E4" s="40"/>
      <c r="F4" s="40"/>
      <c r="G4" s="40"/>
      <c r="H4" s="40"/>
      <c r="I4" s="41"/>
      <c r="J4" s="41"/>
      <c r="K4" s="41"/>
      <c r="L4" s="41"/>
    </row>
    <row r="5" spans="2:12">
      <c r="B5" s="40"/>
      <c r="C5" s="40"/>
      <c r="D5" s="40"/>
      <c r="E5" s="40"/>
      <c r="F5" s="40"/>
      <c r="G5" s="40"/>
      <c r="H5" s="40"/>
      <c r="I5" s="41"/>
      <c r="J5" s="41"/>
      <c r="K5" s="41"/>
      <c r="L5" s="41"/>
    </row>
    <row r="6" spans="2:12">
      <c r="B6" s="40"/>
      <c r="C6" s="40"/>
      <c r="D6" s="40"/>
      <c r="E6" s="40"/>
      <c r="F6" s="40"/>
      <c r="G6" s="40"/>
      <c r="H6" s="40"/>
      <c r="I6" s="41"/>
      <c r="J6" s="41"/>
      <c r="K6" s="41"/>
      <c r="L6" s="41"/>
    </row>
    <row r="7" spans="2:12">
      <c r="B7" s="40"/>
      <c r="C7" s="40"/>
      <c r="D7" s="40"/>
      <c r="E7" s="40"/>
      <c r="F7" s="40"/>
      <c r="G7" s="40"/>
      <c r="H7" s="40"/>
      <c r="I7" s="41"/>
      <c r="J7" s="41"/>
      <c r="K7" s="41"/>
      <c r="L7" s="41"/>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8" spans="2:2">
      <c r="B18" t="s">
        <v>459</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805"/>
  <sheetViews>
    <sheetView workbookViewId="0">
      <pane ySplit="1" topLeftCell="A422" activePane="bottomLeft" state="frozen"/>
      <selection pane="bottomLeft" activeCell="B422" sqref="B422"/>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9" max="9" width="11.140625" customWidth="1"/>
    <col min="10" max="10" width="12.140625" customWidth="1"/>
    <col min="11" max="11" width="14" bestFit="1" customWidth="1"/>
    <col min="13" max="13" width="14.28515625" bestFit="1" customWidth="1"/>
  </cols>
  <sheetData>
    <row r="1" spans="1:13" s="7" customFormat="1" ht="39.950000000000003" customHeight="1">
      <c r="A1" s="31" t="s">
        <v>291</v>
      </c>
      <c r="B1" s="1" t="s">
        <v>1</v>
      </c>
      <c r="C1" s="1" t="s">
        <v>9</v>
      </c>
      <c r="D1" s="1" t="s">
        <v>292</v>
      </c>
      <c r="E1" s="1" t="s">
        <v>300</v>
      </c>
      <c r="F1" s="6" t="s">
        <v>7</v>
      </c>
      <c r="G1" s="7">
        <f>SUM(A:A)</f>
        <v>55122</v>
      </c>
      <c r="H1" s="8">
        <v>44251.493657407409</v>
      </c>
      <c r="I1" s="7">
        <f>MAX(DataN)</f>
        <v>619</v>
      </c>
      <c r="J1" s="15">
        <f>VLOOKUP(I1,A:F,6,FALSE)</f>
        <v>44160.625</v>
      </c>
      <c r="K1" s="7">
        <f>COUNT(DataN)-5</f>
        <v>416</v>
      </c>
      <c r="M1" s="7" t="str">
        <f>"Päivittäisiä COVID-19 tapauksia vuoden 2020 alusta lähtien "&amp;TEXT(MAX(Kaikki!F:F)-4,"p.k.vvvv")&amp;" saakka. Suurin arvo "&amp;Kaikki!I1&amp;", joka "&amp;TEXT(Kaikki!J1,"p.k.vvvv")&amp;". Uusimpien 4 päivien arvot tulevat viiveellä, joten ne jätetty pois kuvaajasta."</f>
        <v>Päivittäisiä COVID-19 tapauksia vuoden 2020 alusta lähtien 20.2.2021 saakka. Suurin arvo 619, joka 25.11.2020. Uusimpien 4 päivien arvot tulevat viiveellä, joten ne jätetty pois kuvaajasta.</v>
      </c>
    </row>
    <row r="2" spans="1:13">
      <c r="A2" s="3">
        <v>0</v>
      </c>
      <c r="B2" t="s">
        <v>235</v>
      </c>
      <c r="C2" t="s">
        <v>8</v>
      </c>
      <c r="E2" s="3">
        <f>WEEKDAY(F2,2)</f>
        <v>3</v>
      </c>
      <c r="F2" s="5">
        <v>43831.625</v>
      </c>
      <c r="G2" s="19" t="str">
        <f>IF(WEEKDAY(F2,2)=1,"W"&amp;WEEKNUM(F2,14),"")</f>
        <v/>
      </c>
      <c r="J2" s="28"/>
    </row>
    <row r="3" spans="1:13">
      <c r="A3" s="3">
        <v>0</v>
      </c>
      <c r="B3" t="s">
        <v>236</v>
      </c>
      <c r="C3" t="s">
        <v>8</v>
      </c>
      <c r="E3" s="3">
        <f t="shared" ref="E3:E66" si="0">WEEKDAY(F3,2)</f>
        <v>4</v>
      </c>
      <c r="F3" s="5">
        <v>43832.625</v>
      </c>
      <c r="G3" s="19" t="str">
        <f t="shared" ref="G3:G66" si="1">IF(WEEKDAY(F3,2)=1,"W"&amp;WEEKNUM(F3,14),"")</f>
        <v/>
      </c>
      <c r="J3" s="28"/>
    </row>
    <row r="4" spans="1:13">
      <c r="A4" s="3">
        <v>0</v>
      </c>
      <c r="B4" t="s">
        <v>237</v>
      </c>
      <c r="C4" t="s">
        <v>8</v>
      </c>
      <c r="E4" s="3">
        <f t="shared" si="0"/>
        <v>5</v>
      </c>
      <c r="F4" s="5">
        <v>43833.625</v>
      </c>
      <c r="G4" s="19" t="str">
        <f t="shared" si="1"/>
        <v/>
      </c>
      <c r="J4" s="28"/>
    </row>
    <row r="5" spans="1:13">
      <c r="A5" s="3">
        <v>0</v>
      </c>
      <c r="B5" t="s">
        <v>238</v>
      </c>
      <c r="C5" t="s">
        <v>8</v>
      </c>
      <c r="E5" s="3">
        <f t="shared" si="0"/>
        <v>6</v>
      </c>
      <c r="F5" s="5">
        <v>43834.625</v>
      </c>
      <c r="G5" s="19" t="str">
        <f t="shared" si="1"/>
        <v/>
      </c>
      <c r="J5" s="28"/>
    </row>
    <row r="6" spans="1:13">
      <c r="A6" s="3">
        <v>0</v>
      </c>
      <c r="B6" t="s">
        <v>239</v>
      </c>
      <c r="C6" t="s">
        <v>8</v>
      </c>
      <c r="E6" s="3">
        <f t="shared" si="0"/>
        <v>7</v>
      </c>
      <c r="F6" s="5">
        <v>43835.625</v>
      </c>
      <c r="G6" s="19" t="str">
        <f t="shared" si="1"/>
        <v/>
      </c>
      <c r="J6" s="28"/>
    </row>
    <row r="7" spans="1:13">
      <c r="A7" s="3">
        <v>0</v>
      </c>
      <c r="B7" t="s">
        <v>240</v>
      </c>
      <c r="C7" t="s">
        <v>8</v>
      </c>
      <c r="E7" s="3">
        <f t="shared" si="0"/>
        <v>1</v>
      </c>
      <c r="F7" s="5">
        <v>43836.625</v>
      </c>
      <c r="G7" s="19" t="str">
        <f t="shared" si="1"/>
        <v>W2</v>
      </c>
      <c r="H7">
        <f>SUM(A7:A13)</f>
        <v>0</v>
      </c>
      <c r="I7" s="28"/>
      <c r="J7" s="28"/>
    </row>
    <row r="8" spans="1:13">
      <c r="A8" s="3">
        <v>0</v>
      </c>
      <c r="B8" t="s">
        <v>241</v>
      </c>
      <c r="C8" t="s">
        <v>8</v>
      </c>
      <c r="E8" s="3">
        <f t="shared" si="0"/>
        <v>2</v>
      </c>
      <c r="F8" s="5">
        <v>43837.625</v>
      </c>
      <c r="G8" s="19" t="str">
        <f t="shared" si="1"/>
        <v/>
      </c>
      <c r="J8" s="28"/>
    </row>
    <row r="9" spans="1:13">
      <c r="A9" s="3">
        <v>0</v>
      </c>
      <c r="B9" t="s">
        <v>242</v>
      </c>
      <c r="C9" t="s">
        <v>8</v>
      </c>
      <c r="E9" s="3">
        <f t="shared" si="0"/>
        <v>3</v>
      </c>
      <c r="F9" s="5">
        <v>43838.625</v>
      </c>
      <c r="G9" s="19" t="str">
        <f t="shared" si="1"/>
        <v/>
      </c>
      <c r="J9" s="28" t="e">
        <f t="shared" ref="J9:J72" si="2">A9/A2-1</f>
        <v>#DIV/0!</v>
      </c>
    </row>
    <row r="10" spans="1:13">
      <c r="A10" s="3">
        <v>0</v>
      </c>
      <c r="B10" t="s">
        <v>243</v>
      </c>
      <c r="C10" t="s">
        <v>8</v>
      </c>
      <c r="E10" s="3">
        <f t="shared" si="0"/>
        <v>4</v>
      </c>
      <c r="F10" s="5">
        <v>43839.625</v>
      </c>
      <c r="G10" s="19" t="str">
        <f t="shared" si="1"/>
        <v/>
      </c>
      <c r="J10" s="28" t="e">
        <f t="shared" si="2"/>
        <v>#DIV/0!</v>
      </c>
    </row>
    <row r="11" spans="1:13">
      <c r="A11" s="3">
        <v>0</v>
      </c>
      <c r="B11" t="s">
        <v>244</v>
      </c>
      <c r="C11" t="s">
        <v>8</v>
      </c>
      <c r="E11" s="3">
        <f t="shared" si="0"/>
        <v>5</v>
      </c>
      <c r="F11" s="5">
        <v>43840.625</v>
      </c>
      <c r="G11" s="19" t="str">
        <f t="shared" si="1"/>
        <v/>
      </c>
      <c r="J11" s="28" t="e">
        <f t="shared" si="2"/>
        <v>#DIV/0!</v>
      </c>
    </row>
    <row r="12" spans="1:13">
      <c r="A12" s="3">
        <v>0</v>
      </c>
      <c r="B12" t="s">
        <v>245</v>
      </c>
      <c r="C12" t="s">
        <v>8</v>
      </c>
      <c r="E12" s="3">
        <f t="shared" si="0"/>
        <v>6</v>
      </c>
      <c r="F12" s="5">
        <v>43841.625</v>
      </c>
      <c r="G12" s="19" t="str">
        <f t="shared" si="1"/>
        <v/>
      </c>
      <c r="J12" s="28" t="e">
        <f t="shared" si="2"/>
        <v>#DIV/0!</v>
      </c>
    </row>
    <row r="13" spans="1:13">
      <c r="A13" s="3">
        <v>0</v>
      </c>
      <c r="B13" t="s">
        <v>246</v>
      </c>
      <c r="C13" t="s">
        <v>8</v>
      </c>
      <c r="E13" s="3">
        <f t="shared" si="0"/>
        <v>7</v>
      </c>
      <c r="F13" s="5">
        <v>43842.625</v>
      </c>
      <c r="G13" s="19" t="str">
        <f t="shared" si="1"/>
        <v/>
      </c>
      <c r="J13" s="28" t="e">
        <f t="shared" si="2"/>
        <v>#DIV/0!</v>
      </c>
    </row>
    <row r="14" spans="1:13">
      <c r="A14" s="3">
        <v>0</v>
      </c>
      <c r="B14" t="s">
        <v>247</v>
      </c>
      <c r="C14" t="s">
        <v>8</v>
      </c>
      <c r="E14" s="3">
        <f t="shared" si="0"/>
        <v>1</v>
      </c>
      <c r="F14" s="5">
        <v>43843.625</v>
      </c>
      <c r="G14" s="19" t="str">
        <f t="shared" si="1"/>
        <v>W3</v>
      </c>
      <c r="H14">
        <f>SUM(A14:A20)</f>
        <v>0</v>
      </c>
      <c r="I14" s="28" t="e">
        <f>H14/H7-1</f>
        <v>#DIV/0!</v>
      </c>
      <c r="J14" s="28" t="e">
        <f t="shared" si="2"/>
        <v>#DIV/0!</v>
      </c>
    </row>
    <row r="15" spans="1:13">
      <c r="A15" s="3">
        <v>0</v>
      </c>
      <c r="B15" t="s">
        <v>248</v>
      </c>
      <c r="C15" t="s">
        <v>8</v>
      </c>
      <c r="E15" s="3">
        <f t="shared" si="0"/>
        <v>2</v>
      </c>
      <c r="F15" s="5">
        <v>43844.625</v>
      </c>
      <c r="G15" s="19" t="str">
        <f t="shared" si="1"/>
        <v/>
      </c>
      <c r="J15" s="28" t="e">
        <f t="shared" si="2"/>
        <v>#DIV/0!</v>
      </c>
    </row>
    <row r="16" spans="1:13">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W4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W5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W6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W7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W8</v>
      </c>
      <c r="H49">
        <f>SUM(A49:A55)</f>
        <v>2</v>
      </c>
      <c r="I49" s="28">
        <f>H49/H42-1</f>
        <v>1</v>
      </c>
      <c r="J49" s="28">
        <f t="shared" si="2"/>
        <v>-1</v>
      </c>
    </row>
    <row r="50" spans="1:10">
      <c r="A50" s="3">
        <v>1</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W9</v>
      </c>
      <c r="H56">
        <f>SUM(A56:A62)</f>
        <v>7</v>
      </c>
      <c r="I56" s="28">
        <f>H56/H49-1</f>
        <v>2.5</v>
      </c>
      <c r="J56" s="28" t="e">
        <f t="shared" si="2"/>
        <v>#DIV/0!</v>
      </c>
    </row>
    <row r="57" spans="1:10">
      <c r="A57" s="3">
        <v>1</v>
      </c>
      <c r="B57" t="s">
        <v>14</v>
      </c>
      <c r="C57" t="s">
        <v>8</v>
      </c>
      <c r="E57" s="3">
        <f t="shared" si="0"/>
        <v>2</v>
      </c>
      <c r="F57" s="5">
        <v>43886.625</v>
      </c>
      <c r="G57" s="19" t="str">
        <f t="shared" si="1"/>
        <v/>
      </c>
      <c r="J57" s="28">
        <f t="shared" si="2"/>
        <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IF(WEEKDAY(F67,2)=1,"W"&amp;WEEKNUM(F67,14),"")</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W12</v>
      </c>
      <c r="H77">
        <f>SUM(A77:A83)</f>
        <v>541</v>
      </c>
      <c r="I77" s="28">
        <f>H77/H70-1</f>
        <v>0.70662460567823349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100</v>
      </c>
      <c r="B80" t="s">
        <v>35</v>
      </c>
      <c r="C80" t="s">
        <v>8</v>
      </c>
      <c r="E80" s="3">
        <f t="shared" si="3"/>
        <v>4</v>
      </c>
      <c r="F80" s="5">
        <v>43909.625</v>
      </c>
      <c r="G80" s="19" t="str">
        <f t="shared" si="4"/>
        <v/>
      </c>
      <c r="J80" s="28">
        <f t="shared" si="5"/>
        <v>0.66666666666666674</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W13</v>
      </c>
      <c r="H84">
        <f>SUM(A84:A90)</f>
        <v>643</v>
      </c>
      <c r="I84" s="28">
        <f>H84/H77-1</f>
        <v>0.18853974121996298</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114</v>
      </c>
      <c r="B87" t="s">
        <v>42</v>
      </c>
      <c r="C87" t="s">
        <v>8</v>
      </c>
      <c r="E87" s="3">
        <f t="shared" si="3"/>
        <v>4</v>
      </c>
      <c r="F87" s="5">
        <v>43916.625</v>
      </c>
      <c r="G87" s="19" t="str">
        <f t="shared" si="4"/>
        <v/>
      </c>
      <c r="J87" s="28">
        <f t="shared" si="5"/>
        <v>0.1399999999999999</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W14</v>
      </c>
      <c r="H91">
        <f>SUM(A91:A97)</f>
        <v>966</v>
      </c>
      <c r="I91" s="28">
        <f>H91/H84-1</f>
        <v>0.50233281493001547</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0.41228070175438591</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IF(WEEKDAY(F131,2)=1,"W"&amp;WEEKNUM(F131,14),"")</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W28</v>
      </c>
      <c r="H189">
        <f>SUM(A189:A195)</f>
        <v>39</v>
      </c>
      <c r="I189" s="28">
        <f>H189/H182-1</f>
        <v>-0.15217391304347827</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7</v>
      </c>
      <c r="B193" t="s">
        <v>147</v>
      </c>
      <c r="C193" t="s">
        <v>8</v>
      </c>
      <c r="E193" s="3">
        <f t="shared" si="6"/>
        <v>5</v>
      </c>
      <c r="F193" s="5">
        <v>44022.625</v>
      </c>
      <c r="G193" s="19" t="str">
        <f t="shared" si="7"/>
        <v/>
      </c>
      <c r="J193" s="28">
        <f t="shared" si="8"/>
        <v>0.16666666666666674</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38" si="10">IF(WEEKDAY(F195,2)=1,"W"&amp;WEEKNUM(F195,14),"")</f>
        <v/>
      </c>
      <c r="J195" s="28">
        <f t="shared" si="8"/>
        <v>0.33333333333333326</v>
      </c>
    </row>
    <row r="196" spans="1:10">
      <c r="A196" s="3">
        <v>6</v>
      </c>
      <c r="B196" t="s">
        <v>149</v>
      </c>
      <c r="C196" t="s">
        <v>8</v>
      </c>
      <c r="E196" s="3">
        <f t="shared" si="9"/>
        <v>1</v>
      </c>
      <c r="F196" s="5">
        <v>44025.625</v>
      </c>
      <c r="G196" s="19" t="str">
        <f t="shared" si="10"/>
        <v>W29</v>
      </c>
      <c r="H196">
        <f>SUM(A196:A202)</f>
        <v>43</v>
      </c>
      <c r="I196" s="28">
        <f>H196/H189-1</f>
        <v>0.10256410256410264</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-0.1428571428571429</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ref="G239:G258" si="12">IF(WEEKDAY(F239,2)=1,"W"&amp;WEEKNUM(F239,14),"")</f>
        <v/>
      </c>
      <c r="J239" s="28">
        <f t="shared" si="11"/>
        <v>-0.61538461538461542</v>
      </c>
    </row>
    <row r="240" spans="1:10">
      <c r="A240" s="3">
        <v>20</v>
      </c>
      <c r="B240" t="s">
        <v>193</v>
      </c>
      <c r="C240" t="s">
        <v>8</v>
      </c>
      <c r="E240" s="3">
        <f t="shared" si="9"/>
        <v>3</v>
      </c>
      <c r="F240" s="5">
        <v>44069.625</v>
      </c>
      <c r="G240" s="19" t="str">
        <f t="shared" si="12"/>
        <v/>
      </c>
      <c r="J240" s="28">
        <f t="shared" si="11"/>
        <v>-0.57446808510638303</v>
      </c>
    </row>
    <row r="241" spans="1:10">
      <c r="A241" s="3">
        <v>32</v>
      </c>
      <c r="B241" t="s">
        <v>194</v>
      </c>
      <c r="C241" t="s">
        <v>8</v>
      </c>
      <c r="E241" s="3">
        <f t="shared" si="9"/>
        <v>4</v>
      </c>
      <c r="F241" s="5">
        <v>44070.625</v>
      </c>
      <c r="G241" s="19" t="str">
        <f t="shared" si="12"/>
        <v/>
      </c>
      <c r="J241" s="28">
        <f t="shared" si="11"/>
        <v>0.18518518518518512</v>
      </c>
    </row>
    <row r="242" spans="1:10">
      <c r="A242" s="3">
        <v>35</v>
      </c>
      <c r="B242" t="s">
        <v>195</v>
      </c>
      <c r="C242" t="s">
        <v>8</v>
      </c>
      <c r="E242" s="3">
        <f t="shared" si="9"/>
        <v>5</v>
      </c>
      <c r="F242" s="5">
        <v>44071.625</v>
      </c>
      <c r="G242" s="19" t="str">
        <f t="shared" si="12"/>
        <v/>
      </c>
      <c r="J242" s="28">
        <f t="shared" si="11"/>
        <v>0.39999999999999991</v>
      </c>
    </row>
    <row r="243" spans="1:10">
      <c r="A243" s="3">
        <v>19</v>
      </c>
      <c r="B243" t="s">
        <v>196</v>
      </c>
      <c r="C243" t="s">
        <v>8</v>
      </c>
      <c r="E243" s="3">
        <f t="shared" si="9"/>
        <v>6</v>
      </c>
      <c r="F243" s="5">
        <v>44072.625</v>
      </c>
      <c r="G243" s="19" t="str">
        <f t="shared" si="12"/>
        <v/>
      </c>
      <c r="J243" s="28">
        <f t="shared" si="11"/>
        <v>0.1875</v>
      </c>
    </row>
    <row r="244" spans="1:10">
      <c r="A244" s="3">
        <v>18</v>
      </c>
      <c r="B244" t="s">
        <v>197</v>
      </c>
      <c r="C244" t="s">
        <v>8</v>
      </c>
      <c r="E244" s="3">
        <f t="shared" si="9"/>
        <v>7</v>
      </c>
      <c r="F244" s="5">
        <v>44073.625</v>
      </c>
      <c r="G244" s="19" t="str">
        <f t="shared" si="12"/>
        <v/>
      </c>
      <c r="J244" s="28">
        <f t="shared" si="11"/>
        <v>0.8</v>
      </c>
    </row>
    <row r="245" spans="1:10">
      <c r="A245" s="3">
        <v>48</v>
      </c>
      <c r="B245" t="s">
        <v>198</v>
      </c>
      <c r="C245" t="s">
        <v>8</v>
      </c>
      <c r="E245" s="3">
        <f t="shared" si="9"/>
        <v>1</v>
      </c>
      <c r="F245" s="5">
        <v>44074.625</v>
      </c>
      <c r="G245" s="19" t="str">
        <f t="shared" si="12"/>
        <v>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2"/>
        <v/>
      </c>
      <c r="J246" s="28">
        <f t="shared" si="11"/>
        <v>0.93333333333333335</v>
      </c>
    </row>
    <row r="247" spans="1:10">
      <c r="A247" s="3">
        <v>26</v>
      </c>
      <c r="B247" t="s">
        <v>200</v>
      </c>
      <c r="C247" t="s">
        <v>8</v>
      </c>
      <c r="E247" s="3">
        <f t="shared" si="9"/>
        <v>3</v>
      </c>
      <c r="F247" s="5">
        <v>44076.625</v>
      </c>
      <c r="G247" s="19" t="str">
        <f t="shared" si="12"/>
        <v/>
      </c>
      <c r="J247" s="28">
        <f t="shared" si="11"/>
        <v>0.30000000000000004</v>
      </c>
    </row>
    <row r="248" spans="1:10">
      <c r="A248" s="3">
        <v>35</v>
      </c>
      <c r="B248" t="s">
        <v>201</v>
      </c>
      <c r="C248" t="s">
        <v>8</v>
      </c>
      <c r="E248" s="3">
        <f t="shared" si="9"/>
        <v>4</v>
      </c>
      <c r="F248" s="5">
        <v>44077.625</v>
      </c>
      <c r="G248" s="19" t="str">
        <f t="shared" si="12"/>
        <v/>
      </c>
      <c r="J248" s="28">
        <f t="shared" si="11"/>
        <v>9.375E-2</v>
      </c>
    </row>
    <row r="249" spans="1:10">
      <c r="A249" s="3">
        <v>42</v>
      </c>
      <c r="B249" t="s">
        <v>202</v>
      </c>
      <c r="C249" t="s">
        <v>8</v>
      </c>
      <c r="E249" s="3">
        <f t="shared" si="9"/>
        <v>5</v>
      </c>
      <c r="F249" s="5">
        <v>44078.625</v>
      </c>
      <c r="G249" s="19" t="str">
        <f t="shared" si="12"/>
        <v/>
      </c>
      <c r="J249" s="28">
        <f t="shared" si="11"/>
        <v>0.19999999999999996</v>
      </c>
    </row>
    <row r="250" spans="1:10">
      <c r="A250" s="3">
        <v>22</v>
      </c>
      <c r="B250" t="s">
        <v>203</v>
      </c>
      <c r="C250" t="s">
        <v>8</v>
      </c>
      <c r="E250" s="3">
        <f t="shared" si="9"/>
        <v>6</v>
      </c>
      <c r="F250" s="5">
        <v>44079.625</v>
      </c>
      <c r="G250" s="19" t="str">
        <f t="shared" si="12"/>
        <v/>
      </c>
      <c r="J250" s="28">
        <f t="shared" si="11"/>
        <v>0.15789473684210531</v>
      </c>
    </row>
    <row r="251" spans="1:10">
      <c r="A251" s="3">
        <v>33</v>
      </c>
      <c r="B251" t="s">
        <v>204</v>
      </c>
      <c r="C251" t="s">
        <v>8</v>
      </c>
      <c r="E251" s="3">
        <f t="shared" si="9"/>
        <v>7</v>
      </c>
      <c r="F251" s="5">
        <v>44080.625</v>
      </c>
      <c r="G251" s="19" t="str">
        <f t="shared" si="12"/>
        <v/>
      </c>
      <c r="J251" s="28">
        <f t="shared" si="11"/>
        <v>0.83333333333333326</v>
      </c>
    </row>
    <row r="252" spans="1:10">
      <c r="A252" s="3">
        <v>45</v>
      </c>
      <c r="B252" t="s">
        <v>205</v>
      </c>
      <c r="C252" t="s">
        <v>8</v>
      </c>
      <c r="E252" s="3">
        <f t="shared" si="9"/>
        <v>1</v>
      </c>
      <c r="F252" s="5">
        <v>44081.625</v>
      </c>
      <c r="G252" s="19" t="str">
        <f t="shared" si="12"/>
        <v>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2"/>
        <v/>
      </c>
      <c r="J253" s="28">
        <f t="shared" si="11"/>
        <v>0.96551724137931028</v>
      </c>
    </row>
    <row r="254" spans="1:10">
      <c r="A254" s="3">
        <v>55</v>
      </c>
      <c r="B254" t="s">
        <v>207</v>
      </c>
      <c r="C254" t="s">
        <v>8</v>
      </c>
      <c r="E254" s="3">
        <f t="shared" si="9"/>
        <v>3</v>
      </c>
      <c r="F254" s="5">
        <v>44083.625</v>
      </c>
      <c r="G254" s="19" t="str">
        <f t="shared" si="12"/>
        <v/>
      </c>
      <c r="J254" s="28">
        <f t="shared" si="11"/>
        <v>1.1153846153846154</v>
      </c>
    </row>
    <row r="255" spans="1:10">
      <c r="A255" s="3">
        <v>53</v>
      </c>
      <c r="B255" t="s">
        <v>208</v>
      </c>
      <c r="C255" t="s">
        <v>8</v>
      </c>
      <c r="E255" s="3">
        <f t="shared" si="9"/>
        <v>4</v>
      </c>
      <c r="F255" s="5">
        <v>44084.625</v>
      </c>
      <c r="G255" s="19" t="str">
        <f t="shared" si="12"/>
        <v/>
      </c>
      <c r="J255" s="28">
        <f t="shared" si="11"/>
        <v>0.51428571428571423</v>
      </c>
    </row>
    <row r="256" spans="1:10">
      <c r="A256" s="3">
        <v>58</v>
      </c>
      <c r="B256" t="s">
        <v>209</v>
      </c>
      <c r="C256" t="s">
        <v>8</v>
      </c>
      <c r="E256" s="3">
        <f t="shared" si="9"/>
        <v>5</v>
      </c>
      <c r="F256" s="5">
        <v>44085.625</v>
      </c>
      <c r="G256" s="19" t="str">
        <f t="shared" si="12"/>
        <v/>
      </c>
      <c r="J256" s="28">
        <f t="shared" si="11"/>
        <v>0.38095238095238093</v>
      </c>
    </row>
    <row r="257" spans="1:10">
      <c r="A257" s="3">
        <v>40</v>
      </c>
      <c r="B257" t="s">
        <v>210</v>
      </c>
      <c r="C257" t="s">
        <v>8</v>
      </c>
      <c r="E257" s="3">
        <f t="shared" si="9"/>
        <v>6</v>
      </c>
      <c r="F257" s="5">
        <v>44086.625</v>
      </c>
      <c r="G257" s="19" t="str">
        <f t="shared" si="12"/>
        <v/>
      </c>
      <c r="J257" s="28">
        <f t="shared" si="11"/>
        <v>0.81818181818181812</v>
      </c>
    </row>
    <row r="258" spans="1:10">
      <c r="A258" s="3">
        <v>46</v>
      </c>
      <c r="B258" t="s">
        <v>211</v>
      </c>
      <c r="C258" t="s">
        <v>8</v>
      </c>
      <c r="E258" s="3">
        <f t="shared" si="9"/>
        <v>7</v>
      </c>
      <c r="F258" s="5">
        <v>44087.625</v>
      </c>
      <c r="G258" s="19" t="str">
        <f t="shared" si="12"/>
        <v/>
      </c>
      <c r="J258" s="28">
        <f t="shared" si="11"/>
        <v>0.39393939393939403</v>
      </c>
    </row>
    <row r="259" spans="1:10">
      <c r="A259" s="3">
        <v>59</v>
      </c>
      <c r="B259" t="s">
        <v>212</v>
      </c>
      <c r="C259" t="s">
        <v>8</v>
      </c>
      <c r="E259" s="3">
        <f t="shared" ref="E259:E324" si="13">WEEKDAY(F259,2)</f>
        <v>1</v>
      </c>
      <c r="F259" s="5">
        <v>44088.625</v>
      </c>
      <c r="G259" s="19" t="str">
        <f t="shared" ref="G259" si="14">IF(WEEKDAY(F259,2)=1,"W"&amp;WEEKNUM(F259,14),"")</f>
        <v>W38</v>
      </c>
      <c r="H259">
        <f>SUM(A259:A265)</f>
        <v>466</v>
      </c>
      <c r="I259" s="28">
        <f>H259/H252-1</f>
        <v>0.31638418079096042</v>
      </c>
      <c r="J259" s="28">
        <f t="shared" si="11"/>
        <v>0.31111111111111112</v>
      </c>
    </row>
    <row r="260" spans="1:10">
      <c r="A260" s="3">
        <v>53</v>
      </c>
      <c r="B260" t="s">
        <v>213</v>
      </c>
      <c r="C260" t="s">
        <v>8</v>
      </c>
      <c r="E260" s="3">
        <f t="shared" si="13"/>
        <v>2</v>
      </c>
      <c r="F260" s="5">
        <v>44089.625</v>
      </c>
      <c r="G260" s="19" t="str">
        <f t="shared" ref="G260:G308" si="15">IF(WEEKDAY(F260,2)=1,"W"&amp;WEEKNUM(F260,14),"")</f>
        <v/>
      </c>
      <c r="J260" s="28">
        <f t="shared" si="11"/>
        <v>-7.0175438596491224E-2</v>
      </c>
    </row>
    <row r="261" spans="1:10">
      <c r="A261" s="3">
        <v>57</v>
      </c>
      <c r="B261" t="s">
        <v>214</v>
      </c>
      <c r="C261" t="s">
        <v>8</v>
      </c>
      <c r="E261" s="3">
        <f t="shared" si="13"/>
        <v>3</v>
      </c>
      <c r="F261" s="5">
        <v>44090.625</v>
      </c>
      <c r="G261" s="19" t="str">
        <f t="shared" si="15"/>
        <v/>
      </c>
      <c r="J261" s="28">
        <f t="shared" si="11"/>
        <v>3.6363636363636376E-2</v>
      </c>
    </row>
    <row r="262" spans="1:10">
      <c r="A262" s="3">
        <v>85</v>
      </c>
      <c r="B262" t="s">
        <v>215</v>
      </c>
      <c r="C262" t="s">
        <v>8</v>
      </c>
      <c r="E262" s="3">
        <f t="shared" si="13"/>
        <v>4</v>
      </c>
      <c r="F262" s="5">
        <v>44091.625</v>
      </c>
      <c r="G262" s="19" t="str">
        <f t="shared" si="15"/>
        <v/>
      </c>
      <c r="J262" s="28">
        <f t="shared" si="11"/>
        <v>0.60377358490566047</v>
      </c>
    </row>
    <row r="263" spans="1:10">
      <c r="A263" s="3">
        <v>77</v>
      </c>
      <c r="B263" t="s">
        <v>216</v>
      </c>
      <c r="C263" t="s">
        <v>8</v>
      </c>
      <c r="E263" s="3">
        <f t="shared" si="13"/>
        <v>5</v>
      </c>
      <c r="F263" s="5">
        <v>44092.625</v>
      </c>
      <c r="G263" s="19" t="str">
        <f t="shared" si="15"/>
        <v/>
      </c>
      <c r="J263" s="28">
        <f t="shared" si="11"/>
        <v>0.32758620689655182</v>
      </c>
    </row>
    <row r="264" spans="1:10">
      <c r="A264" s="3">
        <v>61</v>
      </c>
      <c r="B264" t="s">
        <v>217</v>
      </c>
      <c r="C264" t="s">
        <v>8</v>
      </c>
      <c r="E264" s="3">
        <f t="shared" si="13"/>
        <v>6</v>
      </c>
      <c r="F264" s="5">
        <v>44093.625</v>
      </c>
      <c r="G264" s="19" t="str">
        <f t="shared" si="15"/>
        <v/>
      </c>
      <c r="J264" s="28">
        <f t="shared" si="11"/>
        <v>0.52499999999999991</v>
      </c>
    </row>
    <row r="265" spans="1:10">
      <c r="A265" s="3">
        <v>74</v>
      </c>
      <c r="B265" t="s">
        <v>218</v>
      </c>
      <c r="C265" t="s">
        <v>8</v>
      </c>
      <c r="E265" s="3">
        <f t="shared" si="13"/>
        <v>7</v>
      </c>
      <c r="F265" s="5">
        <v>44094.625</v>
      </c>
      <c r="G265" s="19" t="str">
        <f t="shared" si="15"/>
        <v/>
      </c>
      <c r="J265" s="28">
        <f t="shared" ref="J265:J328" si="16">A265/A258-1</f>
        <v>0.60869565217391308</v>
      </c>
    </row>
    <row r="266" spans="1:10">
      <c r="A266" s="3">
        <v>120</v>
      </c>
      <c r="B266" t="s">
        <v>219</v>
      </c>
      <c r="C266" t="s">
        <v>8</v>
      </c>
      <c r="E266" s="3">
        <f t="shared" si="13"/>
        <v>1</v>
      </c>
      <c r="F266" s="5">
        <v>44095.625</v>
      </c>
      <c r="G266" s="19" t="str">
        <f t="shared" si="15"/>
        <v>W39</v>
      </c>
      <c r="H266">
        <f>SUM(A266:A272)</f>
        <v>716</v>
      </c>
      <c r="I266" s="28">
        <f>H266/H259-1</f>
        <v>0.53648068669527893</v>
      </c>
      <c r="J266" s="28">
        <f t="shared" si="16"/>
        <v>1.0338983050847457</v>
      </c>
    </row>
    <row r="267" spans="1:10">
      <c r="A267" s="3">
        <v>110</v>
      </c>
      <c r="B267" t="s">
        <v>220</v>
      </c>
      <c r="C267" t="s">
        <v>8</v>
      </c>
      <c r="E267" s="3">
        <f t="shared" si="13"/>
        <v>2</v>
      </c>
      <c r="F267" s="5">
        <v>44096.625</v>
      </c>
      <c r="G267" s="19" t="str">
        <f t="shared" si="15"/>
        <v/>
      </c>
      <c r="J267" s="28">
        <f t="shared" si="16"/>
        <v>1.0754716981132075</v>
      </c>
    </row>
    <row r="268" spans="1:10">
      <c r="A268" s="3">
        <v>117</v>
      </c>
      <c r="B268" t="s">
        <v>221</v>
      </c>
      <c r="C268" t="s">
        <v>8</v>
      </c>
      <c r="E268" s="3">
        <f t="shared" si="13"/>
        <v>3</v>
      </c>
      <c r="F268" s="5">
        <v>44097.625</v>
      </c>
      <c r="G268" s="19" t="str">
        <f t="shared" si="15"/>
        <v/>
      </c>
      <c r="J268" s="28">
        <f t="shared" si="16"/>
        <v>1.0526315789473686</v>
      </c>
    </row>
    <row r="269" spans="1:10">
      <c r="A269" s="3">
        <v>98</v>
      </c>
      <c r="B269" t="s">
        <v>222</v>
      </c>
      <c r="C269" t="s">
        <v>8</v>
      </c>
      <c r="E269" s="3">
        <f t="shared" si="13"/>
        <v>4</v>
      </c>
      <c r="F269" s="5">
        <v>44098.625</v>
      </c>
      <c r="G269" s="19" t="str">
        <f t="shared" si="15"/>
        <v/>
      </c>
      <c r="J269" s="28">
        <f t="shared" si="16"/>
        <v>0.15294117647058814</v>
      </c>
    </row>
    <row r="270" spans="1:10">
      <c r="A270" s="3">
        <v>127</v>
      </c>
      <c r="B270" t="s">
        <v>223</v>
      </c>
      <c r="C270" t="s">
        <v>8</v>
      </c>
      <c r="E270" s="3">
        <f t="shared" si="13"/>
        <v>5</v>
      </c>
      <c r="F270" s="5">
        <v>44099.625</v>
      </c>
      <c r="G270" s="19" t="str">
        <f t="shared" si="15"/>
        <v/>
      </c>
      <c r="J270" s="28">
        <f t="shared" si="16"/>
        <v>0.64935064935064934</v>
      </c>
    </row>
    <row r="271" spans="1:10">
      <c r="A271" s="3">
        <v>74</v>
      </c>
      <c r="B271" t="s">
        <v>224</v>
      </c>
      <c r="C271" t="s">
        <v>8</v>
      </c>
      <c r="E271" s="3">
        <f t="shared" si="13"/>
        <v>6</v>
      </c>
      <c r="F271" s="5">
        <v>44100.625</v>
      </c>
      <c r="G271" s="19" t="str">
        <f t="shared" si="15"/>
        <v/>
      </c>
      <c r="J271" s="28">
        <f t="shared" si="16"/>
        <v>0.21311475409836067</v>
      </c>
    </row>
    <row r="272" spans="1:10">
      <c r="A272" s="3">
        <v>70</v>
      </c>
      <c r="B272" t="s">
        <v>225</v>
      </c>
      <c r="C272" t="s">
        <v>8</v>
      </c>
      <c r="E272" s="3">
        <f t="shared" si="13"/>
        <v>7</v>
      </c>
      <c r="F272" s="5">
        <v>44101.625</v>
      </c>
      <c r="G272" s="19" t="str">
        <f t="shared" si="15"/>
        <v/>
      </c>
      <c r="J272" s="28">
        <f t="shared" si="16"/>
        <v>-5.4054054054054057E-2</v>
      </c>
    </row>
    <row r="273" spans="1:10">
      <c r="A273" s="3">
        <v>122</v>
      </c>
      <c r="B273" t="s">
        <v>226</v>
      </c>
      <c r="C273" t="s">
        <v>8</v>
      </c>
      <c r="E273" s="3">
        <f t="shared" si="13"/>
        <v>1</v>
      </c>
      <c r="F273" s="5">
        <v>44102.625</v>
      </c>
      <c r="G273" s="19" t="str">
        <f t="shared" si="15"/>
        <v>W40</v>
      </c>
      <c r="H273">
        <f>SUM(A273:A279)</f>
        <v>1127</v>
      </c>
      <c r="I273" s="28">
        <f>H273/H266-1</f>
        <v>0.57402234636871508</v>
      </c>
      <c r="J273" s="28">
        <f t="shared" si="16"/>
        <v>1.6666666666666607E-2</v>
      </c>
    </row>
    <row r="274" spans="1:10">
      <c r="A274" s="3">
        <v>133</v>
      </c>
      <c r="B274" t="s">
        <v>227</v>
      </c>
      <c r="C274" t="s">
        <v>8</v>
      </c>
      <c r="E274" s="3">
        <f t="shared" si="13"/>
        <v>2</v>
      </c>
      <c r="F274" s="5">
        <v>44103.625</v>
      </c>
      <c r="G274" s="19" t="str">
        <f t="shared" si="15"/>
        <v/>
      </c>
      <c r="J274" s="28">
        <f t="shared" si="16"/>
        <v>0.20909090909090899</v>
      </c>
    </row>
    <row r="275" spans="1:10">
      <c r="A275" s="3">
        <v>166</v>
      </c>
      <c r="B275" t="s">
        <v>229</v>
      </c>
      <c r="C275" t="s">
        <v>8</v>
      </c>
      <c r="E275" s="3">
        <f t="shared" si="13"/>
        <v>3</v>
      </c>
      <c r="F275" s="5">
        <v>44104.625</v>
      </c>
      <c r="G275" s="19" t="str">
        <f t="shared" si="15"/>
        <v/>
      </c>
      <c r="J275" s="28">
        <f t="shared" si="16"/>
        <v>0.41880341880341887</v>
      </c>
    </row>
    <row r="276" spans="1:10">
      <c r="A276" s="3">
        <v>191</v>
      </c>
      <c r="B276" t="s">
        <v>231</v>
      </c>
      <c r="C276" t="s">
        <v>8</v>
      </c>
      <c r="E276" s="3">
        <f t="shared" si="13"/>
        <v>4</v>
      </c>
      <c r="F276" s="5">
        <v>44105.625</v>
      </c>
      <c r="G276" s="19" t="str">
        <f t="shared" si="15"/>
        <v/>
      </c>
      <c r="J276" s="28">
        <f t="shared" si="16"/>
        <v>0.94897959183673475</v>
      </c>
    </row>
    <row r="277" spans="1:10">
      <c r="A277" s="3">
        <v>188</v>
      </c>
      <c r="B277" t="s">
        <v>232</v>
      </c>
      <c r="C277" t="s">
        <v>8</v>
      </c>
      <c r="E277" s="3">
        <f t="shared" si="13"/>
        <v>5</v>
      </c>
      <c r="F277" s="5">
        <v>44106.625</v>
      </c>
      <c r="G277" s="19" t="str">
        <f t="shared" si="15"/>
        <v/>
      </c>
      <c r="J277" s="28">
        <f t="shared" si="16"/>
        <v>0.48031496062992129</v>
      </c>
    </row>
    <row r="278" spans="1:10">
      <c r="A278" s="3">
        <v>179</v>
      </c>
      <c r="B278" t="s">
        <v>234</v>
      </c>
      <c r="C278" t="s">
        <v>8</v>
      </c>
      <c r="E278" s="3">
        <f t="shared" si="13"/>
        <v>6</v>
      </c>
      <c r="F278" s="5">
        <v>44107.625</v>
      </c>
      <c r="G278" s="19" t="str">
        <f t="shared" si="15"/>
        <v/>
      </c>
      <c r="J278" s="28">
        <f t="shared" si="16"/>
        <v>1.4189189189189189</v>
      </c>
    </row>
    <row r="279" spans="1:10">
      <c r="A279" s="3">
        <v>148</v>
      </c>
      <c r="B279" t="s">
        <v>293</v>
      </c>
      <c r="C279" t="s">
        <v>8</v>
      </c>
      <c r="E279" s="3">
        <f t="shared" si="13"/>
        <v>7</v>
      </c>
      <c r="F279" s="5">
        <v>44108.625</v>
      </c>
      <c r="G279" s="19" t="str">
        <f t="shared" si="15"/>
        <v/>
      </c>
      <c r="J279" s="28">
        <f t="shared" si="16"/>
        <v>1.1142857142857143</v>
      </c>
    </row>
    <row r="280" spans="1:10" s="10" customFormat="1">
      <c r="A280" s="14">
        <v>291</v>
      </c>
      <c r="B280" s="10" t="s">
        <v>294</v>
      </c>
      <c r="C280" s="10" t="s">
        <v>8</v>
      </c>
      <c r="E280" s="14">
        <f t="shared" si="13"/>
        <v>1</v>
      </c>
      <c r="F280" s="18">
        <v>44109.625</v>
      </c>
      <c r="G280" s="19" t="str">
        <f t="shared" si="15"/>
        <v>W41</v>
      </c>
      <c r="H280">
        <f>SUM(A280:A286)</f>
        <v>1624</v>
      </c>
      <c r="I280" s="28">
        <f>H280/H273-1</f>
        <v>0.44099378881987583</v>
      </c>
      <c r="J280" s="28">
        <f t="shared" si="16"/>
        <v>1.3852459016393444</v>
      </c>
    </row>
    <row r="281" spans="1:10">
      <c r="A281" s="3">
        <v>302</v>
      </c>
      <c r="B281" t="s">
        <v>295</v>
      </c>
      <c r="C281" t="s">
        <v>8</v>
      </c>
      <c r="E281" s="3">
        <f t="shared" si="13"/>
        <v>2</v>
      </c>
      <c r="F281" s="5">
        <v>44110.625</v>
      </c>
      <c r="G281" s="19" t="str">
        <f t="shared" si="15"/>
        <v/>
      </c>
      <c r="J281" s="28">
        <f t="shared" si="16"/>
        <v>1.2706766917293235</v>
      </c>
    </row>
    <row r="282" spans="1:10">
      <c r="A282" s="3">
        <v>306</v>
      </c>
      <c r="B282" t="s">
        <v>296</v>
      </c>
      <c r="C282" t="s">
        <v>8</v>
      </c>
      <c r="E282" s="3">
        <f t="shared" si="13"/>
        <v>3</v>
      </c>
      <c r="F282" s="5">
        <v>44111.625</v>
      </c>
      <c r="G282" s="19" t="str">
        <f t="shared" si="15"/>
        <v/>
      </c>
      <c r="J282" s="28">
        <f t="shared" si="16"/>
        <v>0.84337349397590367</v>
      </c>
    </row>
    <row r="283" spans="1:10">
      <c r="A283" s="3">
        <v>259</v>
      </c>
      <c r="B283" t="s">
        <v>297</v>
      </c>
      <c r="C283" t="s">
        <v>8</v>
      </c>
      <c r="E283" s="3">
        <f t="shared" si="13"/>
        <v>4</v>
      </c>
      <c r="F283" s="5">
        <v>44112.625</v>
      </c>
      <c r="G283" s="19" t="str">
        <f t="shared" si="15"/>
        <v/>
      </c>
      <c r="J283" s="28">
        <f t="shared" si="16"/>
        <v>0.35602094240837689</v>
      </c>
    </row>
    <row r="284" spans="1:10">
      <c r="A284" s="3">
        <v>226</v>
      </c>
      <c r="B284" t="s">
        <v>298</v>
      </c>
      <c r="C284" t="s">
        <v>8</v>
      </c>
      <c r="E284" s="3">
        <f t="shared" si="13"/>
        <v>5</v>
      </c>
      <c r="F284" s="5">
        <v>44113.625</v>
      </c>
      <c r="G284" s="19" t="str">
        <f t="shared" si="15"/>
        <v/>
      </c>
      <c r="J284" s="28">
        <f t="shared" si="16"/>
        <v>0.2021276595744681</v>
      </c>
    </row>
    <row r="285" spans="1:10">
      <c r="A285" s="3">
        <v>110</v>
      </c>
      <c r="B285" t="s">
        <v>301</v>
      </c>
      <c r="C285" t="s">
        <v>8</v>
      </c>
      <c r="E285" s="3">
        <f t="shared" si="13"/>
        <v>6</v>
      </c>
      <c r="F285" s="5">
        <v>44114.625</v>
      </c>
      <c r="G285" s="19" t="str">
        <f t="shared" si="15"/>
        <v/>
      </c>
      <c r="J285" s="28">
        <f t="shared" si="16"/>
        <v>-0.38547486033519551</v>
      </c>
    </row>
    <row r="286" spans="1:10">
      <c r="A286" s="3">
        <v>130</v>
      </c>
      <c r="B286" t="s">
        <v>302</v>
      </c>
      <c r="C286" t="s">
        <v>8</v>
      </c>
      <c r="E286" s="3">
        <f t="shared" si="13"/>
        <v>7</v>
      </c>
      <c r="F286" s="5">
        <v>44115.625</v>
      </c>
      <c r="G286" s="19" t="str">
        <f t="shared" si="15"/>
        <v/>
      </c>
      <c r="J286" s="28">
        <f t="shared" si="16"/>
        <v>-0.1216216216216216</v>
      </c>
    </row>
    <row r="287" spans="1:10" s="10" customFormat="1">
      <c r="A287" s="14">
        <v>256</v>
      </c>
      <c r="B287" s="10" t="s">
        <v>306</v>
      </c>
      <c r="C287" s="10" t="s">
        <v>8</v>
      </c>
      <c r="E287" s="14">
        <f t="shared" si="13"/>
        <v>1</v>
      </c>
      <c r="F287" s="18">
        <v>44116.625</v>
      </c>
      <c r="G287" s="19" t="str">
        <f t="shared" si="15"/>
        <v>W42</v>
      </c>
      <c r="H287">
        <f>SUM(A287:A293)</f>
        <v>1276</v>
      </c>
      <c r="I287" s="28">
        <f>H287/H280-1</f>
        <v>-0.2142857142857143</v>
      </c>
      <c r="J287" s="28">
        <f t="shared" si="16"/>
        <v>-0.1202749140893471</v>
      </c>
    </row>
    <row r="288" spans="1:10">
      <c r="A288" s="3">
        <v>199</v>
      </c>
      <c r="B288" t="s">
        <v>307</v>
      </c>
      <c r="C288" t="s">
        <v>8</v>
      </c>
      <c r="E288" s="3">
        <f t="shared" si="13"/>
        <v>2</v>
      </c>
      <c r="F288" s="5">
        <v>44117.625</v>
      </c>
      <c r="G288" s="19" t="str">
        <f t="shared" si="15"/>
        <v/>
      </c>
      <c r="J288" s="28">
        <f t="shared" si="16"/>
        <v>-0.34105960264900659</v>
      </c>
    </row>
    <row r="289" spans="1:10">
      <c r="A289" s="3">
        <v>202</v>
      </c>
      <c r="B289" t="s">
        <v>308</v>
      </c>
      <c r="C289" t="s">
        <v>8</v>
      </c>
      <c r="E289" s="3">
        <f t="shared" si="13"/>
        <v>3</v>
      </c>
      <c r="F289" s="5">
        <v>44118.625</v>
      </c>
      <c r="G289" s="19" t="str">
        <f t="shared" si="15"/>
        <v/>
      </c>
      <c r="J289" s="28">
        <f t="shared" si="16"/>
        <v>-0.33986928104575165</v>
      </c>
    </row>
    <row r="290" spans="1:10">
      <c r="A290" s="3">
        <v>190</v>
      </c>
      <c r="B290" t="s">
        <v>309</v>
      </c>
      <c r="C290" t="s">
        <v>8</v>
      </c>
      <c r="E290" s="3">
        <f t="shared" si="13"/>
        <v>4</v>
      </c>
      <c r="F290" s="5">
        <v>44119.625</v>
      </c>
      <c r="G290" s="19" t="str">
        <f t="shared" si="15"/>
        <v/>
      </c>
      <c r="J290" s="28">
        <f t="shared" si="16"/>
        <v>-0.26640926640926643</v>
      </c>
    </row>
    <row r="291" spans="1:10">
      <c r="A291" s="3">
        <v>195</v>
      </c>
      <c r="B291" t="s">
        <v>310</v>
      </c>
      <c r="C291" t="s">
        <v>8</v>
      </c>
      <c r="E291" s="3">
        <f t="shared" si="13"/>
        <v>5</v>
      </c>
      <c r="F291" s="5">
        <v>44120.625</v>
      </c>
      <c r="G291" s="19" t="str">
        <f t="shared" si="15"/>
        <v/>
      </c>
      <c r="J291" s="28">
        <f t="shared" si="16"/>
        <v>-0.13716814159292035</v>
      </c>
    </row>
    <row r="292" spans="1:10">
      <c r="A292" s="3">
        <v>104</v>
      </c>
      <c r="B292" t="s">
        <v>311</v>
      </c>
      <c r="C292" t="s">
        <v>8</v>
      </c>
      <c r="E292" s="3">
        <f t="shared" si="13"/>
        <v>6</v>
      </c>
      <c r="F292" s="5">
        <v>44121.625</v>
      </c>
      <c r="G292" s="19" t="str">
        <f t="shared" si="15"/>
        <v/>
      </c>
      <c r="J292" s="28">
        <f t="shared" si="16"/>
        <v>-5.4545454545454564E-2</v>
      </c>
    </row>
    <row r="293" spans="1:10">
      <c r="A293" s="3">
        <v>130</v>
      </c>
      <c r="B293" t="s">
        <v>312</v>
      </c>
      <c r="C293" t="s">
        <v>8</v>
      </c>
      <c r="E293" s="3">
        <f t="shared" si="13"/>
        <v>7</v>
      </c>
      <c r="F293" s="5">
        <v>44122.625</v>
      </c>
      <c r="G293" s="19" t="str">
        <f t="shared" si="15"/>
        <v/>
      </c>
      <c r="J293" s="28">
        <f t="shared" si="16"/>
        <v>0</v>
      </c>
    </row>
    <row r="294" spans="1:10" s="10" customFormat="1">
      <c r="A294" s="14">
        <v>244</v>
      </c>
      <c r="B294" s="10" t="s">
        <v>313</v>
      </c>
      <c r="C294" s="10" t="s">
        <v>8</v>
      </c>
      <c r="E294" s="14">
        <f t="shared" si="13"/>
        <v>1</v>
      </c>
      <c r="F294" s="18">
        <v>44123.625</v>
      </c>
      <c r="G294" s="19" t="str">
        <f t="shared" si="15"/>
        <v>W43</v>
      </c>
      <c r="H294">
        <f>SUM(A294:A300)</f>
        <v>1243</v>
      </c>
      <c r="I294" s="28">
        <f>H294/H287-1</f>
        <v>-2.5862068965517238E-2</v>
      </c>
      <c r="J294" s="28">
        <f t="shared" si="16"/>
        <v>-4.6875E-2</v>
      </c>
    </row>
    <row r="295" spans="1:10">
      <c r="A295" s="3">
        <v>167</v>
      </c>
      <c r="B295" t="s">
        <v>314</v>
      </c>
      <c r="C295" t="s">
        <v>8</v>
      </c>
      <c r="E295" s="3">
        <f t="shared" si="13"/>
        <v>2</v>
      </c>
      <c r="F295" s="5">
        <v>44124.625</v>
      </c>
      <c r="G295" s="19" t="str">
        <f t="shared" si="15"/>
        <v/>
      </c>
      <c r="J295" s="28">
        <f t="shared" si="16"/>
        <v>-0.16080402010050254</v>
      </c>
    </row>
    <row r="296" spans="1:10">
      <c r="A296" s="3">
        <v>188</v>
      </c>
      <c r="B296" t="s">
        <v>315</v>
      </c>
      <c r="C296" t="s">
        <v>8</v>
      </c>
      <c r="E296" s="3">
        <f t="shared" si="13"/>
        <v>3</v>
      </c>
      <c r="F296" s="5">
        <v>44125.625</v>
      </c>
      <c r="G296" s="19" t="str">
        <f t="shared" si="15"/>
        <v/>
      </c>
      <c r="J296" s="28">
        <f t="shared" si="16"/>
        <v>-6.9306930693069257E-2</v>
      </c>
    </row>
    <row r="297" spans="1:10">
      <c r="A297" s="3">
        <v>220</v>
      </c>
      <c r="B297" t="s">
        <v>316</v>
      </c>
      <c r="C297" t="s">
        <v>8</v>
      </c>
      <c r="E297" s="3">
        <f t="shared" si="13"/>
        <v>4</v>
      </c>
      <c r="F297" s="5">
        <v>44126.625</v>
      </c>
      <c r="G297" s="19" t="str">
        <f t="shared" si="15"/>
        <v/>
      </c>
      <c r="J297" s="28">
        <f t="shared" si="16"/>
        <v>0.15789473684210531</v>
      </c>
    </row>
    <row r="298" spans="1:10">
      <c r="A298" s="3">
        <v>193</v>
      </c>
      <c r="B298" t="s">
        <v>317</v>
      </c>
      <c r="C298" t="s">
        <v>8</v>
      </c>
      <c r="E298" s="3">
        <f t="shared" si="13"/>
        <v>5</v>
      </c>
      <c r="F298" s="5">
        <v>44127.625</v>
      </c>
      <c r="G298" s="19" t="str">
        <f t="shared" si="15"/>
        <v/>
      </c>
      <c r="J298" s="28">
        <f t="shared" si="16"/>
        <v>-1.025641025641022E-2</v>
      </c>
    </row>
    <row r="299" spans="1:10">
      <c r="A299" s="3">
        <v>107</v>
      </c>
      <c r="B299" t="s">
        <v>318</v>
      </c>
      <c r="C299" t="s">
        <v>8</v>
      </c>
      <c r="E299" s="3">
        <f t="shared" si="13"/>
        <v>6</v>
      </c>
      <c r="F299" s="5">
        <v>44128.625</v>
      </c>
      <c r="G299" s="19" t="str">
        <f t="shared" si="15"/>
        <v/>
      </c>
      <c r="J299" s="28">
        <f t="shared" si="16"/>
        <v>2.8846153846153744E-2</v>
      </c>
    </row>
    <row r="300" spans="1:10">
      <c r="A300" s="3">
        <v>124</v>
      </c>
      <c r="B300" t="s">
        <v>319</v>
      </c>
      <c r="C300" t="s">
        <v>8</v>
      </c>
      <c r="E300" s="3">
        <f t="shared" si="13"/>
        <v>7</v>
      </c>
      <c r="F300" s="5">
        <v>44129.625</v>
      </c>
      <c r="G300" s="19" t="str">
        <f t="shared" si="15"/>
        <v/>
      </c>
      <c r="J300" s="28">
        <f t="shared" si="16"/>
        <v>-4.6153846153846101E-2</v>
      </c>
    </row>
    <row r="301" spans="1:10" s="10" customFormat="1">
      <c r="A301" s="14">
        <v>255</v>
      </c>
      <c r="B301" s="10" t="s">
        <v>320</v>
      </c>
      <c r="C301" s="10" t="s">
        <v>8</v>
      </c>
      <c r="E301" s="14">
        <f t="shared" si="13"/>
        <v>1</v>
      </c>
      <c r="F301" s="18">
        <v>44130.625</v>
      </c>
      <c r="G301" s="19" t="str">
        <f t="shared" si="15"/>
        <v>W44</v>
      </c>
      <c r="H301">
        <f>SUM(A301:A307)</f>
        <v>1454</v>
      </c>
      <c r="I301" s="28">
        <f>H301/H294-1</f>
        <v>0.169750603378922</v>
      </c>
      <c r="J301" s="28">
        <f t="shared" si="16"/>
        <v>4.508196721311486E-2</v>
      </c>
    </row>
    <row r="302" spans="1:10">
      <c r="A302" s="3">
        <v>231</v>
      </c>
      <c r="B302" t="s">
        <v>321</v>
      </c>
      <c r="C302" t="s">
        <v>8</v>
      </c>
      <c r="E302" s="3">
        <f t="shared" si="13"/>
        <v>2</v>
      </c>
      <c r="F302" s="5">
        <v>44131.625</v>
      </c>
      <c r="G302" s="19" t="str">
        <f t="shared" si="15"/>
        <v/>
      </c>
      <c r="J302" s="28">
        <f t="shared" si="16"/>
        <v>0.38323353293413165</v>
      </c>
    </row>
    <row r="303" spans="1:10">
      <c r="A303" s="3">
        <v>240</v>
      </c>
      <c r="B303" t="s">
        <v>322</v>
      </c>
      <c r="C303" t="s">
        <v>8</v>
      </c>
      <c r="E303" s="3">
        <f t="shared" si="13"/>
        <v>3</v>
      </c>
      <c r="F303" s="5">
        <v>44132.625</v>
      </c>
      <c r="G303" s="19" t="str">
        <f t="shared" si="15"/>
        <v/>
      </c>
      <c r="J303" s="28">
        <f t="shared" si="16"/>
        <v>0.27659574468085113</v>
      </c>
    </row>
    <row r="304" spans="1:10">
      <c r="A304" s="3">
        <v>237</v>
      </c>
      <c r="B304" t="s">
        <v>323</v>
      </c>
      <c r="C304" t="s">
        <v>8</v>
      </c>
      <c r="E304" s="3">
        <f t="shared" si="13"/>
        <v>4</v>
      </c>
      <c r="F304" s="5">
        <v>44133.625</v>
      </c>
      <c r="G304" s="19" t="str">
        <f t="shared" si="15"/>
        <v/>
      </c>
      <c r="J304" s="28">
        <f t="shared" si="16"/>
        <v>7.7272727272727382E-2</v>
      </c>
    </row>
    <row r="305" spans="1:10">
      <c r="A305" s="3">
        <v>220</v>
      </c>
      <c r="B305" t="s">
        <v>324</v>
      </c>
      <c r="C305" t="s">
        <v>8</v>
      </c>
      <c r="E305" s="3">
        <f t="shared" si="13"/>
        <v>5</v>
      </c>
      <c r="F305" s="5">
        <v>44134.625</v>
      </c>
      <c r="G305" s="19" t="str">
        <f t="shared" si="15"/>
        <v/>
      </c>
      <c r="J305" s="28">
        <f t="shared" si="16"/>
        <v>0.13989637305699487</v>
      </c>
    </row>
    <row r="306" spans="1:10">
      <c r="A306" s="3">
        <v>121</v>
      </c>
      <c r="B306" t="s">
        <v>325</v>
      </c>
      <c r="C306" t="s">
        <v>8</v>
      </c>
      <c r="E306" s="3">
        <f t="shared" si="13"/>
        <v>6</v>
      </c>
      <c r="F306" s="5">
        <v>44135.625</v>
      </c>
      <c r="G306" s="19" t="str">
        <f t="shared" si="15"/>
        <v/>
      </c>
      <c r="J306" s="28">
        <f t="shared" si="16"/>
        <v>0.13084112149532712</v>
      </c>
    </row>
    <row r="307" spans="1:10">
      <c r="A307" s="3">
        <v>150</v>
      </c>
      <c r="B307" t="s">
        <v>326</v>
      </c>
      <c r="C307" t="s">
        <v>8</v>
      </c>
      <c r="E307" s="3">
        <f t="shared" si="13"/>
        <v>7</v>
      </c>
      <c r="F307" s="5">
        <v>44136.625</v>
      </c>
      <c r="G307" s="19" t="str">
        <f t="shared" si="15"/>
        <v/>
      </c>
      <c r="J307" s="28">
        <f t="shared" si="16"/>
        <v>0.20967741935483875</v>
      </c>
    </row>
    <row r="308" spans="1:10" s="10" customFormat="1">
      <c r="A308" s="14">
        <v>288</v>
      </c>
      <c r="B308" s="10" t="s">
        <v>327</v>
      </c>
      <c r="C308" s="10" t="s">
        <v>8</v>
      </c>
      <c r="E308" s="14">
        <f t="shared" si="13"/>
        <v>1</v>
      </c>
      <c r="F308" s="18">
        <v>44137.625</v>
      </c>
      <c r="G308" s="19" t="str">
        <f t="shared" si="15"/>
        <v>W45</v>
      </c>
      <c r="H308">
        <f>SUM(A308:A314)</f>
        <v>1418</v>
      </c>
      <c r="I308" s="28">
        <f>H308/H301-1</f>
        <v>-2.4759284731774467E-2</v>
      </c>
      <c r="J308" s="28">
        <f t="shared" si="16"/>
        <v>0.12941176470588234</v>
      </c>
    </row>
    <row r="309" spans="1:10">
      <c r="A309" s="3">
        <v>241</v>
      </c>
      <c r="B309" t="s">
        <v>328</v>
      </c>
      <c r="C309" t="s">
        <v>8</v>
      </c>
      <c r="E309" s="3">
        <f t="shared" si="13"/>
        <v>2</v>
      </c>
      <c r="F309" s="5">
        <v>44138.625</v>
      </c>
      <c r="G309" s="19" t="str">
        <f t="shared" ref="G309:G372" si="17">IF(WEEKDAY(F309,2)=1,"W"&amp;WEEKNUM(F309,14),"")</f>
        <v/>
      </c>
      <c r="J309" s="28">
        <f t="shared" si="16"/>
        <v>4.3290043290043378E-2</v>
      </c>
    </row>
    <row r="310" spans="1:10">
      <c r="A310" s="3">
        <v>213</v>
      </c>
      <c r="B310" t="s">
        <v>329</v>
      </c>
      <c r="C310" t="s">
        <v>8</v>
      </c>
      <c r="E310" s="3">
        <f t="shared" si="13"/>
        <v>3</v>
      </c>
      <c r="F310" s="5">
        <v>44139.625</v>
      </c>
      <c r="G310" s="19" t="str">
        <f t="shared" si="17"/>
        <v/>
      </c>
      <c r="J310" s="28">
        <f t="shared" si="16"/>
        <v>-0.11250000000000004</v>
      </c>
    </row>
    <row r="311" spans="1:10">
      <c r="A311" s="3">
        <v>219</v>
      </c>
      <c r="B311" t="s">
        <v>330</v>
      </c>
      <c r="C311" t="s">
        <v>8</v>
      </c>
      <c r="E311" s="3">
        <f t="shared" si="13"/>
        <v>4</v>
      </c>
      <c r="F311" s="5">
        <v>44140.625</v>
      </c>
      <c r="G311" s="19" t="str">
        <f t="shared" si="17"/>
        <v/>
      </c>
      <c r="J311" s="28">
        <f t="shared" si="16"/>
        <v>-7.5949367088607556E-2</v>
      </c>
    </row>
    <row r="312" spans="1:10">
      <c r="A312" s="3">
        <v>196</v>
      </c>
      <c r="B312" t="s">
        <v>331</v>
      </c>
      <c r="C312" t="s">
        <v>8</v>
      </c>
      <c r="E312" s="3">
        <f t="shared" si="13"/>
        <v>5</v>
      </c>
      <c r="F312" s="5">
        <v>44141.625</v>
      </c>
      <c r="G312" s="19" t="str">
        <f t="shared" si="17"/>
        <v/>
      </c>
      <c r="J312" s="28">
        <f t="shared" si="16"/>
        <v>-0.10909090909090913</v>
      </c>
    </row>
    <row r="313" spans="1:10">
      <c r="A313" s="3">
        <v>128</v>
      </c>
      <c r="B313" t="s">
        <v>332</v>
      </c>
      <c r="C313" t="s">
        <v>8</v>
      </c>
      <c r="E313" s="3">
        <f t="shared" si="13"/>
        <v>6</v>
      </c>
      <c r="F313" s="5">
        <v>44142.625</v>
      </c>
      <c r="G313" s="19" t="str">
        <f t="shared" si="17"/>
        <v/>
      </c>
      <c r="J313" s="28">
        <f t="shared" si="16"/>
        <v>5.7851239669421517E-2</v>
      </c>
    </row>
    <row r="314" spans="1:10">
      <c r="A314" s="3">
        <v>133</v>
      </c>
      <c r="B314" t="s">
        <v>333</v>
      </c>
      <c r="C314" t="s">
        <v>8</v>
      </c>
      <c r="E314" s="3">
        <f t="shared" si="13"/>
        <v>7</v>
      </c>
      <c r="F314" s="5">
        <v>44143.625</v>
      </c>
      <c r="G314" s="19" t="str">
        <f t="shared" si="17"/>
        <v/>
      </c>
      <c r="J314" s="28">
        <f t="shared" si="16"/>
        <v>-0.11333333333333329</v>
      </c>
    </row>
    <row r="315" spans="1:10">
      <c r="A315" s="3">
        <v>273</v>
      </c>
      <c r="B315" t="s">
        <v>334</v>
      </c>
      <c r="C315" t="s">
        <v>8</v>
      </c>
      <c r="E315" s="3">
        <f t="shared" si="13"/>
        <v>1</v>
      </c>
      <c r="F315" s="5">
        <v>44144.625</v>
      </c>
      <c r="G315" s="19" t="str">
        <f t="shared" si="17"/>
        <v>W46</v>
      </c>
      <c r="H315">
        <f>SUM(A315:A321)</f>
        <v>1649</v>
      </c>
      <c r="I315" s="28">
        <f>H315/H308-1</f>
        <v>0.1629055007052187</v>
      </c>
      <c r="J315" s="28">
        <f t="shared" si="16"/>
        <v>-5.208333333333337E-2</v>
      </c>
    </row>
    <row r="316" spans="1:10">
      <c r="A316" s="3">
        <v>206</v>
      </c>
      <c r="B316" t="s">
        <v>335</v>
      </c>
      <c r="C316" t="s">
        <v>8</v>
      </c>
      <c r="E316" s="3">
        <f t="shared" si="13"/>
        <v>2</v>
      </c>
      <c r="F316" s="5">
        <v>44145.625</v>
      </c>
      <c r="G316" s="19" t="str">
        <f t="shared" si="17"/>
        <v/>
      </c>
      <c r="J316" s="28">
        <f t="shared" si="16"/>
        <v>-0.14522821576763489</v>
      </c>
    </row>
    <row r="317" spans="1:10">
      <c r="A317" s="3">
        <v>294</v>
      </c>
      <c r="B317" t="s">
        <v>336</v>
      </c>
      <c r="C317" t="s">
        <v>8</v>
      </c>
      <c r="E317" s="3">
        <f t="shared" si="13"/>
        <v>3</v>
      </c>
      <c r="F317" s="5">
        <v>44146.625</v>
      </c>
      <c r="G317" s="19" t="str">
        <f t="shared" si="17"/>
        <v/>
      </c>
      <c r="J317" s="28">
        <f t="shared" si="16"/>
        <v>0.38028169014084501</v>
      </c>
    </row>
    <row r="318" spans="1:10">
      <c r="A318" s="3">
        <v>282</v>
      </c>
      <c r="B318" t="s">
        <v>337</v>
      </c>
      <c r="C318" t="s">
        <v>8</v>
      </c>
      <c r="E318" s="3">
        <f t="shared" si="13"/>
        <v>4</v>
      </c>
      <c r="F318" s="5">
        <v>44147.625</v>
      </c>
      <c r="G318" s="19" t="str">
        <f t="shared" si="17"/>
        <v/>
      </c>
      <c r="J318" s="28">
        <f t="shared" si="16"/>
        <v>0.28767123287671237</v>
      </c>
    </row>
    <row r="319" spans="1:10">
      <c r="A319" s="3">
        <v>268</v>
      </c>
      <c r="B319" t="s">
        <v>338</v>
      </c>
      <c r="C319" t="s">
        <v>8</v>
      </c>
      <c r="E319" s="3">
        <f t="shared" si="13"/>
        <v>5</v>
      </c>
      <c r="F319" s="5">
        <v>44148.625</v>
      </c>
      <c r="G319" s="19" t="str">
        <f t="shared" si="17"/>
        <v/>
      </c>
      <c r="J319" s="28">
        <f t="shared" si="16"/>
        <v>0.36734693877551017</v>
      </c>
    </row>
    <row r="320" spans="1:10">
      <c r="A320" s="3">
        <v>145</v>
      </c>
      <c r="B320" t="s">
        <v>339</v>
      </c>
      <c r="C320" t="s">
        <v>8</v>
      </c>
      <c r="E320" s="3">
        <f t="shared" si="13"/>
        <v>6</v>
      </c>
      <c r="F320" s="5">
        <v>44149.625</v>
      </c>
      <c r="G320" s="19" t="str">
        <f t="shared" si="17"/>
        <v/>
      </c>
      <c r="J320" s="28">
        <f t="shared" si="16"/>
        <v>0.1328125</v>
      </c>
    </row>
    <row r="321" spans="1:10">
      <c r="A321" s="3">
        <v>181</v>
      </c>
      <c r="B321" t="s">
        <v>340</v>
      </c>
      <c r="C321" t="s">
        <v>8</v>
      </c>
      <c r="E321" s="3">
        <f t="shared" si="13"/>
        <v>7</v>
      </c>
      <c r="F321" s="5">
        <v>44150.625</v>
      </c>
      <c r="G321" s="19" t="str">
        <f t="shared" si="17"/>
        <v/>
      </c>
      <c r="J321" s="28">
        <f t="shared" si="16"/>
        <v>0.36090225563909772</v>
      </c>
    </row>
    <row r="322" spans="1:10">
      <c r="A322" s="3">
        <v>392</v>
      </c>
      <c r="B322" t="s">
        <v>341</v>
      </c>
      <c r="C322" t="s">
        <v>8</v>
      </c>
      <c r="E322" s="3">
        <f t="shared" si="13"/>
        <v>1</v>
      </c>
      <c r="F322" s="5">
        <v>44151.625</v>
      </c>
      <c r="G322" s="19" t="str">
        <f t="shared" si="17"/>
        <v>W47</v>
      </c>
      <c r="H322">
        <f>SUM(A322:A328)</f>
        <v>2595</v>
      </c>
      <c r="I322" s="28">
        <f>H322/H315-1</f>
        <v>0.57368101879927225</v>
      </c>
      <c r="J322" s="28">
        <f t="shared" si="16"/>
        <v>0.4358974358974359</v>
      </c>
    </row>
    <row r="323" spans="1:10">
      <c r="A323" s="3">
        <v>388</v>
      </c>
      <c r="B323" t="s">
        <v>342</v>
      </c>
      <c r="C323" t="s">
        <v>8</v>
      </c>
      <c r="E323" s="3">
        <f t="shared" ref="E323" si="18">WEEKDAY(F323,2)</f>
        <v>2</v>
      </c>
      <c r="F323" s="5">
        <v>44152.625</v>
      </c>
      <c r="G323" s="19" t="str">
        <f t="shared" si="17"/>
        <v/>
      </c>
      <c r="J323" s="28">
        <f t="shared" si="16"/>
        <v>0.88349514563106801</v>
      </c>
    </row>
    <row r="324" spans="1:10">
      <c r="A324" s="3">
        <v>375</v>
      </c>
      <c r="B324" t="s">
        <v>343</v>
      </c>
      <c r="C324" t="s">
        <v>8</v>
      </c>
      <c r="E324" s="3">
        <f t="shared" si="13"/>
        <v>3</v>
      </c>
      <c r="F324" s="5">
        <v>44153.625</v>
      </c>
      <c r="G324" s="19" t="str">
        <f t="shared" si="17"/>
        <v/>
      </c>
      <c r="J324" s="28">
        <f t="shared" si="16"/>
        <v>0.27551020408163263</v>
      </c>
    </row>
    <row r="325" spans="1:10">
      <c r="A325" s="3">
        <v>478</v>
      </c>
      <c r="B325" t="s">
        <v>344</v>
      </c>
      <c r="C325" t="s">
        <v>8</v>
      </c>
      <c r="E325" s="3">
        <f t="shared" ref="E325:E382" si="19">WEEKDAY(F325,2)</f>
        <v>4</v>
      </c>
      <c r="F325" s="5">
        <v>44154.625</v>
      </c>
      <c r="G325" s="19" t="str">
        <f t="shared" si="17"/>
        <v/>
      </c>
      <c r="J325" s="28">
        <f t="shared" si="16"/>
        <v>0.69503546099290769</v>
      </c>
    </row>
    <row r="326" spans="1:10">
      <c r="A326" s="3">
        <v>428</v>
      </c>
      <c r="B326" t="s">
        <v>345</v>
      </c>
      <c r="C326" t="s">
        <v>8</v>
      </c>
      <c r="E326" s="3">
        <f t="shared" si="19"/>
        <v>5</v>
      </c>
      <c r="F326" s="5">
        <v>44155.625</v>
      </c>
      <c r="G326" s="19" t="str">
        <f t="shared" si="17"/>
        <v/>
      </c>
      <c r="J326" s="28">
        <f t="shared" si="16"/>
        <v>0.59701492537313428</v>
      </c>
    </row>
    <row r="327" spans="1:10">
      <c r="A327" s="3">
        <v>268</v>
      </c>
      <c r="B327" t="s">
        <v>348</v>
      </c>
      <c r="C327" t="s">
        <v>8</v>
      </c>
      <c r="E327" s="3">
        <f t="shared" si="19"/>
        <v>6</v>
      </c>
      <c r="F327" s="5">
        <v>44156.625</v>
      </c>
      <c r="G327" s="19" t="str">
        <f t="shared" si="17"/>
        <v/>
      </c>
      <c r="J327" s="28">
        <f t="shared" si="16"/>
        <v>0.84827586206896544</v>
      </c>
    </row>
    <row r="328" spans="1:10">
      <c r="A328" s="3">
        <v>266</v>
      </c>
      <c r="B328" t="s">
        <v>349</v>
      </c>
      <c r="C328" t="s">
        <v>8</v>
      </c>
      <c r="E328" s="3">
        <f t="shared" si="19"/>
        <v>7</v>
      </c>
      <c r="F328" s="5">
        <v>44157.625</v>
      </c>
      <c r="G328" s="19" t="str">
        <f t="shared" si="17"/>
        <v/>
      </c>
      <c r="J328" s="28">
        <f t="shared" si="16"/>
        <v>0.46961325966850831</v>
      </c>
    </row>
    <row r="329" spans="1:10">
      <c r="A329" s="3">
        <v>504</v>
      </c>
      <c r="B329" t="s">
        <v>350</v>
      </c>
      <c r="C329" t="s">
        <v>8</v>
      </c>
      <c r="E329" s="3">
        <f t="shared" si="19"/>
        <v>1</v>
      </c>
      <c r="F329" s="5">
        <v>44158.625</v>
      </c>
      <c r="G329" s="19" t="str">
        <f t="shared" si="17"/>
        <v>W48</v>
      </c>
      <c r="H329">
        <f>SUM(A329:A335)</f>
        <v>3136</v>
      </c>
      <c r="I329" s="28">
        <f>H329/H322-1</f>
        <v>0.20847784200385355</v>
      </c>
      <c r="J329" s="28">
        <f t="shared" ref="J329:J392" si="20">A329/A322-1</f>
        <v>0.28571428571428581</v>
      </c>
    </row>
    <row r="330" spans="1:10">
      <c r="A330" s="3">
        <v>471</v>
      </c>
      <c r="B330" t="s">
        <v>351</v>
      </c>
      <c r="C330" t="s">
        <v>8</v>
      </c>
      <c r="E330" s="3">
        <f t="shared" si="19"/>
        <v>2</v>
      </c>
      <c r="F330" s="5">
        <v>44159.625</v>
      </c>
      <c r="G330" s="19" t="str">
        <f t="shared" si="17"/>
        <v/>
      </c>
      <c r="J330" s="28">
        <f t="shared" si="20"/>
        <v>0.21391752577319578</v>
      </c>
    </row>
    <row r="331" spans="1:10">
      <c r="A331" s="3">
        <v>619</v>
      </c>
      <c r="B331" t="s">
        <v>352</v>
      </c>
      <c r="C331" t="s">
        <v>8</v>
      </c>
      <c r="E331" s="3">
        <f t="shared" si="19"/>
        <v>3</v>
      </c>
      <c r="F331" s="5">
        <v>44160.625</v>
      </c>
      <c r="G331" s="19" t="str">
        <f t="shared" si="17"/>
        <v/>
      </c>
      <c r="J331" s="28">
        <f t="shared" si="20"/>
        <v>0.65066666666666673</v>
      </c>
    </row>
    <row r="332" spans="1:10">
      <c r="A332" s="3">
        <v>510</v>
      </c>
      <c r="B332" t="s">
        <v>355</v>
      </c>
      <c r="C332" t="s">
        <v>8</v>
      </c>
      <c r="E332" s="3">
        <f t="shared" si="19"/>
        <v>4</v>
      </c>
      <c r="F332" s="5">
        <v>44161.625</v>
      </c>
      <c r="G332" s="19" t="str">
        <f t="shared" si="17"/>
        <v/>
      </c>
      <c r="J332" s="28">
        <f t="shared" si="20"/>
        <v>6.6945606694560622E-2</v>
      </c>
    </row>
    <row r="333" spans="1:10">
      <c r="A333" s="3">
        <v>455</v>
      </c>
      <c r="B333" t="s">
        <v>356</v>
      </c>
      <c r="C333" t="s">
        <v>8</v>
      </c>
      <c r="E333" s="3">
        <f t="shared" si="19"/>
        <v>5</v>
      </c>
      <c r="F333" s="5">
        <v>44162.625</v>
      </c>
      <c r="G333" s="19" t="str">
        <f t="shared" si="17"/>
        <v/>
      </c>
      <c r="J333" s="28">
        <f t="shared" si="20"/>
        <v>6.308411214953269E-2</v>
      </c>
    </row>
    <row r="334" spans="1:10">
      <c r="A334" s="3">
        <v>284</v>
      </c>
      <c r="B334" t="s">
        <v>357</v>
      </c>
      <c r="C334" t="s">
        <v>8</v>
      </c>
      <c r="E334" s="3">
        <f t="shared" si="19"/>
        <v>6</v>
      </c>
      <c r="F334" s="5">
        <v>44163.625</v>
      </c>
      <c r="G334" s="19" t="str">
        <f t="shared" si="17"/>
        <v/>
      </c>
      <c r="J334" s="28">
        <f t="shared" si="20"/>
        <v>5.9701492537313383E-2</v>
      </c>
    </row>
    <row r="335" spans="1:10">
      <c r="A335" s="3">
        <v>293</v>
      </c>
      <c r="B335" t="s">
        <v>358</v>
      </c>
      <c r="C335" t="s">
        <v>8</v>
      </c>
      <c r="E335" s="3">
        <f t="shared" si="19"/>
        <v>7</v>
      </c>
      <c r="F335" s="5">
        <v>44164.625</v>
      </c>
      <c r="G335" s="19" t="str">
        <f t="shared" si="17"/>
        <v/>
      </c>
      <c r="J335" s="28">
        <f t="shared" si="20"/>
        <v>0.10150375939849621</v>
      </c>
    </row>
    <row r="336" spans="1:10">
      <c r="A336" s="3">
        <v>595</v>
      </c>
      <c r="B336" t="s">
        <v>359</v>
      </c>
      <c r="C336" t="s">
        <v>8</v>
      </c>
      <c r="E336" s="3">
        <f t="shared" si="19"/>
        <v>1</v>
      </c>
      <c r="F336" s="5">
        <v>44165.625</v>
      </c>
      <c r="G336" s="19" t="str">
        <f t="shared" si="17"/>
        <v>W49</v>
      </c>
      <c r="H336">
        <f>SUM(A336:A342)</f>
        <v>3011</v>
      </c>
      <c r="I336" s="28">
        <f>H336/H329-1</f>
        <v>-3.9859693877551061E-2</v>
      </c>
      <c r="J336" s="28">
        <f t="shared" si="20"/>
        <v>0.18055555555555558</v>
      </c>
    </row>
    <row r="337" spans="1:10">
      <c r="A337" s="3">
        <v>439</v>
      </c>
      <c r="B337" t="s">
        <v>361</v>
      </c>
      <c r="C337" t="s">
        <v>8</v>
      </c>
      <c r="E337" s="3">
        <f t="shared" si="19"/>
        <v>2</v>
      </c>
      <c r="F337" s="5">
        <v>44166.625</v>
      </c>
      <c r="G337" s="19" t="str">
        <f t="shared" si="17"/>
        <v/>
      </c>
      <c r="J337" s="28">
        <f t="shared" si="20"/>
        <v>-6.7940552016985123E-2</v>
      </c>
    </row>
    <row r="338" spans="1:10">
      <c r="A338" s="3">
        <v>495</v>
      </c>
      <c r="B338" t="s">
        <v>362</v>
      </c>
      <c r="C338" t="s">
        <v>8</v>
      </c>
      <c r="E338" s="3">
        <f t="shared" si="19"/>
        <v>3</v>
      </c>
      <c r="F338" s="5">
        <v>44167.625</v>
      </c>
      <c r="G338" s="19" t="str">
        <f t="shared" si="17"/>
        <v/>
      </c>
      <c r="J338" s="28">
        <f t="shared" si="20"/>
        <v>-0.20032310177705981</v>
      </c>
    </row>
    <row r="339" spans="1:10">
      <c r="A339" s="3">
        <v>477</v>
      </c>
      <c r="B339" t="s">
        <v>363</v>
      </c>
      <c r="C339" t="s">
        <v>8</v>
      </c>
      <c r="E339" s="3">
        <f t="shared" si="19"/>
        <v>4</v>
      </c>
      <c r="F339" s="5">
        <v>44168.625</v>
      </c>
      <c r="G339" s="19" t="str">
        <f t="shared" si="17"/>
        <v/>
      </c>
      <c r="J339" s="28">
        <f t="shared" si="20"/>
        <v>-6.4705882352941169E-2</v>
      </c>
    </row>
    <row r="340" spans="1:10">
      <c r="A340" s="3">
        <v>472</v>
      </c>
      <c r="B340" t="s">
        <v>364</v>
      </c>
      <c r="C340" t="s">
        <v>8</v>
      </c>
      <c r="E340" s="3">
        <f t="shared" si="19"/>
        <v>5</v>
      </c>
      <c r="F340" s="5">
        <v>44169.625</v>
      </c>
      <c r="G340" s="19" t="str">
        <f t="shared" si="17"/>
        <v/>
      </c>
      <c r="J340" s="28">
        <f t="shared" si="20"/>
        <v>3.7362637362637452E-2</v>
      </c>
    </row>
    <row r="341" spans="1:10">
      <c r="A341" s="3">
        <v>250</v>
      </c>
      <c r="B341" t="s">
        <v>365</v>
      </c>
      <c r="C341" t="s">
        <v>8</v>
      </c>
      <c r="E341" s="3">
        <f t="shared" si="19"/>
        <v>6</v>
      </c>
      <c r="F341" s="5">
        <v>44170.625</v>
      </c>
      <c r="G341" s="19" t="str">
        <f t="shared" si="17"/>
        <v/>
      </c>
      <c r="J341" s="28">
        <f t="shared" si="20"/>
        <v>-0.11971830985915488</v>
      </c>
    </row>
    <row r="342" spans="1:10">
      <c r="A342" s="3">
        <v>283</v>
      </c>
      <c r="B342" t="s">
        <v>366</v>
      </c>
      <c r="C342" t="s">
        <v>8</v>
      </c>
      <c r="E342" s="3">
        <f t="shared" si="19"/>
        <v>7</v>
      </c>
      <c r="F342" s="5">
        <v>44171.625</v>
      </c>
      <c r="G342" s="19" t="str">
        <f t="shared" si="17"/>
        <v/>
      </c>
      <c r="J342" s="28">
        <f t="shared" si="20"/>
        <v>-3.4129692832764458E-2</v>
      </c>
    </row>
    <row r="343" spans="1:10">
      <c r="A343" s="3">
        <v>587</v>
      </c>
      <c r="B343" t="s">
        <v>367</v>
      </c>
      <c r="C343" t="s">
        <v>8</v>
      </c>
      <c r="E343" s="3">
        <f t="shared" si="19"/>
        <v>1</v>
      </c>
      <c r="F343" s="5">
        <v>44172.625</v>
      </c>
      <c r="G343" s="19" t="str">
        <f t="shared" ref="G343" si="21">IF(WEEKDAY(F343,2)=1,"W"&amp;WEEKNUM(F343,14),"")</f>
        <v>W50</v>
      </c>
      <c r="H343">
        <f>SUM(A343:A349)</f>
        <v>2905</v>
      </c>
      <c r="I343" s="28">
        <f>H343/H336-1</f>
        <v>-3.5204251079375637E-2</v>
      </c>
      <c r="J343" s="28">
        <f t="shared" si="20"/>
        <v>-1.3445378151260456E-2</v>
      </c>
    </row>
    <row r="344" spans="1:10">
      <c r="A344" s="3">
        <v>478</v>
      </c>
      <c r="B344" t="s">
        <v>368</v>
      </c>
      <c r="C344" t="s">
        <v>8</v>
      </c>
      <c r="E344" s="3">
        <f t="shared" si="19"/>
        <v>2</v>
      </c>
      <c r="F344" s="5">
        <v>44173.625</v>
      </c>
      <c r="G344" s="19" t="str">
        <f t="shared" si="17"/>
        <v/>
      </c>
      <c r="J344" s="28">
        <f t="shared" si="20"/>
        <v>8.8838268792710728E-2</v>
      </c>
    </row>
    <row r="345" spans="1:10">
      <c r="A345" s="3">
        <v>462</v>
      </c>
      <c r="B345" t="s">
        <v>369</v>
      </c>
      <c r="C345" t="s">
        <v>8</v>
      </c>
      <c r="E345" s="3">
        <f t="shared" si="19"/>
        <v>3</v>
      </c>
      <c r="F345" s="5">
        <v>44174.625</v>
      </c>
      <c r="G345" s="19" t="str">
        <f t="shared" si="17"/>
        <v/>
      </c>
      <c r="J345" s="28">
        <f t="shared" si="20"/>
        <v>-6.6666666666666652E-2</v>
      </c>
    </row>
    <row r="346" spans="1:10">
      <c r="A346" s="3">
        <v>407</v>
      </c>
      <c r="B346" t="s">
        <v>370</v>
      </c>
      <c r="C346" t="s">
        <v>8</v>
      </c>
      <c r="E346" s="3">
        <f t="shared" si="19"/>
        <v>4</v>
      </c>
      <c r="F346" s="5">
        <v>44175.625</v>
      </c>
      <c r="G346" s="19" t="str">
        <f t="shared" si="17"/>
        <v/>
      </c>
      <c r="J346" s="28">
        <f t="shared" si="20"/>
        <v>-0.14675052410901468</v>
      </c>
    </row>
    <row r="347" spans="1:10">
      <c r="A347" s="3">
        <v>445</v>
      </c>
      <c r="B347" t="s">
        <v>371</v>
      </c>
      <c r="C347" t="s">
        <v>8</v>
      </c>
      <c r="E347" s="3">
        <f t="shared" si="19"/>
        <v>5</v>
      </c>
      <c r="F347" s="5">
        <v>44176.625</v>
      </c>
      <c r="G347" s="19" t="str">
        <f t="shared" si="17"/>
        <v/>
      </c>
      <c r="J347" s="28">
        <f t="shared" si="20"/>
        <v>-5.7203389830508433E-2</v>
      </c>
    </row>
    <row r="348" spans="1:10">
      <c r="A348" s="3">
        <v>250</v>
      </c>
      <c r="B348" t="s">
        <v>372</v>
      </c>
      <c r="C348" t="s">
        <v>8</v>
      </c>
      <c r="E348" s="3">
        <f t="shared" si="19"/>
        <v>6</v>
      </c>
      <c r="F348" s="5">
        <v>44177.625</v>
      </c>
      <c r="G348" s="19" t="str">
        <f t="shared" si="17"/>
        <v/>
      </c>
      <c r="J348" s="28">
        <f t="shared" si="20"/>
        <v>0</v>
      </c>
    </row>
    <row r="349" spans="1:10">
      <c r="A349" s="3">
        <v>276</v>
      </c>
      <c r="B349" t="s">
        <v>373</v>
      </c>
      <c r="C349" t="s">
        <v>8</v>
      </c>
      <c r="E349" s="3">
        <f t="shared" si="19"/>
        <v>7</v>
      </c>
      <c r="F349" s="5">
        <v>44178.625</v>
      </c>
      <c r="G349" s="19" t="str">
        <f t="shared" si="17"/>
        <v/>
      </c>
      <c r="J349" s="28">
        <f t="shared" si="20"/>
        <v>-2.4734982332155431E-2</v>
      </c>
    </row>
    <row r="350" spans="1:10">
      <c r="A350" s="3">
        <v>463</v>
      </c>
      <c r="B350" t="s">
        <v>374</v>
      </c>
      <c r="C350" t="s">
        <v>8</v>
      </c>
      <c r="E350" s="3">
        <f t="shared" si="19"/>
        <v>1</v>
      </c>
      <c r="F350" s="5">
        <v>44179.625</v>
      </c>
      <c r="G350" s="19" t="str">
        <f t="shared" ref="G350" si="22">IF(WEEKDAY(F350,2)=1,"W"&amp;WEEKNUM(F350,14),"")</f>
        <v>W51</v>
      </c>
      <c r="H350">
        <f>SUM(A350:A356)</f>
        <v>2325</v>
      </c>
      <c r="I350" s="28">
        <f>H350/H343-1</f>
        <v>-0.19965576592082612</v>
      </c>
      <c r="J350" s="28">
        <f t="shared" si="20"/>
        <v>-0.21124361158432714</v>
      </c>
    </row>
    <row r="351" spans="1:10">
      <c r="A351" s="3">
        <v>359</v>
      </c>
      <c r="B351" t="s">
        <v>375</v>
      </c>
      <c r="C351" t="s">
        <v>8</v>
      </c>
      <c r="E351" s="3">
        <f t="shared" si="19"/>
        <v>2</v>
      </c>
      <c r="F351" s="5">
        <v>44180.625</v>
      </c>
      <c r="G351" s="19" t="str">
        <f t="shared" si="17"/>
        <v/>
      </c>
      <c r="J351" s="28">
        <f t="shared" si="20"/>
        <v>-0.2489539748953975</v>
      </c>
    </row>
    <row r="352" spans="1:10">
      <c r="A352" s="3">
        <v>353</v>
      </c>
      <c r="B352" t="s">
        <v>376</v>
      </c>
      <c r="C352" t="s">
        <v>8</v>
      </c>
      <c r="E352" s="3">
        <f t="shared" si="19"/>
        <v>3</v>
      </c>
      <c r="F352" s="5">
        <v>44181.625</v>
      </c>
      <c r="G352" s="19" t="str">
        <f t="shared" si="17"/>
        <v/>
      </c>
      <c r="J352" s="28">
        <f t="shared" si="20"/>
        <v>-0.23593073593073588</v>
      </c>
    </row>
    <row r="353" spans="1:10">
      <c r="A353" s="3">
        <v>323</v>
      </c>
      <c r="B353" t="s">
        <v>377</v>
      </c>
      <c r="C353" t="s">
        <v>8</v>
      </c>
      <c r="E353" s="3">
        <f t="shared" si="19"/>
        <v>4</v>
      </c>
      <c r="F353" s="5">
        <v>44182.625</v>
      </c>
      <c r="G353" s="19" t="str">
        <f t="shared" si="17"/>
        <v/>
      </c>
      <c r="J353" s="28">
        <f t="shared" si="20"/>
        <v>-0.20638820638820643</v>
      </c>
    </row>
    <row r="354" spans="1:10">
      <c r="A354" s="3">
        <v>393</v>
      </c>
      <c r="B354" t="s">
        <v>378</v>
      </c>
      <c r="C354" t="s">
        <v>8</v>
      </c>
      <c r="E354" s="3">
        <f t="shared" si="19"/>
        <v>5</v>
      </c>
      <c r="F354" s="5">
        <v>44183.625</v>
      </c>
      <c r="G354" s="19" t="str">
        <f t="shared" si="17"/>
        <v/>
      </c>
      <c r="J354" s="28">
        <f t="shared" si="20"/>
        <v>-0.11685393258426968</v>
      </c>
    </row>
    <row r="355" spans="1:10">
      <c r="A355" s="3">
        <v>190</v>
      </c>
      <c r="B355" t="s">
        <v>379</v>
      </c>
      <c r="C355" t="s">
        <v>8</v>
      </c>
      <c r="E355" s="3">
        <f t="shared" si="19"/>
        <v>6</v>
      </c>
      <c r="F355" s="5">
        <v>44184.625</v>
      </c>
      <c r="G355" s="19" t="str">
        <f t="shared" si="17"/>
        <v/>
      </c>
      <c r="J355" s="28">
        <f t="shared" si="20"/>
        <v>-0.24</v>
      </c>
    </row>
    <row r="356" spans="1:10">
      <c r="A356" s="3">
        <v>244</v>
      </c>
      <c r="B356" t="s">
        <v>380</v>
      </c>
      <c r="C356" t="s">
        <v>8</v>
      </c>
      <c r="E356" s="3">
        <f t="shared" si="19"/>
        <v>7</v>
      </c>
      <c r="F356" s="5">
        <v>44185.625</v>
      </c>
      <c r="G356" s="19" t="str">
        <f t="shared" si="17"/>
        <v/>
      </c>
      <c r="J356" s="28">
        <f t="shared" si="20"/>
        <v>-0.11594202898550721</v>
      </c>
    </row>
    <row r="357" spans="1:10">
      <c r="A357" s="3">
        <v>375</v>
      </c>
      <c r="B357" t="s">
        <v>381</v>
      </c>
      <c r="C357" t="s">
        <v>8</v>
      </c>
      <c r="E357" s="3">
        <f t="shared" si="19"/>
        <v>1</v>
      </c>
      <c r="F357" s="5">
        <v>44186.625</v>
      </c>
      <c r="G357" s="19" t="str">
        <f t="shared" ref="G357" si="23">IF(WEEKDAY(F357,2)=1,"W"&amp;WEEKNUM(F357,14),"")</f>
        <v>W52</v>
      </c>
      <c r="H357">
        <f>SUM(A357:A363)</f>
        <v>1653</v>
      </c>
      <c r="I357" s="28">
        <f>H357/H350-1</f>
        <v>-0.28903225806451616</v>
      </c>
      <c r="J357" s="28">
        <f t="shared" si="20"/>
        <v>-0.19006479481641469</v>
      </c>
    </row>
    <row r="358" spans="1:10">
      <c r="A358" s="3">
        <v>332</v>
      </c>
      <c r="B358" t="s">
        <v>382</v>
      </c>
      <c r="C358" t="s">
        <v>8</v>
      </c>
      <c r="E358" s="3">
        <f t="shared" si="19"/>
        <v>2</v>
      </c>
      <c r="F358" s="5">
        <v>44187.625</v>
      </c>
      <c r="G358" s="19" t="str">
        <f t="shared" si="17"/>
        <v/>
      </c>
      <c r="J358" s="28">
        <f t="shared" si="20"/>
        <v>-7.5208913649025044E-2</v>
      </c>
    </row>
    <row r="359" spans="1:10">
      <c r="A359" s="3">
        <v>277</v>
      </c>
      <c r="B359" t="s">
        <v>383</v>
      </c>
      <c r="C359" t="s">
        <v>8</v>
      </c>
      <c r="E359" s="3">
        <f t="shared" si="19"/>
        <v>3</v>
      </c>
      <c r="F359" s="5">
        <v>44188.625</v>
      </c>
      <c r="G359" s="19" t="str">
        <f t="shared" si="17"/>
        <v/>
      </c>
      <c r="J359" s="28">
        <f t="shared" si="20"/>
        <v>-0.2152974504249292</v>
      </c>
    </row>
    <row r="360" spans="1:10">
      <c r="A360" s="3">
        <v>138</v>
      </c>
      <c r="B360" t="s">
        <v>384</v>
      </c>
      <c r="C360" t="s">
        <v>8</v>
      </c>
      <c r="E360" s="3">
        <f t="shared" si="19"/>
        <v>4</v>
      </c>
      <c r="F360" s="5">
        <v>44189.625</v>
      </c>
      <c r="G360" s="19" t="str">
        <f t="shared" si="17"/>
        <v/>
      </c>
      <c r="J360" s="28">
        <f t="shared" si="20"/>
        <v>-0.5727554179566563</v>
      </c>
    </row>
    <row r="361" spans="1:10">
      <c r="A361" s="3">
        <v>157</v>
      </c>
      <c r="B361" t="s">
        <v>385</v>
      </c>
      <c r="C361" t="s">
        <v>8</v>
      </c>
      <c r="E361" s="3">
        <f t="shared" si="19"/>
        <v>5</v>
      </c>
      <c r="F361" s="5">
        <v>44190.625</v>
      </c>
      <c r="G361" s="19" t="str">
        <f t="shared" si="17"/>
        <v/>
      </c>
      <c r="J361" s="28">
        <f t="shared" si="20"/>
        <v>-0.60050890585241734</v>
      </c>
    </row>
    <row r="362" spans="1:10">
      <c r="A362" s="3">
        <v>183</v>
      </c>
      <c r="B362" t="s">
        <v>386</v>
      </c>
      <c r="C362" t="s">
        <v>8</v>
      </c>
      <c r="E362" s="3">
        <f t="shared" si="19"/>
        <v>6</v>
      </c>
      <c r="F362" s="5">
        <v>44191.625</v>
      </c>
      <c r="G362" s="19" t="str">
        <f t="shared" si="17"/>
        <v/>
      </c>
      <c r="J362" s="28">
        <f t="shared" si="20"/>
        <v>-3.6842105263157898E-2</v>
      </c>
    </row>
    <row r="363" spans="1:10">
      <c r="A363" s="3">
        <v>191</v>
      </c>
      <c r="B363" t="s">
        <v>387</v>
      </c>
      <c r="C363" t="s">
        <v>8</v>
      </c>
      <c r="E363" s="3">
        <f t="shared" si="19"/>
        <v>7</v>
      </c>
      <c r="F363" s="5">
        <v>44192.625</v>
      </c>
      <c r="G363" s="19" t="str">
        <f t="shared" si="17"/>
        <v/>
      </c>
      <c r="J363" s="28">
        <f t="shared" si="20"/>
        <v>-0.21721311475409832</v>
      </c>
    </row>
    <row r="364" spans="1:10">
      <c r="A364" s="3">
        <v>437</v>
      </c>
      <c r="B364" t="s">
        <v>388</v>
      </c>
      <c r="C364" t="s">
        <v>8</v>
      </c>
      <c r="E364" s="3">
        <f t="shared" si="19"/>
        <v>1</v>
      </c>
      <c r="F364" s="5">
        <v>44193.625</v>
      </c>
      <c r="G364" s="19" t="str">
        <f t="shared" ref="G364" si="24">IF(WEEKDAY(F364,2)=1,"W"&amp;WEEKNUM(F364,14),"")</f>
        <v>W53</v>
      </c>
      <c r="H364">
        <f>SUM(A364:A370)</f>
        <v>1757</v>
      </c>
      <c r="I364" s="28">
        <f>H364/H357-1</f>
        <v>6.291591046581968E-2</v>
      </c>
      <c r="J364" s="28">
        <f t="shared" si="20"/>
        <v>0.16533333333333333</v>
      </c>
    </row>
    <row r="365" spans="1:10">
      <c r="A365" s="3">
        <v>307</v>
      </c>
      <c r="B365" t="s">
        <v>389</v>
      </c>
      <c r="C365" t="s">
        <v>8</v>
      </c>
      <c r="E365" s="3">
        <f t="shared" si="19"/>
        <v>2</v>
      </c>
      <c r="F365" s="5">
        <v>44194.625</v>
      </c>
      <c r="G365" s="19" t="str">
        <f t="shared" si="17"/>
        <v/>
      </c>
      <c r="J365" s="28">
        <f t="shared" si="20"/>
        <v>-7.5301204819277157E-2</v>
      </c>
    </row>
    <row r="366" spans="1:10">
      <c r="A366" s="3">
        <v>256</v>
      </c>
      <c r="B366" t="s">
        <v>390</v>
      </c>
      <c r="C366" t="s">
        <v>8</v>
      </c>
      <c r="E366" s="3">
        <f t="shared" si="19"/>
        <v>3</v>
      </c>
      <c r="F366" s="5">
        <v>44195.625</v>
      </c>
      <c r="G366" s="19" t="str">
        <f t="shared" si="17"/>
        <v/>
      </c>
      <c r="J366" s="28">
        <f t="shared" si="20"/>
        <v>-7.5812274368231014E-2</v>
      </c>
    </row>
    <row r="367" spans="1:10">
      <c r="A367" s="3">
        <v>253</v>
      </c>
      <c r="B367" t="s">
        <v>391</v>
      </c>
      <c r="C367" t="s">
        <v>8</v>
      </c>
      <c r="E367" s="3">
        <f t="shared" si="19"/>
        <v>4</v>
      </c>
      <c r="F367" s="5">
        <v>44196.625</v>
      </c>
      <c r="G367" s="19" t="str">
        <f t="shared" si="17"/>
        <v/>
      </c>
      <c r="J367" s="28">
        <f t="shared" si="20"/>
        <v>0.83333333333333326</v>
      </c>
    </row>
    <row r="368" spans="1:10">
      <c r="A368" s="3">
        <v>129</v>
      </c>
      <c r="B368" t="s">
        <v>392</v>
      </c>
      <c r="C368" t="s">
        <v>8</v>
      </c>
      <c r="E368" s="3">
        <f t="shared" si="19"/>
        <v>5</v>
      </c>
      <c r="F368" s="5">
        <v>44197.625</v>
      </c>
      <c r="G368" s="19" t="str">
        <f t="shared" si="17"/>
        <v/>
      </c>
      <c r="J368" s="28">
        <f t="shared" si="20"/>
        <v>-0.17834394904458595</v>
      </c>
    </row>
    <row r="369" spans="1:10">
      <c r="A369" s="3">
        <v>206</v>
      </c>
      <c r="B369" t="s">
        <v>393</v>
      </c>
      <c r="C369" t="s">
        <v>8</v>
      </c>
      <c r="E369" s="3">
        <f t="shared" si="19"/>
        <v>6</v>
      </c>
      <c r="F369" s="5">
        <v>44198.625</v>
      </c>
      <c r="G369" s="19" t="str">
        <f t="shared" si="17"/>
        <v/>
      </c>
      <c r="J369" s="28">
        <f t="shared" si="20"/>
        <v>0.12568306010928953</v>
      </c>
    </row>
    <row r="370" spans="1:10">
      <c r="A370" s="3">
        <v>169</v>
      </c>
      <c r="B370" t="s">
        <v>394</v>
      </c>
      <c r="C370" t="s">
        <v>8</v>
      </c>
      <c r="E370" s="3">
        <f t="shared" si="19"/>
        <v>7</v>
      </c>
      <c r="F370" s="5">
        <v>44199.625</v>
      </c>
      <c r="G370" s="19" t="str">
        <f t="shared" si="17"/>
        <v/>
      </c>
      <c r="J370" s="28">
        <f t="shared" si="20"/>
        <v>-0.11518324607329844</v>
      </c>
    </row>
    <row r="371" spans="1:10">
      <c r="A371" s="3">
        <v>399</v>
      </c>
      <c r="B371" t="s">
        <v>395</v>
      </c>
      <c r="C371" t="s">
        <v>8</v>
      </c>
      <c r="E371" s="3">
        <f t="shared" si="19"/>
        <v>1</v>
      </c>
      <c r="F371" s="5">
        <v>44200.625</v>
      </c>
      <c r="G371" s="19" t="str">
        <f t="shared" si="17"/>
        <v>W1</v>
      </c>
      <c r="H371">
        <f>SUM(A371:A377)</f>
        <v>1835</v>
      </c>
      <c r="I371" s="28">
        <f>H371/H364-1</f>
        <v>4.4393853158793295E-2</v>
      </c>
      <c r="J371" s="28">
        <f t="shared" si="20"/>
        <v>-8.6956521739130488E-2</v>
      </c>
    </row>
    <row r="372" spans="1:10">
      <c r="A372" s="3">
        <v>263</v>
      </c>
      <c r="B372" t="s">
        <v>396</v>
      </c>
      <c r="C372" t="s">
        <v>8</v>
      </c>
      <c r="E372" s="3">
        <f t="shared" si="19"/>
        <v>2</v>
      </c>
      <c r="F372" s="5">
        <v>44201.625</v>
      </c>
      <c r="G372" s="19" t="str">
        <f t="shared" si="17"/>
        <v/>
      </c>
      <c r="J372" s="28">
        <f t="shared" si="20"/>
        <v>-0.14332247557003253</v>
      </c>
    </row>
    <row r="373" spans="1:10">
      <c r="A373" s="3">
        <v>209</v>
      </c>
      <c r="B373" t="s">
        <v>397</v>
      </c>
      <c r="C373" t="s">
        <v>8</v>
      </c>
      <c r="E373" s="3">
        <f t="shared" si="19"/>
        <v>3</v>
      </c>
      <c r="F373" s="5">
        <v>44202.625</v>
      </c>
      <c r="G373" s="19" t="str">
        <f t="shared" ref="G373:G382" si="25">IF(WEEKDAY(F373,2)=1,"W"&amp;WEEKNUM(F373,14),"")</f>
        <v/>
      </c>
      <c r="J373" s="28">
        <f t="shared" si="20"/>
        <v>-0.18359375</v>
      </c>
    </row>
    <row r="374" spans="1:10">
      <c r="A374" s="3">
        <v>332</v>
      </c>
      <c r="B374" t="s">
        <v>398</v>
      </c>
      <c r="C374" t="s">
        <v>8</v>
      </c>
      <c r="E374" s="3">
        <f t="shared" si="19"/>
        <v>4</v>
      </c>
      <c r="F374" s="5">
        <v>44203.625</v>
      </c>
      <c r="G374" s="19" t="str">
        <f t="shared" si="25"/>
        <v/>
      </c>
      <c r="J374" s="28">
        <f t="shared" si="20"/>
        <v>0.31225296442687744</v>
      </c>
    </row>
    <row r="375" spans="1:10">
      <c r="A375" s="3">
        <v>252</v>
      </c>
      <c r="B375" t="s">
        <v>399</v>
      </c>
      <c r="C375" t="s">
        <v>8</v>
      </c>
      <c r="E375" s="3">
        <f t="shared" si="19"/>
        <v>5</v>
      </c>
      <c r="F375" s="5">
        <v>44204.625</v>
      </c>
      <c r="G375" s="19" t="str">
        <f t="shared" si="25"/>
        <v/>
      </c>
      <c r="J375" s="28">
        <f t="shared" si="20"/>
        <v>0.95348837209302317</v>
      </c>
    </row>
    <row r="376" spans="1:10">
      <c r="A376" s="3">
        <v>194</v>
      </c>
      <c r="B376" t="s">
        <v>400</v>
      </c>
      <c r="C376" t="s">
        <v>8</v>
      </c>
      <c r="E376" s="3">
        <f t="shared" si="19"/>
        <v>6</v>
      </c>
      <c r="F376" s="5">
        <v>44205.625</v>
      </c>
      <c r="G376" s="19" t="str">
        <f t="shared" si="25"/>
        <v/>
      </c>
      <c r="J376" s="28">
        <f t="shared" si="20"/>
        <v>-5.8252427184465994E-2</v>
      </c>
    </row>
    <row r="377" spans="1:10">
      <c r="A377" s="3">
        <v>186</v>
      </c>
      <c r="B377" t="s">
        <v>401</v>
      </c>
      <c r="C377" t="s">
        <v>8</v>
      </c>
      <c r="E377" s="3">
        <f t="shared" si="19"/>
        <v>7</v>
      </c>
      <c r="F377" s="5">
        <v>44206.625</v>
      </c>
      <c r="G377" s="19" t="str">
        <f t="shared" si="25"/>
        <v/>
      </c>
      <c r="J377" s="28">
        <f t="shared" si="20"/>
        <v>0.10059171597633143</v>
      </c>
    </row>
    <row r="378" spans="1:10">
      <c r="A378" s="3">
        <v>386</v>
      </c>
      <c r="B378" t="s">
        <v>402</v>
      </c>
      <c r="C378" t="s">
        <v>8</v>
      </c>
      <c r="E378" s="3">
        <f t="shared" si="19"/>
        <v>1</v>
      </c>
      <c r="F378" s="5">
        <v>44207.625</v>
      </c>
      <c r="G378" s="19" t="str">
        <f t="shared" si="25"/>
        <v>W2</v>
      </c>
      <c r="H378">
        <f>SUM(A378:A384)</f>
        <v>1756</v>
      </c>
      <c r="I378" s="28">
        <f>H378/H371-1</f>
        <v>-4.3051771117166182E-2</v>
      </c>
      <c r="J378" s="28">
        <f t="shared" si="20"/>
        <v>-3.2581453634085267E-2</v>
      </c>
    </row>
    <row r="379" spans="1:10">
      <c r="A379" s="3">
        <v>229</v>
      </c>
      <c r="B379" t="s">
        <v>403</v>
      </c>
      <c r="C379" t="s">
        <v>8</v>
      </c>
      <c r="E379" s="3">
        <f t="shared" si="19"/>
        <v>2</v>
      </c>
      <c r="F379" s="5">
        <v>44208.625</v>
      </c>
      <c r="G379" s="19" t="str">
        <f t="shared" si="25"/>
        <v/>
      </c>
      <c r="J379" s="28">
        <f t="shared" si="20"/>
        <v>-0.12927756653992395</v>
      </c>
    </row>
    <row r="380" spans="1:10">
      <c r="A380" s="3">
        <v>259</v>
      </c>
      <c r="B380" t="s">
        <v>404</v>
      </c>
      <c r="C380" t="s">
        <v>8</v>
      </c>
      <c r="E380" s="3">
        <f t="shared" si="19"/>
        <v>3</v>
      </c>
      <c r="F380" s="5">
        <v>44209.625</v>
      </c>
      <c r="G380" s="19" t="str">
        <f t="shared" si="25"/>
        <v/>
      </c>
      <c r="J380" s="28">
        <f t="shared" si="20"/>
        <v>0.23923444976076547</v>
      </c>
    </row>
    <row r="381" spans="1:10">
      <c r="A381" s="3">
        <v>249</v>
      </c>
      <c r="B381" t="s">
        <v>405</v>
      </c>
      <c r="C381" t="s">
        <v>8</v>
      </c>
      <c r="E381" s="3">
        <f t="shared" si="19"/>
        <v>4</v>
      </c>
      <c r="F381" s="5">
        <v>44210.625</v>
      </c>
      <c r="G381" s="19" t="str">
        <f t="shared" si="25"/>
        <v/>
      </c>
      <c r="J381" s="28">
        <f t="shared" si="20"/>
        <v>-0.25</v>
      </c>
    </row>
    <row r="382" spans="1:10">
      <c r="A382" s="3">
        <v>266</v>
      </c>
      <c r="B382" t="s">
        <v>406</v>
      </c>
      <c r="C382" t="s">
        <v>8</v>
      </c>
      <c r="E382" s="3">
        <f t="shared" si="19"/>
        <v>5</v>
      </c>
      <c r="F382" s="5">
        <v>44211.625</v>
      </c>
      <c r="G382" s="19" t="str">
        <f t="shared" si="25"/>
        <v/>
      </c>
      <c r="J382" s="28">
        <f t="shared" si="20"/>
        <v>5.555555555555558E-2</v>
      </c>
    </row>
    <row r="383" spans="1:10">
      <c r="A383" s="3">
        <v>171</v>
      </c>
      <c r="B383" t="s">
        <v>407</v>
      </c>
      <c r="C383" t="s">
        <v>8</v>
      </c>
      <c r="E383" s="3">
        <f t="shared" ref="E383:E446" si="26">WEEKDAY(F383,2)</f>
        <v>6</v>
      </c>
      <c r="F383" s="5">
        <v>44212.625</v>
      </c>
      <c r="G383" s="19" t="str">
        <f t="shared" ref="G383:G406" si="27">IF(WEEKDAY(F383,2)=1,"W"&amp;WEEKNUM(F383,14),"")</f>
        <v/>
      </c>
      <c r="J383" s="28">
        <f t="shared" si="20"/>
        <v>-0.11855670103092786</v>
      </c>
    </row>
    <row r="384" spans="1:10">
      <c r="A384" s="3">
        <v>196</v>
      </c>
      <c r="B384" t="s">
        <v>408</v>
      </c>
      <c r="C384" t="s">
        <v>8</v>
      </c>
      <c r="E384" s="3">
        <f t="shared" si="26"/>
        <v>7</v>
      </c>
      <c r="F384" s="5">
        <v>44213.625</v>
      </c>
      <c r="G384" s="19" t="str">
        <f t="shared" si="27"/>
        <v/>
      </c>
      <c r="J384" s="28">
        <f t="shared" si="20"/>
        <v>5.3763440860215006E-2</v>
      </c>
    </row>
    <row r="385" spans="1:10">
      <c r="A385" s="3">
        <v>448</v>
      </c>
      <c r="B385" t="s">
        <v>409</v>
      </c>
      <c r="C385" t="s">
        <v>8</v>
      </c>
      <c r="E385" s="3">
        <f t="shared" si="26"/>
        <v>1</v>
      </c>
      <c r="F385" s="5">
        <v>44214.625</v>
      </c>
      <c r="G385" s="19" t="str">
        <f t="shared" si="27"/>
        <v>W3</v>
      </c>
      <c r="H385">
        <f>SUM(A385:A391)</f>
        <v>2345</v>
      </c>
      <c r="I385" s="28">
        <f>H385/H378-1</f>
        <v>0.33542141230068334</v>
      </c>
      <c r="J385" s="28">
        <f t="shared" si="20"/>
        <v>0.16062176165803099</v>
      </c>
    </row>
    <row r="386" spans="1:10">
      <c r="A386" s="3">
        <v>342</v>
      </c>
      <c r="B386" t="s">
        <v>410</v>
      </c>
      <c r="C386" t="s">
        <v>8</v>
      </c>
      <c r="E386" s="3">
        <f t="shared" si="26"/>
        <v>2</v>
      </c>
      <c r="F386" s="5">
        <v>44215.625</v>
      </c>
      <c r="G386" s="19" t="str">
        <f t="shared" si="27"/>
        <v/>
      </c>
      <c r="J386" s="28">
        <f t="shared" si="20"/>
        <v>0.49344978165938858</v>
      </c>
    </row>
    <row r="387" spans="1:10">
      <c r="A387" s="3">
        <v>406</v>
      </c>
      <c r="B387" t="s">
        <v>411</v>
      </c>
      <c r="C387" t="s">
        <v>8</v>
      </c>
      <c r="E387" s="3">
        <f t="shared" si="26"/>
        <v>3</v>
      </c>
      <c r="F387" s="5">
        <v>44216.625</v>
      </c>
      <c r="G387" s="19" t="str">
        <f t="shared" si="27"/>
        <v/>
      </c>
      <c r="J387" s="28">
        <f t="shared" si="20"/>
        <v>0.56756756756756754</v>
      </c>
    </row>
    <row r="388" spans="1:10">
      <c r="A388" s="3">
        <v>376</v>
      </c>
      <c r="B388" t="s">
        <v>412</v>
      </c>
      <c r="C388" t="s">
        <v>8</v>
      </c>
      <c r="E388" s="3">
        <f t="shared" si="26"/>
        <v>4</v>
      </c>
      <c r="F388" s="5">
        <v>44217.625</v>
      </c>
      <c r="G388" s="19" t="str">
        <f t="shared" si="27"/>
        <v/>
      </c>
      <c r="J388" s="28">
        <f t="shared" si="20"/>
        <v>0.51004016064257018</v>
      </c>
    </row>
    <row r="389" spans="1:10">
      <c r="A389" s="3">
        <v>360</v>
      </c>
      <c r="B389" t="s">
        <v>413</v>
      </c>
      <c r="C389" t="s">
        <v>8</v>
      </c>
      <c r="E389" s="3">
        <f t="shared" si="26"/>
        <v>5</v>
      </c>
      <c r="F389" s="5">
        <v>44218.625</v>
      </c>
      <c r="G389" s="19" t="str">
        <f t="shared" si="27"/>
        <v/>
      </c>
      <c r="J389" s="28">
        <f t="shared" si="20"/>
        <v>0.35338345864661647</v>
      </c>
    </row>
    <row r="390" spans="1:10">
      <c r="A390" s="3">
        <v>168</v>
      </c>
      <c r="B390" t="s">
        <v>414</v>
      </c>
      <c r="C390" t="s">
        <v>8</v>
      </c>
      <c r="E390" s="3">
        <f t="shared" si="26"/>
        <v>6</v>
      </c>
      <c r="F390" s="5">
        <v>44219.625</v>
      </c>
      <c r="G390" s="19" t="str">
        <f t="shared" si="27"/>
        <v/>
      </c>
      <c r="J390" s="28">
        <f t="shared" si="20"/>
        <v>-1.7543859649122862E-2</v>
      </c>
    </row>
    <row r="391" spans="1:10">
      <c r="A391" s="3">
        <v>245</v>
      </c>
      <c r="B391" t="s">
        <v>415</v>
      </c>
      <c r="C391" t="s">
        <v>8</v>
      </c>
      <c r="E391" s="3">
        <f t="shared" si="26"/>
        <v>7</v>
      </c>
      <c r="F391" s="5">
        <v>44220.625</v>
      </c>
      <c r="G391" s="19" t="str">
        <f t="shared" si="27"/>
        <v/>
      </c>
      <c r="J391" s="28">
        <f t="shared" si="20"/>
        <v>0.25</v>
      </c>
    </row>
    <row r="392" spans="1:10">
      <c r="A392" s="3">
        <v>604</v>
      </c>
      <c r="B392" t="s">
        <v>416</v>
      </c>
      <c r="C392" t="s">
        <v>8</v>
      </c>
      <c r="E392" s="3">
        <f t="shared" si="26"/>
        <v>1</v>
      </c>
      <c r="F392" s="5">
        <v>44221.625</v>
      </c>
      <c r="G392" s="19" t="str">
        <f t="shared" si="27"/>
        <v>W4</v>
      </c>
      <c r="H392">
        <f>SUM(A392:A398)</f>
        <v>2700</v>
      </c>
      <c r="I392" s="28">
        <f>H392/H385-1</f>
        <v>0.15138592750533042</v>
      </c>
      <c r="J392" s="28">
        <f t="shared" si="20"/>
        <v>0.34821428571428581</v>
      </c>
    </row>
    <row r="393" spans="1:10">
      <c r="A393" s="3">
        <v>398</v>
      </c>
      <c r="B393" t="s">
        <v>417</v>
      </c>
      <c r="C393" t="s">
        <v>8</v>
      </c>
      <c r="E393" s="3">
        <f t="shared" si="26"/>
        <v>2</v>
      </c>
      <c r="F393" s="5">
        <v>44222.625</v>
      </c>
      <c r="G393" s="19" t="str">
        <f t="shared" si="27"/>
        <v/>
      </c>
      <c r="J393" s="28">
        <f t="shared" ref="J393:J456" si="28">A393/A386-1</f>
        <v>0.16374269005847952</v>
      </c>
    </row>
    <row r="394" spans="1:10">
      <c r="A394" s="3">
        <v>383</v>
      </c>
      <c r="B394" t="s">
        <v>418</v>
      </c>
      <c r="C394" t="s">
        <v>8</v>
      </c>
      <c r="E394" s="3">
        <f t="shared" si="26"/>
        <v>3</v>
      </c>
      <c r="F394" s="5">
        <v>44223.625</v>
      </c>
      <c r="G394" s="19" t="str">
        <f t="shared" si="27"/>
        <v/>
      </c>
      <c r="J394" s="28">
        <f t="shared" si="28"/>
        <v>-5.6650246305418706E-2</v>
      </c>
    </row>
    <row r="395" spans="1:10">
      <c r="A395" s="3">
        <v>436</v>
      </c>
      <c r="B395" t="s">
        <v>419</v>
      </c>
      <c r="C395" t="s">
        <v>8</v>
      </c>
      <c r="E395" s="3">
        <f t="shared" si="26"/>
        <v>4</v>
      </c>
      <c r="F395" s="5">
        <v>44224.625</v>
      </c>
      <c r="G395" s="19" t="str">
        <f t="shared" si="27"/>
        <v/>
      </c>
      <c r="J395" s="28">
        <f t="shared" si="28"/>
        <v>0.15957446808510634</v>
      </c>
    </row>
    <row r="396" spans="1:10">
      <c r="A396" s="3">
        <v>375</v>
      </c>
      <c r="B396" t="s">
        <v>420</v>
      </c>
      <c r="C396" t="s">
        <v>8</v>
      </c>
      <c r="E396" s="3">
        <f t="shared" si="26"/>
        <v>5</v>
      </c>
      <c r="F396" s="5">
        <v>44225.625</v>
      </c>
      <c r="G396" s="19" t="str">
        <f t="shared" si="27"/>
        <v/>
      </c>
      <c r="J396" s="28">
        <f t="shared" si="28"/>
        <v>4.1666666666666741E-2</v>
      </c>
    </row>
    <row r="397" spans="1:10">
      <c r="A397" s="3">
        <v>232</v>
      </c>
      <c r="B397" t="s">
        <v>422</v>
      </c>
      <c r="C397" t="s">
        <v>8</v>
      </c>
      <c r="E397" s="3">
        <f t="shared" si="26"/>
        <v>6</v>
      </c>
      <c r="F397" s="5">
        <v>44226.625</v>
      </c>
      <c r="G397" s="19" t="str">
        <f t="shared" si="27"/>
        <v/>
      </c>
      <c r="J397" s="28">
        <f t="shared" si="28"/>
        <v>0.38095238095238093</v>
      </c>
    </row>
    <row r="398" spans="1:10">
      <c r="A398" s="3">
        <v>272</v>
      </c>
      <c r="B398" t="s">
        <v>423</v>
      </c>
      <c r="C398" t="s">
        <v>8</v>
      </c>
      <c r="E398" s="3">
        <f t="shared" si="26"/>
        <v>7</v>
      </c>
      <c r="F398" s="5">
        <v>44227.625</v>
      </c>
      <c r="G398" s="19" t="str">
        <f t="shared" si="27"/>
        <v/>
      </c>
      <c r="J398" s="28">
        <f t="shared" si="28"/>
        <v>0.11020408163265305</v>
      </c>
    </row>
    <row r="399" spans="1:10">
      <c r="A399" s="3">
        <v>530</v>
      </c>
      <c r="B399" t="s">
        <v>424</v>
      </c>
      <c r="C399" t="s">
        <v>8</v>
      </c>
      <c r="E399" s="3">
        <f t="shared" si="26"/>
        <v>1</v>
      </c>
      <c r="F399" s="5">
        <v>44228.625</v>
      </c>
      <c r="G399" s="19" t="str">
        <f t="shared" si="27"/>
        <v>W5</v>
      </c>
      <c r="H399">
        <f>SUM(A399:A405)</f>
        <v>2603</v>
      </c>
      <c r="I399" s="28">
        <f>H399/H392-1</f>
        <v>-3.5925925925925917E-2</v>
      </c>
      <c r="J399" s="28">
        <f t="shared" si="28"/>
        <v>-0.12251655629139069</v>
      </c>
    </row>
    <row r="400" spans="1:10">
      <c r="A400" s="3">
        <v>396</v>
      </c>
      <c r="B400" t="s">
        <v>425</v>
      </c>
      <c r="C400" t="s">
        <v>8</v>
      </c>
      <c r="E400" s="3">
        <f t="shared" si="26"/>
        <v>2</v>
      </c>
      <c r="F400" s="5">
        <v>44229.625</v>
      </c>
      <c r="G400" s="19" t="str">
        <f t="shared" si="27"/>
        <v/>
      </c>
      <c r="J400" s="28">
        <f t="shared" si="28"/>
        <v>-5.0251256281407253E-3</v>
      </c>
    </row>
    <row r="401" spans="1:10">
      <c r="A401" s="3">
        <v>440</v>
      </c>
      <c r="B401" t="s">
        <v>426</v>
      </c>
      <c r="C401" t="s">
        <v>8</v>
      </c>
      <c r="E401" s="3">
        <f t="shared" si="26"/>
        <v>3</v>
      </c>
      <c r="F401" s="5">
        <v>44230.625</v>
      </c>
      <c r="G401" s="19" t="str">
        <f t="shared" si="27"/>
        <v/>
      </c>
      <c r="J401" s="28">
        <f t="shared" si="28"/>
        <v>0.1488250652741514</v>
      </c>
    </row>
    <row r="402" spans="1:10">
      <c r="A402" s="3">
        <v>370</v>
      </c>
      <c r="B402" t="s">
        <v>427</v>
      </c>
      <c r="C402" t="s">
        <v>8</v>
      </c>
      <c r="E402" s="3">
        <f t="shared" si="26"/>
        <v>4</v>
      </c>
      <c r="F402" s="5">
        <v>44231.625</v>
      </c>
      <c r="G402" s="19" t="str">
        <f t="shared" si="27"/>
        <v/>
      </c>
      <c r="J402" s="28">
        <f t="shared" si="28"/>
        <v>-0.15137614678899081</v>
      </c>
    </row>
    <row r="403" spans="1:10">
      <c r="A403" s="3">
        <v>366</v>
      </c>
      <c r="B403" t="s">
        <v>428</v>
      </c>
      <c r="C403" t="s">
        <v>8</v>
      </c>
      <c r="E403" s="3">
        <f t="shared" si="26"/>
        <v>5</v>
      </c>
      <c r="F403" s="5">
        <v>44232.625</v>
      </c>
      <c r="G403" s="19" t="str">
        <f t="shared" si="27"/>
        <v/>
      </c>
      <c r="J403" s="28">
        <f t="shared" si="28"/>
        <v>-2.4000000000000021E-2</v>
      </c>
    </row>
    <row r="404" spans="1:10">
      <c r="A404" s="3">
        <v>240</v>
      </c>
      <c r="B404" t="s">
        <v>429</v>
      </c>
      <c r="C404" t="s">
        <v>8</v>
      </c>
      <c r="E404" s="3">
        <f t="shared" si="26"/>
        <v>6</v>
      </c>
      <c r="F404" s="5">
        <v>44233.625</v>
      </c>
      <c r="G404" s="19" t="str">
        <f t="shared" si="27"/>
        <v/>
      </c>
      <c r="J404" s="28">
        <f t="shared" si="28"/>
        <v>3.4482758620689724E-2</v>
      </c>
    </row>
    <row r="405" spans="1:10">
      <c r="A405" s="3">
        <v>261</v>
      </c>
      <c r="B405" t="s">
        <v>430</v>
      </c>
      <c r="C405" t="s">
        <v>8</v>
      </c>
      <c r="E405" s="3">
        <f t="shared" si="26"/>
        <v>7</v>
      </c>
      <c r="F405" s="5">
        <v>44234.625</v>
      </c>
      <c r="G405" s="19" t="str">
        <f t="shared" si="27"/>
        <v/>
      </c>
      <c r="J405" s="28">
        <f t="shared" si="28"/>
        <v>-4.0441176470588203E-2</v>
      </c>
    </row>
    <row r="406" spans="1:10">
      <c r="A406" s="3">
        <v>460</v>
      </c>
      <c r="B406" t="s">
        <v>438</v>
      </c>
      <c r="C406" t="s">
        <v>8</v>
      </c>
      <c r="E406" s="3">
        <f t="shared" si="26"/>
        <v>1</v>
      </c>
      <c r="F406" s="5">
        <v>44235.625</v>
      </c>
      <c r="G406" s="19" t="str">
        <f t="shared" si="27"/>
        <v>W6</v>
      </c>
      <c r="H406">
        <f>SUM(A406:A412)</f>
        <v>2534</v>
      </c>
      <c r="I406" s="28">
        <f>H406/H399-1</f>
        <v>-2.6507875528236635E-2</v>
      </c>
      <c r="J406" s="28">
        <f t="shared" si="28"/>
        <v>-0.13207547169811318</v>
      </c>
    </row>
    <row r="407" spans="1:10">
      <c r="A407" s="3">
        <v>370</v>
      </c>
      <c r="B407" t="s">
        <v>439</v>
      </c>
      <c r="C407" t="s">
        <v>8</v>
      </c>
      <c r="E407" s="3">
        <f t="shared" si="26"/>
        <v>2</v>
      </c>
      <c r="F407" s="5">
        <v>44236.625</v>
      </c>
      <c r="G407" s="19" t="str">
        <f t="shared" ref="G407" si="29">IF(WEEKDAY(F407,2)=1,"W"&amp;WEEKNUM(F407,14),"")</f>
        <v/>
      </c>
      <c r="J407" s="28">
        <f t="shared" si="28"/>
        <v>-6.5656565656565635E-2</v>
      </c>
    </row>
    <row r="408" spans="1:10">
      <c r="A408" s="3">
        <v>382</v>
      </c>
      <c r="B408" t="s">
        <v>440</v>
      </c>
      <c r="C408" t="s">
        <v>8</v>
      </c>
      <c r="E408" s="3">
        <f t="shared" si="26"/>
        <v>3</v>
      </c>
      <c r="F408" s="5">
        <v>44237.625</v>
      </c>
      <c r="G408" s="19" t="str">
        <f t="shared" ref="G408" si="30">IF(WEEKDAY(F408,2)=1,"W"&amp;WEEKNUM(F408,14),"")</f>
        <v/>
      </c>
      <c r="J408" s="28">
        <f t="shared" si="28"/>
        <v>-0.13181818181818183</v>
      </c>
    </row>
    <row r="409" spans="1:10">
      <c r="A409" s="3">
        <v>354</v>
      </c>
      <c r="B409" t="s">
        <v>441</v>
      </c>
      <c r="C409" t="s">
        <v>8</v>
      </c>
      <c r="E409" s="3">
        <f t="shared" si="26"/>
        <v>4</v>
      </c>
      <c r="F409" s="5">
        <v>44238.625</v>
      </c>
      <c r="G409" s="19" t="str">
        <f t="shared" ref="G409" si="31">IF(WEEKDAY(F409,2)=1,"W"&amp;WEEKNUM(F409,14),"")</f>
        <v/>
      </c>
      <c r="J409" s="28">
        <f t="shared" si="28"/>
        <v>-4.3243243243243246E-2</v>
      </c>
    </row>
    <row r="410" spans="1:10">
      <c r="A410" s="3">
        <v>418</v>
      </c>
      <c r="B410" t="s">
        <v>442</v>
      </c>
      <c r="C410" t="s">
        <v>8</v>
      </c>
      <c r="E410" s="3">
        <f t="shared" si="26"/>
        <v>5</v>
      </c>
      <c r="F410" s="5">
        <v>44239.625</v>
      </c>
      <c r="G410" s="19" t="str">
        <f t="shared" ref="G410" si="32">IF(WEEKDAY(F410,2)=1,"W"&amp;WEEKNUM(F410,14),"")</f>
        <v/>
      </c>
      <c r="J410" s="28">
        <f t="shared" si="28"/>
        <v>0.14207650273224037</v>
      </c>
    </row>
    <row r="411" spans="1:10">
      <c r="A411" s="3">
        <v>277</v>
      </c>
      <c r="B411" t="s">
        <v>443</v>
      </c>
      <c r="C411" t="s">
        <v>8</v>
      </c>
      <c r="E411" s="3">
        <f t="shared" si="26"/>
        <v>6</v>
      </c>
      <c r="F411" s="5">
        <v>44240.625</v>
      </c>
      <c r="G411" s="19" t="str">
        <f t="shared" ref="G411" si="33">IF(WEEKDAY(F411,2)=1,"W"&amp;WEEKNUM(F411,14),"")</f>
        <v/>
      </c>
      <c r="J411" s="28">
        <f t="shared" si="28"/>
        <v>0.15416666666666656</v>
      </c>
    </row>
    <row r="412" spans="1:10">
      <c r="A412" s="3">
        <v>273</v>
      </c>
      <c r="B412" t="s">
        <v>444</v>
      </c>
      <c r="C412" t="s">
        <v>8</v>
      </c>
      <c r="E412" s="3">
        <f t="shared" si="26"/>
        <v>7</v>
      </c>
      <c r="F412" s="5">
        <v>44241.625</v>
      </c>
      <c r="G412" s="19" t="str">
        <f t="shared" ref="G412" si="34">IF(WEEKDAY(F412,2)=1,"W"&amp;WEEKNUM(F412,14),"")</f>
        <v/>
      </c>
      <c r="J412" s="28">
        <f t="shared" si="28"/>
        <v>4.5977011494252817E-2</v>
      </c>
    </row>
    <row r="413" spans="1:10" s="10" customFormat="1">
      <c r="A413" s="14">
        <v>609</v>
      </c>
      <c r="B413" s="10" t="s">
        <v>445</v>
      </c>
      <c r="C413" s="10" t="s">
        <v>8</v>
      </c>
      <c r="E413" s="14">
        <f t="shared" si="26"/>
        <v>1</v>
      </c>
      <c r="F413" s="18">
        <v>44242.625</v>
      </c>
      <c r="G413" s="19" t="str">
        <f t="shared" ref="G413" si="35">IF(WEEKDAY(F413,2)=1,"W"&amp;WEEKNUM(F413,14),"")</f>
        <v>W7</v>
      </c>
      <c r="H413" s="10">
        <f>SUM(A413:A419)</f>
        <v>3426</v>
      </c>
      <c r="I413" s="34">
        <f>H413/H406-1</f>
        <v>0.3520126282557221</v>
      </c>
      <c r="J413" s="28">
        <f t="shared" si="28"/>
        <v>0.32391304347826089</v>
      </c>
    </row>
    <row r="414" spans="1:10">
      <c r="A414" s="3">
        <v>501</v>
      </c>
      <c r="B414" t="s">
        <v>446</v>
      </c>
      <c r="C414" t="s">
        <v>8</v>
      </c>
      <c r="E414" s="3">
        <f t="shared" si="26"/>
        <v>2</v>
      </c>
      <c r="F414" s="5">
        <v>44243.625</v>
      </c>
      <c r="G414" s="19" t="str">
        <f t="shared" ref="G414" si="36">IF(WEEKDAY(F414,2)=1,"W"&amp;WEEKNUM(F414,14),"")</f>
        <v/>
      </c>
      <c r="J414" s="28">
        <f t="shared" si="28"/>
        <v>0.35405405405405399</v>
      </c>
    </row>
    <row r="415" spans="1:10">
      <c r="A415" s="3">
        <v>526</v>
      </c>
      <c r="B415" t="s">
        <v>447</v>
      </c>
      <c r="C415" t="s">
        <v>8</v>
      </c>
      <c r="E415" s="3">
        <f t="shared" si="26"/>
        <v>3</v>
      </c>
      <c r="F415" s="5">
        <v>44244.625</v>
      </c>
      <c r="G415" s="19" t="str">
        <f t="shared" ref="G415" si="37">IF(WEEKDAY(F415,2)=1,"W"&amp;WEEKNUM(F415,14),"")</f>
        <v/>
      </c>
      <c r="J415" s="28">
        <f t="shared" si="28"/>
        <v>0.37696335078534027</v>
      </c>
    </row>
    <row r="416" spans="1:10">
      <c r="A416" s="3">
        <v>594</v>
      </c>
      <c r="B416" t="s">
        <v>448</v>
      </c>
      <c r="C416" t="s">
        <v>8</v>
      </c>
      <c r="E416" s="3">
        <f t="shared" si="26"/>
        <v>4</v>
      </c>
      <c r="F416" s="5">
        <v>44245.625</v>
      </c>
      <c r="G416" s="19" t="str">
        <f t="shared" ref="G416" si="38">IF(WEEKDAY(F416,2)=1,"W"&amp;WEEKNUM(F416,14),"")</f>
        <v/>
      </c>
      <c r="J416" s="28">
        <f t="shared" si="28"/>
        <v>0.67796610169491522</v>
      </c>
    </row>
    <row r="417" spans="1:10">
      <c r="A417" s="3">
        <v>552</v>
      </c>
      <c r="B417" t="s">
        <v>449</v>
      </c>
      <c r="C417" t="s">
        <v>8</v>
      </c>
      <c r="E417" s="3">
        <f t="shared" si="26"/>
        <v>5</v>
      </c>
      <c r="F417" s="5">
        <v>44246.625</v>
      </c>
      <c r="G417" s="19" t="str">
        <f t="shared" ref="G417" si="39">IF(WEEKDAY(F417,2)=1,"W"&amp;WEEKNUM(F417,14),"")</f>
        <v/>
      </c>
      <c r="J417" s="28">
        <f t="shared" si="28"/>
        <v>0.32057416267942584</v>
      </c>
    </row>
    <row r="418" spans="1:10">
      <c r="A418" s="3">
        <v>305</v>
      </c>
      <c r="B418" t="s">
        <v>451</v>
      </c>
      <c r="C418" t="s">
        <v>8</v>
      </c>
      <c r="E418" s="3">
        <f t="shared" si="26"/>
        <v>6</v>
      </c>
      <c r="F418" s="5">
        <v>44247.625</v>
      </c>
      <c r="G418" s="19" t="str">
        <f t="shared" ref="G418" si="40">IF(WEEKDAY(F418,2)=1,"W"&amp;WEEKNUM(F418,14),"")</f>
        <v/>
      </c>
      <c r="J418" s="28">
        <f t="shared" si="28"/>
        <v>0.10108303249097483</v>
      </c>
    </row>
    <row r="419" spans="1:10">
      <c r="A419" s="3">
        <v>339</v>
      </c>
      <c r="B419" t="s">
        <v>452</v>
      </c>
      <c r="C419" t="s">
        <v>8</v>
      </c>
      <c r="E419" s="3">
        <f t="shared" si="26"/>
        <v>7</v>
      </c>
      <c r="F419" s="5">
        <v>44248.625</v>
      </c>
      <c r="G419" s="19" t="str">
        <f t="shared" ref="G419" si="41">IF(WEEKDAY(F419,2)=1,"W"&amp;WEEKNUM(F419,14),"")</f>
        <v/>
      </c>
      <c r="J419" s="28">
        <f t="shared" si="28"/>
        <v>0.24175824175824179</v>
      </c>
    </row>
    <row r="420" spans="1:10">
      <c r="A420" s="3">
        <v>509</v>
      </c>
      <c r="B420" t="s">
        <v>453</v>
      </c>
      <c r="C420" t="s">
        <v>8</v>
      </c>
      <c r="E420" s="3">
        <f t="shared" si="26"/>
        <v>1</v>
      </c>
      <c r="F420" s="5">
        <v>44249.625</v>
      </c>
      <c r="G420" s="19" t="str">
        <f t="shared" ref="G420" si="42">IF(WEEKDAY(F420,2)=1,"W"&amp;WEEKNUM(F420,14),"")</f>
        <v>W8</v>
      </c>
      <c r="H420">
        <f>SUM(A420:A426)</f>
        <v>774</v>
      </c>
      <c r="I420" s="28">
        <f>H420/H413-1</f>
        <v>-0.77408056042031526</v>
      </c>
      <c r="J420" s="28">
        <f t="shared" si="28"/>
        <v>-0.16420361247947457</v>
      </c>
    </row>
    <row r="421" spans="1:10">
      <c r="A421" s="3">
        <v>265</v>
      </c>
      <c r="B421" t="s">
        <v>456</v>
      </c>
      <c r="C421" t="s">
        <v>8</v>
      </c>
      <c r="E421" s="3">
        <f t="shared" si="26"/>
        <v>2</v>
      </c>
      <c r="F421" s="5">
        <v>44250.625</v>
      </c>
      <c r="G421" s="19" t="str">
        <f t="shared" ref="G421" si="43">IF(WEEKDAY(F421,2)=1,"W"&amp;WEEKNUM(F421,14),"")</f>
        <v/>
      </c>
      <c r="J421" s="28">
        <f t="shared" si="28"/>
        <v>-0.47105788423153694</v>
      </c>
    </row>
    <row r="422" spans="1:10">
      <c r="A422" s="3">
        <v>0</v>
      </c>
      <c r="B422" t="s">
        <v>457</v>
      </c>
      <c r="C422" t="s">
        <v>8</v>
      </c>
      <c r="E422" s="3">
        <f t="shared" si="26"/>
        <v>3</v>
      </c>
      <c r="F422" s="5">
        <v>44251.400497685187</v>
      </c>
      <c r="G422" s="19" t="str">
        <f t="shared" ref="G422" si="44">IF(WEEKDAY(F422,2)=1,"W"&amp;WEEKNUM(F422,14),"")</f>
        <v/>
      </c>
      <c r="J422" s="28">
        <f t="shared" si="28"/>
        <v>-1</v>
      </c>
    </row>
    <row r="423" spans="1:10">
      <c r="E423" s="3">
        <f t="shared" si="26"/>
        <v>6</v>
      </c>
      <c r="G423" s="19" t="str">
        <f t="shared" ref="G423" si="45">IF(WEEKDAY(F423,2)=1,"W"&amp;WEEKNUM(F423,14),"")</f>
        <v/>
      </c>
      <c r="J423" s="28">
        <f t="shared" si="28"/>
        <v>-1</v>
      </c>
    </row>
    <row r="424" spans="1:10">
      <c r="E424" s="3">
        <f t="shared" si="26"/>
        <v>6</v>
      </c>
      <c r="G424" s="19" t="str">
        <f t="shared" ref="G424" si="46">IF(WEEKDAY(F424,2)=1,"W"&amp;WEEKNUM(F424,14),"")</f>
        <v/>
      </c>
      <c r="J424" s="28">
        <f t="shared" si="28"/>
        <v>-1</v>
      </c>
    </row>
    <row r="425" spans="1:10">
      <c r="E425" s="3">
        <f t="shared" si="26"/>
        <v>6</v>
      </c>
      <c r="G425" s="19" t="str">
        <f t="shared" ref="G425" si="47">IF(WEEKDAY(F425,2)=1,"W"&amp;WEEKNUM(F425,14),"")</f>
        <v/>
      </c>
      <c r="J425" s="28">
        <f t="shared" si="28"/>
        <v>-1</v>
      </c>
    </row>
    <row r="426" spans="1:10">
      <c r="E426" s="3">
        <f t="shared" si="26"/>
        <v>6</v>
      </c>
      <c r="G426" s="19" t="str">
        <f t="shared" ref="G426" si="48">IF(WEEKDAY(F426,2)=1,"W"&amp;WEEKNUM(F426,14),"")</f>
        <v/>
      </c>
      <c r="J426" s="28">
        <f t="shared" si="28"/>
        <v>-1</v>
      </c>
    </row>
    <row r="427" spans="1:10">
      <c r="E427" s="3">
        <f t="shared" si="26"/>
        <v>6</v>
      </c>
      <c r="G427" s="19" t="str">
        <f t="shared" ref="G427" si="49">IF(WEEKDAY(F427,2)=1,"W"&amp;WEEKNUM(F427,14),"")</f>
        <v/>
      </c>
      <c r="H427">
        <f>SUM(A427:A433)</f>
        <v>0</v>
      </c>
      <c r="I427" s="28">
        <f>H427/H420-1</f>
        <v>-1</v>
      </c>
      <c r="J427" s="28">
        <f t="shared" si="28"/>
        <v>-1</v>
      </c>
    </row>
    <row r="428" spans="1:10">
      <c r="E428" s="3">
        <f t="shared" si="26"/>
        <v>6</v>
      </c>
      <c r="G428" s="19" t="str">
        <f t="shared" ref="G428" si="50">IF(WEEKDAY(F428,2)=1,"W"&amp;WEEKNUM(F428,14),"")</f>
        <v/>
      </c>
      <c r="J428" s="28">
        <f t="shared" si="28"/>
        <v>-1</v>
      </c>
    </row>
    <row r="429" spans="1:10">
      <c r="E429" s="3">
        <f t="shared" si="26"/>
        <v>6</v>
      </c>
      <c r="G429" s="19" t="str">
        <f t="shared" ref="G429" si="51">IF(WEEKDAY(F429,2)=1,"W"&amp;WEEKNUM(F429,14),"")</f>
        <v/>
      </c>
      <c r="J429" s="28" t="e">
        <f t="shared" si="28"/>
        <v>#DIV/0!</v>
      </c>
    </row>
    <row r="430" spans="1:10">
      <c r="E430" s="3">
        <f t="shared" si="26"/>
        <v>6</v>
      </c>
      <c r="G430" s="19" t="str">
        <f t="shared" ref="G430" si="52">IF(WEEKDAY(F430,2)=1,"W"&amp;WEEKNUM(F430,14),"")</f>
        <v/>
      </c>
      <c r="J430" s="28" t="e">
        <f t="shared" si="28"/>
        <v>#DIV/0!</v>
      </c>
    </row>
    <row r="431" spans="1:10">
      <c r="E431" s="3">
        <f t="shared" si="26"/>
        <v>6</v>
      </c>
      <c r="G431" s="19" t="str">
        <f t="shared" ref="G431" si="53">IF(WEEKDAY(F431,2)=1,"W"&amp;WEEKNUM(F431,14),"")</f>
        <v/>
      </c>
      <c r="J431" s="28" t="e">
        <f t="shared" si="28"/>
        <v>#DIV/0!</v>
      </c>
    </row>
    <row r="432" spans="1:10">
      <c r="E432" s="3">
        <f t="shared" si="26"/>
        <v>6</v>
      </c>
      <c r="G432" s="19" t="str">
        <f t="shared" ref="G432" si="54">IF(WEEKDAY(F432,2)=1,"W"&amp;WEEKNUM(F432,14),"")</f>
        <v/>
      </c>
      <c r="J432" s="28" t="e">
        <f t="shared" si="28"/>
        <v>#DIV/0!</v>
      </c>
    </row>
    <row r="433" spans="5:10">
      <c r="E433" s="3">
        <f t="shared" si="26"/>
        <v>6</v>
      </c>
      <c r="G433" s="19" t="str">
        <f t="shared" ref="G433" si="55">IF(WEEKDAY(F433,2)=1,"W"&amp;WEEKNUM(F433,14),"")</f>
        <v/>
      </c>
      <c r="J433" s="28" t="e">
        <f t="shared" si="28"/>
        <v>#DIV/0!</v>
      </c>
    </row>
    <row r="434" spans="5:10">
      <c r="E434" s="3">
        <f t="shared" si="26"/>
        <v>6</v>
      </c>
      <c r="G434" s="19" t="str">
        <f t="shared" ref="G434" si="56">IF(WEEKDAY(F434,2)=1,"W"&amp;WEEKNUM(F434,14),"")</f>
        <v/>
      </c>
      <c r="H434">
        <f>SUM(A434:A440)</f>
        <v>0</v>
      </c>
      <c r="I434" s="28" t="e">
        <f>H434/H427-1</f>
        <v>#DIV/0!</v>
      </c>
      <c r="J434" s="28" t="e">
        <f t="shared" si="28"/>
        <v>#DIV/0!</v>
      </c>
    </row>
    <row r="435" spans="5:10">
      <c r="E435" s="3">
        <f t="shared" si="26"/>
        <v>6</v>
      </c>
      <c r="G435" s="19" t="str">
        <f t="shared" ref="G435" si="57">IF(WEEKDAY(F435,2)=1,"W"&amp;WEEKNUM(F435,14),"")</f>
        <v/>
      </c>
      <c r="J435" s="28" t="e">
        <f t="shared" si="28"/>
        <v>#DIV/0!</v>
      </c>
    </row>
    <row r="436" spans="5:10">
      <c r="E436" s="3">
        <f t="shared" si="26"/>
        <v>6</v>
      </c>
      <c r="G436" s="19" t="str">
        <f t="shared" ref="G436" si="58">IF(WEEKDAY(F436,2)=1,"W"&amp;WEEKNUM(F436,14),"")</f>
        <v/>
      </c>
      <c r="J436" s="28" t="e">
        <f t="shared" si="28"/>
        <v>#DIV/0!</v>
      </c>
    </row>
    <row r="437" spans="5:10">
      <c r="E437" s="3">
        <f t="shared" si="26"/>
        <v>6</v>
      </c>
      <c r="G437" s="19" t="str">
        <f t="shared" ref="G437" si="59">IF(WEEKDAY(F437,2)=1,"W"&amp;WEEKNUM(F437,14),"")</f>
        <v/>
      </c>
      <c r="J437" s="28" t="e">
        <f t="shared" si="28"/>
        <v>#DIV/0!</v>
      </c>
    </row>
    <row r="438" spans="5:10">
      <c r="E438" s="3">
        <f t="shared" si="26"/>
        <v>6</v>
      </c>
      <c r="G438" s="19" t="str">
        <f t="shared" ref="G438" si="60">IF(WEEKDAY(F438,2)=1,"W"&amp;WEEKNUM(F438,14),"")</f>
        <v/>
      </c>
      <c r="J438" s="28" t="e">
        <f t="shared" si="28"/>
        <v>#DIV/0!</v>
      </c>
    </row>
    <row r="439" spans="5:10">
      <c r="E439" s="3">
        <f t="shared" si="26"/>
        <v>6</v>
      </c>
      <c r="G439" s="19" t="str">
        <f t="shared" ref="G439" si="61">IF(WEEKDAY(F439,2)=1,"W"&amp;WEEKNUM(F439,14),"")</f>
        <v/>
      </c>
      <c r="J439" s="28" t="e">
        <f t="shared" si="28"/>
        <v>#DIV/0!</v>
      </c>
    </row>
    <row r="440" spans="5:10">
      <c r="E440" s="3">
        <f t="shared" si="26"/>
        <v>6</v>
      </c>
      <c r="G440" s="19" t="str">
        <f t="shared" ref="G440" si="62">IF(WEEKDAY(F440,2)=1,"W"&amp;WEEKNUM(F440,14),"")</f>
        <v/>
      </c>
      <c r="J440" s="28" t="e">
        <f t="shared" si="28"/>
        <v>#DIV/0!</v>
      </c>
    </row>
    <row r="441" spans="5:10">
      <c r="E441" s="3">
        <f t="shared" si="26"/>
        <v>6</v>
      </c>
      <c r="G441" s="19" t="str">
        <f t="shared" ref="G441" si="63">IF(WEEKDAY(F441,2)=1,"W"&amp;WEEKNUM(F441,14),"")</f>
        <v/>
      </c>
      <c r="H441">
        <f>SUM(A441:A447)</f>
        <v>0</v>
      </c>
      <c r="I441" s="28" t="e">
        <f>H441/H434-1</f>
        <v>#DIV/0!</v>
      </c>
      <c r="J441" s="28" t="e">
        <f t="shared" si="28"/>
        <v>#DIV/0!</v>
      </c>
    </row>
    <row r="442" spans="5:10">
      <c r="E442" s="3">
        <f t="shared" si="26"/>
        <v>6</v>
      </c>
      <c r="G442" s="19" t="str">
        <f t="shared" ref="G442" si="64">IF(WEEKDAY(F442,2)=1,"W"&amp;WEEKNUM(F442,14),"")</f>
        <v/>
      </c>
      <c r="J442" s="28" t="e">
        <f t="shared" si="28"/>
        <v>#DIV/0!</v>
      </c>
    </row>
    <row r="443" spans="5:10">
      <c r="E443" s="3">
        <f t="shared" si="26"/>
        <v>6</v>
      </c>
      <c r="G443" s="19" t="str">
        <f t="shared" ref="G443" si="65">IF(WEEKDAY(F443,2)=1,"W"&amp;WEEKNUM(F443,14),"")</f>
        <v/>
      </c>
      <c r="J443" s="28" t="e">
        <f t="shared" si="28"/>
        <v>#DIV/0!</v>
      </c>
    </row>
    <row r="444" spans="5:10">
      <c r="E444" s="3">
        <f t="shared" si="26"/>
        <v>6</v>
      </c>
      <c r="G444" s="19" t="str">
        <f t="shared" ref="G444" si="66">IF(WEEKDAY(F444,2)=1,"W"&amp;WEEKNUM(F444,14),"")</f>
        <v/>
      </c>
      <c r="J444" s="28" t="e">
        <f t="shared" si="28"/>
        <v>#DIV/0!</v>
      </c>
    </row>
    <row r="445" spans="5:10">
      <c r="E445" s="3">
        <f t="shared" si="26"/>
        <v>6</v>
      </c>
      <c r="G445" s="19" t="str">
        <f t="shared" ref="G445" si="67">IF(WEEKDAY(F445,2)=1,"W"&amp;WEEKNUM(F445,14),"")</f>
        <v/>
      </c>
      <c r="J445" s="28" t="e">
        <f t="shared" si="28"/>
        <v>#DIV/0!</v>
      </c>
    </row>
    <row r="446" spans="5:10">
      <c r="E446" s="3">
        <f t="shared" si="26"/>
        <v>6</v>
      </c>
      <c r="G446" s="19" t="str">
        <f t="shared" ref="G446" si="68">IF(WEEKDAY(F446,2)=1,"W"&amp;WEEKNUM(F446,14),"")</f>
        <v/>
      </c>
      <c r="J446" s="28" t="e">
        <f t="shared" si="28"/>
        <v>#DIV/0!</v>
      </c>
    </row>
    <row r="447" spans="5:10">
      <c r="E447" s="3">
        <f t="shared" ref="E447:E510" si="69">WEEKDAY(F447,2)</f>
        <v>6</v>
      </c>
      <c r="G447" s="19" t="str">
        <f t="shared" ref="G447" si="70">IF(WEEKDAY(F447,2)=1,"W"&amp;WEEKNUM(F447,14),"")</f>
        <v/>
      </c>
      <c r="J447" s="28" t="e">
        <f t="shared" si="28"/>
        <v>#DIV/0!</v>
      </c>
    </row>
    <row r="448" spans="5:10">
      <c r="E448" s="3">
        <f t="shared" si="69"/>
        <v>6</v>
      </c>
      <c r="G448" s="19" t="str">
        <f t="shared" ref="G448" si="71">IF(WEEKDAY(F448,2)=1,"W"&amp;WEEKNUM(F448,14),"")</f>
        <v/>
      </c>
      <c r="H448">
        <f>SUM(A448:A454)</f>
        <v>0</v>
      </c>
      <c r="I448" s="28" t="e">
        <f>H448/H441-1</f>
        <v>#DIV/0!</v>
      </c>
      <c r="J448" s="28" t="e">
        <f t="shared" si="28"/>
        <v>#DIV/0!</v>
      </c>
    </row>
    <row r="449" spans="5:10">
      <c r="E449" s="3">
        <f t="shared" si="69"/>
        <v>6</v>
      </c>
      <c r="G449" s="19" t="str">
        <f t="shared" ref="G449" si="72">IF(WEEKDAY(F449,2)=1,"W"&amp;WEEKNUM(F449,14),"")</f>
        <v/>
      </c>
      <c r="J449" s="28" t="e">
        <f t="shared" si="28"/>
        <v>#DIV/0!</v>
      </c>
    </row>
    <row r="450" spans="5:10">
      <c r="E450" s="3">
        <f t="shared" si="69"/>
        <v>6</v>
      </c>
      <c r="G450" s="19" t="str">
        <f t="shared" ref="G450" si="73">IF(WEEKDAY(F450,2)=1,"W"&amp;WEEKNUM(F450,14),"")</f>
        <v/>
      </c>
      <c r="J450" s="28" t="e">
        <f t="shared" si="28"/>
        <v>#DIV/0!</v>
      </c>
    </row>
    <row r="451" spans="5:10">
      <c r="E451" s="3">
        <f t="shared" si="69"/>
        <v>6</v>
      </c>
      <c r="G451" s="19" t="str">
        <f t="shared" ref="G451" si="74">IF(WEEKDAY(F451,2)=1,"W"&amp;WEEKNUM(F451,14),"")</f>
        <v/>
      </c>
      <c r="J451" s="28" t="e">
        <f t="shared" si="28"/>
        <v>#DIV/0!</v>
      </c>
    </row>
    <row r="452" spans="5:10">
      <c r="E452" s="3">
        <f t="shared" si="69"/>
        <v>6</v>
      </c>
      <c r="G452" s="19" t="str">
        <f t="shared" ref="G452" si="75">IF(WEEKDAY(F452,2)=1,"W"&amp;WEEKNUM(F452,14),"")</f>
        <v/>
      </c>
      <c r="J452" s="28" t="e">
        <f t="shared" si="28"/>
        <v>#DIV/0!</v>
      </c>
    </row>
    <row r="453" spans="5:10">
      <c r="E453" s="3">
        <f t="shared" si="69"/>
        <v>6</v>
      </c>
      <c r="G453" s="19" t="str">
        <f t="shared" ref="G453" si="76">IF(WEEKDAY(F453,2)=1,"W"&amp;WEEKNUM(F453,14),"")</f>
        <v/>
      </c>
      <c r="J453" s="28" t="e">
        <f t="shared" si="28"/>
        <v>#DIV/0!</v>
      </c>
    </row>
    <row r="454" spans="5:10">
      <c r="E454" s="3">
        <f t="shared" si="69"/>
        <v>6</v>
      </c>
      <c r="G454" s="19" t="str">
        <f t="shared" ref="G454" si="77">IF(WEEKDAY(F454,2)=1,"W"&amp;WEEKNUM(F454,14),"")</f>
        <v/>
      </c>
      <c r="J454" s="28" t="e">
        <f t="shared" si="28"/>
        <v>#DIV/0!</v>
      </c>
    </row>
    <row r="455" spans="5:10">
      <c r="E455" s="3">
        <f t="shared" si="69"/>
        <v>6</v>
      </c>
      <c r="G455" s="19" t="str">
        <f t="shared" ref="G455" si="78">IF(WEEKDAY(F455,2)=1,"W"&amp;WEEKNUM(F455,14),"")</f>
        <v/>
      </c>
      <c r="H455">
        <f>SUM(A455:A461)</f>
        <v>0</v>
      </c>
      <c r="I455" s="28" t="e">
        <f>H455/H448-1</f>
        <v>#DIV/0!</v>
      </c>
      <c r="J455" s="28" t="e">
        <f t="shared" si="28"/>
        <v>#DIV/0!</v>
      </c>
    </row>
    <row r="456" spans="5:10">
      <c r="E456" s="3">
        <f t="shared" si="69"/>
        <v>6</v>
      </c>
      <c r="G456" s="19" t="str">
        <f t="shared" ref="G456" si="79">IF(WEEKDAY(F456,2)=1,"W"&amp;WEEKNUM(F456,14),"")</f>
        <v/>
      </c>
      <c r="J456" s="28" t="e">
        <f t="shared" si="28"/>
        <v>#DIV/0!</v>
      </c>
    </row>
    <row r="457" spans="5:10">
      <c r="E457" s="3">
        <f t="shared" si="69"/>
        <v>6</v>
      </c>
      <c r="G457" s="19" t="str">
        <f t="shared" ref="G457" si="80">IF(WEEKDAY(F457,2)=1,"W"&amp;WEEKNUM(F457,14),"")</f>
        <v/>
      </c>
      <c r="J457" s="28" t="e">
        <f t="shared" ref="J457:J520" si="81">A457/A450-1</f>
        <v>#DIV/0!</v>
      </c>
    </row>
    <row r="458" spans="5:10">
      <c r="E458" s="3">
        <f t="shared" si="69"/>
        <v>6</v>
      </c>
      <c r="G458" s="19" t="str">
        <f t="shared" ref="G458" si="82">IF(WEEKDAY(F458,2)=1,"W"&amp;WEEKNUM(F458,14),"")</f>
        <v/>
      </c>
      <c r="J458" s="28" t="e">
        <f t="shared" si="81"/>
        <v>#DIV/0!</v>
      </c>
    </row>
    <row r="459" spans="5:10">
      <c r="E459" s="3">
        <f t="shared" si="69"/>
        <v>6</v>
      </c>
      <c r="G459" s="19" t="str">
        <f t="shared" ref="G459" si="83">IF(WEEKDAY(F459,2)=1,"W"&amp;WEEKNUM(F459,14),"")</f>
        <v/>
      </c>
      <c r="J459" s="28" t="e">
        <f t="shared" si="81"/>
        <v>#DIV/0!</v>
      </c>
    </row>
    <row r="460" spans="5:10">
      <c r="E460" s="3">
        <f t="shared" si="69"/>
        <v>6</v>
      </c>
      <c r="G460" s="19" t="str">
        <f t="shared" ref="G460" si="84">IF(WEEKDAY(F460,2)=1,"W"&amp;WEEKNUM(F460,14),"")</f>
        <v/>
      </c>
      <c r="J460" s="28" t="e">
        <f t="shared" si="81"/>
        <v>#DIV/0!</v>
      </c>
    </row>
    <row r="461" spans="5:10">
      <c r="E461" s="3">
        <f t="shared" si="69"/>
        <v>6</v>
      </c>
      <c r="G461" s="19" t="str">
        <f t="shared" ref="G461" si="85">IF(WEEKDAY(F461,2)=1,"W"&amp;WEEKNUM(F461,14),"")</f>
        <v/>
      </c>
      <c r="J461" s="28" t="e">
        <f t="shared" si="81"/>
        <v>#DIV/0!</v>
      </c>
    </row>
    <row r="462" spans="5:10">
      <c r="E462" s="3">
        <f t="shared" si="69"/>
        <v>6</v>
      </c>
      <c r="G462" s="19" t="str">
        <f t="shared" ref="G462" si="86">IF(WEEKDAY(F462,2)=1,"W"&amp;WEEKNUM(F462,14),"")</f>
        <v/>
      </c>
      <c r="H462">
        <f>SUM(A462:A468)</f>
        <v>0</v>
      </c>
      <c r="I462" s="28" t="e">
        <f>H462/H455-1</f>
        <v>#DIV/0!</v>
      </c>
      <c r="J462" s="28" t="e">
        <f t="shared" si="81"/>
        <v>#DIV/0!</v>
      </c>
    </row>
    <row r="463" spans="5:10">
      <c r="E463" s="3">
        <f t="shared" si="69"/>
        <v>6</v>
      </c>
      <c r="G463" s="19" t="str">
        <f t="shared" ref="G463" si="87">IF(WEEKDAY(F463,2)=1,"W"&amp;WEEKNUM(F463,14),"")</f>
        <v/>
      </c>
      <c r="J463" s="28" t="e">
        <f t="shared" si="81"/>
        <v>#DIV/0!</v>
      </c>
    </row>
    <row r="464" spans="5:10">
      <c r="E464" s="3">
        <f t="shared" si="69"/>
        <v>6</v>
      </c>
      <c r="G464" s="19" t="str">
        <f t="shared" ref="G464" si="88">IF(WEEKDAY(F464,2)=1,"W"&amp;WEEKNUM(F464,14),"")</f>
        <v/>
      </c>
      <c r="J464" s="28" t="e">
        <f t="shared" si="81"/>
        <v>#DIV/0!</v>
      </c>
    </row>
    <row r="465" spans="5:10">
      <c r="E465" s="3">
        <f t="shared" si="69"/>
        <v>6</v>
      </c>
      <c r="G465" s="19" t="str">
        <f t="shared" ref="G465" si="89">IF(WEEKDAY(F465,2)=1,"W"&amp;WEEKNUM(F465,14),"")</f>
        <v/>
      </c>
      <c r="J465" s="28" t="e">
        <f t="shared" si="81"/>
        <v>#DIV/0!</v>
      </c>
    </row>
    <row r="466" spans="5:10">
      <c r="E466" s="3">
        <f t="shared" si="69"/>
        <v>6</v>
      </c>
      <c r="G466" s="19" t="str">
        <f t="shared" ref="G466" si="90">IF(WEEKDAY(F466,2)=1,"W"&amp;WEEKNUM(F466,14),"")</f>
        <v/>
      </c>
      <c r="J466" s="28" t="e">
        <f t="shared" si="81"/>
        <v>#DIV/0!</v>
      </c>
    </row>
    <row r="467" spans="5:10">
      <c r="E467" s="3">
        <f t="shared" si="69"/>
        <v>6</v>
      </c>
      <c r="G467" s="19" t="str">
        <f t="shared" ref="G467" si="91">IF(WEEKDAY(F467,2)=1,"W"&amp;WEEKNUM(F467,14),"")</f>
        <v/>
      </c>
      <c r="J467" s="28" t="e">
        <f t="shared" si="81"/>
        <v>#DIV/0!</v>
      </c>
    </row>
    <row r="468" spans="5:10">
      <c r="E468" s="3">
        <f t="shared" si="69"/>
        <v>6</v>
      </c>
      <c r="G468" s="19" t="str">
        <f t="shared" ref="G468" si="92">IF(WEEKDAY(F468,2)=1,"W"&amp;WEEKNUM(F468,14),"")</f>
        <v/>
      </c>
      <c r="J468" s="28" t="e">
        <f t="shared" si="81"/>
        <v>#DIV/0!</v>
      </c>
    </row>
    <row r="469" spans="5:10">
      <c r="E469" s="3">
        <f t="shared" si="69"/>
        <v>6</v>
      </c>
      <c r="G469" s="19" t="str">
        <f t="shared" ref="G469" si="93">IF(WEEKDAY(F469,2)=1,"W"&amp;WEEKNUM(F469,14),"")</f>
        <v/>
      </c>
      <c r="H469">
        <f>SUM(A469:A475)</f>
        <v>0</v>
      </c>
      <c r="I469" s="28" t="e">
        <f>H469/H462-1</f>
        <v>#DIV/0!</v>
      </c>
      <c r="J469" s="28" t="e">
        <f t="shared" si="81"/>
        <v>#DIV/0!</v>
      </c>
    </row>
    <row r="470" spans="5:10">
      <c r="E470" s="3">
        <f t="shared" si="69"/>
        <v>6</v>
      </c>
      <c r="G470" s="19" t="str">
        <f t="shared" ref="G470" si="94">IF(WEEKDAY(F470,2)=1,"W"&amp;WEEKNUM(F470,14),"")</f>
        <v/>
      </c>
      <c r="J470" s="28" t="e">
        <f t="shared" si="81"/>
        <v>#DIV/0!</v>
      </c>
    </row>
    <row r="471" spans="5:10">
      <c r="E471" s="3">
        <f t="shared" si="69"/>
        <v>6</v>
      </c>
      <c r="G471" s="19" t="str">
        <f t="shared" ref="G471" si="95">IF(WEEKDAY(F471,2)=1,"W"&amp;WEEKNUM(F471,14),"")</f>
        <v/>
      </c>
      <c r="J471" s="28" t="e">
        <f t="shared" si="81"/>
        <v>#DIV/0!</v>
      </c>
    </row>
    <row r="472" spans="5:10">
      <c r="E472" s="3">
        <f t="shared" si="69"/>
        <v>6</v>
      </c>
      <c r="G472" s="19" t="str">
        <f t="shared" ref="G472" si="96">IF(WEEKDAY(F472,2)=1,"W"&amp;WEEKNUM(F472,14),"")</f>
        <v/>
      </c>
      <c r="J472" s="28" t="e">
        <f t="shared" si="81"/>
        <v>#DIV/0!</v>
      </c>
    </row>
    <row r="473" spans="5:10">
      <c r="E473" s="3">
        <f t="shared" si="69"/>
        <v>6</v>
      </c>
      <c r="G473" s="19" t="str">
        <f t="shared" ref="G473" si="97">IF(WEEKDAY(F473,2)=1,"W"&amp;WEEKNUM(F473,14),"")</f>
        <v/>
      </c>
      <c r="J473" s="28" t="e">
        <f t="shared" si="81"/>
        <v>#DIV/0!</v>
      </c>
    </row>
    <row r="474" spans="5:10">
      <c r="E474" s="3">
        <f t="shared" si="69"/>
        <v>6</v>
      </c>
      <c r="G474" s="19" t="str">
        <f t="shared" ref="G474" si="98">IF(WEEKDAY(F474,2)=1,"W"&amp;WEEKNUM(F474,14),"")</f>
        <v/>
      </c>
      <c r="J474" s="28" t="e">
        <f t="shared" si="81"/>
        <v>#DIV/0!</v>
      </c>
    </row>
    <row r="475" spans="5:10">
      <c r="E475" s="3">
        <f t="shared" si="69"/>
        <v>6</v>
      </c>
      <c r="G475" s="19" t="str">
        <f t="shared" ref="G475" si="99">IF(WEEKDAY(F475,2)=1,"W"&amp;WEEKNUM(F475,14),"")</f>
        <v/>
      </c>
      <c r="J475" s="28" t="e">
        <f t="shared" si="81"/>
        <v>#DIV/0!</v>
      </c>
    </row>
    <row r="476" spans="5:10">
      <c r="E476" s="3">
        <f t="shared" si="69"/>
        <v>6</v>
      </c>
      <c r="G476" s="19" t="str">
        <f t="shared" ref="G476" si="100">IF(WEEKDAY(F476,2)=1,"W"&amp;WEEKNUM(F476,14),"")</f>
        <v/>
      </c>
      <c r="H476">
        <f>SUM(A476:A482)</f>
        <v>0</v>
      </c>
      <c r="I476" s="28" t="e">
        <f>H476/H469-1</f>
        <v>#DIV/0!</v>
      </c>
      <c r="J476" s="28" t="e">
        <f t="shared" si="81"/>
        <v>#DIV/0!</v>
      </c>
    </row>
    <row r="477" spans="5:10">
      <c r="E477" s="3">
        <f t="shared" si="69"/>
        <v>6</v>
      </c>
      <c r="G477" s="19" t="str">
        <f t="shared" ref="G477" si="101">IF(WEEKDAY(F477,2)=1,"W"&amp;WEEKNUM(F477,14),"")</f>
        <v/>
      </c>
      <c r="J477" s="28" t="e">
        <f t="shared" si="81"/>
        <v>#DIV/0!</v>
      </c>
    </row>
    <row r="478" spans="5:10">
      <c r="E478" s="3">
        <f t="shared" si="69"/>
        <v>6</v>
      </c>
      <c r="G478" s="19" t="str">
        <f t="shared" ref="G478" si="102">IF(WEEKDAY(F478,2)=1,"W"&amp;WEEKNUM(F478,14),"")</f>
        <v/>
      </c>
      <c r="J478" s="28" t="e">
        <f t="shared" si="81"/>
        <v>#DIV/0!</v>
      </c>
    </row>
    <row r="479" spans="5:10">
      <c r="E479" s="3">
        <f t="shared" si="69"/>
        <v>6</v>
      </c>
      <c r="G479" s="19" t="str">
        <f t="shared" ref="G479" si="103">IF(WEEKDAY(F479,2)=1,"W"&amp;WEEKNUM(F479,14),"")</f>
        <v/>
      </c>
      <c r="J479" s="28" t="e">
        <f t="shared" si="81"/>
        <v>#DIV/0!</v>
      </c>
    </row>
    <row r="480" spans="5:10">
      <c r="E480" s="3">
        <f t="shared" si="69"/>
        <v>6</v>
      </c>
      <c r="G480" s="19" t="str">
        <f t="shared" ref="G480" si="104">IF(WEEKDAY(F480,2)=1,"W"&amp;WEEKNUM(F480,14),"")</f>
        <v/>
      </c>
      <c r="J480" s="28" t="e">
        <f t="shared" si="81"/>
        <v>#DIV/0!</v>
      </c>
    </row>
    <row r="481" spans="5:10">
      <c r="E481" s="3">
        <f t="shared" si="69"/>
        <v>6</v>
      </c>
      <c r="G481" s="19" t="str">
        <f t="shared" ref="G481" si="105">IF(WEEKDAY(F481,2)=1,"W"&amp;WEEKNUM(F481,14),"")</f>
        <v/>
      </c>
      <c r="J481" s="28" t="e">
        <f t="shared" si="81"/>
        <v>#DIV/0!</v>
      </c>
    </row>
    <row r="482" spans="5:10">
      <c r="E482" s="3">
        <f t="shared" si="69"/>
        <v>6</v>
      </c>
      <c r="G482" s="19" t="str">
        <f t="shared" ref="G482" si="106">IF(WEEKDAY(F482,2)=1,"W"&amp;WEEKNUM(F482,14),"")</f>
        <v/>
      </c>
      <c r="J482" s="28" t="e">
        <f t="shared" si="81"/>
        <v>#DIV/0!</v>
      </c>
    </row>
    <row r="483" spans="5:10">
      <c r="E483" s="3">
        <f t="shared" si="69"/>
        <v>6</v>
      </c>
      <c r="G483" s="19" t="str">
        <f t="shared" ref="G483" si="107">IF(WEEKDAY(F483,2)=1,"W"&amp;WEEKNUM(F483,14),"")</f>
        <v/>
      </c>
      <c r="H483">
        <f>SUM(A483:A489)</f>
        <v>0</v>
      </c>
      <c r="I483" s="28" t="e">
        <f>H483/H476-1</f>
        <v>#DIV/0!</v>
      </c>
      <c r="J483" s="28" t="e">
        <f t="shared" si="81"/>
        <v>#DIV/0!</v>
      </c>
    </row>
    <row r="484" spans="5:10">
      <c r="E484" s="3">
        <f t="shared" si="69"/>
        <v>6</v>
      </c>
      <c r="G484" s="19" t="str">
        <f t="shared" ref="G484" si="108">IF(WEEKDAY(F484,2)=1,"W"&amp;WEEKNUM(F484,14),"")</f>
        <v/>
      </c>
      <c r="J484" s="28" t="e">
        <f t="shared" si="81"/>
        <v>#DIV/0!</v>
      </c>
    </row>
    <row r="485" spans="5:10">
      <c r="E485" s="3">
        <f t="shared" si="69"/>
        <v>6</v>
      </c>
      <c r="G485" s="19" t="str">
        <f t="shared" ref="G485" si="109">IF(WEEKDAY(F485,2)=1,"W"&amp;WEEKNUM(F485,14),"")</f>
        <v/>
      </c>
      <c r="J485" s="28" t="e">
        <f t="shared" si="81"/>
        <v>#DIV/0!</v>
      </c>
    </row>
    <row r="486" spans="5:10">
      <c r="E486" s="3">
        <f t="shared" si="69"/>
        <v>6</v>
      </c>
      <c r="G486" s="19" t="str">
        <f t="shared" ref="G486" si="110">IF(WEEKDAY(F486,2)=1,"W"&amp;WEEKNUM(F486,14),"")</f>
        <v/>
      </c>
      <c r="J486" s="28" t="e">
        <f t="shared" si="81"/>
        <v>#DIV/0!</v>
      </c>
    </row>
    <row r="487" spans="5:10">
      <c r="E487" s="3">
        <f t="shared" si="69"/>
        <v>6</v>
      </c>
      <c r="G487" s="19" t="str">
        <f t="shared" ref="G487" si="111">IF(WEEKDAY(F487,2)=1,"W"&amp;WEEKNUM(F487,14),"")</f>
        <v/>
      </c>
      <c r="J487" s="28" t="e">
        <f t="shared" si="81"/>
        <v>#DIV/0!</v>
      </c>
    </row>
    <row r="488" spans="5:10">
      <c r="E488" s="3">
        <f t="shared" si="69"/>
        <v>6</v>
      </c>
      <c r="G488" s="19" t="str">
        <f t="shared" ref="G488" si="112">IF(WEEKDAY(F488,2)=1,"W"&amp;WEEKNUM(F488,14),"")</f>
        <v/>
      </c>
      <c r="J488" s="28" t="e">
        <f t="shared" si="81"/>
        <v>#DIV/0!</v>
      </c>
    </row>
    <row r="489" spans="5:10">
      <c r="E489" s="3">
        <f t="shared" si="69"/>
        <v>6</v>
      </c>
      <c r="G489" s="19" t="str">
        <f t="shared" ref="G489" si="113">IF(WEEKDAY(F489,2)=1,"W"&amp;WEEKNUM(F489,14),"")</f>
        <v/>
      </c>
      <c r="J489" s="28" t="e">
        <f t="shared" si="81"/>
        <v>#DIV/0!</v>
      </c>
    </row>
    <row r="490" spans="5:10">
      <c r="E490" s="3">
        <f t="shared" si="69"/>
        <v>6</v>
      </c>
      <c r="G490" s="19" t="str">
        <f t="shared" ref="G490" si="114">IF(WEEKDAY(F490,2)=1,"W"&amp;WEEKNUM(F490,14),"")</f>
        <v/>
      </c>
      <c r="H490">
        <f>SUM(A490:A496)</f>
        <v>0</v>
      </c>
      <c r="I490" s="28" t="e">
        <f>H490/H483-1</f>
        <v>#DIV/0!</v>
      </c>
      <c r="J490" s="28" t="e">
        <f t="shared" si="81"/>
        <v>#DIV/0!</v>
      </c>
    </row>
    <row r="491" spans="5:10">
      <c r="E491" s="3">
        <f t="shared" si="69"/>
        <v>6</v>
      </c>
      <c r="G491" s="19" t="str">
        <f t="shared" ref="G491" si="115">IF(WEEKDAY(F491,2)=1,"W"&amp;WEEKNUM(F491,14),"")</f>
        <v/>
      </c>
      <c r="J491" s="28" t="e">
        <f t="shared" si="81"/>
        <v>#DIV/0!</v>
      </c>
    </row>
    <row r="492" spans="5:10">
      <c r="E492" s="3">
        <f t="shared" si="69"/>
        <v>6</v>
      </c>
      <c r="G492" s="19" t="str">
        <f t="shared" ref="G492" si="116">IF(WEEKDAY(F492,2)=1,"W"&amp;WEEKNUM(F492,14),"")</f>
        <v/>
      </c>
      <c r="J492" s="28" t="e">
        <f t="shared" si="81"/>
        <v>#DIV/0!</v>
      </c>
    </row>
    <row r="493" spans="5:10">
      <c r="E493" s="3">
        <f t="shared" si="69"/>
        <v>6</v>
      </c>
      <c r="G493" s="19" t="str">
        <f t="shared" ref="G493" si="117">IF(WEEKDAY(F493,2)=1,"W"&amp;WEEKNUM(F493,14),"")</f>
        <v/>
      </c>
      <c r="J493" s="28" t="e">
        <f t="shared" si="81"/>
        <v>#DIV/0!</v>
      </c>
    </row>
    <row r="494" spans="5:10">
      <c r="E494" s="3">
        <f t="shared" si="69"/>
        <v>6</v>
      </c>
      <c r="G494" s="19" t="str">
        <f t="shared" ref="G494" si="118">IF(WEEKDAY(F494,2)=1,"W"&amp;WEEKNUM(F494,14),"")</f>
        <v/>
      </c>
      <c r="J494" s="28" t="e">
        <f t="shared" si="81"/>
        <v>#DIV/0!</v>
      </c>
    </row>
    <row r="495" spans="5:10">
      <c r="E495" s="3">
        <f t="shared" si="69"/>
        <v>6</v>
      </c>
      <c r="G495" s="19" t="str">
        <f t="shared" ref="G495" si="119">IF(WEEKDAY(F495,2)=1,"W"&amp;WEEKNUM(F495,14),"")</f>
        <v/>
      </c>
      <c r="J495" s="28" t="e">
        <f t="shared" si="81"/>
        <v>#DIV/0!</v>
      </c>
    </row>
    <row r="496" spans="5:10">
      <c r="E496" s="3">
        <f t="shared" si="69"/>
        <v>6</v>
      </c>
      <c r="G496" s="19" t="str">
        <f t="shared" ref="G496" si="120">IF(WEEKDAY(F496,2)=1,"W"&amp;WEEKNUM(F496,14),"")</f>
        <v/>
      </c>
      <c r="J496" s="28" t="e">
        <f t="shared" si="81"/>
        <v>#DIV/0!</v>
      </c>
    </row>
    <row r="497" spans="5:10">
      <c r="E497" s="3">
        <f t="shared" si="69"/>
        <v>6</v>
      </c>
      <c r="G497" s="19" t="str">
        <f t="shared" ref="G497" si="121">IF(WEEKDAY(F497,2)=1,"W"&amp;WEEKNUM(F497,14),"")</f>
        <v/>
      </c>
      <c r="H497">
        <f>SUM(A497:A503)</f>
        <v>0</v>
      </c>
      <c r="I497" s="28" t="e">
        <f>H497/H490-1</f>
        <v>#DIV/0!</v>
      </c>
      <c r="J497" s="28" t="e">
        <f t="shared" si="81"/>
        <v>#DIV/0!</v>
      </c>
    </row>
    <row r="498" spans="5:10">
      <c r="E498" s="3">
        <f t="shared" si="69"/>
        <v>6</v>
      </c>
      <c r="G498" s="19" t="str">
        <f t="shared" ref="G498" si="122">IF(WEEKDAY(F498,2)=1,"W"&amp;WEEKNUM(F498,14),"")</f>
        <v/>
      </c>
      <c r="J498" s="28" t="e">
        <f t="shared" si="81"/>
        <v>#DIV/0!</v>
      </c>
    </row>
    <row r="499" spans="5:10">
      <c r="E499" s="3">
        <f t="shared" si="69"/>
        <v>6</v>
      </c>
      <c r="G499" s="19" t="str">
        <f t="shared" ref="G499" si="123">IF(WEEKDAY(F499,2)=1,"W"&amp;WEEKNUM(F499,14),"")</f>
        <v/>
      </c>
      <c r="J499" s="28" t="e">
        <f t="shared" si="81"/>
        <v>#DIV/0!</v>
      </c>
    </row>
    <row r="500" spans="5:10">
      <c r="E500" s="3">
        <f t="shared" si="69"/>
        <v>6</v>
      </c>
      <c r="G500" s="19" t="str">
        <f t="shared" ref="G500" si="124">IF(WEEKDAY(F500,2)=1,"W"&amp;WEEKNUM(F500,14),"")</f>
        <v/>
      </c>
      <c r="J500" s="28" t="e">
        <f t="shared" si="81"/>
        <v>#DIV/0!</v>
      </c>
    </row>
    <row r="501" spans="5:10">
      <c r="E501" s="3">
        <f t="shared" si="69"/>
        <v>6</v>
      </c>
      <c r="G501" s="19" t="str">
        <f t="shared" ref="G501" si="125">IF(WEEKDAY(F501,2)=1,"W"&amp;WEEKNUM(F501,14),"")</f>
        <v/>
      </c>
      <c r="J501" s="28" t="e">
        <f t="shared" si="81"/>
        <v>#DIV/0!</v>
      </c>
    </row>
    <row r="502" spans="5:10">
      <c r="E502" s="3">
        <f t="shared" si="69"/>
        <v>6</v>
      </c>
      <c r="G502" s="19" t="str">
        <f t="shared" ref="G502" si="126">IF(WEEKDAY(F502,2)=1,"W"&amp;WEEKNUM(F502,14),"")</f>
        <v/>
      </c>
      <c r="J502" s="28" t="e">
        <f t="shared" si="81"/>
        <v>#DIV/0!</v>
      </c>
    </row>
    <row r="503" spans="5:10">
      <c r="E503" s="3">
        <f t="shared" si="69"/>
        <v>6</v>
      </c>
      <c r="G503" s="19" t="str">
        <f t="shared" ref="G503" si="127">IF(WEEKDAY(F503,2)=1,"W"&amp;WEEKNUM(F503,14),"")</f>
        <v/>
      </c>
      <c r="J503" s="28" t="e">
        <f t="shared" si="81"/>
        <v>#DIV/0!</v>
      </c>
    </row>
    <row r="504" spans="5:10">
      <c r="E504" s="3">
        <f t="shared" si="69"/>
        <v>6</v>
      </c>
      <c r="G504" s="19" t="str">
        <f t="shared" ref="G504" si="128">IF(WEEKDAY(F504,2)=1,"W"&amp;WEEKNUM(F504,14),"")</f>
        <v/>
      </c>
      <c r="H504">
        <f>SUM(A504:A510)</f>
        <v>0</v>
      </c>
      <c r="I504" s="28" t="e">
        <f>H504/H497-1</f>
        <v>#DIV/0!</v>
      </c>
      <c r="J504" s="28" t="e">
        <f t="shared" si="81"/>
        <v>#DIV/0!</v>
      </c>
    </row>
    <row r="505" spans="5:10">
      <c r="E505" s="3">
        <f t="shared" si="69"/>
        <v>6</v>
      </c>
      <c r="G505" s="19" t="str">
        <f t="shared" ref="G505" si="129">IF(WEEKDAY(F505,2)=1,"W"&amp;WEEKNUM(F505,14),"")</f>
        <v/>
      </c>
      <c r="J505" s="28" t="e">
        <f t="shared" si="81"/>
        <v>#DIV/0!</v>
      </c>
    </row>
    <row r="506" spans="5:10">
      <c r="E506" s="3">
        <f t="shared" si="69"/>
        <v>6</v>
      </c>
      <c r="G506" s="19" t="str">
        <f t="shared" ref="G506" si="130">IF(WEEKDAY(F506,2)=1,"W"&amp;WEEKNUM(F506,14),"")</f>
        <v/>
      </c>
      <c r="J506" s="28" t="e">
        <f t="shared" si="81"/>
        <v>#DIV/0!</v>
      </c>
    </row>
    <row r="507" spans="5:10">
      <c r="E507" s="3">
        <f t="shared" si="69"/>
        <v>6</v>
      </c>
      <c r="G507" s="19" t="str">
        <f t="shared" ref="G507" si="131">IF(WEEKDAY(F507,2)=1,"W"&amp;WEEKNUM(F507,14),"")</f>
        <v/>
      </c>
      <c r="J507" s="28" t="e">
        <f t="shared" si="81"/>
        <v>#DIV/0!</v>
      </c>
    </row>
    <row r="508" spans="5:10">
      <c r="E508" s="3">
        <f t="shared" si="69"/>
        <v>6</v>
      </c>
      <c r="G508" s="19" t="str">
        <f t="shared" ref="G508" si="132">IF(WEEKDAY(F508,2)=1,"W"&amp;WEEKNUM(F508,14),"")</f>
        <v/>
      </c>
      <c r="J508" s="28" t="e">
        <f t="shared" si="81"/>
        <v>#DIV/0!</v>
      </c>
    </row>
    <row r="509" spans="5:10">
      <c r="E509" s="3">
        <f t="shared" si="69"/>
        <v>6</v>
      </c>
      <c r="G509" s="19" t="str">
        <f t="shared" ref="G509" si="133">IF(WEEKDAY(F509,2)=1,"W"&amp;WEEKNUM(F509,14),"")</f>
        <v/>
      </c>
      <c r="J509" s="28" t="e">
        <f t="shared" si="81"/>
        <v>#DIV/0!</v>
      </c>
    </row>
    <row r="510" spans="5:10">
      <c r="E510" s="3">
        <f t="shared" si="69"/>
        <v>6</v>
      </c>
      <c r="G510" s="19" t="str">
        <f t="shared" ref="G510" si="134">IF(WEEKDAY(F510,2)=1,"W"&amp;WEEKNUM(F510,14),"")</f>
        <v/>
      </c>
      <c r="J510" s="28" t="e">
        <f t="shared" si="81"/>
        <v>#DIV/0!</v>
      </c>
    </row>
    <row r="511" spans="5:10">
      <c r="E511" s="3">
        <f t="shared" ref="E511:E574" si="135">WEEKDAY(F511,2)</f>
        <v>6</v>
      </c>
      <c r="G511" s="19" t="str">
        <f t="shared" ref="G511" si="136">IF(WEEKDAY(F511,2)=1,"W"&amp;WEEKNUM(F511,14),"")</f>
        <v/>
      </c>
      <c r="H511">
        <f>SUM(A511:A517)</f>
        <v>0</v>
      </c>
      <c r="I511" s="28" t="e">
        <f>H511/H504-1</f>
        <v>#DIV/0!</v>
      </c>
      <c r="J511" s="28" t="e">
        <f t="shared" si="81"/>
        <v>#DIV/0!</v>
      </c>
    </row>
    <row r="512" spans="5:10">
      <c r="E512" s="3">
        <f t="shared" si="135"/>
        <v>6</v>
      </c>
      <c r="G512" s="19" t="str">
        <f t="shared" ref="G512" si="137">IF(WEEKDAY(F512,2)=1,"W"&amp;WEEKNUM(F512,14),"")</f>
        <v/>
      </c>
      <c r="J512" s="28" t="e">
        <f t="shared" si="81"/>
        <v>#DIV/0!</v>
      </c>
    </row>
    <row r="513" spans="5:10">
      <c r="E513" s="3">
        <f t="shared" si="135"/>
        <v>6</v>
      </c>
      <c r="G513" s="19" t="str">
        <f t="shared" ref="G513" si="138">IF(WEEKDAY(F513,2)=1,"W"&amp;WEEKNUM(F513,14),"")</f>
        <v/>
      </c>
      <c r="J513" s="28" t="e">
        <f t="shared" si="81"/>
        <v>#DIV/0!</v>
      </c>
    </row>
    <row r="514" spans="5:10">
      <c r="E514" s="3">
        <f t="shared" si="135"/>
        <v>6</v>
      </c>
      <c r="G514" s="19" t="str">
        <f t="shared" ref="G514" si="139">IF(WEEKDAY(F514,2)=1,"W"&amp;WEEKNUM(F514,14),"")</f>
        <v/>
      </c>
      <c r="J514" s="28" t="e">
        <f t="shared" si="81"/>
        <v>#DIV/0!</v>
      </c>
    </row>
    <row r="515" spans="5:10">
      <c r="E515" s="3">
        <f t="shared" si="135"/>
        <v>6</v>
      </c>
      <c r="G515" s="19" t="str">
        <f t="shared" ref="G515" si="140">IF(WEEKDAY(F515,2)=1,"W"&amp;WEEKNUM(F515,14),"")</f>
        <v/>
      </c>
      <c r="J515" s="28" t="e">
        <f t="shared" si="81"/>
        <v>#DIV/0!</v>
      </c>
    </row>
    <row r="516" spans="5:10">
      <c r="E516" s="3">
        <f t="shared" si="135"/>
        <v>6</v>
      </c>
      <c r="G516" s="19" t="str">
        <f t="shared" ref="G516" si="141">IF(WEEKDAY(F516,2)=1,"W"&amp;WEEKNUM(F516,14),"")</f>
        <v/>
      </c>
      <c r="J516" s="28" t="e">
        <f t="shared" si="81"/>
        <v>#DIV/0!</v>
      </c>
    </row>
    <row r="517" spans="5:10">
      <c r="E517" s="3">
        <f t="shared" si="135"/>
        <v>6</v>
      </c>
      <c r="G517" s="19" t="str">
        <f t="shared" ref="G517" si="142">IF(WEEKDAY(F517,2)=1,"W"&amp;WEEKNUM(F517,14),"")</f>
        <v/>
      </c>
      <c r="J517" s="28" t="e">
        <f t="shared" si="81"/>
        <v>#DIV/0!</v>
      </c>
    </row>
    <row r="518" spans="5:10">
      <c r="E518" s="3">
        <f t="shared" si="135"/>
        <v>6</v>
      </c>
      <c r="G518" s="19" t="str">
        <f t="shared" ref="G518" si="143">IF(WEEKDAY(F518,2)=1,"W"&amp;WEEKNUM(F518,14),"")</f>
        <v/>
      </c>
      <c r="H518">
        <f>SUM(A518:A524)</f>
        <v>0</v>
      </c>
      <c r="I518" s="28" t="e">
        <f>H518/H511-1</f>
        <v>#DIV/0!</v>
      </c>
      <c r="J518" s="28" t="e">
        <f t="shared" si="81"/>
        <v>#DIV/0!</v>
      </c>
    </row>
    <row r="519" spans="5:10">
      <c r="E519" s="3">
        <f t="shared" si="135"/>
        <v>6</v>
      </c>
      <c r="G519" s="19" t="str">
        <f t="shared" ref="G519" si="144">IF(WEEKDAY(F519,2)=1,"W"&amp;WEEKNUM(F519,14),"")</f>
        <v/>
      </c>
      <c r="J519" s="28" t="e">
        <f t="shared" si="81"/>
        <v>#DIV/0!</v>
      </c>
    </row>
    <row r="520" spans="5:10">
      <c r="E520" s="3">
        <f t="shared" si="135"/>
        <v>6</v>
      </c>
      <c r="G520" s="19" t="str">
        <f t="shared" ref="G520" si="145">IF(WEEKDAY(F520,2)=1,"W"&amp;WEEKNUM(F520,14),"")</f>
        <v/>
      </c>
      <c r="J520" s="28" t="e">
        <f t="shared" si="81"/>
        <v>#DIV/0!</v>
      </c>
    </row>
    <row r="521" spans="5:10">
      <c r="E521" s="3">
        <f t="shared" si="135"/>
        <v>6</v>
      </c>
      <c r="G521" s="19" t="str">
        <f t="shared" ref="G521" si="146">IF(WEEKDAY(F521,2)=1,"W"&amp;WEEKNUM(F521,14),"")</f>
        <v/>
      </c>
      <c r="J521" s="28" t="e">
        <f t="shared" ref="J521:J584" si="147">A521/A514-1</f>
        <v>#DIV/0!</v>
      </c>
    </row>
    <row r="522" spans="5:10">
      <c r="E522" s="3">
        <f t="shared" si="135"/>
        <v>6</v>
      </c>
      <c r="G522" s="19" t="str">
        <f t="shared" ref="G522" si="148">IF(WEEKDAY(F522,2)=1,"W"&amp;WEEKNUM(F522,14),"")</f>
        <v/>
      </c>
      <c r="J522" s="28" t="e">
        <f t="shared" si="147"/>
        <v>#DIV/0!</v>
      </c>
    </row>
    <row r="523" spans="5:10">
      <c r="E523" s="3">
        <f t="shared" si="135"/>
        <v>6</v>
      </c>
      <c r="G523" s="19" t="str">
        <f t="shared" ref="G523" si="149">IF(WEEKDAY(F523,2)=1,"W"&amp;WEEKNUM(F523,14),"")</f>
        <v/>
      </c>
      <c r="J523" s="28" t="e">
        <f t="shared" si="147"/>
        <v>#DIV/0!</v>
      </c>
    </row>
    <row r="524" spans="5:10">
      <c r="E524" s="3">
        <f t="shared" si="135"/>
        <v>6</v>
      </c>
      <c r="G524" s="19" t="str">
        <f t="shared" ref="G524" si="150">IF(WEEKDAY(F524,2)=1,"W"&amp;WEEKNUM(F524,14),"")</f>
        <v/>
      </c>
      <c r="J524" s="28" t="e">
        <f t="shared" si="147"/>
        <v>#DIV/0!</v>
      </c>
    </row>
    <row r="525" spans="5:10">
      <c r="E525" s="3">
        <f t="shared" si="135"/>
        <v>6</v>
      </c>
      <c r="G525" s="19" t="str">
        <f t="shared" ref="G525" si="151">IF(WEEKDAY(F525,2)=1,"W"&amp;WEEKNUM(F525,14),"")</f>
        <v/>
      </c>
      <c r="H525">
        <f>SUM(A525:A531)</f>
        <v>0</v>
      </c>
      <c r="I525" s="28" t="e">
        <f>H525/H518-1</f>
        <v>#DIV/0!</v>
      </c>
      <c r="J525" s="28" t="e">
        <f t="shared" si="147"/>
        <v>#DIV/0!</v>
      </c>
    </row>
    <row r="526" spans="5:10">
      <c r="E526" s="3">
        <f t="shared" si="135"/>
        <v>6</v>
      </c>
      <c r="G526" s="19" t="str">
        <f t="shared" ref="G526" si="152">IF(WEEKDAY(F526,2)=1,"W"&amp;WEEKNUM(F526,14),"")</f>
        <v/>
      </c>
      <c r="J526" s="28" t="e">
        <f t="shared" si="147"/>
        <v>#DIV/0!</v>
      </c>
    </row>
    <row r="527" spans="5:10">
      <c r="E527" s="3">
        <f t="shared" si="135"/>
        <v>6</v>
      </c>
      <c r="G527" s="19" t="str">
        <f t="shared" ref="G527" si="153">IF(WEEKDAY(F527,2)=1,"W"&amp;WEEKNUM(F527,14),"")</f>
        <v/>
      </c>
      <c r="J527" s="28" t="e">
        <f t="shared" si="147"/>
        <v>#DIV/0!</v>
      </c>
    </row>
    <row r="528" spans="5:10">
      <c r="E528" s="3">
        <f t="shared" si="135"/>
        <v>6</v>
      </c>
      <c r="G528" s="19" t="str">
        <f t="shared" ref="G528" si="154">IF(WEEKDAY(F528,2)=1,"W"&amp;WEEKNUM(F528,14),"")</f>
        <v/>
      </c>
      <c r="J528" s="28" t="e">
        <f t="shared" si="147"/>
        <v>#DIV/0!</v>
      </c>
    </row>
    <row r="529" spans="5:10">
      <c r="E529" s="3">
        <f t="shared" si="135"/>
        <v>6</v>
      </c>
      <c r="G529" s="19" t="str">
        <f t="shared" ref="G529" si="155">IF(WEEKDAY(F529,2)=1,"W"&amp;WEEKNUM(F529,14),"")</f>
        <v/>
      </c>
      <c r="J529" s="28" t="e">
        <f t="shared" si="147"/>
        <v>#DIV/0!</v>
      </c>
    </row>
    <row r="530" spans="5:10">
      <c r="E530" s="3">
        <f t="shared" si="135"/>
        <v>6</v>
      </c>
      <c r="G530" s="19" t="str">
        <f t="shared" ref="G530" si="156">IF(WEEKDAY(F530,2)=1,"W"&amp;WEEKNUM(F530,14),"")</f>
        <v/>
      </c>
      <c r="J530" s="28" t="e">
        <f t="shared" si="147"/>
        <v>#DIV/0!</v>
      </c>
    </row>
    <row r="531" spans="5:10">
      <c r="E531" s="3">
        <f t="shared" si="135"/>
        <v>6</v>
      </c>
      <c r="G531" s="19" t="str">
        <f t="shared" ref="G531" si="157">IF(WEEKDAY(F531,2)=1,"W"&amp;WEEKNUM(F531,14),"")</f>
        <v/>
      </c>
      <c r="J531" s="28" t="e">
        <f t="shared" si="147"/>
        <v>#DIV/0!</v>
      </c>
    </row>
    <row r="532" spans="5:10">
      <c r="E532" s="3">
        <f t="shared" si="135"/>
        <v>6</v>
      </c>
      <c r="G532" s="19" t="str">
        <f t="shared" ref="G532" si="158">IF(WEEKDAY(F532,2)=1,"W"&amp;WEEKNUM(F532,14),"")</f>
        <v/>
      </c>
      <c r="H532">
        <f>SUM(A532:A538)</f>
        <v>0</v>
      </c>
      <c r="I532" s="28" t="e">
        <f>H532/H525-1</f>
        <v>#DIV/0!</v>
      </c>
      <c r="J532" s="28" t="e">
        <f t="shared" si="147"/>
        <v>#DIV/0!</v>
      </c>
    </row>
    <row r="533" spans="5:10">
      <c r="E533" s="3">
        <f t="shared" si="135"/>
        <v>6</v>
      </c>
      <c r="G533" s="19" t="str">
        <f t="shared" ref="G533" si="159">IF(WEEKDAY(F533,2)=1,"W"&amp;WEEKNUM(F533,14),"")</f>
        <v/>
      </c>
      <c r="J533" s="28" t="e">
        <f t="shared" si="147"/>
        <v>#DIV/0!</v>
      </c>
    </row>
    <row r="534" spans="5:10">
      <c r="E534" s="3">
        <f t="shared" si="135"/>
        <v>6</v>
      </c>
      <c r="G534" s="19" t="str">
        <f t="shared" ref="G534" si="160">IF(WEEKDAY(F534,2)=1,"W"&amp;WEEKNUM(F534,14),"")</f>
        <v/>
      </c>
      <c r="J534" s="28" t="e">
        <f t="shared" si="147"/>
        <v>#DIV/0!</v>
      </c>
    </row>
    <row r="535" spans="5:10">
      <c r="E535" s="3">
        <f t="shared" si="135"/>
        <v>6</v>
      </c>
      <c r="G535" s="19" t="str">
        <f t="shared" ref="G535" si="161">IF(WEEKDAY(F535,2)=1,"W"&amp;WEEKNUM(F535,14),"")</f>
        <v/>
      </c>
      <c r="J535" s="28" t="e">
        <f t="shared" si="147"/>
        <v>#DIV/0!</v>
      </c>
    </row>
    <row r="536" spans="5:10">
      <c r="E536" s="3">
        <f t="shared" si="135"/>
        <v>6</v>
      </c>
      <c r="G536" s="19" t="str">
        <f t="shared" ref="G536" si="162">IF(WEEKDAY(F536,2)=1,"W"&amp;WEEKNUM(F536,14),"")</f>
        <v/>
      </c>
      <c r="J536" s="28" t="e">
        <f t="shared" si="147"/>
        <v>#DIV/0!</v>
      </c>
    </row>
    <row r="537" spans="5:10">
      <c r="E537" s="3">
        <f t="shared" si="135"/>
        <v>6</v>
      </c>
      <c r="G537" s="19" t="str">
        <f t="shared" ref="G537" si="163">IF(WEEKDAY(F537,2)=1,"W"&amp;WEEKNUM(F537,14),"")</f>
        <v/>
      </c>
      <c r="J537" s="28" t="e">
        <f t="shared" si="147"/>
        <v>#DIV/0!</v>
      </c>
    </row>
    <row r="538" spans="5:10">
      <c r="E538" s="3">
        <f t="shared" si="135"/>
        <v>6</v>
      </c>
      <c r="G538" s="19" t="str">
        <f t="shared" ref="G538" si="164">IF(WEEKDAY(F538,2)=1,"W"&amp;WEEKNUM(F538,14),"")</f>
        <v/>
      </c>
      <c r="J538" s="28" t="e">
        <f t="shared" si="147"/>
        <v>#DIV/0!</v>
      </c>
    </row>
    <row r="539" spans="5:10">
      <c r="E539" s="3">
        <f t="shared" si="135"/>
        <v>6</v>
      </c>
      <c r="G539" s="19" t="str">
        <f t="shared" ref="G539" si="165">IF(WEEKDAY(F539,2)=1,"W"&amp;WEEKNUM(F539,14),"")</f>
        <v/>
      </c>
      <c r="H539">
        <f>SUM(A539:A545)</f>
        <v>0</v>
      </c>
      <c r="I539" s="28" t="e">
        <f>H539/H532-1</f>
        <v>#DIV/0!</v>
      </c>
      <c r="J539" s="28" t="e">
        <f t="shared" si="147"/>
        <v>#DIV/0!</v>
      </c>
    </row>
    <row r="540" spans="5:10">
      <c r="E540" s="3">
        <f t="shared" si="135"/>
        <v>6</v>
      </c>
      <c r="G540" s="19" t="str">
        <f t="shared" ref="G540" si="166">IF(WEEKDAY(F540,2)=1,"W"&amp;WEEKNUM(F540,14),"")</f>
        <v/>
      </c>
      <c r="J540" s="28" t="e">
        <f t="shared" si="147"/>
        <v>#DIV/0!</v>
      </c>
    </row>
    <row r="541" spans="5:10">
      <c r="E541" s="3">
        <f t="shared" si="135"/>
        <v>6</v>
      </c>
      <c r="G541" s="19" t="str">
        <f t="shared" ref="G541" si="167">IF(WEEKDAY(F541,2)=1,"W"&amp;WEEKNUM(F541,14),"")</f>
        <v/>
      </c>
      <c r="J541" s="28" t="e">
        <f t="shared" si="147"/>
        <v>#DIV/0!</v>
      </c>
    </row>
    <row r="542" spans="5:10">
      <c r="E542" s="3">
        <f t="shared" si="135"/>
        <v>6</v>
      </c>
      <c r="G542" s="19" t="str">
        <f t="shared" ref="G542" si="168">IF(WEEKDAY(F542,2)=1,"W"&amp;WEEKNUM(F542,14),"")</f>
        <v/>
      </c>
      <c r="J542" s="28" t="e">
        <f t="shared" si="147"/>
        <v>#DIV/0!</v>
      </c>
    </row>
    <row r="543" spans="5:10">
      <c r="E543" s="3">
        <f t="shared" si="135"/>
        <v>6</v>
      </c>
      <c r="G543" s="19" t="str">
        <f t="shared" ref="G543" si="169">IF(WEEKDAY(F543,2)=1,"W"&amp;WEEKNUM(F543,14),"")</f>
        <v/>
      </c>
      <c r="J543" s="28" t="e">
        <f t="shared" si="147"/>
        <v>#DIV/0!</v>
      </c>
    </row>
    <row r="544" spans="5:10">
      <c r="E544" s="3">
        <f t="shared" si="135"/>
        <v>6</v>
      </c>
      <c r="G544" s="19" t="str">
        <f t="shared" ref="G544" si="170">IF(WEEKDAY(F544,2)=1,"W"&amp;WEEKNUM(F544,14),"")</f>
        <v/>
      </c>
      <c r="J544" s="28" t="e">
        <f t="shared" si="147"/>
        <v>#DIV/0!</v>
      </c>
    </row>
    <row r="545" spans="5:10">
      <c r="E545" s="3">
        <f t="shared" si="135"/>
        <v>6</v>
      </c>
      <c r="G545" s="19" t="str">
        <f t="shared" ref="G545" si="171">IF(WEEKDAY(F545,2)=1,"W"&amp;WEEKNUM(F545,14),"")</f>
        <v/>
      </c>
      <c r="J545" s="28" t="e">
        <f t="shared" si="147"/>
        <v>#DIV/0!</v>
      </c>
    </row>
    <row r="546" spans="5:10">
      <c r="E546" s="3">
        <f t="shared" si="135"/>
        <v>6</v>
      </c>
      <c r="G546" s="19" t="str">
        <f t="shared" ref="G546" si="172">IF(WEEKDAY(F546,2)=1,"W"&amp;WEEKNUM(F546,14),"")</f>
        <v/>
      </c>
      <c r="H546">
        <f>SUM(A546:A552)</f>
        <v>0</v>
      </c>
      <c r="I546" s="28" t="e">
        <f>H546/H539-1</f>
        <v>#DIV/0!</v>
      </c>
      <c r="J546" s="28" t="e">
        <f t="shared" si="147"/>
        <v>#DIV/0!</v>
      </c>
    </row>
    <row r="547" spans="5:10">
      <c r="E547" s="3">
        <f t="shared" si="135"/>
        <v>6</v>
      </c>
      <c r="G547" s="19" t="str">
        <f t="shared" ref="G547" si="173">IF(WEEKDAY(F547,2)=1,"W"&amp;WEEKNUM(F547,14),"")</f>
        <v/>
      </c>
      <c r="J547" s="28" t="e">
        <f t="shared" si="147"/>
        <v>#DIV/0!</v>
      </c>
    </row>
    <row r="548" spans="5:10">
      <c r="E548" s="3">
        <f t="shared" si="135"/>
        <v>6</v>
      </c>
      <c r="G548" s="19" t="str">
        <f t="shared" ref="G548" si="174">IF(WEEKDAY(F548,2)=1,"W"&amp;WEEKNUM(F548,14),"")</f>
        <v/>
      </c>
      <c r="J548" s="28" t="e">
        <f t="shared" si="147"/>
        <v>#DIV/0!</v>
      </c>
    </row>
    <row r="549" spans="5:10">
      <c r="E549" s="3">
        <f t="shared" si="135"/>
        <v>6</v>
      </c>
      <c r="G549" s="19" t="str">
        <f t="shared" ref="G549" si="175">IF(WEEKDAY(F549,2)=1,"W"&amp;WEEKNUM(F549,14),"")</f>
        <v/>
      </c>
      <c r="J549" s="28" t="e">
        <f t="shared" si="147"/>
        <v>#DIV/0!</v>
      </c>
    </row>
    <row r="550" spans="5:10">
      <c r="E550" s="3">
        <f t="shared" si="135"/>
        <v>6</v>
      </c>
      <c r="G550" s="19" t="str">
        <f t="shared" ref="G550" si="176">IF(WEEKDAY(F550,2)=1,"W"&amp;WEEKNUM(F550,14),"")</f>
        <v/>
      </c>
      <c r="J550" s="28" t="e">
        <f t="shared" si="147"/>
        <v>#DIV/0!</v>
      </c>
    </row>
    <row r="551" spans="5:10">
      <c r="E551" s="3">
        <f t="shared" si="135"/>
        <v>6</v>
      </c>
      <c r="G551" s="19" t="str">
        <f t="shared" ref="G551" si="177">IF(WEEKDAY(F551,2)=1,"W"&amp;WEEKNUM(F551,14),"")</f>
        <v/>
      </c>
      <c r="J551" s="28" t="e">
        <f t="shared" si="147"/>
        <v>#DIV/0!</v>
      </c>
    </row>
    <row r="552" spans="5:10">
      <c r="E552" s="3">
        <f t="shared" si="135"/>
        <v>6</v>
      </c>
      <c r="G552" s="19" t="str">
        <f t="shared" ref="G552" si="178">IF(WEEKDAY(F552,2)=1,"W"&amp;WEEKNUM(F552,14),"")</f>
        <v/>
      </c>
      <c r="J552" s="28" t="e">
        <f t="shared" si="147"/>
        <v>#DIV/0!</v>
      </c>
    </row>
    <row r="553" spans="5:10">
      <c r="E553" s="3">
        <f t="shared" si="135"/>
        <v>6</v>
      </c>
      <c r="G553" s="19" t="str">
        <f t="shared" ref="G553" si="179">IF(WEEKDAY(F553,2)=1,"W"&amp;WEEKNUM(F553,14),"")</f>
        <v/>
      </c>
      <c r="H553">
        <f>SUM(A553:A559)</f>
        <v>0</v>
      </c>
      <c r="I553" s="28" t="e">
        <f>H553/H546-1</f>
        <v>#DIV/0!</v>
      </c>
      <c r="J553" s="28" t="e">
        <f t="shared" si="147"/>
        <v>#DIV/0!</v>
      </c>
    </row>
    <row r="554" spans="5:10">
      <c r="E554" s="3">
        <f t="shared" si="135"/>
        <v>6</v>
      </c>
      <c r="G554" s="19" t="str">
        <f t="shared" ref="G554" si="180">IF(WEEKDAY(F554,2)=1,"W"&amp;WEEKNUM(F554,14),"")</f>
        <v/>
      </c>
      <c r="J554" s="28" t="e">
        <f t="shared" si="147"/>
        <v>#DIV/0!</v>
      </c>
    </row>
    <row r="555" spans="5:10">
      <c r="E555" s="3">
        <f t="shared" si="135"/>
        <v>6</v>
      </c>
      <c r="G555" s="19" t="str">
        <f t="shared" ref="G555" si="181">IF(WEEKDAY(F555,2)=1,"W"&amp;WEEKNUM(F555,14),"")</f>
        <v/>
      </c>
      <c r="J555" s="28" t="e">
        <f t="shared" si="147"/>
        <v>#DIV/0!</v>
      </c>
    </row>
    <row r="556" spans="5:10">
      <c r="E556" s="3">
        <f t="shared" si="135"/>
        <v>6</v>
      </c>
      <c r="G556" s="19" t="str">
        <f t="shared" ref="G556" si="182">IF(WEEKDAY(F556,2)=1,"W"&amp;WEEKNUM(F556,14),"")</f>
        <v/>
      </c>
      <c r="J556" s="28" t="e">
        <f t="shared" si="147"/>
        <v>#DIV/0!</v>
      </c>
    </row>
    <row r="557" spans="5:10">
      <c r="E557" s="3">
        <f t="shared" si="135"/>
        <v>6</v>
      </c>
      <c r="G557" s="19" t="str">
        <f t="shared" ref="G557" si="183">IF(WEEKDAY(F557,2)=1,"W"&amp;WEEKNUM(F557,14),"")</f>
        <v/>
      </c>
      <c r="J557" s="28" t="e">
        <f t="shared" si="147"/>
        <v>#DIV/0!</v>
      </c>
    </row>
    <row r="558" spans="5:10">
      <c r="E558" s="3">
        <f t="shared" si="135"/>
        <v>6</v>
      </c>
      <c r="G558" s="19" t="str">
        <f t="shared" ref="G558" si="184">IF(WEEKDAY(F558,2)=1,"W"&amp;WEEKNUM(F558,14),"")</f>
        <v/>
      </c>
      <c r="J558" s="28" t="e">
        <f t="shared" si="147"/>
        <v>#DIV/0!</v>
      </c>
    </row>
    <row r="559" spans="5:10">
      <c r="E559" s="3">
        <f t="shared" si="135"/>
        <v>6</v>
      </c>
      <c r="G559" s="19" t="str">
        <f t="shared" ref="G559" si="185">IF(WEEKDAY(F559,2)=1,"W"&amp;WEEKNUM(F559,14),"")</f>
        <v/>
      </c>
      <c r="J559" s="28" t="e">
        <f t="shared" si="147"/>
        <v>#DIV/0!</v>
      </c>
    </row>
    <row r="560" spans="5:10">
      <c r="E560" s="3">
        <f t="shared" si="135"/>
        <v>6</v>
      </c>
      <c r="G560" s="19" t="str">
        <f t="shared" ref="G560" si="186">IF(WEEKDAY(F560,2)=1,"W"&amp;WEEKNUM(F560,14),"")</f>
        <v/>
      </c>
      <c r="H560">
        <f>SUM(A560:A566)</f>
        <v>0</v>
      </c>
      <c r="I560" s="28" t="e">
        <f>H560/H553-1</f>
        <v>#DIV/0!</v>
      </c>
      <c r="J560" s="28" t="e">
        <f t="shared" si="147"/>
        <v>#DIV/0!</v>
      </c>
    </row>
    <row r="561" spans="5:10">
      <c r="E561" s="3">
        <f t="shared" si="135"/>
        <v>6</v>
      </c>
      <c r="G561" s="19" t="str">
        <f t="shared" ref="G561" si="187">IF(WEEKDAY(F561,2)=1,"W"&amp;WEEKNUM(F561,14),"")</f>
        <v/>
      </c>
      <c r="J561" s="28" t="e">
        <f t="shared" si="147"/>
        <v>#DIV/0!</v>
      </c>
    </row>
    <row r="562" spans="5:10">
      <c r="E562" s="3">
        <f t="shared" si="135"/>
        <v>6</v>
      </c>
      <c r="G562" s="19" t="str">
        <f t="shared" ref="G562" si="188">IF(WEEKDAY(F562,2)=1,"W"&amp;WEEKNUM(F562,14),"")</f>
        <v/>
      </c>
      <c r="J562" s="28" t="e">
        <f t="shared" si="147"/>
        <v>#DIV/0!</v>
      </c>
    </row>
    <row r="563" spans="5:10">
      <c r="E563" s="3">
        <f t="shared" si="135"/>
        <v>6</v>
      </c>
      <c r="G563" s="19" t="str">
        <f t="shared" ref="G563" si="189">IF(WEEKDAY(F563,2)=1,"W"&amp;WEEKNUM(F563,14),"")</f>
        <v/>
      </c>
      <c r="J563" s="28" t="e">
        <f t="shared" si="147"/>
        <v>#DIV/0!</v>
      </c>
    </row>
    <row r="564" spans="5:10">
      <c r="E564" s="3">
        <f t="shared" si="135"/>
        <v>6</v>
      </c>
      <c r="G564" s="19" t="str">
        <f t="shared" ref="G564" si="190">IF(WEEKDAY(F564,2)=1,"W"&amp;WEEKNUM(F564,14),"")</f>
        <v/>
      </c>
      <c r="J564" s="28" t="e">
        <f t="shared" si="147"/>
        <v>#DIV/0!</v>
      </c>
    </row>
    <row r="565" spans="5:10">
      <c r="E565" s="3">
        <f t="shared" si="135"/>
        <v>6</v>
      </c>
      <c r="G565" s="19" t="str">
        <f t="shared" ref="G565" si="191">IF(WEEKDAY(F565,2)=1,"W"&amp;WEEKNUM(F565,14),"")</f>
        <v/>
      </c>
      <c r="J565" s="28" t="e">
        <f t="shared" si="147"/>
        <v>#DIV/0!</v>
      </c>
    </row>
    <row r="566" spans="5:10">
      <c r="E566" s="3">
        <f t="shared" si="135"/>
        <v>6</v>
      </c>
      <c r="G566" s="19" t="str">
        <f t="shared" ref="G566" si="192">IF(WEEKDAY(F566,2)=1,"W"&amp;WEEKNUM(F566,14),"")</f>
        <v/>
      </c>
      <c r="J566" s="28" t="e">
        <f t="shared" si="147"/>
        <v>#DIV/0!</v>
      </c>
    </row>
    <row r="567" spans="5:10">
      <c r="E567" s="3">
        <f t="shared" si="135"/>
        <v>6</v>
      </c>
      <c r="G567" s="19" t="str">
        <f t="shared" ref="G567" si="193">IF(WEEKDAY(F567,2)=1,"W"&amp;WEEKNUM(F567,14),"")</f>
        <v/>
      </c>
      <c r="H567">
        <f>SUM(A567:A573)</f>
        <v>0</v>
      </c>
      <c r="I567" s="28" t="e">
        <f>H567/H560-1</f>
        <v>#DIV/0!</v>
      </c>
      <c r="J567" s="28" t="e">
        <f t="shared" si="147"/>
        <v>#DIV/0!</v>
      </c>
    </row>
    <row r="568" spans="5:10">
      <c r="E568" s="3">
        <f t="shared" si="135"/>
        <v>6</v>
      </c>
      <c r="G568" s="19" t="str">
        <f t="shared" ref="G568" si="194">IF(WEEKDAY(F568,2)=1,"W"&amp;WEEKNUM(F568,14),"")</f>
        <v/>
      </c>
      <c r="J568" s="28" t="e">
        <f t="shared" si="147"/>
        <v>#DIV/0!</v>
      </c>
    </row>
    <row r="569" spans="5:10">
      <c r="E569" s="3">
        <f t="shared" si="135"/>
        <v>6</v>
      </c>
      <c r="G569" s="19" t="str">
        <f t="shared" ref="G569" si="195">IF(WEEKDAY(F569,2)=1,"W"&amp;WEEKNUM(F569,14),"")</f>
        <v/>
      </c>
      <c r="J569" s="28" t="e">
        <f t="shared" si="147"/>
        <v>#DIV/0!</v>
      </c>
    </row>
    <row r="570" spans="5:10">
      <c r="E570" s="3">
        <f t="shared" si="135"/>
        <v>6</v>
      </c>
      <c r="G570" s="19" t="str">
        <f t="shared" ref="G570" si="196">IF(WEEKDAY(F570,2)=1,"W"&amp;WEEKNUM(F570,14),"")</f>
        <v/>
      </c>
      <c r="J570" s="28" t="e">
        <f t="shared" si="147"/>
        <v>#DIV/0!</v>
      </c>
    </row>
    <row r="571" spans="5:10">
      <c r="E571" s="3">
        <f t="shared" si="135"/>
        <v>6</v>
      </c>
      <c r="G571" s="19" t="str">
        <f t="shared" ref="G571" si="197">IF(WEEKDAY(F571,2)=1,"W"&amp;WEEKNUM(F571,14),"")</f>
        <v/>
      </c>
      <c r="J571" s="28" t="e">
        <f t="shared" si="147"/>
        <v>#DIV/0!</v>
      </c>
    </row>
    <row r="572" spans="5:10">
      <c r="E572" s="3">
        <f t="shared" si="135"/>
        <v>6</v>
      </c>
      <c r="G572" s="19" t="str">
        <f t="shared" ref="G572" si="198">IF(WEEKDAY(F572,2)=1,"W"&amp;WEEKNUM(F572,14),"")</f>
        <v/>
      </c>
      <c r="J572" s="28" t="e">
        <f t="shared" si="147"/>
        <v>#DIV/0!</v>
      </c>
    </row>
    <row r="573" spans="5:10">
      <c r="E573" s="3">
        <f t="shared" si="135"/>
        <v>6</v>
      </c>
      <c r="G573" s="19" t="str">
        <f t="shared" ref="G573" si="199">IF(WEEKDAY(F573,2)=1,"W"&amp;WEEKNUM(F573,14),"")</f>
        <v/>
      </c>
      <c r="J573" s="28" t="e">
        <f t="shared" si="147"/>
        <v>#DIV/0!</v>
      </c>
    </row>
    <row r="574" spans="5:10">
      <c r="E574" s="3">
        <f t="shared" si="135"/>
        <v>6</v>
      </c>
      <c r="G574" s="19" t="str">
        <f t="shared" ref="G574" si="200">IF(WEEKDAY(F574,2)=1,"W"&amp;WEEKNUM(F574,14),"")</f>
        <v/>
      </c>
      <c r="H574">
        <f>SUM(A574:A580)</f>
        <v>0</v>
      </c>
      <c r="I574" s="28" t="e">
        <f>H574/H567-1</f>
        <v>#DIV/0!</v>
      </c>
      <c r="J574" s="28" t="e">
        <f t="shared" si="147"/>
        <v>#DIV/0!</v>
      </c>
    </row>
    <row r="575" spans="5:10">
      <c r="E575" s="3">
        <f t="shared" ref="E575:E638" si="201">WEEKDAY(F575,2)</f>
        <v>6</v>
      </c>
      <c r="G575" s="19" t="str">
        <f t="shared" ref="G575:G595" si="202">IF(WEEKDAY(F575,2)=1,"W"&amp;WEEKNUM(F575,14),"")</f>
        <v/>
      </c>
      <c r="J575" s="28" t="e">
        <f t="shared" si="147"/>
        <v>#DIV/0!</v>
      </c>
    </row>
    <row r="576" spans="5:10">
      <c r="E576" s="3">
        <f t="shared" si="201"/>
        <v>6</v>
      </c>
      <c r="G576" s="19" t="str">
        <f t="shared" si="202"/>
        <v/>
      </c>
      <c r="J576" s="28" t="e">
        <f t="shared" si="147"/>
        <v>#DIV/0!</v>
      </c>
    </row>
    <row r="577" spans="5:10">
      <c r="E577" s="3">
        <f t="shared" si="201"/>
        <v>6</v>
      </c>
      <c r="G577" s="19" t="str">
        <f t="shared" si="202"/>
        <v/>
      </c>
      <c r="J577" s="28" t="e">
        <f t="shared" si="147"/>
        <v>#DIV/0!</v>
      </c>
    </row>
    <row r="578" spans="5:10">
      <c r="E578" s="3">
        <f t="shared" si="201"/>
        <v>6</v>
      </c>
      <c r="G578" s="19" t="str">
        <f t="shared" si="202"/>
        <v/>
      </c>
      <c r="J578" s="28" t="e">
        <f t="shared" si="147"/>
        <v>#DIV/0!</v>
      </c>
    </row>
    <row r="579" spans="5:10">
      <c r="E579" s="3">
        <f t="shared" si="201"/>
        <v>6</v>
      </c>
      <c r="G579" s="19" t="str">
        <f t="shared" si="202"/>
        <v/>
      </c>
      <c r="J579" s="28" t="e">
        <f t="shared" si="147"/>
        <v>#DIV/0!</v>
      </c>
    </row>
    <row r="580" spans="5:10">
      <c r="E580" s="3">
        <f t="shared" si="201"/>
        <v>6</v>
      </c>
      <c r="G580" s="19" t="str">
        <f t="shared" si="202"/>
        <v/>
      </c>
      <c r="J580" s="28" t="e">
        <f t="shared" si="147"/>
        <v>#DIV/0!</v>
      </c>
    </row>
    <row r="581" spans="5:10">
      <c r="E581" s="3">
        <f t="shared" si="201"/>
        <v>6</v>
      </c>
      <c r="G581" s="19" t="str">
        <f t="shared" si="202"/>
        <v/>
      </c>
      <c r="H581">
        <f>SUM(A581:A587)</f>
        <v>0</v>
      </c>
      <c r="I581" s="28" t="e">
        <f>H581/H574-1</f>
        <v>#DIV/0!</v>
      </c>
      <c r="J581" s="28" t="e">
        <f t="shared" si="147"/>
        <v>#DIV/0!</v>
      </c>
    </row>
    <row r="582" spans="5:10">
      <c r="E582" s="3">
        <f t="shared" si="201"/>
        <v>6</v>
      </c>
      <c r="G582" s="19" t="str">
        <f t="shared" si="202"/>
        <v/>
      </c>
      <c r="J582" s="28" t="e">
        <f t="shared" si="147"/>
        <v>#DIV/0!</v>
      </c>
    </row>
    <row r="583" spans="5:10">
      <c r="E583" s="3">
        <f t="shared" si="201"/>
        <v>6</v>
      </c>
      <c r="G583" s="19" t="str">
        <f t="shared" si="202"/>
        <v/>
      </c>
      <c r="J583" s="28" t="e">
        <f t="shared" si="147"/>
        <v>#DIV/0!</v>
      </c>
    </row>
    <row r="584" spans="5:10">
      <c r="E584" s="3">
        <f t="shared" si="201"/>
        <v>6</v>
      </c>
      <c r="G584" s="19" t="str">
        <f t="shared" si="202"/>
        <v/>
      </c>
      <c r="J584" s="28" t="e">
        <f t="shared" si="147"/>
        <v>#DIV/0!</v>
      </c>
    </row>
    <row r="585" spans="5:10">
      <c r="E585" s="3">
        <f t="shared" si="201"/>
        <v>6</v>
      </c>
      <c r="G585" s="19" t="str">
        <f t="shared" si="202"/>
        <v/>
      </c>
      <c r="J585" s="28" t="e">
        <f t="shared" ref="J585:J641" si="203">A585/A578-1</f>
        <v>#DIV/0!</v>
      </c>
    </row>
    <row r="586" spans="5:10">
      <c r="E586" s="3">
        <f t="shared" si="201"/>
        <v>6</v>
      </c>
      <c r="G586" s="19" t="str">
        <f t="shared" si="202"/>
        <v/>
      </c>
      <c r="J586" s="28" t="e">
        <f t="shared" si="203"/>
        <v>#DIV/0!</v>
      </c>
    </row>
    <row r="587" spans="5:10">
      <c r="E587" s="3">
        <f t="shared" si="201"/>
        <v>6</v>
      </c>
      <c r="G587" s="19" t="str">
        <f t="shared" si="202"/>
        <v/>
      </c>
      <c r="J587" s="28" t="e">
        <f t="shared" si="203"/>
        <v>#DIV/0!</v>
      </c>
    </row>
    <row r="588" spans="5:10">
      <c r="E588" s="3">
        <f t="shared" si="201"/>
        <v>6</v>
      </c>
      <c r="G588" s="19" t="str">
        <f t="shared" si="202"/>
        <v/>
      </c>
      <c r="H588">
        <f>SUM(A588:A594)</f>
        <v>0</v>
      </c>
      <c r="I588" s="28" t="e">
        <f>H588/H581-1</f>
        <v>#DIV/0!</v>
      </c>
      <c r="J588" s="28" t="e">
        <f t="shared" si="203"/>
        <v>#DIV/0!</v>
      </c>
    </row>
    <row r="589" spans="5:10">
      <c r="E589" s="3">
        <f t="shared" si="201"/>
        <v>6</v>
      </c>
      <c r="G589" s="19" t="str">
        <f t="shared" si="202"/>
        <v/>
      </c>
      <c r="J589" s="28" t="e">
        <f t="shared" si="203"/>
        <v>#DIV/0!</v>
      </c>
    </row>
    <row r="590" spans="5:10">
      <c r="E590" s="3">
        <f t="shared" si="201"/>
        <v>6</v>
      </c>
      <c r="G590" s="19" t="str">
        <f t="shared" si="202"/>
        <v/>
      </c>
      <c r="J590" s="28" t="e">
        <f t="shared" si="203"/>
        <v>#DIV/0!</v>
      </c>
    </row>
    <row r="591" spans="5:10">
      <c r="E591" s="3">
        <f t="shared" si="201"/>
        <v>6</v>
      </c>
      <c r="G591" s="19" t="str">
        <f t="shared" si="202"/>
        <v/>
      </c>
      <c r="J591" s="28" t="e">
        <f t="shared" si="203"/>
        <v>#DIV/0!</v>
      </c>
    </row>
    <row r="592" spans="5:10">
      <c r="E592" s="3">
        <f t="shared" si="201"/>
        <v>6</v>
      </c>
      <c r="G592" s="19" t="str">
        <f t="shared" si="202"/>
        <v/>
      </c>
      <c r="J592" s="28" t="e">
        <f t="shared" si="203"/>
        <v>#DIV/0!</v>
      </c>
    </row>
    <row r="593" spans="5:10">
      <c r="E593" s="3">
        <f t="shared" si="201"/>
        <v>6</v>
      </c>
      <c r="G593" s="19" t="str">
        <f t="shared" si="202"/>
        <v/>
      </c>
      <c r="J593" s="28" t="e">
        <f t="shared" si="203"/>
        <v>#DIV/0!</v>
      </c>
    </row>
    <row r="594" spans="5:10">
      <c r="E594" s="3">
        <f t="shared" si="201"/>
        <v>6</v>
      </c>
      <c r="G594" s="19" t="str">
        <f t="shared" si="202"/>
        <v/>
      </c>
      <c r="J594" s="28" t="e">
        <f t="shared" si="203"/>
        <v>#DIV/0!</v>
      </c>
    </row>
    <row r="595" spans="5:10">
      <c r="E595" s="3">
        <f t="shared" si="201"/>
        <v>6</v>
      </c>
      <c r="G595" s="19" t="str">
        <f t="shared" si="202"/>
        <v/>
      </c>
      <c r="H595">
        <f>SUM(A595:A601)</f>
        <v>0</v>
      </c>
      <c r="I595" s="28" t="e">
        <f>H595/H588-1</f>
        <v>#DIV/0!</v>
      </c>
      <c r="J595" s="28" t="e">
        <f t="shared" si="203"/>
        <v>#DIV/0!</v>
      </c>
    </row>
    <row r="596" spans="5:10">
      <c r="E596" s="3">
        <f t="shared" si="201"/>
        <v>6</v>
      </c>
      <c r="G596" s="19" t="str">
        <f t="shared" ref="G596:G616" si="204">IF(WEEKDAY(F596,2)=1,"W"&amp;WEEKNUM(F596,14),"")</f>
        <v/>
      </c>
      <c r="J596" s="28" t="e">
        <f t="shared" si="203"/>
        <v>#DIV/0!</v>
      </c>
    </row>
    <row r="597" spans="5:10">
      <c r="E597" s="3">
        <f t="shared" si="201"/>
        <v>6</v>
      </c>
      <c r="G597" s="19" t="str">
        <f t="shared" si="204"/>
        <v/>
      </c>
      <c r="J597" s="28" t="e">
        <f t="shared" si="203"/>
        <v>#DIV/0!</v>
      </c>
    </row>
    <row r="598" spans="5:10">
      <c r="E598" s="3">
        <f t="shared" si="201"/>
        <v>6</v>
      </c>
      <c r="G598" s="19" t="str">
        <f t="shared" si="204"/>
        <v/>
      </c>
      <c r="J598" s="28" t="e">
        <f t="shared" si="203"/>
        <v>#DIV/0!</v>
      </c>
    </row>
    <row r="599" spans="5:10">
      <c r="E599" s="3">
        <f t="shared" si="201"/>
        <v>6</v>
      </c>
      <c r="G599" s="19" t="str">
        <f t="shared" si="204"/>
        <v/>
      </c>
      <c r="J599" s="28" t="e">
        <f t="shared" si="203"/>
        <v>#DIV/0!</v>
      </c>
    </row>
    <row r="600" spans="5:10">
      <c r="E600" s="3">
        <f t="shared" si="201"/>
        <v>6</v>
      </c>
      <c r="G600" s="19" t="str">
        <f t="shared" si="204"/>
        <v/>
      </c>
      <c r="J600" s="28" t="e">
        <f t="shared" si="203"/>
        <v>#DIV/0!</v>
      </c>
    </row>
    <row r="601" spans="5:10">
      <c r="E601" s="3">
        <f t="shared" si="201"/>
        <v>6</v>
      </c>
      <c r="G601" s="19" t="str">
        <f t="shared" si="204"/>
        <v/>
      </c>
      <c r="J601" s="28" t="e">
        <f t="shared" si="203"/>
        <v>#DIV/0!</v>
      </c>
    </row>
    <row r="602" spans="5:10">
      <c r="E602" s="3">
        <f t="shared" si="201"/>
        <v>6</v>
      </c>
      <c r="G602" s="19" t="str">
        <f t="shared" si="204"/>
        <v/>
      </c>
      <c r="H602">
        <f>SUM(A602:A608)</f>
        <v>0</v>
      </c>
      <c r="I602" s="28" t="e">
        <f>H602/H595-1</f>
        <v>#DIV/0!</v>
      </c>
      <c r="J602" s="28" t="e">
        <f t="shared" si="203"/>
        <v>#DIV/0!</v>
      </c>
    </row>
    <row r="603" spans="5:10">
      <c r="E603" s="3">
        <f t="shared" si="201"/>
        <v>6</v>
      </c>
      <c r="G603" s="19" t="str">
        <f t="shared" si="204"/>
        <v/>
      </c>
      <c r="J603" s="28" t="e">
        <f t="shared" si="203"/>
        <v>#DIV/0!</v>
      </c>
    </row>
    <row r="604" spans="5:10">
      <c r="E604" s="3">
        <f t="shared" si="201"/>
        <v>6</v>
      </c>
      <c r="G604" s="19" t="str">
        <f t="shared" si="204"/>
        <v/>
      </c>
      <c r="J604" s="28" t="e">
        <f t="shared" si="203"/>
        <v>#DIV/0!</v>
      </c>
    </row>
    <row r="605" spans="5:10">
      <c r="E605" s="3">
        <f t="shared" si="201"/>
        <v>6</v>
      </c>
      <c r="G605" s="19" t="str">
        <f t="shared" si="204"/>
        <v/>
      </c>
      <c r="J605" s="28" t="e">
        <f t="shared" si="203"/>
        <v>#DIV/0!</v>
      </c>
    </row>
    <row r="606" spans="5:10">
      <c r="E606" s="3">
        <f t="shared" si="201"/>
        <v>6</v>
      </c>
      <c r="G606" s="19" t="str">
        <f t="shared" si="204"/>
        <v/>
      </c>
      <c r="J606" s="28" t="e">
        <f t="shared" si="203"/>
        <v>#DIV/0!</v>
      </c>
    </row>
    <row r="607" spans="5:10">
      <c r="E607" s="3">
        <f t="shared" si="201"/>
        <v>6</v>
      </c>
      <c r="G607" s="19" t="str">
        <f t="shared" si="204"/>
        <v/>
      </c>
      <c r="J607" s="28" t="e">
        <f t="shared" si="203"/>
        <v>#DIV/0!</v>
      </c>
    </row>
    <row r="608" spans="5:10">
      <c r="E608" s="3">
        <f t="shared" si="201"/>
        <v>6</v>
      </c>
      <c r="G608" s="19" t="str">
        <f t="shared" si="204"/>
        <v/>
      </c>
      <c r="J608" s="28" t="e">
        <f t="shared" si="203"/>
        <v>#DIV/0!</v>
      </c>
    </row>
    <row r="609" spans="5:10">
      <c r="E609" s="3">
        <f t="shared" si="201"/>
        <v>6</v>
      </c>
      <c r="G609" s="19" t="str">
        <f t="shared" si="204"/>
        <v/>
      </c>
      <c r="H609">
        <f>SUM(A609:A615)</f>
        <v>0</v>
      </c>
      <c r="I609" s="28" t="e">
        <f>H609/H602-1</f>
        <v>#DIV/0!</v>
      </c>
      <c r="J609" s="28" t="e">
        <f t="shared" si="203"/>
        <v>#DIV/0!</v>
      </c>
    </row>
    <row r="610" spans="5:10">
      <c r="E610" s="3">
        <f t="shared" si="201"/>
        <v>6</v>
      </c>
      <c r="G610" s="19" t="str">
        <f t="shared" si="204"/>
        <v/>
      </c>
      <c r="J610" s="28" t="e">
        <f t="shared" si="203"/>
        <v>#DIV/0!</v>
      </c>
    </row>
    <row r="611" spans="5:10">
      <c r="E611" s="3">
        <f t="shared" si="201"/>
        <v>6</v>
      </c>
      <c r="G611" s="19" t="str">
        <f t="shared" si="204"/>
        <v/>
      </c>
      <c r="J611" s="28" t="e">
        <f t="shared" si="203"/>
        <v>#DIV/0!</v>
      </c>
    </row>
    <row r="612" spans="5:10">
      <c r="E612" s="3">
        <f t="shared" si="201"/>
        <v>6</v>
      </c>
      <c r="G612" s="19" t="str">
        <f t="shared" si="204"/>
        <v/>
      </c>
      <c r="J612" s="28" t="e">
        <f t="shared" si="203"/>
        <v>#DIV/0!</v>
      </c>
    </row>
    <row r="613" spans="5:10">
      <c r="E613" s="3">
        <f t="shared" si="201"/>
        <v>6</v>
      </c>
      <c r="G613" s="19" t="str">
        <f t="shared" si="204"/>
        <v/>
      </c>
      <c r="J613" s="28" t="e">
        <f t="shared" si="203"/>
        <v>#DIV/0!</v>
      </c>
    </row>
    <row r="614" spans="5:10">
      <c r="E614" s="3">
        <f t="shared" si="201"/>
        <v>6</v>
      </c>
      <c r="G614" s="19" t="str">
        <f t="shared" si="204"/>
        <v/>
      </c>
      <c r="J614" s="28" t="e">
        <f t="shared" si="203"/>
        <v>#DIV/0!</v>
      </c>
    </row>
    <row r="615" spans="5:10">
      <c r="E615" s="3">
        <f t="shared" si="201"/>
        <v>6</v>
      </c>
      <c r="G615" s="19" t="str">
        <f t="shared" si="204"/>
        <v/>
      </c>
      <c r="J615" s="28" t="e">
        <f t="shared" si="203"/>
        <v>#DIV/0!</v>
      </c>
    </row>
    <row r="616" spans="5:10">
      <c r="E616" s="3">
        <f t="shared" si="201"/>
        <v>6</v>
      </c>
      <c r="G616" s="19" t="str">
        <f t="shared" si="204"/>
        <v/>
      </c>
      <c r="H616">
        <f>SUM(A616:A622)</f>
        <v>0</v>
      </c>
      <c r="I616" s="28" t="e">
        <f>H616/H609-1</f>
        <v>#DIV/0!</v>
      </c>
      <c r="J616" s="28" t="e">
        <f t="shared" si="203"/>
        <v>#DIV/0!</v>
      </c>
    </row>
    <row r="617" spans="5:10">
      <c r="E617" s="3">
        <f t="shared" si="201"/>
        <v>6</v>
      </c>
      <c r="G617" s="19" t="str">
        <f t="shared" ref="G617:G637" si="205">IF(WEEKDAY(F617,2)=1,"W"&amp;WEEKNUM(F617,14),"")</f>
        <v/>
      </c>
      <c r="J617" s="28" t="e">
        <f t="shared" si="203"/>
        <v>#DIV/0!</v>
      </c>
    </row>
    <row r="618" spans="5:10">
      <c r="E618" s="3">
        <f t="shared" si="201"/>
        <v>6</v>
      </c>
      <c r="G618" s="19" t="str">
        <f t="shared" si="205"/>
        <v/>
      </c>
      <c r="J618" s="28" t="e">
        <f t="shared" si="203"/>
        <v>#DIV/0!</v>
      </c>
    </row>
    <row r="619" spans="5:10">
      <c r="E619" s="3">
        <f t="shared" si="201"/>
        <v>6</v>
      </c>
      <c r="G619" s="19" t="str">
        <f t="shared" si="205"/>
        <v/>
      </c>
      <c r="J619" s="28" t="e">
        <f t="shared" si="203"/>
        <v>#DIV/0!</v>
      </c>
    </row>
    <row r="620" spans="5:10">
      <c r="E620" s="3">
        <f t="shared" si="201"/>
        <v>6</v>
      </c>
      <c r="G620" s="19" t="str">
        <f t="shared" si="205"/>
        <v/>
      </c>
      <c r="J620" s="28" t="e">
        <f t="shared" si="203"/>
        <v>#DIV/0!</v>
      </c>
    </row>
    <row r="621" spans="5:10">
      <c r="E621" s="3">
        <f t="shared" si="201"/>
        <v>6</v>
      </c>
      <c r="G621" s="19" t="str">
        <f t="shared" si="205"/>
        <v/>
      </c>
      <c r="J621" s="28" t="e">
        <f t="shared" si="203"/>
        <v>#DIV/0!</v>
      </c>
    </row>
    <row r="622" spans="5:10">
      <c r="E622" s="3">
        <f t="shared" si="201"/>
        <v>6</v>
      </c>
      <c r="G622" s="19" t="str">
        <f t="shared" si="205"/>
        <v/>
      </c>
      <c r="J622" s="28" t="e">
        <f t="shared" si="203"/>
        <v>#DIV/0!</v>
      </c>
    </row>
    <row r="623" spans="5:10">
      <c r="E623" s="3">
        <f t="shared" si="201"/>
        <v>6</v>
      </c>
      <c r="G623" s="19" t="str">
        <f t="shared" si="205"/>
        <v/>
      </c>
      <c r="H623">
        <f>SUM(A623:A629)</f>
        <v>0</v>
      </c>
      <c r="I623" s="28" t="e">
        <f>H623/H616-1</f>
        <v>#DIV/0!</v>
      </c>
      <c r="J623" s="28" t="e">
        <f t="shared" si="203"/>
        <v>#DIV/0!</v>
      </c>
    </row>
    <row r="624" spans="5:10">
      <c r="E624" s="3">
        <f t="shared" si="201"/>
        <v>6</v>
      </c>
      <c r="G624" s="19" t="str">
        <f t="shared" si="205"/>
        <v/>
      </c>
      <c r="J624" s="28" t="e">
        <f t="shared" si="203"/>
        <v>#DIV/0!</v>
      </c>
    </row>
    <row r="625" spans="5:10">
      <c r="E625" s="3">
        <f t="shared" si="201"/>
        <v>6</v>
      </c>
      <c r="G625" s="19" t="str">
        <f t="shared" si="205"/>
        <v/>
      </c>
      <c r="J625" s="28" t="e">
        <f t="shared" si="203"/>
        <v>#DIV/0!</v>
      </c>
    </row>
    <row r="626" spans="5:10">
      <c r="E626" s="3">
        <f t="shared" si="201"/>
        <v>6</v>
      </c>
      <c r="G626" s="19" t="str">
        <f t="shared" si="205"/>
        <v/>
      </c>
      <c r="J626" s="28" t="e">
        <f t="shared" si="203"/>
        <v>#DIV/0!</v>
      </c>
    </row>
    <row r="627" spans="5:10">
      <c r="E627" s="3">
        <f t="shared" si="201"/>
        <v>6</v>
      </c>
      <c r="G627" s="19" t="str">
        <f t="shared" si="205"/>
        <v/>
      </c>
      <c r="J627" s="28" t="e">
        <f t="shared" si="203"/>
        <v>#DIV/0!</v>
      </c>
    </row>
    <row r="628" spans="5:10">
      <c r="E628" s="3">
        <f t="shared" si="201"/>
        <v>6</v>
      </c>
      <c r="G628" s="19" t="str">
        <f t="shared" si="205"/>
        <v/>
      </c>
      <c r="J628" s="28" t="e">
        <f t="shared" si="203"/>
        <v>#DIV/0!</v>
      </c>
    </row>
    <row r="629" spans="5:10">
      <c r="E629" s="3">
        <f t="shared" si="201"/>
        <v>6</v>
      </c>
      <c r="G629" s="19" t="str">
        <f t="shared" si="205"/>
        <v/>
      </c>
      <c r="J629" s="28" t="e">
        <f t="shared" si="203"/>
        <v>#DIV/0!</v>
      </c>
    </row>
    <row r="630" spans="5:10">
      <c r="E630" s="3">
        <f t="shared" si="201"/>
        <v>6</v>
      </c>
      <c r="G630" s="19" t="str">
        <f t="shared" si="205"/>
        <v/>
      </c>
      <c r="H630">
        <f>SUM(A630:A636)</f>
        <v>0</v>
      </c>
      <c r="I630" s="28" t="e">
        <f>H630/H623-1</f>
        <v>#DIV/0!</v>
      </c>
      <c r="J630" s="28" t="e">
        <f t="shared" si="203"/>
        <v>#DIV/0!</v>
      </c>
    </row>
    <row r="631" spans="5:10">
      <c r="E631" s="3">
        <f t="shared" si="201"/>
        <v>6</v>
      </c>
      <c r="G631" s="19" t="str">
        <f t="shared" si="205"/>
        <v/>
      </c>
      <c r="J631" s="28" t="e">
        <f t="shared" si="203"/>
        <v>#DIV/0!</v>
      </c>
    </row>
    <row r="632" spans="5:10">
      <c r="E632" s="3">
        <f t="shared" si="201"/>
        <v>6</v>
      </c>
      <c r="G632" s="19" t="str">
        <f t="shared" si="205"/>
        <v/>
      </c>
      <c r="J632" s="28" t="e">
        <f t="shared" si="203"/>
        <v>#DIV/0!</v>
      </c>
    </row>
    <row r="633" spans="5:10">
      <c r="E633" s="3">
        <f t="shared" si="201"/>
        <v>6</v>
      </c>
      <c r="G633" s="19" t="str">
        <f t="shared" si="205"/>
        <v/>
      </c>
      <c r="J633" s="28" t="e">
        <f t="shared" si="203"/>
        <v>#DIV/0!</v>
      </c>
    </row>
    <row r="634" spans="5:10">
      <c r="E634" s="3">
        <f t="shared" si="201"/>
        <v>6</v>
      </c>
      <c r="G634" s="19" t="str">
        <f t="shared" si="205"/>
        <v/>
      </c>
      <c r="J634" s="28" t="e">
        <f t="shared" si="203"/>
        <v>#DIV/0!</v>
      </c>
    </row>
    <row r="635" spans="5:10">
      <c r="E635" s="3">
        <f t="shared" si="201"/>
        <v>6</v>
      </c>
      <c r="G635" s="19" t="str">
        <f t="shared" si="205"/>
        <v/>
      </c>
      <c r="J635" s="28" t="e">
        <f t="shared" si="203"/>
        <v>#DIV/0!</v>
      </c>
    </row>
    <row r="636" spans="5:10">
      <c r="E636" s="3">
        <f t="shared" si="201"/>
        <v>6</v>
      </c>
      <c r="G636" s="19" t="str">
        <f t="shared" si="205"/>
        <v/>
      </c>
      <c r="J636" s="28" t="e">
        <f t="shared" si="203"/>
        <v>#DIV/0!</v>
      </c>
    </row>
    <row r="637" spans="5:10">
      <c r="E637" s="3">
        <f t="shared" si="201"/>
        <v>6</v>
      </c>
      <c r="G637" s="19" t="str">
        <f t="shared" si="205"/>
        <v/>
      </c>
      <c r="H637">
        <f>SUM(A637:A643)</f>
        <v>0</v>
      </c>
      <c r="I637" s="28" t="e">
        <f>H637/H630-1</f>
        <v>#DIV/0!</v>
      </c>
      <c r="J637" s="28" t="e">
        <f t="shared" si="203"/>
        <v>#DIV/0!</v>
      </c>
    </row>
    <row r="638" spans="5:10">
      <c r="E638" s="3">
        <f t="shared" si="201"/>
        <v>6</v>
      </c>
      <c r="G638" s="19" t="str">
        <f t="shared" ref="G638" si="206">IF(WEEKDAY(F638,2)=1,"W"&amp;WEEKNUM(F638,14),"")</f>
        <v/>
      </c>
      <c r="J638" s="28" t="e">
        <f t="shared" si="203"/>
        <v>#DIV/0!</v>
      </c>
    </row>
    <row r="639" spans="5:10">
      <c r="E639" s="3">
        <f t="shared" ref="E639:E702" si="207">WEEKDAY(F639,2)</f>
        <v>6</v>
      </c>
      <c r="G639" s="19" t="str">
        <f t="shared" ref="G639" si="208">IF(WEEKDAY(F639,2)=1,"W"&amp;WEEKNUM(F639,14),"")</f>
        <v/>
      </c>
      <c r="J639" s="28" t="e">
        <f t="shared" si="203"/>
        <v>#DIV/0!</v>
      </c>
    </row>
    <row r="640" spans="5:10">
      <c r="E640" s="3">
        <f t="shared" si="207"/>
        <v>6</v>
      </c>
      <c r="G640" s="19" t="str">
        <f t="shared" ref="G640" si="209">IF(WEEKDAY(F640,2)=1,"W"&amp;WEEKNUM(F640,14),"")</f>
        <v/>
      </c>
      <c r="J640" s="28" t="e">
        <f t="shared" si="203"/>
        <v>#DIV/0!</v>
      </c>
    </row>
    <row r="641" spans="5:10">
      <c r="E641" s="3">
        <f t="shared" si="207"/>
        <v>6</v>
      </c>
      <c r="G641" s="19" t="str">
        <f t="shared" ref="G641" si="210">IF(WEEKDAY(F641,2)=1,"W"&amp;WEEKNUM(F641,14),"")</f>
        <v/>
      </c>
      <c r="J641" s="28" t="e">
        <f t="shared" si="203"/>
        <v>#DIV/0!</v>
      </c>
    </row>
    <row r="642" spans="5:10">
      <c r="E642" s="3">
        <f t="shared" si="207"/>
        <v>6</v>
      </c>
      <c r="G642" s="19" t="str">
        <f t="shared" ref="G642" si="211">IF(WEEKDAY(F642,2)=1,"W"&amp;WEEKNUM(F642,14),"")</f>
        <v/>
      </c>
    </row>
    <row r="643" spans="5:10">
      <c r="E643" s="3">
        <f t="shared" si="207"/>
        <v>6</v>
      </c>
      <c r="G643" s="19" t="str">
        <f t="shared" ref="G643" si="212">IF(WEEKDAY(F643,2)=1,"W"&amp;WEEKNUM(F643,14),"")</f>
        <v/>
      </c>
    </row>
    <row r="644" spans="5:10">
      <c r="E644" s="3">
        <f t="shared" si="207"/>
        <v>6</v>
      </c>
      <c r="G644" s="19" t="str">
        <f t="shared" ref="G644" si="213">IF(WEEKDAY(F644,2)=1,"W"&amp;WEEKNUM(F644,14),"")</f>
        <v/>
      </c>
      <c r="H644">
        <f>SUM(A644:A650)</f>
        <v>0</v>
      </c>
      <c r="I644" s="28" t="e">
        <f>H644/H637-1</f>
        <v>#DIV/0!</v>
      </c>
      <c r="J644" s="28" t="e">
        <f>A644/A637-1</f>
        <v>#DIV/0!</v>
      </c>
    </row>
    <row r="645" spans="5:10">
      <c r="E645" s="3">
        <f t="shared" si="207"/>
        <v>6</v>
      </c>
      <c r="G645" s="19" t="str">
        <f t="shared" ref="G645" si="214">IF(WEEKDAY(F645,2)=1,"W"&amp;WEEKNUM(F645,14),"")</f>
        <v/>
      </c>
    </row>
    <row r="646" spans="5:10">
      <c r="E646" s="3">
        <f t="shared" si="207"/>
        <v>6</v>
      </c>
      <c r="G646" s="19" t="str">
        <f t="shared" ref="G646" si="215">IF(WEEKDAY(F646,2)=1,"W"&amp;WEEKNUM(F646,14),"")</f>
        <v/>
      </c>
    </row>
    <row r="647" spans="5:10">
      <c r="E647" s="3">
        <f t="shared" si="207"/>
        <v>6</v>
      </c>
      <c r="G647" s="19" t="str">
        <f t="shared" ref="G647" si="216">IF(WEEKDAY(F647,2)=1,"W"&amp;WEEKNUM(F647,14),"")</f>
        <v/>
      </c>
    </row>
    <row r="648" spans="5:10">
      <c r="E648" s="3">
        <f t="shared" si="207"/>
        <v>6</v>
      </c>
      <c r="G648" s="19" t="str">
        <f t="shared" ref="G648:G662" si="217">IF(WEEKDAY(F648,2)=1,"W"&amp;WEEKNUM(F648,14),"")</f>
        <v/>
      </c>
    </row>
    <row r="649" spans="5:10">
      <c r="E649" s="3">
        <f t="shared" si="207"/>
        <v>6</v>
      </c>
      <c r="G649" s="19" t="str">
        <f t="shared" si="217"/>
        <v/>
      </c>
    </row>
    <row r="650" spans="5:10">
      <c r="E650" s="3">
        <f t="shared" si="207"/>
        <v>6</v>
      </c>
      <c r="G650" s="19" t="str">
        <f t="shared" si="217"/>
        <v/>
      </c>
    </row>
    <row r="651" spans="5:10">
      <c r="E651" s="3">
        <f t="shared" si="207"/>
        <v>6</v>
      </c>
      <c r="G651" s="19" t="str">
        <f t="shared" si="217"/>
        <v/>
      </c>
      <c r="H651">
        <f>SUM(A651:A657)</f>
        <v>0</v>
      </c>
      <c r="I651" s="28" t="e">
        <f>H651/H644-1</f>
        <v>#DIV/0!</v>
      </c>
      <c r="J651" s="28" t="e">
        <f>A651/A644-1</f>
        <v>#DIV/0!</v>
      </c>
    </row>
    <row r="652" spans="5:10">
      <c r="E652" s="3">
        <f t="shared" si="207"/>
        <v>6</v>
      </c>
      <c r="G652" s="19" t="str">
        <f t="shared" si="217"/>
        <v/>
      </c>
    </row>
    <row r="653" spans="5:10">
      <c r="E653" s="3">
        <f t="shared" si="207"/>
        <v>6</v>
      </c>
      <c r="G653" s="19" t="str">
        <f t="shared" si="217"/>
        <v/>
      </c>
    </row>
    <row r="654" spans="5:10">
      <c r="E654" s="3">
        <f t="shared" si="207"/>
        <v>6</v>
      </c>
      <c r="G654" s="19" t="str">
        <f t="shared" si="217"/>
        <v/>
      </c>
    </row>
    <row r="655" spans="5:10">
      <c r="E655" s="3">
        <f t="shared" si="207"/>
        <v>6</v>
      </c>
      <c r="G655" s="19" t="str">
        <f t="shared" si="217"/>
        <v/>
      </c>
    </row>
    <row r="656" spans="5:10">
      <c r="E656" s="3">
        <f t="shared" si="207"/>
        <v>6</v>
      </c>
      <c r="G656" s="19" t="str">
        <f t="shared" si="217"/>
        <v/>
      </c>
    </row>
    <row r="657" spans="5:10">
      <c r="E657" s="3">
        <f t="shared" si="207"/>
        <v>6</v>
      </c>
      <c r="G657" s="19" t="str">
        <f t="shared" si="217"/>
        <v/>
      </c>
    </row>
    <row r="658" spans="5:10">
      <c r="E658" s="3">
        <f t="shared" si="207"/>
        <v>6</v>
      </c>
      <c r="G658" s="19" t="str">
        <f t="shared" si="217"/>
        <v/>
      </c>
      <c r="H658">
        <f>SUM(A658:A664)</f>
        <v>0</v>
      </c>
      <c r="I658" s="28" t="e">
        <f>H658/H651-1</f>
        <v>#DIV/0!</v>
      </c>
      <c r="J658" s="28" t="e">
        <f>A658/A651-1</f>
        <v>#DIV/0!</v>
      </c>
    </row>
    <row r="659" spans="5:10">
      <c r="E659" s="3">
        <f t="shared" si="207"/>
        <v>6</v>
      </c>
      <c r="G659" s="19" t="str">
        <f t="shared" si="217"/>
        <v/>
      </c>
    </row>
    <row r="660" spans="5:10">
      <c r="E660" s="3">
        <f t="shared" si="207"/>
        <v>6</v>
      </c>
      <c r="G660" s="19" t="str">
        <f t="shared" si="217"/>
        <v/>
      </c>
    </row>
    <row r="661" spans="5:10">
      <c r="E661" s="3">
        <f t="shared" si="207"/>
        <v>6</v>
      </c>
      <c r="G661" s="19" t="str">
        <f t="shared" si="217"/>
        <v/>
      </c>
    </row>
    <row r="662" spans="5:10">
      <c r="E662" s="3">
        <f t="shared" si="207"/>
        <v>6</v>
      </c>
      <c r="G662" s="19" t="str">
        <f t="shared" si="217"/>
        <v/>
      </c>
    </row>
    <row r="663" spans="5:10">
      <c r="E663" s="3">
        <f t="shared" si="207"/>
        <v>6</v>
      </c>
      <c r="G663" s="19" t="str">
        <f t="shared" ref="G663:G677" si="218">IF(WEEKDAY(F663,2)=1,"W"&amp;WEEKNUM(F663,14),"")</f>
        <v/>
      </c>
    </row>
    <row r="664" spans="5:10">
      <c r="E664" s="3">
        <f t="shared" si="207"/>
        <v>6</v>
      </c>
      <c r="G664" s="19" t="str">
        <f t="shared" si="218"/>
        <v/>
      </c>
    </row>
    <row r="665" spans="5:10">
      <c r="E665" s="3">
        <f t="shared" si="207"/>
        <v>6</v>
      </c>
      <c r="G665" s="19" t="str">
        <f t="shared" si="218"/>
        <v/>
      </c>
      <c r="H665">
        <f>SUM(A665:A671)</f>
        <v>0</v>
      </c>
      <c r="I665" s="28" t="e">
        <f>H665/H658-1</f>
        <v>#DIV/0!</v>
      </c>
      <c r="J665" s="28" t="e">
        <f>A665/A658-1</f>
        <v>#DIV/0!</v>
      </c>
    </row>
    <row r="666" spans="5:10">
      <c r="E666" s="3">
        <f t="shared" si="207"/>
        <v>6</v>
      </c>
      <c r="G666" s="19" t="str">
        <f t="shared" si="218"/>
        <v/>
      </c>
    </row>
    <row r="667" spans="5:10">
      <c r="E667" s="3">
        <f t="shared" si="207"/>
        <v>6</v>
      </c>
      <c r="G667" s="19" t="str">
        <f t="shared" si="218"/>
        <v/>
      </c>
    </row>
    <row r="668" spans="5:10">
      <c r="E668" s="3">
        <f t="shared" si="207"/>
        <v>6</v>
      </c>
      <c r="G668" s="19" t="str">
        <f t="shared" si="218"/>
        <v/>
      </c>
    </row>
    <row r="669" spans="5:10">
      <c r="E669" s="3">
        <f t="shared" si="207"/>
        <v>6</v>
      </c>
      <c r="G669" s="19" t="str">
        <f t="shared" si="218"/>
        <v/>
      </c>
    </row>
    <row r="670" spans="5:10">
      <c r="E670" s="3">
        <f t="shared" si="207"/>
        <v>6</v>
      </c>
      <c r="G670" s="19" t="str">
        <f t="shared" si="218"/>
        <v/>
      </c>
    </row>
    <row r="671" spans="5:10">
      <c r="E671" s="3">
        <f t="shared" si="207"/>
        <v>6</v>
      </c>
      <c r="G671" s="19" t="str">
        <f t="shared" si="218"/>
        <v/>
      </c>
    </row>
    <row r="672" spans="5:10">
      <c r="E672" s="3">
        <f t="shared" si="207"/>
        <v>6</v>
      </c>
      <c r="G672" s="19" t="str">
        <f t="shared" si="218"/>
        <v/>
      </c>
      <c r="H672">
        <f>SUM(A672:A678)</f>
        <v>0</v>
      </c>
      <c r="I672" s="28" t="e">
        <f>H672/H665-1</f>
        <v>#DIV/0!</v>
      </c>
      <c r="J672" s="28" t="e">
        <f>A672/A665-1</f>
        <v>#DIV/0!</v>
      </c>
    </row>
    <row r="673" spans="5:10">
      <c r="E673" s="3">
        <f t="shared" si="207"/>
        <v>6</v>
      </c>
      <c r="G673" s="19" t="str">
        <f t="shared" si="218"/>
        <v/>
      </c>
    </row>
    <row r="674" spans="5:10">
      <c r="E674" s="3">
        <f t="shared" si="207"/>
        <v>6</v>
      </c>
      <c r="G674" s="19" t="str">
        <f t="shared" si="218"/>
        <v/>
      </c>
    </row>
    <row r="675" spans="5:10">
      <c r="E675" s="3">
        <f t="shared" si="207"/>
        <v>6</v>
      </c>
      <c r="G675" s="19" t="str">
        <f t="shared" si="218"/>
        <v/>
      </c>
    </row>
    <row r="676" spans="5:10">
      <c r="E676" s="3">
        <f t="shared" si="207"/>
        <v>6</v>
      </c>
      <c r="G676" s="19" t="str">
        <f t="shared" si="218"/>
        <v/>
      </c>
    </row>
    <row r="677" spans="5:10">
      <c r="E677" s="3">
        <f t="shared" si="207"/>
        <v>6</v>
      </c>
      <c r="G677" s="19" t="str">
        <f t="shared" si="218"/>
        <v/>
      </c>
    </row>
    <row r="678" spans="5:10">
      <c r="E678" s="3">
        <f t="shared" si="207"/>
        <v>6</v>
      </c>
      <c r="G678" s="19" t="str">
        <f t="shared" ref="G678:G692" si="219">IF(WEEKDAY(F678,2)=1,"W"&amp;WEEKNUM(F678,14),"")</f>
        <v/>
      </c>
    </row>
    <row r="679" spans="5:10">
      <c r="E679" s="3">
        <f t="shared" si="207"/>
        <v>6</v>
      </c>
      <c r="G679" s="19" t="str">
        <f t="shared" si="219"/>
        <v/>
      </c>
      <c r="H679">
        <f>SUM(A679:A685)</f>
        <v>0</v>
      </c>
      <c r="I679" s="28" t="e">
        <f>H679/H672-1</f>
        <v>#DIV/0!</v>
      </c>
      <c r="J679" s="28" t="e">
        <f>A679/A672-1</f>
        <v>#DIV/0!</v>
      </c>
    </row>
    <row r="680" spans="5:10">
      <c r="E680" s="3">
        <f t="shared" si="207"/>
        <v>6</v>
      </c>
      <c r="G680" s="19" t="str">
        <f t="shared" si="219"/>
        <v/>
      </c>
    </row>
    <row r="681" spans="5:10">
      <c r="E681" s="3">
        <f t="shared" si="207"/>
        <v>6</v>
      </c>
      <c r="G681" s="19" t="str">
        <f t="shared" si="219"/>
        <v/>
      </c>
    </row>
    <row r="682" spans="5:10">
      <c r="E682" s="3">
        <f t="shared" si="207"/>
        <v>6</v>
      </c>
      <c r="G682" s="19" t="str">
        <f t="shared" si="219"/>
        <v/>
      </c>
    </row>
    <row r="683" spans="5:10">
      <c r="E683" s="3">
        <f t="shared" si="207"/>
        <v>6</v>
      </c>
      <c r="G683" s="19" t="str">
        <f t="shared" si="219"/>
        <v/>
      </c>
    </row>
    <row r="684" spans="5:10">
      <c r="E684" s="3">
        <f t="shared" si="207"/>
        <v>6</v>
      </c>
      <c r="G684" s="19" t="str">
        <f t="shared" si="219"/>
        <v/>
      </c>
    </row>
    <row r="685" spans="5:10">
      <c r="E685" s="3">
        <f t="shared" si="207"/>
        <v>6</v>
      </c>
      <c r="G685" s="19" t="str">
        <f t="shared" si="219"/>
        <v/>
      </c>
    </row>
    <row r="686" spans="5:10">
      <c r="E686" s="3">
        <f t="shared" si="207"/>
        <v>6</v>
      </c>
      <c r="G686" s="19" t="str">
        <f t="shared" si="219"/>
        <v/>
      </c>
      <c r="H686">
        <f>SUM(A686:A692)</f>
        <v>0</v>
      </c>
      <c r="I686" s="28" t="e">
        <f>H686/H679-1</f>
        <v>#DIV/0!</v>
      </c>
      <c r="J686" s="28" t="e">
        <f>A686/A679-1</f>
        <v>#DIV/0!</v>
      </c>
    </row>
    <row r="687" spans="5:10">
      <c r="E687" s="3">
        <f t="shared" si="207"/>
        <v>6</v>
      </c>
      <c r="G687" s="19" t="str">
        <f t="shared" si="219"/>
        <v/>
      </c>
    </row>
    <row r="688" spans="5:10">
      <c r="E688" s="3">
        <f t="shared" si="207"/>
        <v>6</v>
      </c>
      <c r="G688" s="19" t="str">
        <f t="shared" si="219"/>
        <v/>
      </c>
    </row>
    <row r="689" spans="5:10">
      <c r="E689" s="3">
        <f t="shared" si="207"/>
        <v>6</v>
      </c>
      <c r="G689" s="19" t="str">
        <f t="shared" si="219"/>
        <v/>
      </c>
    </row>
    <row r="690" spans="5:10">
      <c r="E690" s="3">
        <f t="shared" si="207"/>
        <v>6</v>
      </c>
      <c r="G690" s="19" t="str">
        <f t="shared" si="219"/>
        <v/>
      </c>
    </row>
    <row r="691" spans="5:10">
      <c r="E691" s="3">
        <f t="shared" si="207"/>
        <v>6</v>
      </c>
      <c r="G691" s="19" t="str">
        <f t="shared" si="219"/>
        <v/>
      </c>
    </row>
    <row r="692" spans="5:10">
      <c r="E692" s="3">
        <f t="shared" si="207"/>
        <v>6</v>
      </c>
      <c r="G692" s="19" t="str">
        <f t="shared" si="219"/>
        <v/>
      </c>
    </row>
    <row r="693" spans="5:10">
      <c r="E693" s="3">
        <f t="shared" si="207"/>
        <v>6</v>
      </c>
      <c r="G693" s="19" t="str">
        <f t="shared" ref="G693:G707" si="220">IF(WEEKDAY(F693,2)=1,"W"&amp;WEEKNUM(F693,14),"")</f>
        <v/>
      </c>
      <c r="H693">
        <f>SUM(A693:A699)</f>
        <v>0</v>
      </c>
      <c r="I693" s="28" t="e">
        <f>H693/H686-1</f>
        <v>#DIV/0!</v>
      </c>
      <c r="J693" s="28" t="e">
        <f>A693/A686-1</f>
        <v>#DIV/0!</v>
      </c>
    </row>
    <row r="694" spans="5:10">
      <c r="E694" s="3">
        <f t="shared" si="207"/>
        <v>6</v>
      </c>
      <c r="G694" s="19" t="str">
        <f t="shared" si="220"/>
        <v/>
      </c>
    </row>
    <row r="695" spans="5:10">
      <c r="E695" s="3">
        <f t="shared" si="207"/>
        <v>6</v>
      </c>
      <c r="G695" s="19" t="str">
        <f t="shared" si="220"/>
        <v/>
      </c>
    </row>
    <row r="696" spans="5:10">
      <c r="E696" s="3">
        <f t="shared" si="207"/>
        <v>6</v>
      </c>
      <c r="G696" s="19" t="str">
        <f t="shared" si="220"/>
        <v/>
      </c>
    </row>
    <row r="697" spans="5:10">
      <c r="E697" s="3">
        <f t="shared" si="207"/>
        <v>6</v>
      </c>
      <c r="G697" s="19" t="str">
        <f t="shared" si="220"/>
        <v/>
      </c>
    </row>
    <row r="698" spans="5:10">
      <c r="E698" s="3">
        <f t="shared" si="207"/>
        <v>6</v>
      </c>
      <c r="G698" s="19" t="str">
        <f t="shared" si="220"/>
        <v/>
      </c>
    </row>
    <row r="699" spans="5:10">
      <c r="E699" s="3">
        <f t="shared" si="207"/>
        <v>6</v>
      </c>
      <c r="G699" s="19" t="str">
        <f t="shared" si="220"/>
        <v/>
      </c>
    </row>
    <row r="700" spans="5:10">
      <c r="E700" s="3">
        <f t="shared" si="207"/>
        <v>6</v>
      </c>
      <c r="G700" s="19" t="str">
        <f t="shared" si="220"/>
        <v/>
      </c>
      <c r="H700">
        <f>SUM(A700:A706)</f>
        <v>0</v>
      </c>
      <c r="I700" s="28" t="e">
        <f>H700/H693-1</f>
        <v>#DIV/0!</v>
      </c>
      <c r="J700" s="28" t="e">
        <f>A700/A693-1</f>
        <v>#DIV/0!</v>
      </c>
    </row>
    <row r="701" spans="5:10">
      <c r="E701" s="3">
        <f t="shared" si="207"/>
        <v>6</v>
      </c>
      <c r="G701" s="19" t="str">
        <f t="shared" si="220"/>
        <v/>
      </c>
    </row>
    <row r="702" spans="5:10">
      <c r="E702" s="3">
        <f t="shared" si="207"/>
        <v>6</v>
      </c>
      <c r="G702" s="19" t="str">
        <f t="shared" si="220"/>
        <v/>
      </c>
    </row>
    <row r="703" spans="5:10">
      <c r="E703" s="3">
        <f t="shared" ref="E703:E766" si="221">WEEKDAY(F703,2)</f>
        <v>6</v>
      </c>
      <c r="G703" s="19" t="str">
        <f t="shared" si="220"/>
        <v/>
      </c>
    </row>
    <row r="704" spans="5:10">
      <c r="E704" s="3">
        <f t="shared" si="221"/>
        <v>6</v>
      </c>
      <c r="G704" s="19" t="str">
        <f t="shared" si="220"/>
        <v/>
      </c>
    </row>
    <row r="705" spans="5:10">
      <c r="E705" s="3">
        <f t="shared" si="221"/>
        <v>6</v>
      </c>
      <c r="G705" s="19" t="str">
        <f t="shared" si="220"/>
        <v/>
      </c>
    </row>
    <row r="706" spans="5:10">
      <c r="E706" s="3">
        <f t="shared" si="221"/>
        <v>6</v>
      </c>
      <c r="G706" s="19" t="str">
        <f t="shared" si="220"/>
        <v/>
      </c>
    </row>
    <row r="707" spans="5:10">
      <c r="E707" s="3">
        <f t="shared" si="221"/>
        <v>6</v>
      </c>
      <c r="G707" s="19" t="str">
        <f t="shared" si="220"/>
        <v/>
      </c>
      <c r="H707">
        <f>SUM(A707:A713)</f>
        <v>0</v>
      </c>
      <c r="I707" s="28" t="e">
        <f>H707/H700-1</f>
        <v>#DIV/0!</v>
      </c>
      <c r="J707" s="28" t="e">
        <f>A707/A700-1</f>
        <v>#DIV/0!</v>
      </c>
    </row>
    <row r="708" spans="5:10">
      <c r="E708" s="3">
        <f t="shared" si="221"/>
        <v>6</v>
      </c>
      <c r="G708" s="19" t="str">
        <f t="shared" ref="G708" si="222">IF(WEEKDAY(F708,2)=1,"W"&amp;WEEKNUM(F708,14),"")</f>
        <v/>
      </c>
    </row>
    <row r="709" spans="5:10">
      <c r="E709" s="3">
        <f t="shared" si="221"/>
        <v>6</v>
      </c>
      <c r="G709" s="19" t="str">
        <f t="shared" ref="G709" si="223">IF(WEEKDAY(F709,2)=1,"W"&amp;WEEKNUM(F709,14),"")</f>
        <v/>
      </c>
    </row>
    <row r="710" spans="5:10">
      <c r="E710" s="3">
        <f t="shared" si="221"/>
        <v>6</v>
      </c>
      <c r="G710" s="19" t="str">
        <f t="shared" ref="G710" si="224">IF(WEEKDAY(F710,2)=1,"W"&amp;WEEKNUM(F710,14),"")</f>
        <v/>
      </c>
    </row>
    <row r="711" spans="5:10">
      <c r="E711" s="3">
        <f t="shared" si="221"/>
        <v>6</v>
      </c>
      <c r="G711" s="19" t="str">
        <f t="shared" ref="G711" si="225">IF(WEEKDAY(F711,2)=1,"W"&amp;WEEKNUM(F711,14),"")</f>
        <v/>
      </c>
    </row>
    <row r="712" spans="5:10">
      <c r="E712" s="3">
        <f t="shared" si="221"/>
        <v>6</v>
      </c>
      <c r="G712" s="19" t="str">
        <f t="shared" ref="G712" si="226">IF(WEEKDAY(F712,2)=1,"W"&amp;WEEKNUM(F712,14),"")</f>
        <v/>
      </c>
    </row>
    <row r="713" spans="5:10">
      <c r="E713" s="3">
        <f t="shared" si="221"/>
        <v>6</v>
      </c>
      <c r="G713" s="19" t="str">
        <f t="shared" ref="G713" si="227">IF(WEEKDAY(F713,2)=1,"W"&amp;WEEKNUM(F713,14),"")</f>
        <v/>
      </c>
    </row>
    <row r="714" spans="5:10">
      <c r="E714" s="3">
        <f t="shared" si="221"/>
        <v>6</v>
      </c>
      <c r="G714" s="19" t="str">
        <f t="shared" ref="G714" si="228">IF(WEEKDAY(F714,2)=1,"W"&amp;WEEKNUM(F714,14),"")</f>
        <v/>
      </c>
      <c r="H714">
        <f>SUM(A714:A720)</f>
        <v>0</v>
      </c>
      <c r="I714" s="28" t="e">
        <f>H714/H707-1</f>
        <v>#DIV/0!</v>
      </c>
      <c r="J714" s="28" t="e">
        <f>A714/A707-1</f>
        <v>#DIV/0!</v>
      </c>
    </row>
    <row r="715" spans="5:10">
      <c r="E715" s="3">
        <f t="shared" si="221"/>
        <v>6</v>
      </c>
      <c r="G715" s="19" t="str">
        <f t="shared" ref="G715" si="229">IF(WEEKDAY(F715,2)=1,"W"&amp;WEEKNUM(F715,14),"")</f>
        <v/>
      </c>
    </row>
    <row r="716" spans="5:10">
      <c r="E716" s="3">
        <f t="shared" si="221"/>
        <v>6</v>
      </c>
      <c r="G716" s="19" t="str">
        <f t="shared" ref="G716" si="230">IF(WEEKDAY(F716,2)=1,"W"&amp;WEEKNUM(F716,14),"")</f>
        <v/>
      </c>
    </row>
    <row r="717" spans="5:10">
      <c r="E717" s="3">
        <f t="shared" si="221"/>
        <v>6</v>
      </c>
      <c r="G717" s="19" t="str">
        <f t="shared" ref="G717" si="231">IF(WEEKDAY(F717,2)=1,"W"&amp;WEEKNUM(F717,14),"")</f>
        <v/>
      </c>
    </row>
    <row r="718" spans="5:10">
      <c r="E718" s="3">
        <f t="shared" si="221"/>
        <v>6</v>
      </c>
      <c r="G718" s="19" t="str">
        <f t="shared" ref="G718" si="232">IF(WEEKDAY(F718,2)=1,"W"&amp;WEEKNUM(F718,14),"")</f>
        <v/>
      </c>
    </row>
    <row r="719" spans="5:10">
      <c r="E719" s="3">
        <f t="shared" si="221"/>
        <v>6</v>
      </c>
      <c r="G719" s="19" t="str">
        <f t="shared" ref="G719" si="233">IF(WEEKDAY(F719,2)=1,"W"&amp;WEEKNUM(F719,14),"")</f>
        <v/>
      </c>
    </row>
    <row r="720" spans="5:10">
      <c r="E720" s="3">
        <f t="shared" si="221"/>
        <v>6</v>
      </c>
      <c r="G720" s="19" t="str">
        <f t="shared" ref="G720" si="234">IF(WEEKDAY(F720,2)=1,"W"&amp;WEEKNUM(F720,14),"")</f>
        <v/>
      </c>
    </row>
    <row r="721" spans="5:10">
      <c r="E721" s="3">
        <f t="shared" si="221"/>
        <v>6</v>
      </c>
      <c r="G721" s="19" t="str">
        <f t="shared" ref="G721" si="235">IF(WEEKDAY(F721,2)=1,"W"&amp;WEEKNUM(F721,14),"")</f>
        <v/>
      </c>
      <c r="H721">
        <f>SUM(A721:A727)</f>
        <v>0</v>
      </c>
      <c r="I721" s="28" t="e">
        <f>H721/H714-1</f>
        <v>#DIV/0!</v>
      </c>
      <c r="J721" s="28" t="e">
        <f>A721/A714-1</f>
        <v>#DIV/0!</v>
      </c>
    </row>
    <row r="722" spans="5:10">
      <c r="E722" s="3">
        <f t="shared" si="221"/>
        <v>6</v>
      </c>
      <c r="G722" s="19" t="str">
        <f t="shared" ref="G722" si="236">IF(WEEKDAY(F722,2)=1,"W"&amp;WEEKNUM(F722,14),"")</f>
        <v/>
      </c>
    </row>
    <row r="723" spans="5:10">
      <c r="E723" s="3">
        <f t="shared" si="221"/>
        <v>6</v>
      </c>
      <c r="G723" s="19" t="str">
        <f t="shared" ref="G723" si="237">IF(WEEKDAY(F723,2)=1,"W"&amp;WEEKNUM(F723,14),"")</f>
        <v/>
      </c>
    </row>
    <row r="724" spans="5:10">
      <c r="E724" s="3">
        <f t="shared" si="221"/>
        <v>6</v>
      </c>
      <c r="G724" s="19" t="str">
        <f t="shared" ref="G724" si="238">IF(WEEKDAY(F724,2)=1,"W"&amp;WEEKNUM(F724,14),"")</f>
        <v/>
      </c>
    </row>
    <row r="725" spans="5:10">
      <c r="E725" s="3">
        <f t="shared" si="221"/>
        <v>6</v>
      </c>
      <c r="G725" s="19" t="str">
        <f t="shared" ref="G725" si="239">IF(WEEKDAY(F725,2)=1,"W"&amp;WEEKNUM(F725,14),"")</f>
        <v/>
      </c>
    </row>
    <row r="726" spans="5:10">
      <c r="E726" s="3">
        <f t="shared" si="221"/>
        <v>6</v>
      </c>
      <c r="G726" s="19" t="str">
        <f t="shared" ref="G726" si="240">IF(WEEKDAY(F726,2)=1,"W"&amp;WEEKNUM(F726,14),"")</f>
        <v/>
      </c>
    </row>
    <row r="727" spans="5:10">
      <c r="E727" s="3">
        <f t="shared" si="221"/>
        <v>6</v>
      </c>
      <c r="G727" s="19" t="str">
        <f t="shared" ref="G727" si="241">IF(WEEKDAY(F727,2)=1,"W"&amp;WEEKNUM(F727,14),"")</f>
        <v/>
      </c>
    </row>
    <row r="728" spans="5:10">
      <c r="E728" s="3">
        <f t="shared" si="221"/>
        <v>6</v>
      </c>
      <c r="G728" s="19" t="str">
        <f t="shared" ref="G728" si="242">IF(WEEKDAY(F728,2)=1,"W"&amp;WEEKNUM(F728,14),"")</f>
        <v/>
      </c>
      <c r="H728">
        <f>SUM(A728:A734)</f>
        <v>0</v>
      </c>
      <c r="I728" s="28" t="e">
        <f>H728/H721-1</f>
        <v>#DIV/0!</v>
      </c>
      <c r="J728" s="28" t="e">
        <f>A728/A721-1</f>
        <v>#DIV/0!</v>
      </c>
    </row>
    <row r="729" spans="5:10">
      <c r="E729" s="3">
        <f t="shared" si="221"/>
        <v>6</v>
      </c>
      <c r="G729" s="19" t="str">
        <f t="shared" ref="G729" si="243">IF(WEEKDAY(F729,2)=1,"W"&amp;WEEKNUM(F729,14),"")</f>
        <v/>
      </c>
    </row>
    <row r="730" spans="5:10">
      <c r="E730" s="3">
        <f t="shared" si="221"/>
        <v>6</v>
      </c>
      <c r="G730" s="19" t="str">
        <f t="shared" ref="G730" si="244">IF(WEEKDAY(F730,2)=1,"W"&amp;WEEKNUM(F730,14),"")</f>
        <v/>
      </c>
    </row>
    <row r="731" spans="5:10">
      <c r="E731" s="3">
        <f t="shared" si="221"/>
        <v>6</v>
      </c>
      <c r="G731" s="19" t="str">
        <f t="shared" ref="G731" si="245">IF(WEEKDAY(F731,2)=1,"W"&amp;WEEKNUM(F731,14),"")</f>
        <v/>
      </c>
    </row>
    <row r="732" spans="5:10">
      <c r="E732" s="3">
        <f t="shared" si="221"/>
        <v>6</v>
      </c>
      <c r="G732" s="19" t="str">
        <f t="shared" ref="G732" si="246">IF(WEEKDAY(F732,2)=1,"W"&amp;WEEKNUM(F732,14),"")</f>
        <v/>
      </c>
    </row>
    <row r="733" spans="5:10">
      <c r="E733" s="3">
        <f t="shared" si="221"/>
        <v>6</v>
      </c>
      <c r="G733" s="19" t="str">
        <f t="shared" ref="G733" si="247">IF(WEEKDAY(F733,2)=1,"W"&amp;WEEKNUM(F733,14),"")</f>
        <v/>
      </c>
    </row>
    <row r="734" spans="5:10">
      <c r="E734" s="3">
        <f t="shared" si="221"/>
        <v>6</v>
      </c>
      <c r="G734" s="19" t="str">
        <f t="shared" ref="G734" si="248">IF(WEEKDAY(F734,2)=1,"W"&amp;WEEKNUM(F734,14),"")</f>
        <v/>
      </c>
    </row>
    <row r="735" spans="5:10">
      <c r="E735" s="3">
        <f t="shared" si="221"/>
        <v>6</v>
      </c>
      <c r="G735" s="19" t="str">
        <f t="shared" ref="G735" si="249">IF(WEEKDAY(F735,2)=1,"W"&amp;WEEKNUM(F735,14),"")</f>
        <v/>
      </c>
      <c r="H735">
        <f>SUM(A735:A741)</f>
        <v>0</v>
      </c>
      <c r="I735" s="28" t="e">
        <f>H735/H728-1</f>
        <v>#DIV/0!</v>
      </c>
      <c r="J735" s="28" t="e">
        <f>A735/A728-1</f>
        <v>#DIV/0!</v>
      </c>
    </row>
    <row r="736" spans="5:10">
      <c r="E736" s="3">
        <f t="shared" si="221"/>
        <v>6</v>
      </c>
      <c r="G736" s="19" t="str">
        <f t="shared" ref="G736" si="250">IF(WEEKDAY(F736,2)=1,"W"&amp;WEEKNUM(F736,14),"")</f>
        <v/>
      </c>
    </row>
    <row r="737" spans="5:10">
      <c r="E737" s="3">
        <f t="shared" si="221"/>
        <v>6</v>
      </c>
      <c r="G737" s="19" t="str">
        <f t="shared" ref="G737" si="251">IF(WEEKDAY(F737,2)=1,"W"&amp;WEEKNUM(F737,14),"")</f>
        <v/>
      </c>
    </row>
    <row r="738" spans="5:10">
      <c r="E738" s="3">
        <f t="shared" si="221"/>
        <v>6</v>
      </c>
      <c r="G738" s="19" t="str">
        <f t="shared" ref="G738" si="252">IF(WEEKDAY(F738,2)=1,"W"&amp;WEEKNUM(F738,14),"")</f>
        <v/>
      </c>
    </row>
    <row r="739" spans="5:10">
      <c r="E739" s="3">
        <f t="shared" si="221"/>
        <v>6</v>
      </c>
      <c r="G739" s="19" t="str">
        <f t="shared" ref="G739" si="253">IF(WEEKDAY(F739,2)=1,"W"&amp;WEEKNUM(F739,14),"")</f>
        <v/>
      </c>
    </row>
    <row r="740" spans="5:10">
      <c r="E740" s="3">
        <f t="shared" si="221"/>
        <v>6</v>
      </c>
      <c r="G740" s="19" t="str">
        <f t="shared" ref="G740" si="254">IF(WEEKDAY(F740,2)=1,"W"&amp;WEEKNUM(F740,14),"")</f>
        <v/>
      </c>
    </row>
    <row r="741" spans="5:10">
      <c r="E741" s="3">
        <f t="shared" si="221"/>
        <v>6</v>
      </c>
      <c r="G741" s="19" t="str">
        <f t="shared" ref="G741" si="255">IF(WEEKDAY(F741,2)=1,"W"&amp;WEEKNUM(F741,14),"")</f>
        <v/>
      </c>
    </row>
    <row r="742" spans="5:10">
      <c r="E742" s="3">
        <f t="shared" si="221"/>
        <v>6</v>
      </c>
      <c r="G742" s="19" t="str">
        <f t="shared" ref="G742:G805" si="256">IF(WEEKDAY(F742,2)=1,"W"&amp;WEEKNUM(F742,14),"")</f>
        <v/>
      </c>
      <c r="H742">
        <f>SUM(A742:A748)</f>
        <v>0</v>
      </c>
      <c r="I742" s="28" t="e">
        <f>H742/H735-1</f>
        <v>#DIV/0!</v>
      </c>
      <c r="J742" s="28" t="e">
        <f>A742/A735-1</f>
        <v>#DIV/0!</v>
      </c>
    </row>
    <row r="743" spans="5:10">
      <c r="E743" s="3">
        <f t="shared" si="221"/>
        <v>6</v>
      </c>
      <c r="G743" s="19" t="str">
        <f t="shared" si="256"/>
        <v/>
      </c>
    </row>
    <row r="744" spans="5:10">
      <c r="E744" s="3">
        <f t="shared" si="221"/>
        <v>6</v>
      </c>
      <c r="G744" s="19" t="str">
        <f t="shared" si="256"/>
        <v/>
      </c>
    </row>
    <row r="745" spans="5:10">
      <c r="E745" s="3">
        <f t="shared" si="221"/>
        <v>6</v>
      </c>
      <c r="G745" s="19" t="str">
        <f t="shared" si="256"/>
        <v/>
      </c>
    </row>
    <row r="746" spans="5:10">
      <c r="E746" s="3">
        <f t="shared" si="221"/>
        <v>6</v>
      </c>
      <c r="G746" s="19" t="str">
        <f t="shared" si="256"/>
        <v/>
      </c>
    </row>
    <row r="747" spans="5:10">
      <c r="E747" s="3">
        <f t="shared" si="221"/>
        <v>6</v>
      </c>
      <c r="G747" s="19" t="str">
        <f t="shared" si="256"/>
        <v/>
      </c>
    </row>
    <row r="748" spans="5:10">
      <c r="E748" s="3">
        <f t="shared" si="221"/>
        <v>6</v>
      </c>
      <c r="G748" s="19" t="str">
        <f t="shared" si="256"/>
        <v/>
      </c>
    </row>
    <row r="749" spans="5:10">
      <c r="E749" s="3">
        <f t="shared" si="221"/>
        <v>6</v>
      </c>
      <c r="G749" s="19" t="str">
        <f t="shared" si="256"/>
        <v/>
      </c>
      <c r="H749">
        <f>SUM(A749:A755)</f>
        <v>0</v>
      </c>
      <c r="I749" s="28" t="e">
        <f>H749/H742-1</f>
        <v>#DIV/0!</v>
      </c>
      <c r="J749" s="28" t="e">
        <f>A749/A742-1</f>
        <v>#DIV/0!</v>
      </c>
    </row>
    <row r="750" spans="5:10">
      <c r="E750" s="3">
        <f t="shared" si="221"/>
        <v>6</v>
      </c>
      <c r="G750" s="19" t="str">
        <f t="shared" si="256"/>
        <v/>
      </c>
    </row>
    <row r="751" spans="5:10">
      <c r="E751" s="3">
        <f t="shared" si="221"/>
        <v>6</v>
      </c>
      <c r="G751" s="19" t="str">
        <f t="shared" si="256"/>
        <v/>
      </c>
    </row>
    <row r="752" spans="5:10">
      <c r="E752" s="3">
        <f t="shared" si="221"/>
        <v>6</v>
      </c>
      <c r="G752" s="19" t="str">
        <f t="shared" si="256"/>
        <v/>
      </c>
    </row>
    <row r="753" spans="5:10">
      <c r="E753" s="3">
        <f t="shared" si="221"/>
        <v>6</v>
      </c>
      <c r="G753" s="19" t="str">
        <f t="shared" si="256"/>
        <v/>
      </c>
    </row>
    <row r="754" spans="5:10">
      <c r="E754" s="3">
        <f t="shared" si="221"/>
        <v>6</v>
      </c>
      <c r="G754" s="19" t="str">
        <f t="shared" si="256"/>
        <v/>
      </c>
    </row>
    <row r="755" spans="5:10">
      <c r="E755" s="3">
        <f t="shared" si="221"/>
        <v>6</v>
      </c>
      <c r="G755" s="19" t="str">
        <f t="shared" si="256"/>
        <v/>
      </c>
    </row>
    <row r="756" spans="5:10">
      <c r="E756" s="3">
        <f t="shared" si="221"/>
        <v>6</v>
      </c>
      <c r="G756" s="19" t="str">
        <f t="shared" si="256"/>
        <v/>
      </c>
      <c r="H756">
        <f>SUM(A756:A762)</f>
        <v>0</v>
      </c>
      <c r="I756" s="28" t="e">
        <f>H756/H749-1</f>
        <v>#DIV/0!</v>
      </c>
      <c r="J756" s="28" t="e">
        <f>A756/A749-1</f>
        <v>#DIV/0!</v>
      </c>
    </row>
    <row r="757" spans="5:10">
      <c r="E757" s="3">
        <f t="shared" si="221"/>
        <v>6</v>
      </c>
      <c r="G757" s="19" t="str">
        <f t="shared" si="256"/>
        <v/>
      </c>
    </row>
    <row r="758" spans="5:10">
      <c r="E758" s="3">
        <f t="shared" si="221"/>
        <v>6</v>
      </c>
      <c r="G758" s="19" t="str">
        <f t="shared" si="256"/>
        <v/>
      </c>
    </row>
    <row r="759" spans="5:10">
      <c r="E759" s="3">
        <f t="shared" si="221"/>
        <v>6</v>
      </c>
      <c r="G759" s="19" t="str">
        <f t="shared" si="256"/>
        <v/>
      </c>
    </row>
    <row r="760" spans="5:10">
      <c r="E760" s="3">
        <f t="shared" si="221"/>
        <v>6</v>
      </c>
      <c r="G760" s="19" t="str">
        <f t="shared" si="256"/>
        <v/>
      </c>
    </row>
    <row r="761" spans="5:10">
      <c r="E761" s="3">
        <f t="shared" si="221"/>
        <v>6</v>
      </c>
      <c r="G761" s="19" t="str">
        <f t="shared" si="256"/>
        <v/>
      </c>
    </row>
    <row r="762" spans="5:10">
      <c r="E762" s="3">
        <f t="shared" si="221"/>
        <v>6</v>
      </c>
      <c r="G762" s="19" t="str">
        <f t="shared" si="256"/>
        <v/>
      </c>
    </row>
    <row r="763" spans="5:10">
      <c r="E763" s="3">
        <f t="shared" si="221"/>
        <v>6</v>
      </c>
      <c r="G763" s="19" t="str">
        <f t="shared" si="256"/>
        <v/>
      </c>
      <c r="H763">
        <f>SUM(A763:A769)</f>
        <v>0</v>
      </c>
      <c r="I763" s="28" t="e">
        <f>H763/H756-1</f>
        <v>#DIV/0!</v>
      </c>
      <c r="J763" s="28" t="e">
        <f>A763/A756-1</f>
        <v>#DIV/0!</v>
      </c>
    </row>
    <row r="764" spans="5:10">
      <c r="E764" s="3">
        <f t="shared" si="221"/>
        <v>6</v>
      </c>
      <c r="G764" s="19" t="str">
        <f t="shared" si="256"/>
        <v/>
      </c>
    </row>
    <row r="765" spans="5:10">
      <c r="E765" s="3">
        <f t="shared" si="221"/>
        <v>6</v>
      </c>
      <c r="G765" s="19" t="str">
        <f t="shared" si="256"/>
        <v/>
      </c>
    </row>
    <row r="766" spans="5:10">
      <c r="E766" s="3">
        <f t="shared" si="221"/>
        <v>6</v>
      </c>
      <c r="G766" s="19" t="str">
        <f t="shared" si="256"/>
        <v/>
      </c>
    </row>
    <row r="767" spans="5:10">
      <c r="E767" s="3">
        <f t="shared" ref="E767:E805" si="257">WEEKDAY(F767,2)</f>
        <v>6</v>
      </c>
      <c r="G767" s="19" t="str">
        <f t="shared" si="256"/>
        <v/>
      </c>
    </row>
    <row r="768" spans="5:10">
      <c r="E768" s="3">
        <f t="shared" si="257"/>
        <v>6</v>
      </c>
      <c r="G768" s="19" t="str">
        <f t="shared" si="256"/>
        <v/>
      </c>
    </row>
    <row r="769" spans="5:10">
      <c r="E769" s="3">
        <f t="shared" si="257"/>
        <v>6</v>
      </c>
      <c r="G769" s="19" t="str">
        <f t="shared" si="256"/>
        <v/>
      </c>
    </row>
    <row r="770" spans="5:10">
      <c r="E770" s="3">
        <f t="shared" si="257"/>
        <v>6</v>
      </c>
      <c r="G770" s="19" t="str">
        <f t="shared" si="256"/>
        <v/>
      </c>
      <c r="H770">
        <f>SUM(A770:A776)</f>
        <v>0</v>
      </c>
      <c r="I770" s="28" t="e">
        <f>H770/H763-1</f>
        <v>#DIV/0!</v>
      </c>
      <c r="J770" s="28" t="e">
        <f>A770/A763-1</f>
        <v>#DIV/0!</v>
      </c>
    </row>
    <row r="771" spans="5:10">
      <c r="E771" s="3">
        <f t="shared" si="257"/>
        <v>6</v>
      </c>
      <c r="G771" s="19" t="str">
        <f t="shared" si="256"/>
        <v/>
      </c>
    </row>
    <row r="772" spans="5:10">
      <c r="E772" s="3">
        <f t="shared" si="257"/>
        <v>6</v>
      </c>
      <c r="G772" s="19" t="str">
        <f t="shared" si="256"/>
        <v/>
      </c>
    </row>
    <row r="773" spans="5:10">
      <c r="E773" s="3">
        <f t="shared" si="257"/>
        <v>6</v>
      </c>
      <c r="G773" s="19" t="str">
        <f t="shared" si="256"/>
        <v/>
      </c>
    </row>
    <row r="774" spans="5:10">
      <c r="E774" s="3">
        <f t="shared" si="257"/>
        <v>6</v>
      </c>
      <c r="G774" s="19" t="str">
        <f t="shared" si="256"/>
        <v/>
      </c>
    </row>
    <row r="775" spans="5:10">
      <c r="E775" s="3">
        <f t="shared" si="257"/>
        <v>6</v>
      </c>
      <c r="G775" s="19" t="str">
        <f t="shared" si="256"/>
        <v/>
      </c>
    </row>
    <row r="776" spans="5:10">
      <c r="E776" s="3">
        <f t="shared" si="257"/>
        <v>6</v>
      </c>
      <c r="G776" s="19" t="str">
        <f t="shared" si="256"/>
        <v/>
      </c>
    </row>
    <row r="777" spans="5:10">
      <c r="E777" s="3">
        <f t="shared" si="257"/>
        <v>6</v>
      </c>
      <c r="G777" s="19" t="str">
        <f t="shared" si="256"/>
        <v/>
      </c>
      <c r="H777">
        <f>SUM(A777:A783)</f>
        <v>0</v>
      </c>
      <c r="I777" s="28" t="e">
        <f>H777/H770-1</f>
        <v>#DIV/0!</v>
      </c>
      <c r="J777" s="28" t="e">
        <f>A777/A770-1</f>
        <v>#DIV/0!</v>
      </c>
    </row>
    <row r="778" spans="5:10">
      <c r="E778" s="3">
        <f t="shared" si="257"/>
        <v>6</v>
      </c>
      <c r="G778" s="19" t="str">
        <f t="shared" si="256"/>
        <v/>
      </c>
    </row>
    <row r="779" spans="5:10">
      <c r="E779" s="3">
        <f t="shared" si="257"/>
        <v>6</v>
      </c>
      <c r="G779" s="19" t="str">
        <f t="shared" si="256"/>
        <v/>
      </c>
    </row>
    <row r="780" spans="5:10">
      <c r="E780" s="3">
        <f t="shared" si="257"/>
        <v>6</v>
      </c>
      <c r="G780" s="19" t="str">
        <f t="shared" si="256"/>
        <v/>
      </c>
    </row>
    <row r="781" spans="5:10">
      <c r="E781" s="3">
        <f t="shared" si="257"/>
        <v>6</v>
      </c>
      <c r="G781" s="19" t="str">
        <f t="shared" si="256"/>
        <v/>
      </c>
    </row>
    <row r="782" spans="5:10">
      <c r="E782" s="3">
        <f t="shared" si="257"/>
        <v>6</v>
      </c>
      <c r="G782" s="19" t="str">
        <f t="shared" si="256"/>
        <v/>
      </c>
    </row>
    <row r="783" spans="5:10">
      <c r="E783" s="3">
        <f t="shared" si="257"/>
        <v>6</v>
      </c>
      <c r="G783" s="19" t="str">
        <f t="shared" si="256"/>
        <v/>
      </c>
    </row>
    <row r="784" spans="5:10">
      <c r="E784" s="3">
        <f t="shared" si="257"/>
        <v>6</v>
      </c>
      <c r="G784" s="19" t="str">
        <f t="shared" si="256"/>
        <v/>
      </c>
      <c r="H784">
        <f>SUM(A784:A790)</f>
        <v>0</v>
      </c>
      <c r="I784" s="28" t="e">
        <f>H784/H777-1</f>
        <v>#DIV/0!</v>
      </c>
      <c r="J784" s="28" t="e">
        <f>A784/A777-1</f>
        <v>#DIV/0!</v>
      </c>
    </row>
    <row r="785" spans="5:10">
      <c r="E785" s="3">
        <f t="shared" si="257"/>
        <v>6</v>
      </c>
      <c r="G785" s="19" t="str">
        <f t="shared" si="256"/>
        <v/>
      </c>
    </row>
    <row r="786" spans="5:10">
      <c r="E786" s="3">
        <f t="shared" si="257"/>
        <v>6</v>
      </c>
      <c r="G786" s="19" t="str">
        <f t="shared" si="256"/>
        <v/>
      </c>
    </row>
    <row r="787" spans="5:10">
      <c r="E787" s="3">
        <f t="shared" si="257"/>
        <v>6</v>
      </c>
      <c r="G787" s="19" t="str">
        <f t="shared" si="256"/>
        <v/>
      </c>
    </row>
    <row r="788" spans="5:10">
      <c r="E788" s="3">
        <f t="shared" si="257"/>
        <v>6</v>
      </c>
      <c r="G788" s="19" t="str">
        <f t="shared" si="256"/>
        <v/>
      </c>
    </row>
    <row r="789" spans="5:10">
      <c r="E789" s="3">
        <f t="shared" si="257"/>
        <v>6</v>
      </c>
      <c r="G789" s="19" t="str">
        <f t="shared" si="256"/>
        <v/>
      </c>
    </row>
    <row r="790" spans="5:10">
      <c r="E790" s="3">
        <f t="shared" si="257"/>
        <v>6</v>
      </c>
      <c r="G790" s="19" t="str">
        <f t="shared" si="256"/>
        <v/>
      </c>
    </row>
    <row r="791" spans="5:10">
      <c r="E791" s="3">
        <f t="shared" si="257"/>
        <v>6</v>
      </c>
      <c r="G791" s="19" t="str">
        <f t="shared" si="256"/>
        <v/>
      </c>
      <c r="H791">
        <f>SUM(A791:A797)</f>
        <v>0</v>
      </c>
      <c r="I791" s="28" t="e">
        <f>H791/H784-1</f>
        <v>#DIV/0!</v>
      </c>
      <c r="J791" s="28" t="e">
        <f>A791/A784-1</f>
        <v>#DIV/0!</v>
      </c>
    </row>
    <row r="792" spans="5:10">
      <c r="E792" s="3">
        <f t="shared" si="257"/>
        <v>6</v>
      </c>
      <c r="G792" s="19" t="str">
        <f t="shared" si="256"/>
        <v/>
      </c>
    </row>
    <row r="793" spans="5:10">
      <c r="E793" s="3">
        <f t="shared" si="257"/>
        <v>6</v>
      </c>
      <c r="G793" s="19" t="str">
        <f t="shared" si="256"/>
        <v/>
      </c>
    </row>
    <row r="794" spans="5:10">
      <c r="E794" s="3">
        <f t="shared" si="257"/>
        <v>6</v>
      </c>
      <c r="G794" s="19" t="str">
        <f t="shared" si="256"/>
        <v/>
      </c>
    </row>
    <row r="795" spans="5:10">
      <c r="E795" s="3">
        <f t="shared" si="257"/>
        <v>6</v>
      </c>
      <c r="G795" s="19" t="str">
        <f t="shared" si="256"/>
        <v/>
      </c>
    </row>
    <row r="796" spans="5:10">
      <c r="E796" s="3">
        <f t="shared" si="257"/>
        <v>6</v>
      </c>
      <c r="G796" s="19" t="str">
        <f t="shared" si="256"/>
        <v/>
      </c>
    </row>
    <row r="797" spans="5:10">
      <c r="E797" s="3">
        <f t="shared" si="257"/>
        <v>6</v>
      </c>
      <c r="G797" s="19" t="str">
        <f t="shared" si="256"/>
        <v/>
      </c>
    </row>
    <row r="798" spans="5:10">
      <c r="E798" s="3">
        <f t="shared" si="257"/>
        <v>6</v>
      </c>
      <c r="G798" s="19" t="str">
        <f t="shared" si="256"/>
        <v/>
      </c>
      <c r="H798">
        <f>SUM(A798:A804)</f>
        <v>0</v>
      </c>
      <c r="I798" s="28" t="e">
        <f>H798/H791-1</f>
        <v>#DIV/0!</v>
      </c>
      <c r="J798" s="28" t="e">
        <f>A798/A791-1</f>
        <v>#DIV/0!</v>
      </c>
    </row>
    <row r="799" spans="5:10">
      <c r="E799" s="3">
        <f t="shared" si="257"/>
        <v>6</v>
      </c>
      <c r="G799" s="19" t="str">
        <f t="shared" si="256"/>
        <v/>
      </c>
    </row>
    <row r="800" spans="5:10">
      <c r="E800" s="3">
        <f t="shared" si="257"/>
        <v>6</v>
      </c>
      <c r="G800" s="19" t="str">
        <f t="shared" si="256"/>
        <v/>
      </c>
    </row>
    <row r="801" spans="5:10">
      <c r="E801" s="3">
        <f t="shared" si="257"/>
        <v>6</v>
      </c>
      <c r="G801" s="19" t="str">
        <f t="shared" si="256"/>
        <v/>
      </c>
    </row>
    <row r="802" spans="5:10">
      <c r="E802" s="3">
        <f t="shared" si="257"/>
        <v>6</v>
      </c>
      <c r="G802" s="19" t="str">
        <f t="shared" si="256"/>
        <v/>
      </c>
    </row>
    <row r="803" spans="5:10">
      <c r="E803" s="3">
        <f t="shared" si="257"/>
        <v>6</v>
      </c>
      <c r="G803" s="19" t="str">
        <f t="shared" si="256"/>
        <v/>
      </c>
    </row>
    <row r="804" spans="5:10">
      <c r="E804" s="3">
        <f t="shared" si="257"/>
        <v>6</v>
      </c>
      <c r="G804" s="19" t="str">
        <f t="shared" si="256"/>
        <v/>
      </c>
    </row>
    <row r="805" spans="5:10">
      <c r="E805" s="3">
        <f t="shared" si="257"/>
        <v>6</v>
      </c>
      <c r="G805" s="19" t="str">
        <f t="shared" si="256"/>
        <v/>
      </c>
      <c r="H805">
        <f>SUM(A805:A811)</f>
        <v>0</v>
      </c>
      <c r="I805" s="28" t="e">
        <f>H805/H798-1</f>
        <v>#DIV/0!</v>
      </c>
      <c r="J805" s="28" t="e">
        <f>A805/A798-1</f>
        <v>#DIV/0!</v>
      </c>
    </row>
  </sheetData>
  <autoFilter ref="A1:K805" xr:uid="{00000000-0009-0000-0000-000001000000}"/>
  <pageMargins left="0.7" right="0.7" top="0.75" bottom="0.75" header="0.3" footer="0.3"/>
  <pageSetup paperSize="9" orientation="portrait" horizontalDpi="300" verticalDpi="300" r:id="rId1"/>
  <ignoredErrors>
    <ignoredError sqref="H371 H252 H41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M805"/>
  <sheetViews>
    <sheetView workbookViewId="0">
      <pane ySplit="1" topLeftCell="A421" activePane="bottomLeft" state="frozen"/>
      <selection pane="bottomLeft" activeCell="B423" sqref="B423"/>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9" max="9" width="11.140625" customWidth="1"/>
    <col min="10" max="10" width="12.140625" customWidth="1"/>
    <col min="11" max="11" width="14" bestFit="1" customWidth="1"/>
    <col min="13" max="13" width="14.28515625" bestFit="1" customWidth="1"/>
  </cols>
  <sheetData>
    <row r="1" spans="1:13" s="7" customFormat="1" ht="39.950000000000003" customHeight="1">
      <c r="A1" s="31" t="s">
        <v>291</v>
      </c>
      <c r="B1" s="1" t="s">
        <v>1</v>
      </c>
      <c r="C1" s="1" t="s">
        <v>9</v>
      </c>
      <c r="D1" s="1" t="s">
        <v>292</v>
      </c>
      <c r="E1" s="1" t="s">
        <v>300</v>
      </c>
      <c r="F1" s="6" t="s">
        <v>7</v>
      </c>
      <c r="G1" s="7">
        <f>SUM(A:A)</f>
        <v>31956</v>
      </c>
      <c r="H1" s="8">
        <v>44251.493657407409</v>
      </c>
      <c r="I1" s="7">
        <f>MAX(DataN)</f>
        <v>359</v>
      </c>
      <c r="J1" s="15">
        <f>VLOOKUP(I1,A:F,6,FALSE)</f>
        <v>44242.625</v>
      </c>
      <c r="K1" s="7">
        <f>COUNT(DataN)-5</f>
        <v>416</v>
      </c>
      <c r="M1" s="7" t="str">
        <f>"HUS COVID-19 tapauksia vuoden 2020 alusta lähtien "&amp;TEXT(MAX(HUS!F:F)-4,"p.k.vvvv")&amp;" saakka. Suurin arvo "&amp;HUS!I1&amp;", joka "&amp;TEXT(HUS!J1,"p.k.vvvv")&amp;". Uusimpien 4 päivien arvot tulevat viiveellä, joten ne jätetty pois kuvaajasta."</f>
        <v>HUS COVID-19 tapauksia vuoden 2020 alusta lähtien 20.2.2021 saakka. Suurin arvo 359, joka 15.2.2021. Uusimpien 4 päivien arvot tulevat viiveellä, joten ne jätetty pois kuvaajasta.</v>
      </c>
    </row>
    <row r="2" spans="1:13">
      <c r="A2" s="3">
        <v>0</v>
      </c>
      <c r="B2" t="s">
        <v>235</v>
      </c>
      <c r="C2" t="s">
        <v>458</v>
      </c>
      <c r="E2" s="3">
        <f>WEEKDAY(F2,2)</f>
        <v>3</v>
      </c>
      <c r="F2" s="5">
        <v>43831.625</v>
      </c>
      <c r="G2" s="19" t="str">
        <f>IF(WEEKDAY(F2,2)=1,"W"&amp;WEEKNUM(F2,14),"")</f>
        <v/>
      </c>
      <c r="J2" s="28"/>
    </row>
    <row r="3" spans="1:13">
      <c r="A3" s="3">
        <v>0</v>
      </c>
      <c r="B3" t="s">
        <v>236</v>
      </c>
      <c r="C3" t="s">
        <v>458</v>
      </c>
      <c r="E3" s="3">
        <f t="shared" ref="E3:E66" si="0">WEEKDAY(F3,2)</f>
        <v>4</v>
      </c>
      <c r="F3" s="5">
        <v>43832.625</v>
      </c>
      <c r="G3" s="19" t="str">
        <f t="shared" ref="G3:G66" si="1">IF(WEEKDAY(F3,2)=1,"W"&amp;WEEKNUM(F3,14),"")</f>
        <v/>
      </c>
      <c r="J3" s="28"/>
    </row>
    <row r="4" spans="1:13">
      <c r="A4" s="3">
        <v>0</v>
      </c>
      <c r="B4" t="s">
        <v>237</v>
      </c>
      <c r="C4" t="s">
        <v>458</v>
      </c>
      <c r="E4" s="3">
        <f t="shared" si="0"/>
        <v>5</v>
      </c>
      <c r="F4" s="5">
        <v>43833.625</v>
      </c>
      <c r="G4" s="19" t="str">
        <f t="shared" si="1"/>
        <v/>
      </c>
      <c r="J4" s="28"/>
    </row>
    <row r="5" spans="1:13">
      <c r="A5" s="3">
        <v>0</v>
      </c>
      <c r="B5" t="s">
        <v>238</v>
      </c>
      <c r="C5" t="s">
        <v>458</v>
      </c>
      <c r="E5" s="3">
        <f t="shared" si="0"/>
        <v>6</v>
      </c>
      <c r="F5" s="5">
        <v>43834.625</v>
      </c>
      <c r="G5" s="19" t="str">
        <f t="shared" si="1"/>
        <v/>
      </c>
      <c r="J5" s="28"/>
    </row>
    <row r="6" spans="1:13">
      <c r="A6" s="3">
        <v>0</v>
      </c>
      <c r="B6" t="s">
        <v>239</v>
      </c>
      <c r="C6" t="s">
        <v>458</v>
      </c>
      <c r="E6" s="3">
        <f t="shared" si="0"/>
        <v>7</v>
      </c>
      <c r="F6" s="5">
        <v>43835.625</v>
      </c>
      <c r="G6" s="19" t="str">
        <f t="shared" si="1"/>
        <v/>
      </c>
      <c r="J6" s="28"/>
    </row>
    <row r="7" spans="1:13">
      <c r="A7" s="3">
        <v>0</v>
      </c>
      <c r="B7" t="s">
        <v>240</v>
      </c>
      <c r="C7" t="s">
        <v>458</v>
      </c>
      <c r="E7" s="3">
        <f t="shared" si="0"/>
        <v>1</v>
      </c>
      <c r="F7" s="5">
        <v>43836.625</v>
      </c>
      <c r="G7" s="19" t="str">
        <f t="shared" si="1"/>
        <v>W2</v>
      </c>
      <c r="H7">
        <f>SUM(A7:A13)</f>
        <v>0</v>
      </c>
      <c r="I7" s="28"/>
      <c r="J7" s="28"/>
    </row>
    <row r="8" spans="1:13">
      <c r="A8" s="3">
        <v>0</v>
      </c>
      <c r="B8" t="s">
        <v>241</v>
      </c>
      <c r="C8" t="s">
        <v>458</v>
      </c>
      <c r="E8" s="3">
        <f t="shared" si="0"/>
        <v>2</v>
      </c>
      <c r="F8" s="5">
        <v>43837.625</v>
      </c>
      <c r="G8" s="19" t="str">
        <f t="shared" si="1"/>
        <v/>
      </c>
      <c r="J8" s="28"/>
    </row>
    <row r="9" spans="1:13">
      <c r="A9" s="3">
        <v>0</v>
      </c>
      <c r="B9" t="s">
        <v>242</v>
      </c>
      <c r="C9" t="s">
        <v>458</v>
      </c>
      <c r="E9" s="3">
        <f t="shared" si="0"/>
        <v>3</v>
      </c>
      <c r="F9" s="5">
        <v>43838.625</v>
      </c>
      <c r="G9" s="19" t="str">
        <f t="shared" si="1"/>
        <v/>
      </c>
      <c r="J9" s="28" t="e">
        <f t="shared" ref="J9:J72" si="2">A9/A2-1</f>
        <v>#DIV/0!</v>
      </c>
    </row>
    <row r="10" spans="1:13">
      <c r="A10" s="3">
        <v>0</v>
      </c>
      <c r="B10" t="s">
        <v>243</v>
      </c>
      <c r="C10" t="s">
        <v>458</v>
      </c>
      <c r="E10" s="3">
        <f t="shared" si="0"/>
        <v>4</v>
      </c>
      <c r="F10" s="5">
        <v>43839.625</v>
      </c>
      <c r="G10" s="19" t="str">
        <f t="shared" si="1"/>
        <v/>
      </c>
      <c r="J10" s="28" t="e">
        <f t="shared" si="2"/>
        <v>#DIV/0!</v>
      </c>
    </row>
    <row r="11" spans="1:13">
      <c r="A11" s="3">
        <v>0</v>
      </c>
      <c r="B11" t="s">
        <v>244</v>
      </c>
      <c r="C11" t="s">
        <v>458</v>
      </c>
      <c r="E11" s="3">
        <f t="shared" si="0"/>
        <v>5</v>
      </c>
      <c r="F11" s="5">
        <v>43840.625</v>
      </c>
      <c r="G11" s="19" t="str">
        <f t="shared" si="1"/>
        <v/>
      </c>
      <c r="J11" s="28" t="e">
        <f t="shared" si="2"/>
        <v>#DIV/0!</v>
      </c>
    </row>
    <row r="12" spans="1:13">
      <c r="A12" s="3">
        <v>0</v>
      </c>
      <c r="B12" t="s">
        <v>245</v>
      </c>
      <c r="C12" t="s">
        <v>458</v>
      </c>
      <c r="E12" s="3">
        <f t="shared" si="0"/>
        <v>6</v>
      </c>
      <c r="F12" s="5">
        <v>43841.625</v>
      </c>
      <c r="G12" s="19" t="str">
        <f t="shared" si="1"/>
        <v/>
      </c>
      <c r="J12" s="28" t="e">
        <f t="shared" si="2"/>
        <v>#DIV/0!</v>
      </c>
    </row>
    <row r="13" spans="1:13">
      <c r="A13" s="3">
        <v>0</v>
      </c>
      <c r="B13" t="s">
        <v>246</v>
      </c>
      <c r="C13" t="s">
        <v>458</v>
      </c>
      <c r="E13" s="3">
        <f t="shared" si="0"/>
        <v>7</v>
      </c>
      <c r="F13" s="5">
        <v>43842.625</v>
      </c>
      <c r="G13" s="19" t="str">
        <f t="shared" si="1"/>
        <v/>
      </c>
      <c r="J13" s="28" t="e">
        <f t="shared" si="2"/>
        <v>#DIV/0!</v>
      </c>
    </row>
    <row r="14" spans="1:13">
      <c r="A14" s="3">
        <v>0</v>
      </c>
      <c r="B14" t="s">
        <v>247</v>
      </c>
      <c r="C14" t="s">
        <v>458</v>
      </c>
      <c r="E14" s="3">
        <f t="shared" si="0"/>
        <v>1</v>
      </c>
      <c r="F14" s="5">
        <v>43843.625</v>
      </c>
      <c r="G14" s="19" t="str">
        <f t="shared" si="1"/>
        <v>W3</v>
      </c>
      <c r="H14">
        <f>SUM(A14:A20)</f>
        <v>0</v>
      </c>
      <c r="I14" s="28" t="e">
        <f>H14/H7-1</f>
        <v>#DIV/0!</v>
      </c>
      <c r="J14" s="28" t="e">
        <f t="shared" si="2"/>
        <v>#DIV/0!</v>
      </c>
    </row>
    <row r="15" spans="1:13">
      <c r="A15" s="3">
        <v>0</v>
      </c>
      <c r="B15" t="s">
        <v>248</v>
      </c>
      <c r="C15" t="s">
        <v>458</v>
      </c>
      <c r="E15" s="3">
        <f t="shared" si="0"/>
        <v>2</v>
      </c>
      <c r="F15" s="5">
        <v>43844.625</v>
      </c>
      <c r="G15" s="19" t="str">
        <f t="shared" si="1"/>
        <v/>
      </c>
      <c r="J15" s="28" t="e">
        <f t="shared" si="2"/>
        <v>#DIV/0!</v>
      </c>
    </row>
    <row r="16" spans="1:13">
      <c r="A16" s="3">
        <v>0</v>
      </c>
      <c r="B16" t="s">
        <v>249</v>
      </c>
      <c r="C16" t="s">
        <v>458</v>
      </c>
      <c r="E16" s="3">
        <f t="shared" si="0"/>
        <v>3</v>
      </c>
      <c r="F16" s="5">
        <v>43845.625</v>
      </c>
      <c r="G16" s="19" t="str">
        <f t="shared" si="1"/>
        <v/>
      </c>
      <c r="J16" s="28" t="e">
        <f t="shared" si="2"/>
        <v>#DIV/0!</v>
      </c>
    </row>
    <row r="17" spans="1:10">
      <c r="A17" s="3">
        <v>0</v>
      </c>
      <c r="B17" t="s">
        <v>250</v>
      </c>
      <c r="C17" t="s">
        <v>458</v>
      </c>
      <c r="E17" s="3">
        <f t="shared" si="0"/>
        <v>4</v>
      </c>
      <c r="F17" s="5">
        <v>43846.625</v>
      </c>
      <c r="G17" s="19" t="str">
        <f t="shared" si="1"/>
        <v/>
      </c>
      <c r="J17" s="28" t="e">
        <f t="shared" si="2"/>
        <v>#DIV/0!</v>
      </c>
    </row>
    <row r="18" spans="1:10">
      <c r="A18" s="3">
        <v>0</v>
      </c>
      <c r="B18" t="s">
        <v>251</v>
      </c>
      <c r="C18" t="s">
        <v>458</v>
      </c>
      <c r="E18" s="3">
        <f t="shared" si="0"/>
        <v>5</v>
      </c>
      <c r="F18" s="5">
        <v>43847.625</v>
      </c>
      <c r="G18" s="19" t="str">
        <f t="shared" si="1"/>
        <v/>
      </c>
      <c r="J18" s="28" t="e">
        <f t="shared" si="2"/>
        <v>#DIV/0!</v>
      </c>
    </row>
    <row r="19" spans="1:10">
      <c r="A19" s="3">
        <v>0</v>
      </c>
      <c r="B19" t="s">
        <v>252</v>
      </c>
      <c r="C19" t="s">
        <v>458</v>
      </c>
      <c r="E19" s="3">
        <f t="shared" si="0"/>
        <v>6</v>
      </c>
      <c r="F19" s="5">
        <v>43848.625</v>
      </c>
      <c r="G19" s="19" t="str">
        <f t="shared" si="1"/>
        <v/>
      </c>
      <c r="J19" s="28" t="e">
        <f t="shared" si="2"/>
        <v>#DIV/0!</v>
      </c>
    </row>
    <row r="20" spans="1:10">
      <c r="A20" s="3">
        <v>0</v>
      </c>
      <c r="B20" t="s">
        <v>253</v>
      </c>
      <c r="C20" t="s">
        <v>458</v>
      </c>
      <c r="E20" s="3">
        <f t="shared" si="0"/>
        <v>7</v>
      </c>
      <c r="F20" s="5">
        <v>43849.625</v>
      </c>
      <c r="G20" s="19" t="str">
        <f t="shared" si="1"/>
        <v/>
      </c>
      <c r="J20" s="28" t="e">
        <f t="shared" si="2"/>
        <v>#DIV/0!</v>
      </c>
    </row>
    <row r="21" spans="1:10">
      <c r="A21" s="3">
        <v>0</v>
      </c>
      <c r="B21" t="s">
        <v>254</v>
      </c>
      <c r="C21" t="s">
        <v>458</v>
      </c>
      <c r="E21" s="3">
        <f t="shared" si="0"/>
        <v>1</v>
      </c>
      <c r="F21" s="5">
        <v>43850.625</v>
      </c>
      <c r="G21" s="19" t="str">
        <f t="shared" si="1"/>
        <v>W4</v>
      </c>
      <c r="H21">
        <f>SUM(A21:A27)</f>
        <v>0</v>
      </c>
      <c r="I21" s="28" t="e">
        <f>H21/H14-1</f>
        <v>#DIV/0!</v>
      </c>
      <c r="J21" s="28" t="e">
        <f t="shared" si="2"/>
        <v>#DIV/0!</v>
      </c>
    </row>
    <row r="22" spans="1:10">
      <c r="A22" s="3">
        <v>0</v>
      </c>
      <c r="B22" t="s">
        <v>255</v>
      </c>
      <c r="C22" t="s">
        <v>458</v>
      </c>
      <c r="E22" s="3">
        <f t="shared" si="0"/>
        <v>2</v>
      </c>
      <c r="F22" s="5">
        <v>43851.625</v>
      </c>
      <c r="G22" s="19" t="str">
        <f t="shared" si="1"/>
        <v/>
      </c>
      <c r="J22" s="28" t="e">
        <f t="shared" si="2"/>
        <v>#DIV/0!</v>
      </c>
    </row>
    <row r="23" spans="1:10">
      <c r="A23" s="3">
        <v>0</v>
      </c>
      <c r="B23" t="s">
        <v>256</v>
      </c>
      <c r="C23" t="s">
        <v>458</v>
      </c>
      <c r="E23" s="3">
        <f t="shared" si="0"/>
        <v>3</v>
      </c>
      <c r="F23" s="5">
        <v>43852.625</v>
      </c>
      <c r="G23" s="19" t="str">
        <f t="shared" si="1"/>
        <v/>
      </c>
      <c r="J23" s="28" t="e">
        <f t="shared" si="2"/>
        <v>#DIV/0!</v>
      </c>
    </row>
    <row r="24" spans="1:10">
      <c r="A24" s="3">
        <v>0</v>
      </c>
      <c r="B24" t="s">
        <v>257</v>
      </c>
      <c r="C24" t="s">
        <v>458</v>
      </c>
      <c r="E24" s="3">
        <f t="shared" si="0"/>
        <v>4</v>
      </c>
      <c r="F24" s="5">
        <v>43853.625</v>
      </c>
      <c r="G24" s="19" t="str">
        <f t="shared" si="1"/>
        <v/>
      </c>
      <c r="J24" s="28" t="e">
        <f t="shared" si="2"/>
        <v>#DIV/0!</v>
      </c>
    </row>
    <row r="25" spans="1:10">
      <c r="A25" s="3">
        <v>0</v>
      </c>
      <c r="B25" t="s">
        <v>258</v>
      </c>
      <c r="C25" t="s">
        <v>458</v>
      </c>
      <c r="E25" s="3">
        <f t="shared" si="0"/>
        <v>5</v>
      </c>
      <c r="F25" s="5">
        <v>43854.625</v>
      </c>
      <c r="G25" s="19" t="str">
        <f t="shared" si="1"/>
        <v/>
      </c>
      <c r="J25" s="28" t="e">
        <f t="shared" si="2"/>
        <v>#DIV/0!</v>
      </c>
    </row>
    <row r="26" spans="1:10">
      <c r="A26" s="3">
        <v>0</v>
      </c>
      <c r="B26" t="s">
        <v>259</v>
      </c>
      <c r="C26" t="s">
        <v>458</v>
      </c>
      <c r="E26" s="3">
        <f t="shared" si="0"/>
        <v>6</v>
      </c>
      <c r="F26" s="5">
        <v>43855.625</v>
      </c>
      <c r="G26" s="19" t="str">
        <f t="shared" si="1"/>
        <v/>
      </c>
      <c r="J26" s="28" t="e">
        <f t="shared" si="2"/>
        <v>#DIV/0!</v>
      </c>
    </row>
    <row r="27" spans="1:10">
      <c r="A27" s="3">
        <v>0</v>
      </c>
      <c r="B27" t="s">
        <v>260</v>
      </c>
      <c r="C27" t="s">
        <v>458</v>
      </c>
      <c r="E27" s="3">
        <f t="shared" si="0"/>
        <v>7</v>
      </c>
      <c r="F27" s="5">
        <v>43856.625</v>
      </c>
      <c r="G27" s="19" t="str">
        <f t="shared" si="1"/>
        <v/>
      </c>
      <c r="J27" s="28" t="e">
        <f t="shared" si="2"/>
        <v>#DIV/0!</v>
      </c>
    </row>
    <row r="28" spans="1:10">
      <c r="A28" s="3">
        <v>0</v>
      </c>
      <c r="B28" t="s">
        <v>261</v>
      </c>
      <c r="C28" t="s">
        <v>458</v>
      </c>
      <c r="E28" s="3">
        <f t="shared" si="0"/>
        <v>1</v>
      </c>
      <c r="F28" s="5">
        <v>43857.625</v>
      </c>
      <c r="G28" s="19" t="str">
        <f t="shared" si="1"/>
        <v>W5</v>
      </c>
      <c r="H28">
        <f>SUM(A28:A34)</f>
        <v>0</v>
      </c>
      <c r="I28" s="28" t="e">
        <f>H28/H21-1</f>
        <v>#DIV/0!</v>
      </c>
      <c r="J28" s="28" t="e">
        <f t="shared" si="2"/>
        <v>#DIV/0!</v>
      </c>
    </row>
    <row r="29" spans="1:10">
      <c r="A29" s="3">
        <v>0</v>
      </c>
      <c r="B29" t="s">
        <v>11</v>
      </c>
      <c r="C29" t="s">
        <v>458</v>
      </c>
      <c r="E29" s="3">
        <f t="shared" si="0"/>
        <v>2</v>
      </c>
      <c r="F29" s="5">
        <v>43858.625</v>
      </c>
      <c r="G29" s="19" t="str">
        <f t="shared" si="1"/>
        <v/>
      </c>
      <c r="J29" s="28" t="e">
        <f t="shared" si="2"/>
        <v>#DIV/0!</v>
      </c>
    </row>
    <row r="30" spans="1:10">
      <c r="A30" s="3">
        <v>0</v>
      </c>
      <c r="B30" t="s">
        <v>262</v>
      </c>
      <c r="C30" t="s">
        <v>458</v>
      </c>
      <c r="E30" s="3">
        <f t="shared" si="0"/>
        <v>3</v>
      </c>
      <c r="F30" s="5">
        <v>43859.625</v>
      </c>
      <c r="G30" s="19" t="str">
        <f t="shared" si="1"/>
        <v/>
      </c>
      <c r="J30" s="28" t="e">
        <f t="shared" si="2"/>
        <v>#DIV/0!</v>
      </c>
    </row>
    <row r="31" spans="1:10">
      <c r="A31" s="3">
        <v>0</v>
      </c>
      <c r="B31" t="s">
        <v>263</v>
      </c>
      <c r="C31" t="s">
        <v>458</v>
      </c>
      <c r="E31" s="3">
        <f t="shared" si="0"/>
        <v>4</v>
      </c>
      <c r="F31" s="5">
        <v>43860.625</v>
      </c>
      <c r="G31" s="19" t="str">
        <f t="shared" si="1"/>
        <v/>
      </c>
      <c r="J31" s="28" t="e">
        <f t="shared" si="2"/>
        <v>#DIV/0!</v>
      </c>
    </row>
    <row r="32" spans="1:10">
      <c r="A32" s="3">
        <v>0</v>
      </c>
      <c r="B32" t="s">
        <v>264</v>
      </c>
      <c r="C32" t="s">
        <v>458</v>
      </c>
      <c r="E32" s="3">
        <f t="shared" si="0"/>
        <v>5</v>
      </c>
      <c r="F32" s="5">
        <v>43861.625</v>
      </c>
      <c r="G32" s="19" t="str">
        <f t="shared" si="1"/>
        <v/>
      </c>
      <c r="J32" s="28" t="e">
        <f t="shared" si="2"/>
        <v>#DIV/0!</v>
      </c>
    </row>
    <row r="33" spans="1:10">
      <c r="A33" s="3">
        <v>0</v>
      </c>
      <c r="B33" t="s">
        <v>265</v>
      </c>
      <c r="C33" t="s">
        <v>458</v>
      </c>
      <c r="E33" s="3">
        <f t="shared" si="0"/>
        <v>6</v>
      </c>
      <c r="F33" s="5">
        <v>43862.625</v>
      </c>
      <c r="G33" s="19" t="str">
        <f t="shared" si="1"/>
        <v/>
      </c>
      <c r="J33" s="28" t="e">
        <f t="shared" si="2"/>
        <v>#DIV/0!</v>
      </c>
    </row>
    <row r="34" spans="1:10">
      <c r="A34" s="3">
        <v>0</v>
      </c>
      <c r="B34" t="s">
        <v>266</v>
      </c>
      <c r="C34" t="s">
        <v>458</v>
      </c>
      <c r="E34" s="3">
        <f t="shared" si="0"/>
        <v>7</v>
      </c>
      <c r="F34" s="5">
        <v>43863.625</v>
      </c>
      <c r="G34" s="19" t="str">
        <f t="shared" si="1"/>
        <v/>
      </c>
      <c r="J34" s="28" t="e">
        <f t="shared" si="2"/>
        <v>#DIV/0!</v>
      </c>
    </row>
    <row r="35" spans="1:10">
      <c r="A35" s="3">
        <v>0</v>
      </c>
      <c r="B35" t="s">
        <v>267</v>
      </c>
      <c r="C35" t="s">
        <v>458</v>
      </c>
      <c r="E35" s="3">
        <f t="shared" si="0"/>
        <v>1</v>
      </c>
      <c r="F35" s="5">
        <v>43864.625</v>
      </c>
      <c r="G35" s="19" t="str">
        <f t="shared" si="1"/>
        <v>W6</v>
      </c>
      <c r="H35">
        <f>SUM(A35:A41)</f>
        <v>0</v>
      </c>
      <c r="I35" s="28" t="e">
        <f>H35/H28-1</f>
        <v>#DIV/0!</v>
      </c>
      <c r="J35" s="28" t="e">
        <f t="shared" si="2"/>
        <v>#DIV/0!</v>
      </c>
    </row>
    <row r="36" spans="1:10">
      <c r="A36" s="3">
        <v>0</v>
      </c>
      <c r="B36" t="s">
        <v>268</v>
      </c>
      <c r="C36" t="s">
        <v>458</v>
      </c>
      <c r="E36" s="3">
        <f t="shared" si="0"/>
        <v>2</v>
      </c>
      <c r="F36" s="5">
        <v>43865.625</v>
      </c>
      <c r="G36" s="19" t="str">
        <f t="shared" si="1"/>
        <v/>
      </c>
      <c r="J36" s="28" t="e">
        <f t="shared" si="2"/>
        <v>#DIV/0!</v>
      </c>
    </row>
    <row r="37" spans="1:10">
      <c r="A37" s="3">
        <v>0</v>
      </c>
      <c r="B37" t="s">
        <v>269</v>
      </c>
      <c r="C37" t="s">
        <v>458</v>
      </c>
      <c r="E37" s="3">
        <f t="shared" si="0"/>
        <v>3</v>
      </c>
      <c r="F37" s="5">
        <v>43866.625</v>
      </c>
      <c r="G37" s="19" t="str">
        <f t="shared" si="1"/>
        <v/>
      </c>
      <c r="J37" s="28" t="e">
        <f t="shared" si="2"/>
        <v>#DIV/0!</v>
      </c>
    </row>
    <row r="38" spans="1:10">
      <c r="A38" s="3">
        <v>0</v>
      </c>
      <c r="B38" t="s">
        <v>270</v>
      </c>
      <c r="C38" t="s">
        <v>458</v>
      </c>
      <c r="E38" s="3">
        <f t="shared" si="0"/>
        <v>4</v>
      </c>
      <c r="F38" s="5">
        <v>43867.625</v>
      </c>
      <c r="G38" s="19" t="str">
        <f t="shared" si="1"/>
        <v/>
      </c>
      <c r="J38" s="28" t="e">
        <f t="shared" si="2"/>
        <v>#DIV/0!</v>
      </c>
    </row>
    <row r="39" spans="1:10">
      <c r="A39" s="3">
        <v>0</v>
      </c>
      <c r="B39" t="s">
        <v>271</v>
      </c>
      <c r="C39" t="s">
        <v>458</v>
      </c>
      <c r="E39" s="3">
        <f t="shared" si="0"/>
        <v>5</v>
      </c>
      <c r="F39" s="5">
        <v>43868.625</v>
      </c>
      <c r="G39" s="19" t="str">
        <f t="shared" si="1"/>
        <v/>
      </c>
      <c r="J39" s="28" t="e">
        <f t="shared" si="2"/>
        <v>#DIV/0!</v>
      </c>
    </row>
    <row r="40" spans="1:10">
      <c r="A40" s="3">
        <v>0</v>
      </c>
      <c r="B40" t="s">
        <v>272</v>
      </c>
      <c r="C40" t="s">
        <v>458</v>
      </c>
      <c r="E40" s="3">
        <f t="shared" si="0"/>
        <v>6</v>
      </c>
      <c r="F40" s="5">
        <v>43869.625</v>
      </c>
      <c r="G40" s="19" t="str">
        <f t="shared" si="1"/>
        <v/>
      </c>
      <c r="J40" s="28" t="e">
        <f t="shared" si="2"/>
        <v>#DIV/0!</v>
      </c>
    </row>
    <row r="41" spans="1:10">
      <c r="A41" s="3">
        <v>0</v>
      </c>
      <c r="B41" t="s">
        <v>273</v>
      </c>
      <c r="C41" t="s">
        <v>458</v>
      </c>
      <c r="E41" s="3">
        <f t="shared" si="0"/>
        <v>7</v>
      </c>
      <c r="F41" s="5">
        <v>43870.625</v>
      </c>
      <c r="G41" s="19" t="str">
        <f t="shared" si="1"/>
        <v/>
      </c>
      <c r="J41" s="28" t="e">
        <f t="shared" si="2"/>
        <v>#DIV/0!</v>
      </c>
    </row>
    <row r="42" spans="1:10">
      <c r="A42" s="3">
        <v>1</v>
      </c>
      <c r="B42" t="s">
        <v>12</v>
      </c>
      <c r="C42" t="s">
        <v>458</v>
      </c>
      <c r="E42" s="3">
        <f t="shared" si="0"/>
        <v>1</v>
      </c>
      <c r="F42" s="5">
        <v>43871.625</v>
      </c>
      <c r="G42" s="19" t="str">
        <f t="shared" si="1"/>
        <v>W7</v>
      </c>
      <c r="H42">
        <f>SUM(A42:A48)</f>
        <v>1</v>
      </c>
      <c r="I42" s="28" t="e">
        <f>H42/H35-1</f>
        <v>#DIV/0!</v>
      </c>
      <c r="J42" s="28" t="e">
        <f t="shared" si="2"/>
        <v>#DIV/0!</v>
      </c>
    </row>
    <row r="43" spans="1:10">
      <c r="A43" s="3">
        <v>0</v>
      </c>
      <c r="B43" t="s">
        <v>274</v>
      </c>
      <c r="C43" t="s">
        <v>458</v>
      </c>
      <c r="E43" s="3">
        <f t="shared" si="0"/>
        <v>2</v>
      </c>
      <c r="F43" s="5">
        <v>43872.625</v>
      </c>
      <c r="G43" s="19" t="str">
        <f t="shared" si="1"/>
        <v/>
      </c>
      <c r="J43" s="28" t="e">
        <f t="shared" si="2"/>
        <v>#DIV/0!</v>
      </c>
    </row>
    <row r="44" spans="1:10">
      <c r="A44" s="3">
        <v>0</v>
      </c>
      <c r="B44" t="s">
        <v>275</v>
      </c>
      <c r="C44" t="s">
        <v>458</v>
      </c>
      <c r="E44" s="3">
        <f t="shared" si="0"/>
        <v>3</v>
      </c>
      <c r="F44" s="5">
        <v>43873.625</v>
      </c>
      <c r="G44" s="19" t="str">
        <f t="shared" si="1"/>
        <v/>
      </c>
      <c r="J44" s="28" t="e">
        <f t="shared" si="2"/>
        <v>#DIV/0!</v>
      </c>
    </row>
    <row r="45" spans="1:10">
      <c r="A45" s="3">
        <v>0</v>
      </c>
      <c r="B45" t="s">
        <v>276</v>
      </c>
      <c r="C45" t="s">
        <v>458</v>
      </c>
      <c r="E45" s="3">
        <f t="shared" si="0"/>
        <v>4</v>
      </c>
      <c r="F45" s="5">
        <v>43874.625</v>
      </c>
      <c r="G45" s="19" t="str">
        <f t="shared" si="1"/>
        <v/>
      </c>
      <c r="J45" s="28" t="e">
        <f t="shared" si="2"/>
        <v>#DIV/0!</v>
      </c>
    </row>
    <row r="46" spans="1:10">
      <c r="A46" s="3">
        <v>0</v>
      </c>
      <c r="B46" t="s">
        <v>277</v>
      </c>
      <c r="C46" t="s">
        <v>458</v>
      </c>
      <c r="E46" s="3">
        <f t="shared" si="0"/>
        <v>5</v>
      </c>
      <c r="F46" s="5">
        <v>43875.625</v>
      </c>
      <c r="G46" s="19" t="str">
        <f t="shared" si="1"/>
        <v/>
      </c>
      <c r="J46" s="28" t="e">
        <f t="shared" si="2"/>
        <v>#DIV/0!</v>
      </c>
    </row>
    <row r="47" spans="1:10">
      <c r="A47" s="3">
        <v>0</v>
      </c>
      <c r="B47" t="s">
        <v>278</v>
      </c>
      <c r="C47" t="s">
        <v>458</v>
      </c>
      <c r="E47" s="3">
        <f t="shared" si="0"/>
        <v>6</v>
      </c>
      <c r="F47" s="5">
        <v>43876.625</v>
      </c>
      <c r="G47" s="19" t="str">
        <f t="shared" si="1"/>
        <v/>
      </c>
      <c r="J47" s="28" t="e">
        <f t="shared" si="2"/>
        <v>#DIV/0!</v>
      </c>
    </row>
    <row r="48" spans="1:10">
      <c r="A48" s="3">
        <v>0</v>
      </c>
      <c r="B48" t="s">
        <v>279</v>
      </c>
      <c r="C48" t="s">
        <v>458</v>
      </c>
      <c r="E48" s="3">
        <f t="shared" si="0"/>
        <v>7</v>
      </c>
      <c r="F48" s="5">
        <v>43877.625</v>
      </c>
      <c r="G48" s="19" t="str">
        <f t="shared" si="1"/>
        <v/>
      </c>
      <c r="J48" s="28" t="e">
        <f t="shared" si="2"/>
        <v>#DIV/0!</v>
      </c>
    </row>
    <row r="49" spans="1:10">
      <c r="A49" s="3">
        <v>0</v>
      </c>
      <c r="B49" t="s">
        <v>280</v>
      </c>
      <c r="C49" t="s">
        <v>458</v>
      </c>
      <c r="E49" s="3">
        <f t="shared" si="0"/>
        <v>1</v>
      </c>
      <c r="F49" s="5">
        <v>43878.625</v>
      </c>
      <c r="G49" s="19" t="str">
        <f t="shared" si="1"/>
        <v>W8</v>
      </c>
      <c r="H49">
        <f>SUM(A49:A55)</f>
        <v>1</v>
      </c>
      <c r="I49" s="28">
        <f>H49/H42-1</f>
        <v>0</v>
      </c>
      <c r="J49" s="28">
        <f t="shared" si="2"/>
        <v>-1</v>
      </c>
    </row>
    <row r="50" spans="1:10">
      <c r="A50" s="3">
        <v>0</v>
      </c>
      <c r="B50" t="s">
        <v>281</v>
      </c>
      <c r="C50" t="s">
        <v>458</v>
      </c>
      <c r="E50" s="3">
        <f t="shared" si="0"/>
        <v>2</v>
      </c>
      <c r="F50" s="5">
        <v>43879.625</v>
      </c>
      <c r="G50" s="19" t="str">
        <f t="shared" si="1"/>
        <v/>
      </c>
      <c r="J50" s="28" t="e">
        <f t="shared" si="2"/>
        <v>#DIV/0!</v>
      </c>
    </row>
    <row r="51" spans="1:10">
      <c r="A51" s="3">
        <v>0</v>
      </c>
      <c r="B51" t="s">
        <v>282</v>
      </c>
      <c r="C51" t="s">
        <v>458</v>
      </c>
      <c r="E51" s="3">
        <f t="shared" si="0"/>
        <v>3</v>
      </c>
      <c r="F51" s="5">
        <v>43880.625</v>
      </c>
      <c r="G51" s="19" t="str">
        <f t="shared" si="1"/>
        <v/>
      </c>
      <c r="J51" s="28" t="e">
        <f t="shared" si="2"/>
        <v>#DIV/0!</v>
      </c>
    </row>
    <row r="52" spans="1:10">
      <c r="A52" s="3">
        <v>0</v>
      </c>
      <c r="B52" t="s">
        <v>283</v>
      </c>
      <c r="C52" t="s">
        <v>458</v>
      </c>
      <c r="E52" s="3">
        <f t="shared" si="0"/>
        <v>4</v>
      </c>
      <c r="F52" s="5">
        <v>43881.625</v>
      </c>
      <c r="G52" s="19" t="str">
        <f t="shared" si="1"/>
        <v/>
      </c>
      <c r="J52" s="28" t="e">
        <f t="shared" si="2"/>
        <v>#DIV/0!</v>
      </c>
    </row>
    <row r="53" spans="1:10">
      <c r="A53" s="3">
        <v>0</v>
      </c>
      <c r="B53" t="s">
        <v>284</v>
      </c>
      <c r="C53" t="s">
        <v>458</v>
      </c>
      <c r="E53" s="3">
        <f t="shared" si="0"/>
        <v>5</v>
      </c>
      <c r="F53" s="5">
        <v>43882.625</v>
      </c>
      <c r="G53" s="19" t="str">
        <f t="shared" si="1"/>
        <v/>
      </c>
      <c r="J53" s="28" t="e">
        <f t="shared" si="2"/>
        <v>#DIV/0!</v>
      </c>
    </row>
    <row r="54" spans="1:10">
      <c r="A54" s="3">
        <v>1</v>
      </c>
      <c r="B54" t="s">
        <v>13</v>
      </c>
      <c r="C54" t="s">
        <v>458</v>
      </c>
      <c r="E54" s="3">
        <f t="shared" si="0"/>
        <v>6</v>
      </c>
      <c r="F54" s="5">
        <v>43883.625</v>
      </c>
      <c r="G54" s="19" t="str">
        <f t="shared" si="1"/>
        <v/>
      </c>
      <c r="J54" s="28" t="e">
        <f t="shared" si="2"/>
        <v>#DIV/0!</v>
      </c>
    </row>
    <row r="55" spans="1:10">
      <c r="A55" s="3">
        <v>0</v>
      </c>
      <c r="B55" t="s">
        <v>285</v>
      </c>
      <c r="C55" t="s">
        <v>458</v>
      </c>
      <c r="E55" s="3">
        <f t="shared" si="0"/>
        <v>7</v>
      </c>
      <c r="F55" s="5">
        <v>43884.625</v>
      </c>
      <c r="G55" s="19" t="str">
        <f t="shared" si="1"/>
        <v/>
      </c>
      <c r="J55" s="28" t="e">
        <f t="shared" si="2"/>
        <v>#DIV/0!</v>
      </c>
    </row>
    <row r="56" spans="1:10">
      <c r="A56" s="3">
        <v>0</v>
      </c>
      <c r="B56" t="s">
        <v>286</v>
      </c>
      <c r="C56" t="s">
        <v>458</v>
      </c>
      <c r="E56" s="3">
        <f t="shared" si="0"/>
        <v>1</v>
      </c>
      <c r="F56" s="5">
        <v>43885.625</v>
      </c>
      <c r="G56" s="19" t="str">
        <f t="shared" si="1"/>
        <v>W9</v>
      </c>
      <c r="H56">
        <f>SUM(A56:A62)</f>
        <v>6</v>
      </c>
      <c r="I56" s="28">
        <f>H56/H49-1</f>
        <v>5</v>
      </c>
      <c r="J56" s="28" t="e">
        <f t="shared" si="2"/>
        <v>#DIV/0!</v>
      </c>
    </row>
    <row r="57" spans="1:10">
      <c r="A57" s="3">
        <v>0</v>
      </c>
      <c r="B57" t="s">
        <v>14</v>
      </c>
      <c r="C57" t="s">
        <v>458</v>
      </c>
      <c r="E57" s="3">
        <f t="shared" si="0"/>
        <v>2</v>
      </c>
      <c r="F57" s="5">
        <v>43886.625</v>
      </c>
      <c r="G57" s="19" t="str">
        <f t="shared" si="1"/>
        <v/>
      </c>
      <c r="J57" s="28" t="e">
        <f t="shared" si="2"/>
        <v>#DIV/0!</v>
      </c>
    </row>
    <row r="58" spans="1:10">
      <c r="A58" s="3">
        <v>0</v>
      </c>
      <c r="B58" t="s">
        <v>287</v>
      </c>
      <c r="C58" t="s">
        <v>458</v>
      </c>
      <c r="E58" s="3">
        <f t="shared" si="0"/>
        <v>3</v>
      </c>
      <c r="F58" s="5">
        <v>43887.625</v>
      </c>
      <c r="G58" s="19" t="str">
        <f t="shared" si="1"/>
        <v/>
      </c>
      <c r="J58" s="28" t="e">
        <f t="shared" si="2"/>
        <v>#DIV/0!</v>
      </c>
    </row>
    <row r="59" spans="1:10">
      <c r="A59" s="3">
        <v>1</v>
      </c>
      <c r="B59" t="s">
        <v>15</v>
      </c>
      <c r="C59" t="s">
        <v>458</v>
      </c>
      <c r="E59" s="3">
        <f t="shared" si="0"/>
        <v>4</v>
      </c>
      <c r="F59" s="5">
        <v>43888.625</v>
      </c>
      <c r="G59" s="19" t="str">
        <f t="shared" si="1"/>
        <v/>
      </c>
      <c r="J59" s="28" t="e">
        <f t="shared" si="2"/>
        <v>#DIV/0!</v>
      </c>
    </row>
    <row r="60" spans="1:10">
      <c r="A60" s="3">
        <v>3</v>
      </c>
      <c r="B60" t="s">
        <v>16</v>
      </c>
      <c r="C60" t="s">
        <v>458</v>
      </c>
      <c r="E60" s="3">
        <f t="shared" si="0"/>
        <v>5</v>
      </c>
      <c r="F60" s="5">
        <v>43889.625</v>
      </c>
      <c r="G60" s="19" t="str">
        <f t="shared" si="1"/>
        <v/>
      </c>
      <c r="J60" s="28" t="e">
        <f t="shared" si="2"/>
        <v>#DIV/0!</v>
      </c>
    </row>
    <row r="61" spans="1:10">
      <c r="A61" s="3">
        <v>1</v>
      </c>
      <c r="B61" t="s">
        <v>17</v>
      </c>
      <c r="C61" t="s">
        <v>458</v>
      </c>
      <c r="E61" s="3">
        <f t="shared" si="0"/>
        <v>6</v>
      </c>
      <c r="F61" s="5">
        <v>43890.625</v>
      </c>
      <c r="G61" s="19" t="str">
        <f t="shared" si="1"/>
        <v/>
      </c>
      <c r="J61" s="28">
        <f t="shared" si="2"/>
        <v>0</v>
      </c>
    </row>
    <row r="62" spans="1:10">
      <c r="A62" s="3">
        <v>1</v>
      </c>
      <c r="B62" t="s">
        <v>18</v>
      </c>
      <c r="C62" t="s">
        <v>458</v>
      </c>
      <c r="E62" s="3">
        <f t="shared" si="0"/>
        <v>7</v>
      </c>
      <c r="F62" s="5">
        <v>43891.625</v>
      </c>
      <c r="G62" s="19" t="str">
        <f t="shared" si="1"/>
        <v/>
      </c>
      <c r="J62" s="28" t="e">
        <f t="shared" si="2"/>
        <v>#DIV/0!</v>
      </c>
    </row>
    <row r="63" spans="1:10">
      <c r="A63" s="3">
        <v>0</v>
      </c>
      <c r="B63" t="s">
        <v>288</v>
      </c>
      <c r="C63" t="s">
        <v>458</v>
      </c>
      <c r="E63" s="3">
        <f t="shared" si="0"/>
        <v>1</v>
      </c>
      <c r="F63" s="5">
        <v>43892.625</v>
      </c>
      <c r="G63" s="19" t="str">
        <f t="shared" si="1"/>
        <v>W10</v>
      </c>
      <c r="H63">
        <f>SUM(A63:A69)</f>
        <v>16</v>
      </c>
      <c r="I63" s="28">
        <f>H63/H56-1</f>
        <v>1.6666666666666665</v>
      </c>
      <c r="J63" s="28" t="e">
        <f t="shared" si="2"/>
        <v>#DIV/0!</v>
      </c>
    </row>
    <row r="64" spans="1:10">
      <c r="A64" s="3">
        <v>3</v>
      </c>
      <c r="B64" t="s">
        <v>19</v>
      </c>
      <c r="C64" t="s">
        <v>458</v>
      </c>
      <c r="E64" s="3">
        <f t="shared" si="0"/>
        <v>2</v>
      </c>
      <c r="F64" s="5">
        <v>43893.625</v>
      </c>
      <c r="G64" s="19" t="str">
        <f t="shared" si="1"/>
        <v/>
      </c>
      <c r="J64" s="28" t="e">
        <f t="shared" si="2"/>
        <v>#DIV/0!</v>
      </c>
    </row>
    <row r="65" spans="1:10">
      <c r="A65" s="3">
        <v>2</v>
      </c>
      <c r="B65" t="s">
        <v>20</v>
      </c>
      <c r="C65" t="s">
        <v>458</v>
      </c>
      <c r="E65" s="3">
        <f t="shared" si="0"/>
        <v>3</v>
      </c>
      <c r="F65" s="5">
        <v>43894.625</v>
      </c>
      <c r="G65" s="19" t="str">
        <f t="shared" si="1"/>
        <v/>
      </c>
      <c r="J65" s="28" t="e">
        <f t="shared" si="2"/>
        <v>#DIV/0!</v>
      </c>
    </row>
    <row r="66" spans="1:10">
      <c r="A66" s="3">
        <v>1</v>
      </c>
      <c r="B66" t="s">
        <v>21</v>
      </c>
      <c r="C66" t="s">
        <v>458</v>
      </c>
      <c r="E66" s="3">
        <f t="shared" si="0"/>
        <v>4</v>
      </c>
      <c r="F66" s="5">
        <v>43895.625</v>
      </c>
      <c r="G66" s="19" t="str">
        <f t="shared" si="1"/>
        <v/>
      </c>
      <c r="J66" s="28">
        <f t="shared" si="2"/>
        <v>0</v>
      </c>
    </row>
    <row r="67" spans="1:10">
      <c r="A67" s="3">
        <v>4</v>
      </c>
      <c r="B67" t="s">
        <v>22</v>
      </c>
      <c r="C67" t="s">
        <v>458</v>
      </c>
      <c r="E67" s="3">
        <f t="shared" ref="E67:E130" si="3">WEEKDAY(F67,2)</f>
        <v>5</v>
      </c>
      <c r="F67" s="5">
        <v>43896.625</v>
      </c>
      <c r="G67" s="19" t="str">
        <f t="shared" ref="G67:G130" si="4">IF(WEEKDAY(F67,2)=1,"W"&amp;WEEKNUM(F67,14),"")</f>
        <v/>
      </c>
      <c r="J67" s="28">
        <f t="shared" si="2"/>
        <v>0.33333333333333326</v>
      </c>
    </row>
    <row r="68" spans="1:10">
      <c r="A68" s="3">
        <v>4</v>
      </c>
      <c r="B68" t="s">
        <v>23</v>
      </c>
      <c r="C68" t="s">
        <v>458</v>
      </c>
      <c r="E68" s="3">
        <f t="shared" si="3"/>
        <v>6</v>
      </c>
      <c r="F68" s="5">
        <v>43897.625</v>
      </c>
      <c r="G68" s="19" t="str">
        <f t="shared" si="4"/>
        <v/>
      </c>
      <c r="J68" s="28">
        <f t="shared" si="2"/>
        <v>3</v>
      </c>
    </row>
    <row r="69" spans="1:10">
      <c r="A69" s="3">
        <v>2</v>
      </c>
      <c r="B69" t="s">
        <v>24</v>
      </c>
      <c r="C69" t="s">
        <v>458</v>
      </c>
      <c r="E69" s="3">
        <f t="shared" si="3"/>
        <v>7</v>
      </c>
      <c r="F69" s="5">
        <v>43898.625</v>
      </c>
      <c r="G69" s="19" t="str">
        <f t="shared" si="4"/>
        <v/>
      </c>
      <c r="J69" s="28">
        <f t="shared" si="2"/>
        <v>1</v>
      </c>
    </row>
    <row r="70" spans="1:10">
      <c r="A70" s="3">
        <v>10</v>
      </c>
      <c r="B70" t="s">
        <v>25</v>
      </c>
      <c r="C70" t="s">
        <v>458</v>
      </c>
      <c r="E70" s="3">
        <f t="shared" si="3"/>
        <v>1</v>
      </c>
      <c r="F70" s="5">
        <v>43899.625</v>
      </c>
      <c r="G70" s="19" t="str">
        <f t="shared" si="4"/>
        <v>W11</v>
      </c>
      <c r="H70">
        <f>SUM(A70:A76)</f>
        <v>196</v>
      </c>
      <c r="I70" s="28">
        <f>H70/H63-1</f>
        <v>11.25</v>
      </c>
      <c r="J70" s="28" t="e">
        <f t="shared" si="2"/>
        <v>#DIV/0!</v>
      </c>
    </row>
    <row r="71" spans="1:10">
      <c r="A71" s="3">
        <v>25</v>
      </c>
      <c r="B71" t="s">
        <v>26</v>
      </c>
      <c r="C71" t="s">
        <v>458</v>
      </c>
      <c r="E71" s="3">
        <f t="shared" si="3"/>
        <v>2</v>
      </c>
      <c r="F71" s="5">
        <v>43900.625</v>
      </c>
      <c r="G71" s="19" t="str">
        <f t="shared" si="4"/>
        <v/>
      </c>
      <c r="J71" s="28">
        <f t="shared" si="2"/>
        <v>7.3333333333333339</v>
      </c>
    </row>
    <row r="72" spans="1:10">
      <c r="A72" s="3">
        <v>44</v>
      </c>
      <c r="B72" t="s">
        <v>27</v>
      </c>
      <c r="C72" t="s">
        <v>458</v>
      </c>
      <c r="E72" s="3">
        <f t="shared" si="3"/>
        <v>3</v>
      </c>
      <c r="F72" s="5">
        <v>43901.625</v>
      </c>
      <c r="G72" s="19" t="str">
        <f t="shared" si="4"/>
        <v/>
      </c>
      <c r="J72" s="28">
        <f t="shared" si="2"/>
        <v>21</v>
      </c>
    </row>
    <row r="73" spans="1:10">
      <c r="A73" s="3">
        <v>35</v>
      </c>
      <c r="B73" t="s">
        <v>28</v>
      </c>
      <c r="C73" t="s">
        <v>458</v>
      </c>
      <c r="E73" s="3">
        <f t="shared" si="3"/>
        <v>4</v>
      </c>
      <c r="F73" s="5">
        <v>43902.625</v>
      </c>
      <c r="G73" s="19" t="str">
        <f t="shared" si="4"/>
        <v/>
      </c>
      <c r="J73" s="28">
        <f t="shared" ref="J73:J136" si="5">A73/A66-1</f>
        <v>34</v>
      </c>
    </row>
    <row r="74" spans="1:10">
      <c r="A74" s="3">
        <v>19</v>
      </c>
      <c r="B74" t="s">
        <v>29</v>
      </c>
      <c r="C74" t="s">
        <v>458</v>
      </c>
      <c r="E74" s="3">
        <f t="shared" si="3"/>
        <v>5</v>
      </c>
      <c r="F74" s="5">
        <v>43903.625</v>
      </c>
      <c r="G74" s="19" t="str">
        <f t="shared" si="4"/>
        <v/>
      </c>
      <c r="J74" s="28">
        <f t="shared" si="5"/>
        <v>3.75</v>
      </c>
    </row>
    <row r="75" spans="1:10">
      <c r="A75" s="3">
        <v>15</v>
      </c>
      <c r="B75" t="s">
        <v>30</v>
      </c>
      <c r="C75" t="s">
        <v>458</v>
      </c>
      <c r="E75" s="3">
        <f t="shared" si="3"/>
        <v>6</v>
      </c>
      <c r="F75" s="5">
        <v>43904.625</v>
      </c>
      <c r="G75" s="19" t="str">
        <f t="shared" si="4"/>
        <v/>
      </c>
      <c r="J75" s="28">
        <f t="shared" si="5"/>
        <v>2.75</v>
      </c>
    </row>
    <row r="76" spans="1:10">
      <c r="A76" s="3">
        <v>48</v>
      </c>
      <c r="B76" t="s">
        <v>31</v>
      </c>
      <c r="C76" t="s">
        <v>458</v>
      </c>
      <c r="E76" s="3">
        <f t="shared" si="3"/>
        <v>7</v>
      </c>
      <c r="F76" s="5">
        <v>43905.625</v>
      </c>
      <c r="G76" s="19" t="str">
        <f t="shared" si="4"/>
        <v/>
      </c>
      <c r="J76" s="28">
        <f t="shared" si="5"/>
        <v>23</v>
      </c>
    </row>
    <row r="77" spans="1:10">
      <c r="A77" s="3">
        <v>41</v>
      </c>
      <c r="B77" t="s">
        <v>32</v>
      </c>
      <c r="C77" t="s">
        <v>458</v>
      </c>
      <c r="E77" s="3">
        <f t="shared" si="3"/>
        <v>1</v>
      </c>
      <c r="F77" s="5">
        <v>43906.625</v>
      </c>
      <c r="G77" s="19" t="str">
        <f t="shared" si="4"/>
        <v>W12</v>
      </c>
      <c r="H77">
        <f>SUM(A77:A83)</f>
        <v>392</v>
      </c>
      <c r="I77" s="28">
        <f>H77/H70-1</f>
        <v>1</v>
      </c>
      <c r="J77" s="28">
        <f t="shared" si="5"/>
        <v>3.0999999999999996</v>
      </c>
    </row>
    <row r="78" spans="1:10">
      <c r="A78" s="3">
        <v>31</v>
      </c>
      <c r="B78" t="s">
        <v>33</v>
      </c>
      <c r="C78" t="s">
        <v>458</v>
      </c>
      <c r="E78" s="3">
        <f t="shared" si="3"/>
        <v>2</v>
      </c>
      <c r="F78" s="5">
        <v>43907.625</v>
      </c>
      <c r="G78" s="19" t="str">
        <f t="shared" si="4"/>
        <v/>
      </c>
      <c r="J78" s="28">
        <f t="shared" si="5"/>
        <v>0.24</v>
      </c>
    </row>
    <row r="79" spans="1:10">
      <c r="A79" s="3">
        <v>65</v>
      </c>
      <c r="B79" t="s">
        <v>34</v>
      </c>
      <c r="C79" t="s">
        <v>458</v>
      </c>
      <c r="E79" s="3">
        <f t="shared" si="3"/>
        <v>3</v>
      </c>
      <c r="F79" s="5">
        <v>43908.625</v>
      </c>
      <c r="G79" s="19" t="str">
        <f t="shared" si="4"/>
        <v/>
      </c>
      <c r="J79" s="28">
        <f t="shared" si="5"/>
        <v>0.47727272727272729</v>
      </c>
    </row>
    <row r="80" spans="1:10">
      <c r="A80" s="3">
        <v>75</v>
      </c>
      <c r="B80" t="s">
        <v>35</v>
      </c>
      <c r="C80" t="s">
        <v>458</v>
      </c>
      <c r="E80" s="3">
        <f t="shared" si="3"/>
        <v>4</v>
      </c>
      <c r="F80" s="5">
        <v>43909.625</v>
      </c>
      <c r="G80" s="19" t="str">
        <f t="shared" si="4"/>
        <v/>
      </c>
      <c r="J80" s="28">
        <f t="shared" si="5"/>
        <v>1.1428571428571428</v>
      </c>
    </row>
    <row r="81" spans="1:10">
      <c r="A81" s="3">
        <v>53</v>
      </c>
      <c r="B81" t="s">
        <v>36</v>
      </c>
      <c r="C81" t="s">
        <v>458</v>
      </c>
      <c r="E81" s="3">
        <f t="shared" si="3"/>
        <v>5</v>
      </c>
      <c r="F81" s="5">
        <v>43910.625</v>
      </c>
      <c r="G81" s="19" t="str">
        <f t="shared" si="4"/>
        <v/>
      </c>
      <c r="J81" s="28">
        <f t="shared" si="5"/>
        <v>1.7894736842105261</v>
      </c>
    </row>
    <row r="82" spans="1:10">
      <c r="A82" s="3">
        <v>67</v>
      </c>
      <c r="B82" t="s">
        <v>37</v>
      </c>
      <c r="C82" t="s">
        <v>458</v>
      </c>
      <c r="E82" s="3">
        <f t="shared" si="3"/>
        <v>6</v>
      </c>
      <c r="F82" s="5">
        <v>43911.625</v>
      </c>
      <c r="G82" s="19" t="str">
        <f t="shared" si="4"/>
        <v/>
      </c>
      <c r="J82" s="28">
        <f t="shared" si="5"/>
        <v>3.4666666666666668</v>
      </c>
    </row>
    <row r="83" spans="1:10">
      <c r="A83" s="3">
        <v>60</v>
      </c>
      <c r="B83" t="s">
        <v>38</v>
      </c>
      <c r="C83" t="s">
        <v>458</v>
      </c>
      <c r="E83" s="3">
        <f t="shared" si="3"/>
        <v>7</v>
      </c>
      <c r="F83" s="5">
        <v>43912.625</v>
      </c>
      <c r="G83" s="19" t="str">
        <f t="shared" si="4"/>
        <v/>
      </c>
      <c r="J83" s="28">
        <f t="shared" si="5"/>
        <v>0.25</v>
      </c>
    </row>
    <row r="84" spans="1:10">
      <c r="A84" s="3">
        <v>41</v>
      </c>
      <c r="B84" t="s">
        <v>39</v>
      </c>
      <c r="C84" t="s">
        <v>458</v>
      </c>
      <c r="E84" s="3">
        <f t="shared" si="3"/>
        <v>1</v>
      </c>
      <c r="F84" s="5">
        <v>43913.625</v>
      </c>
      <c r="G84" s="19" t="str">
        <f t="shared" si="4"/>
        <v>W13</v>
      </c>
      <c r="H84">
        <f>SUM(A84:A90)</f>
        <v>355</v>
      </c>
      <c r="I84" s="28">
        <f>H84/H77-1</f>
        <v>-9.4387755102040782E-2</v>
      </c>
      <c r="J84" s="28">
        <f t="shared" si="5"/>
        <v>0</v>
      </c>
    </row>
    <row r="85" spans="1:10">
      <c r="A85" s="3">
        <v>53</v>
      </c>
      <c r="B85" t="s">
        <v>40</v>
      </c>
      <c r="C85" t="s">
        <v>458</v>
      </c>
      <c r="E85" s="3">
        <f t="shared" si="3"/>
        <v>2</v>
      </c>
      <c r="F85" s="5">
        <v>43914.625</v>
      </c>
      <c r="G85" s="19" t="str">
        <f t="shared" si="4"/>
        <v/>
      </c>
      <c r="J85" s="28">
        <f t="shared" si="5"/>
        <v>0.70967741935483875</v>
      </c>
    </row>
    <row r="86" spans="1:10">
      <c r="A86" s="3">
        <v>53</v>
      </c>
      <c r="B86" t="s">
        <v>41</v>
      </c>
      <c r="C86" t="s">
        <v>458</v>
      </c>
      <c r="E86" s="3">
        <f t="shared" si="3"/>
        <v>3</v>
      </c>
      <c r="F86" s="5">
        <v>43915.625</v>
      </c>
      <c r="G86" s="19" t="str">
        <f t="shared" si="4"/>
        <v/>
      </c>
      <c r="J86" s="28">
        <f t="shared" si="5"/>
        <v>-0.18461538461538463</v>
      </c>
    </row>
    <row r="87" spans="1:10">
      <c r="A87" s="3">
        <v>59</v>
      </c>
      <c r="B87" t="s">
        <v>42</v>
      </c>
      <c r="C87" t="s">
        <v>458</v>
      </c>
      <c r="E87" s="3">
        <f t="shared" si="3"/>
        <v>4</v>
      </c>
      <c r="F87" s="5">
        <v>43916.625</v>
      </c>
      <c r="G87" s="19" t="str">
        <f t="shared" si="4"/>
        <v/>
      </c>
      <c r="J87" s="28">
        <f t="shared" si="5"/>
        <v>-0.21333333333333337</v>
      </c>
    </row>
    <row r="88" spans="1:10">
      <c r="A88" s="3">
        <v>49</v>
      </c>
      <c r="B88" t="s">
        <v>43</v>
      </c>
      <c r="C88" t="s">
        <v>458</v>
      </c>
      <c r="E88" s="3">
        <f t="shared" si="3"/>
        <v>5</v>
      </c>
      <c r="F88" s="5">
        <v>43917.625</v>
      </c>
      <c r="G88" s="19" t="str">
        <f t="shared" si="4"/>
        <v/>
      </c>
      <c r="J88" s="28">
        <f t="shared" si="5"/>
        <v>-7.547169811320753E-2</v>
      </c>
    </row>
    <row r="89" spans="1:10">
      <c r="A89" s="3">
        <v>53</v>
      </c>
      <c r="B89" t="s">
        <v>44</v>
      </c>
      <c r="C89" t="s">
        <v>458</v>
      </c>
      <c r="E89" s="3">
        <f t="shared" si="3"/>
        <v>6</v>
      </c>
      <c r="F89" s="5">
        <v>43918.625</v>
      </c>
      <c r="G89" s="19" t="str">
        <f t="shared" si="4"/>
        <v/>
      </c>
      <c r="J89" s="28">
        <f t="shared" si="5"/>
        <v>-0.20895522388059706</v>
      </c>
    </row>
    <row r="90" spans="1:10">
      <c r="A90" s="3">
        <v>47</v>
      </c>
      <c r="B90" t="s">
        <v>45</v>
      </c>
      <c r="C90" t="s">
        <v>458</v>
      </c>
      <c r="E90" s="3">
        <f t="shared" si="3"/>
        <v>7</v>
      </c>
      <c r="F90" s="5">
        <v>43919.625</v>
      </c>
      <c r="G90" s="19" t="str">
        <f t="shared" si="4"/>
        <v/>
      </c>
      <c r="J90" s="28">
        <f t="shared" si="5"/>
        <v>-0.21666666666666667</v>
      </c>
    </row>
    <row r="91" spans="1:10">
      <c r="A91" s="3">
        <v>61</v>
      </c>
      <c r="B91" t="s">
        <v>46</v>
      </c>
      <c r="C91" t="s">
        <v>458</v>
      </c>
      <c r="E91" s="3">
        <f t="shared" si="3"/>
        <v>1</v>
      </c>
      <c r="F91" s="5">
        <v>43920.625</v>
      </c>
      <c r="G91" s="19" t="str">
        <f t="shared" si="4"/>
        <v>W14</v>
      </c>
      <c r="H91">
        <f>SUM(A91:A97)</f>
        <v>612</v>
      </c>
      <c r="I91" s="28">
        <f>H91/H84-1</f>
        <v>0.72394366197183091</v>
      </c>
      <c r="J91" s="28">
        <f t="shared" si="5"/>
        <v>0.48780487804878048</v>
      </c>
    </row>
    <row r="92" spans="1:10">
      <c r="A92" s="3">
        <v>72</v>
      </c>
      <c r="B92" t="s">
        <v>47</v>
      </c>
      <c r="C92" t="s">
        <v>458</v>
      </c>
      <c r="E92" s="3">
        <f t="shared" si="3"/>
        <v>2</v>
      </c>
      <c r="F92" s="5">
        <v>43921.625</v>
      </c>
      <c r="G92" s="19" t="str">
        <f t="shared" si="4"/>
        <v/>
      </c>
      <c r="J92" s="28">
        <f t="shared" si="5"/>
        <v>0.35849056603773577</v>
      </c>
    </row>
    <row r="93" spans="1:10">
      <c r="A93" s="3">
        <v>99</v>
      </c>
      <c r="B93" t="s">
        <v>48</v>
      </c>
      <c r="C93" t="s">
        <v>458</v>
      </c>
      <c r="E93" s="3">
        <f t="shared" si="3"/>
        <v>3</v>
      </c>
      <c r="F93" s="5">
        <v>43922.625</v>
      </c>
      <c r="G93" s="19" t="str">
        <f t="shared" si="4"/>
        <v/>
      </c>
      <c r="J93" s="28">
        <f t="shared" si="5"/>
        <v>0.86792452830188682</v>
      </c>
    </row>
    <row r="94" spans="1:10">
      <c r="A94" s="3">
        <v>104</v>
      </c>
      <c r="B94" t="s">
        <v>49</v>
      </c>
      <c r="C94" t="s">
        <v>458</v>
      </c>
      <c r="E94" s="3">
        <f t="shared" si="3"/>
        <v>4</v>
      </c>
      <c r="F94" s="5">
        <v>43923.625</v>
      </c>
      <c r="G94" s="19" t="str">
        <f t="shared" si="4"/>
        <v/>
      </c>
      <c r="J94" s="28">
        <f t="shared" si="5"/>
        <v>0.76271186440677963</v>
      </c>
    </row>
    <row r="95" spans="1:10">
      <c r="A95" s="3">
        <v>132</v>
      </c>
      <c r="B95" t="s">
        <v>50</v>
      </c>
      <c r="C95" t="s">
        <v>458</v>
      </c>
      <c r="E95" s="3">
        <f t="shared" si="3"/>
        <v>5</v>
      </c>
      <c r="F95" s="5">
        <v>43924.625</v>
      </c>
      <c r="G95" s="19" t="str">
        <f t="shared" si="4"/>
        <v/>
      </c>
      <c r="J95" s="28">
        <f t="shared" si="5"/>
        <v>1.693877551020408</v>
      </c>
    </row>
    <row r="96" spans="1:10">
      <c r="A96" s="3">
        <v>57</v>
      </c>
      <c r="B96" t="s">
        <v>51</v>
      </c>
      <c r="C96" t="s">
        <v>458</v>
      </c>
      <c r="E96" s="3">
        <f t="shared" si="3"/>
        <v>6</v>
      </c>
      <c r="F96" s="5">
        <v>43925.625</v>
      </c>
      <c r="G96" s="19" t="str">
        <f t="shared" si="4"/>
        <v/>
      </c>
      <c r="J96" s="28">
        <f t="shared" si="5"/>
        <v>7.547169811320753E-2</v>
      </c>
    </row>
    <row r="97" spans="1:10">
      <c r="A97" s="3">
        <v>87</v>
      </c>
      <c r="B97" s="1" t="s">
        <v>52</v>
      </c>
      <c r="C97" t="s">
        <v>458</v>
      </c>
      <c r="D97" s="1"/>
      <c r="E97" s="3">
        <f t="shared" si="3"/>
        <v>7</v>
      </c>
      <c r="F97" s="6">
        <v>43926.625</v>
      </c>
      <c r="G97" s="19" t="str">
        <f t="shared" si="4"/>
        <v/>
      </c>
      <c r="J97" s="28">
        <f t="shared" si="5"/>
        <v>0.85106382978723394</v>
      </c>
    </row>
    <row r="98" spans="1:10">
      <c r="A98" s="3">
        <v>146</v>
      </c>
      <c r="B98" t="s">
        <v>53</v>
      </c>
      <c r="C98" t="s">
        <v>458</v>
      </c>
      <c r="E98" s="3">
        <f t="shared" si="3"/>
        <v>1</v>
      </c>
      <c r="F98" s="5">
        <v>43927.625</v>
      </c>
      <c r="G98" s="19" t="str">
        <f t="shared" si="4"/>
        <v>W15</v>
      </c>
      <c r="H98">
        <f>SUM(A98:A104)</f>
        <v>634</v>
      </c>
      <c r="I98" s="28">
        <f>H98/H91-1</f>
        <v>3.5947712418300748E-2</v>
      </c>
      <c r="J98" s="28">
        <f t="shared" si="5"/>
        <v>1.3934426229508197</v>
      </c>
    </row>
    <row r="99" spans="1:10">
      <c r="A99" s="3">
        <v>129</v>
      </c>
      <c r="B99" t="s">
        <v>54</v>
      </c>
      <c r="C99" t="s">
        <v>458</v>
      </c>
      <c r="E99" s="3">
        <f t="shared" si="3"/>
        <v>2</v>
      </c>
      <c r="F99" s="5">
        <v>43928.625</v>
      </c>
      <c r="G99" s="19" t="str">
        <f t="shared" si="4"/>
        <v/>
      </c>
      <c r="J99" s="28">
        <f t="shared" si="5"/>
        <v>0.79166666666666674</v>
      </c>
    </row>
    <row r="100" spans="1:10">
      <c r="A100" s="3">
        <v>96</v>
      </c>
      <c r="B100" t="s">
        <v>55</v>
      </c>
      <c r="C100" t="s">
        <v>458</v>
      </c>
      <c r="E100" s="3">
        <f t="shared" si="3"/>
        <v>3</v>
      </c>
      <c r="F100" s="5">
        <v>43929.625</v>
      </c>
      <c r="G100" s="19" t="str">
        <f t="shared" si="4"/>
        <v/>
      </c>
      <c r="J100" s="28">
        <f t="shared" si="5"/>
        <v>-3.0303030303030276E-2</v>
      </c>
    </row>
    <row r="101" spans="1:10">
      <c r="A101" s="3">
        <v>104</v>
      </c>
      <c r="B101" t="s">
        <v>56</v>
      </c>
      <c r="C101" t="s">
        <v>458</v>
      </c>
      <c r="E101" s="3">
        <f t="shared" si="3"/>
        <v>4</v>
      </c>
      <c r="F101" s="5">
        <v>43930.625</v>
      </c>
      <c r="G101" s="19" t="str">
        <f t="shared" si="4"/>
        <v/>
      </c>
      <c r="J101" s="28">
        <f t="shared" si="5"/>
        <v>0</v>
      </c>
    </row>
    <row r="102" spans="1:10">
      <c r="A102" s="3">
        <v>58</v>
      </c>
      <c r="B102" t="s">
        <v>57</v>
      </c>
      <c r="C102" t="s">
        <v>458</v>
      </c>
      <c r="E102" s="3">
        <f t="shared" si="3"/>
        <v>5</v>
      </c>
      <c r="F102" s="5">
        <v>43931.625</v>
      </c>
      <c r="G102" s="19" t="str">
        <f t="shared" si="4"/>
        <v/>
      </c>
      <c r="J102" s="28">
        <f t="shared" si="5"/>
        <v>-0.56060606060606055</v>
      </c>
    </row>
    <row r="103" spans="1:10">
      <c r="A103" s="3">
        <v>43</v>
      </c>
      <c r="B103" t="s">
        <v>58</v>
      </c>
      <c r="C103" t="s">
        <v>458</v>
      </c>
      <c r="E103" s="3">
        <f t="shared" si="3"/>
        <v>6</v>
      </c>
      <c r="F103" s="5">
        <v>43932.625</v>
      </c>
      <c r="G103" s="19" t="str">
        <f t="shared" si="4"/>
        <v/>
      </c>
      <c r="J103" s="28">
        <f t="shared" si="5"/>
        <v>-0.24561403508771928</v>
      </c>
    </row>
    <row r="104" spans="1:10">
      <c r="A104" s="3">
        <v>58</v>
      </c>
      <c r="B104" t="s">
        <v>59</v>
      </c>
      <c r="C104" t="s">
        <v>458</v>
      </c>
      <c r="E104" s="3">
        <f t="shared" si="3"/>
        <v>7</v>
      </c>
      <c r="F104" s="5">
        <v>43933.625</v>
      </c>
      <c r="G104" s="19" t="str">
        <f t="shared" si="4"/>
        <v/>
      </c>
      <c r="J104" s="28">
        <f t="shared" si="5"/>
        <v>-0.33333333333333337</v>
      </c>
    </row>
    <row r="105" spans="1:10">
      <c r="A105" s="3">
        <v>93</v>
      </c>
      <c r="B105" t="s">
        <v>60</v>
      </c>
      <c r="C105" t="s">
        <v>458</v>
      </c>
      <c r="E105" s="3">
        <f t="shared" si="3"/>
        <v>1</v>
      </c>
      <c r="F105" s="5">
        <v>43934.625</v>
      </c>
      <c r="G105" s="19" t="str">
        <f t="shared" si="4"/>
        <v>W16</v>
      </c>
      <c r="H105">
        <f>SUM(A105:A111)</f>
        <v>613</v>
      </c>
      <c r="I105" s="28">
        <f>H105/H98-1</f>
        <v>-3.3123028391167209E-2</v>
      </c>
      <c r="J105" s="28">
        <f t="shared" si="5"/>
        <v>-0.36301369863013699</v>
      </c>
    </row>
    <row r="106" spans="1:10">
      <c r="A106" s="3">
        <v>126</v>
      </c>
      <c r="B106" t="s">
        <v>61</v>
      </c>
      <c r="C106" t="s">
        <v>458</v>
      </c>
      <c r="E106" s="3">
        <f t="shared" si="3"/>
        <v>2</v>
      </c>
      <c r="F106" s="5">
        <v>43935.625</v>
      </c>
      <c r="G106" s="19" t="str">
        <f t="shared" si="4"/>
        <v/>
      </c>
      <c r="J106" s="28">
        <f t="shared" si="5"/>
        <v>-2.3255813953488413E-2</v>
      </c>
    </row>
    <row r="107" spans="1:10">
      <c r="A107" s="3">
        <v>103</v>
      </c>
      <c r="B107" t="s">
        <v>62</v>
      </c>
      <c r="C107" t="s">
        <v>458</v>
      </c>
      <c r="E107" s="3">
        <f t="shared" si="3"/>
        <v>3</v>
      </c>
      <c r="F107" s="5">
        <v>43936.625</v>
      </c>
      <c r="G107" s="19" t="str">
        <f t="shared" si="4"/>
        <v/>
      </c>
      <c r="J107" s="28">
        <f t="shared" si="5"/>
        <v>7.2916666666666741E-2</v>
      </c>
    </row>
    <row r="108" spans="1:10">
      <c r="A108" s="3">
        <v>90</v>
      </c>
      <c r="B108" t="s">
        <v>63</v>
      </c>
      <c r="C108" t="s">
        <v>458</v>
      </c>
      <c r="E108" s="3">
        <f t="shared" si="3"/>
        <v>4</v>
      </c>
      <c r="F108" s="5">
        <v>43937.625</v>
      </c>
      <c r="G108" s="19" t="str">
        <f t="shared" si="4"/>
        <v/>
      </c>
      <c r="J108" s="28">
        <f t="shared" si="5"/>
        <v>-0.13461538461538458</v>
      </c>
    </row>
    <row r="109" spans="1:10">
      <c r="A109" s="3">
        <v>97</v>
      </c>
      <c r="B109" t="s">
        <v>64</v>
      </c>
      <c r="C109" t="s">
        <v>458</v>
      </c>
      <c r="E109" s="3">
        <f t="shared" si="3"/>
        <v>5</v>
      </c>
      <c r="F109" s="5">
        <v>43938.625</v>
      </c>
      <c r="G109" s="19" t="str">
        <f t="shared" si="4"/>
        <v/>
      </c>
      <c r="J109" s="28">
        <f t="shared" si="5"/>
        <v>0.67241379310344818</v>
      </c>
    </row>
    <row r="110" spans="1:10">
      <c r="A110" s="3">
        <v>51</v>
      </c>
      <c r="B110" t="s">
        <v>65</v>
      </c>
      <c r="C110" t="s">
        <v>458</v>
      </c>
      <c r="E110" s="3">
        <f t="shared" si="3"/>
        <v>6</v>
      </c>
      <c r="F110" s="5">
        <v>43939.625</v>
      </c>
      <c r="G110" s="19" t="str">
        <f t="shared" si="4"/>
        <v/>
      </c>
      <c r="J110" s="28">
        <f t="shared" si="5"/>
        <v>0.18604651162790709</v>
      </c>
    </row>
    <row r="111" spans="1:10">
      <c r="A111" s="3">
        <v>53</v>
      </c>
      <c r="B111" t="s">
        <v>66</v>
      </c>
      <c r="C111" t="s">
        <v>458</v>
      </c>
      <c r="E111" s="3">
        <f t="shared" si="3"/>
        <v>7</v>
      </c>
      <c r="F111" s="5">
        <v>43940.625</v>
      </c>
      <c r="G111" s="19" t="str">
        <f t="shared" si="4"/>
        <v/>
      </c>
      <c r="J111" s="28">
        <f t="shared" si="5"/>
        <v>-8.6206896551724088E-2</v>
      </c>
    </row>
    <row r="112" spans="1:10">
      <c r="A112" s="3">
        <v>115</v>
      </c>
      <c r="B112" t="s">
        <v>67</v>
      </c>
      <c r="C112" t="s">
        <v>458</v>
      </c>
      <c r="E112" s="3">
        <f t="shared" si="3"/>
        <v>1</v>
      </c>
      <c r="F112" s="5">
        <v>43941.625</v>
      </c>
      <c r="G112" s="19" t="str">
        <f t="shared" si="4"/>
        <v>W17</v>
      </c>
      <c r="H112">
        <f>SUM(A112:A118)</f>
        <v>611</v>
      </c>
      <c r="I112" s="28">
        <f>H112/H105-1</f>
        <v>-3.2626427406199365E-3</v>
      </c>
      <c r="J112" s="28">
        <f t="shared" si="5"/>
        <v>0.23655913978494625</v>
      </c>
    </row>
    <row r="113" spans="1:10">
      <c r="A113" s="3">
        <v>93</v>
      </c>
      <c r="B113" t="s">
        <v>68</v>
      </c>
      <c r="C113" t="s">
        <v>458</v>
      </c>
      <c r="E113" s="3">
        <f t="shared" si="3"/>
        <v>2</v>
      </c>
      <c r="F113" s="5">
        <v>43942.625</v>
      </c>
      <c r="G113" s="19" t="str">
        <f t="shared" si="4"/>
        <v/>
      </c>
      <c r="J113" s="28">
        <f t="shared" si="5"/>
        <v>-0.26190476190476186</v>
      </c>
    </row>
    <row r="114" spans="1:10">
      <c r="A114" s="3">
        <v>104</v>
      </c>
      <c r="B114" t="s">
        <v>69</v>
      </c>
      <c r="C114" t="s">
        <v>458</v>
      </c>
      <c r="E114" s="3">
        <f t="shared" si="3"/>
        <v>3</v>
      </c>
      <c r="F114" s="5">
        <v>43943.625</v>
      </c>
      <c r="G114" s="19" t="str">
        <f t="shared" si="4"/>
        <v/>
      </c>
      <c r="J114" s="28">
        <f t="shared" si="5"/>
        <v>9.7087378640776656E-3</v>
      </c>
    </row>
    <row r="115" spans="1:10">
      <c r="A115" s="3">
        <v>100</v>
      </c>
      <c r="B115" t="s">
        <v>70</v>
      </c>
      <c r="C115" t="s">
        <v>458</v>
      </c>
      <c r="E115" s="3">
        <f t="shared" si="3"/>
        <v>4</v>
      </c>
      <c r="F115" s="5">
        <v>43944.625</v>
      </c>
      <c r="G115" s="19" t="str">
        <f t="shared" si="4"/>
        <v/>
      </c>
      <c r="J115" s="28">
        <f t="shared" si="5"/>
        <v>0.11111111111111116</v>
      </c>
    </row>
    <row r="116" spans="1:10">
      <c r="A116" s="3">
        <v>71</v>
      </c>
      <c r="B116" t="s">
        <v>71</v>
      </c>
      <c r="C116" t="s">
        <v>458</v>
      </c>
      <c r="E116" s="3">
        <f t="shared" si="3"/>
        <v>5</v>
      </c>
      <c r="F116" s="5">
        <v>43945.625</v>
      </c>
      <c r="G116" s="19" t="str">
        <f t="shared" si="4"/>
        <v/>
      </c>
      <c r="J116" s="28">
        <f t="shared" si="5"/>
        <v>-0.26804123711340211</v>
      </c>
    </row>
    <row r="117" spans="1:10">
      <c r="A117" s="3">
        <v>71</v>
      </c>
      <c r="B117" t="s">
        <v>72</v>
      </c>
      <c r="C117" t="s">
        <v>458</v>
      </c>
      <c r="E117" s="3">
        <f t="shared" si="3"/>
        <v>6</v>
      </c>
      <c r="F117" s="5">
        <v>43946.625</v>
      </c>
      <c r="G117" s="19" t="str">
        <f t="shared" si="4"/>
        <v/>
      </c>
      <c r="J117" s="28">
        <f t="shared" si="5"/>
        <v>0.39215686274509798</v>
      </c>
    </row>
    <row r="118" spans="1:10">
      <c r="A118" s="3">
        <v>57</v>
      </c>
      <c r="B118" t="s">
        <v>73</v>
      </c>
      <c r="C118" t="s">
        <v>458</v>
      </c>
      <c r="E118" s="3">
        <f t="shared" si="3"/>
        <v>7</v>
      </c>
      <c r="F118" s="5">
        <v>43947.625</v>
      </c>
      <c r="G118" s="19" t="str">
        <f t="shared" si="4"/>
        <v/>
      </c>
      <c r="J118" s="28">
        <f t="shared" si="5"/>
        <v>7.547169811320753E-2</v>
      </c>
    </row>
    <row r="119" spans="1:10">
      <c r="A119" s="3">
        <v>98</v>
      </c>
      <c r="B119" t="s">
        <v>74</v>
      </c>
      <c r="C119" t="s">
        <v>458</v>
      </c>
      <c r="E119" s="3">
        <f t="shared" si="3"/>
        <v>1</v>
      </c>
      <c r="F119" s="5">
        <v>43948.625</v>
      </c>
      <c r="G119" s="19" t="str">
        <f t="shared" si="4"/>
        <v>W18</v>
      </c>
      <c r="H119">
        <f>SUM(A119:A125)</f>
        <v>529</v>
      </c>
      <c r="I119" s="28">
        <f>H119/H112-1</f>
        <v>-0.13420621931260224</v>
      </c>
      <c r="J119" s="28">
        <f t="shared" si="5"/>
        <v>-0.14782608695652177</v>
      </c>
    </row>
    <row r="120" spans="1:10">
      <c r="A120" s="3">
        <v>121</v>
      </c>
      <c r="B120" t="s">
        <v>75</v>
      </c>
      <c r="C120" t="s">
        <v>458</v>
      </c>
      <c r="E120" s="3">
        <f t="shared" si="3"/>
        <v>2</v>
      </c>
      <c r="F120" s="5">
        <v>43949.625</v>
      </c>
      <c r="G120" s="19" t="str">
        <f t="shared" si="4"/>
        <v/>
      </c>
      <c r="J120" s="28">
        <f t="shared" si="5"/>
        <v>0.30107526881720426</v>
      </c>
    </row>
    <row r="121" spans="1:10">
      <c r="A121" s="3">
        <v>97</v>
      </c>
      <c r="B121" t="s">
        <v>76</v>
      </c>
      <c r="C121" t="s">
        <v>458</v>
      </c>
      <c r="E121" s="3">
        <f t="shared" si="3"/>
        <v>3</v>
      </c>
      <c r="F121" s="5">
        <v>43950.625</v>
      </c>
      <c r="G121" s="19" t="str">
        <f t="shared" si="4"/>
        <v/>
      </c>
      <c r="J121" s="28">
        <f t="shared" si="5"/>
        <v>-6.7307692307692291E-2</v>
      </c>
    </row>
    <row r="122" spans="1:10">
      <c r="A122" s="3">
        <v>68</v>
      </c>
      <c r="B122" t="s">
        <v>77</v>
      </c>
      <c r="C122" t="s">
        <v>458</v>
      </c>
      <c r="E122" s="3">
        <f t="shared" si="3"/>
        <v>4</v>
      </c>
      <c r="F122" s="5">
        <v>43951.625</v>
      </c>
      <c r="G122" s="19" t="str">
        <f t="shared" si="4"/>
        <v/>
      </c>
      <c r="J122" s="28">
        <f t="shared" si="5"/>
        <v>-0.31999999999999995</v>
      </c>
    </row>
    <row r="123" spans="1:10">
      <c r="A123" s="3">
        <v>39</v>
      </c>
      <c r="B123" t="s">
        <v>78</v>
      </c>
      <c r="C123" t="s">
        <v>458</v>
      </c>
      <c r="E123" s="3">
        <f t="shared" si="3"/>
        <v>5</v>
      </c>
      <c r="F123" s="5">
        <v>43952.625</v>
      </c>
      <c r="G123" s="19" t="str">
        <f t="shared" si="4"/>
        <v/>
      </c>
      <c r="J123" s="28">
        <f t="shared" si="5"/>
        <v>-0.45070422535211263</v>
      </c>
    </row>
    <row r="124" spans="1:10">
      <c r="A124" s="3">
        <v>50</v>
      </c>
      <c r="B124" t="s">
        <v>79</v>
      </c>
      <c r="C124" t="s">
        <v>458</v>
      </c>
      <c r="E124" s="3">
        <f t="shared" si="3"/>
        <v>6</v>
      </c>
      <c r="F124" s="5">
        <v>43953.625</v>
      </c>
      <c r="G124" s="19" t="str">
        <f t="shared" si="4"/>
        <v/>
      </c>
      <c r="J124" s="28">
        <f t="shared" si="5"/>
        <v>-0.29577464788732399</v>
      </c>
    </row>
    <row r="125" spans="1:10">
      <c r="A125" s="3">
        <v>56</v>
      </c>
      <c r="B125" t="s">
        <v>80</v>
      </c>
      <c r="C125" t="s">
        <v>458</v>
      </c>
      <c r="E125" s="3">
        <f t="shared" si="3"/>
        <v>7</v>
      </c>
      <c r="F125" s="5">
        <v>43954.625</v>
      </c>
      <c r="G125" s="19" t="str">
        <f t="shared" si="4"/>
        <v/>
      </c>
      <c r="J125" s="28">
        <f t="shared" si="5"/>
        <v>-1.7543859649122862E-2</v>
      </c>
    </row>
    <row r="126" spans="1:10">
      <c r="A126" s="3">
        <v>106</v>
      </c>
      <c r="B126" t="s">
        <v>81</v>
      </c>
      <c r="C126" t="s">
        <v>458</v>
      </c>
      <c r="E126" s="3">
        <f t="shared" si="3"/>
        <v>1</v>
      </c>
      <c r="F126" s="5">
        <v>43955.625</v>
      </c>
      <c r="G126" s="19" t="str">
        <f t="shared" si="4"/>
        <v>W19</v>
      </c>
      <c r="H126">
        <f>SUM(A126:A132)</f>
        <v>501</v>
      </c>
      <c r="I126" s="28">
        <f>H126/H119-1</f>
        <v>-5.2930056710774998E-2</v>
      </c>
      <c r="J126" s="28">
        <f t="shared" si="5"/>
        <v>8.163265306122458E-2</v>
      </c>
    </row>
    <row r="127" spans="1:10">
      <c r="A127" s="3">
        <v>103</v>
      </c>
      <c r="B127" t="s">
        <v>82</v>
      </c>
      <c r="C127" t="s">
        <v>458</v>
      </c>
      <c r="E127" s="3">
        <f t="shared" si="3"/>
        <v>2</v>
      </c>
      <c r="F127" s="5">
        <v>43956.625</v>
      </c>
      <c r="G127" s="19" t="str">
        <f t="shared" si="4"/>
        <v/>
      </c>
      <c r="J127" s="28">
        <f t="shared" si="5"/>
        <v>-0.14876033057851235</v>
      </c>
    </row>
    <row r="128" spans="1:10">
      <c r="A128" s="3">
        <v>77</v>
      </c>
      <c r="B128" t="s">
        <v>83</v>
      </c>
      <c r="C128" t="s">
        <v>458</v>
      </c>
      <c r="E128" s="3">
        <f t="shared" si="3"/>
        <v>3</v>
      </c>
      <c r="F128" s="5">
        <v>43957.625</v>
      </c>
      <c r="G128" s="19" t="str">
        <f t="shared" si="4"/>
        <v/>
      </c>
      <c r="J128" s="28">
        <f t="shared" si="5"/>
        <v>-0.20618556701030932</v>
      </c>
    </row>
    <row r="129" spans="1:10">
      <c r="A129" s="3">
        <v>85</v>
      </c>
      <c r="B129" t="s">
        <v>84</v>
      </c>
      <c r="C129" t="s">
        <v>458</v>
      </c>
      <c r="E129" s="3">
        <f t="shared" si="3"/>
        <v>4</v>
      </c>
      <c r="F129" s="5">
        <v>43958.625</v>
      </c>
      <c r="G129" s="19" t="str">
        <f t="shared" si="4"/>
        <v/>
      </c>
      <c r="J129" s="28">
        <f t="shared" si="5"/>
        <v>0.25</v>
      </c>
    </row>
    <row r="130" spans="1:10">
      <c r="A130" s="3">
        <v>68</v>
      </c>
      <c r="B130" t="s">
        <v>85</v>
      </c>
      <c r="C130" t="s">
        <v>458</v>
      </c>
      <c r="E130" s="3">
        <f t="shared" si="3"/>
        <v>5</v>
      </c>
      <c r="F130" s="5">
        <v>43959.625</v>
      </c>
      <c r="G130" s="19" t="str">
        <f t="shared" si="4"/>
        <v/>
      </c>
      <c r="J130" s="28">
        <f t="shared" si="5"/>
        <v>0.74358974358974361</v>
      </c>
    </row>
    <row r="131" spans="1:10">
      <c r="A131" s="3">
        <v>43</v>
      </c>
      <c r="B131" t="s">
        <v>86</v>
      </c>
      <c r="C131" t="s">
        <v>458</v>
      </c>
      <c r="E131" s="3">
        <f t="shared" ref="E131:E194" si="6">WEEKDAY(F131,2)</f>
        <v>6</v>
      </c>
      <c r="F131" s="5">
        <v>43960.625</v>
      </c>
      <c r="G131" s="19" t="str">
        <f t="shared" ref="G131:G194" si="7">IF(WEEKDAY(F131,2)=1,"W"&amp;WEEKNUM(F131,14),"")</f>
        <v/>
      </c>
      <c r="J131" s="28">
        <f t="shared" si="5"/>
        <v>-0.14000000000000001</v>
      </c>
    </row>
    <row r="132" spans="1:10">
      <c r="A132" s="3">
        <v>19</v>
      </c>
      <c r="B132" t="s">
        <v>87</v>
      </c>
      <c r="C132" t="s">
        <v>458</v>
      </c>
      <c r="E132" s="3">
        <f t="shared" si="6"/>
        <v>7</v>
      </c>
      <c r="F132" s="5">
        <v>43961.625</v>
      </c>
      <c r="G132" s="19" t="str">
        <f t="shared" si="7"/>
        <v/>
      </c>
      <c r="J132" s="28">
        <f t="shared" si="5"/>
        <v>-0.6607142857142857</v>
      </c>
    </row>
    <row r="133" spans="1:10">
      <c r="A133" s="3">
        <v>72</v>
      </c>
      <c r="B133" t="s">
        <v>88</v>
      </c>
      <c r="C133" t="s">
        <v>458</v>
      </c>
      <c r="E133" s="3">
        <f t="shared" si="6"/>
        <v>1</v>
      </c>
      <c r="F133" s="5">
        <v>43962.625</v>
      </c>
      <c r="G133" s="19" t="str">
        <f t="shared" si="7"/>
        <v>W20</v>
      </c>
      <c r="H133">
        <f>SUM(A133:A139)</f>
        <v>338</v>
      </c>
      <c r="I133" s="28">
        <f>H133/H126-1</f>
        <v>-0.32534930139720564</v>
      </c>
      <c r="J133" s="28">
        <f t="shared" si="5"/>
        <v>-0.32075471698113212</v>
      </c>
    </row>
    <row r="134" spans="1:10">
      <c r="A134" s="3">
        <v>60</v>
      </c>
      <c r="B134" t="s">
        <v>89</v>
      </c>
      <c r="C134" t="s">
        <v>458</v>
      </c>
      <c r="E134" s="3">
        <f t="shared" si="6"/>
        <v>2</v>
      </c>
      <c r="F134" s="5">
        <v>43963.625</v>
      </c>
      <c r="G134" s="19" t="str">
        <f t="shared" si="7"/>
        <v/>
      </c>
      <c r="J134" s="28">
        <f t="shared" si="5"/>
        <v>-0.41747572815533984</v>
      </c>
    </row>
    <row r="135" spans="1:10">
      <c r="A135" s="3">
        <v>64</v>
      </c>
      <c r="B135" t="s">
        <v>90</v>
      </c>
      <c r="C135" t="s">
        <v>458</v>
      </c>
      <c r="E135" s="3">
        <f t="shared" si="6"/>
        <v>3</v>
      </c>
      <c r="F135" s="5">
        <v>43964.625</v>
      </c>
      <c r="G135" s="19" t="str">
        <f t="shared" si="7"/>
        <v/>
      </c>
      <c r="J135" s="28">
        <f t="shared" si="5"/>
        <v>-0.16883116883116878</v>
      </c>
    </row>
    <row r="136" spans="1:10">
      <c r="A136" s="3">
        <v>44</v>
      </c>
      <c r="B136" t="s">
        <v>91</v>
      </c>
      <c r="C136" t="s">
        <v>458</v>
      </c>
      <c r="E136" s="3">
        <f t="shared" si="6"/>
        <v>4</v>
      </c>
      <c r="F136" s="5">
        <v>43965.625</v>
      </c>
      <c r="G136" s="19" t="str">
        <f t="shared" si="7"/>
        <v/>
      </c>
      <c r="J136" s="28">
        <f t="shared" si="5"/>
        <v>-0.48235294117647054</v>
      </c>
    </row>
    <row r="137" spans="1:10">
      <c r="A137" s="3">
        <v>47</v>
      </c>
      <c r="B137" t="s">
        <v>92</v>
      </c>
      <c r="C137" t="s">
        <v>458</v>
      </c>
      <c r="E137" s="3">
        <f t="shared" si="6"/>
        <v>5</v>
      </c>
      <c r="F137" s="5">
        <v>43966.625</v>
      </c>
      <c r="G137" s="19" t="str">
        <f t="shared" si="7"/>
        <v/>
      </c>
      <c r="J137" s="28">
        <f t="shared" ref="J137:J200" si="8">A137/A130-1</f>
        <v>-0.30882352941176472</v>
      </c>
    </row>
    <row r="138" spans="1:10">
      <c r="A138" s="3">
        <v>25</v>
      </c>
      <c r="B138" t="s">
        <v>93</v>
      </c>
      <c r="C138" t="s">
        <v>458</v>
      </c>
      <c r="E138" s="3">
        <f t="shared" si="6"/>
        <v>6</v>
      </c>
      <c r="F138" s="5">
        <v>43967.625</v>
      </c>
      <c r="G138" s="19" t="str">
        <f t="shared" si="7"/>
        <v/>
      </c>
      <c r="J138" s="28">
        <f t="shared" si="8"/>
        <v>-0.41860465116279066</v>
      </c>
    </row>
    <row r="139" spans="1:10">
      <c r="A139" s="3">
        <v>26</v>
      </c>
      <c r="B139" t="s">
        <v>94</v>
      </c>
      <c r="C139" t="s">
        <v>458</v>
      </c>
      <c r="E139" s="3">
        <f t="shared" si="6"/>
        <v>7</v>
      </c>
      <c r="F139" s="5">
        <v>43968.625</v>
      </c>
      <c r="G139" s="19" t="str">
        <f t="shared" si="7"/>
        <v/>
      </c>
      <c r="J139" s="28">
        <f t="shared" si="8"/>
        <v>0.36842105263157898</v>
      </c>
    </row>
    <row r="140" spans="1:10">
      <c r="A140" s="3">
        <v>38</v>
      </c>
      <c r="B140" t="s">
        <v>95</v>
      </c>
      <c r="C140" t="s">
        <v>458</v>
      </c>
      <c r="E140" s="3">
        <f t="shared" si="6"/>
        <v>1</v>
      </c>
      <c r="F140" s="5">
        <v>43969.625</v>
      </c>
      <c r="G140" s="19" t="str">
        <f t="shared" si="7"/>
        <v>W21</v>
      </c>
      <c r="H140">
        <f>SUM(A140:A146)</f>
        <v>183</v>
      </c>
      <c r="I140" s="28">
        <f>H140/H133-1</f>
        <v>-0.45857988165680474</v>
      </c>
      <c r="J140" s="28">
        <f t="shared" si="8"/>
        <v>-0.47222222222222221</v>
      </c>
    </row>
    <row r="141" spans="1:10">
      <c r="A141" s="3">
        <v>36</v>
      </c>
      <c r="B141" t="s">
        <v>96</v>
      </c>
      <c r="C141" t="s">
        <v>458</v>
      </c>
      <c r="E141" s="3">
        <f t="shared" si="6"/>
        <v>2</v>
      </c>
      <c r="F141" s="5">
        <v>43970.625</v>
      </c>
      <c r="G141" s="19" t="str">
        <f t="shared" si="7"/>
        <v/>
      </c>
      <c r="J141" s="28">
        <f t="shared" si="8"/>
        <v>-0.4</v>
      </c>
    </row>
    <row r="142" spans="1:10">
      <c r="A142" s="3">
        <v>37</v>
      </c>
      <c r="B142" t="s">
        <v>97</v>
      </c>
      <c r="C142" t="s">
        <v>458</v>
      </c>
      <c r="E142" s="3">
        <f t="shared" si="6"/>
        <v>3</v>
      </c>
      <c r="F142" s="5">
        <v>43971.625</v>
      </c>
      <c r="G142" s="19" t="str">
        <f t="shared" si="7"/>
        <v/>
      </c>
      <c r="J142" s="28">
        <f t="shared" si="8"/>
        <v>-0.421875</v>
      </c>
    </row>
    <row r="143" spans="1:10">
      <c r="A143" s="3">
        <v>16</v>
      </c>
      <c r="B143" t="s">
        <v>98</v>
      </c>
      <c r="C143" t="s">
        <v>458</v>
      </c>
      <c r="E143" s="3">
        <f t="shared" si="6"/>
        <v>4</v>
      </c>
      <c r="F143" s="5">
        <v>43972.625</v>
      </c>
      <c r="G143" s="19" t="str">
        <f t="shared" si="7"/>
        <v/>
      </c>
      <c r="J143" s="28">
        <f t="shared" si="8"/>
        <v>-0.63636363636363635</v>
      </c>
    </row>
    <row r="144" spans="1:10">
      <c r="A144" s="3">
        <v>28</v>
      </c>
      <c r="B144" t="s">
        <v>99</v>
      </c>
      <c r="C144" t="s">
        <v>458</v>
      </c>
      <c r="E144" s="3">
        <f t="shared" si="6"/>
        <v>5</v>
      </c>
      <c r="F144" s="5">
        <v>43973.625</v>
      </c>
      <c r="G144" s="19" t="str">
        <f t="shared" si="7"/>
        <v/>
      </c>
      <c r="J144" s="28">
        <f t="shared" si="8"/>
        <v>-0.4042553191489362</v>
      </c>
    </row>
    <row r="145" spans="1:10">
      <c r="A145" s="3">
        <v>12</v>
      </c>
      <c r="B145" t="s">
        <v>100</v>
      </c>
      <c r="C145" t="s">
        <v>458</v>
      </c>
      <c r="E145" s="3">
        <f t="shared" si="6"/>
        <v>6</v>
      </c>
      <c r="F145" s="5">
        <v>43974.625</v>
      </c>
      <c r="G145" s="19" t="str">
        <f t="shared" si="7"/>
        <v/>
      </c>
      <c r="J145" s="28">
        <f t="shared" si="8"/>
        <v>-0.52</v>
      </c>
    </row>
    <row r="146" spans="1:10">
      <c r="A146" s="3">
        <v>16</v>
      </c>
      <c r="B146" t="s">
        <v>101</v>
      </c>
      <c r="C146" t="s">
        <v>458</v>
      </c>
      <c r="E146" s="3">
        <f t="shared" si="6"/>
        <v>7</v>
      </c>
      <c r="F146" s="5">
        <v>43975.625</v>
      </c>
      <c r="G146" s="19" t="str">
        <f t="shared" si="7"/>
        <v/>
      </c>
      <c r="J146" s="28">
        <f t="shared" si="8"/>
        <v>-0.38461538461538458</v>
      </c>
    </row>
    <row r="147" spans="1:10">
      <c r="A147" s="3">
        <v>34</v>
      </c>
      <c r="B147" t="s">
        <v>102</v>
      </c>
      <c r="C147" t="s">
        <v>458</v>
      </c>
      <c r="E147" s="3">
        <f t="shared" si="6"/>
        <v>1</v>
      </c>
      <c r="F147" s="5">
        <v>43976.625</v>
      </c>
      <c r="G147" s="19" t="str">
        <f t="shared" si="7"/>
        <v>W22</v>
      </c>
      <c r="H147">
        <f>SUM(A147:A153)</f>
        <v>131</v>
      </c>
      <c r="I147" s="28">
        <f>H147/H140-1</f>
        <v>-0.28415300546448086</v>
      </c>
      <c r="J147" s="28">
        <f t="shared" si="8"/>
        <v>-0.10526315789473684</v>
      </c>
    </row>
    <row r="148" spans="1:10">
      <c r="A148" s="3">
        <v>29</v>
      </c>
      <c r="B148" t="s">
        <v>103</v>
      </c>
      <c r="C148" t="s">
        <v>458</v>
      </c>
      <c r="E148" s="3">
        <f t="shared" si="6"/>
        <v>2</v>
      </c>
      <c r="F148" s="5">
        <v>43977.625</v>
      </c>
      <c r="G148" s="19" t="str">
        <f t="shared" si="7"/>
        <v/>
      </c>
      <c r="J148" s="28">
        <f t="shared" si="8"/>
        <v>-0.19444444444444442</v>
      </c>
    </row>
    <row r="149" spans="1:10">
      <c r="A149" s="3">
        <v>9</v>
      </c>
      <c r="B149" t="s">
        <v>104</v>
      </c>
      <c r="C149" t="s">
        <v>458</v>
      </c>
      <c r="E149" s="3">
        <f t="shared" si="6"/>
        <v>3</v>
      </c>
      <c r="F149" s="5">
        <v>43978.625</v>
      </c>
      <c r="G149" s="19" t="str">
        <f t="shared" si="7"/>
        <v/>
      </c>
      <c r="J149" s="28">
        <f t="shared" si="8"/>
        <v>-0.7567567567567568</v>
      </c>
    </row>
    <row r="150" spans="1:10">
      <c r="A150" s="3">
        <v>23</v>
      </c>
      <c r="B150" t="s">
        <v>105</v>
      </c>
      <c r="C150" t="s">
        <v>458</v>
      </c>
      <c r="E150" s="3">
        <f t="shared" si="6"/>
        <v>4</v>
      </c>
      <c r="F150" s="5">
        <v>43979.625</v>
      </c>
      <c r="G150" s="19" t="str">
        <f t="shared" si="7"/>
        <v/>
      </c>
      <c r="J150" s="28">
        <f t="shared" si="8"/>
        <v>0.4375</v>
      </c>
    </row>
    <row r="151" spans="1:10">
      <c r="A151" s="3">
        <v>18</v>
      </c>
      <c r="B151" t="s">
        <v>106</v>
      </c>
      <c r="C151" t="s">
        <v>458</v>
      </c>
      <c r="E151" s="3">
        <f t="shared" si="6"/>
        <v>5</v>
      </c>
      <c r="F151" s="5">
        <v>43980.625</v>
      </c>
      <c r="G151" s="19" t="str">
        <f t="shared" si="7"/>
        <v/>
      </c>
      <c r="J151" s="28">
        <f t="shared" si="8"/>
        <v>-0.3571428571428571</v>
      </c>
    </row>
    <row r="152" spans="1:10">
      <c r="A152" s="3">
        <v>10</v>
      </c>
      <c r="B152" t="s">
        <v>107</v>
      </c>
      <c r="C152" t="s">
        <v>458</v>
      </c>
      <c r="E152" s="3">
        <f t="shared" si="6"/>
        <v>6</v>
      </c>
      <c r="F152" s="5">
        <v>43981.625</v>
      </c>
      <c r="G152" s="19" t="str">
        <f t="shared" si="7"/>
        <v/>
      </c>
      <c r="J152" s="28">
        <f t="shared" si="8"/>
        <v>-0.16666666666666663</v>
      </c>
    </row>
    <row r="153" spans="1:10">
      <c r="A153" s="3">
        <v>8</v>
      </c>
      <c r="B153" t="s">
        <v>108</v>
      </c>
      <c r="C153" t="s">
        <v>458</v>
      </c>
      <c r="E153" s="3">
        <f t="shared" si="6"/>
        <v>7</v>
      </c>
      <c r="F153" s="5">
        <v>43982.625</v>
      </c>
      <c r="G153" s="19" t="str">
        <f t="shared" si="7"/>
        <v/>
      </c>
      <c r="J153" s="28">
        <f t="shared" si="8"/>
        <v>-0.5</v>
      </c>
    </row>
    <row r="154" spans="1:10">
      <c r="A154" s="3">
        <v>12</v>
      </c>
      <c r="B154" t="s">
        <v>109</v>
      </c>
      <c r="C154" t="s">
        <v>458</v>
      </c>
      <c r="E154" s="3">
        <f t="shared" si="6"/>
        <v>1</v>
      </c>
      <c r="F154" s="5">
        <v>43983.625</v>
      </c>
      <c r="G154" s="19" t="str">
        <f t="shared" si="7"/>
        <v>W23</v>
      </c>
      <c r="H154">
        <f>SUM(A154:A160)</f>
        <v>82</v>
      </c>
      <c r="I154" s="28">
        <f>H154/H147-1</f>
        <v>-0.37404580152671751</v>
      </c>
      <c r="J154" s="28">
        <f t="shared" si="8"/>
        <v>-0.64705882352941169</v>
      </c>
    </row>
    <row r="155" spans="1:10">
      <c r="A155" s="3">
        <v>12</v>
      </c>
      <c r="B155" t="s">
        <v>110</v>
      </c>
      <c r="C155" t="s">
        <v>458</v>
      </c>
      <c r="E155" s="3">
        <f t="shared" si="6"/>
        <v>2</v>
      </c>
      <c r="F155" s="5">
        <v>43984.625</v>
      </c>
      <c r="G155" s="19" t="str">
        <f t="shared" si="7"/>
        <v/>
      </c>
      <c r="J155" s="28">
        <f t="shared" si="8"/>
        <v>-0.5862068965517242</v>
      </c>
    </row>
    <row r="156" spans="1:10">
      <c r="A156" s="3">
        <v>22</v>
      </c>
      <c r="B156" t="s">
        <v>111</v>
      </c>
      <c r="C156" t="s">
        <v>458</v>
      </c>
      <c r="E156" s="3">
        <f t="shared" si="6"/>
        <v>3</v>
      </c>
      <c r="F156" s="5">
        <v>43985.625</v>
      </c>
      <c r="G156" s="19" t="str">
        <f t="shared" si="7"/>
        <v/>
      </c>
      <c r="J156" s="28">
        <f t="shared" si="8"/>
        <v>1.4444444444444446</v>
      </c>
    </row>
    <row r="157" spans="1:10">
      <c r="A157" s="3">
        <v>11</v>
      </c>
      <c r="B157" t="s">
        <v>112</v>
      </c>
      <c r="C157" t="s">
        <v>458</v>
      </c>
      <c r="E157" s="3">
        <f t="shared" si="6"/>
        <v>4</v>
      </c>
      <c r="F157" s="5">
        <v>43986.625</v>
      </c>
      <c r="G157" s="19" t="str">
        <f t="shared" si="7"/>
        <v/>
      </c>
      <c r="J157" s="28">
        <f t="shared" si="8"/>
        <v>-0.52173913043478259</v>
      </c>
    </row>
    <row r="158" spans="1:10">
      <c r="A158" s="3">
        <v>12</v>
      </c>
      <c r="B158" t="s">
        <v>113</v>
      </c>
      <c r="C158" t="s">
        <v>458</v>
      </c>
      <c r="E158" s="3">
        <f t="shared" si="6"/>
        <v>5</v>
      </c>
      <c r="F158" s="5">
        <v>43987.625</v>
      </c>
      <c r="G158" s="19" t="str">
        <f t="shared" si="7"/>
        <v/>
      </c>
      <c r="J158" s="28">
        <f t="shared" si="8"/>
        <v>-0.33333333333333337</v>
      </c>
    </row>
    <row r="159" spans="1:10">
      <c r="A159" s="3">
        <v>10</v>
      </c>
      <c r="B159" t="s">
        <v>114</v>
      </c>
      <c r="C159" t="s">
        <v>458</v>
      </c>
      <c r="E159" s="3">
        <f t="shared" si="6"/>
        <v>6</v>
      </c>
      <c r="F159" s="5">
        <v>43988.625</v>
      </c>
      <c r="G159" s="19" t="str">
        <f t="shared" si="7"/>
        <v/>
      </c>
      <c r="J159" s="28">
        <f t="shared" si="8"/>
        <v>0</v>
      </c>
    </row>
    <row r="160" spans="1:10">
      <c r="A160" s="3">
        <v>3</v>
      </c>
      <c r="B160" t="s">
        <v>115</v>
      </c>
      <c r="C160" t="s">
        <v>458</v>
      </c>
      <c r="E160" s="3">
        <f t="shared" si="6"/>
        <v>7</v>
      </c>
      <c r="F160" s="5">
        <v>43989.625</v>
      </c>
      <c r="G160" s="19" t="str">
        <f t="shared" si="7"/>
        <v/>
      </c>
      <c r="J160" s="28">
        <f t="shared" si="8"/>
        <v>-0.625</v>
      </c>
    </row>
    <row r="161" spans="1:10">
      <c r="A161" s="3">
        <v>8</v>
      </c>
      <c r="B161" t="s">
        <v>116</v>
      </c>
      <c r="C161" t="s">
        <v>458</v>
      </c>
      <c r="E161" s="3">
        <f t="shared" si="6"/>
        <v>1</v>
      </c>
      <c r="F161" s="5">
        <v>43990.625</v>
      </c>
      <c r="G161" s="19" t="str">
        <f t="shared" si="7"/>
        <v>W24</v>
      </c>
      <c r="H161">
        <f>SUM(A161:A167)</f>
        <v>40</v>
      </c>
      <c r="I161" s="28">
        <f>H161/H154-1</f>
        <v>-0.51219512195121952</v>
      </c>
      <c r="J161" s="28">
        <f t="shared" si="8"/>
        <v>-0.33333333333333337</v>
      </c>
    </row>
    <row r="162" spans="1:10">
      <c r="A162" s="3">
        <v>5</v>
      </c>
      <c r="B162" t="s">
        <v>117</v>
      </c>
      <c r="C162" t="s">
        <v>458</v>
      </c>
      <c r="E162" s="3">
        <f t="shared" si="6"/>
        <v>2</v>
      </c>
      <c r="F162" s="5">
        <v>43991.625</v>
      </c>
      <c r="G162" s="19" t="str">
        <f t="shared" si="7"/>
        <v/>
      </c>
      <c r="J162" s="28">
        <f t="shared" si="8"/>
        <v>-0.58333333333333326</v>
      </c>
    </row>
    <row r="163" spans="1:10">
      <c r="A163" s="3">
        <v>3</v>
      </c>
      <c r="B163" t="s">
        <v>118</v>
      </c>
      <c r="C163" t="s">
        <v>458</v>
      </c>
      <c r="E163" s="3">
        <f t="shared" si="6"/>
        <v>3</v>
      </c>
      <c r="F163" s="5">
        <v>43992.625</v>
      </c>
      <c r="G163" s="19" t="str">
        <f t="shared" si="7"/>
        <v/>
      </c>
      <c r="J163" s="28">
        <f t="shared" si="8"/>
        <v>-0.86363636363636365</v>
      </c>
    </row>
    <row r="164" spans="1:10">
      <c r="A164" s="3">
        <v>7</v>
      </c>
      <c r="B164" t="s">
        <v>119</v>
      </c>
      <c r="C164" t="s">
        <v>458</v>
      </c>
      <c r="E164" s="3">
        <f t="shared" si="6"/>
        <v>4</v>
      </c>
      <c r="F164" s="5">
        <v>43993.625</v>
      </c>
      <c r="G164" s="19" t="str">
        <f t="shared" si="7"/>
        <v/>
      </c>
      <c r="J164" s="28">
        <f t="shared" si="8"/>
        <v>-0.36363636363636365</v>
      </c>
    </row>
    <row r="165" spans="1:10">
      <c r="A165" s="3">
        <v>10</v>
      </c>
      <c r="B165" t="s">
        <v>120</v>
      </c>
      <c r="C165" t="s">
        <v>458</v>
      </c>
      <c r="E165" s="3">
        <f t="shared" si="6"/>
        <v>5</v>
      </c>
      <c r="F165" s="5">
        <v>43994.625</v>
      </c>
      <c r="G165" s="19" t="str">
        <f t="shared" si="7"/>
        <v/>
      </c>
      <c r="J165" s="28">
        <f t="shared" si="8"/>
        <v>-0.16666666666666663</v>
      </c>
    </row>
    <row r="166" spans="1:10">
      <c r="A166" s="3">
        <v>2</v>
      </c>
      <c r="B166" t="s">
        <v>121</v>
      </c>
      <c r="C166" t="s">
        <v>458</v>
      </c>
      <c r="E166" s="3">
        <f t="shared" si="6"/>
        <v>6</v>
      </c>
      <c r="F166" s="5">
        <v>43995.625</v>
      </c>
      <c r="G166" s="19" t="str">
        <f t="shared" si="7"/>
        <v/>
      </c>
      <c r="J166" s="28">
        <f t="shared" si="8"/>
        <v>-0.8</v>
      </c>
    </row>
    <row r="167" spans="1:10">
      <c r="A167" s="3">
        <v>5</v>
      </c>
      <c r="B167" t="s">
        <v>122</v>
      </c>
      <c r="C167" t="s">
        <v>458</v>
      </c>
      <c r="E167" s="3">
        <f t="shared" si="6"/>
        <v>7</v>
      </c>
      <c r="F167" s="5">
        <v>43996.625</v>
      </c>
      <c r="G167" s="19" t="str">
        <f t="shared" si="7"/>
        <v/>
      </c>
      <c r="J167" s="28">
        <f t="shared" si="8"/>
        <v>0.66666666666666674</v>
      </c>
    </row>
    <row r="168" spans="1:10">
      <c r="A168" s="3">
        <v>13</v>
      </c>
      <c r="B168" t="s">
        <v>123</v>
      </c>
      <c r="C168" t="s">
        <v>458</v>
      </c>
      <c r="E168" s="3">
        <f t="shared" si="6"/>
        <v>1</v>
      </c>
      <c r="F168" s="5">
        <v>43997.625</v>
      </c>
      <c r="G168" s="19" t="str">
        <f t="shared" si="7"/>
        <v>W25</v>
      </c>
      <c r="H168">
        <f>SUM(A168:A174)</f>
        <v>39</v>
      </c>
      <c r="I168" s="28">
        <f>H168/H161-1</f>
        <v>-2.5000000000000022E-2</v>
      </c>
      <c r="J168" s="28">
        <f t="shared" si="8"/>
        <v>0.625</v>
      </c>
    </row>
    <row r="169" spans="1:10">
      <c r="A169" s="3">
        <v>5</v>
      </c>
      <c r="B169" t="s">
        <v>124</v>
      </c>
      <c r="C169" t="s">
        <v>458</v>
      </c>
      <c r="E169" s="3">
        <f t="shared" si="6"/>
        <v>2</v>
      </c>
      <c r="F169" s="5">
        <v>43998.625</v>
      </c>
      <c r="G169" s="19" t="str">
        <f t="shared" si="7"/>
        <v/>
      </c>
      <c r="J169" s="28">
        <f t="shared" si="8"/>
        <v>0</v>
      </c>
    </row>
    <row r="170" spans="1:10">
      <c r="A170" s="3">
        <v>3</v>
      </c>
      <c r="B170" t="s">
        <v>125</v>
      </c>
      <c r="C170" t="s">
        <v>458</v>
      </c>
      <c r="E170" s="3">
        <f t="shared" si="6"/>
        <v>3</v>
      </c>
      <c r="F170" s="5">
        <v>43999.625</v>
      </c>
      <c r="G170" s="19" t="str">
        <f t="shared" si="7"/>
        <v/>
      </c>
      <c r="J170" s="28">
        <f t="shared" si="8"/>
        <v>0</v>
      </c>
    </row>
    <row r="171" spans="1:10">
      <c r="A171" s="3">
        <v>6</v>
      </c>
      <c r="B171" t="s">
        <v>126</v>
      </c>
      <c r="C171" t="s">
        <v>458</v>
      </c>
      <c r="E171" s="3">
        <f t="shared" si="6"/>
        <v>4</v>
      </c>
      <c r="F171" s="5">
        <v>44000.625</v>
      </c>
      <c r="G171" s="19" t="str">
        <f t="shared" si="7"/>
        <v/>
      </c>
      <c r="J171" s="28">
        <f t="shared" si="8"/>
        <v>-0.1428571428571429</v>
      </c>
    </row>
    <row r="172" spans="1:10">
      <c r="A172" s="3">
        <v>0</v>
      </c>
      <c r="B172" t="s">
        <v>289</v>
      </c>
      <c r="C172" t="s">
        <v>458</v>
      </c>
      <c r="E172" s="3">
        <f t="shared" si="6"/>
        <v>5</v>
      </c>
      <c r="F172" s="5">
        <v>44001.625</v>
      </c>
      <c r="G172" s="19" t="str">
        <f t="shared" si="7"/>
        <v/>
      </c>
      <c r="J172" s="28">
        <f t="shared" si="8"/>
        <v>-1</v>
      </c>
    </row>
    <row r="173" spans="1:10">
      <c r="A173" s="3">
        <v>2</v>
      </c>
      <c r="B173" t="s">
        <v>127</v>
      </c>
      <c r="C173" t="s">
        <v>458</v>
      </c>
      <c r="E173" s="3">
        <f t="shared" si="6"/>
        <v>6</v>
      </c>
      <c r="F173" s="5">
        <v>44002.625</v>
      </c>
      <c r="G173" s="19" t="str">
        <f t="shared" si="7"/>
        <v/>
      </c>
      <c r="J173" s="28">
        <f t="shared" si="8"/>
        <v>0</v>
      </c>
    </row>
    <row r="174" spans="1:10">
      <c r="A174" s="3">
        <v>10</v>
      </c>
      <c r="B174" t="s">
        <v>128</v>
      </c>
      <c r="C174" t="s">
        <v>458</v>
      </c>
      <c r="E174" s="3">
        <f t="shared" si="6"/>
        <v>7</v>
      </c>
      <c r="F174" s="5">
        <v>44003.625</v>
      </c>
      <c r="G174" s="19" t="str">
        <f t="shared" si="7"/>
        <v/>
      </c>
      <c r="J174" s="28">
        <f t="shared" si="8"/>
        <v>1</v>
      </c>
    </row>
    <row r="175" spans="1:10">
      <c r="A175" s="3">
        <v>4</v>
      </c>
      <c r="B175" t="s">
        <v>129</v>
      </c>
      <c r="C175" t="s">
        <v>458</v>
      </c>
      <c r="E175" s="3">
        <f t="shared" si="6"/>
        <v>1</v>
      </c>
      <c r="F175" s="5">
        <v>44004.625</v>
      </c>
      <c r="G175" s="19" t="str">
        <f t="shared" si="7"/>
        <v>W26</v>
      </c>
      <c r="H175">
        <f>SUM(A175:A181)</f>
        <v>36</v>
      </c>
      <c r="I175" s="28">
        <f>H175/H168-1</f>
        <v>-7.6923076923076872E-2</v>
      </c>
      <c r="J175" s="28">
        <f t="shared" si="8"/>
        <v>-0.69230769230769229</v>
      </c>
    </row>
    <row r="176" spans="1:10">
      <c r="A176" s="3">
        <v>3</v>
      </c>
      <c r="B176" t="s">
        <v>130</v>
      </c>
      <c r="C176" t="s">
        <v>458</v>
      </c>
      <c r="E176" s="3">
        <f t="shared" si="6"/>
        <v>2</v>
      </c>
      <c r="F176" s="5">
        <v>44005.625</v>
      </c>
      <c r="G176" s="19" t="str">
        <f t="shared" si="7"/>
        <v/>
      </c>
      <c r="J176" s="28">
        <f t="shared" si="8"/>
        <v>-0.4</v>
      </c>
    </row>
    <row r="177" spans="1:10">
      <c r="A177" s="3">
        <v>11</v>
      </c>
      <c r="B177" t="s">
        <v>131</v>
      </c>
      <c r="C177" t="s">
        <v>458</v>
      </c>
      <c r="E177" s="3">
        <f t="shared" si="6"/>
        <v>3</v>
      </c>
      <c r="F177" s="5">
        <v>44006.625</v>
      </c>
      <c r="G177" s="19" t="str">
        <f t="shared" si="7"/>
        <v/>
      </c>
      <c r="J177" s="28">
        <f t="shared" si="8"/>
        <v>2.6666666666666665</v>
      </c>
    </row>
    <row r="178" spans="1:10">
      <c r="A178" s="3">
        <v>6</v>
      </c>
      <c r="B178" t="s">
        <v>132</v>
      </c>
      <c r="C178" t="s">
        <v>458</v>
      </c>
      <c r="E178" s="3">
        <f t="shared" si="6"/>
        <v>4</v>
      </c>
      <c r="F178" s="5">
        <v>44007.625</v>
      </c>
      <c r="G178" s="19" t="str">
        <f t="shared" si="7"/>
        <v/>
      </c>
      <c r="J178" s="28">
        <f t="shared" si="8"/>
        <v>0</v>
      </c>
    </row>
    <row r="179" spans="1:10">
      <c r="A179" s="3">
        <v>3</v>
      </c>
      <c r="B179" t="s">
        <v>133</v>
      </c>
      <c r="C179" t="s">
        <v>458</v>
      </c>
      <c r="E179" s="3">
        <f t="shared" si="6"/>
        <v>5</v>
      </c>
      <c r="F179" s="5">
        <v>44008.625</v>
      </c>
      <c r="G179" s="19" t="str">
        <f t="shared" si="7"/>
        <v/>
      </c>
      <c r="J179" s="28" t="e">
        <f t="shared" si="8"/>
        <v>#DIV/0!</v>
      </c>
    </row>
    <row r="180" spans="1:10">
      <c r="A180" s="3">
        <v>2</v>
      </c>
      <c r="B180" t="s">
        <v>134</v>
      </c>
      <c r="C180" t="s">
        <v>458</v>
      </c>
      <c r="E180" s="3">
        <f t="shared" si="6"/>
        <v>6</v>
      </c>
      <c r="F180" s="5">
        <v>44009.625</v>
      </c>
      <c r="G180" s="19" t="str">
        <f t="shared" si="7"/>
        <v/>
      </c>
      <c r="J180" s="28">
        <f t="shared" si="8"/>
        <v>0</v>
      </c>
    </row>
    <row r="181" spans="1:10">
      <c r="A181" s="3">
        <v>7</v>
      </c>
      <c r="B181" t="s">
        <v>135</v>
      </c>
      <c r="C181" t="s">
        <v>458</v>
      </c>
      <c r="E181" s="3">
        <f t="shared" si="6"/>
        <v>7</v>
      </c>
      <c r="F181" s="5">
        <v>44010.625</v>
      </c>
      <c r="G181" s="19" t="str">
        <f t="shared" si="7"/>
        <v/>
      </c>
      <c r="J181" s="28">
        <f t="shared" si="8"/>
        <v>-0.30000000000000004</v>
      </c>
    </row>
    <row r="182" spans="1:10">
      <c r="A182" s="3">
        <v>12</v>
      </c>
      <c r="B182" t="s">
        <v>136</v>
      </c>
      <c r="C182" t="s">
        <v>458</v>
      </c>
      <c r="E182" s="3">
        <f t="shared" si="6"/>
        <v>1</v>
      </c>
      <c r="F182" s="5">
        <v>44011.625</v>
      </c>
      <c r="G182" s="19" t="str">
        <f t="shared" si="7"/>
        <v>W27</v>
      </c>
      <c r="H182">
        <f>SUM(A182:A188)</f>
        <v>34</v>
      </c>
      <c r="I182" s="28">
        <f>H182/H175-1</f>
        <v>-5.555555555555558E-2</v>
      </c>
      <c r="J182" s="28">
        <f t="shared" si="8"/>
        <v>2</v>
      </c>
    </row>
    <row r="183" spans="1:10">
      <c r="A183" s="3">
        <v>7</v>
      </c>
      <c r="B183" t="s">
        <v>137</v>
      </c>
      <c r="C183" t="s">
        <v>458</v>
      </c>
      <c r="E183" s="3">
        <f t="shared" si="6"/>
        <v>2</v>
      </c>
      <c r="F183" s="5">
        <v>44012.625</v>
      </c>
      <c r="G183" s="19" t="str">
        <f t="shared" si="7"/>
        <v/>
      </c>
      <c r="J183" s="28">
        <f t="shared" si="8"/>
        <v>1.3333333333333335</v>
      </c>
    </row>
    <row r="184" spans="1:10">
      <c r="A184" s="3">
        <v>2</v>
      </c>
      <c r="B184" t="s">
        <v>138</v>
      </c>
      <c r="C184" t="s">
        <v>458</v>
      </c>
      <c r="E184" s="3">
        <f t="shared" si="6"/>
        <v>3</v>
      </c>
      <c r="F184" s="5">
        <v>44013.625</v>
      </c>
      <c r="G184" s="19" t="str">
        <f t="shared" si="7"/>
        <v/>
      </c>
      <c r="J184" s="28">
        <f t="shared" si="8"/>
        <v>-0.81818181818181812</v>
      </c>
    </row>
    <row r="185" spans="1:10">
      <c r="A185" s="3">
        <v>7</v>
      </c>
      <c r="B185" t="s">
        <v>139</v>
      </c>
      <c r="C185" t="s">
        <v>458</v>
      </c>
      <c r="E185" s="3">
        <f t="shared" si="6"/>
        <v>4</v>
      </c>
      <c r="F185" s="5">
        <v>44014.625</v>
      </c>
      <c r="G185" s="19" t="str">
        <f t="shared" si="7"/>
        <v/>
      </c>
      <c r="J185" s="28">
        <f t="shared" si="8"/>
        <v>0.16666666666666674</v>
      </c>
    </row>
    <row r="186" spans="1:10">
      <c r="A186" s="3">
        <v>2</v>
      </c>
      <c r="B186" t="s">
        <v>140</v>
      </c>
      <c r="C186" t="s">
        <v>458</v>
      </c>
      <c r="E186" s="3">
        <f t="shared" si="6"/>
        <v>5</v>
      </c>
      <c r="F186" s="5">
        <v>44015.625</v>
      </c>
      <c r="G186" s="19" t="str">
        <f t="shared" si="7"/>
        <v/>
      </c>
      <c r="J186" s="28">
        <f t="shared" si="8"/>
        <v>-0.33333333333333337</v>
      </c>
    </row>
    <row r="187" spans="1:10">
      <c r="A187" s="3">
        <v>2</v>
      </c>
      <c r="B187" t="s">
        <v>141</v>
      </c>
      <c r="C187" t="s">
        <v>458</v>
      </c>
      <c r="E187" s="3">
        <f t="shared" si="6"/>
        <v>6</v>
      </c>
      <c r="F187" s="5">
        <v>44016.625</v>
      </c>
      <c r="G187" s="19" t="str">
        <f t="shared" si="7"/>
        <v/>
      </c>
      <c r="J187" s="28">
        <f t="shared" si="8"/>
        <v>0</v>
      </c>
    </row>
    <row r="188" spans="1:10">
      <c r="A188" s="3">
        <v>2</v>
      </c>
      <c r="B188" t="s">
        <v>142</v>
      </c>
      <c r="C188" t="s">
        <v>458</v>
      </c>
      <c r="E188" s="3">
        <f t="shared" si="6"/>
        <v>7</v>
      </c>
      <c r="F188" s="5">
        <v>44017.625</v>
      </c>
      <c r="G188" s="19" t="str">
        <f t="shared" si="7"/>
        <v/>
      </c>
      <c r="J188" s="28">
        <f t="shared" si="8"/>
        <v>-0.7142857142857143</v>
      </c>
    </row>
    <row r="189" spans="1:10">
      <c r="A189" s="3">
        <v>2</v>
      </c>
      <c r="B189" t="s">
        <v>143</v>
      </c>
      <c r="C189" t="s">
        <v>458</v>
      </c>
      <c r="E189" s="3">
        <f t="shared" si="6"/>
        <v>1</v>
      </c>
      <c r="F189" s="5">
        <v>44018.625</v>
      </c>
      <c r="G189" s="19" t="str">
        <f t="shared" si="7"/>
        <v>W28</v>
      </c>
      <c r="H189">
        <f>SUM(A189:A195)</f>
        <v>10</v>
      </c>
      <c r="I189" s="28">
        <f>H189/H182-1</f>
        <v>-0.70588235294117641</v>
      </c>
      <c r="J189" s="28">
        <f t="shared" si="8"/>
        <v>-0.83333333333333337</v>
      </c>
    </row>
    <row r="190" spans="1:10">
      <c r="A190" s="3">
        <v>0</v>
      </c>
      <c r="B190" t="s">
        <v>144</v>
      </c>
      <c r="C190" t="s">
        <v>458</v>
      </c>
      <c r="E190" s="3">
        <f t="shared" si="6"/>
        <v>2</v>
      </c>
      <c r="F190" s="5">
        <v>44019.625</v>
      </c>
      <c r="G190" s="19" t="str">
        <f t="shared" si="7"/>
        <v/>
      </c>
      <c r="J190" s="28">
        <f t="shared" si="8"/>
        <v>-1</v>
      </c>
    </row>
    <row r="191" spans="1:10">
      <c r="A191" s="3">
        <v>0</v>
      </c>
      <c r="B191" t="s">
        <v>145</v>
      </c>
      <c r="C191" t="s">
        <v>458</v>
      </c>
      <c r="E191" s="3">
        <f t="shared" si="6"/>
        <v>3</v>
      </c>
      <c r="F191" s="5">
        <v>44020.625</v>
      </c>
      <c r="G191" s="19" t="str">
        <f t="shared" si="7"/>
        <v/>
      </c>
      <c r="J191" s="28">
        <f t="shared" si="8"/>
        <v>-1</v>
      </c>
    </row>
    <row r="192" spans="1:10">
      <c r="A192" s="3">
        <v>3</v>
      </c>
      <c r="B192" t="s">
        <v>146</v>
      </c>
      <c r="C192" t="s">
        <v>458</v>
      </c>
      <c r="E192" s="3">
        <f t="shared" si="6"/>
        <v>4</v>
      </c>
      <c r="F192" s="5">
        <v>44021.625</v>
      </c>
      <c r="G192" s="19" t="str">
        <f t="shared" si="7"/>
        <v/>
      </c>
      <c r="J192" s="28">
        <f t="shared" si="8"/>
        <v>-0.5714285714285714</v>
      </c>
    </row>
    <row r="193" spans="1:10">
      <c r="A193" s="3">
        <v>2</v>
      </c>
      <c r="B193" t="s">
        <v>147</v>
      </c>
      <c r="C193" t="s">
        <v>458</v>
      </c>
      <c r="E193" s="3">
        <f t="shared" si="6"/>
        <v>5</v>
      </c>
      <c r="F193" s="5">
        <v>44022.625</v>
      </c>
      <c r="G193" s="19" t="str">
        <f t="shared" si="7"/>
        <v/>
      </c>
      <c r="J193" s="28">
        <f t="shared" si="8"/>
        <v>0</v>
      </c>
    </row>
    <row r="194" spans="1:10">
      <c r="A194" s="3">
        <v>0</v>
      </c>
      <c r="B194" t="s">
        <v>290</v>
      </c>
      <c r="C194" t="s">
        <v>458</v>
      </c>
      <c r="E194" s="3">
        <f t="shared" si="6"/>
        <v>6</v>
      </c>
      <c r="F194" s="5">
        <v>44023.625</v>
      </c>
      <c r="G194" s="19" t="str">
        <f t="shared" si="7"/>
        <v/>
      </c>
      <c r="J194" s="28">
        <f t="shared" si="8"/>
        <v>-1</v>
      </c>
    </row>
    <row r="195" spans="1:10">
      <c r="A195" s="3">
        <v>3</v>
      </c>
      <c r="B195" t="s">
        <v>148</v>
      </c>
      <c r="C195" t="s">
        <v>458</v>
      </c>
      <c r="E195" s="3">
        <f t="shared" ref="E195:E258" si="9">WEEKDAY(F195,2)</f>
        <v>7</v>
      </c>
      <c r="F195" s="5">
        <v>44024.625</v>
      </c>
      <c r="G195" s="19" t="str">
        <f t="shared" ref="G195:G258" si="10">IF(WEEKDAY(F195,2)=1,"W"&amp;WEEKNUM(F195,14),"")</f>
        <v/>
      </c>
      <c r="J195" s="28">
        <f t="shared" si="8"/>
        <v>0.5</v>
      </c>
    </row>
    <row r="196" spans="1:10">
      <c r="A196" s="3">
        <v>3</v>
      </c>
      <c r="B196" t="s">
        <v>149</v>
      </c>
      <c r="C196" t="s">
        <v>458</v>
      </c>
      <c r="E196" s="3">
        <f t="shared" si="9"/>
        <v>1</v>
      </c>
      <c r="F196" s="5">
        <v>44025.625</v>
      </c>
      <c r="G196" s="19" t="str">
        <f t="shared" si="10"/>
        <v>W29</v>
      </c>
      <c r="H196">
        <f>SUM(A196:A202)</f>
        <v>27</v>
      </c>
      <c r="I196" s="28">
        <f>H196/H189-1</f>
        <v>1.7000000000000002</v>
      </c>
      <c r="J196" s="28">
        <f t="shared" si="8"/>
        <v>0.5</v>
      </c>
    </row>
    <row r="197" spans="1:10">
      <c r="A197" s="3">
        <v>3</v>
      </c>
      <c r="B197" t="s">
        <v>150</v>
      </c>
      <c r="C197" t="s">
        <v>458</v>
      </c>
      <c r="E197" s="3">
        <f t="shared" si="9"/>
        <v>2</v>
      </c>
      <c r="F197" s="5">
        <v>44026.625</v>
      </c>
      <c r="G197" s="19" t="str">
        <f t="shared" si="10"/>
        <v/>
      </c>
      <c r="J197" s="28" t="e">
        <f t="shared" si="8"/>
        <v>#DIV/0!</v>
      </c>
    </row>
    <row r="198" spans="1:10">
      <c r="A198" s="3">
        <v>4</v>
      </c>
      <c r="B198" t="s">
        <v>151</v>
      </c>
      <c r="C198" t="s">
        <v>458</v>
      </c>
      <c r="E198" s="3">
        <f t="shared" si="9"/>
        <v>3</v>
      </c>
      <c r="F198" s="5">
        <v>44027.625</v>
      </c>
      <c r="G198" s="19" t="str">
        <f t="shared" si="10"/>
        <v/>
      </c>
      <c r="J198" s="28" t="e">
        <f t="shared" si="8"/>
        <v>#DIV/0!</v>
      </c>
    </row>
    <row r="199" spans="1:10">
      <c r="A199" s="3">
        <v>5</v>
      </c>
      <c r="B199" t="s">
        <v>152</v>
      </c>
      <c r="C199" t="s">
        <v>458</v>
      </c>
      <c r="E199" s="3">
        <f t="shared" si="9"/>
        <v>4</v>
      </c>
      <c r="F199" s="5">
        <v>44028.625</v>
      </c>
      <c r="G199" s="19" t="str">
        <f t="shared" si="10"/>
        <v/>
      </c>
      <c r="J199" s="28">
        <f t="shared" si="8"/>
        <v>0.66666666666666674</v>
      </c>
    </row>
    <row r="200" spans="1:10">
      <c r="A200" s="3">
        <v>5</v>
      </c>
      <c r="B200" t="s">
        <v>153</v>
      </c>
      <c r="C200" t="s">
        <v>458</v>
      </c>
      <c r="E200" s="3">
        <f t="shared" si="9"/>
        <v>5</v>
      </c>
      <c r="F200" s="5">
        <v>44029.625</v>
      </c>
      <c r="G200" s="19" t="str">
        <f t="shared" si="10"/>
        <v/>
      </c>
      <c r="J200" s="28">
        <f t="shared" si="8"/>
        <v>1.5</v>
      </c>
    </row>
    <row r="201" spans="1:10">
      <c r="A201" s="3">
        <v>2</v>
      </c>
      <c r="B201" t="s">
        <v>154</v>
      </c>
      <c r="C201" t="s">
        <v>458</v>
      </c>
      <c r="E201" s="3">
        <f t="shared" si="9"/>
        <v>6</v>
      </c>
      <c r="F201" s="5">
        <v>44030.625</v>
      </c>
      <c r="G201" s="19" t="str">
        <f t="shared" si="10"/>
        <v/>
      </c>
      <c r="J201" s="28" t="e">
        <f t="shared" ref="J201:J264" si="11">A201/A194-1</f>
        <v>#DIV/0!</v>
      </c>
    </row>
    <row r="202" spans="1:10">
      <c r="A202" s="3">
        <v>5</v>
      </c>
      <c r="B202" t="s">
        <v>155</v>
      </c>
      <c r="C202" t="s">
        <v>458</v>
      </c>
      <c r="E202" s="3">
        <f t="shared" si="9"/>
        <v>7</v>
      </c>
      <c r="F202" s="5">
        <v>44031.625</v>
      </c>
      <c r="G202" s="19" t="str">
        <f t="shared" si="10"/>
        <v/>
      </c>
      <c r="J202" s="28">
        <f t="shared" si="11"/>
        <v>0.66666666666666674</v>
      </c>
    </row>
    <row r="203" spans="1:10">
      <c r="A203" s="3">
        <v>4</v>
      </c>
      <c r="B203" t="s">
        <v>156</v>
      </c>
      <c r="C203" t="s">
        <v>458</v>
      </c>
      <c r="E203" s="3">
        <f t="shared" si="9"/>
        <v>1</v>
      </c>
      <c r="F203" s="5">
        <v>44032.625</v>
      </c>
      <c r="G203" s="19" t="str">
        <f t="shared" si="10"/>
        <v>W30</v>
      </c>
      <c r="H203">
        <f>SUM(A203:A209)</f>
        <v>34</v>
      </c>
      <c r="I203" s="28">
        <f>H203/H196-1</f>
        <v>0.2592592592592593</v>
      </c>
      <c r="J203" s="28">
        <f t="shared" si="11"/>
        <v>0.33333333333333326</v>
      </c>
    </row>
    <row r="204" spans="1:10">
      <c r="A204" s="3">
        <v>7</v>
      </c>
      <c r="B204" t="s">
        <v>157</v>
      </c>
      <c r="C204" t="s">
        <v>458</v>
      </c>
      <c r="E204" s="3">
        <f t="shared" si="9"/>
        <v>2</v>
      </c>
      <c r="F204" s="5">
        <v>44033.625</v>
      </c>
      <c r="G204" s="19" t="str">
        <f t="shared" si="10"/>
        <v/>
      </c>
      <c r="J204" s="28">
        <f t="shared" si="11"/>
        <v>1.3333333333333335</v>
      </c>
    </row>
    <row r="205" spans="1:10">
      <c r="A205" s="3">
        <v>6</v>
      </c>
      <c r="B205" t="s">
        <v>158</v>
      </c>
      <c r="C205" t="s">
        <v>458</v>
      </c>
      <c r="E205" s="3">
        <f t="shared" si="9"/>
        <v>3</v>
      </c>
      <c r="F205" s="5">
        <v>44034.625</v>
      </c>
      <c r="G205" s="19" t="str">
        <f t="shared" si="10"/>
        <v/>
      </c>
      <c r="J205" s="28">
        <f t="shared" si="11"/>
        <v>0.5</v>
      </c>
    </row>
    <row r="206" spans="1:10">
      <c r="A206" s="3">
        <v>1</v>
      </c>
      <c r="B206" t="s">
        <v>159</v>
      </c>
      <c r="C206" t="s">
        <v>458</v>
      </c>
      <c r="E206" s="3">
        <f t="shared" si="9"/>
        <v>4</v>
      </c>
      <c r="F206" s="5">
        <v>44035.625</v>
      </c>
      <c r="G206" s="19" t="str">
        <f t="shared" si="10"/>
        <v/>
      </c>
      <c r="J206" s="28">
        <f t="shared" si="11"/>
        <v>-0.8</v>
      </c>
    </row>
    <row r="207" spans="1:10">
      <c r="A207" s="3">
        <v>8</v>
      </c>
      <c r="B207" t="s">
        <v>160</v>
      </c>
      <c r="C207" t="s">
        <v>458</v>
      </c>
      <c r="E207" s="3">
        <f t="shared" si="9"/>
        <v>5</v>
      </c>
      <c r="F207" s="5">
        <v>44036.625</v>
      </c>
      <c r="G207" s="19" t="str">
        <f t="shared" si="10"/>
        <v/>
      </c>
      <c r="J207" s="28">
        <f t="shared" si="11"/>
        <v>0.60000000000000009</v>
      </c>
    </row>
    <row r="208" spans="1:10">
      <c r="A208" s="3">
        <v>4</v>
      </c>
      <c r="B208" t="s">
        <v>161</v>
      </c>
      <c r="C208" t="s">
        <v>458</v>
      </c>
      <c r="E208" s="3">
        <f t="shared" si="9"/>
        <v>6</v>
      </c>
      <c r="F208" s="5">
        <v>44037.625</v>
      </c>
      <c r="G208" s="19" t="str">
        <f t="shared" si="10"/>
        <v/>
      </c>
      <c r="J208" s="28">
        <f t="shared" si="11"/>
        <v>1</v>
      </c>
    </row>
    <row r="209" spans="1:10">
      <c r="A209" s="3">
        <v>4</v>
      </c>
      <c r="B209" t="s">
        <v>162</v>
      </c>
      <c r="C209" t="s">
        <v>458</v>
      </c>
      <c r="E209" s="3">
        <f t="shared" si="9"/>
        <v>7</v>
      </c>
      <c r="F209" s="5">
        <v>44038.625</v>
      </c>
      <c r="G209" s="19" t="str">
        <f t="shared" si="10"/>
        <v/>
      </c>
      <c r="J209" s="28">
        <f t="shared" si="11"/>
        <v>-0.19999999999999996</v>
      </c>
    </row>
    <row r="210" spans="1:10">
      <c r="A210" s="3">
        <v>9</v>
      </c>
      <c r="B210" t="s">
        <v>163</v>
      </c>
      <c r="C210" t="s">
        <v>458</v>
      </c>
      <c r="E210" s="3">
        <f t="shared" si="9"/>
        <v>1</v>
      </c>
      <c r="F210" s="5">
        <v>44039.625</v>
      </c>
      <c r="G210" s="19" t="str">
        <f t="shared" si="10"/>
        <v>W31</v>
      </c>
      <c r="H210">
        <f>SUM(A210:A216)</f>
        <v>54</v>
      </c>
      <c r="I210" s="28">
        <f>H210/H203-1</f>
        <v>0.58823529411764697</v>
      </c>
      <c r="J210" s="28">
        <f t="shared" si="11"/>
        <v>1.25</v>
      </c>
    </row>
    <row r="211" spans="1:10">
      <c r="A211" s="3">
        <v>5</v>
      </c>
      <c r="B211" t="s">
        <v>164</v>
      </c>
      <c r="C211" t="s">
        <v>458</v>
      </c>
      <c r="E211" s="3">
        <f t="shared" si="9"/>
        <v>2</v>
      </c>
      <c r="F211" s="5">
        <v>44040.625</v>
      </c>
      <c r="G211" s="19" t="str">
        <f t="shared" si="10"/>
        <v/>
      </c>
      <c r="J211" s="28">
        <f t="shared" si="11"/>
        <v>-0.2857142857142857</v>
      </c>
    </row>
    <row r="212" spans="1:10">
      <c r="A212" s="3">
        <v>8</v>
      </c>
      <c r="B212" t="s">
        <v>165</v>
      </c>
      <c r="C212" t="s">
        <v>458</v>
      </c>
      <c r="E212" s="3">
        <f t="shared" si="9"/>
        <v>3</v>
      </c>
      <c r="F212" s="5">
        <v>44041.625</v>
      </c>
      <c r="G212" s="19" t="str">
        <f t="shared" si="10"/>
        <v/>
      </c>
      <c r="J212" s="28">
        <f t="shared" si="11"/>
        <v>0.33333333333333326</v>
      </c>
    </row>
    <row r="213" spans="1:10">
      <c r="A213" s="3">
        <v>4</v>
      </c>
      <c r="B213" t="s">
        <v>166</v>
      </c>
      <c r="C213" t="s">
        <v>458</v>
      </c>
      <c r="E213" s="3">
        <f t="shared" si="9"/>
        <v>4</v>
      </c>
      <c r="F213" s="5">
        <v>44042.625</v>
      </c>
      <c r="G213" s="19" t="str">
        <f t="shared" si="10"/>
        <v/>
      </c>
      <c r="J213" s="28">
        <f t="shared" si="11"/>
        <v>3</v>
      </c>
    </row>
    <row r="214" spans="1:10">
      <c r="A214" s="3">
        <v>13</v>
      </c>
      <c r="B214" t="s">
        <v>167</v>
      </c>
      <c r="C214" t="s">
        <v>458</v>
      </c>
      <c r="E214" s="3">
        <f t="shared" si="9"/>
        <v>5</v>
      </c>
      <c r="F214" s="5">
        <v>44043.625</v>
      </c>
      <c r="G214" s="19" t="str">
        <f t="shared" si="10"/>
        <v/>
      </c>
      <c r="J214" s="28">
        <f t="shared" si="11"/>
        <v>0.625</v>
      </c>
    </row>
    <row r="215" spans="1:10">
      <c r="A215" s="3">
        <v>8</v>
      </c>
      <c r="B215" t="s">
        <v>168</v>
      </c>
      <c r="C215" t="s">
        <v>458</v>
      </c>
      <c r="E215" s="3">
        <f t="shared" si="9"/>
        <v>6</v>
      </c>
      <c r="F215" s="5">
        <v>44044.625</v>
      </c>
      <c r="G215" s="19" t="str">
        <f t="shared" si="10"/>
        <v/>
      </c>
      <c r="J215" s="28">
        <f t="shared" si="11"/>
        <v>1</v>
      </c>
    </row>
    <row r="216" spans="1:10">
      <c r="A216" s="3">
        <v>7</v>
      </c>
      <c r="B216" t="s">
        <v>169</v>
      </c>
      <c r="C216" t="s">
        <v>458</v>
      </c>
      <c r="E216" s="3">
        <f t="shared" si="9"/>
        <v>7</v>
      </c>
      <c r="F216" s="5">
        <v>44045.625</v>
      </c>
      <c r="G216" s="19" t="str">
        <f t="shared" si="10"/>
        <v/>
      </c>
      <c r="J216" s="28">
        <f t="shared" si="11"/>
        <v>0.75</v>
      </c>
    </row>
    <row r="217" spans="1:10">
      <c r="A217" s="3">
        <v>26</v>
      </c>
      <c r="B217" t="s">
        <v>170</v>
      </c>
      <c r="C217" t="s">
        <v>458</v>
      </c>
      <c r="E217" s="3">
        <f t="shared" si="9"/>
        <v>1</v>
      </c>
      <c r="F217" s="5">
        <v>44046.625</v>
      </c>
      <c r="G217" s="19" t="str">
        <f t="shared" si="10"/>
        <v>W32</v>
      </c>
      <c r="H217">
        <f>SUM(A217:A223)</f>
        <v>118</v>
      </c>
      <c r="I217" s="28">
        <f>H217/H210-1</f>
        <v>1.1851851851851851</v>
      </c>
      <c r="J217" s="28">
        <f t="shared" si="11"/>
        <v>1.8888888888888888</v>
      </c>
    </row>
    <row r="218" spans="1:10">
      <c r="A218" s="3">
        <v>19</v>
      </c>
      <c r="B218" t="s">
        <v>171</v>
      </c>
      <c r="C218" t="s">
        <v>458</v>
      </c>
      <c r="E218" s="3">
        <f t="shared" si="9"/>
        <v>2</v>
      </c>
      <c r="F218" s="5">
        <v>44047.625</v>
      </c>
      <c r="G218" s="19" t="str">
        <f t="shared" si="10"/>
        <v/>
      </c>
      <c r="J218" s="28">
        <f t="shared" si="11"/>
        <v>2.8</v>
      </c>
    </row>
    <row r="219" spans="1:10">
      <c r="A219" s="3">
        <v>18</v>
      </c>
      <c r="B219" t="s">
        <v>172</v>
      </c>
      <c r="C219" t="s">
        <v>458</v>
      </c>
      <c r="E219" s="3">
        <f t="shared" si="9"/>
        <v>3</v>
      </c>
      <c r="F219" s="5">
        <v>44048.625</v>
      </c>
      <c r="G219" s="19" t="str">
        <f t="shared" si="10"/>
        <v/>
      </c>
      <c r="J219" s="28">
        <f t="shared" si="11"/>
        <v>1.25</v>
      </c>
    </row>
    <row r="220" spans="1:10">
      <c r="A220" s="3">
        <v>15</v>
      </c>
      <c r="B220" t="s">
        <v>173</v>
      </c>
      <c r="C220" t="s">
        <v>458</v>
      </c>
      <c r="E220" s="3">
        <f t="shared" si="9"/>
        <v>4</v>
      </c>
      <c r="F220" s="5">
        <v>44049.625</v>
      </c>
      <c r="G220" s="19" t="str">
        <f t="shared" si="10"/>
        <v/>
      </c>
      <c r="J220" s="28">
        <f t="shared" si="11"/>
        <v>2.75</v>
      </c>
    </row>
    <row r="221" spans="1:10">
      <c r="A221" s="3">
        <v>11</v>
      </c>
      <c r="B221" t="s">
        <v>174</v>
      </c>
      <c r="C221" t="s">
        <v>458</v>
      </c>
      <c r="E221" s="3">
        <f t="shared" si="9"/>
        <v>5</v>
      </c>
      <c r="F221" s="5">
        <v>44050.625</v>
      </c>
      <c r="G221" s="19" t="str">
        <f t="shared" si="10"/>
        <v/>
      </c>
      <c r="J221" s="28">
        <f t="shared" si="11"/>
        <v>-0.15384615384615385</v>
      </c>
    </row>
    <row r="222" spans="1:10">
      <c r="A222" s="3">
        <v>6</v>
      </c>
      <c r="B222" t="s">
        <v>175</v>
      </c>
      <c r="C222" t="s">
        <v>458</v>
      </c>
      <c r="E222" s="3">
        <f t="shared" si="9"/>
        <v>6</v>
      </c>
      <c r="F222" s="5">
        <v>44051.625</v>
      </c>
      <c r="G222" s="19" t="str">
        <f t="shared" si="10"/>
        <v/>
      </c>
      <c r="J222" s="28">
        <f t="shared" si="11"/>
        <v>-0.25</v>
      </c>
    </row>
    <row r="223" spans="1:10">
      <c r="A223" s="3">
        <v>23</v>
      </c>
      <c r="B223" t="s">
        <v>176</v>
      </c>
      <c r="C223" t="s">
        <v>458</v>
      </c>
      <c r="E223" s="3">
        <f t="shared" si="9"/>
        <v>7</v>
      </c>
      <c r="F223" s="5">
        <v>44052.625</v>
      </c>
      <c r="G223" s="19" t="str">
        <f t="shared" si="10"/>
        <v/>
      </c>
      <c r="J223" s="28">
        <f t="shared" si="11"/>
        <v>2.2857142857142856</v>
      </c>
    </row>
    <row r="224" spans="1:10">
      <c r="A224" s="3">
        <v>12</v>
      </c>
      <c r="B224" t="s">
        <v>177</v>
      </c>
      <c r="C224" t="s">
        <v>458</v>
      </c>
      <c r="E224" s="3">
        <f t="shared" si="9"/>
        <v>1</v>
      </c>
      <c r="F224" s="5">
        <v>44053.625</v>
      </c>
      <c r="G224" s="19" t="str">
        <f t="shared" si="10"/>
        <v>W33</v>
      </c>
      <c r="H224">
        <f>SUM(A224:A230)</f>
        <v>123</v>
      </c>
      <c r="I224" s="28">
        <f>H224/H217-1</f>
        <v>4.2372881355932313E-2</v>
      </c>
      <c r="J224" s="28">
        <f t="shared" si="11"/>
        <v>-0.53846153846153844</v>
      </c>
    </row>
    <row r="225" spans="1:10">
      <c r="A225" s="3">
        <v>23</v>
      </c>
      <c r="B225" t="s">
        <v>178</v>
      </c>
      <c r="C225" t="s">
        <v>458</v>
      </c>
      <c r="E225" s="3">
        <f t="shared" si="9"/>
        <v>2</v>
      </c>
      <c r="F225" s="5">
        <v>44054.625</v>
      </c>
      <c r="G225" s="19" t="str">
        <f t="shared" si="10"/>
        <v/>
      </c>
      <c r="J225" s="28">
        <f t="shared" si="11"/>
        <v>0.21052631578947367</v>
      </c>
    </row>
    <row r="226" spans="1:10">
      <c r="A226" s="3">
        <v>16</v>
      </c>
      <c r="B226" t="s">
        <v>179</v>
      </c>
      <c r="C226" t="s">
        <v>458</v>
      </c>
      <c r="E226" s="3">
        <f t="shared" si="9"/>
        <v>3</v>
      </c>
      <c r="F226" s="5">
        <v>44055.625</v>
      </c>
      <c r="G226" s="19" t="str">
        <f t="shared" si="10"/>
        <v/>
      </c>
      <c r="J226" s="28">
        <f t="shared" si="11"/>
        <v>-0.11111111111111116</v>
      </c>
    </row>
    <row r="227" spans="1:10">
      <c r="A227" s="3">
        <v>13</v>
      </c>
      <c r="B227" t="s">
        <v>180</v>
      </c>
      <c r="C227" t="s">
        <v>458</v>
      </c>
      <c r="E227" s="3">
        <f t="shared" si="9"/>
        <v>4</v>
      </c>
      <c r="F227" s="5">
        <v>44056.625</v>
      </c>
      <c r="G227" s="19" t="str">
        <f t="shared" si="10"/>
        <v/>
      </c>
      <c r="J227" s="28">
        <f t="shared" si="11"/>
        <v>-0.1333333333333333</v>
      </c>
    </row>
    <row r="228" spans="1:10">
      <c r="A228" s="3">
        <v>17</v>
      </c>
      <c r="B228" t="s">
        <v>181</v>
      </c>
      <c r="C228" t="s">
        <v>458</v>
      </c>
      <c r="E228" s="3">
        <f t="shared" si="9"/>
        <v>5</v>
      </c>
      <c r="F228" s="5">
        <v>44057.625</v>
      </c>
      <c r="G228" s="19" t="str">
        <f t="shared" si="10"/>
        <v/>
      </c>
      <c r="J228" s="28">
        <f t="shared" si="11"/>
        <v>0.54545454545454541</v>
      </c>
    </row>
    <row r="229" spans="1:10">
      <c r="A229" s="3">
        <v>11</v>
      </c>
      <c r="B229" t="s">
        <v>182</v>
      </c>
      <c r="C229" t="s">
        <v>458</v>
      </c>
      <c r="E229" s="3">
        <f t="shared" si="9"/>
        <v>6</v>
      </c>
      <c r="F229" s="5">
        <v>44058.625</v>
      </c>
      <c r="G229" s="19" t="str">
        <f t="shared" si="10"/>
        <v/>
      </c>
      <c r="J229" s="28">
        <f t="shared" si="11"/>
        <v>0.83333333333333326</v>
      </c>
    </row>
    <row r="230" spans="1:10">
      <c r="A230" s="3">
        <v>31</v>
      </c>
      <c r="B230" t="s">
        <v>183</v>
      </c>
      <c r="C230" t="s">
        <v>458</v>
      </c>
      <c r="E230" s="3">
        <f t="shared" si="9"/>
        <v>7</v>
      </c>
      <c r="F230" s="5">
        <v>44059.625</v>
      </c>
      <c r="G230" s="19" t="str">
        <f t="shared" si="10"/>
        <v/>
      </c>
      <c r="J230" s="28">
        <f t="shared" si="11"/>
        <v>0.34782608695652173</v>
      </c>
    </row>
    <row r="231" spans="1:10">
      <c r="A231" s="3">
        <v>20</v>
      </c>
      <c r="B231" t="s">
        <v>184</v>
      </c>
      <c r="C231" t="s">
        <v>458</v>
      </c>
      <c r="E231" s="3">
        <f t="shared" si="9"/>
        <v>1</v>
      </c>
      <c r="F231" s="5">
        <v>44060.625</v>
      </c>
      <c r="G231" s="19" t="str">
        <f t="shared" si="10"/>
        <v>W34</v>
      </c>
      <c r="H231">
        <f>SUM(A231:A237)</f>
        <v>117</v>
      </c>
      <c r="I231" s="28">
        <f>H231/H224-1</f>
        <v>-4.8780487804878092E-2</v>
      </c>
      <c r="J231" s="28">
        <f t="shared" si="11"/>
        <v>0.66666666666666674</v>
      </c>
    </row>
    <row r="232" spans="1:10">
      <c r="A232" s="3">
        <v>20</v>
      </c>
      <c r="B232" t="s">
        <v>185</v>
      </c>
      <c r="C232" t="s">
        <v>458</v>
      </c>
      <c r="E232" s="3">
        <f t="shared" si="9"/>
        <v>2</v>
      </c>
      <c r="F232" s="5">
        <v>44061.625</v>
      </c>
      <c r="G232" s="19" t="str">
        <f t="shared" si="10"/>
        <v/>
      </c>
      <c r="J232" s="28">
        <f t="shared" si="11"/>
        <v>-0.13043478260869568</v>
      </c>
    </row>
    <row r="233" spans="1:10">
      <c r="A233" s="3">
        <v>34</v>
      </c>
      <c r="B233" t="s">
        <v>186</v>
      </c>
      <c r="C233" t="s">
        <v>458</v>
      </c>
      <c r="E233" s="3">
        <f t="shared" si="9"/>
        <v>3</v>
      </c>
      <c r="F233" s="5">
        <v>44062.625</v>
      </c>
      <c r="G233" s="19" t="str">
        <f t="shared" si="10"/>
        <v/>
      </c>
      <c r="J233" s="28">
        <f t="shared" si="11"/>
        <v>1.125</v>
      </c>
    </row>
    <row r="234" spans="1:10">
      <c r="A234" s="3">
        <v>17</v>
      </c>
      <c r="B234" t="s">
        <v>187</v>
      </c>
      <c r="C234" t="s">
        <v>458</v>
      </c>
      <c r="E234" s="3">
        <f t="shared" si="9"/>
        <v>4</v>
      </c>
      <c r="F234" s="5">
        <v>44063.625</v>
      </c>
      <c r="G234" s="19" t="str">
        <f t="shared" si="10"/>
        <v/>
      </c>
      <c r="J234" s="28">
        <f t="shared" si="11"/>
        <v>0.30769230769230771</v>
      </c>
    </row>
    <row r="235" spans="1:10">
      <c r="A235" s="3">
        <v>12</v>
      </c>
      <c r="B235" t="s">
        <v>188</v>
      </c>
      <c r="C235" t="s">
        <v>458</v>
      </c>
      <c r="E235" s="3">
        <f t="shared" si="9"/>
        <v>5</v>
      </c>
      <c r="F235" s="5">
        <v>44064.625</v>
      </c>
      <c r="G235" s="19" t="str">
        <f t="shared" si="10"/>
        <v/>
      </c>
      <c r="J235" s="28">
        <f t="shared" si="11"/>
        <v>-0.29411764705882348</v>
      </c>
    </row>
    <row r="236" spans="1:10">
      <c r="A236" s="3">
        <v>8</v>
      </c>
      <c r="B236" t="s">
        <v>189</v>
      </c>
      <c r="C236" t="s">
        <v>458</v>
      </c>
      <c r="E236" s="3">
        <f t="shared" si="9"/>
        <v>6</v>
      </c>
      <c r="F236" s="5">
        <v>44065.625</v>
      </c>
      <c r="G236" s="19" t="str">
        <f t="shared" si="10"/>
        <v/>
      </c>
      <c r="J236" s="28">
        <f t="shared" si="11"/>
        <v>-0.27272727272727271</v>
      </c>
    </row>
    <row r="237" spans="1:10">
      <c r="A237" s="3">
        <v>6</v>
      </c>
      <c r="B237" t="s">
        <v>190</v>
      </c>
      <c r="C237" t="s">
        <v>458</v>
      </c>
      <c r="E237" s="3">
        <f t="shared" si="9"/>
        <v>7</v>
      </c>
      <c r="F237" s="5">
        <v>44066.625</v>
      </c>
      <c r="G237" s="19" t="str">
        <f t="shared" si="10"/>
        <v/>
      </c>
      <c r="J237" s="28">
        <f t="shared" si="11"/>
        <v>-0.80645161290322576</v>
      </c>
    </row>
    <row r="238" spans="1:10">
      <c r="A238" s="3">
        <v>12</v>
      </c>
      <c r="B238" t="s">
        <v>191</v>
      </c>
      <c r="C238" t="s">
        <v>458</v>
      </c>
      <c r="E238" s="3">
        <f t="shared" si="9"/>
        <v>1</v>
      </c>
      <c r="F238" s="5">
        <v>44067.625</v>
      </c>
      <c r="G238" s="19" t="str">
        <f t="shared" si="10"/>
        <v>W35</v>
      </c>
      <c r="H238">
        <f>SUM(A238:A244)</f>
        <v>87</v>
      </c>
      <c r="I238" s="28">
        <f>H238/H231-1</f>
        <v>-0.25641025641025639</v>
      </c>
      <c r="J238" s="28">
        <f t="shared" si="11"/>
        <v>-0.4</v>
      </c>
    </row>
    <row r="239" spans="1:10">
      <c r="A239" s="3">
        <v>9</v>
      </c>
      <c r="B239" t="s">
        <v>192</v>
      </c>
      <c r="C239" t="s">
        <v>458</v>
      </c>
      <c r="E239" s="3">
        <f t="shared" si="9"/>
        <v>2</v>
      </c>
      <c r="F239" s="5">
        <v>44068.625</v>
      </c>
      <c r="G239" s="19" t="str">
        <f t="shared" si="10"/>
        <v/>
      </c>
      <c r="J239" s="28">
        <f t="shared" si="11"/>
        <v>-0.55000000000000004</v>
      </c>
    </row>
    <row r="240" spans="1:10">
      <c r="A240" s="3">
        <v>14</v>
      </c>
      <c r="B240" t="s">
        <v>193</v>
      </c>
      <c r="C240" t="s">
        <v>458</v>
      </c>
      <c r="E240" s="3">
        <f t="shared" si="9"/>
        <v>3</v>
      </c>
      <c r="F240" s="5">
        <v>44069.625</v>
      </c>
      <c r="G240" s="19" t="str">
        <f t="shared" si="10"/>
        <v/>
      </c>
      <c r="J240" s="28">
        <f t="shared" si="11"/>
        <v>-0.58823529411764708</v>
      </c>
    </row>
    <row r="241" spans="1:10">
      <c r="A241" s="3">
        <v>21</v>
      </c>
      <c r="B241" t="s">
        <v>194</v>
      </c>
      <c r="C241" t="s">
        <v>458</v>
      </c>
      <c r="E241" s="3">
        <f t="shared" si="9"/>
        <v>4</v>
      </c>
      <c r="F241" s="5">
        <v>44070.625</v>
      </c>
      <c r="G241" s="19" t="str">
        <f t="shared" si="10"/>
        <v/>
      </c>
      <c r="J241" s="28">
        <f t="shared" si="11"/>
        <v>0.23529411764705888</v>
      </c>
    </row>
    <row r="242" spans="1:10">
      <c r="A242" s="3">
        <v>13</v>
      </c>
      <c r="B242" t="s">
        <v>195</v>
      </c>
      <c r="C242" t="s">
        <v>458</v>
      </c>
      <c r="E242" s="3">
        <f t="shared" si="9"/>
        <v>5</v>
      </c>
      <c r="F242" s="5">
        <v>44071.625</v>
      </c>
      <c r="G242" s="19" t="str">
        <f t="shared" si="10"/>
        <v/>
      </c>
      <c r="J242" s="28">
        <f t="shared" si="11"/>
        <v>8.3333333333333259E-2</v>
      </c>
    </row>
    <row r="243" spans="1:10">
      <c r="A243" s="3">
        <v>7</v>
      </c>
      <c r="B243" t="s">
        <v>196</v>
      </c>
      <c r="C243" t="s">
        <v>458</v>
      </c>
      <c r="E243" s="3">
        <f t="shared" si="9"/>
        <v>6</v>
      </c>
      <c r="F243" s="5">
        <v>44072.625</v>
      </c>
      <c r="G243" s="19" t="str">
        <f t="shared" si="10"/>
        <v/>
      </c>
      <c r="J243" s="28">
        <f t="shared" si="11"/>
        <v>-0.125</v>
      </c>
    </row>
    <row r="244" spans="1:10">
      <c r="A244" s="3">
        <v>11</v>
      </c>
      <c r="B244" t="s">
        <v>197</v>
      </c>
      <c r="C244" t="s">
        <v>458</v>
      </c>
      <c r="E244" s="3">
        <f t="shared" si="9"/>
        <v>7</v>
      </c>
      <c r="F244" s="5">
        <v>44073.625</v>
      </c>
      <c r="G244" s="19" t="str">
        <f t="shared" si="10"/>
        <v/>
      </c>
      <c r="J244" s="28">
        <f t="shared" si="11"/>
        <v>0.83333333333333326</v>
      </c>
    </row>
    <row r="245" spans="1:10">
      <c r="A245" s="3">
        <v>19</v>
      </c>
      <c r="B245" t="s">
        <v>198</v>
      </c>
      <c r="C245" t="s">
        <v>458</v>
      </c>
      <c r="E245" s="3">
        <f t="shared" si="9"/>
        <v>1</v>
      </c>
      <c r="F245" s="5">
        <v>44074.625</v>
      </c>
      <c r="G245" s="19" t="str">
        <f t="shared" si="10"/>
        <v>W36</v>
      </c>
      <c r="H245">
        <f>SUM(A245:A251)</f>
        <v>120</v>
      </c>
      <c r="I245" s="28">
        <f>H245/H238-1</f>
        <v>0.3793103448275863</v>
      </c>
      <c r="J245" s="28">
        <f t="shared" si="11"/>
        <v>0.58333333333333326</v>
      </c>
    </row>
    <row r="246" spans="1:10">
      <c r="A246" s="3">
        <v>17</v>
      </c>
      <c r="B246" t="s">
        <v>199</v>
      </c>
      <c r="C246" t="s">
        <v>458</v>
      </c>
      <c r="E246" s="3">
        <f t="shared" si="9"/>
        <v>2</v>
      </c>
      <c r="F246" s="5">
        <v>44075.625</v>
      </c>
      <c r="G246" s="19" t="str">
        <f t="shared" si="10"/>
        <v/>
      </c>
      <c r="J246" s="28">
        <f t="shared" si="11"/>
        <v>0.88888888888888884</v>
      </c>
    </row>
    <row r="247" spans="1:10">
      <c r="A247" s="3">
        <v>15</v>
      </c>
      <c r="B247" t="s">
        <v>200</v>
      </c>
      <c r="C247" t="s">
        <v>458</v>
      </c>
      <c r="E247" s="3">
        <f t="shared" si="9"/>
        <v>3</v>
      </c>
      <c r="F247" s="5">
        <v>44076.625</v>
      </c>
      <c r="G247" s="19" t="str">
        <f t="shared" si="10"/>
        <v/>
      </c>
      <c r="J247" s="28">
        <f t="shared" si="11"/>
        <v>7.1428571428571397E-2</v>
      </c>
    </row>
    <row r="248" spans="1:10">
      <c r="A248" s="3">
        <v>15</v>
      </c>
      <c r="B248" t="s">
        <v>201</v>
      </c>
      <c r="C248" t="s">
        <v>458</v>
      </c>
      <c r="E248" s="3">
        <f t="shared" si="9"/>
        <v>4</v>
      </c>
      <c r="F248" s="5">
        <v>44077.625</v>
      </c>
      <c r="G248" s="19" t="str">
        <f t="shared" si="10"/>
        <v/>
      </c>
      <c r="J248" s="28">
        <f t="shared" si="11"/>
        <v>-0.2857142857142857</v>
      </c>
    </row>
    <row r="249" spans="1:10">
      <c r="A249" s="3">
        <v>24</v>
      </c>
      <c r="B249" t="s">
        <v>202</v>
      </c>
      <c r="C249" t="s">
        <v>458</v>
      </c>
      <c r="E249" s="3">
        <f t="shared" si="9"/>
        <v>5</v>
      </c>
      <c r="F249" s="5">
        <v>44078.625</v>
      </c>
      <c r="G249" s="19" t="str">
        <f t="shared" si="10"/>
        <v/>
      </c>
      <c r="J249" s="28">
        <f t="shared" si="11"/>
        <v>0.84615384615384626</v>
      </c>
    </row>
    <row r="250" spans="1:10">
      <c r="A250" s="3">
        <v>13</v>
      </c>
      <c r="B250" t="s">
        <v>203</v>
      </c>
      <c r="C250" t="s">
        <v>458</v>
      </c>
      <c r="E250" s="3">
        <f t="shared" si="9"/>
        <v>6</v>
      </c>
      <c r="F250" s="5">
        <v>44079.625</v>
      </c>
      <c r="G250" s="19" t="str">
        <f t="shared" si="10"/>
        <v/>
      </c>
      <c r="J250" s="28">
        <f t="shared" si="11"/>
        <v>0.85714285714285721</v>
      </c>
    </row>
    <row r="251" spans="1:10">
      <c r="A251" s="3">
        <v>17</v>
      </c>
      <c r="B251" t="s">
        <v>204</v>
      </c>
      <c r="C251" t="s">
        <v>458</v>
      </c>
      <c r="E251" s="3">
        <f t="shared" si="9"/>
        <v>7</v>
      </c>
      <c r="F251" s="5">
        <v>44080.625</v>
      </c>
      <c r="G251" s="19" t="str">
        <f t="shared" si="10"/>
        <v/>
      </c>
      <c r="J251" s="28">
        <f t="shared" si="11"/>
        <v>0.54545454545454541</v>
      </c>
    </row>
    <row r="252" spans="1:10">
      <c r="A252" s="3">
        <v>22</v>
      </c>
      <c r="B252" t="s">
        <v>205</v>
      </c>
      <c r="C252" t="s">
        <v>458</v>
      </c>
      <c r="E252" s="3">
        <f t="shared" si="9"/>
        <v>1</v>
      </c>
      <c r="F252" s="5">
        <v>44081.625</v>
      </c>
      <c r="G252" s="19" t="str">
        <f t="shared" si="10"/>
        <v>W37</v>
      </c>
      <c r="H252">
        <f>SUM(A252:A258)</f>
        <v>133</v>
      </c>
      <c r="I252" s="28">
        <f>H252/H245-1</f>
        <v>0.10833333333333339</v>
      </c>
      <c r="J252" s="28">
        <f t="shared" si="11"/>
        <v>0.15789473684210531</v>
      </c>
    </row>
    <row r="253" spans="1:10">
      <c r="A253" s="3">
        <v>19</v>
      </c>
      <c r="B253" t="s">
        <v>206</v>
      </c>
      <c r="C253" t="s">
        <v>458</v>
      </c>
      <c r="E253" s="3">
        <f t="shared" si="9"/>
        <v>2</v>
      </c>
      <c r="F253" s="5">
        <v>44082.625</v>
      </c>
      <c r="G253" s="19" t="str">
        <f t="shared" si="10"/>
        <v/>
      </c>
      <c r="J253" s="28">
        <f t="shared" si="11"/>
        <v>0.11764705882352944</v>
      </c>
    </row>
    <row r="254" spans="1:10">
      <c r="A254" s="3">
        <v>22</v>
      </c>
      <c r="B254" t="s">
        <v>207</v>
      </c>
      <c r="C254" t="s">
        <v>458</v>
      </c>
      <c r="E254" s="3">
        <f t="shared" si="9"/>
        <v>3</v>
      </c>
      <c r="F254" s="5">
        <v>44083.625</v>
      </c>
      <c r="G254" s="19" t="str">
        <f t="shared" si="10"/>
        <v/>
      </c>
      <c r="J254" s="28">
        <f t="shared" si="11"/>
        <v>0.46666666666666656</v>
      </c>
    </row>
    <row r="255" spans="1:10">
      <c r="A255" s="3">
        <v>16</v>
      </c>
      <c r="B255" t="s">
        <v>208</v>
      </c>
      <c r="C255" t="s">
        <v>458</v>
      </c>
      <c r="E255" s="3">
        <f t="shared" si="9"/>
        <v>4</v>
      </c>
      <c r="F255" s="5">
        <v>44084.625</v>
      </c>
      <c r="G255" s="19" t="str">
        <f t="shared" si="10"/>
        <v/>
      </c>
      <c r="J255" s="28">
        <f t="shared" si="11"/>
        <v>6.6666666666666652E-2</v>
      </c>
    </row>
    <row r="256" spans="1:10">
      <c r="A256" s="3">
        <v>25</v>
      </c>
      <c r="B256" t="s">
        <v>209</v>
      </c>
      <c r="C256" t="s">
        <v>458</v>
      </c>
      <c r="E256" s="3">
        <f t="shared" si="9"/>
        <v>5</v>
      </c>
      <c r="F256" s="5">
        <v>44085.625</v>
      </c>
      <c r="G256" s="19" t="str">
        <f t="shared" si="10"/>
        <v/>
      </c>
      <c r="J256" s="28">
        <f t="shared" si="11"/>
        <v>4.1666666666666741E-2</v>
      </c>
    </row>
    <row r="257" spans="1:10">
      <c r="A257" s="3">
        <v>14</v>
      </c>
      <c r="B257" t="s">
        <v>210</v>
      </c>
      <c r="C257" t="s">
        <v>458</v>
      </c>
      <c r="E257" s="3">
        <f t="shared" si="9"/>
        <v>6</v>
      </c>
      <c r="F257" s="5">
        <v>44086.625</v>
      </c>
      <c r="G257" s="19" t="str">
        <f t="shared" si="10"/>
        <v/>
      </c>
      <c r="J257" s="28">
        <f t="shared" si="11"/>
        <v>7.6923076923076872E-2</v>
      </c>
    </row>
    <row r="258" spans="1:10">
      <c r="A258" s="3">
        <v>15</v>
      </c>
      <c r="B258" t="s">
        <v>211</v>
      </c>
      <c r="C258" t="s">
        <v>458</v>
      </c>
      <c r="E258" s="3">
        <f t="shared" si="9"/>
        <v>7</v>
      </c>
      <c r="F258" s="5">
        <v>44087.625</v>
      </c>
      <c r="G258" s="19" t="str">
        <f t="shared" si="10"/>
        <v/>
      </c>
      <c r="J258" s="28">
        <f t="shared" si="11"/>
        <v>-0.11764705882352944</v>
      </c>
    </row>
    <row r="259" spans="1:10">
      <c r="A259" s="3">
        <v>15</v>
      </c>
      <c r="B259" t="s">
        <v>212</v>
      </c>
      <c r="C259" t="s">
        <v>458</v>
      </c>
      <c r="E259" s="3">
        <f t="shared" ref="E259:E324" si="12">WEEKDAY(F259,2)</f>
        <v>1</v>
      </c>
      <c r="F259" s="5">
        <v>44088.625</v>
      </c>
      <c r="G259" s="19" t="str">
        <f t="shared" ref="G259:G322" si="13">IF(WEEKDAY(F259,2)=1,"W"&amp;WEEKNUM(F259,14),"")</f>
        <v>W38</v>
      </c>
      <c r="H259">
        <f>SUM(A259:A265)</f>
        <v>228</v>
      </c>
      <c r="I259" s="28">
        <f>H259/H252-1</f>
        <v>0.71428571428571419</v>
      </c>
      <c r="J259" s="28">
        <f t="shared" si="11"/>
        <v>-0.31818181818181823</v>
      </c>
    </row>
    <row r="260" spans="1:10">
      <c r="A260" s="3">
        <v>25</v>
      </c>
      <c r="B260" t="s">
        <v>213</v>
      </c>
      <c r="C260" t="s">
        <v>458</v>
      </c>
      <c r="E260" s="3">
        <f t="shared" si="12"/>
        <v>2</v>
      </c>
      <c r="F260" s="5">
        <v>44089.625</v>
      </c>
      <c r="G260" s="19" t="str">
        <f t="shared" si="13"/>
        <v/>
      </c>
      <c r="J260" s="28">
        <f t="shared" si="11"/>
        <v>0.31578947368421062</v>
      </c>
    </row>
    <row r="261" spans="1:10">
      <c r="A261" s="3">
        <v>25</v>
      </c>
      <c r="B261" t="s">
        <v>214</v>
      </c>
      <c r="C261" t="s">
        <v>458</v>
      </c>
      <c r="E261" s="3">
        <f t="shared" si="12"/>
        <v>3</v>
      </c>
      <c r="F261" s="5">
        <v>44090.625</v>
      </c>
      <c r="G261" s="19" t="str">
        <f t="shared" si="13"/>
        <v/>
      </c>
      <c r="J261" s="28">
        <f t="shared" si="11"/>
        <v>0.13636363636363646</v>
      </c>
    </row>
    <row r="262" spans="1:10">
      <c r="A262" s="3">
        <v>42</v>
      </c>
      <c r="B262" t="s">
        <v>215</v>
      </c>
      <c r="C262" t="s">
        <v>458</v>
      </c>
      <c r="E262" s="3">
        <f t="shared" si="12"/>
        <v>4</v>
      </c>
      <c r="F262" s="5">
        <v>44091.625</v>
      </c>
      <c r="G262" s="19" t="str">
        <f t="shared" si="13"/>
        <v/>
      </c>
      <c r="J262" s="28">
        <f t="shared" si="11"/>
        <v>1.625</v>
      </c>
    </row>
    <row r="263" spans="1:10">
      <c r="A263" s="3">
        <v>42</v>
      </c>
      <c r="B263" t="s">
        <v>216</v>
      </c>
      <c r="C263" t="s">
        <v>458</v>
      </c>
      <c r="E263" s="3">
        <f t="shared" si="12"/>
        <v>5</v>
      </c>
      <c r="F263" s="5">
        <v>44092.625</v>
      </c>
      <c r="G263" s="19" t="str">
        <f t="shared" si="13"/>
        <v/>
      </c>
      <c r="J263" s="28">
        <f t="shared" si="11"/>
        <v>0.67999999999999994</v>
      </c>
    </row>
    <row r="264" spans="1:10">
      <c r="A264" s="3">
        <v>38</v>
      </c>
      <c r="B264" t="s">
        <v>217</v>
      </c>
      <c r="C264" t="s">
        <v>458</v>
      </c>
      <c r="E264" s="3">
        <f t="shared" si="12"/>
        <v>6</v>
      </c>
      <c r="F264" s="5">
        <v>44093.625</v>
      </c>
      <c r="G264" s="19" t="str">
        <f t="shared" si="13"/>
        <v/>
      </c>
      <c r="J264" s="28">
        <f t="shared" si="11"/>
        <v>1.7142857142857144</v>
      </c>
    </row>
    <row r="265" spans="1:10">
      <c r="A265" s="3">
        <v>41</v>
      </c>
      <c r="B265" t="s">
        <v>218</v>
      </c>
      <c r="C265" t="s">
        <v>458</v>
      </c>
      <c r="E265" s="3">
        <f t="shared" si="12"/>
        <v>7</v>
      </c>
      <c r="F265" s="5">
        <v>44094.625</v>
      </c>
      <c r="G265" s="19" t="str">
        <f t="shared" si="13"/>
        <v/>
      </c>
      <c r="J265" s="28">
        <f t="shared" ref="J265:J328" si="14">A265/A258-1</f>
        <v>1.7333333333333334</v>
      </c>
    </row>
    <row r="266" spans="1:10">
      <c r="A266" s="3">
        <v>66</v>
      </c>
      <c r="B266" t="s">
        <v>219</v>
      </c>
      <c r="C266" t="s">
        <v>458</v>
      </c>
      <c r="E266" s="3">
        <f t="shared" si="12"/>
        <v>1</v>
      </c>
      <c r="F266" s="5">
        <v>44095.625</v>
      </c>
      <c r="G266" s="19" t="str">
        <f t="shared" si="13"/>
        <v>W39</v>
      </c>
      <c r="H266">
        <f>SUM(A266:A272)</f>
        <v>439</v>
      </c>
      <c r="I266" s="28">
        <f>H266/H259-1</f>
        <v>0.92543859649122817</v>
      </c>
      <c r="J266" s="28">
        <f t="shared" si="14"/>
        <v>3.4000000000000004</v>
      </c>
    </row>
    <row r="267" spans="1:10">
      <c r="A267" s="3">
        <v>52</v>
      </c>
      <c r="B267" t="s">
        <v>220</v>
      </c>
      <c r="C267" t="s">
        <v>458</v>
      </c>
      <c r="E267" s="3">
        <f t="shared" si="12"/>
        <v>2</v>
      </c>
      <c r="F267" s="5">
        <v>44096.625</v>
      </c>
      <c r="G267" s="19" t="str">
        <f t="shared" si="13"/>
        <v/>
      </c>
      <c r="J267" s="28">
        <f t="shared" si="14"/>
        <v>1.08</v>
      </c>
    </row>
    <row r="268" spans="1:10">
      <c r="A268" s="3">
        <v>68</v>
      </c>
      <c r="B268" t="s">
        <v>221</v>
      </c>
      <c r="C268" t="s">
        <v>458</v>
      </c>
      <c r="E268" s="3">
        <f t="shared" si="12"/>
        <v>3</v>
      </c>
      <c r="F268" s="5">
        <v>44097.625</v>
      </c>
      <c r="G268" s="19" t="str">
        <f t="shared" si="13"/>
        <v/>
      </c>
      <c r="J268" s="28">
        <f t="shared" si="14"/>
        <v>1.7200000000000002</v>
      </c>
    </row>
    <row r="269" spans="1:10">
      <c r="A269" s="3">
        <v>67</v>
      </c>
      <c r="B269" t="s">
        <v>222</v>
      </c>
      <c r="C269" t="s">
        <v>458</v>
      </c>
      <c r="E269" s="3">
        <f t="shared" si="12"/>
        <v>4</v>
      </c>
      <c r="F269" s="5">
        <v>44098.625</v>
      </c>
      <c r="G269" s="19" t="str">
        <f t="shared" si="13"/>
        <v/>
      </c>
      <c r="J269" s="28">
        <f t="shared" si="14"/>
        <v>0.59523809523809534</v>
      </c>
    </row>
    <row r="270" spans="1:10">
      <c r="A270" s="3">
        <v>85</v>
      </c>
      <c r="B270" t="s">
        <v>223</v>
      </c>
      <c r="C270" t="s">
        <v>458</v>
      </c>
      <c r="E270" s="3">
        <f t="shared" si="12"/>
        <v>5</v>
      </c>
      <c r="F270" s="5">
        <v>44099.625</v>
      </c>
      <c r="G270" s="19" t="str">
        <f t="shared" si="13"/>
        <v/>
      </c>
      <c r="J270" s="28">
        <f t="shared" si="14"/>
        <v>1.0238095238095237</v>
      </c>
    </row>
    <row r="271" spans="1:10">
      <c r="A271" s="3">
        <v>47</v>
      </c>
      <c r="B271" t="s">
        <v>224</v>
      </c>
      <c r="C271" t="s">
        <v>458</v>
      </c>
      <c r="E271" s="3">
        <f t="shared" si="12"/>
        <v>6</v>
      </c>
      <c r="F271" s="5">
        <v>44100.625</v>
      </c>
      <c r="G271" s="19" t="str">
        <f t="shared" si="13"/>
        <v/>
      </c>
      <c r="J271" s="28">
        <f t="shared" si="14"/>
        <v>0.23684210526315796</v>
      </c>
    </row>
    <row r="272" spans="1:10">
      <c r="A272" s="3">
        <v>54</v>
      </c>
      <c r="B272" t="s">
        <v>225</v>
      </c>
      <c r="C272" t="s">
        <v>458</v>
      </c>
      <c r="E272" s="3">
        <f t="shared" si="12"/>
        <v>7</v>
      </c>
      <c r="F272" s="5">
        <v>44101.625</v>
      </c>
      <c r="G272" s="19" t="str">
        <f t="shared" si="13"/>
        <v/>
      </c>
      <c r="J272" s="28">
        <f t="shared" si="14"/>
        <v>0.31707317073170738</v>
      </c>
    </row>
    <row r="273" spans="1:10">
      <c r="A273" s="3">
        <v>83</v>
      </c>
      <c r="B273" t="s">
        <v>226</v>
      </c>
      <c r="C273" t="s">
        <v>458</v>
      </c>
      <c r="E273" s="3">
        <f t="shared" si="12"/>
        <v>1</v>
      </c>
      <c r="F273" s="5">
        <v>44102.625</v>
      </c>
      <c r="G273" s="19" t="str">
        <f t="shared" si="13"/>
        <v>W40</v>
      </c>
      <c r="H273">
        <f>SUM(A273:A279)</f>
        <v>565</v>
      </c>
      <c r="I273" s="28">
        <f>H273/H266-1</f>
        <v>0.28701594533029606</v>
      </c>
      <c r="J273" s="28">
        <f t="shared" si="14"/>
        <v>0.25757575757575757</v>
      </c>
    </row>
    <row r="274" spans="1:10">
      <c r="A274" s="3">
        <v>80</v>
      </c>
      <c r="B274" t="s">
        <v>227</v>
      </c>
      <c r="C274" t="s">
        <v>458</v>
      </c>
      <c r="E274" s="3">
        <f t="shared" si="12"/>
        <v>2</v>
      </c>
      <c r="F274" s="5">
        <v>44103.625</v>
      </c>
      <c r="G274" s="19" t="str">
        <f t="shared" si="13"/>
        <v/>
      </c>
      <c r="J274" s="28">
        <f t="shared" si="14"/>
        <v>0.53846153846153855</v>
      </c>
    </row>
    <row r="275" spans="1:10">
      <c r="A275" s="3">
        <v>94</v>
      </c>
      <c r="B275" t="s">
        <v>229</v>
      </c>
      <c r="C275" t="s">
        <v>458</v>
      </c>
      <c r="E275" s="3">
        <f t="shared" si="12"/>
        <v>3</v>
      </c>
      <c r="F275" s="5">
        <v>44104.625</v>
      </c>
      <c r="G275" s="19" t="str">
        <f t="shared" si="13"/>
        <v/>
      </c>
      <c r="J275" s="28">
        <f t="shared" si="14"/>
        <v>0.38235294117647056</v>
      </c>
    </row>
    <row r="276" spans="1:10">
      <c r="A276" s="3">
        <v>79</v>
      </c>
      <c r="B276" t="s">
        <v>231</v>
      </c>
      <c r="C276" t="s">
        <v>458</v>
      </c>
      <c r="E276" s="3">
        <f t="shared" si="12"/>
        <v>4</v>
      </c>
      <c r="F276" s="5">
        <v>44105.625</v>
      </c>
      <c r="G276" s="19" t="str">
        <f t="shared" si="13"/>
        <v/>
      </c>
      <c r="J276" s="28">
        <f t="shared" si="14"/>
        <v>0.17910447761194037</v>
      </c>
    </row>
    <row r="277" spans="1:10">
      <c r="A277" s="3">
        <v>79</v>
      </c>
      <c r="B277" t="s">
        <v>232</v>
      </c>
      <c r="C277" t="s">
        <v>458</v>
      </c>
      <c r="E277" s="3">
        <f t="shared" si="12"/>
        <v>5</v>
      </c>
      <c r="F277" s="5">
        <v>44106.625</v>
      </c>
      <c r="G277" s="19" t="str">
        <f t="shared" si="13"/>
        <v/>
      </c>
      <c r="J277" s="28">
        <f t="shared" si="14"/>
        <v>-7.0588235294117618E-2</v>
      </c>
    </row>
    <row r="278" spans="1:10">
      <c r="A278" s="3">
        <v>72</v>
      </c>
      <c r="B278" t="s">
        <v>234</v>
      </c>
      <c r="C278" t="s">
        <v>458</v>
      </c>
      <c r="E278" s="3">
        <f t="shared" si="12"/>
        <v>6</v>
      </c>
      <c r="F278" s="5">
        <v>44107.625</v>
      </c>
      <c r="G278" s="19" t="str">
        <f t="shared" si="13"/>
        <v/>
      </c>
      <c r="J278" s="28">
        <f t="shared" si="14"/>
        <v>0.53191489361702127</v>
      </c>
    </row>
    <row r="279" spans="1:10">
      <c r="A279" s="3">
        <v>78</v>
      </c>
      <c r="B279" t="s">
        <v>293</v>
      </c>
      <c r="C279" t="s">
        <v>458</v>
      </c>
      <c r="E279" s="3">
        <f t="shared" si="12"/>
        <v>7</v>
      </c>
      <c r="F279" s="5">
        <v>44108.625</v>
      </c>
      <c r="G279" s="19" t="str">
        <f t="shared" si="13"/>
        <v/>
      </c>
      <c r="J279" s="28">
        <f t="shared" si="14"/>
        <v>0.44444444444444442</v>
      </c>
    </row>
    <row r="280" spans="1:10" s="10" customFormat="1">
      <c r="A280" s="14">
        <v>119</v>
      </c>
      <c r="B280" s="10" t="s">
        <v>294</v>
      </c>
      <c r="C280" s="10" t="s">
        <v>458</v>
      </c>
      <c r="E280" s="14">
        <f t="shared" si="12"/>
        <v>1</v>
      </c>
      <c r="F280" s="18">
        <v>44109.625</v>
      </c>
      <c r="G280" s="19" t="str">
        <f t="shared" si="13"/>
        <v>W41</v>
      </c>
      <c r="H280">
        <f>SUM(A280:A286)</f>
        <v>755</v>
      </c>
      <c r="I280" s="28">
        <f>H280/H273-1</f>
        <v>0.33628318584070804</v>
      </c>
      <c r="J280" s="28">
        <f t="shared" si="14"/>
        <v>0.43373493975903621</v>
      </c>
    </row>
    <row r="281" spans="1:10">
      <c r="A281" s="3">
        <v>129</v>
      </c>
      <c r="B281" t="s">
        <v>295</v>
      </c>
      <c r="C281" t="s">
        <v>458</v>
      </c>
      <c r="E281" s="3">
        <f t="shared" si="12"/>
        <v>2</v>
      </c>
      <c r="F281" s="5">
        <v>44110.625</v>
      </c>
      <c r="G281" s="19" t="str">
        <f t="shared" si="13"/>
        <v/>
      </c>
      <c r="J281" s="28">
        <f t="shared" si="14"/>
        <v>0.61250000000000004</v>
      </c>
    </row>
    <row r="282" spans="1:10">
      <c r="A282" s="3">
        <v>120</v>
      </c>
      <c r="B282" t="s">
        <v>296</v>
      </c>
      <c r="C282" t="s">
        <v>458</v>
      </c>
      <c r="E282" s="3">
        <f t="shared" si="12"/>
        <v>3</v>
      </c>
      <c r="F282" s="5">
        <v>44111.625</v>
      </c>
      <c r="G282" s="19" t="str">
        <f t="shared" si="13"/>
        <v/>
      </c>
      <c r="J282" s="28">
        <f t="shared" si="14"/>
        <v>0.27659574468085113</v>
      </c>
    </row>
    <row r="283" spans="1:10">
      <c r="A283" s="3">
        <v>136</v>
      </c>
      <c r="B283" t="s">
        <v>297</v>
      </c>
      <c r="C283" t="s">
        <v>458</v>
      </c>
      <c r="E283" s="3">
        <f t="shared" si="12"/>
        <v>4</v>
      </c>
      <c r="F283" s="5">
        <v>44112.625</v>
      </c>
      <c r="G283" s="19" t="str">
        <f t="shared" si="13"/>
        <v/>
      </c>
      <c r="J283" s="28">
        <f t="shared" si="14"/>
        <v>0.72151898734177222</v>
      </c>
    </row>
    <row r="284" spans="1:10">
      <c r="A284" s="3">
        <v>126</v>
      </c>
      <c r="B284" t="s">
        <v>298</v>
      </c>
      <c r="C284" t="s">
        <v>458</v>
      </c>
      <c r="E284" s="3">
        <f t="shared" si="12"/>
        <v>5</v>
      </c>
      <c r="F284" s="5">
        <v>44113.625</v>
      </c>
      <c r="G284" s="19" t="str">
        <f t="shared" si="13"/>
        <v/>
      </c>
      <c r="J284" s="28">
        <f t="shared" si="14"/>
        <v>0.59493670886075956</v>
      </c>
    </row>
    <row r="285" spans="1:10">
      <c r="A285" s="3">
        <v>53</v>
      </c>
      <c r="B285" t="s">
        <v>301</v>
      </c>
      <c r="C285" t="s">
        <v>458</v>
      </c>
      <c r="E285" s="3">
        <f t="shared" si="12"/>
        <v>6</v>
      </c>
      <c r="F285" s="5">
        <v>44114.625</v>
      </c>
      <c r="G285" s="19" t="str">
        <f t="shared" si="13"/>
        <v/>
      </c>
      <c r="J285" s="28">
        <f t="shared" si="14"/>
        <v>-0.26388888888888884</v>
      </c>
    </row>
    <row r="286" spans="1:10">
      <c r="A286" s="3">
        <v>72</v>
      </c>
      <c r="B286" t="s">
        <v>302</v>
      </c>
      <c r="C286" t="s">
        <v>458</v>
      </c>
      <c r="E286" s="3">
        <f t="shared" si="12"/>
        <v>7</v>
      </c>
      <c r="F286" s="5">
        <v>44115.625</v>
      </c>
      <c r="G286" s="19" t="str">
        <f t="shared" si="13"/>
        <v/>
      </c>
      <c r="J286" s="28">
        <f t="shared" si="14"/>
        <v>-7.6923076923076872E-2</v>
      </c>
    </row>
    <row r="287" spans="1:10" s="10" customFormat="1">
      <c r="A287" s="14">
        <v>136</v>
      </c>
      <c r="B287" s="10" t="s">
        <v>306</v>
      </c>
      <c r="C287" s="10" t="s">
        <v>458</v>
      </c>
      <c r="E287" s="14">
        <f t="shared" si="12"/>
        <v>1</v>
      </c>
      <c r="F287" s="18">
        <v>44116.625</v>
      </c>
      <c r="G287" s="19" t="str">
        <f t="shared" si="13"/>
        <v>W42</v>
      </c>
      <c r="H287">
        <f>SUM(A287:A293)</f>
        <v>713</v>
      </c>
      <c r="I287" s="28">
        <f>H287/H280-1</f>
        <v>-5.5629139072847722E-2</v>
      </c>
      <c r="J287" s="28">
        <f t="shared" si="14"/>
        <v>0.14285714285714279</v>
      </c>
    </row>
    <row r="288" spans="1:10">
      <c r="A288" s="3">
        <v>118</v>
      </c>
      <c r="B288" t="s">
        <v>307</v>
      </c>
      <c r="C288" t="s">
        <v>458</v>
      </c>
      <c r="E288" s="3">
        <f t="shared" si="12"/>
        <v>2</v>
      </c>
      <c r="F288" s="5">
        <v>44117.625</v>
      </c>
      <c r="G288" s="19" t="str">
        <f t="shared" si="13"/>
        <v/>
      </c>
      <c r="J288" s="28">
        <f t="shared" si="14"/>
        <v>-8.5271317829457405E-2</v>
      </c>
    </row>
    <row r="289" spans="1:10">
      <c r="A289" s="3">
        <v>87</v>
      </c>
      <c r="B289" t="s">
        <v>308</v>
      </c>
      <c r="C289" t="s">
        <v>458</v>
      </c>
      <c r="E289" s="3">
        <f t="shared" si="12"/>
        <v>3</v>
      </c>
      <c r="F289" s="5">
        <v>44118.625</v>
      </c>
      <c r="G289" s="19" t="str">
        <f t="shared" si="13"/>
        <v/>
      </c>
      <c r="J289" s="28">
        <f t="shared" si="14"/>
        <v>-0.27500000000000002</v>
      </c>
    </row>
    <row r="290" spans="1:10">
      <c r="A290" s="3">
        <v>116</v>
      </c>
      <c r="B290" t="s">
        <v>309</v>
      </c>
      <c r="C290" t="s">
        <v>458</v>
      </c>
      <c r="E290" s="3">
        <f t="shared" si="12"/>
        <v>4</v>
      </c>
      <c r="F290" s="5">
        <v>44119.625</v>
      </c>
      <c r="G290" s="19" t="str">
        <f t="shared" si="13"/>
        <v/>
      </c>
      <c r="J290" s="28">
        <f t="shared" si="14"/>
        <v>-0.1470588235294118</v>
      </c>
    </row>
    <row r="291" spans="1:10">
      <c r="A291" s="3">
        <v>119</v>
      </c>
      <c r="B291" t="s">
        <v>310</v>
      </c>
      <c r="C291" t="s">
        <v>458</v>
      </c>
      <c r="E291" s="3">
        <f t="shared" si="12"/>
        <v>5</v>
      </c>
      <c r="F291" s="5">
        <v>44120.625</v>
      </c>
      <c r="G291" s="19" t="str">
        <f t="shared" si="13"/>
        <v/>
      </c>
      <c r="J291" s="28">
        <f t="shared" si="14"/>
        <v>-5.555555555555558E-2</v>
      </c>
    </row>
    <row r="292" spans="1:10">
      <c r="A292" s="3">
        <v>51</v>
      </c>
      <c r="B292" t="s">
        <v>311</v>
      </c>
      <c r="C292" t="s">
        <v>458</v>
      </c>
      <c r="E292" s="3">
        <f t="shared" si="12"/>
        <v>6</v>
      </c>
      <c r="F292" s="5">
        <v>44121.625</v>
      </c>
      <c r="G292" s="19" t="str">
        <f t="shared" si="13"/>
        <v/>
      </c>
      <c r="J292" s="28">
        <f t="shared" si="14"/>
        <v>-3.7735849056603765E-2</v>
      </c>
    </row>
    <row r="293" spans="1:10">
      <c r="A293" s="3">
        <v>86</v>
      </c>
      <c r="B293" t="s">
        <v>312</v>
      </c>
      <c r="C293" t="s">
        <v>458</v>
      </c>
      <c r="E293" s="3">
        <f t="shared" si="12"/>
        <v>7</v>
      </c>
      <c r="F293" s="5">
        <v>44122.625</v>
      </c>
      <c r="G293" s="19" t="str">
        <f t="shared" si="13"/>
        <v/>
      </c>
      <c r="J293" s="28">
        <f t="shared" si="14"/>
        <v>0.19444444444444442</v>
      </c>
    </row>
    <row r="294" spans="1:10" s="10" customFormat="1">
      <c r="A294" s="14">
        <v>127</v>
      </c>
      <c r="B294" s="10" t="s">
        <v>313</v>
      </c>
      <c r="C294" s="10" t="s">
        <v>458</v>
      </c>
      <c r="E294" s="14">
        <f t="shared" si="12"/>
        <v>1</v>
      </c>
      <c r="F294" s="18">
        <v>44123.625</v>
      </c>
      <c r="G294" s="19" t="str">
        <f t="shared" si="13"/>
        <v>W43</v>
      </c>
      <c r="H294">
        <f>SUM(A294:A300)</f>
        <v>673</v>
      </c>
      <c r="I294" s="28">
        <f>H294/H287-1</f>
        <v>-5.6100981767180924E-2</v>
      </c>
      <c r="J294" s="28">
        <f t="shared" si="14"/>
        <v>-6.6176470588235281E-2</v>
      </c>
    </row>
    <row r="295" spans="1:10">
      <c r="A295" s="3">
        <v>90</v>
      </c>
      <c r="B295" t="s">
        <v>314</v>
      </c>
      <c r="C295" t="s">
        <v>458</v>
      </c>
      <c r="E295" s="3">
        <f t="shared" si="12"/>
        <v>2</v>
      </c>
      <c r="F295" s="5">
        <v>44124.625</v>
      </c>
      <c r="G295" s="19" t="str">
        <f t="shared" si="13"/>
        <v/>
      </c>
      <c r="J295" s="28">
        <f t="shared" si="14"/>
        <v>-0.23728813559322037</v>
      </c>
    </row>
    <row r="296" spans="1:10">
      <c r="A296" s="3">
        <v>105</v>
      </c>
      <c r="B296" t="s">
        <v>315</v>
      </c>
      <c r="C296" t="s">
        <v>458</v>
      </c>
      <c r="E296" s="3">
        <f t="shared" si="12"/>
        <v>3</v>
      </c>
      <c r="F296" s="5">
        <v>44125.625</v>
      </c>
      <c r="G296" s="19" t="str">
        <f t="shared" si="13"/>
        <v/>
      </c>
      <c r="J296" s="28">
        <f t="shared" si="14"/>
        <v>0.2068965517241379</v>
      </c>
    </row>
    <row r="297" spans="1:10">
      <c r="A297" s="3">
        <v>111</v>
      </c>
      <c r="B297" t="s">
        <v>316</v>
      </c>
      <c r="C297" t="s">
        <v>458</v>
      </c>
      <c r="E297" s="3">
        <f t="shared" si="12"/>
        <v>4</v>
      </c>
      <c r="F297" s="5">
        <v>44126.625</v>
      </c>
      <c r="G297" s="19" t="str">
        <f t="shared" si="13"/>
        <v/>
      </c>
      <c r="J297" s="28">
        <f t="shared" si="14"/>
        <v>-4.31034482758621E-2</v>
      </c>
    </row>
    <row r="298" spans="1:10">
      <c r="A298" s="3">
        <v>103</v>
      </c>
      <c r="B298" t="s">
        <v>317</v>
      </c>
      <c r="C298" t="s">
        <v>458</v>
      </c>
      <c r="E298" s="3">
        <f t="shared" si="12"/>
        <v>5</v>
      </c>
      <c r="F298" s="5">
        <v>44127.625</v>
      </c>
      <c r="G298" s="19" t="str">
        <f t="shared" si="13"/>
        <v/>
      </c>
      <c r="J298" s="28">
        <f t="shared" si="14"/>
        <v>-0.13445378151260501</v>
      </c>
    </row>
    <row r="299" spans="1:10">
      <c r="A299" s="3">
        <v>66</v>
      </c>
      <c r="B299" t="s">
        <v>318</v>
      </c>
      <c r="C299" t="s">
        <v>458</v>
      </c>
      <c r="E299" s="3">
        <f t="shared" si="12"/>
        <v>6</v>
      </c>
      <c r="F299" s="5">
        <v>44128.625</v>
      </c>
      <c r="G299" s="19" t="str">
        <f t="shared" si="13"/>
        <v/>
      </c>
      <c r="J299" s="28">
        <f t="shared" si="14"/>
        <v>0.29411764705882359</v>
      </c>
    </row>
    <row r="300" spans="1:10">
      <c r="A300" s="3">
        <v>71</v>
      </c>
      <c r="B300" t="s">
        <v>319</v>
      </c>
      <c r="C300" t="s">
        <v>458</v>
      </c>
      <c r="E300" s="3">
        <f t="shared" si="12"/>
        <v>7</v>
      </c>
      <c r="F300" s="5">
        <v>44129.625</v>
      </c>
      <c r="G300" s="19" t="str">
        <f t="shared" si="13"/>
        <v/>
      </c>
      <c r="J300" s="28">
        <f t="shared" si="14"/>
        <v>-0.17441860465116277</v>
      </c>
    </row>
    <row r="301" spans="1:10" s="10" customFormat="1">
      <c r="A301" s="14">
        <v>133</v>
      </c>
      <c r="B301" s="10" t="s">
        <v>320</v>
      </c>
      <c r="C301" s="10" t="s">
        <v>458</v>
      </c>
      <c r="E301" s="14">
        <f t="shared" si="12"/>
        <v>1</v>
      </c>
      <c r="F301" s="18">
        <v>44130.625</v>
      </c>
      <c r="G301" s="19" t="str">
        <f t="shared" si="13"/>
        <v>W44</v>
      </c>
      <c r="H301">
        <f>SUM(A301:A307)</f>
        <v>764</v>
      </c>
      <c r="I301" s="28">
        <f>H301/H294-1</f>
        <v>0.13521545319465078</v>
      </c>
      <c r="J301" s="28">
        <f t="shared" si="14"/>
        <v>4.7244094488188892E-2</v>
      </c>
    </row>
    <row r="302" spans="1:10">
      <c r="A302" s="3">
        <v>120</v>
      </c>
      <c r="B302" t="s">
        <v>321</v>
      </c>
      <c r="C302" t="s">
        <v>458</v>
      </c>
      <c r="E302" s="3">
        <f t="shared" si="12"/>
        <v>2</v>
      </c>
      <c r="F302" s="5">
        <v>44131.625</v>
      </c>
      <c r="G302" s="19" t="str">
        <f t="shared" si="13"/>
        <v/>
      </c>
      <c r="J302" s="28">
        <f t="shared" si="14"/>
        <v>0.33333333333333326</v>
      </c>
    </row>
    <row r="303" spans="1:10">
      <c r="A303" s="3">
        <v>122</v>
      </c>
      <c r="B303" t="s">
        <v>322</v>
      </c>
      <c r="C303" t="s">
        <v>458</v>
      </c>
      <c r="E303" s="3">
        <f t="shared" si="12"/>
        <v>3</v>
      </c>
      <c r="F303" s="5">
        <v>44132.625</v>
      </c>
      <c r="G303" s="19" t="str">
        <f t="shared" si="13"/>
        <v/>
      </c>
      <c r="J303" s="28">
        <f t="shared" si="14"/>
        <v>0.161904761904762</v>
      </c>
    </row>
    <row r="304" spans="1:10">
      <c r="A304" s="3">
        <v>102</v>
      </c>
      <c r="B304" t="s">
        <v>323</v>
      </c>
      <c r="C304" t="s">
        <v>458</v>
      </c>
      <c r="E304" s="3">
        <f t="shared" si="12"/>
        <v>4</v>
      </c>
      <c r="F304" s="5">
        <v>44133.625</v>
      </c>
      <c r="G304" s="19" t="str">
        <f t="shared" si="13"/>
        <v/>
      </c>
      <c r="J304" s="28">
        <f t="shared" si="14"/>
        <v>-8.108108108108103E-2</v>
      </c>
    </row>
    <row r="305" spans="1:10">
      <c r="A305" s="3">
        <v>123</v>
      </c>
      <c r="B305" t="s">
        <v>324</v>
      </c>
      <c r="C305" t="s">
        <v>458</v>
      </c>
      <c r="E305" s="3">
        <f t="shared" si="12"/>
        <v>5</v>
      </c>
      <c r="F305" s="5">
        <v>44134.625</v>
      </c>
      <c r="G305" s="19" t="str">
        <f t="shared" si="13"/>
        <v/>
      </c>
      <c r="J305" s="28">
        <f t="shared" si="14"/>
        <v>0.19417475728155331</v>
      </c>
    </row>
    <row r="306" spans="1:10">
      <c r="A306" s="3">
        <v>72</v>
      </c>
      <c r="B306" t="s">
        <v>325</v>
      </c>
      <c r="C306" t="s">
        <v>458</v>
      </c>
      <c r="E306" s="3">
        <f t="shared" si="12"/>
        <v>6</v>
      </c>
      <c r="F306" s="5">
        <v>44135.625</v>
      </c>
      <c r="G306" s="19" t="str">
        <f t="shared" si="13"/>
        <v/>
      </c>
      <c r="J306" s="28">
        <f t="shared" si="14"/>
        <v>9.0909090909090828E-2</v>
      </c>
    </row>
    <row r="307" spans="1:10">
      <c r="A307" s="3">
        <v>92</v>
      </c>
      <c r="B307" t="s">
        <v>326</v>
      </c>
      <c r="C307" t="s">
        <v>458</v>
      </c>
      <c r="E307" s="3">
        <f t="shared" si="12"/>
        <v>7</v>
      </c>
      <c r="F307" s="5">
        <v>44136.625</v>
      </c>
      <c r="G307" s="19" t="str">
        <f t="shared" si="13"/>
        <v/>
      </c>
      <c r="J307" s="28">
        <f t="shared" si="14"/>
        <v>0.29577464788732399</v>
      </c>
    </row>
    <row r="308" spans="1:10" s="10" customFormat="1">
      <c r="A308" s="14">
        <v>156</v>
      </c>
      <c r="B308" s="10" t="s">
        <v>327</v>
      </c>
      <c r="C308" s="10" t="s">
        <v>458</v>
      </c>
      <c r="E308" s="14">
        <f t="shared" si="12"/>
        <v>1</v>
      </c>
      <c r="F308" s="18">
        <v>44137.625</v>
      </c>
      <c r="G308" s="19" t="str">
        <f t="shared" si="13"/>
        <v>W45</v>
      </c>
      <c r="H308">
        <f>SUM(A308:A314)</f>
        <v>861</v>
      </c>
      <c r="I308" s="28">
        <f>H308/H301-1</f>
        <v>0.12696335078534027</v>
      </c>
      <c r="J308" s="28">
        <f t="shared" si="14"/>
        <v>0.1729323308270676</v>
      </c>
    </row>
    <row r="309" spans="1:10">
      <c r="A309" s="3">
        <v>149</v>
      </c>
      <c r="B309" t="s">
        <v>328</v>
      </c>
      <c r="C309" t="s">
        <v>458</v>
      </c>
      <c r="E309" s="3">
        <f t="shared" si="12"/>
        <v>2</v>
      </c>
      <c r="F309" s="5">
        <v>44138.625</v>
      </c>
      <c r="G309" s="19" t="str">
        <f t="shared" si="13"/>
        <v/>
      </c>
      <c r="J309" s="28">
        <f t="shared" si="14"/>
        <v>0.2416666666666667</v>
      </c>
    </row>
    <row r="310" spans="1:10">
      <c r="A310" s="3">
        <v>126</v>
      </c>
      <c r="B310" t="s">
        <v>329</v>
      </c>
      <c r="C310" t="s">
        <v>458</v>
      </c>
      <c r="E310" s="3">
        <f t="shared" si="12"/>
        <v>3</v>
      </c>
      <c r="F310" s="5">
        <v>44139.625</v>
      </c>
      <c r="G310" s="19" t="str">
        <f t="shared" si="13"/>
        <v/>
      </c>
      <c r="J310" s="28">
        <f t="shared" si="14"/>
        <v>3.2786885245901676E-2</v>
      </c>
    </row>
    <row r="311" spans="1:10">
      <c r="A311" s="3">
        <v>138</v>
      </c>
      <c r="B311" t="s">
        <v>330</v>
      </c>
      <c r="C311" t="s">
        <v>458</v>
      </c>
      <c r="E311" s="3">
        <f t="shared" si="12"/>
        <v>4</v>
      </c>
      <c r="F311" s="5">
        <v>44140.625</v>
      </c>
      <c r="G311" s="19" t="str">
        <f t="shared" si="13"/>
        <v/>
      </c>
      <c r="J311" s="28">
        <f t="shared" si="14"/>
        <v>0.35294117647058831</v>
      </c>
    </row>
    <row r="312" spans="1:10">
      <c r="A312" s="3">
        <v>116</v>
      </c>
      <c r="B312" t="s">
        <v>331</v>
      </c>
      <c r="C312" t="s">
        <v>458</v>
      </c>
      <c r="E312" s="3">
        <f t="shared" si="12"/>
        <v>5</v>
      </c>
      <c r="F312" s="5">
        <v>44141.625</v>
      </c>
      <c r="G312" s="19" t="str">
        <f t="shared" si="13"/>
        <v/>
      </c>
      <c r="J312" s="28">
        <f t="shared" si="14"/>
        <v>-5.6910569105691033E-2</v>
      </c>
    </row>
    <row r="313" spans="1:10">
      <c r="A313" s="3">
        <v>94</v>
      </c>
      <c r="B313" t="s">
        <v>332</v>
      </c>
      <c r="C313" t="s">
        <v>458</v>
      </c>
      <c r="E313" s="3">
        <f t="shared" si="12"/>
        <v>6</v>
      </c>
      <c r="F313" s="5">
        <v>44142.625</v>
      </c>
      <c r="G313" s="19" t="str">
        <f t="shared" si="13"/>
        <v/>
      </c>
      <c r="J313" s="28">
        <f t="shared" si="14"/>
        <v>0.30555555555555558</v>
      </c>
    </row>
    <row r="314" spans="1:10">
      <c r="A314" s="3">
        <v>82</v>
      </c>
      <c r="B314" t="s">
        <v>333</v>
      </c>
      <c r="C314" t="s">
        <v>458</v>
      </c>
      <c r="E314" s="3">
        <f t="shared" si="12"/>
        <v>7</v>
      </c>
      <c r="F314" s="5">
        <v>44143.625</v>
      </c>
      <c r="G314" s="19" t="str">
        <f t="shared" si="13"/>
        <v/>
      </c>
      <c r="J314" s="28">
        <f t="shared" si="14"/>
        <v>-0.10869565217391308</v>
      </c>
    </row>
    <row r="315" spans="1:10">
      <c r="A315" s="3">
        <v>162</v>
      </c>
      <c r="B315" t="s">
        <v>334</v>
      </c>
      <c r="C315" t="s">
        <v>458</v>
      </c>
      <c r="E315" s="3">
        <f t="shared" si="12"/>
        <v>1</v>
      </c>
      <c r="F315" s="5">
        <v>44144.625</v>
      </c>
      <c r="G315" s="19" t="str">
        <f t="shared" si="13"/>
        <v>W46</v>
      </c>
      <c r="H315">
        <f>SUM(A315:A321)</f>
        <v>998</v>
      </c>
      <c r="I315" s="28">
        <f>H315/H308-1</f>
        <v>0.1591173054587689</v>
      </c>
      <c r="J315" s="28">
        <f t="shared" si="14"/>
        <v>3.8461538461538547E-2</v>
      </c>
    </row>
    <row r="316" spans="1:10">
      <c r="A316" s="3">
        <v>127</v>
      </c>
      <c r="B316" t="s">
        <v>335</v>
      </c>
      <c r="C316" t="s">
        <v>458</v>
      </c>
      <c r="E316" s="3">
        <f t="shared" si="12"/>
        <v>2</v>
      </c>
      <c r="F316" s="5">
        <v>44145.625</v>
      </c>
      <c r="G316" s="19" t="str">
        <f t="shared" si="13"/>
        <v/>
      </c>
      <c r="J316" s="28">
        <f t="shared" si="14"/>
        <v>-0.1476510067114094</v>
      </c>
    </row>
    <row r="317" spans="1:10">
      <c r="A317" s="3">
        <v>147</v>
      </c>
      <c r="B317" t="s">
        <v>336</v>
      </c>
      <c r="C317" t="s">
        <v>458</v>
      </c>
      <c r="E317" s="3">
        <f t="shared" si="12"/>
        <v>3</v>
      </c>
      <c r="F317" s="5">
        <v>44146.625</v>
      </c>
      <c r="G317" s="19" t="str">
        <f t="shared" si="13"/>
        <v/>
      </c>
      <c r="J317" s="28">
        <f t="shared" si="14"/>
        <v>0.16666666666666674</v>
      </c>
    </row>
    <row r="318" spans="1:10">
      <c r="A318" s="3">
        <v>194</v>
      </c>
      <c r="B318" t="s">
        <v>337</v>
      </c>
      <c r="C318" t="s">
        <v>458</v>
      </c>
      <c r="E318" s="3">
        <f t="shared" si="12"/>
        <v>4</v>
      </c>
      <c r="F318" s="5">
        <v>44147.625</v>
      </c>
      <c r="G318" s="19" t="str">
        <f t="shared" si="13"/>
        <v/>
      </c>
      <c r="J318" s="28">
        <f t="shared" si="14"/>
        <v>0.40579710144927539</v>
      </c>
    </row>
    <row r="319" spans="1:10">
      <c r="A319" s="3">
        <v>167</v>
      </c>
      <c r="B319" t="s">
        <v>338</v>
      </c>
      <c r="C319" t="s">
        <v>458</v>
      </c>
      <c r="E319" s="3">
        <f t="shared" si="12"/>
        <v>5</v>
      </c>
      <c r="F319" s="5">
        <v>44148.625</v>
      </c>
      <c r="G319" s="19" t="str">
        <f t="shared" si="13"/>
        <v/>
      </c>
      <c r="J319" s="28">
        <f t="shared" si="14"/>
        <v>0.43965517241379315</v>
      </c>
    </row>
    <row r="320" spans="1:10">
      <c r="A320" s="3">
        <v>91</v>
      </c>
      <c r="B320" t="s">
        <v>339</v>
      </c>
      <c r="C320" t="s">
        <v>458</v>
      </c>
      <c r="E320" s="3">
        <f t="shared" si="12"/>
        <v>6</v>
      </c>
      <c r="F320" s="5">
        <v>44149.625</v>
      </c>
      <c r="G320" s="19" t="str">
        <f t="shared" si="13"/>
        <v/>
      </c>
      <c r="J320" s="28">
        <f t="shared" si="14"/>
        <v>-3.1914893617021267E-2</v>
      </c>
    </row>
    <row r="321" spans="1:10">
      <c r="A321" s="3">
        <v>110</v>
      </c>
      <c r="B321" t="s">
        <v>340</v>
      </c>
      <c r="C321" t="s">
        <v>458</v>
      </c>
      <c r="E321" s="3">
        <f t="shared" si="12"/>
        <v>7</v>
      </c>
      <c r="F321" s="5">
        <v>44150.625</v>
      </c>
      <c r="G321" s="19" t="str">
        <f t="shared" si="13"/>
        <v/>
      </c>
      <c r="J321" s="28">
        <f t="shared" si="14"/>
        <v>0.34146341463414642</v>
      </c>
    </row>
    <row r="322" spans="1:10">
      <c r="A322" s="3">
        <v>241</v>
      </c>
      <c r="B322" t="s">
        <v>341</v>
      </c>
      <c r="C322" t="s">
        <v>458</v>
      </c>
      <c r="E322" s="3">
        <f t="shared" si="12"/>
        <v>1</v>
      </c>
      <c r="F322" s="5">
        <v>44151.625</v>
      </c>
      <c r="G322" s="19" t="str">
        <f t="shared" si="13"/>
        <v>W47</v>
      </c>
      <c r="H322">
        <f>SUM(A322:A328)</f>
        <v>1661</v>
      </c>
      <c r="I322" s="28">
        <f>H322/H315-1</f>
        <v>0.6643286573146292</v>
      </c>
      <c r="J322" s="28">
        <f t="shared" si="14"/>
        <v>0.48765432098765427</v>
      </c>
    </row>
    <row r="323" spans="1:10">
      <c r="A323" s="3">
        <v>258</v>
      </c>
      <c r="B323" t="s">
        <v>342</v>
      </c>
      <c r="C323" t="s">
        <v>458</v>
      </c>
      <c r="E323" s="3">
        <f t="shared" si="12"/>
        <v>2</v>
      </c>
      <c r="F323" s="5">
        <v>44152.625</v>
      </c>
      <c r="G323" s="19" t="str">
        <f t="shared" ref="G323:G386" si="15">IF(WEEKDAY(F323,2)=1,"W"&amp;WEEKNUM(F323,14),"")</f>
        <v/>
      </c>
      <c r="J323" s="28">
        <f t="shared" si="14"/>
        <v>1.0314960629921259</v>
      </c>
    </row>
    <row r="324" spans="1:10">
      <c r="A324" s="3">
        <v>240</v>
      </c>
      <c r="B324" t="s">
        <v>343</v>
      </c>
      <c r="C324" t="s">
        <v>458</v>
      </c>
      <c r="E324" s="3">
        <f t="shared" si="12"/>
        <v>3</v>
      </c>
      <c r="F324" s="5">
        <v>44153.625</v>
      </c>
      <c r="G324" s="19" t="str">
        <f t="shared" si="15"/>
        <v/>
      </c>
      <c r="J324" s="28">
        <f t="shared" si="14"/>
        <v>0.63265306122448983</v>
      </c>
    </row>
    <row r="325" spans="1:10">
      <c r="A325" s="3">
        <v>320</v>
      </c>
      <c r="B325" t="s">
        <v>344</v>
      </c>
      <c r="C325" t="s">
        <v>458</v>
      </c>
      <c r="E325" s="3">
        <f t="shared" ref="E325:E388" si="16">WEEKDAY(F325,2)</f>
        <v>4</v>
      </c>
      <c r="F325" s="5">
        <v>44154.625</v>
      </c>
      <c r="G325" s="19" t="str">
        <f t="shared" si="15"/>
        <v/>
      </c>
      <c r="J325" s="28">
        <f t="shared" si="14"/>
        <v>0.64948453608247414</v>
      </c>
    </row>
    <row r="326" spans="1:10">
      <c r="A326" s="3">
        <v>264</v>
      </c>
      <c r="B326" t="s">
        <v>345</v>
      </c>
      <c r="C326" t="s">
        <v>458</v>
      </c>
      <c r="E326" s="3">
        <f t="shared" si="16"/>
        <v>5</v>
      </c>
      <c r="F326" s="5">
        <v>44155.625</v>
      </c>
      <c r="G326" s="19" t="str">
        <f t="shared" si="15"/>
        <v/>
      </c>
      <c r="J326" s="28">
        <f t="shared" si="14"/>
        <v>0.58083832335329344</v>
      </c>
    </row>
    <row r="327" spans="1:10">
      <c r="A327" s="3">
        <v>178</v>
      </c>
      <c r="B327" t="s">
        <v>348</v>
      </c>
      <c r="C327" t="s">
        <v>458</v>
      </c>
      <c r="E327" s="3">
        <f t="shared" si="16"/>
        <v>6</v>
      </c>
      <c r="F327" s="5">
        <v>44156.625</v>
      </c>
      <c r="G327" s="19" t="str">
        <f t="shared" si="15"/>
        <v/>
      </c>
      <c r="J327" s="28">
        <f t="shared" si="14"/>
        <v>0.95604395604395598</v>
      </c>
    </row>
    <row r="328" spans="1:10">
      <c r="A328" s="3">
        <v>160</v>
      </c>
      <c r="B328" t="s">
        <v>349</v>
      </c>
      <c r="C328" t="s">
        <v>458</v>
      </c>
      <c r="E328" s="3">
        <f t="shared" si="16"/>
        <v>7</v>
      </c>
      <c r="F328" s="5">
        <v>44157.625</v>
      </c>
      <c r="G328" s="19" t="str">
        <f t="shared" si="15"/>
        <v/>
      </c>
      <c r="J328" s="28">
        <f t="shared" si="14"/>
        <v>0.45454545454545459</v>
      </c>
    </row>
    <row r="329" spans="1:10">
      <c r="A329" s="3">
        <v>261</v>
      </c>
      <c r="B329" t="s">
        <v>350</v>
      </c>
      <c r="C329" t="s">
        <v>458</v>
      </c>
      <c r="E329" s="3">
        <f t="shared" si="16"/>
        <v>1</v>
      </c>
      <c r="F329" s="5">
        <v>44158.625</v>
      </c>
      <c r="G329" s="19" t="str">
        <f t="shared" si="15"/>
        <v>W48</v>
      </c>
      <c r="H329">
        <f>SUM(A329:A335)</f>
        <v>1655</v>
      </c>
      <c r="I329" s="28">
        <f>H329/H322-1</f>
        <v>-3.6122817579771205E-3</v>
      </c>
      <c r="J329" s="28">
        <f t="shared" ref="J329:J392" si="17">A329/A322-1</f>
        <v>8.2987551867219844E-2</v>
      </c>
    </row>
    <row r="330" spans="1:10">
      <c r="A330" s="3">
        <v>283</v>
      </c>
      <c r="B330" t="s">
        <v>351</v>
      </c>
      <c r="C330" t="s">
        <v>458</v>
      </c>
      <c r="E330" s="3">
        <f t="shared" si="16"/>
        <v>2</v>
      </c>
      <c r="F330" s="5">
        <v>44159.625</v>
      </c>
      <c r="G330" s="19" t="str">
        <f t="shared" si="15"/>
        <v/>
      </c>
      <c r="J330" s="28">
        <f t="shared" si="17"/>
        <v>9.68992248062015E-2</v>
      </c>
    </row>
    <row r="331" spans="1:10">
      <c r="A331" s="3">
        <v>299</v>
      </c>
      <c r="B331" t="s">
        <v>352</v>
      </c>
      <c r="C331" t="s">
        <v>458</v>
      </c>
      <c r="E331" s="3">
        <f t="shared" si="16"/>
        <v>3</v>
      </c>
      <c r="F331" s="5">
        <v>44160.625</v>
      </c>
      <c r="G331" s="19" t="str">
        <f t="shared" si="15"/>
        <v/>
      </c>
      <c r="J331" s="28">
        <f t="shared" si="17"/>
        <v>0.24583333333333335</v>
      </c>
    </row>
    <row r="332" spans="1:10">
      <c r="A332" s="3">
        <v>262</v>
      </c>
      <c r="B332" t="s">
        <v>355</v>
      </c>
      <c r="C332" t="s">
        <v>458</v>
      </c>
      <c r="E332" s="3">
        <f t="shared" si="16"/>
        <v>4</v>
      </c>
      <c r="F332" s="5">
        <v>44161.625</v>
      </c>
      <c r="G332" s="19" t="str">
        <f t="shared" si="15"/>
        <v/>
      </c>
      <c r="J332" s="28">
        <f t="shared" si="17"/>
        <v>-0.18125000000000002</v>
      </c>
    </row>
    <row r="333" spans="1:10">
      <c r="A333" s="3">
        <v>241</v>
      </c>
      <c r="B333" t="s">
        <v>356</v>
      </c>
      <c r="C333" t="s">
        <v>458</v>
      </c>
      <c r="E333" s="3">
        <f t="shared" si="16"/>
        <v>5</v>
      </c>
      <c r="F333" s="5">
        <v>44162.625</v>
      </c>
      <c r="G333" s="19" t="str">
        <f t="shared" si="15"/>
        <v/>
      </c>
      <c r="J333" s="28">
        <f t="shared" si="17"/>
        <v>-8.7121212121212155E-2</v>
      </c>
    </row>
    <row r="334" spans="1:10">
      <c r="A334" s="3">
        <v>151</v>
      </c>
      <c r="B334" t="s">
        <v>357</v>
      </c>
      <c r="C334" t="s">
        <v>458</v>
      </c>
      <c r="E334" s="3">
        <f t="shared" si="16"/>
        <v>6</v>
      </c>
      <c r="F334" s="5">
        <v>44163.625</v>
      </c>
      <c r="G334" s="19" t="str">
        <f t="shared" si="15"/>
        <v/>
      </c>
      <c r="J334" s="28">
        <f t="shared" si="17"/>
        <v>-0.151685393258427</v>
      </c>
    </row>
    <row r="335" spans="1:10">
      <c r="A335" s="3">
        <v>158</v>
      </c>
      <c r="B335" t="s">
        <v>358</v>
      </c>
      <c r="C335" t="s">
        <v>458</v>
      </c>
      <c r="E335" s="3">
        <f t="shared" si="16"/>
        <v>7</v>
      </c>
      <c r="F335" s="5">
        <v>44164.625</v>
      </c>
      <c r="G335" s="19" t="str">
        <f t="shared" si="15"/>
        <v/>
      </c>
      <c r="J335" s="28">
        <f t="shared" si="17"/>
        <v>-1.2499999999999956E-2</v>
      </c>
    </row>
    <row r="336" spans="1:10">
      <c r="A336" s="3">
        <v>313</v>
      </c>
      <c r="B336" t="s">
        <v>359</v>
      </c>
      <c r="C336" t="s">
        <v>458</v>
      </c>
      <c r="E336" s="3">
        <f t="shared" si="16"/>
        <v>1</v>
      </c>
      <c r="F336" s="5">
        <v>44165.625</v>
      </c>
      <c r="G336" s="19" t="str">
        <f t="shared" si="15"/>
        <v>W49</v>
      </c>
      <c r="H336">
        <f>SUM(A336:A342)</f>
        <v>1595</v>
      </c>
      <c r="I336" s="28">
        <f>H336/H329-1</f>
        <v>-3.6253776435045348E-2</v>
      </c>
      <c r="J336" s="28">
        <f t="shared" si="17"/>
        <v>0.19923371647509569</v>
      </c>
    </row>
    <row r="337" spans="1:10">
      <c r="A337" s="3">
        <v>220</v>
      </c>
      <c r="B337" t="s">
        <v>361</v>
      </c>
      <c r="C337" t="s">
        <v>458</v>
      </c>
      <c r="E337" s="3">
        <f t="shared" si="16"/>
        <v>2</v>
      </c>
      <c r="F337" s="5">
        <v>44166.625</v>
      </c>
      <c r="G337" s="19" t="str">
        <f t="shared" si="15"/>
        <v/>
      </c>
      <c r="J337" s="28">
        <f t="shared" si="17"/>
        <v>-0.22261484098939932</v>
      </c>
    </row>
    <row r="338" spans="1:10">
      <c r="A338" s="3">
        <v>250</v>
      </c>
      <c r="B338" t="s">
        <v>362</v>
      </c>
      <c r="C338" t="s">
        <v>458</v>
      </c>
      <c r="E338" s="3">
        <f t="shared" si="16"/>
        <v>3</v>
      </c>
      <c r="F338" s="5">
        <v>44167.625</v>
      </c>
      <c r="G338" s="19" t="str">
        <f t="shared" si="15"/>
        <v/>
      </c>
      <c r="J338" s="28">
        <f t="shared" si="17"/>
        <v>-0.16387959866220736</v>
      </c>
    </row>
    <row r="339" spans="1:10">
      <c r="A339" s="3">
        <v>280</v>
      </c>
      <c r="B339" t="s">
        <v>363</v>
      </c>
      <c r="C339" t="s">
        <v>458</v>
      </c>
      <c r="E339" s="3">
        <f t="shared" si="16"/>
        <v>4</v>
      </c>
      <c r="F339" s="5">
        <v>44168.625</v>
      </c>
      <c r="G339" s="19" t="str">
        <f t="shared" si="15"/>
        <v/>
      </c>
      <c r="J339" s="28">
        <f t="shared" si="17"/>
        <v>6.8702290076335881E-2</v>
      </c>
    </row>
    <row r="340" spans="1:10">
      <c r="A340" s="3">
        <v>223</v>
      </c>
      <c r="B340" t="s">
        <v>364</v>
      </c>
      <c r="C340" t="s">
        <v>458</v>
      </c>
      <c r="E340" s="3">
        <f t="shared" si="16"/>
        <v>5</v>
      </c>
      <c r="F340" s="5">
        <v>44169.625</v>
      </c>
      <c r="G340" s="19" t="str">
        <f t="shared" si="15"/>
        <v/>
      </c>
      <c r="J340" s="28">
        <f t="shared" si="17"/>
        <v>-7.4688796680497882E-2</v>
      </c>
    </row>
    <row r="341" spans="1:10">
      <c r="A341" s="3">
        <v>153</v>
      </c>
      <c r="B341" t="s">
        <v>365</v>
      </c>
      <c r="C341" t="s">
        <v>458</v>
      </c>
      <c r="E341" s="3">
        <f t="shared" si="16"/>
        <v>6</v>
      </c>
      <c r="F341" s="5">
        <v>44170.625</v>
      </c>
      <c r="G341" s="19" t="str">
        <f t="shared" si="15"/>
        <v/>
      </c>
      <c r="J341" s="28">
        <f t="shared" si="17"/>
        <v>1.3245033112582849E-2</v>
      </c>
    </row>
    <row r="342" spans="1:10">
      <c r="A342" s="3">
        <v>156</v>
      </c>
      <c r="B342" t="s">
        <v>366</v>
      </c>
      <c r="C342" t="s">
        <v>458</v>
      </c>
      <c r="E342" s="3">
        <f t="shared" si="16"/>
        <v>7</v>
      </c>
      <c r="F342" s="5">
        <v>44171.625</v>
      </c>
      <c r="G342" s="19" t="str">
        <f t="shared" si="15"/>
        <v/>
      </c>
      <c r="J342" s="28">
        <f t="shared" si="17"/>
        <v>-1.2658227848101222E-2</v>
      </c>
    </row>
    <row r="343" spans="1:10">
      <c r="A343" s="3">
        <v>284</v>
      </c>
      <c r="B343" t="s">
        <v>367</v>
      </c>
      <c r="C343" t="s">
        <v>458</v>
      </c>
      <c r="E343" s="3">
        <f t="shared" si="16"/>
        <v>1</v>
      </c>
      <c r="F343" s="5">
        <v>44172.625</v>
      </c>
      <c r="G343" s="19" t="str">
        <f t="shared" si="15"/>
        <v>W50</v>
      </c>
      <c r="H343">
        <f>SUM(A343:A349)</f>
        <v>1580</v>
      </c>
      <c r="I343" s="28">
        <f>H343/H336-1</f>
        <v>-9.4043887147335914E-3</v>
      </c>
      <c r="J343" s="28">
        <f t="shared" si="17"/>
        <v>-9.2651757188498385E-2</v>
      </c>
    </row>
    <row r="344" spans="1:10">
      <c r="A344" s="3">
        <v>254</v>
      </c>
      <c r="B344" t="s">
        <v>368</v>
      </c>
      <c r="C344" t="s">
        <v>458</v>
      </c>
      <c r="E344" s="3">
        <f t="shared" si="16"/>
        <v>2</v>
      </c>
      <c r="F344" s="5">
        <v>44173.625</v>
      </c>
      <c r="G344" s="19" t="str">
        <f t="shared" si="15"/>
        <v/>
      </c>
      <c r="J344" s="28">
        <f t="shared" si="17"/>
        <v>0.15454545454545454</v>
      </c>
    </row>
    <row r="345" spans="1:10">
      <c r="A345" s="3">
        <v>268</v>
      </c>
      <c r="B345" t="s">
        <v>369</v>
      </c>
      <c r="C345" t="s">
        <v>458</v>
      </c>
      <c r="E345" s="3">
        <f t="shared" si="16"/>
        <v>3</v>
      </c>
      <c r="F345" s="5">
        <v>44174.625</v>
      </c>
      <c r="G345" s="19" t="str">
        <f t="shared" si="15"/>
        <v/>
      </c>
      <c r="J345" s="28">
        <f t="shared" si="17"/>
        <v>7.2000000000000064E-2</v>
      </c>
    </row>
    <row r="346" spans="1:10">
      <c r="A346" s="3">
        <v>222</v>
      </c>
      <c r="B346" t="s">
        <v>370</v>
      </c>
      <c r="C346" t="s">
        <v>458</v>
      </c>
      <c r="E346" s="3">
        <f t="shared" si="16"/>
        <v>4</v>
      </c>
      <c r="F346" s="5">
        <v>44175.625</v>
      </c>
      <c r="G346" s="19" t="str">
        <f t="shared" si="15"/>
        <v/>
      </c>
      <c r="J346" s="28">
        <f t="shared" si="17"/>
        <v>-0.20714285714285718</v>
      </c>
    </row>
    <row r="347" spans="1:10">
      <c r="A347" s="3">
        <v>236</v>
      </c>
      <c r="B347" t="s">
        <v>371</v>
      </c>
      <c r="C347" t="s">
        <v>458</v>
      </c>
      <c r="E347" s="3">
        <f t="shared" si="16"/>
        <v>5</v>
      </c>
      <c r="F347" s="5">
        <v>44176.625</v>
      </c>
      <c r="G347" s="19" t="str">
        <f t="shared" si="15"/>
        <v/>
      </c>
      <c r="J347" s="28">
        <f t="shared" si="17"/>
        <v>5.8295964125560484E-2</v>
      </c>
    </row>
    <row r="348" spans="1:10">
      <c r="A348" s="3">
        <v>147</v>
      </c>
      <c r="B348" t="s">
        <v>372</v>
      </c>
      <c r="C348" t="s">
        <v>458</v>
      </c>
      <c r="E348" s="3">
        <f t="shared" si="16"/>
        <v>6</v>
      </c>
      <c r="F348" s="5">
        <v>44177.625</v>
      </c>
      <c r="G348" s="19" t="str">
        <f t="shared" si="15"/>
        <v/>
      </c>
      <c r="J348" s="28">
        <f t="shared" si="17"/>
        <v>-3.9215686274509776E-2</v>
      </c>
    </row>
    <row r="349" spans="1:10">
      <c r="A349" s="3">
        <v>169</v>
      </c>
      <c r="B349" t="s">
        <v>373</v>
      </c>
      <c r="C349" t="s">
        <v>458</v>
      </c>
      <c r="E349" s="3">
        <f t="shared" si="16"/>
        <v>7</v>
      </c>
      <c r="F349" s="5">
        <v>44178.625</v>
      </c>
      <c r="G349" s="19" t="str">
        <f t="shared" si="15"/>
        <v/>
      </c>
      <c r="J349" s="28">
        <f t="shared" si="17"/>
        <v>8.3333333333333259E-2</v>
      </c>
    </row>
    <row r="350" spans="1:10">
      <c r="A350" s="3">
        <v>233</v>
      </c>
      <c r="B350" t="s">
        <v>374</v>
      </c>
      <c r="C350" t="s">
        <v>458</v>
      </c>
      <c r="E350" s="3">
        <f t="shared" si="16"/>
        <v>1</v>
      </c>
      <c r="F350" s="5">
        <v>44179.625</v>
      </c>
      <c r="G350" s="19" t="str">
        <f t="shared" si="15"/>
        <v>W51</v>
      </c>
      <c r="H350">
        <f>SUM(A350:A356)</f>
        <v>1223</v>
      </c>
      <c r="I350" s="28">
        <f>H350/H343-1</f>
        <v>-0.22594936708860758</v>
      </c>
      <c r="J350" s="28">
        <f t="shared" si="17"/>
        <v>-0.17957746478873238</v>
      </c>
    </row>
    <row r="351" spans="1:10">
      <c r="A351" s="3">
        <v>194</v>
      </c>
      <c r="B351" t="s">
        <v>375</v>
      </c>
      <c r="C351" t="s">
        <v>458</v>
      </c>
      <c r="E351" s="3">
        <f t="shared" si="16"/>
        <v>2</v>
      </c>
      <c r="F351" s="5">
        <v>44180.625</v>
      </c>
      <c r="G351" s="19" t="str">
        <f t="shared" si="15"/>
        <v/>
      </c>
      <c r="J351" s="28">
        <f t="shared" si="17"/>
        <v>-0.23622047244094491</v>
      </c>
    </row>
    <row r="352" spans="1:10">
      <c r="A352" s="3">
        <v>192</v>
      </c>
      <c r="B352" t="s">
        <v>376</v>
      </c>
      <c r="C352" t="s">
        <v>458</v>
      </c>
      <c r="E352" s="3">
        <f t="shared" si="16"/>
        <v>3</v>
      </c>
      <c r="F352" s="5">
        <v>44181.625</v>
      </c>
      <c r="G352" s="19" t="str">
        <f t="shared" si="15"/>
        <v/>
      </c>
      <c r="J352" s="28">
        <f t="shared" si="17"/>
        <v>-0.28358208955223885</v>
      </c>
    </row>
    <row r="353" spans="1:10">
      <c r="A353" s="3">
        <v>151</v>
      </c>
      <c r="B353" t="s">
        <v>377</v>
      </c>
      <c r="C353" t="s">
        <v>458</v>
      </c>
      <c r="E353" s="3">
        <f t="shared" si="16"/>
        <v>4</v>
      </c>
      <c r="F353" s="5">
        <v>44182.625</v>
      </c>
      <c r="G353" s="19" t="str">
        <f t="shared" si="15"/>
        <v/>
      </c>
      <c r="J353" s="28">
        <f t="shared" si="17"/>
        <v>-0.31981981981981977</v>
      </c>
    </row>
    <row r="354" spans="1:10">
      <c r="A354" s="3">
        <v>181</v>
      </c>
      <c r="B354" t="s">
        <v>378</v>
      </c>
      <c r="C354" t="s">
        <v>458</v>
      </c>
      <c r="E354" s="3">
        <f t="shared" si="16"/>
        <v>5</v>
      </c>
      <c r="F354" s="5">
        <v>44183.625</v>
      </c>
      <c r="G354" s="19" t="str">
        <f t="shared" si="15"/>
        <v/>
      </c>
      <c r="J354" s="28">
        <f t="shared" si="17"/>
        <v>-0.23305084745762716</v>
      </c>
    </row>
    <row r="355" spans="1:10">
      <c r="A355" s="3">
        <v>125</v>
      </c>
      <c r="B355" t="s">
        <v>379</v>
      </c>
      <c r="C355" t="s">
        <v>458</v>
      </c>
      <c r="E355" s="3">
        <f t="shared" si="16"/>
        <v>6</v>
      </c>
      <c r="F355" s="5">
        <v>44184.625</v>
      </c>
      <c r="G355" s="19" t="str">
        <f t="shared" si="15"/>
        <v/>
      </c>
      <c r="J355" s="28">
        <f t="shared" si="17"/>
        <v>-0.14965986394557829</v>
      </c>
    </row>
    <row r="356" spans="1:10">
      <c r="A356" s="3">
        <v>147</v>
      </c>
      <c r="B356" t="s">
        <v>380</v>
      </c>
      <c r="C356" t="s">
        <v>458</v>
      </c>
      <c r="E356" s="3">
        <f t="shared" si="16"/>
        <v>7</v>
      </c>
      <c r="F356" s="5">
        <v>44185.625</v>
      </c>
      <c r="G356" s="19" t="str">
        <f t="shared" si="15"/>
        <v/>
      </c>
      <c r="J356" s="28">
        <f t="shared" si="17"/>
        <v>-0.13017751479289941</v>
      </c>
    </row>
    <row r="357" spans="1:10">
      <c r="A357" s="3">
        <v>202</v>
      </c>
      <c r="B357" t="s">
        <v>381</v>
      </c>
      <c r="C357" t="s">
        <v>458</v>
      </c>
      <c r="E357" s="3">
        <f t="shared" si="16"/>
        <v>1</v>
      </c>
      <c r="F357" s="5">
        <v>44186.625</v>
      </c>
      <c r="G357" s="19" t="str">
        <f t="shared" si="15"/>
        <v>W52</v>
      </c>
      <c r="H357">
        <f>SUM(A357:A363)</f>
        <v>940</v>
      </c>
      <c r="I357" s="28">
        <f>H357/H350-1</f>
        <v>-0.23139820114472609</v>
      </c>
      <c r="J357" s="28">
        <f t="shared" si="17"/>
        <v>-0.13304721030042921</v>
      </c>
    </row>
    <row r="358" spans="1:10">
      <c r="A358" s="3">
        <v>197</v>
      </c>
      <c r="B358" t="s">
        <v>382</v>
      </c>
      <c r="C358" t="s">
        <v>458</v>
      </c>
      <c r="E358" s="3">
        <f t="shared" si="16"/>
        <v>2</v>
      </c>
      <c r="F358" s="5">
        <v>44187.625</v>
      </c>
      <c r="G358" s="19" t="str">
        <f t="shared" si="15"/>
        <v/>
      </c>
      <c r="J358" s="28">
        <f t="shared" si="17"/>
        <v>1.5463917525773141E-2</v>
      </c>
    </row>
    <row r="359" spans="1:10">
      <c r="A359" s="3">
        <v>146</v>
      </c>
      <c r="B359" t="s">
        <v>383</v>
      </c>
      <c r="C359" t="s">
        <v>458</v>
      </c>
      <c r="E359" s="3">
        <f t="shared" si="16"/>
        <v>3</v>
      </c>
      <c r="F359" s="5">
        <v>44188.625</v>
      </c>
      <c r="G359" s="19" t="str">
        <f t="shared" si="15"/>
        <v/>
      </c>
      <c r="J359" s="28">
        <f t="shared" si="17"/>
        <v>-0.23958333333333337</v>
      </c>
    </row>
    <row r="360" spans="1:10">
      <c r="A360" s="3">
        <v>95</v>
      </c>
      <c r="B360" t="s">
        <v>384</v>
      </c>
      <c r="C360" t="s">
        <v>458</v>
      </c>
      <c r="E360" s="3">
        <f t="shared" si="16"/>
        <v>4</v>
      </c>
      <c r="F360" s="5">
        <v>44189.625</v>
      </c>
      <c r="G360" s="19" t="str">
        <f t="shared" si="15"/>
        <v/>
      </c>
      <c r="J360" s="28">
        <f t="shared" si="17"/>
        <v>-0.37086092715231789</v>
      </c>
    </row>
    <row r="361" spans="1:10">
      <c r="A361" s="3">
        <v>96</v>
      </c>
      <c r="B361" t="s">
        <v>385</v>
      </c>
      <c r="C361" t="s">
        <v>458</v>
      </c>
      <c r="E361" s="3">
        <f t="shared" si="16"/>
        <v>5</v>
      </c>
      <c r="F361" s="5">
        <v>44190.625</v>
      </c>
      <c r="G361" s="19" t="str">
        <f t="shared" si="15"/>
        <v/>
      </c>
      <c r="J361" s="28">
        <f t="shared" si="17"/>
        <v>-0.46961325966850831</v>
      </c>
    </row>
    <row r="362" spans="1:10">
      <c r="A362" s="3">
        <v>93</v>
      </c>
      <c r="B362" t="s">
        <v>386</v>
      </c>
      <c r="C362" t="s">
        <v>458</v>
      </c>
      <c r="E362" s="3">
        <f t="shared" si="16"/>
        <v>6</v>
      </c>
      <c r="F362" s="5">
        <v>44191.625</v>
      </c>
      <c r="G362" s="19" t="str">
        <f t="shared" si="15"/>
        <v/>
      </c>
      <c r="J362" s="28">
        <f t="shared" si="17"/>
        <v>-0.25600000000000001</v>
      </c>
    </row>
    <row r="363" spans="1:10">
      <c r="A363" s="3">
        <v>111</v>
      </c>
      <c r="B363" t="s">
        <v>387</v>
      </c>
      <c r="C363" t="s">
        <v>458</v>
      </c>
      <c r="E363" s="3">
        <f t="shared" si="16"/>
        <v>7</v>
      </c>
      <c r="F363" s="5">
        <v>44192.625</v>
      </c>
      <c r="G363" s="19" t="str">
        <f t="shared" si="15"/>
        <v/>
      </c>
      <c r="J363" s="28">
        <f t="shared" si="17"/>
        <v>-0.24489795918367352</v>
      </c>
    </row>
    <row r="364" spans="1:10">
      <c r="A364" s="3">
        <v>225</v>
      </c>
      <c r="B364" t="s">
        <v>388</v>
      </c>
      <c r="C364" t="s">
        <v>458</v>
      </c>
      <c r="E364" s="3">
        <f t="shared" si="16"/>
        <v>1</v>
      </c>
      <c r="F364" s="5">
        <v>44193.625</v>
      </c>
      <c r="G364" s="19" t="str">
        <f t="shared" si="15"/>
        <v>W53</v>
      </c>
      <c r="H364">
        <f>SUM(A364:A370)</f>
        <v>911</v>
      </c>
      <c r="I364" s="28">
        <f>H364/H357-1</f>
        <v>-3.0851063829787195E-2</v>
      </c>
      <c r="J364" s="28">
        <f t="shared" si="17"/>
        <v>0.11386138613861396</v>
      </c>
    </row>
    <row r="365" spans="1:10">
      <c r="A365" s="3">
        <v>164</v>
      </c>
      <c r="B365" t="s">
        <v>389</v>
      </c>
      <c r="C365" t="s">
        <v>458</v>
      </c>
      <c r="E365" s="3">
        <f t="shared" si="16"/>
        <v>2</v>
      </c>
      <c r="F365" s="5">
        <v>44194.625</v>
      </c>
      <c r="G365" s="19" t="str">
        <f t="shared" si="15"/>
        <v/>
      </c>
      <c r="J365" s="28">
        <f t="shared" si="17"/>
        <v>-0.1675126903553299</v>
      </c>
    </row>
    <row r="366" spans="1:10">
      <c r="A366" s="3">
        <v>110</v>
      </c>
      <c r="B366" t="s">
        <v>390</v>
      </c>
      <c r="C366" t="s">
        <v>458</v>
      </c>
      <c r="E366" s="3">
        <f t="shared" si="16"/>
        <v>3</v>
      </c>
      <c r="F366" s="5">
        <v>44195.625</v>
      </c>
      <c r="G366" s="19" t="str">
        <f t="shared" si="15"/>
        <v/>
      </c>
      <c r="J366" s="28">
        <f t="shared" si="17"/>
        <v>-0.24657534246575341</v>
      </c>
    </row>
    <row r="367" spans="1:10">
      <c r="A367" s="3">
        <v>135</v>
      </c>
      <c r="B367" t="s">
        <v>391</v>
      </c>
      <c r="C367" t="s">
        <v>458</v>
      </c>
      <c r="E367" s="3">
        <f t="shared" si="16"/>
        <v>4</v>
      </c>
      <c r="F367" s="5">
        <v>44196.625</v>
      </c>
      <c r="G367" s="19" t="str">
        <f t="shared" si="15"/>
        <v/>
      </c>
      <c r="J367" s="28">
        <f t="shared" si="17"/>
        <v>0.42105263157894735</v>
      </c>
    </row>
    <row r="368" spans="1:10">
      <c r="A368" s="3">
        <v>67</v>
      </c>
      <c r="B368" t="s">
        <v>392</v>
      </c>
      <c r="C368" t="s">
        <v>458</v>
      </c>
      <c r="E368" s="3">
        <f t="shared" si="16"/>
        <v>5</v>
      </c>
      <c r="F368" s="5">
        <v>44197.625</v>
      </c>
      <c r="G368" s="19" t="str">
        <f t="shared" si="15"/>
        <v/>
      </c>
      <c r="J368" s="28">
        <f t="shared" si="17"/>
        <v>-0.30208333333333337</v>
      </c>
    </row>
    <row r="369" spans="1:10">
      <c r="A369" s="3">
        <v>117</v>
      </c>
      <c r="B369" t="s">
        <v>393</v>
      </c>
      <c r="C369" t="s">
        <v>458</v>
      </c>
      <c r="E369" s="3">
        <f t="shared" si="16"/>
        <v>6</v>
      </c>
      <c r="F369" s="5">
        <v>44198.625</v>
      </c>
      <c r="G369" s="19" t="str">
        <f t="shared" si="15"/>
        <v/>
      </c>
      <c r="J369" s="28">
        <f t="shared" si="17"/>
        <v>0.25806451612903225</v>
      </c>
    </row>
    <row r="370" spans="1:10">
      <c r="A370" s="3">
        <v>93</v>
      </c>
      <c r="B370" t="s">
        <v>394</v>
      </c>
      <c r="C370" t="s">
        <v>458</v>
      </c>
      <c r="E370" s="3">
        <f t="shared" si="16"/>
        <v>7</v>
      </c>
      <c r="F370" s="5">
        <v>44199.625</v>
      </c>
      <c r="G370" s="19" t="str">
        <f t="shared" si="15"/>
        <v/>
      </c>
      <c r="J370" s="28">
        <f t="shared" si="17"/>
        <v>-0.16216216216216217</v>
      </c>
    </row>
    <row r="371" spans="1:10">
      <c r="A371" s="3">
        <v>196</v>
      </c>
      <c r="B371" t="s">
        <v>395</v>
      </c>
      <c r="C371" t="s">
        <v>458</v>
      </c>
      <c r="E371" s="3">
        <f t="shared" si="16"/>
        <v>1</v>
      </c>
      <c r="F371" s="5">
        <v>44200.625</v>
      </c>
      <c r="G371" s="19" t="str">
        <f t="shared" si="15"/>
        <v>W1</v>
      </c>
      <c r="H371">
        <f>SUM(A371:A377)</f>
        <v>973</v>
      </c>
      <c r="I371" s="28">
        <f>H371/H364-1</f>
        <v>6.8057080131723291E-2</v>
      </c>
      <c r="J371" s="28">
        <f t="shared" si="17"/>
        <v>-0.12888888888888894</v>
      </c>
    </row>
    <row r="372" spans="1:10">
      <c r="A372" s="3">
        <v>155</v>
      </c>
      <c r="B372" t="s">
        <v>396</v>
      </c>
      <c r="C372" t="s">
        <v>458</v>
      </c>
      <c r="E372" s="3">
        <f t="shared" si="16"/>
        <v>2</v>
      </c>
      <c r="F372" s="5">
        <v>44201.625</v>
      </c>
      <c r="G372" s="19" t="str">
        <f t="shared" si="15"/>
        <v/>
      </c>
      <c r="J372" s="28">
        <f t="shared" si="17"/>
        <v>-5.4878048780487854E-2</v>
      </c>
    </row>
    <row r="373" spans="1:10">
      <c r="A373" s="3">
        <v>95</v>
      </c>
      <c r="B373" t="s">
        <v>397</v>
      </c>
      <c r="C373" t="s">
        <v>458</v>
      </c>
      <c r="E373" s="3">
        <f t="shared" si="16"/>
        <v>3</v>
      </c>
      <c r="F373" s="5">
        <v>44202.625</v>
      </c>
      <c r="G373" s="19" t="str">
        <f t="shared" si="15"/>
        <v/>
      </c>
      <c r="J373" s="28">
        <f t="shared" si="17"/>
        <v>-0.13636363636363635</v>
      </c>
    </row>
    <row r="374" spans="1:10">
      <c r="A374" s="3">
        <v>162</v>
      </c>
      <c r="B374" t="s">
        <v>398</v>
      </c>
      <c r="C374" t="s">
        <v>458</v>
      </c>
      <c r="E374" s="3">
        <f t="shared" si="16"/>
        <v>4</v>
      </c>
      <c r="F374" s="5">
        <v>44203.625</v>
      </c>
      <c r="G374" s="19" t="str">
        <f t="shared" si="15"/>
        <v/>
      </c>
      <c r="J374" s="28">
        <f t="shared" si="17"/>
        <v>0.19999999999999996</v>
      </c>
    </row>
    <row r="375" spans="1:10">
      <c r="A375" s="3">
        <v>146</v>
      </c>
      <c r="B375" t="s">
        <v>399</v>
      </c>
      <c r="C375" t="s">
        <v>458</v>
      </c>
      <c r="E375" s="3">
        <f t="shared" si="16"/>
        <v>5</v>
      </c>
      <c r="F375" s="5">
        <v>44204.625</v>
      </c>
      <c r="G375" s="19" t="str">
        <f t="shared" si="15"/>
        <v/>
      </c>
      <c r="J375" s="28">
        <f t="shared" si="17"/>
        <v>1.1791044776119404</v>
      </c>
    </row>
    <row r="376" spans="1:10">
      <c r="A376" s="3">
        <v>101</v>
      </c>
      <c r="B376" t="s">
        <v>400</v>
      </c>
      <c r="C376" t="s">
        <v>458</v>
      </c>
      <c r="E376" s="3">
        <f t="shared" si="16"/>
        <v>6</v>
      </c>
      <c r="F376" s="5">
        <v>44205.625</v>
      </c>
      <c r="G376" s="19" t="str">
        <f t="shared" si="15"/>
        <v/>
      </c>
      <c r="J376" s="28">
        <f t="shared" si="17"/>
        <v>-0.13675213675213671</v>
      </c>
    </row>
    <row r="377" spans="1:10">
      <c r="A377" s="3">
        <v>118</v>
      </c>
      <c r="B377" t="s">
        <v>401</v>
      </c>
      <c r="C377" t="s">
        <v>458</v>
      </c>
      <c r="E377" s="3">
        <f t="shared" si="16"/>
        <v>7</v>
      </c>
      <c r="F377" s="5">
        <v>44206.625</v>
      </c>
      <c r="G377" s="19" t="str">
        <f t="shared" si="15"/>
        <v/>
      </c>
      <c r="J377" s="28">
        <f t="shared" si="17"/>
        <v>0.26881720430107525</v>
      </c>
    </row>
    <row r="378" spans="1:10">
      <c r="A378" s="3">
        <v>187</v>
      </c>
      <c r="B378" t="s">
        <v>402</v>
      </c>
      <c r="C378" t="s">
        <v>458</v>
      </c>
      <c r="E378" s="3">
        <f t="shared" si="16"/>
        <v>1</v>
      </c>
      <c r="F378" s="5">
        <v>44207.625</v>
      </c>
      <c r="G378" s="19" t="str">
        <f t="shared" si="15"/>
        <v>W2</v>
      </c>
      <c r="H378">
        <f>SUM(A378:A384)</f>
        <v>859</v>
      </c>
      <c r="I378" s="28">
        <f>H378/H371-1</f>
        <v>-0.11716341212744086</v>
      </c>
      <c r="J378" s="28">
        <f t="shared" si="17"/>
        <v>-4.5918367346938771E-2</v>
      </c>
    </row>
    <row r="379" spans="1:10">
      <c r="A379" s="3">
        <v>127</v>
      </c>
      <c r="B379" t="s">
        <v>403</v>
      </c>
      <c r="C379" t="s">
        <v>458</v>
      </c>
      <c r="E379" s="3">
        <f t="shared" si="16"/>
        <v>2</v>
      </c>
      <c r="F379" s="5">
        <v>44208.625</v>
      </c>
      <c r="G379" s="19" t="str">
        <f t="shared" si="15"/>
        <v/>
      </c>
      <c r="J379" s="28">
        <f t="shared" si="17"/>
        <v>-0.1806451612903226</v>
      </c>
    </row>
    <row r="380" spans="1:10">
      <c r="A380" s="3">
        <v>121</v>
      </c>
      <c r="B380" t="s">
        <v>404</v>
      </c>
      <c r="C380" t="s">
        <v>458</v>
      </c>
      <c r="E380" s="3">
        <f t="shared" si="16"/>
        <v>3</v>
      </c>
      <c r="F380" s="5">
        <v>44209.625</v>
      </c>
      <c r="G380" s="19" t="str">
        <f t="shared" si="15"/>
        <v/>
      </c>
      <c r="J380" s="28">
        <f t="shared" si="17"/>
        <v>0.27368421052631575</v>
      </c>
    </row>
    <row r="381" spans="1:10">
      <c r="A381" s="3">
        <v>123</v>
      </c>
      <c r="B381" t="s">
        <v>405</v>
      </c>
      <c r="C381" t="s">
        <v>458</v>
      </c>
      <c r="E381" s="3">
        <f t="shared" si="16"/>
        <v>4</v>
      </c>
      <c r="F381" s="5">
        <v>44210.625</v>
      </c>
      <c r="G381" s="19" t="str">
        <f t="shared" si="15"/>
        <v/>
      </c>
      <c r="J381" s="28">
        <f t="shared" si="17"/>
        <v>-0.2407407407407407</v>
      </c>
    </row>
    <row r="382" spans="1:10">
      <c r="A382" s="3">
        <v>108</v>
      </c>
      <c r="B382" t="s">
        <v>406</v>
      </c>
      <c r="C382" t="s">
        <v>458</v>
      </c>
      <c r="E382" s="3">
        <f t="shared" si="16"/>
        <v>5</v>
      </c>
      <c r="F382" s="5">
        <v>44211.625</v>
      </c>
      <c r="G382" s="19" t="str">
        <f t="shared" si="15"/>
        <v/>
      </c>
      <c r="J382" s="28">
        <f t="shared" si="17"/>
        <v>-0.26027397260273977</v>
      </c>
    </row>
    <row r="383" spans="1:10">
      <c r="A383" s="3">
        <v>97</v>
      </c>
      <c r="B383" t="s">
        <v>407</v>
      </c>
      <c r="C383" t="s">
        <v>458</v>
      </c>
      <c r="E383" s="3">
        <f t="shared" si="16"/>
        <v>6</v>
      </c>
      <c r="F383" s="5">
        <v>44212.625</v>
      </c>
      <c r="G383" s="19" t="str">
        <f t="shared" si="15"/>
        <v/>
      </c>
      <c r="J383" s="28">
        <f t="shared" si="17"/>
        <v>-3.9603960396039639E-2</v>
      </c>
    </row>
    <row r="384" spans="1:10">
      <c r="A384" s="3">
        <v>96</v>
      </c>
      <c r="B384" t="s">
        <v>408</v>
      </c>
      <c r="C384" t="s">
        <v>458</v>
      </c>
      <c r="E384" s="3">
        <f t="shared" si="16"/>
        <v>7</v>
      </c>
      <c r="F384" s="5">
        <v>44213.625</v>
      </c>
      <c r="G384" s="19" t="str">
        <f t="shared" si="15"/>
        <v/>
      </c>
      <c r="J384" s="28">
        <f t="shared" si="17"/>
        <v>-0.18644067796610164</v>
      </c>
    </row>
    <row r="385" spans="1:10">
      <c r="A385" s="3">
        <v>257</v>
      </c>
      <c r="B385" t="s">
        <v>409</v>
      </c>
      <c r="C385" t="s">
        <v>458</v>
      </c>
      <c r="E385" s="3">
        <f t="shared" si="16"/>
        <v>1</v>
      </c>
      <c r="F385" s="5">
        <v>44214.625</v>
      </c>
      <c r="G385" s="19" t="str">
        <f t="shared" si="15"/>
        <v>W3</v>
      </c>
      <c r="H385">
        <f>SUM(A385:A391)</f>
        <v>1272</v>
      </c>
      <c r="I385" s="28">
        <f>H385/H378-1</f>
        <v>0.48079161816065197</v>
      </c>
      <c r="J385" s="28">
        <f t="shared" si="17"/>
        <v>0.37433155080213898</v>
      </c>
    </row>
    <row r="386" spans="1:10">
      <c r="A386" s="3">
        <v>188</v>
      </c>
      <c r="B386" t="s">
        <v>410</v>
      </c>
      <c r="C386" t="s">
        <v>458</v>
      </c>
      <c r="E386" s="3">
        <f t="shared" si="16"/>
        <v>2</v>
      </c>
      <c r="F386" s="5">
        <v>44215.625</v>
      </c>
      <c r="G386" s="19" t="str">
        <f t="shared" si="15"/>
        <v/>
      </c>
      <c r="J386" s="28">
        <f t="shared" si="17"/>
        <v>0.48031496062992129</v>
      </c>
    </row>
    <row r="387" spans="1:10">
      <c r="A387" s="3">
        <v>209</v>
      </c>
      <c r="B387" t="s">
        <v>411</v>
      </c>
      <c r="C387" t="s">
        <v>458</v>
      </c>
      <c r="E387" s="3">
        <f t="shared" si="16"/>
        <v>3</v>
      </c>
      <c r="F387" s="5">
        <v>44216.625</v>
      </c>
      <c r="G387" s="19" t="str">
        <f t="shared" ref="G387:G450" si="18">IF(WEEKDAY(F387,2)=1,"W"&amp;WEEKNUM(F387,14),"")</f>
        <v/>
      </c>
      <c r="J387" s="28">
        <f t="shared" si="17"/>
        <v>0.72727272727272729</v>
      </c>
    </row>
    <row r="388" spans="1:10">
      <c r="A388" s="3">
        <v>177</v>
      </c>
      <c r="B388" t="s">
        <v>412</v>
      </c>
      <c r="C388" t="s">
        <v>458</v>
      </c>
      <c r="E388" s="3">
        <f t="shared" si="16"/>
        <v>4</v>
      </c>
      <c r="F388" s="5">
        <v>44217.625</v>
      </c>
      <c r="G388" s="19" t="str">
        <f t="shared" si="18"/>
        <v/>
      </c>
      <c r="J388" s="28">
        <f t="shared" si="17"/>
        <v>0.43902439024390238</v>
      </c>
    </row>
    <row r="389" spans="1:10">
      <c r="A389" s="3">
        <v>196</v>
      </c>
      <c r="B389" t="s">
        <v>413</v>
      </c>
      <c r="C389" t="s">
        <v>458</v>
      </c>
      <c r="E389" s="3">
        <f t="shared" ref="E389:E452" si="19">WEEKDAY(F389,2)</f>
        <v>5</v>
      </c>
      <c r="F389" s="5">
        <v>44218.625</v>
      </c>
      <c r="G389" s="19" t="str">
        <f t="shared" si="18"/>
        <v/>
      </c>
      <c r="J389" s="28">
        <f t="shared" si="17"/>
        <v>0.81481481481481488</v>
      </c>
    </row>
    <row r="390" spans="1:10">
      <c r="A390" s="3">
        <v>93</v>
      </c>
      <c r="B390" t="s">
        <v>414</v>
      </c>
      <c r="C390" t="s">
        <v>458</v>
      </c>
      <c r="E390" s="3">
        <f t="shared" si="19"/>
        <v>6</v>
      </c>
      <c r="F390" s="5">
        <v>44219.625</v>
      </c>
      <c r="G390" s="19" t="str">
        <f t="shared" si="18"/>
        <v/>
      </c>
      <c r="J390" s="28">
        <f t="shared" si="17"/>
        <v>-4.123711340206182E-2</v>
      </c>
    </row>
    <row r="391" spans="1:10">
      <c r="A391" s="3">
        <v>152</v>
      </c>
      <c r="B391" t="s">
        <v>415</v>
      </c>
      <c r="C391" t="s">
        <v>458</v>
      </c>
      <c r="E391" s="3">
        <f t="shared" si="19"/>
        <v>7</v>
      </c>
      <c r="F391" s="5">
        <v>44220.625</v>
      </c>
      <c r="G391" s="19" t="str">
        <f t="shared" si="18"/>
        <v/>
      </c>
      <c r="J391" s="28">
        <f t="shared" si="17"/>
        <v>0.58333333333333326</v>
      </c>
    </row>
    <row r="392" spans="1:10">
      <c r="A392" s="3">
        <v>256</v>
      </c>
      <c r="B392" t="s">
        <v>416</v>
      </c>
      <c r="C392" t="s">
        <v>458</v>
      </c>
      <c r="E392" s="3">
        <f t="shared" si="19"/>
        <v>1</v>
      </c>
      <c r="F392" s="5">
        <v>44221.625</v>
      </c>
      <c r="G392" s="19" t="str">
        <f t="shared" si="18"/>
        <v>W4</v>
      </c>
      <c r="H392">
        <f>SUM(A392:A398)</f>
        <v>1371</v>
      </c>
      <c r="I392" s="28">
        <f>H392/H385-1</f>
        <v>7.7830188679245182E-2</v>
      </c>
      <c r="J392" s="28">
        <f t="shared" si="17"/>
        <v>-3.8910505836575737E-3</v>
      </c>
    </row>
    <row r="393" spans="1:10">
      <c r="A393" s="3">
        <v>212</v>
      </c>
      <c r="B393" t="s">
        <v>417</v>
      </c>
      <c r="C393" t="s">
        <v>458</v>
      </c>
      <c r="E393" s="3">
        <f t="shared" si="19"/>
        <v>2</v>
      </c>
      <c r="F393" s="5">
        <v>44222.625</v>
      </c>
      <c r="G393" s="19" t="str">
        <f t="shared" si="18"/>
        <v/>
      </c>
      <c r="J393" s="28">
        <f t="shared" ref="J393:J456" si="20">A393/A386-1</f>
        <v>0.12765957446808507</v>
      </c>
    </row>
    <row r="394" spans="1:10">
      <c r="A394" s="3">
        <v>188</v>
      </c>
      <c r="B394" t="s">
        <v>418</v>
      </c>
      <c r="C394" t="s">
        <v>458</v>
      </c>
      <c r="E394" s="3">
        <f t="shared" si="19"/>
        <v>3</v>
      </c>
      <c r="F394" s="5">
        <v>44223.625</v>
      </c>
      <c r="G394" s="19" t="str">
        <f t="shared" si="18"/>
        <v/>
      </c>
      <c r="J394" s="28">
        <f t="shared" si="20"/>
        <v>-0.1004784688995215</v>
      </c>
    </row>
    <row r="395" spans="1:10">
      <c r="A395" s="3">
        <v>230</v>
      </c>
      <c r="B395" t="s">
        <v>419</v>
      </c>
      <c r="C395" t="s">
        <v>458</v>
      </c>
      <c r="E395" s="3">
        <f t="shared" si="19"/>
        <v>4</v>
      </c>
      <c r="F395" s="5">
        <v>44224.625</v>
      </c>
      <c r="G395" s="19" t="str">
        <f t="shared" si="18"/>
        <v/>
      </c>
      <c r="J395" s="28">
        <f t="shared" si="20"/>
        <v>0.29943502824858759</v>
      </c>
    </row>
    <row r="396" spans="1:10">
      <c r="A396" s="3">
        <v>188</v>
      </c>
      <c r="B396" t="s">
        <v>420</v>
      </c>
      <c r="C396" t="s">
        <v>458</v>
      </c>
      <c r="E396" s="3">
        <f t="shared" si="19"/>
        <v>5</v>
      </c>
      <c r="F396" s="5">
        <v>44225.625</v>
      </c>
      <c r="G396" s="19" t="str">
        <f t="shared" si="18"/>
        <v/>
      </c>
      <c r="J396" s="28">
        <f t="shared" si="20"/>
        <v>-4.081632653061229E-2</v>
      </c>
    </row>
    <row r="397" spans="1:10">
      <c r="A397" s="3">
        <v>132</v>
      </c>
      <c r="B397" t="s">
        <v>422</v>
      </c>
      <c r="C397" t="s">
        <v>458</v>
      </c>
      <c r="E397" s="3">
        <f t="shared" si="19"/>
        <v>6</v>
      </c>
      <c r="F397" s="5">
        <v>44226.625</v>
      </c>
      <c r="G397" s="19" t="str">
        <f t="shared" si="18"/>
        <v/>
      </c>
      <c r="J397" s="28">
        <f t="shared" si="20"/>
        <v>0.41935483870967749</v>
      </c>
    </row>
    <row r="398" spans="1:10">
      <c r="A398" s="3">
        <v>165</v>
      </c>
      <c r="B398" t="s">
        <v>423</v>
      </c>
      <c r="C398" t="s">
        <v>458</v>
      </c>
      <c r="E398" s="3">
        <f t="shared" si="19"/>
        <v>7</v>
      </c>
      <c r="F398" s="5">
        <v>44227.625</v>
      </c>
      <c r="G398" s="19" t="str">
        <f t="shared" si="18"/>
        <v/>
      </c>
      <c r="J398" s="28">
        <f t="shared" si="20"/>
        <v>8.5526315789473673E-2</v>
      </c>
    </row>
    <row r="399" spans="1:10">
      <c r="A399" s="3">
        <v>293</v>
      </c>
      <c r="B399" t="s">
        <v>424</v>
      </c>
      <c r="C399" t="s">
        <v>458</v>
      </c>
      <c r="E399" s="3">
        <f t="shared" si="19"/>
        <v>1</v>
      </c>
      <c r="F399" s="5">
        <v>44228.625</v>
      </c>
      <c r="G399" s="19" t="str">
        <f t="shared" si="18"/>
        <v>W5</v>
      </c>
      <c r="H399">
        <f>SUM(A399:A405)</f>
        <v>1569</v>
      </c>
      <c r="I399" s="28">
        <f>H399/H392-1</f>
        <v>0.14442013129102849</v>
      </c>
      <c r="J399" s="28">
        <f t="shared" si="20"/>
        <v>0.14453125</v>
      </c>
    </row>
    <row r="400" spans="1:10">
      <c r="A400" s="3">
        <v>251</v>
      </c>
      <c r="B400" t="s">
        <v>425</v>
      </c>
      <c r="C400" t="s">
        <v>458</v>
      </c>
      <c r="E400" s="3">
        <f t="shared" si="19"/>
        <v>2</v>
      </c>
      <c r="F400" s="5">
        <v>44229.625</v>
      </c>
      <c r="G400" s="19" t="str">
        <f t="shared" si="18"/>
        <v/>
      </c>
      <c r="J400" s="28">
        <f t="shared" si="20"/>
        <v>0.1839622641509433</v>
      </c>
    </row>
    <row r="401" spans="1:10">
      <c r="A401" s="3">
        <v>262</v>
      </c>
      <c r="B401" t="s">
        <v>426</v>
      </c>
      <c r="C401" t="s">
        <v>458</v>
      </c>
      <c r="E401" s="3">
        <f t="shared" si="19"/>
        <v>3</v>
      </c>
      <c r="F401" s="5">
        <v>44230.625</v>
      </c>
      <c r="G401" s="19" t="str">
        <f t="shared" si="18"/>
        <v/>
      </c>
      <c r="J401" s="28">
        <f t="shared" si="20"/>
        <v>0.3936170212765957</v>
      </c>
    </row>
    <row r="402" spans="1:10">
      <c r="A402" s="3">
        <v>223</v>
      </c>
      <c r="B402" t="s">
        <v>427</v>
      </c>
      <c r="C402" t="s">
        <v>458</v>
      </c>
      <c r="E402" s="3">
        <f t="shared" si="19"/>
        <v>4</v>
      </c>
      <c r="F402" s="5">
        <v>44231.625</v>
      </c>
      <c r="G402" s="19" t="str">
        <f t="shared" si="18"/>
        <v/>
      </c>
      <c r="J402" s="28">
        <f t="shared" si="20"/>
        <v>-3.0434782608695699E-2</v>
      </c>
    </row>
    <row r="403" spans="1:10">
      <c r="A403" s="3">
        <v>215</v>
      </c>
      <c r="B403" t="s">
        <v>428</v>
      </c>
      <c r="C403" t="s">
        <v>458</v>
      </c>
      <c r="E403" s="3">
        <f t="shared" si="19"/>
        <v>5</v>
      </c>
      <c r="F403" s="5">
        <v>44232.625</v>
      </c>
      <c r="G403" s="19" t="str">
        <f t="shared" si="18"/>
        <v/>
      </c>
      <c r="J403" s="28">
        <f t="shared" si="20"/>
        <v>0.1436170212765957</v>
      </c>
    </row>
    <row r="404" spans="1:10">
      <c r="A404" s="3">
        <v>154</v>
      </c>
      <c r="B404" t="s">
        <v>429</v>
      </c>
      <c r="C404" t="s">
        <v>458</v>
      </c>
      <c r="E404" s="3">
        <f t="shared" si="19"/>
        <v>6</v>
      </c>
      <c r="F404" s="5">
        <v>44233.625</v>
      </c>
      <c r="G404" s="19" t="str">
        <f t="shared" si="18"/>
        <v/>
      </c>
      <c r="J404" s="28">
        <f t="shared" si="20"/>
        <v>0.16666666666666674</v>
      </c>
    </row>
    <row r="405" spans="1:10">
      <c r="A405" s="3">
        <v>171</v>
      </c>
      <c r="B405" t="s">
        <v>430</v>
      </c>
      <c r="C405" t="s">
        <v>458</v>
      </c>
      <c r="E405" s="3">
        <f t="shared" si="19"/>
        <v>7</v>
      </c>
      <c r="F405" s="5">
        <v>44234.625</v>
      </c>
      <c r="G405" s="19" t="str">
        <f t="shared" si="18"/>
        <v/>
      </c>
      <c r="J405" s="28">
        <f t="shared" si="20"/>
        <v>3.6363636363636376E-2</v>
      </c>
    </row>
    <row r="406" spans="1:10">
      <c r="A406" s="3">
        <v>294</v>
      </c>
      <c r="B406" t="s">
        <v>438</v>
      </c>
      <c r="C406" t="s">
        <v>458</v>
      </c>
      <c r="E406" s="3">
        <f t="shared" si="19"/>
        <v>1</v>
      </c>
      <c r="F406" s="5">
        <v>44235.625</v>
      </c>
      <c r="G406" s="19" t="str">
        <f t="shared" si="18"/>
        <v>W6</v>
      </c>
      <c r="H406">
        <f>SUM(A406:A412)</f>
        <v>1621</v>
      </c>
      <c r="I406" s="28">
        <f>H406/H399-1</f>
        <v>3.3142128744423127E-2</v>
      </c>
      <c r="J406" s="28">
        <f t="shared" si="20"/>
        <v>3.4129692832765013E-3</v>
      </c>
    </row>
    <row r="407" spans="1:10">
      <c r="A407" s="3">
        <v>238</v>
      </c>
      <c r="B407" t="s">
        <v>439</v>
      </c>
      <c r="C407" t="s">
        <v>458</v>
      </c>
      <c r="E407" s="3">
        <f t="shared" si="19"/>
        <v>2</v>
      </c>
      <c r="F407" s="5">
        <v>44236.625</v>
      </c>
      <c r="G407" s="19" t="str">
        <f t="shared" si="18"/>
        <v/>
      </c>
      <c r="J407" s="28">
        <f t="shared" si="20"/>
        <v>-5.1792828685258918E-2</v>
      </c>
    </row>
    <row r="408" spans="1:10">
      <c r="A408" s="3">
        <v>226</v>
      </c>
      <c r="B408" t="s">
        <v>440</v>
      </c>
      <c r="C408" t="s">
        <v>458</v>
      </c>
      <c r="E408" s="3">
        <f t="shared" si="19"/>
        <v>3</v>
      </c>
      <c r="F408" s="5">
        <v>44237.625</v>
      </c>
      <c r="G408" s="19" t="str">
        <f t="shared" si="18"/>
        <v/>
      </c>
      <c r="J408" s="28">
        <f t="shared" si="20"/>
        <v>-0.13740458015267176</v>
      </c>
    </row>
    <row r="409" spans="1:10">
      <c r="A409" s="3">
        <v>233</v>
      </c>
      <c r="B409" t="s">
        <v>441</v>
      </c>
      <c r="C409" t="s">
        <v>458</v>
      </c>
      <c r="E409" s="3">
        <f t="shared" si="19"/>
        <v>4</v>
      </c>
      <c r="F409" s="5">
        <v>44238.625</v>
      </c>
      <c r="G409" s="19" t="str">
        <f t="shared" si="18"/>
        <v/>
      </c>
      <c r="J409" s="28">
        <f t="shared" si="20"/>
        <v>4.4843049327354167E-2</v>
      </c>
    </row>
    <row r="410" spans="1:10">
      <c r="A410" s="3">
        <v>260</v>
      </c>
      <c r="B410" t="s">
        <v>442</v>
      </c>
      <c r="C410" t="s">
        <v>458</v>
      </c>
      <c r="E410" s="3">
        <f t="shared" si="19"/>
        <v>5</v>
      </c>
      <c r="F410" s="5">
        <v>44239.625</v>
      </c>
      <c r="G410" s="19" t="str">
        <f t="shared" si="18"/>
        <v/>
      </c>
      <c r="J410" s="28">
        <f t="shared" si="20"/>
        <v>0.20930232558139528</v>
      </c>
    </row>
    <row r="411" spans="1:10">
      <c r="A411" s="3">
        <v>190</v>
      </c>
      <c r="B411" t="s">
        <v>443</v>
      </c>
      <c r="C411" t="s">
        <v>458</v>
      </c>
      <c r="E411" s="3">
        <f t="shared" si="19"/>
        <v>6</v>
      </c>
      <c r="F411" s="5">
        <v>44240.625</v>
      </c>
      <c r="G411" s="19" t="str">
        <f t="shared" si="18"/>
        <v/>
      </c>
      <c r="J411" s="28">
        <f t="shared" si="20"/>
        <v>0.23376623376623384</v>
      </c>
    </row>
    <row r="412" spans="1:10">
      <c r="A412" s="3">
        <v>180</v>
      </c>
      <c r="B412" t="s">
        <v>444</v>
      </c>
      <c r="C412" t="s">
        <v>458</v>
      </c>
      <c r="E412" s="3">
        <f t="shared" si="19"/>
        <v>7</v>
      </c>
      <c r="F412" s="5">
        <v>44241.625</v>
      </c>
      <c r="G412" s="19" t="str">
        <f t="shared" si="18"/>
        <v/>
      </c>
      <c r="J412" s="28">
        <f t="shared" si="20"/>
        <v>5.2631578947368363E-2</v>
      </c>
    </row>
    <row r="413" spans="1:10" s="10" customFormat="1">
      <c r="A413" s="14">
        <v>359</v>
      </c>
      <c r="B413" s="10" t="s">
        <v>445</v>
      </c>
      <c r="C413" s="10" t="s">
        <v>458</v>
      </c>
      <c r="E413" s="14">
        <f t="shared" si="19"/>
        <v>1</v>
      </c>
      <c r="F413" s="18">
        <v>44242.625</v>
      </c>
      <c r="G413" s="19" t="str">
        <f t="shared" si="18"/>
        <v>W7</v>
      </c>
      <c r="H413" s="10">
        <f>SUM(A413:A419)</f>
        <v>1989</v>
      </c>
      <c r="I413" s="34">
        <f>H413/H406-1</f>
        <v>0.22702035780382479</v>
      </c>
      <c r="J413" s="28">
        <f t="shared" si="20"/>
        <v>0.22108843537414957</v>
      </c>
    </row>
    <row r="414" spans="1:10">
      <c r="A414" s="3">
        <v>317</v>
      </c>
      <c r="B414" t="s">
        <v>446</v>
      </c>
      <c r="C414" t="s">
        <v>458</v>
      </c>
      <c r="E414" s="3">
        <f t="shared" si="19"/>
        <v>2</v>
      </c>
      <c r="F414" s="5">
        <v>44243.625</v>
      </c>
      <c r="G414" s="19" t="str">
        <f t="shared" si="18"/>
        <v/>
      </c>
      <c r="J414" s="28">
        <f t="shared" si="20"/>
        <v>0.33193277310924363</v>
      </c>
    </row>
    <row r="415" spans="1:10">
      <c r="A415" s="3">
        <v>309</v>
      </c>
      <c r="B415" t="s">
        <v>447</v>
      </c>
      <c r="C415" t="s">
        <v>458</v>
      </c>
      <c r="E415" s="3">
        <f t="shared" si="19"/>
        <v>3</v>
      </c>
      <c r="F415" s="5">
        <v>44244.625</v>
      </c>
      <c r="G415" s="19" t="str">
        <f t="shared" si="18"/>
        <v/>
      </c>
      <c r="J415" s="28">
        <f t="shared" si="20"/>
        <v>0.36725663716814161</v>
      </c>
    </row>
    <row r="416" spans="1:10">
      <c r="A416" s="3">
        <v>318</v>
      </c>
      <c r="B416" t="s">
        <v>448</v>
      </c>
      <c r="C416" t="s">
        <v>458</v>
      </c>
      <c r="E416" s="3">
        <f t="shared" si="19"/>
        <v>4</v>
      </c>
      <c r="F416" s="5">
        <v>44245.625</v>
      </c>
      <c r="G416" s="19" t="str">
        <f t="shared" si="18"/>
        <v/>
      </c>
      <c r="J416" s="28">
        <f t="shared" si="20"/>
        <v>0.36480686695278974</v>
      </c>
    </row>
    <row r="417" spans="1:10">
      <c r="A417" s="3">
        <v>289</v>
      </c>
      <c r="B417" t="s">
        <v>449</v>
      </c>
      <c r="C417" t="s">
        <v>458</v>
      </c>
      <c r="E417" s="3">
        <f t="shared" si="19"/>
        <v>5</v>
      </c>
      <c r="F417" s="5">
        <v>44246.625</v>
      </c>
      <c r="G417" s="19" t="str">
        <f t="shared" si="18"/>
        <v/>
      </c>
      <c r="J417" s="28">
        <f t="shared" si="20"/>
        <v>0.11153846153846159</v>
      </c>
    </row>
    <row r="418" spans="1:10">
      <c r="A418" s="3">
        <v>181</v>
      </c>
      <c r="B418" t="s">
        <v>451</v>
      </c>
      <c r="C418" t="s">
        <v>458</v>
      </c>
      <c r="E418" s="3">
        <f t="shared" si="19"/>
        <v>6</v>
      </c>
      <c r="F418" s="5">
        <v>44247.625</v>
      </c>
      <c r="G418" s="19" t="str">
        <f t="shared" si="18"/>
        <v/>
      </c>
      <c r="J418" s="28">
        <f t="shared" si="20"/>
        <v>-4.7368421052631615E-2</v>
      </c>
    </row>
    <row r="419" spans="1:10">
      <c r="A419" s="3">
        <v>216</v>
      </c>
      <c r="B419" t="s">
        <v>452</v>
      </c>
      <c r="C419" t="s">
        <v>458</v>
      </c>
      <c r="E419" s="3">
        <f t="shared" si="19"/>
        <v>7</v>
      </c>
      <c r="F419" s="5">
        <v>44248.625</v>
      </c>
      <c r="G419" s="19" t="str">
        <f t="shared" si="18"/>
        <v/>
      </c>
      <c r="J419" s="28">
        <f t="shared" si="20"/>
        <v>0.19999999999999996</v>
      </c>
    </row>
    <row r="420" spans="1:10">
      <c r="A420" s="3">
        <v>351</v>
      </c>
      <c r="B420" t="s">
        <v>453</v>
      </c>
      <c r="C420" t="s">
        <v>458</v>
      </c>
      <c r="E420" s="3">
        <f t="shared" si="19"/>
        <v>1</v>
      </c>
      <c r="F420" s="5">
        <v>44249.625</v>
      </c>
      <c r="G420" s="19" t="str">
        <f t="shared" si="18"/>
        <v>W8</v>
      </c>
      <c r="H420">
        <f>SUM(A420:A426)</f>
        <v>568</v>
      </c>
      <c r="I420" s="28">
        <f>H420/H413-1</f>
        <v>-0.71442936148818503</v>
      </c>
      <c r="J420" s="28">
        <f t="shared" si="20"/>
        <v>-2.2284122562674091E-2</v>
      </c>
    </row>
    <row r="421" spans="1:10">
      <c r="A421" s="3">
        <v>217</v>
      </c>
      <c r="B421" t="s">
        <v>456</v>
      </c>
      <c r="C421" t="s">
        <v>458</v>
      </c>
      <c r="E421" s="3">
        <f t="shared" si="19"/>
        <v>2</v>
      </c>
      <c r="F421" s="5">
        <v>44250.625</v>
      </c>
      <c r="G421" s="19" t="str">
        <f t="shared" si="18"/>
        <v/>
      </c>
      <c r="J421" s="28">
        <f t="shared" si="20"/>
        <v>-0.31545741324921139</v>
      </c>
    </row>
    <row r="422" spans="1:10">
      <c r="A422" s="3">
        <v>0</v>
      </c>
      <c r="B422" t="s">
        <v>457</v>
      </c>
      <c r="C422" t="s">
        <v>458</v>
      </c>
      <c r="E422" s="3">
        <f t="shared" si="19"/>
        <v>3</v>
      </c>
      <c r="F422" s="5">
        <v>44251.400497685187</v>
      </c>
      <c r="G422" s="19" t="str">
        <f t="shared" si="18"/>
        <v/>
      </c>
      <c r="J422" s="28">
        <f t="shared" si="20"/>
        <v>-1</v>
      </c>
    </row>
    <row r="423" spans="1:10">
      <c r="E423" s="3">
        <f t="shared" si="19"/>
        <v>6</v>
      </c>
      <c r="G423" s="19" t="str">
        <f t="shared" si="18"/>
        <v/>
      </c>
      <c r="J423" s="28">
        <f t="shared" si="20"/>
        <v>-1</v>
      </c>
    </row>
    <row r="424" spans="1:10">
      <c r="E424" s="3">
        <f t="shared" si="19"/>
        <v>6</v>
      </c>
      <c r="G424" s="19" t="str">
        <f t="shared" si="18"/>
        <v/>
      </c>
      <c r="J424" s="28">
        <f t="shared" si="20"/>
        <v>-1</v>
      </c>
    </row>
    <row r="425" spans="1:10">
      <c r="E425" s="3">
        <f t="shared" si="19"/>
        <v>6</v>
      </c>
      <c r="G425" s="19" t="str">
        <f t="shared" si="18"/>
        <v/>
      </c>
      <c r="J425" s="28">
        <f t="shared" si="20"/>
        <v>-1</v>
      </c>
    </row>
    <row r="426" spans="1:10">
      <c r="E426" s="3">
        <f t="shared" si="19"/>
        <v>6</v>
      </c>
      <c r="G426" s="19" t="str">
        <f t="shared" si="18"/>
        <v/>
      </c>
      <c r="J426" s="28">
        <f t="shared" si="20"/>
        <v>-1</v>
      </c>
    </row>
    <row r="427" spans="1:10">
      <c r="E427" s="3">
        <f t="shared" si="19"/>
        <v>6</v>
      </c>
      <c r="G427" s="19" t="str">
        <f t="shared" si="18"/>
        <v/>
      </c>
      <c r="H427">
        <f>SUM(A427:A433)</f>
        <v>0</v>
      </c>
      <c r="I427" s="28">
        <f>H427/H420-1</f>
        <v>-1</v>
      </c>
      <c r="J427" s="28">
        <f t="shared" si="20"/>
        <v>-1</v>
      </c>
    </row>
    <row r="428" spans="1:10">
      <c r="E428" s="3">
        <f t="shared" si="19"/>
        <v>6</v>
      </c>
      <c r="G428" s="19" t="str">
        <f t="shared" si="18"/>
        <v/>
      </c>
      <c r="J428" s="28">
        <f t="shared" si="20"/>
        <v>-1</v>
      </c>
    </row>
    <row r="429" spans="1:10">
      <c r="E429" s="3">
        <f t="shared" si="19"/>
        <v>6</v>
      </c>
      <c r="G429" s="19" t="str">
        <f t="shared" si="18"/>
        <v/>
      </c>
      <c r="J429" s="28" t="e">
        <f t="shared" si="20"/>
        <v>#DIV/0!</v>
      </c>
    </row>
    <row r="430" spans="1:10">
      <c r="E430" s="3">
        <f t="shared" si="19"/>
        <v>6</v>
      </c>
      <c r="G430" s="19" t="str">
        <f t="shared" si="18"/>
        <v/>
      </c>
      <c r="J430" s="28" t="e">
        <f t="shared" si="20"/>
        <v>#DIV/0!</v>
      </c>
    </row>
    <row r="431" spans="1:10">
      <c r="E431" s="3">
        <f t="shared" si="19"/>
        <v>6</v>
      </c>
      <c r="G431" s="19" t="str">
        <f t="shared" si="18"/>
        <v/>
      </c>
      <c r="J431" s="28" t="e">
        <f t="shared" si="20"/>
        <v>#DIV/0!</v>
      </c>
    </row>
    <row r="432" spans="1:10">
      <c r="E432" s="3">
        <f t="shared" si="19"/>
        <v>6</v>
      </c>
      <c r="G432" s="19" t="str">
        <f t="shared" si="18"/>
        <v/>
      </c>
      <c r="J432" s="28" t="e">
        <f t="shared" si="20"/>
        <v>#DIV/0!</v>
      </c>
    </row>
    <row r="433" spans="5:10">
      <c r="E433" s="3">
        <f t="shared" si="19"/>
        <v>6</v>
      </c>
      <c r="G433" s="19" t="str">
        <f t="shared" si="18"/>
        <v/>
      </c>
      <c r="J433" s="28" t="e">
        <f t="shared" si="20"/>
        <v>#DIV/0!</v>
      </c>
    </row>
    <row r="434" spans="5:10">
      <c r="E434" s="3">
        <f t="shared" si="19"/>
        <v>6</v>
      </c>
      <c r="G434" s="19" t="str">
        <f t="shared" si="18"/>
        <v/>
      </c>
      <c r="H434">
        <f>SUM(A434:A440)</f>
        <v>0</v>
      </c>
      <c r="I434" s="28" t="e">
        <f>H434/H427-1</f>
        <v>#DIV/0!</v>
      </c>
      <c r="J434" s="28" t="e">
        <f t="shared" si="20"/>
        <v>#DIV/0!</v>
      </c>
    </row>
    <row r="435" spans="5:10">
      <c r="E435" s="3">
        <f t="shared" si="19"/>
        <v>6</v>
      </c>
      <c r="G435" s="19" t="str">
        <f t="shared" si="18"/>
        <v/>
      </c>
      <c r="J435" s="28" t="e">
        <f t="shared" si="20"/>
        <v>#DIV/0!</v>
      </c>
    </row>
    <row r="436" spans="5:10">
      <c r="E436" s="3">
        <f t="shared" si="19"/>
        <v>6</v>
      </c>
      <c r="G436" s="19" t="str">
        <f t="shared" si="18"/>
        <v/>
      </c>
      <c r="J436" s="28" t="e">
        <f t="shared" si="20"/>
        <v>#DIV/0!</v>
      </c>
    </row>
    <row r="437" spans="5:10">
      <c r="E437" s="3">
        <f t="shared" si="19"/>
        <v>6</v>
      </c>
      <c r="G437" s="19" t="str">
        <f t="shared" si="18"/>
        <v/>
      </c>
      <c r="J437" s="28" t="e">
        <f t="shared" si="20"/>
        <v>#DIV/0!</v>
      </c>
    </row>
    <row r="438" spans="5:10">
      <c r="E438" s="3">
        <f t="shared" si="19"/>
        <v>6</v>
      </c>
      <c r="G438" s="19" t="str">
        <f t="shared" si="18"/>
        <v/>
      </c>
      <c r="J438" s="28" t="e">
        <f t="shared" si="20"/>
        <v>#DIV/0!</v>
      </c>
    </row>
    <row r="439" spans="5:10">
      <c r="E439" s="3">
        <f t="shared" si="19"/>
        <v>6</v>
      </c>
      <c r="G439" s="19" t="str">
        <f t="shared" si="18"/>
        <v/>
      </c>
      <c r="J439" s="28" t="e">
        <f t="shared" si="20"/>
        <v>#DIV/0!</v>
      </c>
    </row>
    <row r="440" spans="5:10">
      <c r="E440" s="3">
        <f t="shared" si="19"/>
        <v>6</v>
      </c>
      <c r="G440" s="19" t="str">
        <f t="shared" si="18"/>
        <v/>
      </c>
      <c r="J440" s="28" t="e">
        <f t="shared" si="20"/>
        <v>#DIV/0!</v>
      </c>
    </row>
    <row r="441" spans="5:10">
      <c r="E441" s="3">
        <f t="shared" si="19"/>
        <v>6</v>
      </c>
      <c r="G441" s="19" t="str">
        <f t="shared" si="18"/>
        <v/>
      </c>
      <c r="H441">
        <f>SUM(A441:A447)</f>
        <v>0</v>
      </c>
      <c r="I441" s="28" t="e">
        <f>H441/H434-1</f>
        <v>#DIV/0!</v>
      </c>
      <c r="J441" s="28" t="e">
        <f t="shared" si="20"/>
        <v>#DIV/0!</v>
      </c>
    </row>
    <row r="442" spans="5:10">
      <c r="E442" s="3">
        <f t="shared" si="19"/>
        <v>6</v>
      </c>
      <c r="G442" s="19" t="str">
        <f t="shared" si="18"/>
        <v/>
      </c>
      <c r="J442" s="28" t="e">
        <f t="shared" si="20"/>
        <v>#DIV/0!</v>
      </c>
    </row>
    <row r="443" spans="5:10">
      <c r="E443" s="3">
        <f t="shared" si="19"/>
        <v>6</v>
      </c>
      <c r="G443" s="19" t="str">
        <f t="shared" si="18"/>
        <v/>
      </c>
      <c r="J443" s="28" t="e">
        <f t="shared" si="20"/>
        <v>#DIV/0!</v>
      </c>
    </row>
    <row r="444" spans="5:10">
      <c r="E444" s="3">
        <f t="shared" si="19"/>
        <v>6</v>
      </c>
      <c r="G444" s="19" t="str">
        <f t="shared" si="18"/>
        <v/>
      </c>
      <c r="J444" s="28" t="e">
        <f t="shared" si="20"/>
        <v>#DIV/0!</v>
      </c>
    </row>
    <row r="445" spans="5:10">
      <c r="E445" s="3">
        <f t="shared" si="19"/>
        <v>6</v>
      </c>
      <c r="G445" s="19" t="str">
        <f t="shared" si="18"/>
        <v/>
      </c>
      <c r="J445" s="28" t="e">
        <f t="shared" si="20"/>
        <v>#DIV/0!</v>
      </c>
    </row>
    <row r="446" spans="5:10">
      <c r="E446" s="3">
        <f t="shared" si="19"/>
        <v>6</v>
      </c>
      <c r="G446" s="19" t="str">
        <f t="shared" si="18"/>
        <v/>
      </c>
      <c r="J446" s="28" t="e">
        <f t="shared" si="20"/>
        <v>#DIV/0!</v>
      </c>
    </row>
    <row r="447" spans="5:10">
      <c r="E447" s="3">
        <f t="shared" si="19"/>
        <v>6</v>
      </c>
      <c r="G447" s="19" t="str">
        <f t="shared" si="18"/>
        <v/>
      </c>
      <c r="J447" s="28" t="e">
        <f t="shared" si="20"/>
        <v>#DIV/0!</v>
      </c>
    </row>
    <row r="448" spans="5:10">
      <c r="E448" s="3">
        <f t="shared" si="19"/>
        <v>6</v>
      </c>
      <c r="G448" s="19" t="str">
        <f t="shared" si="18"/>
        <v/>
      </c>
      <c r="H448">
        <f>SUM(A448:A454)</f>
        <v>0</v>
      </c>
      <c r="I448" s="28" t="e">
        <f>H448/H441-1</f>
        <v>#DIV/0!</v>
      </c>
      <c r="J448" s="28" t="e">
        <f t="shared" si="20"/>
        <v>#DIV/0!</v>
      </c>
    </row>
    <row r="449" spans="5:10">
      <c r="E449" s="3">
        <f t="shared" si="19"/>
        <v>6</v>
      </c>
      <c r="G449" s="19" t="str">
        <f t="shared" si="18"/>
        <v/>
      </c>
      <c r="J449" s="28" t="e">
        <f t="shared" si="20"/>
        <v>#DIV/0!</v>
      </c>
    </row>
    <row r="450" spans="5:10">
      <c r="E450" s="3">
        <f t="shared" si="19"/>
        <v>6</v>
      </c>
      <c r="G450" s="19" t="str">
        <f t="shared" si="18"/>
        <v/>
      </c>
      <c r="J450" s="28" t="e">
        <f t="shared" si="20"/>
        <v>#DIV/0!</v>
      </c>
    </row>
    <row r="451" spans="5:10">
      <c r="E451" s="3">
        <f t="shared" si="19"/>
        <v>6</v>
      </c>
      <c r="G451" s="19" t="str">
        <f t="shared" ref="G451:G514" si="21">IF(WEEKDAY(F451,2)=1,"W"&amp;WEEKNUM(F451,14),"")</f>
        <v/>
      </c>
      <c r="J451" s="28" t="e">
        <f t="shared" si="20"/>
        <v>#DIV/0!</v>
      </c>
    </row>
    <row r="452" spans="5:10">
      <c r="E452" s="3">
        <f t="shared" si="19"/>
        <v>6</v>
      </c>
      <c r="G452" s="19" t="str">
        <f t="shared" si="21"/>
        <v/>
      </c>
      <c r="J452" s="28" t="e">
        <f t="shared" si="20"/>
        <v>#DIV/0!</v>
      </c>
    </row>
    <row r="453" spans="5:10">
      <c r="E453" s="3">
        <f t="shared" ref="E453:E516" si="22">WEEKDAY(F453,2)</f>
        <v>6</v>
      </c>
      <c r="G453" s="19" t="str">
        <f t="shared" si="21"/>
        <v/>
      </c>
      <c r="J453" s="28" t="e">
        <f t="shared" si="20"/>
        <v>#DIV/0!</v>
      </c>
    </row>
    <row r="454" spans="5:10">
      <c r="E454" s="3">
        <f t="shared" si="22"/>
        <v>6</v>
      </c>
      <c r="G454" s="19" t="str">
        <f t="shared" si="21"/>
        <v/>
      </c>
      <c r="J454" s="28" t="e">
        <f t="shared" si="20"/>
        <v>#DIV/0!</v>
      </c>
    </row>
    <row r="455" spans="5:10">
      <c r="E455" s="3">
        <f t="shared" si="22"/>
        <v>6</v>
      </c>
      <c r="G455" s="19" t="str">
        <f t="shared" si="21"/>
        <v/>
      </c>
      <c r="H455">
        <f>SUM(A455:A461)</f>
        <v>0</v>
      </c>
      <c r="I455" s="28" t="e">
        <f>H455/H448-1</f>
        <v>#DIV/0!</v>
      </c>
      <c r="J455" s="28" t="e">
        <f t="shared" si="20"/>
        <v>#DIV/0!</v>
      </c>
    </row>
    <row r="456" spans="5:10">
      <c r="E456" s="3">
        <f t="shared" si="22"/>
        <v>6</v>
      </c>
      <c r="G456" s="19" t="str">
        <f t="shared" si="21"/>
        <v/>
      </c>
      <c r="J456" s="28" t="e">
        <f t="shared" si="20"/>
        <v>#DIV/0!</v>
      </c>
    </row>
    <row r="457" spans="5:10">
      <c r="E457" s="3">
        <f t="shared" si="22"/>
        <v>6</v>
      </c>
      <c r="G457" s="19" t="str">
        <f t="shared" si="21"/>
        <v/>
      </c>
      <c r="J457" s="28" t="e">
        <f t="shared" ref="J457:J520" si="23">A457/A450-1</f>
        <v>#DIV/0!</v>
      </c>
    </row>
    <row r="458" spans="5:10">
      <c r="E458" s="3">
        <f t="shared" si="22"/>
        <v>6</v>
      </c>
      <c r="G458" s="19" t="str">
        <f t="shared" si="21"/>
        <v/>
      </c>
      <c r="J458" s="28" t="e">
        <f t="shared" si="23"/>
        <v>#DIV/0!</v>
      </c>
    </row>
    <row r="459" spans="5:10">
      <c r="E459" s="3">
        <f t="shared" si="22"/>
        <v>6</v>
      </c>
      <c r="G459" s="19" t="str">
        <f t="shared" si="21"/>
        <v/>
      </c>
      <c r="J459" s="28" t="e">
        <f t="shared" si="23"/>
        <v>#DIV/0!</v>
      </c>
    </row>
    <row r="460" spans="5:10">
      <c r="E460" s="3">
        <f t="shared" si="22"/>
        <v>6</v>
      </c>
      <c r="G460" s="19" t="str">
        <f t="shared" si="21"/>
        <v/>
      </c>
      <c r="J460" s="28" t="e">
        <f t="shared" si="23"/>
        <v>#DIV/0!</v>
      </c>
    </row>
    <row r="461" spans="5:10">
      <c r="E461" s="3">
        <f t="shared" si="22"/>
        <v>6</v>
      </c>
      <c r="G461" s="19" t="str">
        <f t="shared" si="21"/>
        <v/>
      </c>
      <c r="J461" s="28" t="e">
        <f t="shared" si="23"/>
        <v>#DIV/0!</v>
      </c>
    </row>
    <row r="462" spans="5:10">
      <c r="E462" s="3">
        <f t="shared" si="22"/>
        <v>6</v>
      </c>
      <c r="G462" s="19" t="str">
        <f t="shared" si="21"/>
        <v/>
      </c>
      <c r="H462">
        <f>SUM(A462:A468)</f>
        <v>0</v>
      </c>
      <c r="I462" s="28" t="e">
        <f>H462/H455-1</f>
        <v>#DIV/0!</v>
      </c>
      <c r="J462" s="28" t="e">
        <f t="shared" si="23"/>
        <v>#DIV/0!</v>
      </c>
    </row>
    <row r="463" spans="5:10">
      <c r="E463" s="3">
        <f t="shared" si="22"/>
        <v>6</v>
      </c>
      <c r="G463" s="19" t="str">
        <f t="shared" si="21"/>
        <v/>
      </c>
      <c r="J463" s="28" t="e">
        <f t="shared" si="23"/>
        <v>#DIV/0!</v>
      </c>
    </row>
    <row r="464" spans="5:10">
      <c r="E464" s="3">
        <f t="shared" si="22"/>
        <v>6</v>
      </c>
      <c r="G464" s="19" t="str">
        <f t="shared" si="21"/>
        <v/>
      </c>
      <c r="J464" s="28" t="e">
        <f t="shared" si="23"/>
        <v>#DIV/0!</v>
      </c>
    </row>
    <row r="465" spans="5:10">
      <c r="E465" s="3">
        <f t="shared" si="22"/>
        <v>6</v>
      </c>
      <c r="G465" s="19" t="str">
        <f t="shared" si="21"/>
        <v/>
      </c>
      <c r="J465" s="28" t="e">
        <f t="shared" si="23"/>
        <v>#DIV/0!</v>
      </c>
    </row>
    <row r="466" spans="5:10">
      <c r="E466" s="3">
        <f t="shared" si="22"/>
        <v>6</v>
      </c>
      <c r="G466" s="19" t="str">
        <f t="shared" si="21"/>
        <v/>
      </c>
      <c r="J466" s="28" t="e">
        <f t="shared" si="23"/>
        <v>#DIV/0!</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IF(WEEKDAY(F515,2)=1,"W"&amp;WEEKNUM(F515,14),"")</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IF(WEEKDAY(F579,2)=1,"W"&amp;WEEKNUM(F579,14),"")</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IF(WEEKDAY(F643,2)=1,"W"&amp;WEEKNUM(F643,14),"")</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IF(WEEKDAY(F707,2)=1,"W"&amp;WEEKNUM(F707,14),"")</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IF(WEEKDAY(F771,2)=1,"W"&amp;WEEKNUM(F771,14),"")</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ul1"/>
  <dimension ref="A1:G556"/>
  <sheetViews>
    <sheetView workbookViewId="0"/>
  </sheetViews>
  <sheetFormatPr defaultRowHeight="15"/>
  <cols>
    <col min="1" max="1" width="12.7109375" bestFit="1" customWidth="1"/>
    <col min="4" max="4" width="10.28515625" bestFit="1" customWidth="1"/>
    <col min="5" max="5" width="8.85546875" style="38"/>
  </cols>
  <sheetData>
    <row r="1" spans="1:7">
      <c r="C1" t="s">
        <v>460</v>
      </c>
      <c r="D1" t="s">
        <v>458</v>
      </c>
      <c r="G1" s="7" t="s">
        <v>461</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W2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W3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W4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462</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W5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W6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W7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W8</v>
      </c>
      <c r="C49">
        <f>Kaikki!A49</f>
        <v>0</v>
      </c>
      <c r="D49">
        <f>HUS!A49</f>
        <v>0</v>
      </c>
      <c r="E49" s="38" t="e">
        <f t="shared" si="0"/>
        <v>#DIV/0!</v>
      </c>
    </row>
    <row r="50" spans="1:5">
      <c r="A50" s="30">
        <f>Kaikki!F50</f>
        <v>43879.625</v>
      </c>
      <c r="B50" s="37" t="str">
        <f>Kaikki!G50</f>
        <v/>
      </c>
      <c r="C50">
        <f>Kaikki!A50</f>
        <v>1</v>
      </c>
      <c r="D50">
        <f>HUS!A50</f>
        <v>0</v>
      </c>
      <c r="E50" s="38">
        <f t="shared" si="0"/>
        <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W9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100</v>
      </c>
      <c r="D80">
        <f>HUS!A80</f>
        <v>75</v>
      </c>
      <c r="E80" s="38">
        <f t="shared" si="1"/>
        <v>0.75</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114</v>
      </c>
      <c r="D87">
        <f>HUS!A87</f>
        <v>59</v>
      </c>
      <c r="E87" s="38">
        <f t="shared" si="1"/>
        <v>0.51754385964912286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7</v>
      </c>
      <c r="D193">
        <f>HUS!A193</f>
        <v>2</v>
      </c>
      <c r="E193" s="38">
        <f t="shared" si="2"/>
        <v>0.2857142857142857</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127</v>
      </c>
      <c r="D270">
        <f>HUS!A270</f>
        <v>85</v>
      </c>
      <c r="E270" s="38">
        <f t="shared" si="4"/>
        <v>0.6692913385826772</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179</v>
      </c>
      <c r="D278">
        <f>HUS!A278</f>
        <v>72</v>
      </c>
      <c r="E278" s="38">
        <f t="shared" si="4"/>
        <v>0.4022346368715084</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133</v>
      </c>
      <c r="D314">
        <f>HUS!A314</f>
        <v>82</v>
      </c>
      <c r="E314" s="38">
        <f t="shared" si="4"/>
        <v>0.61654135338345861</v>
      </c>
    </row>
    <row r="315" spans="1:5">
      <c r="A315" s="30">
        <f>Kaikki!F315</f>
        <v>44144.625</v>
      </c>
      <c r="B315" s="37" t="str">
        <f>Kaikki!G315</f>
        <v>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W47</v>
      </c>
      <c r="C322">
        <f>Kaikki!A322</f>
        <v>392</v>
      </c>
      <c r="D322">
        <f>HUS!A322</f>
        <v>241</v>
      </c>
      <c r="E322" s="38">
        <f t="shared" si="4"/>
        <v>0.61479591836734693</v>
      </c>
    </row>
    <row r="323" spans="1:5">
      <c r="A323" s="30">
        <f>Kaikki!F323</f>
        <v>44152.625</v>
      </c>
      <c r="B323" s="37" t="str">
        <f>Kaikki!G323</f>
        <v/>
      </c>
      <c r="C323">
        <f>Kaikki!A323</f>
        <v>388</v>
      </c>
      <c r="D323">
        <f>HUS!A323</f>
        <v>258</v>
      </c>
      <c r="E323" s="38">
        <f t="shared" ref="E323:E386" si="5">D323/C323</f>
        <v>0.66494845360824739</v>
      </c>
    </row>
    <row r="324" spans="1:5">
      <c r="A324" s="30">
        <f>Kaikki!F324</f>
        <v>44153.625</v>
      </c>
      <c r="B324" s="37" t="str">
        <f>Kaikki!G324</f>
        <v/>
      </c>
      <c r="C324">
        <f>Kaikki!A324</f>
        <v>375</v>
      </c>
      <c r="D324">
        <f>HUS!A324</f>
        <v>240</v>
      </c>
      <c r="E324" s="38">
        <f t="shared" si="5"/>
        <v>0.64</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W51</v>
      </c>
      <c r="C350">
        <f>Kaikki!A350</f>
        <v>463</v>
      </c>
      <c r="D350">
        <f>HUS!A350</f>
        <v>233</v>
      </c>
      <c r="E350" s="38">
        <f t="shared" si="5"/>
        <v>0.5032397408207343</v>
      </c>
    </row>
    <row r="351" spans="1:5">
      <c r="A351" s="30">
        <f>Kaikki!F351</f>
        <v>44180.625</v>
      </c>
      <c r="B351" s="37" t="str">
        <f>Kaikki!G351</f>
        <v/>
      </c>
      <c r="C351">
        <f>Kaikki!A351</f>
        <v>359</v>
      </c>
      <c r="D351">
        <f>HUS!A351</f>
        <v>194</v>
      </c>
      <c r="E351" s="38">
        <f t="shared" si="5"/>
        <v>0.54038997214484674</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190</v>
      </c>
      <c r="D355">
        <f>HUS!A355</f>
        <v>125</v>
      </c>
      <c r="E355" s="38">
        <f t="shared" si="5"/>
        <v>0.65789473684210531</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W1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W2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W3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360</v>
      </c>
      <c r="D389">
        <f>HUS!A389</f>
        <v>196</v>
      </c>
      <c r="E389" s="38">
        <f t="shared" si="6"/>
        <v>0.5444444444444444</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245</v>
      </c>
      <c r="D391">
        <f>HUS!A391</f>
        <v>152</v>
      </c>
      <c r="E391" s="38">
        <f t="shared" si="6"/>
        <v>0.62040816326530612</v>
      </c>
    </row>
    <row r="392" spans="1:5">
      <c r="A392" s="30">
        <f>Kaikki!F392</f>
        <v>44221.625</v>
      </c>
      <c r="B392" s="37" t="str">
        <f>Kaikki!G392</f>
        <v>W4</v>
      </c>
      <c r="C392">
        <f>Kaikki!A392</f>
        <v>604</v>
      </c>
      <c r="D392">
        <f>HUS!A392</f>
        <v>256</v>
      </c>
      <c r="E392" s="38">
        <f t="shared" si="6"/>
        <v>0.42384105960264901</v>
      </c>
    </row>
    <row r="393" spans="1:5">
      <c r="A393" s="30">
        <f>Kaikki!F393</f>
        <v>44222.625</v>
      </c>
      <c r="B393" s="37" t="str">
        <f>Kaikki!G393</f>
        <v/>
      </c>
      <c r="C393">
        <f>Kaikki!A393</f>
        <v>398</v>
      </c>
      <c r="D393">
        <f>HUS!A393</f>
        <v>212</v>
      </c>
      <c r="E393" s="38">
        <f t="shared" si="6"/>
        <v>0.53266331658291455</v>
      </c>
    </row>
    <row r="394" spans="1:5">
      <c r="A394" s="30">
        <f>Kaikki!F394</f>
        <v>44223.625</v>
      </c>
      <c r="B394" s="37" t="str">
        <f>Kaikki!G394</f>
        <v/>
      </c>
      <c r="C394">
        <f>Kaikki!A394</f>
        <v>383</v>
      </c>
      <c r="D394">
        <f>HUS!A394</f>
        <v>188</v>
      </c>
      <c r="E394" s="38">
        <f t="shared" si="6"/>
        <v>0.49086161879895562</v>
      </c>
    </row>
    <row r="395" spans="1:5">
      <c r="A395" s="30">
        <f>Kaikki!F395</f>
        <v>44224.625</v>
      </c>
      <c r="B395" s="37" t="str">
        <f>Kaikki!G395</f>
        <v/>
      </c>
      <c r="C395">
        <f>Kaikki!A395</f>
        <v>436</v>
      </c>
      <c r="D395">
        <f>HUS!A395</f>
        <v>230</v>
      </c>
      <c r="E395" s="38">
        <f t="shared" si="6"/>
        <v>0.52752293577981646</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W5</v>
      </c>
      <c r="C399">
        <f>Kaikki!A399</f>
        <v>530</v>
      </c>
      <c r="D399">
        <f>HUS!A399</f>
        <v>293</v>
      </c>
      <c r="E399" s="38">
        <f t="shared" si="6"/>
        <v>0.55283018867924527</v>
      </c>
    </row>
    <row r="400" spans="1:5">
      <c r="A400" s="30">
        <f>Kaikki!F400</f>
        <v>44229.625</v>
      </c>
      <c r="B400" s="37" t="str">
        <f>Kaikki!G400</f>
        <v/>
      </c>
      <c r="C400">
        <f>Kaikki!A400</f>
        <v>396</v>
      </c>
      <c r="D400">
        <f>HUS!A400</f>
        <v>251</v>
      </c>
      <c r="E400" s="38">
        <f t="shared" si="6"/>
        <v>0.63383838383838387</v>
      </c>
    </row>
    <row r="401" spans="1:5">
      <c r="A401" s="30">
        <f>Kaikki!F401</f>
        <v>44230.625</v>
      </c>
      <c r="B401" s="37" t="str">
        <f>Kaikki!G401</f>
        <v/>
      </c>
      <c r="C401">
        <f>Kaikki!A401</f>
        <v>440</v>
      </c>
      <c r="D401">
        <f>HUS!A401</f>
        <v>262</v>
      </c>
      <c r="E401" s="38">
        <f t="shared" si="6"/>
        <v>0.59545454545454546</v>
      </c>
    </row>
    <row r="402" spans="1:5">
      <c r="A402" s="30">
        <f>Kaikki!F402</f>
        <v>44231.625</v>
      </c>
      <c r="B402" s="37" t="str">
        <f>Kaikki!G402</f>
        <v/>
      </c>
      <c r="C402">
        <f>Kaikki!A402</f>
        <v>370</v>
      </c>
      <c r="D402">
        <f>HUS!A402</f>
        <v>223</v>
      </c>
      <c r="E402" s="38">
        <f t="shared" si="6"/>
        <v>0.60270270270270265</v>
      </c>
    </row>
    <row r="403" spans="1:5">
      <c r="A403" s="30">
        <f>Kaikki!F403</f>
        <v>44232.625</v>
      </c>
      <c r="B403" s="37" t="str">
        <f>Kaikki!G403</f>
        <v/>
      </c>
      <c r="C403">
        <f>Kaikki!A403</f>
        <v>366</v>
      </c>
      <c r="D403">
        <f>HUS!A403</f>
        <v>215</v>
      </c>
      <c r="E403" s="38">
        <f t="shared" si="6"/>
        <v>0.58743169398907102</v>
      </c>
    </row>
    <row r="404" spans="1:5">
      <c r="A404" s="30">
        <f>Kaikki!F404</f>
        <v>44233.625</v>
      </c>
      <c r="B404" s="37" t="str">
        <f>Kaikki!G404</f>
        <v/>
      </c>
      <c r="C404">
        <f>Kaikki!A404</f>
        <v>240</v>
      </c>
      <c r="D404">
        <f>HUS!A404</f>
        <v>154</v>
      </c>
      <c r="E404" s="38">
        <f t="shared" si="6"/>
        <v>0.64166666666666672</v>
      </c>
    </row>
    <row r="405" spans="1:5">
      <c r="A405" s="30">
        <f>Kaikki!F405</f>
        <v>44234.625</v>
      </c>
      <c r="B405" s="37" t="str">
        <f>Kaikki!G405</f>
        <v/>
      </c>
      <c r="C405">
        <f>Kaikki!A405</f>
        <v>261</v>
      </c>
      <c r="D405">
        <f>HUS!A405</f>
        <v>171</v>
      </c>
      <c r="E405" s="38">
        <f t="shared" si="6"/>
        <v>0.65517241379310343</v>
      </c>
    </row>
    <row r="406" spans="1:5">
      <c r="A406" s="30">
        <f>Kaikki!F406</f>
        <v>44235.625</v>
      </c>
      <c r="B406" s="37" t="str">
        <f>Kaikki!G406</f>
        <v>W6</v>
      </c>
      <c r="C406">
        <f>Kaikki!A406</f>
        <v>460</v>
      </c>
      <c r="D406">
        <f>HUS!A406</f>
        <v>294</v>
      </c>
      <c r="E406" s="38">
        <f t="shared" si="6"/>
        <v>0.63913043478260867</v>
      </c>
    </row>
    <row r="407" spans="1:5">
      <c r="A407" s="30">
        <f>Kaikki!F407</f>
        <v>44236.625</v>
      </c>
      <c r="B407" s="37" t="str">
        <f>Kaikki!G407</f>
        <v/>
      </c>
      <c r="C407">
        <f>Kaikki!A407</f>
        <v>370</v>
      </c>
      <c r="D407">
        <f>HUS!A407</f>
        <v>238</v>
      </c>
      <c r="E407" s="38">
        <f t="shared" si="6"/>
        <v>0.64324324324324322</v>
      </c>
    </row>
    <row r="408" spans="1:5">
      <c r="A408" s="30">
        <f>Kaikki!F408</f>
        <v>44237.625</v>
      </c>
      <c r="B408" s="37" t="str">
        <f>Kaikki!G408</f>
        <v/>
      </c>
      <c r="C408">
        <f>Kaikki!A408</f>
        <v>382</v>
      </c>
      <c r="D408">
        <f>HUS!A408</f>
        <v>226</v>
      </c>
      <c r="E408" s="38">
        <f t="shared" si="6"/>
        <v>0.59162303664921467</v>
      </c>
    </row>
    <row r="409" spans="1:5">
      <c r="A409" s="30">
        <f>Kaikki!F409</f>
        <v>44238.625</v>
      </c>
      <c r="B409" s="37" t="str">
        <f>Kaikki!G409</f>
        <v/>
      </c>
      <c r="C409">
        <f>Kaikki!A409</f>
        <v>354</v>
      </c>
      <c r="D409">
        <f>HUS!A409</f>
        <v>233</v>
      </c>
      <c r="E409" s="38">
        <f t="shared" si="6"/>
        <v>0.65819209039548021</v>
      </c>
    </row>
    <row r="410" spans="1:5">
      <c r="A410" s="30">
        <f>Kaikki!F410</f>
        <v>44239.625</v>
      </c>
      <c r="B410" s="37" t="str">
        <f>Kaikki!G410</f>
        <v/>
      </c>
      <c r="C410">
        <f>Kaikki!A410</f>
        <v>418</v>
      </c>
      <c r="D410">
        <f>HUS!A410</f>
        <v>260</v>
      </c>
      <c r="E410" s="38">
        <f t="shared" si="6"/>
        <v>0.62200956937799046</v>
      </c>
    </row>
    <row r="411" spans="1:5">
      <c r="A411" s="30">
        <f>Kaikki!F411</f>
        <v>44240.625</v>
      </c>
      <c r="B411" s="37" t="str">
        <f>Kaikki!G411</f>
        <v/>
      </c>
      <c r="C411">
        <f>Kaikki!A411</f>
        <v>277</v>
      </c>
      <c r="D411">
        <f>HUS!A411</f>
        <v>190</v>
      </c>
      <c r="E411" s="38">
        <f t="shared" si="6"/>
        <v>0.6859205776173285</v>
      </c>
    </row>
    <row r="412" spans="1:5">
      <c r="A412" s="30">
        <f>Kaikki!F412</f>
        <v>44241.625</v>
      </c>
      <c r="B412" s="37" t="str">
        <f>Kaikki!G412</f>
        <v/>
      </c>
      <c r="C412">
        <f>Kaikki!A412</f>
        <v>273</v>
      </c>
      <c r="D412">
        <f>HUS!A412</f>
        <v>180</v>
      </c>
      <c r="E412" s="38">
        <f t="shared" si="6"/>
        <v>0.65934065934065933</v>
      </c>
    </row>
    <row r="413" spans="1:5">
      <c r="A413" s="30">
        <f>Kaikki!F413</f>
        <v>44242.625</v>
      </c>
      <c r="B413" s="37" t="str">
        <f>Kaikki!G413</f>
        <v>W7</v>
      </c>
      <c r="C413">
        <f>Kaikki!A413</f>
        <v>609</v>
      </c>
      <c r="D413">
        <f>HUS!A413</f>
        <v>359</v>
      </c>
      <c r="E413" s="38">
        <f t="shared" si="6"/>
        <v>0.58949096880131358</v>
      </c>
    </row>
    <row r="414" spans="1:5">
      <c r="A414" s="30">
        <f>Kaikki!F414</f>
        <v>44243.625</v>
      </c>
      <c r="B414" s="37" t="str">
        <f>Kaikki!G414</f>
        <v/>
      </c>
      <c r="C414">
        <f>Kaikki!A414</f>
        <v>501</v>
      </c>
      <c r="D414">
        <f>HUS!A414</f>
        <v>317</v>
      </c>
      <c r="E414" s="38">
        <f t="shared" si="6"/>
        <v>0.63273453093812371</v>
      </c>
    </row>
    <row r="415" spans="1:5">
      <c r="A415" s="30">
        <f>Kaikki!F415</f>
        <v>44244.625</v>
      </c>
      <c r="B415" s="37" t="str">
        <f>Kaikki!G415</f>
        <v/>
      </c>
      <c r="C415">
        <f>Kaikki!A415</f>
        <v>526</v>
      </c>
      <c r="D415">
        <f>HUS!A415</f>
        <v>309</v>
      </c>
      <c r="E415" s="38">
        <f t="shared" si="6"/>
        <v>0.5874524714828897</v>
      </c>
    </row>
    <row r="416" spans="1:5">
      <c r="A416" s="30">
        <f>Kaikki!F416</f>
        <v>44245.625</v>
      </c>
      <c r="B416" s="37" t="str">
        <f>Kaikki!G416</f>
        <v/>
      </c>
      <c r="C416">
        <f>Kaikki!A416</f>
        <v>594</v>
      </c>
      <c r="D416">
        <f>HUS!A416</f>
        <v>318</v>
      </c>
      <c r="E416" s="38">
        <f t="shared" si="6"/>
        <v>0.53535353535353536</v>
      </c>
    </row>
    <row r="417" spans="1:5">
      <c r="A417" s="30">
        <f>Kaikki!F417</f>
        <v>44246.625</v>
      </c>
      <c r="B417" s="37" t="str">
        <f>Kaikki!G417</f>
        <v/>
      </c>
      <c r="C417">
        <f>Kaikki!A417</f>
        <v>552</v>
      </c>
      <c r="D417">
        <f>HUS!A417</f>
        <v>289</v>
      </c>
      <c r="E417" s="38">
        <f t="shared" si="6"/>
        <v>0.52355072463768115</v>
      </c>
    </row>
    <row r="418" spans="1:5">
      <c r="A418" s="30">
        <f>Kaikki!F418</f>
        <v>44247.625</v>
      </c>
      <c r="B418" s="37" t="str">
        <f>Kaikki!G418</f>
        <v/>
      </c>
      <c r="C418">
        <f>Kaikki!A418</f>
        <v>305</v>
      </c>
      <c r="D418">
        <f>HUS!A418</f>
        <v>181</v>
      </c>
      <c r="E418" s="38">
        <f t="shared" si="6"/>
        <v>0.59344262295081962</v>
      </c>
    </row>
    <row r="419" spans="1:5">
      <c r="A419" s="30">
        <f>Kaikki!F419</f>
        <v>44248.625</v>
      </c>
      <c r="B419" s="37" t="str">
        <f>Kaikki!G419</f>
        <v/>
      </c>
      <c r="C419">
        <f>Kaikki!A419</f>
        <v>339</v>
      </c>
      <c r="D419">
        <f>HUS!A419</f>
        <v>216</v>
      </c>
      <c r="E419" s="38">
        <f t="shared" si="6"/>
        <v>0.63716814159292035</v>
      </c>
    </row>
    <row r="420" spans="1:5">
      <c r="A420" s="30">
        <f>Kaikki!F420</f>
        <v>44249.625</v>
      </c>
      <c r="B420" s="37" t="str">
        <f>Kaikki!G420</f>
        <v>W8</v>
      </c>
      <c r="C420">
        <f>Kaikki!A420</f>
        <v>509</v>
      </c>
      <c r="D420">
        <f>HUS!A420</f>
        <v>351</v>
      </c>
      <c r="E420" s="38">
        <f t="shared" si="6"/>
        <v>0.68958742632612968</v>
      </c>
    </row>
    <row r="421" spans="1:5">
      <c r="A421" s="30">
        <f>Kaikki!F421</f>
        <v>44250.625</v>
      </c>
      <c r="B421" s="37" t="str">
        <f>Kaikki!G421</f>
        <v/>
      </c>
      <c r="C421">
        <f>Kaikki!A421</f>
        <v>265</v>
      </c>
      <c r="D421">
        <f>HUS!A421</f>
        <v>217</v>
      </c>
      <c r="E421" s="38">
        <f t="shared" si="6"/>
        <v>0.81886792452830193</v>
      </c>
    </row>
    <row r="422" spans="1:5">
      <c r="A422" s="30">
        <f>Kaikki!F422</f>
        <v>44251.400497685187</v>
      </c>
      <c r="B422" s="37" t="str">
        <f>Kaikki!G422</f>
        <v/>
      </c>
      <c r="C422">
        <f>Kaikki!A422</f>
        <v>0</v>
      </c>
      <c r="D422">
        <f>HUS!A422</f>
        <v>0</v>
      </c>
      <c r="E422" s="38" t="e">
        <f t="shared" si="6"/>
        <v>#DIV/0!</v>
      </c>
    </row>
    <row r="423" spans="1:5">
      <c r="A423" s="30">
        <f>Kaikki!F423</f>
        <v>0</v>
      </c>
      <c r="B423" s="37" t="str">
        <f>Kaikki!G423</f>
        <v/>
      </c>
      <c r="C423">
        <f>Kaikki!A423</f>
        <v>0</v>
      </c>
      <c r="D423">
        <f>HUS!A423</f>
        <v>0</v>
      </c>
      <c r="E423" s="38" t="e">
        <f t="shared" si="6"/>
        <v>#DIV/0!</v>
      </c>
    </row>
    <row r="424" spans="1:5">
      <c r="A424" s="30">
        <f>Kaikki!F424</f>
        <v>0</v>
      </c>
      <c r="B424" s="37" t="str">
        <f>Kaikki!G424</f>
        <v/>
      </c>
      <c r="C424">
        <f>Kaikki!A424</f>
        <v>0</v>
      </c>
      <c r="D424">
        <f>HUS!A424</f>
        <v>0</v>
      </c>
      <c r="E424" s="38" t="e">
        <f t="shared" si="6"/>
        <v>#DIV/0!</v>
      </c>
    </row>
    <row r="425" spans="1:5">
      <c r="A425" s="30">
        <f>Kaikki!F425</f>
        <v>0</v>
      </c>
      <c r="B425" s="37" t="str">
        <f>Kaikki!G425</f>
        <v/>
      </c>
      <c r="C425">
        <f>Kaikki!A425</f>
        <v>0</v>
      </c>
      <c r="D425">
        <f>HUS!A425</f>
        <v>0</v>
      </c>
      <c r="E425" s="38" t="e">
        <f t="shared" si="6"/>
        <v>#DIV/0!</v>
      </c>
    </row>
    <row r="426" spans="1:5">
      <c r="A426" s="30">
        <f>Kaikki!F426</f>
        <v>0</v>
      </c>
      <c r="B426" s="37" t="str">
        <f>Kaikki!G426</f>
        <v/>
      </c>
      <c r="C426">
        <f>Kaikki!A426</f>
        <v>0</v>
      </c>
      <c r="D426">
        <f>HUS!A426</f>
        <v>0</v>
      </c>
      <c r="E426" s="38" t="e">
        <f t="shared" si="6"/>
        <v>#DIV/0!</v>
      </c>
    </row>
    <row r="427" spans="1:5">
      <c r="A427" s="30">
        <f>Kaikki!F427</f>
        <v>0</v>
      </c>
      <c r="B427" s="37" t="str">
        <f>Kaikki!G427</f>
        <v/>
      </c>
      <c r="C427">
        <f>Kaikki!A427</f>
        <v>0</v>
      </c>
      <c r="D427">
        <f>HUS!A427</f>
        <v>0</v>
      </c>
      <c r="E427" s="38" t="e">
        <f t="shared" si="6"/>
        <v>#DIV/0!</v>
      </c>
    </row>
    <row r="428" spans="1:5">
      <c r="A428" s="30">
        <f>Kaikki!F428</f>
        <v>0</v>
      </c>
      <c r="B428" s="37" t="str">
        <f>Kaikki!G428</f>
        <v/>
      </c>
      <c r="C428">
        <f>Kaikki!A428</f>
        <v>0</v>
      </c>
      <c r="D428">
        <f>HUS!A428</f>
        <v>0</v>
      </c>
      <c r="E428" s="38" t="e">
        <f t="shared" si="6"/>
        <v>#DIV/0!</v>
      </c>
    </row>
    <row r="429" spans="1:5">
      <c r="A429" s="30">
        <f>Kaikki!F429</f>
        <v>0</v>
      </c>
      <c r="B429" s="37" t="str">
        <f>Kaikki!G429</f>
        <v/>
      </c>
      <c r="C429">
        <f>Kaikki!A429</f>
        <v>0</v>
      </c>
      <c r="D429">
        <f>HUS!A429</f>
        <v>0</v>
      </c>
      <c r="E429" s="38" t="e">
        <f t="shared" si="6"/>
        <v>#DIV/0!</v>
      </c>
    </row>
    <row r="430" spans="1:5">
      <c r="A430" s="30">
        <f>Kaikki!F430</f>
        <v>0</v>
      </c>
      <c r="B430" s="37" t="str">
        <f>Kaikki!G430</f>
        <v/>
      </c>
      <c r="C430">
        <f>Kaikki!A430</f>
        <v>0</v>
      </c>
      <c r="D430">
        <f>HUS!A430</f>
        <v>0</v>
      </c>
      <c r="E430" s="38" t="e">
        <f t="shared" si="6"/>
        <v>#DIV/0!</v>
      </c>
    </row>
    <row r="431" spans="1:5">
      <c r="A431" s="30">
        <f>Kaikki!F431</f>
        <v>0</v>
      </c>
      <c r="B431" s="37" t="str">
        <f>Kaikki!G431</f>
        <v/>
      </c>
      <c r="C431">
        <f>Kaikki!A431</f>
        <v>0</v>
      </c>
      <c r="D431">
        <f>HUS!A431</f>
        <v>0</v>
      </c>
      <c r="E431" s="38" t="e">
        <f t="shared" si="6"/>
        <v>#DIV/0!</v>
      </c>
    </row>
    <row r="432" spans="1:5">
      <c r="A432" s="30">
        <f>Kaikki!F432</f>
        <v>0</v>
      </c>
      <c r="B432" s="37" t="str">
        <f>Kaikki!G432</f>
        <v/>
      </c>
      <c r="C432">
        <f>Kaikki!A432</f>
        <v>0</v>
      </c>
      <c r="D432">
        <f>HUS!A432</f>
        <v>0</v>
      </c>
      <c r="E432" s="38" t="e">
        <f t="shared" si="6"/>
        <v>#DIV/0!</v>
      </c>
    </row>
    <row r="433" spans="1:5">
      <c r="A433" s="30">
        <f>Kaikki!F433</f>
        <v>0</v>
      </c>
      <c r="B433" s="37" t="str">
        <f>Kaikki!G433</f>
        <v/>
      </c>
      <c r="C433">
        <f>Kaikki!A433</f>
        <v>0</v>
      </c>
      <c r="D433">
        <f>HUS!A433</f>
        <v>0</v>
      </c>
      <c r="E433" s="38" t="e">
        <f t="shared" si="6"/>
        <v>#DIV/0!</v>
      </c>
    </row>
    <row r="434" spans="1:5">
      <c r="A434" s="30">
        <f>Kaikki!F434</f>
        <v>0</v>
      </c>
      <c r="B434" s="37" t="str">
        <f>Kaikki!G434</f>
        <v/>
      </c>
      <c r="C434">
        <f>Kaikki!A434</f>
        <v>0</v>
      </c>
      <c r="D434">
        <f>HUS!A434</f>
        <v>0</v>
      </c>
      <c r="E434" s="38" t="e">
        <f t="shared" si="6"/>
        <v>#DIV/0!</v>
      </c>
    </row>
    <row r="435" spans="1:5">
      <c r="A435" s="30">
        <f>Kaikki!F435</f>
        <v>0</v>
      </c>
      <c r="B435" s="37" t="str">
        <f>Kaikki!G435</f>
        <v/>
      </c>
      <c r="C435">
        <f>Kaikki!A435</f>
        <v>0</v>
      </c>
      <c r="D435">
        <f>HUS!A435</f>
        <v>0</v>
      </c>
      <c r="E435" s="38" t="e">
        <f t="shared" si="6"/>
        <v>#DIV/0!</v>
      </c>
    </row>
    <row r="436" spans="1:5">
      <c r="A436" s="30">
        <f>Kaikki!F436</f>
        <v>0</v>
      </c>
      <c r="B436" s="37" t="str">
        <f>Kaikki!G436</f>
        <v/>
      </c>
      <c r="C436">
        <f>Kaikki!A436</f>
        <v>0</v>
      </c>
      <c r="D436">
        <f>HUS!A436</f>
        <v>0</v>
      </c>
      <c r="E436" s="38" t="e">
        <f t="shared" si="6"/>
        <v>#DIV/0!</v>
      </c>
    </row>
    <row r="437" spans="1:5">
      <c r="A437" s="30">
        <f>Kaikki!F437</f>
        <v>0</v>
      </c>
      <c r="B437" s="37" t="str">
        <f>Kaikki!G437</f>
        <v/>
      </c>
      <c r="C437">
        <f>Kaikki!A437</f>
        <v>0</v>
      </c>
      <c r="D437">
        <f>HUS!A437</f>
        <v>0</v>
      </c>
      <c r="E437" s="38" t="e">
        <f t="shared" si="6"/>
        <v>#DIV/0!</v>
      </c>
    </row>
    <row r="438" spans="1:5">
      <c r="A438" s="30">
        <f>Kaikki!F438</f>
        <v>0</v>
      </c>
      <c r="B438" s="37" t="str">
        <f>Kaikki!G438</f>
        <v/>
      </c>
      <c r="C438">
        <f>Kaikki!A438</f>
        <v>0</v>
      </c>
      <c r="D438">
        <f>HUS!A438</f>
        <v>0</v>
      </c>
      <c r="E438" s="38" t="e">
        <f t="shared" si="6"/>
        <v>#DIV/0!</v>
      </c>
    </row>
    <row r="439" spans="1:5">
      <c r="A439" s="30">
        <f>Kaikki!F439</f>
        <v>0</v>
      </c>
      <c r="B439" s="37" t="str">
        <f>Kaikki!G439</f>
        <v/>
      </c>
      <c r="C439">
        <f>Kaikki!A439</f>
        <v>0</v>
      </c>
      <c r="D439">
        <f>HUS!A439</f>
        <v>0</v>
      </c>
      <c r="E439" s="38" t="e">
        <f t="shared" si="6"/>
        <v>#DIV/0!</v>
      </c>
    </row>
    <row r="440" spans="1:5">
      <c r="A440" s="30">
        <f>Kaikki!F440</f>
        <v>0</v>
      </c>
      <c r="B440" s="37" t="str">
        <f>Kaikki!G440</f>
        <v/>
      </c>
      <c r="C440">
        <f>Kaikki!A440</f>
        <v>0</v>
      </c>
      <c r="D440">
        <f>HUS!A440</f>
        <v>0</v>
      </c>
      <c r="E440" s="38" t="e">
        <f t="shared" si="6"/>
        <v>#DIV/0!</v>
      </c>
    </row>
    <row r="441" spans="1:5">
      <c r="A441" s="30">
        <f>Kaikki!F441</f>
        <v>0</v>
      </c>
      <c r="B441" s="37" t="str">
        <f>Kaikki!G441</f>
        <v/>
      </c>
      <c r="C441">
        <f>Kaikki!A441</f>
        <v>0</v>
      </c>
      <c r="D441">
        <f>HUS!A441</f>
        <v>0</v>
      </c>
      <c r="E441" s="38" t="e">
        <f t="shared" si="6"/>
        <v>#DIV/0!</v>
      </c>
    </row>
    <row r="442" spans="1:5">
      <c r="A442" s="30">
        <f>Kaikki!F442</f>
        <v>0</v>
      </c>
      <c r="B442" s="37" t="str">
        <f>Kaikki!G442</f>
        <v/>
      </c>
      <c r="C442">
        <f>Kaikki!A442</f>
        <v>0</v>
      </c>
      <c r="D442">
        <f>HUS!A442</f>
        <v>0</v>
      </c>
      <c r="E442" s="38" t="e">
        <f t="shared" si="6"/>
        <v>#DIV/0!</v>
      </c>
    </row>
    <row r="443" spans="1:5">
      <c r="A443" s="30">
        <f>Kaikki!F443</f>
        <v>0</v>
      </c>
      <c r="B443" s="37" t="str">
        <f>Kaikki!G443</f>
        <v/>
      </c>
      <c r="C443">
        <f>Kaikki!A443</f>
        <v>0</v>
      </c>
      <c r="D443">
        <f>HUS!A443</f>
        <v>0</v>
      </c>
      <c r="E443" s="38" t="e">
        <f t="shared" si="6"/>
        <v>#DIV/0!</v>
      </c>
    </row>
    <row r="444" spans="1:5">
      <c r="A444" s="30">
        <f>Kaikki!F444</f>
        <v>0</v>
      </c>
      <c r="B444" s="37" t="str">
        <f>Kaikki!G444</f>
        <v/>
      </c>
      <c r="C444">
        <f>Kaikki!A444</f>
        <v>0</v>
      </c>
      <c r="D444">
        <f>HUS!A444</f>
        <v>0</v>
      </c>
      <c r="E444" s="38" t="e">
        <f t="shared" si="6"/>
        <v>#DIV/0!</v>
      </c>
    </row>
    <row r="445" spans="1:5">
      <c r="A445" s="30">
        <f>Kaikki!F445</f>
        <v>0</v>
      </c>
      <c r="B445" s="37" t="str">
        <f>Kaikki!G445</f>
        <v/>
      </c>
      <c r="C445">
        <f>Kaikki!A445</f>
        <v>0</v>
      </c>
      <c r="D445">
        <f>HUS!A445</f>
        <v>0</v>
      </c>
      <c r="E445" s="38" t="e">
        <f t="shared" si="6"/>
        <v>#DIV/0!</v>
      </c>
    </row>
    <row r="446" spans="1:5">
      <c r="A446" s="30">
        <f>Kaikki!F446</f>
        <v>0</v>
      </c>
      <c r="B446" s="37" t="str">
        <f>Kaikki!G446</f>
        <v/>
      </c>
      <c r="C446">
        <f>Kaikki!A446</f>
        <v>0</v>
      </c>
      <c r="D446">
        <f>HUS!A446</f>
        <v>0</v>
      </c>
      <c r="E446" s="38" t="e">
        <f t="shared" si="6"/>
        <v>#DIV/0!</v>
      </c>
    </row>
    <row r="447" spans="1:5">
      <c r="A447" s="30">
        <f>Kaikki!F447</f>
        <v>0</v>
      </c>
      <c r="B447" s="37" t="str">
        <f>Kaikki!G447</f>
        <v/>
      </c>
      <c r="C447">
        <f>Kaikki!A447</f>
        <v>0</v>
      </c>
      <c r="D447">
        <f>HUS!A447</f>
        <v>0</v>
      </c>
      <c r="E447" s="38" t="e">
        <f t="shared" si="6"/>
        <v>#DIV/0!</v>
      </c>
    </row>
    <row r="448" spans="1:5">
      <c r="A448" s="30">
        <f>Kaikki!F448</f>
        <v>0</v>
      </c>
      <c r="B448" s="37" t="str">
        <f>Kaikki!G448</f>
        <v/>
      </c>
      <c r="C448">
        <f>Kaikki!A448</f>
        <v>0</v>
      </c>
      <c r="D448">
        <f>HUS!A448</f>
        <v>0</v>
      </c>
      <c r="E448" s="38" t="e">
        <f t="shared" si="6"/>
        <v>#DIV/0!</v>
      </c>
    </row>
    <row r="449" spans="1:5">
      <c r="A449" s="30">
        <f>Kaikki!F449</f>
        <v>0</v>
      </c>
      <c r="B449" s="37" t="str">
        <f>Kaikki!G449</f>
        <v/>
      </c>
      <c r="C449">
        <f>Kaikki!A449</f>
        <v>0</v>
      </c>
      <c r="D449">
        <f>HUS!A449</f>
        <v>0</v>
      </c>
      <c r="E449" s="38" t="e">
        <f t="shared" si="6"/>
        <v>#DIV/0!</v>
      </c>
    </row>
    <row r="450" spans="1:5">
      <c r="A450" s="30">
        <f>Kaikki!F450</f>
        <v>0</v>
      </c>
      <c r="B450" s="37" t="str">
        <f>Kaikki!G450</f>
        <v/>
      </c>
      <c r="C450">
        <f>Kaikki!A450</f>
        <v>0</v>
      </c>
      <c r="D450">
        <f>HUS!A450</f>
        <v>0</v>
      </c>
      <c r="E450" s="38" t="e">
        <f t="shared" si="6"/>
        <v>#DIV/0!</v>
      </c>
    </row>
    <row r="451" spans="1:5">
      <c r="A451" s="30">
        <f>Kaikki!F451</f>
        <v>0</v>
      </c>
      <c r="B451" s="37" t="str">
        <f>Kaikki!G451</f>
        <v/>
      </c>
      <c r="C451">
        <f>Kaikki!A451</f>
        <v>0</v>
      </c>
      <c r="D451">
        <f>HUS!A451</f>
        <v>0</v>
      </c>
      <c r="E451" s="38" t="e">
        <f t="shared" ref="E451:E514" si="7">D451/C451</f>
        <v>#DIV/0!</v>
      </c>
    </row>
    <row r="452" spans="1:5">
      <c r="A452" s="30">
        <f>Kaikki!F452</f>
        <v>0</v>
      </c>
      <c r="B452" s="37" t="str">
        <f>Kaikki!G452</f>
        <v/>
      </c>
      <c r="C452">
        <f>Kaikki!A452</f>
        <v>0</v>
      </c>
      <c r="D452">
        <f>HUS!A452</f>
        <v>0</v>
      </c>
      <c r="E452" s="38" t="e">
        <f t="shared" si="7"/>
        <v>#DIV/0!</v>
      </c>
    </row>
    <row r="453" spans="1:5">
      <c r="A453" s="30">
        <f>Kaikki!F453</f>
        <v>0</v>
      </c>
      <c r="B453" s="37" t="str">
        <f>Kaikki!G453</f>
        <v/>
      </c>
      <c r="C453">
        <f>Kaikki!A453</f>
        <v>0</v>
      </c>
      <c r="D453">
        <f>HUS!A453</f>
        <v>0</v>
      </c>
      <c r="E453" s="38" t="e">
        <f t="shared" si="7"/>
        <v>#DIV/0!</v>
      </c>
    </row>
    <row r="454" spans="1:5">
      <c r="A454" s="30">
        <f>Kaikki!F454</f>
        <v>0</v>
      </c>
      <c r="B454" s="37" t="str">
        <f>Kaikki!G454</f>
        <v/>
      </c>
      <c r="C454">
        <f>Kaikki!A454</f>
        <v>0</v>
      </c>
      <c r="D454">
        <f>HUS!A454</f>
        <v>0</v>
      </c>
      <c r="E454" s="38" t="e">
        <f t="shared" si="7"/>
        <v>#DIV/0!</v>
      </c>
    </row>
    <row r="455" spans="1:5">
      <c r="A455" s="30">
        <f>Kaikki!F455</f>
        <v>0</v>
      </c>
      <c r="B455" s="37" t="str">
        <f>Kaikki!G455</f>
        <v/>
      </c>
      <c r="C455">
        <f>Kaikki!A455</f>
        <v>0</v>
      </c>
      <c r="D455">
        <f>HUS!A455</f>
        <v>0</v>
      </c>
      <c r="E455" s="38" t="e">
        <f t="shared" si="7"/>
        <v>#DIV/0!</v>
      </c>
    </row>
    <row r="456" spans="1:5">
      <c r="A456" s="30">
        <f>Kaikki!F456</f>
        <v>0</v>
      </c>
      <c r="B456" s="37" t="str">
        <f>Kaikki!G456</f>
        <v/>
      </c>
      <c r="C456">
        <f>Kaikki!A456</f>
        <v>0</v>
      </c>
      <c r="D456">
        <f>HUS!A456</f>
        <v>0</v>
      </c>
      <c r="E456" s="38" t="e">
        <f t="shared" si="7"/>
        <v>#DIV/0!</v>
      </c>
    </row>
    <row r="457" spans="1:5">
      <c r="A457" s="30">
        <f>Kaikki!F457</f>
        <v>0</v>
      </c>
      <c r="B457" s="37" t="str">
        <f>Kaikki!G457</f>
        <v/>
      </c>
      <c r="C457">
        <f>Kaikki!A457</f>
        <v>0</v>
      </c>
      <c r="D457">
        <f>HUS!A457</f>
        <v>0</v>
      </c>
      <c r="E457" s="38" t="e">
        <f t="shared" si="7"/>
        <v>#DIV/0!</v>
      </c>
    </row>
    <row r="458" spans="1:5">
      <c r="A458" s="30">
        <f>Kaikki!F458</f>
        <v>0</v>
      </c>
      <c r="B458" s="37" t="str">
        <f>Kaikki!G458</f>
        <v/>
      </c>
      <c r="C458">
        <f>Kaikki!A458</f>
        <v>0</v>
      </c>
      <c r="D458">
        <f>HUS!A458</f>
        <v>0</v>
      </c>
      <c r="E458" s="38" t="e">
        <f t="shared" si="7"/>
        <v>#DIV/0!</v>
      </c>
    </row>
    <row r="459" spans="1:5">
      <c r="A459" s="30">
        <f>Kaikki!F459</f>
        <v>0</v>
      </c>
      <c r="B459" s="37" t="str">
        <f>Kaikki!G459</f>
        <v/>
      </c>
      <c r="C459">
        <f>Kaikki!A459</f>
        <v>0</v>
      </c>
      <c r="D459">
        <f>HUS!A459</f>
        <v>0</v>
      </c>
      <c r="E459" s="38" t="e">
        <f t="shared" si="7"/>
        <v>#DIV/0!</v>
      </c>
    </row>
    <row r="460" spans="1:5">
      <c r="A460" s="30">
        <f>Kaikki!F460</f>
        <v>0</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TD257"/>
  <sheetViews>
    <sheetView zoomScaleNormal="100" workbookViewId="0"/>
  </sheetViews>
  <sheetFormatPr defaultRowHeight="15"/>
  <cols>
    <col min="2" max="2" width="10.140625" bestFit="1" customWidth="1"/>
    <col min="3" max="3" width="10.140625" customWidth="1"/>
    <col min="4" max="4" width="10.855468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591</v>
      </c>
      <c r="G5" t="s">
        <v>228</v>
      </c>
      <c r="H5" t="s">
        <v>346</v>
      </c>
      <c r="J5" t="s">
        <v>347</v>
      </c>
      <c r="K5" t="s">
        <v>346</v>
      </c>
      <c r="N5" s="16" t="s">
        <v>303</v>
      </c>
      <c r="Q5" s="16" t="s">
        <v>304</v>
      </c>
      <c r="T5" s="16" t="s">
        <v>305</v>
      </c>
    </row>
    <row r="6" spans="1:485">
      <c r="B6" t="str">
        <f t="shared" ref="B6:B35" ca="1" si="0">IF(WEEKDAY(C6,2)=1,"Ma "&amp;TEXT(C6,"p"),TEXT(C6,"p.k"))</f>
        <v>26.1</v>
      </c>
      <c r="C6" s="4">
        <f t="shared" ref="C6:C34" ca="1" si="1">C7-1</f>
        <v>44222</v>
      </c>
      <c r="D6" s="11">
        <f t="shared" ref="D6:D35" ca="1" si="2">SUMIF(aika,"&lt;"&amp;(C6+1),DataN)</f>
        <v>44087</v>
      </c>
      <c r="P6" s="10">
        <v>244</v>
      </c>
    </row>
    <row r="7" spans="1:485" s="10" customFormat="1">
      <c r="B7" t="str">
        <f t="shared" ca="1" si="0"/>
        <v>27.1</v>
      </c>
      <c r="C7" s="9">
        <f t="shared" ca="1" si="1"/>
        <v>44223</v>
      </c>
      <c r="D7" s="10">
        <f t="shared" ca="1" si="2"/>
        <v>44470</v>
      </c>
      <c r="E7" s="10">
        <f t="shared" ref="E7:E35" ca="1" si="3">D7-D6</f>
        <v>383</v>
      </c>
      <c r="F7" s="10">
        <f t="shared" ref="F7:F35" ca="1" si="4">_xlfn.IFNA(E7-G7,"")</f>
        <v>0</v>
      </c>
      <c r="G7" s="10">
        <f ca="1">VLOOKUP(C7,Previous,3,FALSE)</f>
        <v>383</v>
      </c>
      <c r="H7" s="10">
        <f ca="1">SUM(E7:E13)</f>
        <v>2624</v>
      </c>
      <c r="J7" s="10">
        <f ca="1">SUM(E7:E20)</f>
        <v>5131</v>
      </c>
      <c r="L7" s="14"/>
      <c r="N7" s="17">
        <v>44223</v>
      </c>
      <c r="O7" s="10">
        <v>44471</v>
      </c>
      <c r="P7">
        <v>383</v>
      </c>
      <c r="Q7" s="17">
        <v>44223</v>
      </c>
      <c r="R7" s="10">
        <v>44470</v>
      </c>
      <c r="S7" s="10">
        <v>383</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c r="NA7" s="17"/>
      <c r="ND7" s="17"/>
      <c r="NG7" s="17"/>
      <c r="NJ7" s="17"/>
      <c r="NM7" s="17"/>
      <c r="NP7" s="17"/>
      <c r="NS7" s="17"/>
      <c r="NV7" s="17"/>
      <c r="NY7" s="17"/>
      <c r="OB7" s="17"/>
      <c r="OE7" s="17"/>
      <c r="OH7" s="17"/>
      <c r="OK7" s="17"/>
      <c r="ON7" s="17"/>
      <c r="OQ7" s="17"/>
      <c r="OT7" s="17"/>
      <c r="OW7" s="17"/>
      <c r="OZ7" s="17"/>
      <c r="PC7" s="17"/>
      <c r="PF7" s="17"/>
      <c r="PI7" s="17"/>
      <c r="PL7" s="17"/>
      <c r="PO7" s="17"/>
      <c r="PR7" s="17"/>
      <c r="PU7" s="17"/>
      <c r="PX7" s="17"/>
      <c r="QA7" s="17"/>
      <c r="QD7" s="17"/>
      <c r="QG7" s="17"/>
      <c r="QJ7" s="17"/>
      <c r="QM7" s="17"/>
      <c r="QP7" s="17"/>
      <c r="QS7" s="17"/>
      <c r="QV7" s="17"/>
      <c r="QY7" s="17"/>
      <c r="RB7" s="17"/>
      <c r="RE7" s="17"/>
      <c r="RH7" s="17"/>
      <c r="RK7" s="17"/>
      <c r="RN7" s="17"/>
      <c r="RQ7" s="17"/>
    </row>
    <row r="8" spans="1:485">
      <c r="B8" t="str">
        <f t="shared" ca="1" si="0"/>
        <v>28.1</v>
      </c>
      <c r="C8" s="4">
        <f t="shared" ca="1" si="1"/>
        <v>44224</v>
      </c>
      <c r="D8" s="11">
        <f t="shared" ca="1" si="2"/>
        <v>44906</v>
      </c>
      <c r="E8">
        <f t="shared" ca="1" si="3"/>
        <v>436</v>
      </c>
      <c r="F8" s="11">
        <f t="shared" ca="1" si="4"/>
        <v>0</v>
      </c>
      <c r="G8" s="11">
        <f t="shared" ref="G8:G35" ca="1" si="5">VLOOKUP(C8,Previous,3,FALSE)</f>
        <v>436</v>
      </c>
      <c r="L8" s="3"/>
      <c r="N8" s="16">
        <v>44224</v>
      </c>
      <c r="O8">
        <v>44907</v>
      </c>
      <c r="P8">
        <v>436</v>
      </c>
      <c r="Q8" s="16">
        <v>44224</v>
      </c>
      <c r="R8">
        <v>44906</v>
      </c>
      <c r="S8">
        <v>436</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c r="NA8" s="16"/>
      <c r="ND8" s="16"/>
      <c r="NG8" s="16"/>
      <c r="NJ8" s="16"/>
      <c r="NM8" s="16"/>
      <c r="NP8" s="16"/>
      <c r="NS8" s="16"/>
      <c r="NV8" s="16"/>
      <c r="NY8" s="16"/>
      <c r="OB8" s="16"/>
      <c r="OE8" s="16"/>
      <c r="OH8" s="16"/>
      <c r="OK8" s="16"/>
      <c r="ON8" s="16"/>
      <c r="OQ8" s="16"/>
      <c r="OT8" s="16"/>
      <c r="OW8" s="16"/>
      <c r="OZ8" s="16"/>
      <c r="PC8" s="16"/>
      <c r="PF8" s="16"/>
      <c r="PI8" s="16"/>
      <c r="PL8" s="16"/>
      <c r="PO8" s="16"/>
      <c r="PR8" s="16"/>
      <c r="PU8" s="16"/>
      <c r="PX8" s="16"/>
      <c r="QA8" s="16"/>
      <c r="QD8" s="16"/>
      <c r="QG8" s="16"/>
      <c r="QJ8" s="16"/>
      <c r="QM8" s="16"/>
      <c r="QP8" s="16"/>
      <c r="QS8" s="16"/>
      <c r="QV8" s="16"/>
      <c r="QY8" s="16"/>
      <c r="RB8" s="16"/>
      <c r="RE8" s="16"/>
      <c r="RH8" s="16"/>
      <c r="RK8" s="16"/>
      <c r="RN8" s="16"/>
      <c r="RQ8" s="16"/>
    </row>
    <row r="9" spans="1:485">
      <c r="B9" t="str">
        <f t="shared" ca="1" si="0"/>
        <v>29.1</v>
      </c>
      <c r="C9" s="4">
        <f t="shared" ca="1" si="1"/>
        <v>44225</v>
      </c>
      <c r="D9" s="11">
        <f t="shared" ca="1" si="2"/>
        <v>45281</v>
      </c>
      <c r="E9">
        <f t="shared" ca="1" si="3"/>
        <v>375</v>
      </c>
      <c r="F9" s="11">
        <f t="shared" ca="1" si="4"/>
        <v>0</v>
      </c>
      <c r="G9" s="11">
        <f t="shared" ca="1" si="5"/>
        <v>375</v>
      </c>
      <c r="L9" s="3"/>
      <c r="N9" s="16">
        <v>44225</v>
      </c>
      <c r="O9">
        <v>45282</v>
      </c>
      <c r="P9">
        <v>375</v>
      </c>
      <c r="Q9" s="16">
        <v>44225</v>
      </c>
      <c r="R9">
        <v>45281</v>
      </c>
      <c r="S9">
        <v>375</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c r="NA9" s="16"/>
      <c r="ND9" s="16"/>
      <c r="NG9" s="16"/>
      <c r="NJ9" s="16"/>
      <c r="NM9" s="16"/>
      <c r="NP9" s="16"/>
      <c r="NS9" s="16"/>
      <c r="NV9" s="16"/>
      <c r="NY9" s="16"/>
      <c r="OB9" s="16"/>
      <c r="OE9" s="16"/>
      <c r="OH9" s="16"/>
      <c r="OK9" s="16"/>
      <c r="ON9" s="16"/>
      <c r="OQ9" s="16"/>
      <c r="OT9" s="16"/>
      <c r="OW9" s="16"/>
      <c r="OZ9" s="16"/>
      <c r="PC9" s="16"/>
      <c r="PF9" s="16"/>
      <c r="PI9" s="16"/>
      <c r="PL9" s="16"/>
      <c r="PO9" s="16"/>
      <c r="PR9" s="16"/>
      <c r="PU9" s="16"/>
      <c r="PX9" s="16"/>
      <c r="QA9" s="16"/>
      <c r="QD9" s="16"/>
      <c r="QG9" s="16"/>
      <c r="QJ9" s="16"/>
      <c r="QM9" s="16"/>
      <c r="QP9" s="16"/>
      <c r="QS9" s="16"/>
      <c r="QV9" s="16"/>
      <c r="QY9" s="16"/>
      <c r="RB9" s="16"/>
      <c r="RE9" s="16"/>
      <c r="RH9" s="16"/>
      <c r="RK9" s="16"/>
      <c r="RN9" s="16"/>
      <c r="RQ9" s="16"/>
    </row>
    <row r="10" spans="1:485">
      <c r="B10" t="str">
        <f t="shared" ca="1" si="0"/>
        <v>30.1</v>
      </c>
      <c r="C10" s="4">
        <f t="shared" ca="1" si="1"/>
        <v>44226</v>
      </c>
      <c r="D10" s="11">
        <f t="shared" ca="1" si="2"/>
        <v>45513</v>
      </c>
      <c r="E10">
        <f t="shared" ca="1" si="3"/>
        <v>232</v>
      </c>
      <c r="F10" s="11">
        <f t="shared" ca="1" si="4"/>
        <v>0</v>
      </c>
      <c r="G10" s="11">
        <f t="shared" ca="1" si="5"/>
        <v>232</v>
      </c>
      <c r="L10" s="10"/>
      <c r="N10" s="16">
        <v>44226</v>
      </c>
      <c r="O10">
        <v>45514</v>
      </c>
      <c r="P10">
        <v>232</v>
      </c>
      <c r="Q10" s="16">
        <v>44226</v>
      </c>
      <c r="R10">
        <v>45513</v>
      </c>
      <c r="S10">
        <v>232</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c r="NA10" s="16"/>
      <c r="ND10" s="16"/>
      <c r="NG10" s="16"/>
      <c r="NJ10" s="16"/>
      <c r="NM10" s="16"/>
      <c r="NP10" s="16"/>
      <c r="NS10" s="16"/>
      <c r="NV10" s="16"/>
      <c r="NY10" s="16"/>
      <c r="OB10" s="16"/>
      <c r="OE10" s="16"/>
      <c r="OH10" s="16"/>
      <c r="OK10" s="16"/>
      <c r="ON10" s="16"/>
      <c r="OQ10" s="16"/>
      <c r="OT10" s="16"/>
      <c r="OW10" s="16"/>
      <c r="OZ10" s="16"/>
      <c r="PC10" s="16"/>
      <c r="PF10" s="16"/>
      <c r="PI10" s="16"/>
      <c r="PL10" s="16"/>
      <c r="PO10" s="16"/>
      <c r="PR10" s="16"/>
      <c r="PU10" s="16"/>
      <c r="PX10" s="16"/>
      <c r="QA10" s="16"/>
      <c r="QD10" s="16"/>
      <c r="QG10" s="16"/>
      <c r="QJ10" s="16"/>
      <c r="QM10" s="16"/>
      <c r="QP10" s="16"/>
      <c r="QS10" s="16"/>
      <c r="QV10" s="16"/>
      <c r="QY10" s="16"/>
      <c r="RB10" s="16"/>
      <c r="RE10" s="16"/>
      <c r="RH10" s="16"/>
      <c r="RK10" s="16"/>
      <c r="RN10" s="16"/>
      <c r="RQ10" s="16"/>
    </row>
    <row r="11" spans="1:485">
      <c r="B11" t="str">
        <f t="shared" ca="1" si="0"/>
        <v>31.1</v>
      </c>
      <c r="C11" s="4">
        <f t="shared" ca="1" si="1"/>
        <v>44227</v>
      </c>
      <c r="D11" s="11">
        <f t="shared" ca="1" si="2"/>
        <v>45785</v>
      </c>
      <c r="E11">
        <f t="shared" ca="1" si="3"/>
        <v>272</v>
      </c>
      <c r="F11" s="11">
        <f t="shared" ca="1" si="4"/>
        <v>0</v>
      </c>
      <c r="G11" s="11">
        <f t="shared" ca="1" si="5"/>
        <v>272</v>
      </c>
      <c r="K11" s="10">
        <f ca="1">SUM(E11:E17)</f>
        <v>2614</v>
      </c>
      <c r="L11" s="3"/>
      <c r="N11" s="16">
        <v>44227</v>
      </c>
      <c r="O11">
        <v>45786</v>
      </c>
      <c r="P11">
        <v>272</v>
      </c>
      <c r="Q11" s="16">
        <v>44227</v>
      </c>
      <c r="R11">
        <v>45785</v>
      </c>
      <c r="S11">
        <v>272</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c r="NA11" s="16"/>
      <c r="ND11" s="16"/>
      <c r="NG11" s="16"/>
      <c r="NJ11" s="16"/>
      <c r="NM11" s="16"/>
      <c r="NP11" s="16"/>
      <c r="NS11" s="16"/>
      <c r="NV11" s="16"/>
      <c r="NY11" s="16"/>
      <c r="OB11" s="16"/>
      <c r="OE11" s="16"/>
      <c r="OH11" s="16"/>
      <c r="OK11" s="16"/>
      <c r="ON11" s="16"/>
      <c r="OQ11" s="16"/>
      <c r="OT11" s="16"/>
      <c r="OW11" s="16"/>
      <c r="OZ11" s="16"/>
      <c r="PC11" s="16"/>
      <c r="PF11" s="16"/>
      <c r="PI11" s="16"/>
      <c r="PL11" s="16"/>
      <c r="PO11" s="16"/>
      <c r="PR11" s="16"/>
      <c r="PU11" s="16"/>
      <c r="PX11" s="16"/>
      <c r="QA11" s="16"/>
      <c r="QD11" s="16"/>
      <c r="QG11" s="16"/>
      <c r="QJ11" s="16"/>
      <c r="QM11" s="16"/>
      <c r="QP11" s="16"/>
      <c r="QS11" s="16"/>
      <c r="QV11" s="16"/>
      <c r="QY11" s="16"/>
      <c r="RB11" s="16"/>
      <c r="RE11" s="16"/>
      <c r="RH11" s="16"/>
      <c r="RK11" s="16"/>
      <c r="RN11" s="16"/>
      <c r="RQ11" s="16"/>
    </row>
    <row r="12" spans="1:485">
      <c r="B12" t="str">
        <f t="shared" ca="1" si="0"/>
        <v>Ma 1</v>
      </c>
      <c r="C12" s="4">
        <f t="shared" ca="1" si="1"/>
        <v>44228</v>
      </c>
      <c r="D12" s="11">
        <f t="shared" ca="1" si="2"/>
        <v>46315</v>
      </c>
      <c r="E12">
        <f t="shared" ca="1" si="3"/>
        <v>530</v>
      </c>
      <c r="F12" s="11">
        <f t="shared" ca="1" si="4"/>
        <v>0</v>
      </c>
      <c r="G12" s="11">
        <f t="shared" ca="1" si="5"/>
        <v>530</v>
      </c>
      <c r="L12" s="3"/>
      <c r="N12" s="16">
        <v>44228</v>
      </c>
      <c r="O12">
        <v>46316</v>
      </c>
      <c r="P12">
        <v>530</v>
      </c>
      <c r="Q12" s="16">
        <v>44228</v>
      </c>
      <c r="R12">
        <v>46315</v>
      </c>
      <c r="S12">
        <v>530</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c r="NA12" s="16"/>
      <c r="ND12" s="16"/>
      <c r="NG12" s="16"/>
      <c r="NJ12" s="16"/>
      <c r="NM12" s="16"/>
      <c r="NP12" s="16"/>
      <c r="NS12" s="16"/>
      <c r="NV12" s="16"/>
      <c r="NY12" s="16"/>
      <c r="OB12" s="16"/>
      <c r="OE12" s="16"/>
      <c r="OH12" s="16"/>
      <c r="OK12" s="16"/>
      <c r="ON12" s="16"/>
      <c r="OQ12" s="16"/>
      <c r="OT12" s="16"/>
      <c r="OW12" s="16"/>
      <c r="OZ12" s="16"/>
      <c r="PC12" s="16"/>
      <c r="PF12" s="16"/>
      <c r="PI12" s="16"/>
      <c r="PL12" s="16"/>
      <c r="PO12" s="16"/>
      <c r="PR12" s="16"/>
      <c r="PU12" s="16"/>
      <c r="PX12" s="16"/>
      <c r="QA12" s="16"/>
      <c r="QD12" s="16"/>
      <c r="QG12" s="16"/>
      <c r="QJ12" s="16"/>
      <c r="QM12" s="16"/>
      <c r="QP12" s="16"/>
      <c r="QS12" s="16"/>
      <c r="QV12" s="16"/>
      <c r="QY12" s="16"/>
      <c r="RB12" s="16"/>
      <c r="RE12" s="16"/>
      <c r="RH12" s="16"/>
      <c r="RK12" s="16"/>
      <c r="RN12" s="16"/>
      <c r="RQ12" s="16"/>
    </row>
    <row r="13" spans="1:485">
      <c r="B13" t="str">
        <f t="shared" ca="1" si="0"/>
        <v>2.2</v>
      </c>
      <c r="C13" s="4">
        <f t="shared" ca="1" si="1"/>
        <v>44229</v>
      </c>
      <c r="D13" s="11">
        <f t="shared" ca="1" si="2"/>
        <v>46711</v>
      </c>
      <c r="E13">
        <f t="shared" ca="1" si="3"/>
        <v>396</v>
      </c>
      <c r="F13" s="11">
        <f t="shared" ca="1" si="4"/>
        <v>1</v>
      </c>
      <c r="G13" s="11">
        <f t="shared" ca="1" si="5"/>
        <v>395</v>
      </c>
      <c r="H13" s="10"/>
      <c r="L13" s="3"/>
      <c r="N13" s="16">
        <v>44229</v>
      </c>
      <c r="O13">
        <v>46711</v>
      </c>
      <c r="P13" s="10">
        <v>395</v>
      </c>
      <c r="Q13" s="16">
        <v>44229</v>
      </c>
      <c r="R13">
        <v>46711</v>
      </c>
      <c r="S13">
        <v>396</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c r="NA13" s="16"/>
      <c r="ND13" s="16"/>
      <c r="NG13" s="16"/>
      <c r="NJ13" s="16"/>
      <c r="NM13" s="16"/>
      <c r="NP13" s="16"/>
      <c r="NS13" s="16"/>
      <c r="NV13" s="16"/>
      <c r="NY13" s="16"/>
      <c r="OB13" s="16"/>
      <c r="OE13" s="16"/>
      <c r="OH13" s="16"/>
      <c r="OK13" s="16"/>
      <c r="ON13" s="16"/>
      <c r="OQ13" s="16"/>
      <c r="OT13" s="16"/>
      <c r="OW13" s="16"/>
      <c r="OZ13" s="16"/>
      <c r="PC13" s="16"/>
      <c r="PF13" s="16"/>
      <c r="PI13" s="16"/>
      <c r="PL13" s="16"/>
      <c r="PO13" s="16"/>
      <c r="PR13" s="16"/>
      <c r="PU13" s="16"/>
      <c r="PX13" s="16"/>
      <c r="QA13" s="16"/>
      <c r="QD13" s="16"/>
      <c r="QG13" s="16"/>
      <c r="QJ13" s="16"/>
      <c r="QM13" s="16"/>
      <c r="QP13" s="16"/>
      <c r="QS13" s="16"/>
      <c r="QV13" s="16"/>
      <c r="QY13" s="16"/>
      <c r="RB13" s="16"/>
      <c r="RE13" s="16"/>
      <c r="RH13" s="16"/>
      <c r="RK13" s="16"/>
      <c r="RN13" s="16"/>
      <c r="RQ13" s="16"/>
    </row>
    <row r="14" spans="1:485" s="10" customFormat="1">
      <c r="B14" t="str">
        <f t="shared" ca="1" si="0"/>
        <v>3.2</v>
      </c>
      <c r="C14" s="9">
        <f t="shared" ca="1" si="1"/>
        <v>44230</v>
      </c>
      <c r="D14" s="10">
        <f t="shared" ca="1" si="2"/>
        <v>47151</v>
      </c>
      <c r="E14" s="10">
        <f t="shared" ca="1" si="3"/>
        <v>440</v>
      </c>
      <c r="F14" s="10">
        <f t="shared" ca="1" si="4"/>
        <v>0</v>
      </c>
      <c r="G14" s="10">
        <f t="shared" ca="1" si="5"/>
        <v>440</v>
      </c>
      <c r="H14" s="10">
        <f ca="1">SUM(E14:E20)</f>
        <v>2507</v>
      </c>
      <c r="I14" s="10" t="str">
        <f ca="1">TEXT(H14/H7-1,"0 %")</f>
        <v>-4 %</v>
      </c>
      <c r="L14" s="14"/>
      <c r="M14"/>
      <c r="N14" s="17">
        <v>44230</v>
      </c>
      <c r="O14" s="10">
        <v>47151</v>
      </c>
      <c r="P14">
        <v>440</v>
      </c>
      <c r="Q14" s="17">
        <v>44230</v>
      </c>
      <c r="R14" s="10">
        <v>47151</v>
      </c>
      <c r="S14" s="10">
        <v>440</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c r="NA14" s="17"/>
      <c r="ND14" s="17"/>
      <c r="NG14" s="17"/>
      <c r="NJ14" s="17"/>
      <c r="NM14" s="17"/>
      <c r="NP14" s="17"/>
      <c r="NS14" s="17"/>
      <c r="NV14" s="17"/>
      <c r="NY14" s="17"/>
      <c r="OB14" s="17"/>
      <c r="OE14" s="17"/>
      <c r="OH14" s="17"/>
      <c r="OK14" s="17"/>
      <c r="ON14" s="17"/>
      <c r="OQ14" s="17"/>
      <c r="OT14" s="17"/>
      <c r="OW14" s="17"/>
      <c r="OZ14" s="17"/>
      <c r="PC14" s="17"/>
      <c r="PF14" s="17"/>
      <c r="PI14" s="17"/>
      <c r="PL14" s="17"/>
      <c r="PO14" s="17"/>
      <c r="PR14" s="17"/>
      <c r="PU14" s="17"/>
      <c r="PX14" s="17"/>
      <c r="QA14" s="17"/>
      <c r="QD14" s="17"/>
      <c r="QG14" s="17"/>
      <c r="QJ14" s="17"/>
      <c r="QM14" s="17"/>
      <c r="QP14" s="17"/>
      <c r="QS14" s="17"/>
      <c r="QV14" s="17"/>
      <c r="QY14" s="17"/>
      <c r="RB14" s="17"/>
      <c r="RE14" s="17"/>
      <c r="RH14" s="17"/>
      <c r="RK14" s="17"/>
      <c r="RN14" s="17"/>
      <c r="RQ14" s="17"/>
    </row>
    <row r="15" spans="1:485">
      <c r="B15" t="str">
        <f t="shared" ca="1" si="0"/>
        <v>4.2</v>
      </c>
      <c r="C15" s="4">
        <f t="shared" ca="1" si="1"/>
        <v>44231</v>
      </c>
      <c r="D15" s="11">
        <f t="shared" ca="1" si="2"/>
        <v>47521</v>
      </c>
      <c r="E15">
        <f t="shared" ca="1" si="3"/>
        <v>370</v>
      </c>
      <c r="F15" s="11">
        <f t="shared" ca="1" si="4"/>
        <v>0</v>
      </c>
      <c r="G15" s="11">
        <f t="shared" ca="1" si="5"/>
        <v>370</v>
      </c>
      <c r="L15" s="3"/>
      <c r="N15" s="16">
        <v>44231</v>
      </c>
      <c r="O15">
        <v>47521</v>
      </c>
      <c r="P15">
        <v>370</v>
      </c>
      <c r="Q15" s="16">
        <v>44231</v>
      </c>
      <c r="R15">
        <v>47521</v>
      </c>
      <c r="S15">
        <v>370</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c r="NA15" s="16"/>
      <c r="ND15" s="16"/>
      <c r="NG15" s="16"/>
      <c r="NJ15" s="16"/>
      <c r="NM15" s="16"/>
      <c r="NP15" s="16"/>
      <c r="NS15" s="16"/>
      <c r="NV15" s="16"/>
      <c r="NY15" s="16"/>
      <c r="OB15" s="16"/>
      <c r="OE15" s="16"/>
      <c r="OH15" s="16"/>
      <c r="OK15" s="16"/>
      <c r="ON15" s="16"/>
      <c r="OQ15" s="16"/>
      <c r="OT15" s="16"/>
      <c r="OW15" s="16"/>
      <c r="OZ15" s="16"/>
      <c r="PC15" s="16"/>
      <c r="PF15" s="16"/>
      <c r="PI15" s="16"/>
      <c r="PL15" s="16"/>
      <c r="PO15" s="16"/>
      <c r="PR15" s="16"/>
      <c r="PU15" s="16"/>
      <c r="PX15" s="16"/>
      <c r="QA15" s="16"/>
      <c r="QD15" s="16"/>
      <c r="QG15" s="16"/>
      <c r="QJ15" s="16"/>
      <c r="QM15" s="16"/>
      <c r="QP15" s="16"/>
      <c r="QS15" s="16"/>
      <c r="QV15" s="16"/>
      <c r="QY15" s="16"/>
      <c r="RB15" s="16"/>
      <c r="RE15" s="16"/>
      <c r="RH15" s="16"/>
      <c r="RK15" s="16"/>
      <c r="RN15" s="16"/>
      <c r="RQ15" s="16"/>
    </row>
    <row r="16" spans="1:485">
      <c r="B16" t="str">
        <f t="shared" ca="1" si="0"/>
        <v>5.2</v>
      </c>
      <c r="C16" s="4">
        <f t="shared" ca="1" si="1"/>
        <v>44232</v>
      </c>
      <c r="D16" s="11">
        <f t="shared" ca="1" si="2"/>
        <v>47887</v>
      </c>
      <c r="E16">
        <f t="shared" ca="1" si="3"/>
        <v>366</v>
      </c>
      <c r="F16" s="11">
        <f t="shared" ca="1" si="4"/>
        <v>0</v>
      </c>
      <c r="G16" s="11">
        <f t="shared" ca="1" si="5"/>
        <v>366</v>
      </c>
      <c r="L16" s="3"/>
      <c r="N16" s="16">
        <v>44232</v>
      </c>
      <c r="O16">
        <v>47887</v>
      </c>
      <c r="P16">
        <v>366</v>
      </c>
      <c r="Q16" s="16">
        <v>44232</v>
      </c>
      <c r="R16">
        <v>47887</v>
      </c>
      <c r="S16">
        <v>366</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c r="NA16" s="16"/>
      <c r="ND16" s="16"/>
      <c r="NG16" s="16"/>
      <c r="NJ16" s="16"/>
      <c r="NM16" s="16"/>
      <c r="NP16" s="16"/>
      <c r="NS16" s="16"/>
      <c r="NV16" s="16"/>
      <c r="NY16" s="16"/>
      <c r="OB16" s="16"/>
      <c r="OE16" s="16"/>
      <c r="OH16" s="16"/>
      <c r="OK16" s="16"/>
      <c r="ON16" s="16"/>
      <c r="OQ16" s="16"/>
      <c r="OT16" s="16"/>
      <c r="OW16" s="16"/>
      <c r="OZ16" s="16"/>
      <c r="PC16" s="16"/>
      <c r="PF16" s="16"/>
      <c r="PI16" s="16"/>
      <c r="PL16" s="16"/>
      <c r="PO16" s="16"/>
      <c r="PR16" s="16"/>
      <c r="PU16" s="16"/>
      <c r="PX16" s="16"/>
      <c r="QA16" s="16"/>
      <c r="QD16" s="16"/>
      <c r="QG16" s="16"/>
      <c r="QJ16" s="16"/>
      <c r="QM16" s="16"/>
      <c r="QP16" s="16"/>
      <c r="QS16" s="16"/>
      <c r="QV16" s="16"/>
      <c r="QY16" s="16"/>
      <c r="RB16" s="16"/>
      <c r="RE16" s="16"/>
      <c r="RH16" s="16"/>
      <c r="RK16" s="16"/>
      <c r="RN16" s="16"/>
      <c r="RQ16" s="16"/>
    </row>
    <row r="17" spans="2:485">
      <c r="B17" t="str">
        <f t="shared" ca="1" si="0"/>
        <v>6.2</v>
      </c>
      <c r="C17" s="4">
        <f t="shared" ca="1" si="1"/>
        <v>44233</v>
      </c>
      <c r="D17" s="11">
        <f t="shared" ca="1" si="2"/>
        <v>48127</v>
      </c>
      <c r="E17">
        <f t="shared" ca="1" si="3"/>
        <v>240</v>
      </c>
      <c r="F17" s="11">
        <f t="shared" ca="1" si="4"/>
        <v>0</v>
      </c>
      <c r="G17" s="11">
        <f t="shared" ca="1" si="5"/>
        <v>240</v>
      </c>
      <c r="N17" s="16">
        <v>44233</v>
      </c>
      <c r="O17">
        <v>48127</v>
      </c>
      <c r="P17">
        <v>240</v>
      </c>
      <c r="Q17" s="16">
        <v>44233</v>
      </c>
      <c r="R17">
        <v>48127</v>
      </c>
      <c r="S17">
        <v>240</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c r="NA17" s="16"/>
      <c r="ND17" s="16"/>
      <c r="NG17" s="16"/>
      <c r="NJ17" s="16"/>
      <c r="NM17" s="16"/>
      <c r="NP17" s="16"/>
      <c r="NS17" s="16"/>
      <c r="NV17" s="16"/>
      <c r="NY17" s="16"/>
      <c r="OB17" s="16"/>
      <c r="OE17" s="16"/>
      <c r="OH17" s="16"/>
      <c r="OK17" s="16"/>
      <c r="ON17" s="16"/>
      <c r="OQ17" s="16"/>
      <c r="OT17" s="16"/>
      <c r="OW17" s="16"/>
      <c r="OZ17" s="16"/>
      <c r="PC17" s="16"/>
      <c r="PF17" s="16"/>
      <c r="PI17" s="16"/>
      <c r="PL17" s="16"/>
      <c r="PO17" s="16"/>
      <c r="PR17" s="16"/>
      <c r="PU17" s="16"/>
      <c r="PX17" s="16"/>
      <c r="QA17" s="16"/>
      <c r="QD17" s="16"/>
      <c r="QG17" s="16"/>
      <c r="QJ17" s="16"/>
      <c r="QM17" s="16"/>
      <c r="QP17" s="16"/>
      <c r="QS17" s="16"/>
      <c r="QV17" s="16"/>
      <c r="QY17" s="16"/>
      <c r="RB17" s="16"/>
      <c r="RE17" s="16"/>
      <c r="RH17" s="16"/>
      <c r="RK17" s="16"/>
      <c r="RN17" s="16"/>
      <c r="RQ17" s="16"/>
    </row>
    <row r="18" spans="2:485">
      <c r="B18" t="str">
        <f t="shared" ca="1" si="0"/>
        <v>7.2</v>
      </c>
      <c r="C18" s="4">
        <f t="shared" ca="1" si="1"/>
        <v>44234</v>
      </c>
      <c r="D18" s="11">
        <f t="shared" ca="1" si="2"/>
        <v>48388</v>
      </c>
      <c r="E18">
        <f t="shared" ca="1" si="3"/>
        <v>261</v>
      </c>
      <c r="F18" s="11">
        <f t="shared" ca="1" si="4"/>
        <v>0</v>
      </c>
      <c r="G18" s="11">
        <f t="shared" ca="1" si="5"/>
        <v>261</v>
      </c>
      <c r="K18" s="10">
        <f ca="1">SUM(E18:E24)</f>
        <v>2522</v>
      </c>
      <c r="L18" s="10" t="str">
        <f ca="1">TEXT(K18/K11-1,"0 %")</f>
        <v>-4 %</v>
      </c>
      <c r="N18" s="16">
        <v>44234</v>
      </c>
      <c r="O18">
        <v>48388</v>
      </c>
      <c r="P18">
        <v>261</v>
      </c>
      <c r="Q18" s="16">
        <v>44234</v>
      </c>
      <c r="R18">
        <v>48388</v>
      </c>
      <c r="S18">
        <v>261</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c r="NA18" s="16"/>
      <c r="ND18" s="16"/>
      <c r="NG18" s="16"/>
      <c r="NJ18" s="16"/>
      <c r="NM18" s="16"/>
      <c r="NP18" s="16"/>
      <c r="NS18" s="16"/>
      <c r="NV18" s="16"/>
      <c r="NY18" s="16"/>
      <c r="OB18" s="16"/>
      <c r="OE18" s="16"/>
      <c r="OH18" s="16"/>
      <c r="OK18" s="16"/>
      <c r="ON18" s="16"/>
      <c r="OQ18" s="16"/>
      <c r="OT18" s="16"/>
      <c r="OW18" s="16"/>
      <c r="OZ18" s="16"/>
      <c r="PC18" s="16"/>
      <c r="PF18" s="16"/>
      <c r="PI18" s="16"/>
      <c r="PL18" s="16"/>
      <c r="PO18" s="16"/>
      <c r="PR18" s="16"/>
      <c r="PU18" s="16"/>
      <c r="PX18" s="16"/>
      <c r="QA18" s="16"/>
      <c r="QD18" s="16"/>
      <c r="QG18" s="16"/>
      <c r="QJ18" s="16"/>
      <c r="QM18" s="16"/>
      <c r="QP18" s="16"/>
      <c r="QS18" s="16"/>
      <c r="QV18" s="16"/>
      <c r="QY18" s="16"/>
      <c r="RB18" s="16"/>
      <c r="RE18" s="16"/>
      <c r="RH18" s="16"/>
      <c r="RK18" s="16"/>
      <c r="RN18" s="16"/>
      <c r="RQ18" s="16"/>
    </row>
    <row r="19" spans="2:485">
      <c r="B19" t="str">
        <f t="shared" ca="1" si="0"/>
        <v>Ma 8</v>
      </c>
      <c r="C19" s="4">
        <f t="shared" ca="1" si="1"/>
        <v>44235</v>
      </c>
      <c r="D19" s="11">
        <f t="shared" ca="1" si="2"/>
        <v>48848</v>
      </c>
      <c r="E19">
        <f t="shared" ca="1" si="3"/>
        <v>460</v>
      </c>
      <c r="F19" s="11">
        <f t="shared" ca="1" si="4"/>
        <v>0</v>
      </c>
      <c r="G19" s="11">
        <f t="shared" ca="1" si="5"/>
        <v>460</v>
      </c>
      <c r="L19" s="3"/>
      <c r="N19" s="16">
        <v>44235</v>
      </c>
      <c r="O19">
        <v>48848</v>
      </c>
      <c r="P19">
        <v>460</v>
      </c>
      <c r="Q19" s="16">
        <v>44235</v>
      </c>
      <c r="R19">
        <v>48848</v>
      </c>
      <c r="S19">
        <v>460</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c r="NA19" s="16"/>
      <c r="ND19" s="16"/>
      <c r="NG19" s="16"/>
      <c r="NJ19" s="16"/>
      <c r="NM19" s="16"/>
      <c r="NP19" s="16"/>
      <c r="NS19" s="16"/>
      <c r="NV19" s="16"/>
      <c r="NY19" s="16"/>
      <c r="OB19" s="16"/>
      <c r="OE19" s="16"/>
      <c r="OH19" s="16"/>
      <c r="OK19" s="16"/>
      <c r="ON19" s="16"/>
      <c r="OQ19" s="16"/>
      <c r="OT19" s="16"/>
      <c r="OW19" s="16"/>
      <c r="OZ19" s="16"/>
      <c r="PC19" s="16"/>
      <c r="PF19" s="16"/>
      <c r="PI19" s="16"/>
      <c r="PL19" s="16"/>
      <c r="PO19" s="16"/>
      <c r="PR19" s="16"/>
      <c r="PU19" s="16"/>
      <c r="PX19" s="16"/>
      <c r="QA19" s="16"/>
      <c r="QD19" s="16"/>
      <c r="QG19" s="16"/>
      <c r="QJ19" s="16"/>
      <c r="QM19" s="16"/>
      <c r="QP19" s="16"/>
      <c r="QS19" s="16"/>
      <c r="QV19" s="16"/>
      <c r="QY19" s="16"/>
      <c r="RB19" s="16"/>
      <c r="RE19" s="16"/>
      <c r="RH19" s="16"/>
      <c r="RK19" s="16"/>
      <c r="RN19" s="16"/>
      <c r="RQ19" s="16"/>
    </row>
    <row r="20" spans="2:485">
      <c r="B20" t="str">
        <f t="shared" ca="1" si="0"/>
        <v>9.2</v>
      </c>
      <c r="C20" s="4">
        <f t="shared" ca="1" si="1"/>
        <v>44236</v>
      </c>
      <c r="D20" s="11">
        <f t="shared" ca="1" si="2"/>
        <v>49218</v>
      </c>
      <c r="E20">
        <f t="shared" ca="1" si="3"/>
        <v>370</v>
      </c>
      <c r="F20" s="11">
        <f t="shared" ca="1" si="4"/>
        <v>0</v>
      </c>
      <c r="G20" s="11">
        <f t="shared" ca="1" si="5"/>
        <v>370</v>
      </c>
      <c r="L20" s="3"/>
      <c r="N20" s="16">
        <v>44236</v>
      </c>
      <c r="O20">
        <v>49218</v>
      </c>
      <c r="P20" s="10">
        <v>370</v>
      </c>
      <c r="Q20" s="16">
        <v>44236</v>
      </c>
      <c r="R20">
        <v>49218</v>
      </c>
      <c r="S20">
        <v>370</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c r="NA20" s="16"/>
      <c r="ND20" s="16"/>
      <c r="NG20" s="16"/>
      <c r="NJ20" s="16"/>
      <c r="NM20" s="16"/>
      <c r="NP20" s="16"/>
      <c r="NS20" s="16"/>
      <c r="NV20" s="16"/>
      <c r="NY20" s="16"/>
      <c r="OB20" s="16"/>
      <c r="OE20" s="16"/>
      <c r="OH20" s="16"/>
      <c r="OK20" s="16"/>
      <c r="ON20" s="16"/>
      <c r="OQ20" s="16"/>
      <c r="OT20" s="16"/>
      <c r="OW20" s="16"/>
      <c r="OZ20" s="16"/>
      <c r="PC20" s="16"/>
      <c r="PF20" s="16"/>
      <c r="PI20" s="16"/>
      <c r="PL20" s="16"/>
      <c r="PO20" s="16"/>
      <c r="PR20" s="16"/>
      <c r="PU20" s="16"/>
      <c r="PX20" s="16"/>
      <c r="QA20" s="16"/>
      <c r="QD20" s="16"/>
      <c r="QG20" s="16"/>
      <c r="QJ20" s="16"/>
      <c r="QM20" s="16"/>
      <c r="QP20" s="16"/>
      <c r="QS20" s="16"/>
      <c r="QV20" s="16"/>
      <c r="QY20" s="16"/>
      <c r="RB20" s="16"/>
      <c r="RE20" s="16"/>
      <c r="RH20" s="16"/>
      <c r="RK20" s="16"/>
      <c r="RN20" s="16"/>
      <c r="RQ20" s="16"/>
    </row>
    <row r="21" spans="2:485" s="10" customFormat="1">
      <c r="B21" t="str">
        <f t="shared" ca="1" si="0"/>
        <v>10.2</v>
      </c>
      <c r="C21" s="9">
        <f t="shared" ca="1" si="1"/>
        <v>44237</v>
      </c>
      <c r="D21" s="10">
        <f t="shared" ca="1" si="2"/>
        <v>49600</v>
      </c>
      <c r="E21" s="10">
        <f t="shared" ca="1" si="3"/>
        <v>382</v>
      </c>
      <c r="F21" s="10">
        <f t="shared" ca="1" si="4"/>
        <v>0</v>
      </c>
      <c r="G21" s="10">
        <f t="shared" ca="1" si="5"/>
        <v>382</v>
      </c>
      <c r="H21" s="10">
        <f ca="1">SUM(E21:E27)</f>
        <v>2814</v>
      </c>
      <c r="I21" s="10" t="str">
        <f ca="1">TEXT(H21/H14-1,"0 %")</f>
        <v>12 %</v>
      </c>
      <c r="J21" s="10">
        <f ca="1">SUM(E21:E34)</f>
        <v>5904</v>
      </c>
      <c r="L21" s="14"/>
      <c r="M21"/>
      <c r="N21" s="17">
        <v>44237</v>
      </c>
      <c r="O21" s="10">
        <v>49600</v>
      </c>
      <c r="P21">
        <v>382</v>
      </c>
      <c r="Q21" s="17">
        <v>44237</v>
      </c>
      <c r="R21" s="10">
        <v>49600</v>
      </c>
      <c r="S21" s="10">
        <v>382</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c r="NA21" s="17"/>
      <c r="ND21" s="17"/>
      <c r="NG21" s="17"/>
      <c r="NJ21" s="17"/>
      <c r="NM21" s="17"/>
      <c r="NP21" s="17"/>
      <c r="NS21" s="17"/>
      <c r="NV21" s="17"/>
      <c r="NY21" s="17"/>
      <c r="OB21" s="17"/>
      <c r="OE21" s="17"/>
      <c r="OH21" s="17"/>
      <c r="OK21" s="17"/>
      <c r="ON21" s="17"/>
      <c r="OQ21" s="17"/>
      <c r="OT21" s="17"/>
      <c r="OW21" s="17"/>
      <c r="OZ21" s="17"/>
      <c r="PC21" s="17"/>
      <c r="PF21" s="17"/>
      <c r="PI21" s="17"/>
      <c r="PL21" s="17"/>
      <c r="PO21" s="17"/>
      <c r="PR21" s="17"/>
      <c r="PU21" s="17"/>
      <c r="PX21" s="17"/>
      <c r="QA21" s="17"/>
      <c r="QD21" s="17"/>
      <c r="QG21" s="17"/>
      <c r="QJ21" s="17"/>
      <c r="QM21" s="17"/>
      <c r="QP21" s="17"/>
      <c r="QS21" s="17"/>
      <c r="QV21" s="17"/>
      <c r="QY21" s="17"/>
      <c r="RB21" s="17"/>
      <c r="RE21" s="17"/>
      <c r="RH21" s="17"/>
      <c r="RK21" s="17"/>
      <c r="RN21" s="17"/>
      <c r="RQ21" s="17"/>
    </row>
    <row r="22" spans="2:485">
      <c r="B22" t="str">
        <f t="shared" ca="1" si="0"/>
        <v>11.2</v>
      </c>
      <c r="C22" s="4">
        <f t="shared" ca="1" si="1"/>
        <v>44238</v>
      </c>
      <c r="D22" s="11">
        <f t="shared" ca="1" si="2"/>
        <v>49954</v>
      </c>
      <c r="E22">
        <f t="shared" ca="1" si="3"/>
        <v>354</v>
      </c>
      <c r="F22" s="11">
        <f t="shared" ca="1" si="4"/>
        <v>0</v>
      </c>
      <c r="G22" s="11">
        <f t="shared" ca="1" si="5"/>
        <v>354</v>
      </c>
      <c r="H22" s="10"/>
      <c r="L22" s="3"/>
      <c r="N22" s="16">
        <v>44238</v>
      </c>
      <c r="O22">
        <v>49954</v>
      </c>
      <c r="P22">
        <v>354</v>
      </c>
      <c r="Q22" s="16">
        <v>44238</v>
      </c>
      <c r="R22">
        <v>49954</v>
      </c>
      <c r="S22">
        <v>354</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c r="NA22" s="16"/>
      <c r="ND22" s="16"/>
      <c r="NG22" s="16"/>
      <c r="NJ22" s="16"/>
      <c r="NM22" s="16"/>
      <c r="NP22" s="16"/>
      <c r="NS22" s="16"/>
      <c r="NV22" s="16"/>
      <c r="NY22" s="16"/>
      <c r="OB22" s="16"/>
      <c r="OE22" s="16"/>
      <c r="OH22" s="16"/>
      <c r="OK22" s="16"/>
      <c r="ON22" s="16"/>
      <c r="OQ22" s="16"/>
      <c r="OT22" s="16"/>
      <c r="OW22" s="16"/>
      <c r="OZ22" s="16"/>
      <c r="PC22" s="16"/>
      <c r="PF22" s="16"/>
      <c r="PI22" s="16"/>
      <c r="PL22" s="16"/>
      <c r="PO22" s="16"/>
      <c r="PR22" s="16"/>
      <c r="PU22" s="16"/>
      <c r="PX22" s="16"/>
      <c r="QA22" s="16"/>
      <c r="QD22" s="16"/>
      <c r="QG22" s="16"/>
      <c r="QJ22" s="16"/>
      <c r="QM22" s="16"/>
      <c r="QP22" s="16"/>
      <c r="QS22" s="16"/>
      <c r="QV22" s="16"/>
      <c r="QY22" s="16"/>
      <c r="RB22" s="16"/>
      <c r="RE22" s="16"/>
      <c r="RH22" s="16"/>
      <c r="RK22" s="16"/>
      <c r="RN22" s="16"/>
      <c r="RQ22" s="16"/>
    </row>
    <row r="23" spans="2:485">
      <c r="B23" t="str">
        <f t="shared" ca="1" si="0"/>
        <v>12.2</v>
      </c>
      <c r="C23" s="4">
        <f t="shared" ca="1" si="1"/>
        <v>44239</v>
      </c>
      <c r="D23" s="11">
        <f t="shared" ca="1" si="2"/>
        <v>50372</v>
      </c>
      <c r="E23">
        <f t="shared" ca="1" si="3"/>
        <v>418</v>
      </c>
      <c r="F23" s="11">
        <f t="shared" ca="1" si="4"/>
        <v>4</v>
      </c>
      <c r="G23" s="11">
        <f t="shared" ca="1" si="5"/>
        <v>414</v>
      </c>
      <c r="K23" s="13"/>
      <c r="L23" s="3"/>
      <c r="N23" s="16">
        <v>44239</v>
      </c>
      <c r="O23">
        <v>50368</v>
      </c>
      <c r="P23">
        <v>414</v>
      </c>
      <c r="Q23" s="16">
        <v>44239</v>
      </c>
      <c r="R23">
        <v>50372</v>
      </c>
      <c r="S23">
        <v>418</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c r="NA23" s="16"/>
      <c r="ND23" s="16"/>
      <c r="NG23" s="16"/>
      <c r="NJ23" s="16"/>
      <c r="NM23" s="16"/>
      <c r="NP23" s="16"/>
      <c r="NS23" s="16"/>
      <c r="NV23" s="16"/>
      <c r="NY23" s="16"/>
      <c r="OB23" s="16"/>
      <c r="OE23" s="16"/>
      <c r="OH23" s="16"/>
      <c r="OK23" s="16"/>
      <c r="ON23" s="16"/>
      <c r="OQ23" s="16"/>
      <c r="OT23" s="16"/>
      <c r="OW23" s="16"/>
      <c r="OZ23" s="16"/>
      <c r="PC23" s="16"/>
      <c r="PF23" s="16"/>
      <c r="PI23" s="16"/>
      <c r="PL23" s="16"/>
      <c r="PO23" s="16"/>
      <c r="PR23" s="16"/>
      <c r="PU23" s="16"/>
      <c r="PX23" s="16"/>
      <c r="QA23" s="16"/>
      <c r="QD23" s="16"/>
      <c r="QG23" s="16"/>
      <c r="QJ23" s="16"/>
      <c r="QM23" s="16"/>
      <c r="QP23" s="16"/>
      <c r="QS23" s="16"/>
      <c r="QV23" s="16"/>
      <c r="QY23" s="16"/>
      <c r="RB23" s="16"/>
      <c r="RE23" s="16"/>
      <c r="RH23" s="16"/>
      <c r="RK23" s="16"/>
      <c r="RN23" s="16"/>
      <c r="RQ23" s="16"/>
    </row>
    <row r="24" spans="2:485">
      <c r="B24" t="str">
        <f t="shared" ca="1" si="0"/>
        <v>13.2</v>
      </c>
      <c r="C24" s="4">
        <f t="shared" ca="1" si="1"/>
        <v>44240</v>
      </c>
      <c r="D24" s="11">
        <f t="shared" ca="1" si="2"/>
        <v>50649</v>
      </c>
      <c r="E24">
        <f t="shared" ca="1" si="3"/>
        <v>277</v>
      </c>
      <c r="F24" s="11">
        <f t="shared" ca="1" si="4"/>
        <v>3</v>
      </c>
      <c r="G24" s="11">
        <f t="shared" ca="1" si="5"/>
        <v>274</v>
      </c>
      <c r="N24" s="16">
        <v>44240</v>
      </c>
      <c r="O24">
        <v>50642</v>
      </c>
      <c r="P24">
        <v>274</v>
      </c>
      <c r="Q24" s="16">
        <v>44240</v>
      </c>
      <c r="R24">
        <v>50649</v>
      </c>
      <c r="S24">
        <v>277</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c r="NA24" s="16"/>
      <c r="ND24" s="16"/>
      <c r="NG24" s="16"/>
      <c r="NJ24" s="16"/>
      <c r="NM24" s="16"/>
      <c r="NP24" s="16"/>
      <c r="NS24" s="16"/>
      <c r="NV24" s="16"/>
      <c r="NY24" s="16"/>
      <c r="OB24" s="16"/>
      <c r="OE24" s="16"/>
      <c r="OH24" s="16"/>
      <c r="OK24" s="16"/>
      <c r="ON24" s="16"/>
      <c r="OQ24" s="16"/>
      <c r="OT24" s="16"/>
      <c r="OW24" s="16"/>
      <c r="OZ24" s="16"/>
      <c r="PC24" s="16"/>
      <c r="PF24" s="16"/>
      <c r="PI24" s="16"/>
      <c r="PL24" s="16"/>
      <c r="PO24" s="16"/>
      <c r="PR24" s="16"/>
      <c r="PU24" s="16"/>
      <c r="PX24" s="16"/>
      <c r="QA24" s="16"/>
      <c r="QD24" s="16"/>
      <c r="QG24" s="16"/>
      <c r="QJ24" s="16"/>
      <c r="QM24" s="16"/>
      <c r="QP24" s="16"/>
      <c r="QS24" s="16"/>
      <c r="QV24" s="16"/>
      <c r="QY24" s="16"/>
      <c r="RB24" s="16"/>
      <c r="RE24" s="16"/>
      <c r="RH24" s="16"/>
      <c r="RK24" s="16"/>
      <c r="RN24" s="16"/>
      <c r="RQ24" s="16"/>
    </row>
    <row r="25" spans="2:485">
      <c r="B25" t="str">
        <f t="shared" ca="1" si="0"/>
        <v>14.2</v>
      </c>
      <c r="C25" s="4">
        <f t="shared" ca="1" si="1"/>
        <v>44241</v>
      </c>
      <c r="D25" s="11">
        <f t="shared" ca="1" si="2"/>
        <v>50922</v>
      </c>
      <c r="E25">
        <f t="shared" ca="1" si="3"/>
        <v>273</v>
      </c>
      <c r="F25" s="11">
        <f t="shared" ca="1" si="4"/>
        <v>4</v>
      </c>
      <c r="G25" s="11">
        <f t="shared" ca="1" si="5"/>
        <v>269</v>
      </c>
      <c r="J25" s="10"/>
      <c r="K25" s="10">
        <f ca="1">SUM(E25:E31)</f>
        <v>3360</v>
      </c>
      <c r="L25" s="10" t="str">
        <f ca="1">TEXT(K25/K18-1,"0 %")</f>
        <v>33 %</v>
      </c>
      <c r="N25" s="16">
        <v>44241</v>
      </c>
      <c r="O25">
        <v>50911</v>
      </c>
      <c r="P25">
        <v>269</v>
      </c>
      <c r="Q25" s="16">
        <v>44241</v>
      </c>
      <c r="R25">
        <v>50922</v>
      </c>
      <c r="S25">
        <v>273</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c r="NA25" s="16"/>
      <c r="ND25" s="16"/>
      <c r="NG25" s="16"/>
      <c r="NJ25" s="16"/>
      <c r="NM25" s="16"/>
      <c r="NP25" s="16"/>
      <c r="NS25" s="16"/>
      <c r="NV25" s="16"/>
      <c r="NY25" s="16"/>
      <c r="OB25" s="16"/>
      <c r="OE25" s="16"/>
      <c r="OH25" s="16"/>
      <c r="OK25" s="16"/>
      <c r="ON25" s="16"/>
      <c r="OQ25" s="16"/>
      <c r="OT25" s="16"/>
      <c r="OW25" s="16"/>
      <c r="OZ25" s="16"/>
      <c r="PC25" s="16"/>
      <c r="PF25" s="16"/>
      <c r="PI25" s="16"/>
      <c r="PL25" s="16"/>
      <c r="PO25" s="16"/>
      <c r="PR25" s="16"/>
      <c r="PU25" s="16"/>
      <c r="PX25" s="16"/>
      <c r="QA25" s="16"/>
      <c r="QD25" s="16"/>
      <c r="QG25" s="16"/>
      <c r="QJ25" s="16"/>
      <c r="QM25" s="16"/>
      <c r="QP25" s="16"/>
      <c r="QS25" s="16"/>
      <c r="QV25" s="16"/>
      <c r="QY25" s="16"/>
      <c r="RB25" s="16"/>
      <c r="RE25" s="16"/>
      <c r="RH25" s="16"/>
      <c r="RK25" s="16"/>
      <c r="RN25" s="16"/>
      <c r="RQ25" s="16"/>
    </row>
    <row r="26" spans="2:485">
      <c r="B26" t="str">
        <f t="shared" ca="1" si="0"/>
        <v>Ma 15</v>
      </c>
      <c r="C26" s="4">
        <f t="shared" ca="1" si="1"/>
        <v>44242</v>
      </c>
      <c r="D26" s="11">
        <f t="shared" ca="1" si="2"/>
        <v>51531</v>
      </c>
      <c r="E26">
        <f t="shared" ca="1" si="3"/>
        <v>609</v>
      </c>
      <c r="F26" s="11">
        <f t="shared" ca="1" si="4"/>
        <v>0</v>
      </c>
      <c r="G26" s="11">
        <f t="shared" ca="1" si="5"/>
        <v>609</v>
      </c>
      <c r="L26" s="3"/>
      <c r="N26" s="16">
        <v>44242</v>
      </c>
      <c r="O26">
        <v>51520</v>
      </c>
      <c r="P26">
        <v>609</v>
      </c>
      <c r="Q26" s="16">
        <v>44242</v>
      </c>
      <c r="R26">
        <v>51531</v>
      </c>
      <c r="S26">
        <v>609</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c r="NA26" s="16"/>
      <c r="ND26" s="16"/>
      <c r="NG26" s="16"/>
      <c r="NJ26" s="16"/>
      <c r="NM26" s="16"/>
      <c r="NP26" s="16"/>
      <c r="NS26" s="16"/>
      <c r="NV26" s="16"/>
      <c r="NY26" s="16"/>
      <c r="OB26" s="16"/>
      <c r="OE26" s="16"/>
      <c r="OH26" s="16"/>
      <c r="OK26" s="16"/>
      <c r="ON26" s="16"/>
      <c r="OQ26" s="16"/>
      <c r="OT26" s="16"/>
      <c r="OW26" s="16"/>
      <c r="OZ26" s="16"/>
      <c r="PC26" s="16"/>
      <c r="PF26" s="16"/>
      <c r="PI26" s="16"/>
      <c r="PL26" s="16"/>
      <c r="PO26" s="16"/>
      <c r="PR26" s="16"/>
      <c r="PU26" s="16"/>
      <c r="PX26" s="16"/>
      <c r="QA26" s="16"/>
      <c r="QD26" s="16"/>
      <c r="QG26" s="16"/>
      <c r="QJ26" s="16"/>
      <c r="QM26" s="16"/>
      <c r="QP26" s="16"/>
      <c r="QS26" s="16"/>
      <c r="QV26" s="16"/>
      <c r="QY26" s="16"/>
      <c r="RB26" s="16"/>
      <c r="RE26" s="16"/>
      <c r="RH26" s="16"/>
      <c r="RK26" s="16"/>
      <c r="RN26" s="16"/>
      <c r="RQ26" s="16"/>
    </row>
    <row r="27" spans="2:485">
      <c r="B27" t="str">
        <f t="shared" ca="1" si="0"/>
        <v>16.2</v>
      </c>
      <c r="C27" s="4">
        <f t="shared" ca="1" si="1"/>
        <v>44243</v>
      </c>
      <c r="D27" s="11">
        <f t="shared" ca="1" si="2"/>
        <v>52032</v>
      </c>
      <c r="E27">
        <f t="shared" ca="1" si="3"/>
        <v>501</v>
      </c>
      <c r="F27" s="11">
        <f t="shared" ca="1" si="4"/>
        <v>2</v>
      </c>
      <c r="G27" s="11">
        <f t="shared" ca="1" si="5"/>
        <v>499</v>
      </c>
      <c r="K27" s="13"/>
      <c r="L27" s="3"/>
      <c r="N27" s="16">
        <v>44243</v>
      </c>
      <c r="O27">
        <v>52019</v>
      </c>
      <c r="P27" s="10">
        <v>499</v>
      </c>
      <c r="Q27" s="16">
        <v>44243</v>
      </c>
      <c r="R27">
        <v>52032</v>
      </c>
      <c r="S27">
        <v>501</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c r="NA27" s="16"/>
      <c r="ND27" s="16"/>
      <c r="NG27" s="16"/>
      <c r="NJ27" s="16"/>
      <c r="NM27" s="16"/>
      <c r="NP27" s="16"/>
      <c r="NS27" s="16"/>
      <c r="NV27" s="16"/>
      <c r="NY27" s="16"/>
      <c r="OB27" s="16"/>
      <c r="OE27" s="16"/>
      <c r="OH27" s="16"/>
      <c r="OK27" s="16"/>
      <c r="ON27" s="16"/>
      <c r="OQ27" s="16"/>
      <c r="OT27" s="16"/>
      <c r="OW27" s="16"/>
      <c r="OZ27" s="16"/>
      <c r="PC27" s="16"/>
      <c r="PF27" s="16"/>
      <c r="PI27" s="16"/>
      <c r="PL27" s="16"/>
      <c r="PO27" s="16"/>
      <c r="PR27" s="16"/>
      <c r="PU27" s="16"/>
      <c r="PX27" s="16"/>
      <c r="QA27" s="16"/>
      <c r="QD27" s="16"/>
      <c r="QG27" s="16"/>
      <c r="QJ27" s="16"/>
      <c r="QM27" s="16"/>
      <c r="QP27" s="16"/>
      <c r="QS27" s="16"/>
      <c r="QV27" s="16"/>
      <c r="QY27" s="16"/>
      <c r="RB27" s="16"/>
      <c r="RE27" s="16"/>
      <c r="RH27" s="16"/>
      <c r="RK27" s="16"/>
      <c r="RN27" s="16"/>
      <c r="RQ27" s="16"/>
    </row>
    <row r="28" spans="2:485" s="10" customFormat="1">
      <c r="B28" t="str">
        <f t="shared" ca="1" si="0"/>
        <v>17.2</v>
      </c>
      <c r="C28" s="9">
        <f t="shared" ca="1" si="1"/>
        <v>44244</v>
      </c>
      <c r="D28" s="10">
        <f t="shared" ca="1" si="2"/>
        <v>52558</v>
      </c>
      <c r="E28" s="10">
        <f t="shared" ca="1" si="3"/>
        <v>526</v>
      </c>
      <c r="F28" s="10">
        <f t="shared" ca="1" si="4"/>
        <v>0</v>
      </c>
      <c r="G28" s="10">
        <f t="shared" ca="1" si="5"/>
        <v>526</v>
      </c>
      <c r="H28" s="10">
        <f ca="1">SUM(E28:E34)</f>
        <v>3090</v>
      </c>
      <c r="I28" s="10" t="str">
        <f ca="1">TEXT(H28/H21-1,"0 %")</f>
        <v>10 %</v>
      </c>
      <c r="L28" s="14"/>
      <c r="M28"/>
      <c r="N28" s="17">
        <v>44244</v>
      </c>
      <c r="O28" s="10">
        <v>52545</v>
      </c>
      <c r="P28">
        <v>526</v>
      </c>
      <c r="Q28" s="17">
        <v>44244</v>
      </c>
      <c r="R28" s="10">
        <v>52558</v>
      </c>
      <c r="S28" s="10">
        <v>526</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c r="NA28" s="17"/>
      <c r="ND28" s="17"/>
      <c r="NG28" s="17"/>
      <c r="NJ28" s="17"/>
      <c r="NM28" s="17"/>
      <c r="NP28" s="17"/>
      <c r="NS28" s="17"/>
      <c r="NV28" s="17"/>
      <c r="NY28" s="17"/>
      <c r="OB28" s="17"/>
      <c r="OE28" s="17"/>
      <c r="OH28" s="17"/>
      <c r="OK28" s="17"/>
      <c r="ON28" s="17"/>
      <c r="OQ28" s="17"/>
      <c r="OT28" s="17"/>
      <c r="OW28" s="17"/>
      <c r="OZ28" s="17"/>
      <c r="PC28" s="17"/>
      <c r="PF28" s="17"/>
      <c r="PI28" s="17"/>
      <c r="PL28" s="17"/>
      <c r="PO28" s="17"/>
      <c r="PR28" s="17"/>
      <c r="PU28" s="17"/>
      <c r="PX28" s="17"/>
      <c r="QA28" s="17"/>
      <c r="QD28" s="17"/>
      <c r="QG28" s="17"/>
      <c r="QJ28" s="17"/>
      <c r="QM28" s="17"/>
      <c r="QP28" s="17"/>
      <c r="QS28" s="17"/>
      <c r="QV28" s="17"/>
      <c r="QY28" s="17"/>
      <c r="RB28" s="17"/>
      <c r="RE28" s="17"/>
      <c r="RH28" s="17"/>
      <c r="RK28" s="17"/>
      <c r="RN28" s="17"/>
      <c r="RQ28" s="17"/>
    </row>
    <row r="29" spans="2:485">
      <c r="B29" t="str">
        <f t="shared" ca="1" si="0"/>
        <v>18.2</v>
      </c>
      <c r="C29" s="4">
        <f t="shared" ca="1" si="1"/>
        <v>44245</v>
      </c>
      <c r="D29" s="11">
        <f t="shared" ca="1" si="2"/>
        <v>53152</v>
      </c>
      <c r="E29">
        <f t="shared" ca="1" si="3"/>
        <v>594</v>
      </c>
      <c r="F29" s="11">
        <f t="shared" ca="1" si="4"/>
        <v>2</v>
      </c>
      <c r="G29" s="11">
        <f t="shared" ca="1" si="5"/>
        <v>592</v>
      </c>
      <c r="I29" s="10"/>
      <c r="K29" s="13"/>
      <c r="L29" s="3"/>
      <c r="N29" s="16">
        <v>44245</v>
      </c>
      <c r="O29">
        <v>53137</v>
      </c>
      <c r="P29">
        <v>592</v>
      </c>
      <c r="Q29" s="16">
        <v>44245</v>
      </c>
      <c r="R29">
        <v>53152</v>
      </c>
      <c r="S29">
        <v>594</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c r="NA29" s="16"/>
      <c r="ND29" s="16"/>
      <c r="NG29" s="16"/>
      <c r="NJ29" s="16"/>
      <c r="NM29" s="16"/>
      <c r="NP29" s="16"/>
      <c r="NS29" s="16"/>
      <c r="NV29" s="16"/>
      <c r="NY29" s="16"/>
      <c r="OB29" s="16"/>
      <c r="OE29" s="16"/>
      <c r="OH29" s="16"/>
      <c r="OK29" s="16"/>
      <c r="ON29" s="16"/>
      <c r="OQ29" s="16"/>
      <c r="OT29" s="16"/>
      <c r="OW29" s="16"/>
      <c r="OZ29" s="16"/>
      <c r="PC29" s="16"/>
      <c r="PF29" s="16"/>
      <c r="PI29" s="16"/>
      <c r="PL29" s="16"/>
      <c r="PO29" s="16"/>
      <c r="PR29" s="16"/>
      <c r="PU29" s="16"/>
      <c r="PX29" s="16"/>
      <c r="QA29" s="16"/>
      <c r="QD29" s="16"/>
      <c r="QG29" s="16"/>
      <c r="QJ29" s="16"/>
      <c r="QM29" s="16"/>
      <c r="QP29" s="16"/>
      <c r="QS29" s="16"/>
      <c r="QV29" s="16"/>
      <c r="QY29" s="16"/>
      <c r="RB29" s="16"/>
      <c r="RE29" s="16"/>
      <c r="RH29" s="16"/>
      <c r="RK29" s="16"/>
      <c r="RN29" s="16"/>
      <c r="RQ29" s="16"/>
    </row>
    <row r="30" spans="2:485">
      <c r="B30" t="str">
        <f t="shared" ca="1" si="0"/>
        <v>19.2</v>
      </c>
      <c r="C30" s="4">
        <f t="shared" ca="1" si="1"/>
        <v>44246</v>
      </c>
      <c r="D30" s="11">
        <f t="shared" ca="1" si="2"/>
        <v>53704</v>
      </c>
      <c r="E30">
        <f t="shared" ca="1" si="3"/>
        <v>552</v>
      </c>
      <c r="F30" s="11">
        <f t="shared" ca="1" si="4"/>
        <v>2</v>
      </c>
      <c r="G30" s="11">
        <f t="shared" ca="1" si="5"/>
        <v>550</v>
      </c>
      <c r="K30" s="4"/>
      <c r="L30" s="3"/>
      <c r="N30" s="16">
        <v>44246</v>
      </c>
      <c r="O30">
        <v>53687</v>
      </c>
      <c r="P30">
        <v>550</v>
      </c>
      <c r="Q30" s="16">
        <v>44246</v>
      </c>
      <c r="R30">
        <v>53704</v>
      </c>
      <c r="S30">
        <v>552</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c r="NA30" s="16"/>
      <c r="ND30" s="16"/>
      <c r="NG30" s="16"/>
      <c r="NJ30" s="16"/>
      <c r="NM30" s="16"/>
      <c r="NP30" s="16"/>
      <c r="NS30" s="16"/>
      <c r="NV30" s="16"/>
      <c r="NY30" s="16"/>
      <c r="OB30" s="16"/>
      <c r="OE30" s="16"/>
      <c r="OH30" s="16"/>
      <c r="OK30" s="16"/>
      <c r="ON30" s="16"/>
      <c r="OQ30" s="16"/>
      <c r="OT30" s="16"/>
      <c r="OW30" s="16"/>
      <c r="OZ30" s="16"/>
      <c r="PC30" s="16"/>
      <c r="PF30" s="16"/>
      <c r="PI30" s="16"/>
      <c r="PL30" s="16"/>
      <c r="PO30" s="16"/>
      <c r="PR30" s="16"/>
      <c r="PU30" s="16"/>
      <c r="PX30" s="16"/>
      <c r="QA30" s="16"/>
      <c r="QD30" s="16"/>
      <c r="QG30" s="16"/>
      <c r="QJ30" s="16"/>
      <c r="QM30" s="16"/>
      <c r="QP30" s="16"/>
      <c r="QS30" s="16"/>
      <c r="QV30" s="16"/>
      <c r="QY30" s="16"/>
      <c r="RB30" s="16"/>
      <c r="RE30" s="16"/>
      <c r="RH30" s="16"/>
      <c r="RK30" s="16"/>
      <c r="RN30" s="16"/>
      <c r="RQ30" s="16"/>
    </row>
    <row r="31" spans="2:485">
      <c r="B31" t="str">
        <f t="shared" ca="1" si="0"/>
        <v>20.2</v>
      </c>
      <c r="C31" s="4">
        <f t="shared" ca="1" si="1"/>
        <v>44247</v>
      </c>
      <c r="D31" s="11">
        <f t="shared" ca="1" si="2"/>
        <v>54009</v>
      </c>
      <c r="E31">
        <f t="shared" ca="1" si="3"/>
        <v>305</v>
      </c>
      <c r="F31" s="11">
        <f t="shared" ca="1" si="4"/>
        <v>4</v>
      </c>
      <c r="G31" s="11">
        <f t="shared" ca="1" si="5"/>
        <v>301</v>
      </c>
      <c r="K31" s="4"/>
      <c r="L31" s="3"/>
      <c r="N31" s="16">
        <v>44247</v>
      </c>
      <c r="O31">
        <v>53988</v>
      </c>
      <c r="P31">
        <v>301</v>
      </c>
      <c r="Q31" s="16">
        <v>44247</v>
      </c>
      <c r="R31">
        <v>54009</v>
      </c>
      <c r="S31">
        <v>305</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c r="NA31" s="16"/>
      <c r="ND31" s="16"/>
      <c r="NG31" s="16"/>
      <c r="NJ31" s="16"/>
      <c r="NM31" s="16"/>
      <c r="NP31" s="16"/>
      <c r="NS31" s="16"/>
      <c r="NV31" s="16"/>
      <c r="NY31" s="16"/>
      <c r="OB31" s="16"/>
      <c r="OE31" s="16"/>
      <c r="OH31" s="16"/>
      <c r="OK31" s="16"/>
      <c r="ON31" s="16"/>
      <c r="OQ31" s="16"/>
      <c r="OT31" s="16"/>
      <c r="OW31" s="16"/>
      <c r="OZ31" s="16"/>
      <c r="PC31" s="16"/>
      <c r="PF31" s="16"/>
      <c r="PI31" s="16"/>
      <c r="PL31" s="16"/>
      <c r="PO31" s="16"/>
      <c r="PR31" s="16"/>
      <c r="PU31" s="16"/>
      <c r="PX31" s="16"/>
      <c r="QA31" s="16"/>
      <c r="QD31" s="16"/>
      <c r="QG31" s="16"/>
      <c r="QJ31" s="16"/>
      <c r="QM31" s="16"/>
      <c r="QP31" s="16"/>
      <c r="QS31" s="16"/>
      <c r="QV31" s="16"/>
      <c r="QY31" s="16"/>
      <c r="RB31" s="16"/>
      <c r="RE31" s="16"/>
      <c r="RH31" s="16"/>
      <c r="RK31" s="16"/>
      <c r="RN31" s="16"/>
      <c r="RQ31" s="16"/>
    </row>
    <row r="32" spans="2:485">
      <c r="B32" t="str">
        <f t="shared" ca="1" si="0"/>
        <v>21.2</v>
      </c>
      <c r="C32" s="4">
        <f t="shared" ca="1" si="1"/>
        <v>44248</v>
      </c>
      <c r="D32" s="11">
        <f t="shared" ca="1" si="2"/>
        <v>54348</v>
      </c>
      <c r="E32">
        <f t="shared" ca="1" si="3"/>
        <v>339</v>
      </c>
      <c r="F32" s="11">
        <f t="shared" ca="1" si="4"/>
        <v>23</v>
      </c>
      <c r="G32" s="11">
        <f t="shared" ca="1" si="5"/>
        <v>316</v>
      </c>
      <c r="K32" s="4"/>
      <c r="L32" s="3"/>
      <c r="N32" s="16">
        <v>44248</v>
      </c>
      <c r="O32">
        <v>54304</v>
      </c>
      <c r="P32">
        <v>316</v>
      </c>
      <c r="Q32" s="16">
        <v>44248</v>
      </c>
      <c r="R32">
        <v>54348</v>
      </c>
      <c r="S32">
        <v>339</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c r="NA32" s="16"/>
      <c r="ND32" s="16"/>
      <c r="NG32" s="16"/>
      <c r="NJ32" s="16"/>
      <c r="NM32" s="16"/>
      <c r="NP32" s="16"/>
      <c r="NS32" s="16"/>
      <c r="NV32" s="16"/>
      <c r="NY32" s="16"/>
      <c r="OB32" s="16"/>
      <c r="OE32" s="16"/>
      <c r="OH32" s="16"/>
      <c r="OK32" s="16"/>
      <c r="ON32" s="16"/>
      <c r="OQ32" s="16"/>
      <c r="OT32" s="16"/>
      <c r="OW32" s="16"/>
      <c r="OZ32" s="16"/>
      <c r="PC32" s="16"/>
      <c r="PF32" s="16"/>
      <c r="PI32" s="16"/>
      <c r="PL32" s="16"/>
      <c r="PO32" s="16"/>
      <c r="PR32" s="16"/>
      <c r="PU32" s="16"/>
      <c r="PX32" s="16"/>
      <c r="QA32" s="16"/>
      <c r="QD32" s="16"/>
      <c r="QG32" s="16"/>
      <c r="QJ32" s="16"/>
      <c r="QM32" s="16"/>
      <c r="QP32" s="16"/>
      <c r="QS32" s="16"/>
      <c r="QV32" s="16"/>
      <c r="QY32" s="16"/>
      <c r="RB32" s="16"/>
      <c r="RE32" s="16"/>
      <c r="RH32" s="16"/>
      <c r="RK32" s="16"/>
      <c r="RN32" s="16"/>
      <c r="RQ32" s="16"/>
    </row>
    <row r="33" spans="2:524">
      <c r="B33" t="str">
        <f t="shared" ca="1" si="0"/>
        <v>Ma 22</v>
      </c>
      <c r="C33" s="4">
        <f t="shared" ca="1" si="1"/>
        <v>44249</v>
      </c>
      <c r="D33" s="11">
        <f t="shared" ca="1" si="2"/>
        <v>54857</v>
      </c>
      <c r="E33">
        <f t="shared" ca="1" si="3"/>
        <v>509</v>
      </c>
      <c r="F33" s="11">
        <f t="shared" ca="1" si="4"/>
        <v>281</v>
      </c>
      <c r="G33" s="11">
        <f t="shared" ca="1" si="5"/>
        <v>228</v>
      </c>
      <c r="K33" s="4"/>
      <c r="L33" s="3"/>
      <c r="N33" s="16">
        <v>44249</v>
      </c>
      <c r="O33">
        <v>54532</v>
      </c>
      <c r="P33">
        <v>228</v>
      </c>
      <c r="Q33" s="16">
        <v>44249</v>
      </c>
      <c r="R33">
        <v>54857</v>
      </c>
      <c r="S33">
        <v>509</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c r="NA33" s="16"/>
      <c r="ND33" s="16"/>
      <c r="NG33" s="16"/>
      <c r="NJ33" s="16"/>
      <c r="NM33" s="16"/>
      <c r="NP33" s="16"/>
      <c r="NS33" s="16"/>
      <c r="NV33" s="16"/>
      <c r="NY33" s="16"/>
      <c r="OB33" s="16"/>
      <c r="OE33" s="16"/>
      <c r="OH33" s="16"/>
      <c r="OK33" s="16"/>
      <c r="ON33" s="16"/>
      <c r="OQ33" s="16"/>
      <c r="OT33" s="16"/>
      <c r="OW33" s="16"/>
      <c r="OZ33" s="16"/>
      <c r="PC33" s="16"/>
      <c r="PF33" s="16"/>
      <c r="PI33" s="16"/>
      <c r="PL33" s="16"/>
      <c r="PO33" s="16"/>
      <c r="PR33" s="16"/>
      <c r="PU33" s="16"/>
      <c r="PX33" s="16"/>
      <c r="QA33" s="16"/>
      <c r="QD33" s="16"/>
      <c r="QG33" s="16"/>
      <c r="QJ33" s="16"/>
      <c r="QM33" s="16"/>
      <c r="QP33" s="16"/>
      <c r="QS33" s="16"/>
      <c r="QV33" s="16"/>
      <c r="QY33" s="16"/>
      <c r="RB33" s="16"/>
      <c r="RE33" s="16"/>
      <c r="RH33" s="16"/>
      <c r="RK33" s="16"/>
      <c r="RN33" s="16"/>
      <c r="RQ33" s="16"/>
    </row>
    <row r="34" spans="2:524" s="10" customFormat="1">
      <c r="B34" t="str">
        <f t="shared" ca="1" si="0"/>
        <v>23.2</v>
      </c>
      <c r="C34" s="9">
        <f t="shared" ca="1" si="1"/>
        <v>44250</v>
      </c>
      <c r="D34" s="10">
        <f t="shared" ca="1" si="2"/>
        <v>55122</v>
      </c>
      <c r="E34" s="10">
        <f t="shared" ca="1" si="3"/>
        <v>265</v>
      </c>
      <c r="F34" s="10">
        <f t="shared" ca="1" si="4"/>
        <v>265</v>
      </c>
      <c r="G34" s="10">
        <f t="shared" ca="1" si="5"/>
        <v>0</v>
      </c>
      <c r="K34" s="9"/>
      <c r="L34" s="14"/>
      <c r="N34" s="17">
        <v>44250</v>
      </c>
      <c r="O34" s="10">
        <v>54532</v>
      </c>
      <c r="P34" s="10">
        <v>0</v>
      </c>
      <c r="Q34" s="17">
        <v>44250</v>
      </c>
      <c r="R34" s="10">
        <v>55122</v>
      </c>
      <c r="S34" s="10">
        <v>265</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c r="NA34" s="17"/>
      <c r="ND34" s="17"/>
      <c r="NG34" s="17"/>
      <c r="NJ34" s="17"/>
      <c r="NM34" s="17"/>
      <c r="NP34" s="17"/>
      <c r="NS34" s="17"/>
      <c r="NV34" s="17"/>
      <c r="NY34" s="17"/>
      <c r="OB34" s="17"/>
      <c r="OE34" s="17"/>
      <c r="OH34" s="17"/>
      <c r="OK34" s="17"/>
      <c r="ON34" s="17"/>
      <c r="OQ34" s="17"/>
      <c r="OT34" s="17"/>
      <c r="OW34" s="17"/>
      <c r="OZ34" s="17"/>
      <c r="PC34" s="17"/>
      <c r="PF34" s="17"/>
      <c r="PI34" s="17"/>
      <c r="PL34" s="17"/>
      <c r="PO34" s="17"/>
      <c r="PR34" s="17"/>
      <c r="PU34" s="17"/>
      <c r="PX34" s="17"/>
      <c r="QA34" s="17"/>
      <c r="QD34" s="17"/>
      <c r="QG34" s="17"/>
      <c r="QJ34" s="17"/>
      <c r="QM34" s="17"/>
      <c r="QP34" s="17"/>
      <c r="QS34" s="17"/>
      <c r="QV34" s="17"/>
      <c r="QY34" s="17"/>
      <c r="RB34" s="17"/>
      <c r="RE34" s="17"/>
      <c r="RH34" s="17"/>
      <c r="RK34" s="17"/>
      <c r="RN34" s="17"/>
      <c r="RQ34" s="17"/>
    </row>
    <row r="35" spans="2:524">
      <c r="B35" t="str">
        <f t="shared" ca="1" si="0"/>
        <v>24.2</v>
      </c>
      <c r="C35" s="12">
        <f ca="1">FLOOR(NOW(),1)</f>
        <v>44251</v>
      </c>
      <c r="D35" s="11">
        <f t="shared" ca="1" si="2"/>
        <v>55122</v>
      </c>
      <c r="E35" s="11">
        <f t="shared" ca="1" si="3"/>
        <v>0</v>
      </c>
      <c r="F35" s="11">
        <f t="shared" ca="1" si="4"/>
        <v>0</v>
      </c>
      <c r="G35" s="11">
        <f t="shared" ca="1" si="5"/>
        <v>0</v>
      </c>
      <c r="N35" s="16">
        <v>44251</v>
      </c>
      <c r="O35">
        <v>54532</v>
      </c>
      <c r="P35" s="11">
        <v>0</v>
      </c>
      <c r="Q35" s="16">
        <v>44251</v>
      </c>
      <c r="R35">
        <v>55122</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c r="NA35" s="16"/>
      <c r="ND35" s="16"/>
      <c r="NG35" s="16"/>
      <c r="NJ35" s="16"/>
      <c r="NM35" s="16"/>
      <c r="NP35" s="16"/>
      <c r="NS35" s="16"/>
      <c r="NV35" s="16"/>
      <c r="NY35" s="16"/>
      <c r="OB35" s="16"/>
      <c r="OE35" s="16"/>
      <c r="OH35" s="16"/>
      <c r="OK35" s="16"/>
      <c r="ON35" s="16"/>
      <c r="OQ35" s="16"/>
      <c r="OT35" s="16"/>
      <c r="OW35" s="16"/>
      <c r="OZ35" s="16"/>
      <c r="PC35" s="16"/>
      <c r="PF35" s="16"/>
      <c r="PI35" s="16"/>
      <c r="PL35" s="16"/>
      <c r="PO35" s="16"/>
      <c r="PR35" s="16"/>
      <c r="PU35" s="16"/>
      <c r="PX35" s="16"/>
      <c r="QA35" s="16"/>
      <c r="QD35" s="16"/>
      <c r="QG35" s="16"/>
      <c r="QJ35" s="16"/>
      <c r="QM35" s="16"/>
      <c r="QP35" s="16"/>
      <c r="QS35" s="16"/>
      <c r="QV35" s="16"/>
      <c r="QY35" s="16"/>
      <c r="RB35" s="16"/>
      <c r="RE35" s="16"/>
      <c r="RH35" s="16"/>
      <c r="RK35" s="16"/>
      <c r="RN35" s="16"/>
      <c r="RQ35" s="16"/>
    </row>
    <row r="36" spans="2:524" s="24" customFormat="1">
      <c r="Q36" s="24">
        <f>Q35</f>
        <v>44251</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0</v>
      </c>
      <c r="NA36" s="24">
        <f>NA35</f>
        <v>0</v>
      </c>
      <c r="ND36" s="24">
        <f>ND35</f>
        <v>0</v>
      </c>
      <c r="NG36" s="24">
        <f>NG35</f>
        <v>0</v>
      </c>
      <c r="NJ36" s="24">
        <f>NJ35</f>
        <v>0</v>
      </c>
      <c r="NM36" s="24">
        <f>NM35</f>
        <v>0</v>
      </c>
      <c r="NP36" s="24">
        <f>NP35</f>
        <v>0</v>
      </c>
      <c r="NS36" s="24">
        <f>NS35</f>
        <v>0</v>
      </c>
      <c r="NV36" s="24">
        <f>NV35</f>
        <v>0</v>
      </c>
      <c r="NY36" s="24">
        <f>NY35</f>
        <v>0</v>
      </c>
      <c r="OB36" s="24">
        <f>OB35</f>
        <v>0</v>
      </c>
      <c r="OE36" s="24">
        <f>OE35</f>
        <v>0</v>
      </c>
      <c r="OH36" s="24">
        <f>OH35</f>
        <v>0</v>
      </c>
      <c r="OK36" s="24">
        <f>OK35</f>
        <v>0</v>
      </c>
      <c r="ON36" s="24">
        <f>ON35</f>
        <v>0</v>
      </c>
      <c r="OQ36" s="24">
        <f>OQ35</f>
        <v>0</v>
      </c>
      <c r="OT36" s="24">
        <f>OT35</f>
        <v>0</v>
      </c>
      <c r="OW36" s="24">
        <f>OW35</f>
        <v>0</v>
      </c>
      <c r="OZ36" s="24">
        <f>OZ35</f>
        <v>0</v>
      </c>
      <c r="PC36" s="24">
        <f>PC35</f>
        <v>0</v>
      </c>
      <c r="PF36" s="24">
        <f>PF35</f>
        <v>0</v>
      </c>
      <c r="PI36" s="24">
        <f>PI35</f>
        <v>0</v>
      </c>
      <c r="PL36" s="24">
        <f>PL35</f>
        <v>0</v>
      </c>
      <c r="PO36" s="24">
        <f>PO35</f>
        <v>0</v>
      </c>
      <c r="PR36" s="24">
        <f>PR35</f>
        <v>0</v>
      </c>
      <c r="PU36" s="24">
        <f>PU35</f>
        <v>0</v>
      </c>
      <c r="PX36" s="24">
        <f>PX35</f>
        <v>0</v>
      </c>
      <c r="QA36" s="24">
        <f>QA35</f>
        <v>0</v>
      </c>
      <c r="QD36" s="24">
        <f>QD35</f>
        <v>0</v>
      </c>
      <c r="QG36" s="24">
        <f>QG35</f>
        <v>0</v>
      </c>
      <c r="QJ36" s="24">
        <f>QJ35</f>
        <v>0</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590</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-54532</v>
      </c>
      <c r="MW37" s="24"/>
      <c r="MX37" s="25">
        <f>NB35-MY35</f>
        <v>0</v>
      </c>
      <c r="MZ37" s="24"/>
      <c r="NA37" s="25">
        <f>NE35-NB35</f>
        <v>0</v>
      </c>
      <c r="NC37" s="24"/>
      <c r="ND37" s="25">
        <f>NH35-NE35</f>
        <v>0</v>
      </c>
      <c r="NF37" s="24"/>
      <c r="NG37" s="26">
        <f>NK35-NH35</f>
        <v>0</v>
      </c>
      <c r="NI37" s="24"/>
      <c r="NJ37" s="25">
        <f>NN35-NK35</f>
        <v>0</v>
      </c>
      <c r="NL37" s="24"/>
      <c r="NM37" s="25">
        <f>NQ35-NN35</f>
        <v>0</v>
      </c>
      <c r="NP37" s="25">
        <f>NT35-NQ35</f>
        <v>0</v>
      </c>
      <c r="NR37" s="24"/>
      <c r="NS37" s="25">
        <f>NW35-NT35</f>
        <v>0</v>
      </c>
      <c r="NU37" s="24"/>
      <c r="NV37" s="25">
        <f>NZ35-NW35</f>
        <v>0</v>
      </c>
      <c r="NY37" s="25">
        <f>OC35-NZ35</f>
        <v>0</v>
      </c>
      <c r="OB37" s="25">
        <f>OF35-OC35</f>
        <v>0</v>
      </c>
      <c r="OE37" s="25">
        <f>OI35-OF35</f>
        <v>0</v>
      </c>
      <c r="OH37" s="25">
        <f>OL35-OI35</f>
        <v>0</v>
      </c>
      <c r="OK37" s="25">
        <f>OO35-OL35</f>
        <v>0</v>
      </c>
      <c r="ON37" s="25">
        <f>OR35-OO35</f>
        <v>0</v>
      </c>
      <c r="OQ37" s="25">
        <f>OU35-OR35</f>
        <v>0</v>
      </c>
      <c r="OT37" s="25">
        <f>OX35-OU35</f>
        <v>0</v>
      </c>
      <c r="OW37" s="25">
        <f>PA35-OX35</f>
        <v>0</v>
      </c>
      <c r="OZ37" s="25">
        <f>PD35-PA35</f>
        <v>0</v>
      </c>
      <c r="PC37" s="25">
        <f>PG35-PD35</f>
        <v>0</v>
      </c>
      <c r="PF37" s="25">
        <f>PJ35-PG35</f>
        <v>0</v>
      </c>
      <c r="PI37" s="25">
        <f>PM35-PJ35</f>
        <v>0</v>
      </c>
      <c r="PL37" s="25">
        <f>PP35-PM35</f>
        <v>0</v>
      </c>
      <c r="PO37" s="25">
        <f>PS35-PP35</f>
        <v>0</v>
      </c>
      <c r="PR37" s="25">
        <f>PV35-PS35</f>
        <v>0</v>
      </c>
      <c r="PU37" s="25">
        <f>PY35-PV35</f>
        <v>0</v>
      </c>
      <c r="PX37" s="25">
        <f>QB35-PY35</f>
        <v>0</v>
      </c>
      <c r="QA37" s="25">
        <f>QE35-QB35</f>
        <v>0</v>
      </c>
      <c r="QD37" s="25">
        <f>QH35-QE35</f>
        <v>0</v>
      </c>
      <c r="QG37" s="25">
        <f>QK35-QH35</f>
        <v>0</v>
      </c>
      <c r="QJ37" s="25">
        <f>QN35-QK35</f>
        <v>0</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c r="MC38" s="27" t="str">
        <f>IF(WEEKDAY(MC36,2)=1,"Ma","")</f>
        <v/>
      </c>
      <c r="MF38" s="27" t="str">
        <f>IF(WEEKDAY(MF36,2)=1,"Ma","")</f>
        <v/>
      </c>
      <c r="MI38" s="27" t="str">
        <f>IF(WEEKDAY(MI36,2)=1,"Ma","")</f>
        <v/>
      </c>
      <c r="ML38" s="27" t="str">
        <f>IF(WEEKDAY(ML36,2)=1,"Ma","")</f>
        <v/>
      </c>
      <c r="NP38" s="27" t="str">
        <f>IF(WEEKDAY(NP36,2)=1,"Ma","")</f>
        <v/>
      </c>
      <c r="NS38" s="27" t="str">
        <f>IF(WEEKDAY(NS36,2)=1,"Ma","")</f>
        <v/>
      </c>
      <c r="NV38" s="27" t="str">
        <f>IF(WEEKDAY(NV36,2)=1,"Ma","")</f>
        <v/>
      </c>
      <c r="NY38" s="27" t="str">
        <f>IF(WEEKDAY(NY36,2)=1,"Ma","")</f>
        <v/>
      </c>
      <c r="OB38" s="27" t="str">
        <f>IF(WEEKDAY(OB36,2)=1,"Ma","")</f>
        <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44251</v>
      </c>
      <c r="C40">
        <f t="shared" ref="C40:C47" ca="1" si="6">HLOOKUP(B40,$36:$37,2,FALSE)</f>
        <v>590</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44244</v>
      </c>
      <c r="C41">
        <f t="shared" si="6"/>
        <v>548</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44237</v>
      </c>
      <c r="C42" t="e">
        <f t="shared" si="6"/>
        <v>#N/A</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44230</v>
      </c>
      <c r="C43">
        <f t="shared" si="6"/>
        <v>1178</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44223</v>
      </c>
      <c r="C44">
        <f t="shared" si="6"/>
        <v>496</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44216</v>
      </c>
      <c r="C45" t="e">
        <f t="shared" si="6"/>
        <v>#N/A</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44209</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44202</v>
      </c>
      <c r="C47" t="e">
        <f t="shared" si="6"/>
        <v>#N/A</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44247.625</v>
      </c>
      <c r="C50">
        <f>DMAX(_xlnm.Database,"n",B49:B50)</f>
        <v>305</v>
      </c>
      <c r="D50" s="21">
        <f>B50</f>
        <v>44247.625</v>
      </c>
      <c r="E50">
        <f>C50</f>
        <v>305</v>
      </c>
      <c r="F50" s="13">
        <f>B50-1</f>
        <v>44246.625</v>
      </c>
      <c r="G50">
        <f>DMAX(_xlnm.Database,"n",F49:F50)</f>
        <v>552</v>
      </c>
      <c r="H50" s="21">
        <f>F50</f>
        <v>44246.625</v>
      </c>
      <c r="I50">
        <f>G50</f>
        <v>552</v>
      </c>
      <c r="J50" s="13">
        <f>F50-1</f>
        <v>44245.625</v>
      </c>
      <c r="K50">
        <f>DMAX(_xlnm.Database,"n",J49:J50)</f>
        <v>594</v>
      </c>
      <c r="L50" s="21">
        <f>J50</f>
        <v>44245.625</v>
      </c>
      <c r="M50">
        <f>K50</f>
        <v>594</v>
      </c>
      <c r="N50" s="22">
        <f>J50-1</f>
        <v>44244.625</v>
      </c>
      <c r="O50">
        <f>DMAX(_xlnm.Database,"n",N49:N50)</f>
        <v>526</v>
      </c>
      <c r="P50" s="21">
        <f>N50</f>
        <v>44244.625</v>
      </c>
      <c r="Q50">
        <f>O50</f>
        <v>526</v>
      </c>
      <c r="R50" s="22">
        <f>N50-1</f>
        <v>44243.625</v>
      </c>
      <c r="S50">
        <f>DMAX(_xlnm.Database,"n",R49:R50)</f>
        <v>501</v>
      </c>
      <c r="T50" s="21">
        <f>R50</f>
        <v>44243.625</v>
      </c>
      <c r="U50">
        <f>S50</f>
        <v>501</v>
      </c>
      <c r="V50" s="22">
        <f>R50-1</f>
        <v>44242.625</v>
      </c>
      <c r="W50">
        <f>DMAX(_xlnm.Database,"n",V49:V50)</f>
        <v>609</v>
      </c>
      <c r="X50" s="21">
        <f>V50</f>
        <v>44242.625</v>
      </c>
      <c r="Y50">
        <f>W50</f>
        <v>609</v>
      </c>
      <c r="Z50" s="22">
        <f>V50-1</f>
        <v>44241.625</v>
      </c>
      <c r="AA50">
        <f>DMAX(_xlnm.Database,"n",Z49:Z50)</f>
        <v>273</v>
      </c>
      <c r="AB50" s="21">
        <f>Z50</f>
        <v>44241.625</v>
      </c>
      <c r="AC50">
        <f>AA50</f>
        <v>273</v>
      </c>
      <c r="AD50" s="22">
        <f>Z50-1</f>
        <v>44240.625</v>
      </c>
      <c r="AE50">
        <f>DMAX(_xlnm.Database,"n",AD49:AD50)</f>
        <v>277</v>
      </c>
      <c r="AF50" s="21">
        <f>AD50</f>
        <v>44240.625</v>
      </c>
      <c r="AG50">
        <f>AE50</f>
        <v>277</v>
      </c>
      <c r="AH50" s="16"/>
      <c r="AI50"/>
      <c r="AK50" s="16"/>
      <c r="AL50"/>
      <c r="AN50" s="16"/>
      <c r="AO50"/>
      <c r="AQ50" s="16"/>
      <c r="AR50"/>
      <c r="AT50" s="16"/>
    </row>
    <row r="51" spans="2:46">
      <c r="B51" s="13" t="s">
        <v>7</v>
      </c>
      <c r="D51" s="16">
        <f>D50-7</f>
        <v>44240.625</v>
      </c>
      <c r="E51">
        <f>C52</f>
        <v>277</v>
      </c>
      <c r="F51" s="13" t="s">
        <v>7</v>
      </c>
      <c r="H51" s="16">
        <f>H50-7</f>
        <v>44239.625</v>
      </c>
      <c r="I51">
        <f>G52</f>
        <v>418</v>
      </c>
      <c r="J51" s="13" t="s">
        <v>7</v>
      </c>
      <c r="L51" s="16">
        <f>L50-7</f>
        <v>44238.625</v>
      </c>
      <c r="M51">
        <f>K52</f>
        <v>354</v>
      </c>
      <c r="N51" t="s">
        <v>7</v>
      </c>
      <c r="P51" s="16">
        <f>P50-7</f>
        <v>44237.625</v>
      </c>
      <c r="Q51">
        <f>O52</f>
        <v>382</v>
      </c>
      <c r="R51" t="s">
        <v>7</v>
      </c>
      <c r="T51" s="16">
        <f>T50-7</f>
        <v>44236.625</v>
      </c>
      <c r="U51">
        <f>S52</f>
        <v>370</v>
      </c>
      <c r="V51" t="s">
        <v>7</v>
      </c>
      <c r="W51"/>
      <c r="X51" s="16">
        <f>X50-7</f>
        <v>44235.625</v>
      </c>
      <c r="Y51">
        <f>W52</f>
        <v>460</v>
      </c>
      <c r="Z51" t="s">
        <v>7</v>
      </c>
      <c r="AB51" s="16">
        <f>AB50-7</f>
        <v>44234.625</v>
      </c>
      <c r="AC51">
        <f>AA52</f>
        <v>261</v>
      </c>
      <c r="AD51" t="s">
        <v>7</v>
      </c>
      <c r="AF51" s="16">
        <f>AF50-7</f>
        <v>44233.625</v>
      </c>
      <c r="AG51">
        <f>AE52</f>
        <v>240</v>
      </c>
      <c r="AH51" s="16"/>
      <c r="AI51"/>
      <c r="AK51" s="16"/>
      <c r="AL51"/>
      <c r="AN51" s="16"/>
      <c r="AO51"/>
      <c r="AQ51" s="16"/>
      <c r="AR51"/>
      <c r="AT51" s="16"/>
    </row>
    <row r="52" spans="2:46">
      <c r="B52" s="13">
        <f>B50-7</f>
        <v>44240.625</v>
      </c>
      <c r="C52">
        <f>DMAX(_xlnm.Database,"n",B51:B52)</f>
        <v>277</v>
      </c>
      <c r="D52" s="16">
        <f t="shared" ref="D52:D59" si="8">D51-7</f>
        <v>44233.625</v>
      </c>
      <c r="E52">
        <f>C54</f>
        <v>240</v>
      </c>
      <c r="F52" s="13">
        <f>F50-7</f>
        <v>44239.625</v>
      </c>
      <c r="G52">
        <f>DMAX(_xlnm.Database,"n",F51:F52)</f>
        <v>418</v>
      </c>
      <c r="H52" s="16">
        <f t="shared" ref="H52:H59" si="9">H51-7</f>
        <v>44232.625</v>
      </c>
      <c r="I52">
        <f>G54</f>
        <v>366</v>
      </c>
      <c r="J52" s="13">
        <f>J50-7</f>
        <v>44238.625</v>
      </c>
      <c r="K52">
        <f>DMAX(_xlnm.Database,"n",J51:J52)</f>
        <v>354</v>
      </c>
      <c r="L52" s="16">
        <f t="shared" ref="L52:L59" si="10">L51-7</f>
        <v>44231.625</v>
      </c>
      <c r="M52">
        <f>K54</f>
        <v>370</v>
      </c>
      <c r="N52" s="22">
        <f>N50-7</f>
        <v>44237.625</v>
      </c>
      <c r="O52">
        <f>DMAX(_xlnm.Database,"n",N51:N52)</f>
        <v>382</v>
      </c>
      <c r="P52" s="16">
        <f t="shared" ref="P52:P59" si="11">P51-7</f>
        <v>44230.625</v>
      </c>
      <c r="Q52">
        <f>O54</f>
        <v>440</v>
      </c>
      <c r="R52" s="22">
        <f>R50-7</f>
        <v>44236.625</v>
      </c>
      <c r="S52">
        <f>DMAX(_xlnm.Database,"n",R51:R52)</f>
        <v>370</v>
      </c>
      <c r="T52" s="16">
        <f t="shared" ref="T52:T59" si="12">T51-7</f>
        <v>44229.625</v>
      </c>
      <c r="U52">
        <f>S54</f>
        <v>396</v>
      </c>
      <c r="V52" s="22">
        <f>V50-7</f>
        <v>44235.625</v>
      </c>
      <c r="W52">
        <f>DMAX(_xlnm.Database,"n",V51:V52)</f>
        <v>460</v>
      </c>
      <c r="X52" s="16">
        <f t="shared" ref="X52:X59" si="13">X51-7</f>
        <v>44228.625</v>
      </c>
      <c r="Y52">
        <f>W54</f>
        <v>530</v>
      </c>
      <c r="Z52" s="22">
        <f>Z50-7</f>
        <v>44234.625</v>
      </c>
      <c r="AA52">
        <f>DMAX(_xlnm.Database,"n",Z51:Z52)</f>
        <v>261</v>
      </c>
      <c r="AB52" s="16">
        <f t="shared" ref="AB52:AB59" si="14">AB51-7</f>
        <v>44227.625</v>
      </c>
      <c r="AC52">
        <f>AA54</f>
        <v>272</v>
      </c>
      <c r="AD52" s="22">
        <f>AD50-7</f>
        <v>44233.625</v>
      </c>
      <c r="AE52">
        <f>DMAX(_xlnm.Database,"n",AD51:AD52)</f>
        <v>240</v>
      </c>
      <c r="AF52" s="16">
        <f t="shared" ref="AF52:AF59" si="15">AF51-7</f>
        <v>44226.625</v>
      </c>
      <c r="AG52">
        <f>AE54</f>
        <v>232</v>
      </c>
      <c r="AH52" s="16"/>
      <c r="AI52"/>
      <c r="AK52" s="16"/>
      <c r="AL52"/>
      <c r="AN52" s="16"/>
      <c r="AO52"/>
      <c r="AQ52" s="16"/>
      <c r="AR52"/>
      <c r="AT52" s="16"/>
    </row>
    <row r="53" spans="2:46">
      <c r="B53" s="13" t="s">
        <v>7</v>
      </c>
      <c r="D53" s="16">
        <f t="shared" si="8"/>
        <v>44226.625</v>
      </c>
      <c r="E53">
        <f>C56</f>
        <v>232</v>
      </c>
      <c r="F53" s="13" t="s">
        <v>7</v>
      </c>
      <c r="H53" s="16">
        <f t="shared" si="9"/>
        <v>44225.625</v>
      </c>
      <c r="I53">
        <f>G56</f>
        <v>375</v>
      </c>
      <c r="J53" s="13" t="s">
        <v>7</v>
      </c>
      <c r="L53" s="16">
        <f t="shared" si="10"/>
        <v>44224.625</v>
      </c>
      <c r="M53">
        <f>K56</f>
        <v>436</v>
      </c>
      <c r="N53" t="s">
        <v>7</v>
      </c>
      <c r="P53" s="16">
        <f t="shared" si="11"/>
        <v>44223.625</v>
      </c>
      <c r="Q53">
        <f>O56</f>
        <v>383</v>
      </c>
      <c r="R53" t="s">
        <v>7</v>
      </c>
      <c r="T53" s="16">
        <f t="shared" si="12"/>
        <v>44222.625</v>
      </c>
      <c r="U53">
        <f>S56</f>
        <v>398</v>
      </c>
      <c r="V53" t="s">
        <v>7</v>
      </c>
      <c r="W53"/>
      <c r="X53" s="16">
        <f t="shared" si="13"/>
        <v>44221.625</v>
      </c>
      <c r="Y53">
        <f>W56</f>
        <v>604</v>
      </c>
      <c r="Z53" t="s">
        <v>7</v>
      </c>
      <c r="AB53" s="16">
        <f t="shared" si="14"/>
        <v>44220.625</v>
      </c>
      <c r="AC53">
        <f>AA56</f>
        <v>245</v>
      </c>
      <c r="AD53" t="s">
        <v>7</v>
      </c>
      <c r="AF53" s="16">
        <f t="shared" si="15"/>
        <v>44219.625</v>
      </c>
      <c r="AG53">
        <f>AE56</f>
        <v>168</v>
      </c>
      <c r="AH53" s="16"/>
      <c r="AI53"/>
      <c r="AK53" s="16"/>
      <c r="AL53"/>
      <c r="AN53" s="16"/>
      <c r="AO53"/>
      <c r="AQ53" s="16"/>
      <c r="AR53"/>
      <c r="AT53" s="16"/>
    </row>
    <row r="54" spans="2:46">
      <c r="B54" s="13">
        <f>B52-7</f>
        <v>44233.625</v>
      </c>
      <c r="C54">
        <f>DMAX(_xlnm.Database,"n",B53:B54)</f>
        <v>240</v>
      </c>
      <c r="D54" s="16">
        <f t="shared" si="8"/>
        <v>44219.625</v>
      </c>
      <c r="E54">
        <f>C58</f>
        <v>168</v>
      </c>
      <c r="F54" s="13">
        <f>F52-7</f>
        <v>44232.625</v>
      </c>
      <c r="G54">
        <f>DMAX(_xlnm.Database,"n",F53:F54)</f>
        <v>366</v>
      </c>
      <c r="H54" s="16">
        <f t="shared" si="9"/>
        <v>44218.625</v>
      </c>
      <c r="I54">
        <f>G58</f>
        <v>360</v>
      </c>
      <c r="J54" s="13">
        <f>J52-7</f>
        <v>44231.625</v>
      </c>
      <c r="K54">
        <f>DMAX(_xlnm.Database,"n",J53:J54)</f>
        <v>370</v>
      </c>
      <c r="L54" s="16">
        <f t="shared" si="10"/>
        <v>44217.625</v>
      </c>
      <c r="M54">
        <f>K58</f>
        <v>376</v>
      </c>
      <c r="N54" s="22">
        <f>N52-7</f>
        <v>44230.625</v>
      </c>
      <c r="O54">
        <f>DMAX(_xlnm.Database,"n",N53:N54)</f>
        <v>440</v>
      </c>
      <c r="P54" s="16">
        <f t="shared" si="11"/>
        <v>44216.625</v>
      </c>
      <c r="Q54">
        <f>O58</f>
        <v>406</v>
      </c>
      <c r="R54" s="22">
        <f>R52-7</f>
        <v>44229.625</v>
      </c>
      <c r="S54">
        <f>DMAX(_xlnm.Database,"n",R53:R54)</f>
        <v>396</v>
      </c>
      <c r="T54" s="16">
        <f t="shared" si="12"/>
        <v>44215.625</v>
      </c>
      <c r="U54">
        <f>S58</f>
        <v>342</v>
      </c>
      <c r="V54" s="22">
        <f>V52-7</f>
        <v>44228.625</v>
      </c>
      <c r="W54">
        <f>DMAX(_xlnm.Database,"n",V53:V54)</f>
        <v>530</v>
      </c>
      <c r="X54" s="16">
        <f t="shared" si="13"/>
        <v>44214.625</v>
      </c>
      <c r="Y54">
        <f>W58</f>
        <v>448</v>
      </c>
      <c r="Z54" s="22">
        <f>Z52-7</f>
        <v>44227.625</v>
      </c>
      <c r="AA54">
        <f>DMAX(_xlnm.Database,"n",Z53:Z54)</f>
        <v>272</v>
      </c>
      <c r="AB54" s="16">
        <f t="shared" si="14"/>
        <v>44213.625</v>
      </c>
      <c r="AC54">
        <f>AA58</f>
        <v>196</v>
      </c>
      <c r="AD54" s="22">
        <f>AD52-7</f>
        <v>44226.625</v>
      </c>
      <c r="AE54">
        <f>DMAX(_xlnm.Database,"n",AD53:AD54)</f>
        <v>232</v>
      </c>
      <c r="AF54" s="16">
        <f t="shared" si="15"/>
        <v>44212.625</v>
      </c>
      <c r="AG54">
        <f>AE58</f>
        <v>171</v>
      </c>
      <c r="AH54" s="16"/>
      <c r="AI54"/>
      <c r="AK54" s="16"/>
      <c r="AL54"/>
      <c r="AN54" s="16"/>
      <c r="AO54"/>
      <c r="AQ54" s="16"/>
      <c r="AR54"/>
      <c r="AT54" s="16"/>
    </row>
    <row r="55" spans="2:46">
      <c r="B55" s="13" t="s">
        <v>7</v>
      </c>
      <c r="D55" s="16">
        <f t="shared" si="8"/>
        <v>44212.625</v>
      </c>
      <c r="E55">
        <f>C60</f>
        <v>171</v>
      </c>
      <c r="F55" s="13" t="s">
        <v>7</v>
      </c>
      <c r="H55" s="16">
        <f t="shared" si="9"/>
        <v>44211.625</v>
      </c>
      <c r="I55">
        <f>G60</f>
        <v>266</v>
      </c>
      <c r="J55" s="13" t="s">
        <v>7</v>
      </c>
      <c r="L55" s="16">
        <f t="shared" si="10"/>
        <v>44210.625</v>
      </c>
      <c r="M55">
        <f>K60</f>
        <v>249</v>
      </c>
      <c r="N55" t="s">
        <v>7</v>
      </c>
      <c r="P55" s="16">
        <f t="shared" si="11"/>
        <v>44209.625</v>
      </c>
      <c r="Q55">
        <f>O60</f>
        <v>259</v>
      </c>
      <c r="R55" t="s">
        <v>7</v>
      </c>
      <c r="T55" s="16">
        <f t="shared" si="12"/>
        <v>44208.625</v>
      </c>
      <c r="U55">
        <f>S60</f>
        <v>229</v>
      </c>
      <c r="V55" t="s">
        <v>7</v>
      </c>
      <c r="W55"/>
      <c r="X55" s="16">
        <f t="shared" si="13"/>
        <v>44207.625</v>
      </c>
      <c r="Y55">
        <f>W60</f>
        <v>386</v>
      </c>
      <c r="Z55" t="s">
        <v>7</v>
      </c>
      <c r="AB55" s="16">
        <f t="shared" si="14"/>
        <v>44206.625</v>
      </c>
      <c r="AC55">
        <f>AA60</f>
        <v>186</v>
      </c>
      <c r="AD55" t="s">
        <v>7</v>
      </c>
      <c r="AF55" s="16">
        <f t="shared" si="15"/>
        <v>44205.625</v>
      </c>
      <c r="AG55">
        <f>AE60</f>
        <v>194</v>
      </c>
      <c r="AH55" s="16"/>
      <c r="AI55"/>
      <c r="AK55" s="16"/>
      <c r="AL55"/>
      <c r="AN55" s="16"/>
      <c r="AO55"/>
      <c r="AQ55" s="16"/>
      <c r="AR55"/>
      <c r="AT55" s="16"/>
    </row>
    <row r="56" spans="2:46">
      <c r="B56" s="13">
        <f>B54-7</f>
        <v>44226.625</v>
      </c>
      <c r="C56">
        <f>DMAX(_xlnm.Database,"n",B55:B56)</f>
        <v>232</v>
      </c>
      <c r="D56" s="16">
        <f t="shared" si="8"/>
        <v>44205.625</v>
      </c>
      <c r="E56">
        <f>C62</f>
        <v>194</v>
      </c>
      <c r="F56" s="13">
        <f>F54-7</f>
        <v>44225.625</v>
      </c>
      <c r="G56">
        <f>DMAX(_xlnm.Database,"n",F55:F56)</f>
        <v>375</v>
      </c>
      <c r="H56" s="16">
        <f t="shared" si="9"/>
        <v>44204.625</v>
      </c>
      <c r="I56">
        <f>G62</f>
        <v>252</v>
      </c>
      <c r="J56" s="13">
        <f>J54-7</f>
        <v>44224.625</v>
      </c>
      <c r="K56">
        <f>DMAX(_xlnm.Database,"n",J55:J56)</f>
        <v>436</v>
      </c>
      <c r="L56" s="16">
        <f t="shared" si="10"/>
        <v>44203.625</v>
      </c>
      <c r="M56">
        <f>K62</f>
        <v>332</v>
      </c>
      <c r="N56" s="22">
        <f>N54-7</f>
        <v>44223.625</v>
      </c>
      <c r="O56">
        <f>DMAX(_xlnm.Database,"n",N55:N56)</f>
        <v>383</v>
      </c>
      <c r="P56" s="16">
        <f t="shared" si="11"/>
        <v>44202.625</v>
      </c>
      <c r="Q56">
        <f>O62</f>
        <v>209</v>
      </c>
      <c r="R56" s="22">
        <f>R54-7</f>
        <v>44222.625</v>
      </c>
      <c r="S56">
        <f>DMAX(_xlnm.Database,"n",R55:R56)</f>
        <v>398</v>
      </c>
      <c r="T56" s="16">
        <f t="shared" si="12"/>
        <v>44201.625</v>
      </c>
      <c r="U56">
        <f>S62</f>
        <v>263</v>
      </c>
      <c r="V56" s="22">
        <f>V54-7</f>
        <v>44221.625</v>
      </c>
      <c r="W56">
        <f>DMAX(_xlnm.Database,"n",V55:V56)</f>
        <v>604</v>
      </c>
      <c r="X56" s="16">
        <f t="shared" si="13"/>
        <v>44200.625</v>
      </c>
      <c r="Y56">
        <f>W62</f>
        <v>399</v>
      </c>
      <c r="Z56" s="22">
        <f>Z54-7</f>
        <v>44220.625</v>
      </c>
      <c r="AA56">
        <f>DMAX(_xlnm.Database,"n",Z55:Z56)</f>
        <v>245</v>
      </c>
      <c r="AB56" s="16">
        <f t="shared" si="14"/>
        <v>44199.625</v>
      </c>
      <c r="AC56">
        <f>AA62</f>
        <v>169</v>
      </c>
      <c r="AD56" s="22">
        <f>AD54-7</f>
        <v>44219.625</v>
      </c>
      <c r="AE56">
        <f>DMAX(_xlnm.Database,"n",AD55:AD56)</f>
        <v>168</v>
      </c>
      <c r="AF56" s="16">
        <f t="shared" si="15"/>
        <v>44198.625</v>
      </c>
      <c r="AG56">
        <f>AE62</f>
        <v>206</v>
      </c>
      <c r="AH56" s="16"/>
      <c r="AI56"/>
      <c r="AK56" s="16"/>
      <c r="AL56"/>
      <c r="AN56" s="16"/>
      <c r="AO56"/>
      <c r="AQ56" s="16"/>
      <c r="AR56"/>
      <c r="AT56" s="16"/>
    </row>
    <row r="57" spans="2:46">
      <c r="B57" s="13" t="s">
        <v>7</v>
      </c>
      <c r="D57" s="16">
        <f t="shared" si="8"/>
        <v>44198.625</v>
      </c>
      <c r="E57">
        <f>C64</f>
        <v>206</v>
      </c>
      <c r="F57" s="13" t="s">
        <v>7</v>
      </c>
      <c r="H57" s="16">
        <f t="shared" si="9"/>
        <v>44197.625</v>
      </c>
      <c r="I57">
        <f>G64</f>
        <v>129</v>
      </c>
      <c r="J57" s="13" t="s">
        <v>7</v>
      </c>
      <c r="L57" s="16">
        <f t="shared" si="10"/>
        <v>44196.625</v>
      </c>
      <c r="M57">
        <f>K64</f>
        <v>253</v>
      </c>
      <c r="N57" t="s">
        <v>7</v>
      </c>
      <c r="P57" s="16">
        <f t="shared" si="11"/>
        <v>44195.625</v>
      </c>
      <c r="Q57">
        <f>O64</f>
        <v>256</v>
      </c>
      <c r="R57" t="s">
        <v>7</v>
      </c>
      <c r="T57" s="16">
        <f t="shared" si="12"/>
        <v>44194.625</v>
      </c>
      <c r="U57">
        <f>S64</f>
        <v>307</v>
      </c>
      <c r="V57" t="s">
        <v>7</v>
      </c>
      <c r="W57"/>
      <c r="X57" s="16">
        <f t="shared" si="13"/>
        <v>44193.625</v>
      </c>
      <c r="Y57">
        <f>W64</f>
        <v>437</v>
      </c>
      <c r="Z57" t="s">
        <v>7</v>
      </c>
      <c r="AB57" s="16">
        <f t="shared" si="14"/>
        <v>44192.625</v>
      </c>
      <c r="AC57">
        <f>AA64</f>
        <v>191</v>
      </c>
      <c r="AD57" t="s">
        <v>7</v>
      </c>
      <c r="AF57" s="16">
        <f t="shared" si="15"/>
        <v>44191.625</v>
      </c>
      <c r="AG57">
        <f>AE64</f>
        <v>183</v>
      </c>
      <c r="AH57" s="16"/>
      <c r="AI57"/>
      <c r="AK57" s="16"/>
      <c r="AL57"/>
      <c r="AN57" s="16"/>
      <c r="AO57"/>
      <c r="AQ57" s="16"/>
      <c r="AR57"/>
      <c r="AT57" s="16"/>
    </row>
    <row r="58" spans="2:46">
      <c r="B58" s="13">
        <f>B56-7</f>
        <v>44219.625</v>
      </c>
      <c r="C58">
        <f>DMAX(_xlnm.Database,"n",B57:B58)</f>
        <v>168</v>
      </c>
      <c r="D58" s="16">
        <f>D57-7</f>
        <v>44191.625</v>
      </c>
      <c r="E58">
        <f>C66</f>
        <v>183</v>
      </c>
      <c r="F58" s="13">
        <f>F56-7</f>
        <v>44218.625</v>
      </c>
      <c r="G58">
        <f>DMAX(_xlnm.Database,"n",F57:F58)</f>
        <v>360</v>
      </c>
      <c r="H58" s="16">
        <f>H57-7</f>
        <v>44190.625</v>
      </c>
      <c r="I58">
        <f>G66</f>
        <v>157</v>
      </c>
      <c r="J58" s="13">
        <f>J56-7</f>
        <v>44217.625</v>
      </c>
      <c r="K58">
        <f>DMAX(_xlnm.Database,"n",J57:J58)</f>
        <v>376</v>
      </c>
      <c r="L58" s="16">
        <f>L57-7</f>
        <v>44189.625</v>
      </c>
      <c r="M58">
        <f>K66</f>
        <v>138</v>
      </c>
      <c r="N58" s="22">
        <f>N56-7</f>
        <v>44216.625</v>
      </c>
      <c r="O58">
        <f>DMAX(_xlnm.Database,"n",N57:N58)</f>
        <v>406</v>
      </c>
      <c r="P58" s="16">
        <f>P57-7</f>
        <v>44188.625</v>
      </c>
      <c r="Q58">
        <f>O66</f>
        <v>277</v>
      </c>
      <c r="R58" s="22">
        <f>R56-7</f>
        <v>44215.625</v>
      </c>
      <c r="S58">
        <f>DMAX(_xlnm.Database,"n",R57:R58)</f>
        <v>342</v>
      </c>
      <c r="T58" s="16">
        <f>T57-7</f>
        <v>44187.625</v>
      </c>
      <c r="U58">
        <f>S66</f>
        <v>332</v>
      </c>
      <c r="V58" s="22">
        <f>V56-7</f>
        <v>44214.625</v>
      </c>
      <c r="W58">
        <f>DMAX(_xlnm.Database,"n",V57:V58)</f>
        <v>448</v>
      </c>
      <c r="X58" s="16">
        <f>X57-7</f>
        <v>44186.625</v>
      </c>
      <c r="Y58">
        <f>W66</f>
        <v>375</v>
      </c>
      <c r="Z58" s="22">
        <f>Z56-7</f>
        <v>44213.625</v>
      </c>
      <c r="AA58">
        <f>DMAX(_xlnm.Database,"n",Z57:Z58)</f>
        <v>196</v>
      </c>
      <c r="AB58" s="16">
        <f>AB57-7</f>
        <v>44185.625</v>
      </c>
      <c r="AC58">
        <f>AA66</f>
        <v>244</v>
      </c>
      <c r="AD58" s="22">
        <f>AD56-7</f>
        <v>44212.625</v>
      </c>
      <c r="AE58">
        <f>DMAX(_xlnm.Database,"n",AD57:AD58)</f>
        <v>171</v>
      </c>
      <c r="AF58" s="16">
        <f>AF57-7</f>
        <v>44184.625</v>
      </c>
      <c r="AG58">
        <f>AE66</f>
        <v>190</v>
      </c>
      <c r="AH58" s="16"/>
      <c r="AI58"/>
      <c r="AK58" s="16"/>
      <c r="AL58"/>
      <c r="AN58" s="16"/>
      <c r="AO58"/>
      <c r="AQ58" s="16"/>
      <c r="AR58"/>
      <c r="AT58" s="16"/>
    </row>
    <row r="59" spans="2:46">
      <c r="B59" s="13" t="s">
        <v>7</v>
      </c>
      <c r="D59" s="16">
        <f t="shared" si="8"/>
        <v>44184.625</v>
      </c>
      <c r="E59">
        <f>C68</f>
        <v>190</v>
      </c>
      <c r="F59" s="13" t="s">
        <v>7</v>
      </c>
      <c r="H59" s="16">
        <f t="shared" si="9"/>
        <v>44183.625</v>
      </c>
      <c r="I59">
        <f>G68</f>
        <v>393</v>
      </c>
      <c r="J59" s="13" t="s">
        <v>7</v>
      </c>
      <c r="L59" s="16">
        <f t="shared" si="10"/>
        <v>44182.625</v>
      </c>
      <c r="M59">
        <f>K68</f>
        <v>323</v>
      </c>
      <c r="N59" t="s">
        <v>7</v>
      </c>
      <c r="P59" s="16">
        <f t="shared" si="11"/>
        <v>44181.625</v>
      </c>
      <c r="Q59">
        <f>O68</f>
        <v>353</v>
      </c>
      <c r="R59" t="s">
        <v>7</v>
      </c>
      <c r="T59" s="16">
        <f t="shared" si="12"/>
        <v>44180.625</v>
      </c>
      <c r="U59">
        <f>S68</f>
        <v>359</v>
      </c>
      <c r="V59" t="s">
        <v>7</v>
      </c>
      <c r="W59"/>
      <c r="X59" s="16">
        <f t="shared" si="13"/>
        <v>44179.625</v>
      </c>
      <c r="Y59">
        <f>W68</f>
        <v>463</v>
      </c>
      <c r="Z59" t="s">
        <v>7</v>
      </c>
      <c r="AB59" s="16">
        <f t="shared" si="14"/>
        <v>44178.625</v>
      </c>
      <c r="AC59">
        <f>AA68</f>
        <v>276</v>
      </c>
      <c r="AD59" t="s">
        <v>7</v>
      </c>
      <c r="AF59" s="16">
        <f t="shared" si="15"/>
        <v>44177.625</v>
      </c>
      <c r="AG59">
        <f>AE68</f>
        <v>250</v>
      </c>
      <c r="AH59" s="16"/>
      <c r="AI59"/>
      <c r="AK59" s="16"/>
      <c r="AL59"/>
      <c r="AN59" s="16"/>
      <c r="AO59"/>
      <c r="AQ59" s="16"/>
      <c r="AR59"/>
      <c r="AT59" s="16"/>
    </row>
    <row r="60" spans="2:46">
      <c r="B60" s="13">
        <f>B58-7</f>
        <v>44212.625</v>
      </c>
      <c r="C60">
        <f>DMAX(_xlnm.Database,"n",B59:B60)</f>
        <v>171</v>
      </c>
      <c r="D60" s="16"/>
      <c r="F60" s="13">
        <f>F58-7</f>
        <v>44211.625</v>
      </c>
      <c r="G60">
        <f>DMAX(_xlnm.Database,"n",F59:F60)</f>
        <v>266</v>
      </c>
      <c r="H60" s="16"/>
      <c r="J60" s="13">
        <f>J58-7</f>
        <v>44210.625</v>
      </c>
      <c r="K60">
        <f>DMAX(_xlnm.Database,"n",J59:J60)</f>
        <v>249</v>
      </c>
      <c r="L60" s="16"/>
      <c r="N60" s="22">
        <f>N58-7</f>
        <v>44209.625</v>
      </c>
      <c r="O60">
        <f>DMAX(_xlnm.Database,"n",N59:N60)</f>
        <v>259</v>
      </c>
      <c r="P60" s="16"/>
      <c r="Q60"/>
      <c r="R60" s="22">
        <f>R58-7</f>
        <v>44208.625</v>
      </c>
      <c r="S60">
        <f>DMAX(_xlnm.Database,"n",R59:R60)</f>
        <v>229</v>
      </c>
      <c r="V60" s="22">
        <f>V58-7</f>
        <v>44207.625</v>
      </c>
      <c r="W60">
        <f>DMAX(_xlnm.Database,"n",V59:V60)</f>
        <v>386</v>
      </c>
      <c r="X60" s="16"/>
      <c r="Z60" s="22">
        <f>Z58-7</f>
        <v>44206.625</v>
      </c>
      <c r="AA60">
        <f>DMAX(_xlnm.Database,"n",Z59:Z60)</f>
        <v>186</v>
      </c>
      <c r="AB60" s="16"/>
      <c r="AC60"/>
      <c r="AD60" s="22">
        <f>AD58-7</f>
        <v>44205.625</v>
      </c>
      <c r="AE60">
        <f>DMAX(_xlnm.Database,"n",AD59:AD60)</f>
        <v>194</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44205.625</v>
      </c>
      <c r="C62">
        <f>DMAX(_xlnm.Database,"n",B61:B62)</f>
        <v>194</v>
      </c>
      <c r="D62" s="16"/>
      <c r="F62" s="13">
        <f>F60-7</f>
        <v>44204.625</v>
      </c>
      <c r="G62">
        <f>DMAX(_xlnm.Database,"n",F61:F62)</f>
        <v>252</v>
      </c>
      <c r="H62" s="16"/>
      <c r="J62" s="13">
        <f>J60-7</f>
        <v>44203.625</v>
      </c>
      <c r="K62">
        <f>DMAX(_xlnm.Database,"n",J61:J62)</f>
        <v>332</v>
      </c>
      <c r="L62" s="16"/>
      <c r="N62" s="22">
        <f>N60-7</f>
        <v>44202.625</v>
      </c>
      <c r="O62">
        <f>DMAX(_xlnm.Database,"n",N61:N62)</f>
        <v>209</v>
      </c>
      <c r="P62" s="16"/>
      <c r="Q62"/>
      <c r="R62" s="22">
        <f>R60-7</f>
        <v>44201.625</v>
      </c>
      <c r="S62">
        <f>DMAX(_xlnm.Database,"n",R61:R62)</f>
        <v>263</v>
      </c>
      <c r="V62" s="22">
        <f>V60-7</f>
        <v>44200.625</v>
      </c>
      <c r="W62">
        <f>DMAX(_xlnm.Database,"n",V61:V62)</f>
        <v>399</v>
      </c>
      <c r="X62" s="16"/>
      <c r="Z62" s="22">
        <f>Z60-7</f>
        <v>44199.625</v>
      </c>
      <c r="AA62">
        <f>DMAX(_xlnm.Database,"n",Z61:Z62)</f>
        <v>169</v>
      </c>
      <c r="AB62" s="16"/>
      <c r="AC62"/>
      <c r="AD62" s="22">
        <f>AD60-7</f>
        <v>44198.625</v>
      </c>
      <c r="AE62">
        <f>DMAX(_xlnm.Database,"n",AD61:AD62)</f>
        <v>206</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44198.625</v>
      </c>
      <c r="C64">
        <f>DMAX(_xlnm.Database,"n",B63:B64)</f>
        <v>206</v>
      </c>
      <c r="D64" s="16"/>
      <c r="F64" s="13">
        <f>F62-7</f>
        <v>44197.625</v>
      </c>
      <c r="G64">
        <f>DMAX(_xlnm.Database,"n",F63:F64)</f>
        <v>129</v>
      </c>
      <c r="H64" s="16"/>
      <c r="J64" s="13">
        <f>J62-7</f>
        <v>44196.625</v>
      </c>
      <c r="K64">
        <f>DMAX(_xlnm.Database,"n",J63:J64)</f>
        <v>253</v>
      </c>
      <c r="L64" s="16"/>
      <c r="N64" s="22">
        <f>N62-7</f>
        <v>44195.625</v>
      </c>
      <c r="O64">
        <f>DMAX(_xlnm.Database,"n",N63:N64)</f>
        <v>256</v>
      </c>
      <c r="P64" s="16"/>
      <c r="Q64"/>
      <c r="R64" s="22">
        <f>R62-7</f>
        <v>44194.625</v>
      </c>
      <c r="S64">
        <f>DMAX(_xlnm.Database,"n",R63:R64)</f>
        <v>307</v>
      </c>
      <c r="V64" s="22">
        <f>V62-7</f>
        <v>44193.625</v>
      </c>
      <c r="W64">
        <f>DMAX(_xlnm.Database,"n",V63:V64)</f>
        <v>437</v>
      </c>
      <c r="X64" s="16"/>
      <c r="Z64" s="22">
        <f>Z62-7</f>
        <v>44192.625</v>
      </c>
      <c r="AA64">
        <f>DMAX(_xlnm.Database,"n",Z63:Z64)</f>
        <v>191</v>
      </c>
      <c r="AB64" s="16"/>
      <c r="AC64"/>
      <c r="AD64" s="22">
        <f>AD62-7</f>
        <v>44191.625</v>
      </c>
      <c r="AE64">
        <f>DMAX(_xlnm.Database,"n",AD63:AD64)</f>
        <v>183</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44191.625</v>
      </c>
      <c r="C66">
        <f>DMAX(_xlnm.Database,"n",B65:B66)</f>
        <v>183</v>
      </c>
      <c r="D66" s="16"/>
      <c r="F66" s="13">
        <f>F64-7</f>
        <v>44190.625</v>
      </c>
      <c r="G66">
        <f>DMAX(_xlnm.Database,"n",F65:F66)</f>
        <v>157</v>
      </c>
      <c r="H66" s="16"/>
      <c r="J66" s="13">
        <f>J64-7</f>
        <v>44189.625</v>
      </c>
      <c r="K66">
        <f>DMAX(_xlnm.Database,"n",J65:J66)</f>
        <v>138</v>
      </c>
      <c r="L66" s="16"/>
      <c r="N66" s="22">
        <f>N64-7</f>
        <v>44188.625</v>
      </c>
      <c r="O66">
        <f>DMAX(_xlnm.Database,"n",N65:N66)</f>
        <v>277</v>
      </c>
      <c r="P66" s="16"/>
      <c r="Q66"/>
      <c r="R66" s="22">
        <f>R64-7</f>
        <v>44187.625</v>
      </c>
      <c r="S66">
        <f>DMAX(_xlnm.Database,"n",R65:R66)</f>
        <v>332</v>
      </c>
      <c r="V66" s="22">
        <f>V64-7</f>
        <v>44186.625</v>
      </c>
      <c r="W66">
        <f>DMAX(_xlnm.Database,"n",V65:V66)</f>
        <v>375</v>
      </c>
      <c r="X66" s="16"/>
      <c r="Z66" s="22">
        <f>Z64-7</f>
        <v>44185.625</v>
      </c>
      <c r="AA66">
        <f>DMAX(_xlnm.Database,"n",Z65:Z66)</f>
        <v>244</v>
      </c>
      <c r="AB66" s="16"/>
      <c r="AC66"/>
      <c r="AD66" s="22">
        <f>AD64-7</f>
        <v>44184.625</v>
      </c>
      <c r="AE66">
        <f>DMAX(_xlnm.Database,"n",AD65:AD66)</f>
        <v>190</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44184.625</v>
      </c>
      <c r="C68">
        <f>DMAX(_xlnm.Database,"n",B67:B68)</f>
        <v>190</v>
      </c>
      <c r="D68" s="16"/>
      <c r="F68" s="13">
        <f>F66-7</f>
        <v>44183.625</v>
      </c>
      <c r="G68">
        <f>DMAX(_xlnm.Database,"n",F67:F68)</f>
        <v>393</v>
      </c>
      <c r="H68" s="16"/>
      <c r="J68" s="13">
        <f>J66-7</f>
        <v>44182.625</v>
      </c>
      <c r="K68">
        <f>DMAX(_xlnm.Database,"n",J67:J68)</f>
        <v>323</v>
      </c>
      <c r="L68" s="16"/>
      <c r="N68" s="22">
        <f>N66-7</f>
        <v>44181.625</v>
      </c>
      <c r="O68">
        <f>DMAX(_xlnm.Database,"n",N67:N68)</f>
        <v>353</v>
      </c>
      <c r="P68" s="16"/>
      <c r="Q68"/>
      <c r="R68" s="22">
        <f>R66-7</f>
        <v>44180.625</v>
      </c>
      <c r="S68">
        <f>DMAX(_xlnm.Database,"n",R67:R68)</f>
        <v>359</v>
      </c>
      <c r="V68" s="22">
        <f>V66-7</f>
        <v>44179.625</v>
      </c>
      <c r="W68">
        <f>DMAX(_xlnm.Database,"n",V67:V68)</f>
        <v>463</v>
      </c>
      <c r="X68" s="16"/>
      <c r="Z68" s="22">
        <f>Z66-7</f>
        <v>44178.625</v>
      </c>
      <c r="AA68">
        <f>DMAX(_xlnm.Database,"n",Z67:Z68)</f>
        <v>276</v>
      </c>
      <c r="AB68" s="16"/>
      <c r="AC68"/>
      <c r="AD68" s="22">
        <f>AD66-7</f>
        <v>44177.625</v>
      </c>
      <c r="AE68">
        <f>DMAX(_xlnm.Database,"n",AD67:AD68)</f>
        <v>250</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44247.625</v>
      </c>
      <c r="C73">
        <f>DMAX(_xlnm.Database,"n",B72:B73)</f>
        <v>305</v>
      </c>
      <c r="D73" s="21">
        <f>B73</f>
        <v>44247.625</v>
      </c>
      <c r="E73">
        <f>C73</f>
        <v>305</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44246.625</v>
      </c>
      <c r="E74">
        <f>C75</f>
        <v>552</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44246.625</v>
      </c>
      <c r="C75">
        <f>DMAX(_xlnm.Database,"n",B74:B75)</f>
        <v>552</v>
      </c>
      <c r="D75" s="16">
        <f t="shared" ref="D75:D109" si="16">D74-1</f>
        <v>44245.625</v>
      </c>
      <c r="E75">
        <f>C77</f>
        <v>594</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44244.625</v>
      </c>
      <c r="E76">
        <f>C79</f>
        <v>526</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44245.625</v>
      </c>
      <c r="C77">
        <f>DMAX(_xlnm.Database,"n",B76:B77)</f>
        <v>594</v>
      </c>
      <c r="D77" s="16">
        <f t="shared" si="16"/>
        <v>44243.625</v>
      </c>
      <c r="E77">
        <f>C81</f>
        <v>501</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44242.625</v>
      </c>
      <c r="E78">
        <f>C83</f>
        <v>609</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44244.625</v>
      </c>
      <c r="C79">
        <f>DMAX(_xlnm.Database,"n",B78:B79)</f>
        <v>526</v>
      </c>
      <c r="D79" s="16">
        <f t="shared" si="16"/>
        <v>44241.625</v>
      </c>
      <c r="E79">
        <f>C85</f>
        <v>273</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44240.625</v>
      </c>
      <c r="E80">
        <f>C87</f>
        <v>277</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44243.625</v>
      </c>
      <c r="C81">
        <f>DMAX(_xlnm.Database,"n",B80:B81)</f>
        <v>501</v>
      </c>
      <c r="D81" s="16">
        <f t="shared" si="16"/>
        <v>44239.625</v>
      </c>
      <c r="E81">
        <f>C89</f>
        <v>418</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44238.625</v>
      </c>
      <c r="E82">
        <f>C91</f>
        <v>354</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44242.625</v>
      </c>
      <c r="C83">
        <f>DMAX(_xlnm.Database,"n",B82:B83)</f>
        <v>609</v>
      </c>
      <c r="D83" s="16">
        <f t="shared" si="16"/>
        <v>44237.625</v>
      </c>
      <c r="E83">
        <f>C93</f>
        <v>382</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44236.625</v>
      </c>
      <c r="E84">
        <f>C95</f>
        <v>370</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44241.625</v>
      </c>
      <c r="C85">
        <f>DMAX(_xlnm.Database,"n",B84:B85)</f>
        <v>273</v>
      </c>
      <c r="D85" s="16">
        <f t="shared" si="16"/>
        <v>44235.625</v>
      </c>
      <c r="E85">
        <f>C97</f>
        <v>460</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44234.625</v>
      </c>
      <c r="E86">
        <f>C99</f>
        <v>261</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44240.625</v>
      </c>
      <c r="C87">
        <f>DMAX(_xlnm.Database,"n",B86:B87)</f>
        <v>277</v>
      </c>
      <c r="D87" s="16">
        <f t="shared" si="16"/>
        <v>44233.625</v>
      </c>
      <c r="E87">
        <f>C101</f>
        <v>240</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44232.625</v>
      </c>
      <c r="E88">
        <f>C103</f>
        <v>366</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44239.625</v>
      </c>
      <c r="C89">
        <f>DMAX(_xlnm.Database,"n",B88:B89)</f>
        <v>418</v>
      </c>
      <c r="D89" s="16">
        <f t="shared" si="16"/>
        <v>44231.625</v>
      </c>
      <c r="E89">
        <f>C105</f>
        <v>370</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44230.625</v>
      </c>
      <c r="E90">
        <f>C107</f>
        <v>440</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44238.625</v>
      </c>
      <c r="C91">
        <f>DMAX(_xlnm.Database,"n",B90:B91)</f>
        <v>354</v>
      </c>
      <c r="D91" s="16">
        <f t="shared" si="16"/>
        <v>44229.625</v>
      </c>
      <c r="E91">
        <f>C109</f>
        <v>396</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44228.625</v>
      </c>
      <c r="E92">
        <f>C111</f>
        <v>530</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44237.625</v>
      </c>
      <c r="C93">
        <f>DMAX(_xlnm.Database,"n",B92:B93)</f>
        <v>382</v>
      </c>
      <c r="D93" s="16">
        <f t="shared" si="16"/>
        <v>44227.625</v>
      </c>
      <c r="E93">
        <f>C113</f>
        <v>272</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44226.625</v>
      </c>
      <c r="E94">
        <f>C115</f>
        <v>232</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44236.625</v>
      </c>
      <c r="C95">
        <f>DMAX(_xlnm.Database,"n",B94:B95)</f>
        <v>370</v>
      </c>
      <c r="D95" s="16">
        <f t="shared" si="16"/>
        <v>44225.625</v>
      </c>
      <c r="E95">
        <f>C117</f>
        <v>375</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44224.625</v>
      </c>
      <c r="E96">
        <f>C119</f>
        <v>436</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44235.625</v>
      </c>
      <c r="C97">
        <f>DMAX(_xlnm.Database,"n",B96:B97)</f>
        <v>460</v>
      </c>
      <c r="D97" s="16">
        <f t="shared" si="16"/>
        <v>44223.625</v>
      </c>
      <c r="E97">
        <f>C121</f>
        <v>383</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44222.625</v>
      </c>
      <c r="E98">
        <f>C123</f>
        <v>398</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44234.625</v>
      </c>
      <c r="C99">
        <f>DMAX(_xlnm.Database,"n",B98:B99)</f>
        <v>261</v>
      </c>
      <c r="D99" s="16">
        <f t="shared" si="16"/>
        <v>44221.625</v>
      </c>
      <c r="E99">
        <f>C125</f>
        <v>604</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44220.625</v>
      </c>
      <c r="E100">
        <f>C127</f>
        <v>245</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44233.625</v>
      </c>
      <c r="C101">
        <f>DMAX(_xlnm.Database,"n",B100:B101)</f>
        <v>240</v>
      </c>
      <c r="D101" s="16">
        <f t="shared" si="16"/>
        <v>44219.625</v>
      </c>
      <c r="E101">
        <f>C129</f>
        <v>168</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44218.625</v>
      </c>
      <c r="E102">
        <f>C131</f>
        <v>360</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44232.625</v>
      </c>
      <c r="C103">
        <f>DMAX(_xlnm.Database,"n",B102:B103)</f>
        <v>366</v>
      </c>
      <c r="D103" s="16">
        <f t="shared" si="16"/>
        <v>44217.625</v>
      </c>
      <c r="E103">
        <f>C133</f>
        <v>376</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44216.625</v>
      </c>
      <c r="E104">
        <f>C135</f>
        <v>406</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44231.625</v>
      </c>
      <c r="C105">
        <f>DMAX(_xlnm.Database,"n",B104:B105)</f>
        <v>370</v>
      </c>
      <c r="D105" s="16">
        <f t="shared" si="16"/>
        <v>44215.625</v>
      </c>
      <c r="E105">
        <f>C137</f>
        <v>342</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44214.625</v>
      </c>
      <c r="E106">
        <f>C139</f>
        <v>448</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44230.625</v>
      </c>
      <c r="C107">
        <f>DMAX(_xlnm.Database,"n",B106:B107)</f>
        <v>440</v>
      </c>
      <c r="D107" s="16">
        <f t="shared" si="16"/>
        <v>44213.625</v>
      </c>
      <c r="E107">
        <f>C141</f>
        <v>196</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44212.625</v>
      </c>
      <c r="E108">
        <f>C143</f>
        <v>171</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44229.625</v>
      </c>
      <c r="C109">
        <f>DMAX(_xlnm.Database,"n",B108:B109)</f>
        <v>396</v>
      </c>
      <c r="D109" s="16">
        <f t="shared" si="16"/>
        <v>44211.625</v>
      </c>
      <c r="E109">
        <f>C145</f>
        <v>266</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44228.625</v>
      </c>
      <c r="C111">
        <f>DMAX(_xlnm.Database,"n",B110:B111)</f>
        <v>530</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44227.625</v>
      </c>
      <c r="C113">
        <f>DMAX(_xlnm.Database,"n",B112:B113)</f>
        <v>272</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44226.625</v>
      </c>
      <c r="C115">
        <f>DMAX(_xlnm.Database,"n",B114:B115)</f>
        <v>232</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44225.625</v>
      </c>
      <c r="C117">
        <f>DMAX(_xlnm.Database,"n",B116:B117)</f>
        <v>375</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44224.625</v>
      </c>
      <c r="C119">
        <f>DMAX(_xlnm.Database,"n",B118:B119)</f>
        <v>436</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44223.625</v>
      </c>
      <c r="C121">
        <f>DMAX(_xlnm.Database,"n",B120:B121)</f>
        <v>383</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44222.625</v>
      </c>
      <c r="C123">
        <f>DMAX(_xlnm.Database,"n",B122:B123)</f>
        <v>398</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44221.625</v>
      </c>
      <c r="C125">
        <f>DMAX(_xlnm.Database,"n",B124:B125)</f>
        <v>604</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44220.625</v>
      </c>
      <c r="C127">
        <f>DMAX(_xlnm.Database,"n",B126:B127)</f>
        <v>245</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44219.625</v>
      </c>
      <c r="C129">
        <f>DMAX(_xlnm.Database,"n",B128:B129)</f>
        <v>168</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44218.625</v>
      </c>
      <c r="C131">
        <f>DMAX(_xlnm.Database,"n",B130:B131)</f>
        <v>360</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44217.625</v>
      </c>
      <c r="C133">
        <f>DMAX(_xlnm.Database,"n",B132:B133)</f>
        <v>376</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44216.625</v>
      </c>
      <c r="C135">
        <f>DMAX(_xlnm.Database,"n",B134:B135)</f>
        <v>406</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44215.625</v>
      </c>
      <c r="C137">
        <f>DMAX(_xlnm.Database,"n",B136:B137)</f>
        <v>342</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44214.625</v>
      </c>
      <c r="C139">
        <f>DMAX(_xlnm.Database,"n",B138:B139)</f>
        <v>448</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44213.625</v>
      </c>
      <c r="C141">
        <f>DMAX(_xlnm.Database,"n",B140:B141)</f>
        <v>196</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44212.625</v>
      </c>
      <c r="C143">
        <f>DMAX(_xlnm.Database,"n",B142:B143)</f>
        <v>171</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44211.625</v>
      </c>
      <c r="C145">
        <f>DMAX(_xlnm.Database,"n",B144:B145)</f>
        <v>266</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U80"/>
  <sheetViews>
    <sheetView tabSelected="1" topLeftCell="A37" workbookViewId="0">
      <selection activeCell="A43" sqref="A43"/>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45.75" customHeight="1"/>
    <row r="24" spans="12:21">
      <c r="L24" t="s">
        <v>299</v>
      </c>
      <c r="N24" t="s">
        <v>421</v>
      </c>
      <c r="O24" t="s">
        <v>450</v>
      </c>
      <c r="R24" s="13"/>
      <c r="T24" s="3" t="s">
        <v>291</v>
      </c>
      <c r="U24" t="s">
        <v>300</v>
      </c>
    </row>
    <row r="25" spans="12:21">
      <c r="L25">
        <v>1</v>
      </c>
      <c r="M25" t="s">
        <v>431</v>
      </c>
      <c r="N25" s="29">
        <f>AVERAGEIF(Kaikki!E:E,L25,DataN)</f>
        <v>178.08333333333334</v>
      </c>
      <c r="O25" s="32">
        <f>T25</f>
        <v>609</v>
      </c>
      <c r="P25" s="13">
        <f>S25</f>
        <v>44242.625</v>
      </c>
      <c r="R25" s="13"/>
      <c r="S25" s="30">
        <f>DMAX(_xlnm.Database,"aika",T24:U25)</f>
        <v>44242.625</v>
      </c>
      <c r="T25" s="3">
        <f>DMAX(_xlnm.Database,"n",U24:U25)</f>
        <v>609</v>
      </c>
      <c r="U25">
        <v>1</v>
      </c>
    </row>
    <row r="26" spans="12:21">
      <c r="L26">
        <v>2</v>
      </c>
      <c r="M26" t="s">
        <v>432</v>
      </c>
      <c r="N26" s="29">
        <f>AVERAGEIF(Kaikki!E:E,L26,DataN)</f>
        <v>144.41666666666666</v>
      </c>
      <c r="O26" s="32">
        <f>T27</f>
        <v>501</v>
      </c>
      <c r="P26" s="13">
        <f>S27</f>
        <v>44243.625</v>
      </c>
      <c r="R26" s="13"/>
      <c r="T26" s="3" t="s">
        <v>291</v>
      </c>
      <c r="U26" t="s">
        <v>300</v>
      </c>
    </row>
    <row r="27" spans="12:21">
      <c r="L27">
        <v>3</v>
      </c>
      <c r="M27" t="s">
        <v>433</v>
      </c>
      <c r="N27" s="29">
        <f>AVERAGEIF(Kaikki!E:E,L27,DataN)</f>
        <v>142.19672131147541</v>
      </c>
      <c r="O27" s="32">
        <f>T29</f>
        <v>619</v>
      </c>
      <c r="P27" s="13">
        <f>S29</f>
        <v>44160.625</v>
      </c>
      <c r="R27" s="13"/>
      <c r="S27" s="30">
        <f>DMAX(_xlnm.Database,"aika",T26:U27)</f>
        <v>44243.625</v>
      </c>
      <c r="T27" s="3">
        <f>DMAX(_xlnm.Database,"n",U26:U27)</f>
        <v>501</v>
      </c>
      <c r="U27">
        <v>2</v>
      </c>
    </row>
    <row r="28" spans="12:21">
      <c r="L28">
        <v>4</v>
      </c>
      <c r="M28" t="s">
        <v>434</v>
      </c>
      <c r="N28" s="29">
        <f>AVERAGEIF(Kaikki!E:E,L28,DataN)</f>
        <v>141.21666666666667</v>
      </c>
      <c r="O28" s="32">
        <f>T31</f>
        <v>594</v>
      </c>
      <c r="P28" s="13">
        <f>S31</f>
        <v>44245.625</v>
      </c>
      <c r="R28" s="13"/>
      <c r="T28" s="3" t="s">
        <v>291</v>
      </c>
      <c r="U28" t="s">
        <v>300</v>
      </c>
    </row>
    <row r="29" spans="12:21">
      <c r="L29">
        <v>5</v>
      </c>
      <c r="M29" t="s">
        <v>435</v>
      </c>
      <c r="N29" s="29">
        <f>AVERAGEIF(Kaikki!E:E,L29,DataN)</f>
        <v>133.03333333333333</v>
      </c>
      <c r="O29" s="32">
        <f>T33</f>
        <v>552</v>
      </c>
      <c r="P29" s="13">
        <f>S33</f>
        <v>44246.625</v>
      </c>
      <c r="R29" s="13"/>
      <c r="S29" s="30">
        <f>DMAX(_xlnm.Database,"aika",T28:U29)</f>
        <v>44160.625</v>
      </c>
      <c r="T29" s="3">
        <f>DMAX(_xlnm.Database,"n",U28:U29)</f>
        <v>619</v>
      </c>
      <c r="U29">
        <v>3</v>
      </c>
    </row>
    <row r="30" spans="12:21">
      <c r="L30">
        <v>6</v>
      </c>
      <c r="M30" t="s">
        <v>436</v>
      </c>
      <c r="N30" s="29">
        <f>AVERAGEIF(Kaikki!E:E,L30,DataN)</f>
        <v>84.36666666666666</v>
      </c>
      <c r="O30" s="32">
        <f>T35</f>
        <v>305</v>
      </c>
      <c r="P30" s="13">
        <f>S35</f>
        <v>44247.625</v>
      </c>
      <c r="R30" s="13"/>
      <c r="T30" s="3" t="s">
        <v>291</v>
      </c>
      <c r="U30" t="s">
        <v>300</v>
      </c>
    </row>
    <row r="31" spans="12:21">
      <c r="L31">
        <v>7</v>
      </c>
      <c r="M31" t="s">
        <v>437</v>
      </c>
      <c r="N31" s="29">
        <f>AVERAGEIF(Kaikki!E:E,L31,DataN)</f>
        <v>93.016666666666666</v>
      </c>
      <c r="O31" s="32">
        <f>T37</f>
        <v>339</v>
      </c>
      <c r="P31" s="13">
        <f>S37</f>
        <v>44248.625</v>
      </c>
      <c r="R31" s="13"/>
      <c r="S31" s="30">
        <f>DMAX(_xlnm.Database,"aika",T30:U31)</f>
        <v>44245.625</v>
      </c>
      <c r="T31" s="3">
        <f>DMAX(_xlnm.Database,"n",U30:U31)</f>
        <v>594</v>
      </c>
      <c r="U31">
        <v>4</v>
      </c>
    </row>
    <row r="32" spans="12:21">
      <c r="R32" s="13"/>
      <c r="T32" s="3" t="s">
        <v>291</v>
      </c>
      <c r="U32" t="s">
        <v>300</v>
      </c>
    </row>
    <row r="33" spans="2:21">
      <c r="L33" t="s">
        <v>454</v>
      </c>
      <c r="R33" s="13"/>
      <c r="S33" s="30">
        <f>DMAX(_xlnm.Database,"aika",T32:U33)</f>
        <v>44246.625</v>
      </c>
      <c r="T33" s="3">
        <f>DMAX(_xlnm.Database,"n",U32:U33)</f>
        <v>552</v>
      </c>
      <c r="U33">
        <v>5</v>
      </c>
    </row>
    <row r="34" spans="2:21">
      <c r="M34" s="33">
        <f>MAX(Kaikki!H$2:H10000)</f>
        <v>3426</v>
      </c>
      <c r="R34" s="13"/>
      <c r="T34" s="3" t="s">
        <v>291</v>
      </c>
      <c r="U34" t="s">
        <v>300</v>
      </c>
    </row>
    <row r="35" spans="2:21">
      <c r="M35" s="33"/>
      <c r="R35" s="13"/>
      <c r="S35" s="30">
        <f>DMAX(_xlnm.Database,"aika",T34:U35)</f>
        <v>44247.625</v>
      </c>
      <c r="T35" s="3">
        <f>DMAX(_xlnm.Database,"n",U34:U35)</f>
        <v>305</v>
      </c>
      <c r="U35">
        <v>6</v>
      </c>
    </row>
    <row r="36" spans="2:21">
      <c r="M36" s="33"/>
      <c r="R36" s="13"/>
      <c r="T36" s="3" t="s">
        <v>291</v>
      </c>
      <c r="U36" t="s">
        <v>300</v>
      </c>
    </row>
    <row r="37" spans="2:21">
      <c r="R37" s="13"/>
      <c r="S37" s="30">
        <f>DMAX(_xlnm.Database,"aika",T36:U37)</f>
        <v>44248.625</v>
      </c>
      <c r="T37" s="3">
        <f>DMAX(_xlnm.Database,"n",U36:U37)</f>
        <v>339</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24.2 n=590 (joista vanhoja yli 28 päivän takaisia kirjauksia -1). Yhteensä N=55122. Edelliset 7 päivää 3090 (päivittyy), 2814 (muutos 12 %), 2507 (-4 %) ja 2624 https://github.com/jussivirkkala/excel/tree/master/hs-koronavirus-avoindata</v>
      </c>
    </row>
    <row r="42" spans="2:21">
      <c r="B42"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24.2.2021 n=590 (joista vanhoja yli 28 päivän takaisia kirjauksia -1). Yhteensä N=55122. Melko pysyvät 7 päivää 14.2-20.2 yhteensä 3360 (muutos 33 %), aiemmat 7 päivää 2522 (-4 %) ja 2614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N=55122. Uusimmat 24.2.2021 lisäykset 590 punaisella.</v>
      </c>
    </row>
    <row r="80" spans="2:2" ht="18.75">
      <c r="B80" s="23" t="str">
        <f>" COVID-19 tapauksia 7 päivän välein "&amp;TEXT(Lisäys!B73,"p.k.vvvv")&amp;" saakka (- uusin ... vanhin)."</f>
        <v xml:space="preserve"> COVID-19 tapauksia 7 päivän välein 20.2.2021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Ohje</vt:lpstr>
      <vt:lpstr>Kaikki</vt:lpstr>
      <vt:lpstr>HUS</vt:lpstr>
      <vt:lpstr>Vertailu</vt:lpstr>
      <vt:lpstr>Lisäys</vt:lpstr>
      <vt:lpstr>Kuvaajat</vt:lpstr>
      <vt:lpstr>HUS!aika</vt:lpstr>
      <vt:lpstr>aika</vt:lpstr>
      <vt:lpstr>HUS!Database</vt:lpstr>
      <vt:lpstr>Database</vt:lpstr>
      <vt:lpstr>HUS!DataN</vt:lpstr>
      <vt:lpstr>DataN</vt:lpstr>
      <vt:lpstr>N</vt:lpstr>
      <vt:lpstr>HUS!Paivitetty</vt:lpstr>
      <vt:lpstr>Paivitetty</vt:lpstr>
      <vt:lpstr>Previous</vt:lpstr>
      <vt:lpstr>HUS!Tapauksia</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2021-02-24T19:23:19Z</dcterms:modified>
</cp:coreProperties>
</file>