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4543" documentId="13_ncr:1_{B09B2980-3F0C-4A0F-8A2C-8B24B401860D}" xr6:coauthVersionLast="47" xr6:coauthVersionMax="47" xr10:uidLastSave="{5B7FF342-163F-4536-BEFA-3FE6E493F475}"/>
  <bookViews>
    <workbookView xWindow="810" yWindow="-120" windowWidth="19800" windowHeight="11760" activeTab="2"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K37" i="2" l="1"/>
  <c r="XH37" i="2"/>
  <c r="XE37" i="2"/>
  <c r="XB37" i="2"/>
  <c r="WY37" i="2"/>
  <c r="WV37" i="2"/>
  <c r="WS37" i="2"/>
  <c r="WP37" i="2"/>
  <c r="WM37" i="2"/>
  <c r="WJ37" i="2"/>
  <c r="WG37" i="2"/>
  <c r="WD37" i="2"/>
  <c r="WA37" i="2"/>
  <c r="VX37" i="2"/>
  <c r="VU37" i="2"/>
  <c r="VR37" i="2"/>
  <c r="VO37" i="2"/>
  <c r="VL37" i="2"/>
  <c r="VI37" i="2"/>
  <c r="VF37" i="2"/>
  <c r="VC37" i="2"/>
  <c r="UZ37" i="2"/>
  <c r="XK36" i="2"/>
  <c r="XH36" i="2"/>
  <c r="XE36" i="2"/>
  <c r="XB36" i="2"/>
  <c r="WY36" i="2"/>
  <c r="WV36" i="2"/>
  <c r="WS36" i="2"/>
  <c r="WP36" i="2"/>
  <c r="WM36" i="2"/>
  <c r="WJ36" i="2"/>
  <c r="WG36" i="2"/>
  <c r="WD36" i="2"/>
  <c r="WA36" i="2"/>
  <c r="VX36" i="2"/>
  <c r="VU36" i="2"/>
  <c r="VR36" i="2"/>
  <c r="VO36" i="2"/>
  <c r="VL36" i="2"/>
  <c r="VI36" i="2"/>
  <c r="VF36" i="2"/>
  <c r="VC36" i="2"/>
  <c r="UZ36" i="2"/>
  <c r="UW37" i="2"/>
  <c r="UW36" i="2"/>
  <c r="UT37" i="2"/>
  <c r="UT36" i="2"/>
  <c r="UQ37" i="2"/>
  <c r="UQ36" i="2"/>
  <c r="UN37" i="2"/>
  <c r="UN36" i="2"/>
  <c r="UK37" i="2"/>
  <c r="UK36" i="2"/>
  <c r="UH37" i="2"/>
  <c r="UH36" i="2"/>
  <c r="UE37" i="2"/>
  <c r="UE36" i="2"/>
  <c r="UB37" i="2"/>
  <c r="UB36" i="2"/>
  <c r="TY37" i="2"/>
  <c r="TY36" i="2"/>
  <c r="TV37" i="2"/>
  <c r="TV36" i="2"/>
  <c r="TS37" i="2"/>
  <c r="TS36" i="2"/>
  <c r="TP37" i="2"/>
  <c r="TP36" i="2"/>
  <c r="TM37" i="2"/>
  <c r="TM36" i="2"/>
  <c r="TJ37" i="2"/>
  <c r="TJ36" i="2"/>
  <c r="TG37" i="2"/>
  <c r="TG36"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I665" i="7" l="1"/>
  <c r="I721" i="7"/>
  <c r="I777" i="7"/>
  <c r="I679" i="7"/>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<sst xmlns="http://schemas.openxmlformats.org/spreadsheetml/2006/main" count="2749" uniqueCount="583">
  <si>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</si>
  <si>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</si>
  <si>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</si>
  <si>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</si>
  <si>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</si>
  <si>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</si>
  <si>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</si>
  <si>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</si>
  <si>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</si>
  <si>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</si>
  <si>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</si>
  <si>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</si>
  <si>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</si>
  <si>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</si>
  <si>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</si>
  <si>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</si>
  <si>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</si>
  <si>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</si>
  <si>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</si>
  <si>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</si>
  <si>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</si>
  <si>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</si>
  <si>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</si>
  <si>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</si>
  <si>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</si>
  <si>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</si>
  <si>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</si>
  <si>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</si>
  <si>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</si>
  <si>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</si>
  <si>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</si>
  <si>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</si>
  <si>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</si>
  <si>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</si>
  <si>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</si>
  <si>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</si>
  <si>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</si>
  <si>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</si>
  <si>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</si>
  <si>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</si>
  <si>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</si>
  <si>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</si>
  <si>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</si>
  <si>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</si>
  <si>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</si>
  <si>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</si>
  <si>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</si>
  <si>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</si>
  <si>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</si>
  <si>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</si>
  <si>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</si>
  <si>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</si>
  <si>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</si>
  <si>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</si>
  <si>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</si>
  <si>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</si>
  <si>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</si>
  <si>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</si>
  <si>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</si>
  <si>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</si>
  <si>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</si>
  <si>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</si>
  <si>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</si>
  <si>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</si>
  <si>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</si>
  <si>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</si>
  <si>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</si>
  <si>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</si>
  <si>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</si>
  <si>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</si>
  <si>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</si>
  <si>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</si>
  <si>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</si>
  <si>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</si>
  <si>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</si>
  <si>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</si>
  <si>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</si>
  <si>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</si>
  <si>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</si>
  <si>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</si>
  <si>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</si>
  <si>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</si>
  <si>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</si>
  <si>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</si>
  <si>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</si>
  <si>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</si>
  <si>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</si>
  <si>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</si>
  <si>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</si>
  <si>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</si>
  <si>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</si>
  <si>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</si>
  <si>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</si>
  <si>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</si>
  <si>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</si>
  <si>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</si>
  <si>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</si>
  <si>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</si>
  <si>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</si>
  <si>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</si>
  <si>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</si>
  <si>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</si>
  <si>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</si>
  <si>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</si>
  <si>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</si>
  <si>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</si>
  <si>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</si>
  <si>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</si>
  <si>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</si>
  <si>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</si>
  <si>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</si>
  <si>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</si>
  <si>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</si>
  <si>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</si>
  <si>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</si>
  <si>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</si>
  <si>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</si>
  <si>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</si>
  <si>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</si>
  <si>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</si>
  <si>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</si>
  <si>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</si>
  <si>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</si>
  <si>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</si>
  <si>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</si>
  <si>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</si>
  <si>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</si>
  <si>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</si>
  <si>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</si>
  <si>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</si>
  <si>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</si>
  <si>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</si>
  <si>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</si>
  <si>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</si>
  <si>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</si>
  <si>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</si>
  <si>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</si>
  <si>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</si>
  <si>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</si>
  <si>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</si>
  <si>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</si>
  <si>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</si>
  <si>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</si>
  <si>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</si>
  <si>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</si>
  <si>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</si>
  <si>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</si>
  <si>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</si>
  <si>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</si>
  <si>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</si>
  <si>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</si>
  <si>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</si>
  <si>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</si>
  <si>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</si>
  <si>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</si>
  <si>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</si>
  <si>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</si>
  <si>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</si>
  <si>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</si>
  <si>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</si>
  <si>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</si>
  <si>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</si>
  <si>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</si>
  <si>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</si>
  <si>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</si>
  <si>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</si>
  <si>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</si>
  <si>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</si>
  <si>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</si>
  <si>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</si>
  <si>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</si>
  <si>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</si>
  <si>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</si>
  <si>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</si>
  <si>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</si>
  <si>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</si>
  <si>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</si>
  <si>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</si>
  <si>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</si>
  <si>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</si>
  <si>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</si>
  <si>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</si>
  <si>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</si>
  <si>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</si>
  <si>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</si>
  <si>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</si>
  <si>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</si>
  <si>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</si>
  <si>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</si>
  <si>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</si>
  <si>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</si>
  <si>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</si>
  <si>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</si>
  <si>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</si>
  <si>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</si>
  <si>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</si>
  <si>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</si>
  <si>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</si>
  <si>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</si>
  <si>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</si>
  <si>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</si>
  <si>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</si>
  <si>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</si>
  <si>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</si>
  <si>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</si>
  <si>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</si>
  <si>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</si>
  <si>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</si>
  <si>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</si>
  <si>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</si>
  <si>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</si>
  <si>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</si>
  <si>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</si>
  <si>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</si>
  <si>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</si>
  <si>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</si>
  <si>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</si>
  <si>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</si>
  <si>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</si>
  <si>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</si>
  <si>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</si>
  <si>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</si>
  <si>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</si>
  <si>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</si>
  <si>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</si>
  <si>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</si>
  <si>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</si>
  <si>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</si>
  <si>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</si>
  <si>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</si>
  <si>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</si>
  <si>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</si>
  <si>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</si>
  <si>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</si>
  <si>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</si>
  <si>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</si>
  <si>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</si>
  <si>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</si>
  <si>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</si>
  <si>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</si>
  <si>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</si>
  <si>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</si>
  <si>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</si>
  <si>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</si>
  <si>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</si>
  <si>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</si>
  <si>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</si>
  <si>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</si>
  <si>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</si>
  <si>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</si>
  <si>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</si>
  <si>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</si>
  <si>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</si>
  <si>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</si>
  <si>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</si>
  <si>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</si>
  <si>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</si>
  <si>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</si>
  <si>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</si>
  <si>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</si>
  <si>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</si>
  <si>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</si>
  <si>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</si>
  <si>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</si>
  <si>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</si>
  <si>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</si>
  <si>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</si>
  <si>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</si>
  <si>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</si>
  <si>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</si>
  <si>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</si>
  <si>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</si>
  <si>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</si>
  <si>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</si>
  <si>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</si>
  <si>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</si>
  <si>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</si>
  <si>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</si>
  <si>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</si>
  <si>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</si>
  <si>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</si>
  <si>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</si>
  <si>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</si>
  <si>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</si>
  <si>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</si>
  <si>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</si>
  <si>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</si>
  <si>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</si>
  <si>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</si>
  <si>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</si>
  <si>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</si>
  <si>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</si>
  <si>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</si>
  <si>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</si>
  <si>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</si>
  <si>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</si>
  <si>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</si>
  <si>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</si>
  <si>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</si>
  <si>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</si>
  <si>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</si>
  <si>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</si>
  <si>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</si>
  <si>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</si>
  <si>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</si>
  <si>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</si>
  <si>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</si>
  <si>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</si>
  <si>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</si>
  <si>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</si>
  <si>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</si>
  <si>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</si>
  <si>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</si>
  <si>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</si>
  <si>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</si>
  <si>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</si>
  <si>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</si>
  <si>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</si>
  <si>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</si>
  <si>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</si>
  <si>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</si>
  <si>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</si>
  <si>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</si>
  <si>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</si>
  <si>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</si>
  <si>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</si>
  <si>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</si>
  <si>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</si>
  <si>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</si>
  <si>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</si>
  <si>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</si>
  <si>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</si>
  <si>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</si>
  <si>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</si>
  <si>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</si>
  <si>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</si>
  <si>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</si>
  <si>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</si>
  <si>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</si>
  <si>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</si>
  <si>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</si>
  <si>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</si>
  <si>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</si>
  <si>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</si>
  <si>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</si>
  <si>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</si>
  <si>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</si>
  <si>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</si>
  <si>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</si>
  <si>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</si>
  <si>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</si>
  <si>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</si>
  <si>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</si>
  <si>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</si>
  <si>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</si>
  <si>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</si>
  <si>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</si>
  <si>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</si>
  <si>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</si>
  <si>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</si>
  <si>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</si>
  <si>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</si>
  <si>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</si>
  <si>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</si>
  <si>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</si>
  <si>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</si>
  <si>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</si>
  <si>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</si>
  <si>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</si>
  <si>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</si>
  <si>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</si>
  <si>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</si>
  <si>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</si>
  <si>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</si>
  <si>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</si>
  <si>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</si>
  <si>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</si>
  <si>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</si>
  <si>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</si>
  <si>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</si>
  <si>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</si>
  <si>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</si>
  <si>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</si>
  <si>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</si>
  <si>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</si>
  <si>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</si>
  <si>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</si>
  <si>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</si>
  <si>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</si>
  <si>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</si>
  <si>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</si>
  <si>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</si>
  <si>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</si>
  <si>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</si>
  <si>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</si>
  <si>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</si>
  <si>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</si>
  <si>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</si>
  <si>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</si>
  <si>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</si>
  <si>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</si>
  <si>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</si>
  <si>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</si>
  <si>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</si>
  <si>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</si>
  <si>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</si>
  <si>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</si>
  <si>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</si>
  <si>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</si>
  <si>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</si>
  <si>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</si>
  <si>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</si>
  <si>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</si>
  <si>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</si>
  <si>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</si>
  <si>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</si>
  <si>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</si>
  <si>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</si>
  <si>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</si>
  <si>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</si>
  <si>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</si>
  <si>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</si>
  <si>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</si>
  <si>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</si>
  <si>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</si>
  <si>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</si>
  <si>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</si>
  <si>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</si>
  <si>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</si>
  <si>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</si>
  <si>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</si>
  <si>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</si>
  <si>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</si>
  <si>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</si>
  <si>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</si>
  <si>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</si>
  <si>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</si>
  <si>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</si>
  <si>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</si>
  <si>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</si>
  <si>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</si>
  <si>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</si>
  <si>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</si>
  <si>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</si>
  <si>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</si>
  <si>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</si>
  <si>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</si>
  <si>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</si>
  <si>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</si>
  <si>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</si>
  <si>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</si>
  <si>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</si>
  <si>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</si>
  <si>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</si>
  <si>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</si>
  <si>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</si>
  <si>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</si>
  <si>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</si>
  <si>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</si>
  <si>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</si>
  <si>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</si>
  <si>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</si>
  <si>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</si>
  <si>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</si>
  <si>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</si>
  <si>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</si>
  <si>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</si>
  <si>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</si>
  <si>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</si>
  <si>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</si>
  <si>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</si>
  <si>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</si>
  <si>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</si>
  <si>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</si>
  <si>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</si>
  <si>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</si>
  <si>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</si>
  <si>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</si>
  <si>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</si>
  <si>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</si>
  <si>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</si>
  <si>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</si>
  <si>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</si>
  <si>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</si>
  <si>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</si>
  <si>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</si>
  <si>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</si>
  <si>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</si>
  <si>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</si>
  <si>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</si>
  <si>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</si>
  <si>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</si>
  <si>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</si>
  <si>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</si>
  <si>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</si>
  <si>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</si>
  <si>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</si>
  <si>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</si>
  <si>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</si>
  <si>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</si>
  <si>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</si>
  <si>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</si>
  <si>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</si>
  <si>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</si>
  <si>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</si>
  <si>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</si>
  <si>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</si>
  <si>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</si>
  <si>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</si>
  <si>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</si>
  <si>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</si>
  <si>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</si>
  <si>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</si>
  <si>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</si>
  <si>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</si>
  <si>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</si>
  <si>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</si>
  <si>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</si>
  <si>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</si>
  <si>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</si>
  <si>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</si>
  <si>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</si>
  <si>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</si>
  <si>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</si>
  <si>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</si>
  <si>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</si>
  <si>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</si>
  <si>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</si>
  <si>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</si>
  <si>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</si>
  <si>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</si>
  <si>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</si>
  <si>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</si>
  <si>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</si>
  <si>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</si>
  <si>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</si>
  <si>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</si>
  <si>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</si>
  <si>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</si>
  <si>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</si>
  <si>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</si>
  <si>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</si>
  <si>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</si>
  <si>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</si>
  <si>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</si>
  <si>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</si>
  <si>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</si>
  <si>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</si>
  <si>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</si>
  <si>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2021-05-16T15:00:00.000Z</t>
  </si>
  <si>
    <t>2021-05-17T15:00:00.000Z</t>
  </si>
  <si>
    <t>2021-05-18T15:00:00.000Z</t>
  </si>
  <si>
    <t>2021-05-19T15:00:00.000Z</t>
  </si>
  <si>
    <t>2021-05-20T15:00:00.000Z</t>
  </si>
  <si>
    <t>2021-05-21T15:00:00.000Z</t>
  </si>
  <si>
    <t>2021-05-22T15:00:00.000Z</t>
  </si>
  <si>
    <t>2021-05-23T15:00:00.000Z</t>
  </si>
  <si>
    <t>2021-05-24T15:00:00.000Z</t>
  </si>
  <si>
    <t>2021-05-25T15:00:00.000Z</t>
  </si>
  <si>
    <t>2021-05-26T15:00:00.000Z</t>
  </si>
  <si>
    <t>2021-05-27T15:00:00.000Z</t>
  </si>
  <si>
    <t>2021-05-28T15:00:00.000Z</t>
  </si>
  <si>
    <t>2021-05-29T15:00:00.000Z</t>
  </si>
  <si>
    <t>2021-05-30T15:00:00.000Z</t>
  </si>
  <si>
    <t>2021-05-31T15:00:00.000Z</t>
  </si>
  <si>
    <t>2021-06-01T15:00:00.000Z</t>
  </si>
  <si>
    <t>2021-06-02T15:00:00.000Z</t>
  </si>
  <si>
    <t>2021-06-03T15:00:00.000Z</t>
  </si>
  <si>
    <t>2021-06-04T15:00:00.000Z</t>
  </si>
  <si>
    <t>2021-06-05T15:00:00.000Z</t>
  </si>
  <si>
    <t>2021-06-06T15:00:00.000Z</t>
  </si>
  <si>
    <t>2021-06-07T15:00:00.000Z</t>
  </si>
  <si>
    <t>2021-06-08T15:00:00.000Z</t>
  </si>
  <si>
    <t>2021-06-09T15:00:00.000Z</t>
  </si>
  <si>
    <t>2021-06-10T15:00:00.000Z</t>
  </si>
  <si>
    <t>2021-06-11T15:00:00.000Z</t>
  </si>
  <si>
    <t>2021-06-12T15:00:00.000Z</t>
  </si>
  <si>
    <t>2021-06-13T15:00:00.000Z</t>
  </si>
  <si>
    <t>2021-06-14T15:00:00.000Z</t>
  </si>
  <si>
    <t>2021-06-15T15:00:00.000Z</t>
  </si>
  <si>
    <t>2021-06-16T15:00:00.000Z</t>
  </si>
  <si>
    <t>2021-06-17T15:00:00.000Z</t>
  </si>
  <si>
    <t>2021-06-18T10:01:50.746Z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</si>
</sst>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8">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11</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124</c:v>
                </c:pt>
                <c:pt idx="266">
                  <c:v>134</c:v>
                </c:pt>
                <c:pt idx="267">
                  <c:v>167</c:v>
                </c:pt>
                <c:pt idx="268">
                  <c:v>191</c:v>
                </c:pt>
                <c:pt idx="269">
                  <c:v>187</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243</c:v>
                </c:pt>
                <c:pt idx="287">
                  <c:v>167</c:v>
                </c:pt>
                <c:pt idx="288">
                  <c:v>188</c:v>
                </c:pt>
                <c:pt idx="289">
                  <c:v>220</c:v>
                </c:pt>
                <c:pt idx="290">
                  <c:v>193</c:v>
                </c:pt>
                <c:pt idx="291">
                  <c:v>107</c:v>
                </c:pt>
                <c:pt idx="292">
                  <c:v>124</c:v>
                </c:pt>
                <c:pt idx="293">
                  <c:v>255</c:v>
                </c:pt>
                <c:pt idx="294">
                  <c:v>232</c:v>
                </c:pt>
                <c:pt idx="295">
                  <c:v>240</c:v>
                </c:pt>
                <c:pt idx="296">
                  <c:v>237</c:v>
                </c:pt>
                <c:pt idx="297">
                  <c:v>220</c:v>
                </c:pt>
                <c:pt idx="298">
                  <c:v>121</c:v>
                </c:pt>
                <c:pt idx="299">
                  <c:v>151</c:v>
                </c:pt>
                <c:pt idx="300">
                  <c:v>287</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270</c:v>
                </c:pt>
                <c:pt idx="320">
                  <c:v>267</c:v>
                </c:pt>
                <c:pt idx="321">
                  <c:v>504</c:v>
                </c:pt>
                <c:pt idx="322">
                  <c:v>471</c:v>
                </c:pt>
                <c:pt idx="323">
                  <c:v>619</c:v>
                </c:pt>
                <c:pt idx="324">
                  <c:v>509</c:v>
                </c:pt>
                <c:pt idx="325">
                  <c:v>456</c:v>
                </c:pt>
                <c:pt idx="326">
                  <c:v>284</c:v>
                </c:pt>
                <c:pt idx="327">
                  <c:v>293</c:v>
                </c:pt>
                <c:pt idx="328">
                  <c:v>595</c:v>
                </c:pt>
                <c:pt idx="329">
                  <c:v>440</c:v>
                </c:pt>
                <c:pt idx="330">
                  <c:v>495</c:v>
                </c:pt>
                <c:pt idx="331">
                  <c:v>478</c:v>
                </c:pt>
                <c:pt idx="332">
                  <c:v>473</c:v>
                </c:pt>
                <c:pt idx="333">
                  <c:v>250</c:v>
                </c:pt>
                <c:pt idx="334">
                  <c:v>284</c:v>
                </c:pt>
                <c:pt idx="335">
                  <c:v>587</c:v>
                </c:pt>
                <c:pt idx="336">
                  <c:v>478</c:v>
                </c:pt>
                <c:pt idx="337">
                  <c:v>462</c:v>
                </c:pt>
                <c:pt idx="338">
                  <c:v>407</c:v>
                </c:pt>
                <c:pt idx="339">
                  <c:v>445</c:v>
                </c:pt>
                <c:pt idx="340">
                  <c:v>249</c:v>
                </c:pt>
                <c:pt idx="341">
                  <c:v>276</c:v>
                </c:pt>
                <c:pt idx="342">
                  <c:v>463</c:v>
                </c:pt>
                <c:pt idx="343">
                  <c:v>359</c:v>
                </c:pt>
                <c:pt idx="344">
                  <c:v>353</c:v>
                </c:pt>
                <c:pt idx="345">
                  <c:v>323</c:v>
                </c:pt>
                <c:pt idx="346">
                  <c:v>394</c:v>
                </c:pt>
                <c:pt idx="347">
                  <c:v>191</c:v>
                </c:pt>
                <c:pt idx="348">
                  <c:v>244</c:v>
                </c:pt>
                <c:pt idx="349">
                  <c:v>375</c:v>
                </c:pt>
                <c:pt idx="350">
                  <c:v>332</c:v>
                </c:pt>
                <c:pt idx="351">
                  <c:v>277</c:v>
                </c:pt>
                <c:pt idx="352">
                  <c:v>138</c:v>
                </c:pt>
                <c:pt idx="353">
                  <c:v>157</c:v>
                </c:pt>
                <c:pt idx="354">
                  <c:v>183</c:v>
                </c:pt>
                <c:pt idx="355">
                  <c:v>191</c:v>
                </c:pt>
                <c:pt idx="356">
                  <c:v>435</c:v>
                </c:pt>
                <c:pt idx="357">
                  <c:v>307</c:v>
                </c:pt>
                <c:pt idx="358">
                  <c:v>255</c:v>
                </c:pt>
                <c:pt idx="359">
                  <c:v>254</c:v>
                </c:pt>
                <c:pt idx="360">
                  <c:v>129</c:v>
                </c:pt>
                <c:pt idx="361">
                  <c:v>206</c:v>
                </c:pt>
                <c:pt idx="362">
                  <c:v>169</c:v>
                </c:pt>
                <c:pt idx="363">
                  <c:v>398</c:v>
                </c:pt>
                <c:pt idx="364">
                  <c:v>263</c:v>
                </c:pt>
                <c:pt idx="365">
                  <c:v>209</c:v>
                </c:pt>
                <c:pt idx="366">
                  <c:v>332</c:v>
                </c:pt>
                <c:pt idx="367">
                  <c:v>252</c:v>
                </c:pt>
                <c:pt idx="368">
                  <c:v>194</c:v>
                </c:pt>
                <c:pt idx="369">
                  <c:v>186</c:v>
                </c:pt>
                <c:pt idx="370">
                  <c:v>386</c:v>
                </c:pt>
                <c:pt idx="371">
                  <c:v>229</c:v>
                </c:pt>
                <c:pt idx="372">
                  <c:v>260</c:v>
                </c:pt>
                <c:pt idx="373">
                  <c:v>249</c:v>
                </c:pt>
                <c:pt idx="374">
                  <c:v>266</c:v>
                </c:pt>
                <c:pt idx="375">
                  <c:v>171</c:v>
                </c:pt>
                <c:pt idx="376">
                  <c:v>197</c:v>
                </c:pt>
                <c:pt idx="377">
                  <c:v>448</c:v>
                </c:pt>
                <c:pt idx="378">
                  <c:v>342</c:v>
                </c:pt>
                <c:pt idx="379">
                  <c:v>406</c:v>
                </c:pt>
                <c:pt idx="380">
                  <c:v>377</c:v>
                </c:pt>
                <c:pt idx="381">
                  <c:v>361</c:v>
                </c:pt>
                <c:pt idx="382">
                  <c:v>168</c:v>
                </c:pt>
                <c:pt idx="383">
                  <c:v>247</c:v>
                </c:pt>
                <c:pt idx="384">
                  <c:v>605</c:v>
                </c:pt>
                <c:pt idx="385">
                  <c:v>397</c:v>
                </c:pt>
                <c:pt idx="386">
                  <c:v>382</c:v>
                </c:pt>
                <c:pt idx="387">
                  <c:v>435</c:v>
                </c:pt>
                <c:pt idx="388">
                  <c:v>378</c:v>
                </c:pt>
                <c:pt idx="389">
                  <c:v>232</c:v>
                </c:pt>
                <c:pt idx="390">
                  <c:v>273</c:v>
                </c:pt>
                <c:pt idx="391">
                  <c:v>534</c:v>
                </c:pt>
                <c:pt idx="392">
                  <c:v>396</c:v>
                </c:pt>
                <c:pt idx="393">
                  <c:v>441</c:v>
                </c:pt>
                <c:pt idx="394">
                  <c:v>373</c:v>
                </c:pt>
                <c:pt idx="395">
                  <c:v>367</c:v>
                </c:pt>
                <c:pt idx="396">
                  <c:v>238</c:v>
                </c:pt>
                <c:pt idx="397">
                  <c:v>264</c:v>
                </c:pt>
                <c:pt idx="398">
                  <c:v>461</c:v>
                </c:pt>
                <c:pt idx="399">
                  <c:v>372</c:v>
                </c:pt>
                <c:pt idx="400">
                  <c:v>383</c:v>
                </c:pt>
                <c:pt idx="401">
                  <c:v>361</c:v>
                </c:pt>
                <c:pt idx="402">
                  <c:v>419</c:v>
                </c:pt>
                <c:pt idx="403">
                  <c:v>279</c:v>
                </c:pt>
                <c:pt idx="404">
                  <c:v>282</c:v>
                </c:pt>
                <c:pt idx="405">
                  <c:v>616</c:v>
                </c:pt>
                <c:pt idx="406">
                  <c:v>514</c:v>
                </c:pt>
                <c:pt idx="407">
                  <c:v>553</c:v>
                </c:pt>
                <c:pt idx="408">
                  <c:v>611</c:v>
                </c:pt>
                <c:pt idx="409">
                  <c:v>573</c:v>
                </c:pt>
                <c:pt idx="410">
                  <c:v>318</c:v>
                </c:pt>
                <c:pt idx="411">
                  <c:v>356</c:v>
                </c:pt>
                <c:pt idx="412">
                  <c:v>623</c:v>
                </c:pt>
                <c:pt idx="413">
                  <c:v>626</c:v>
                </c:pt>
                <c:pt idx="414">
                  <c:v>598</c:v>
                </c:pt>
                <c:pt idx="415">
                  <c:v>629</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8.6444007858546166E-4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1.1009500133179436E-2</c:v>
                </c:pt>
                <c:pt idx="266">
                  <c:v>1.1383909608359527E-2</c:v>
                </c:pt>
                <c:pt idx="267">
                  <c:v>1.0843451723914032E-2</c:v>
                </c:pt>
                <c:pt idx="268">
                  <c:v>1.5740893357507828E-2</c:v>
                </c:pt>
                <c:pt idx="269">
                  <c:v>1.4945652173913044E-2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1.248385708136031E-2</c:v>
                </c:pt>
                <c:pt idx="295">
                  <c:v>1.4746543778801843E-2</c:v>
                </c:pt>
                <c:pt idx="296">
                  <c:v>1.5719307554553294E-2</c:v>
                </c:pt>
                <c:pt idx="297">
                  <c:v>1.7815207709126243E-2</c:v>
                </c:pt>
                <c:pt idx="298">
                  <c:v>1.3659968390155791E-2</c:v>
                </c:pt>
                <c:pt idx="299">
                  <c:v>2.5233957219251337E-2</c:v>
                </c:pt>
                <c:pt idx="300">
                  <c:v>2.9420809841107124E-2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2.0694412508622671E-2</c:v>
                </c:pt>
                <c:pt idx="320">
                  <c:v>3.0626290433585685E-2</c:v>
                </c:pt>
                <c:pt idx="321">
                  <c:v>3.4313725490196081E-2</c:v>
                </c:pt>
                <c:pt idx="322">
                  <c:v>2.2445672893633244E-2</c:v>
                </c:pt>
                <c:pt idx="323">
                  <c:v>2.6540325001071903E-2</c:v>
                </c:pt>
                <c:pt idx="324">
                  <c:v>2.3212331265961329E-2</c:v>
                </c:pt>
                <c:pt idx="325">
                  <c:v>2.1054575676424415E-2</c:v>
                </c:pt>
                <c:pt idx="326">
                  <c:v>1.7425450975579827E-2</c:v>
                </c:pt>
                <c:pt idx="327">
                  <c:v>2.1026193039110155E-2</c:v>
                </c:pt>
                <c:pt idx="328">
                  <c:v>4.0876614454520475E-2</c:v>
                </c:pt>
                <c:pt idx="329">
                  <c:v>2.1063717746182202E-2</c:v>
                </c:pt>
                <c:pt idx="330">
                  <c:v>2.0836841219060449E-2</c:v>
                </c:pt>
                <c:pt idx="331">
                  <c:v>2.1832465515666394E-2</c:v>
                </c:pt>
                <c:pt idx="332">
                  <c:v>2.1793217840029487E-2</c:v>
                </c:pt>
                <c:pt idx="333">
                  <c:v>1.3993059442516512E-2</c:v>
                </c:pt>
                <c:pt idx="334">
                  <c:v>2.4777525737218635E-2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1.9007107473616197E-2</c:v>
                </c:pt>
                <c:pt idx="345">
                  <c:v>1.5802348336594912E-2</c:v>
                </c:pt>
                <c:pt idx="346">
                  <c:v>1.9945327528601803E-2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3.743223474743998E-2</c:v>
                </c:pt>
                <c:pt idx="357">
                  <c:v>1.9524294072755025E-2</c:v>
                </c:pt>
                <c:pt idx="358">
                  <c:v>1.7804775869291998E-2</c:v>
                </c:pt>
                <c:pt idx="359">
                  <c:v>2.1212627359278438E-2</c:v>
                </c:pt>
                <c:pt idx="360">
                  <c:v>1.88900278225216E-2</c:v>
                </c:pt>
                <c:pt idx="361">
                  <c:v>3.6242083040112595E-2</c:v>
                </c:pt>
                <c:pt idx="362">
                  <c:v>2.6020015396458814E-2</c:v>
                </c:pt>
                <c:pt idx="363">
                  <c:v>3.7276388498641941E-2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2.0044715133759924E-2</c:v>
                </c:pt>
                <c:pt idx="373">
                  <c:v>2.3143414815503298E-2</c:v>
                </c:pt>
                <c:pt idx="374">
                  <c:v>2.3773348824738583E-2</c:v>
                </c:pt>
                <c:pt idx="375">
                  <c:v>1.8341735492867103E-2</c:v>
                </c:pt>
                <c:pt idx="376">
                  <c:v>3.8178294573643412E-2</c:v>
                </c:pt>
                <c:pt idx="377">
                  <c:v>4.7827479449129927E-2</c:v>
                </c:pt>
                <c:pt idx="378">
                  <c:v>2.0270270270270271E-2</c:v>
                </c:pt>
                <c:pt idx="379">
                  <c:v>2.5705964290236798E-2</c:v>
                </c:pt>
                <c:pt idx="380">
                  <c:v>2.3942588593928615E-2</c:v>
                </c:pt>
                <c:pt idx="381">
                  <c:v>2.1412895189513021E-2</c:v>
                </c:pt>
                <c:pt idx="382">
                  <c:v>1.4588398749565822E-2</c:v>
                </c:pt>
                <c:pt idx="383">
                  <c:v>2.8704241719930274E-2</c:v>
                </c:pt>
                <c:pt idx="384">
                  <c:v>5.3355675103624656E-2</c:v>
                </c:pt>
                <c:pt idx="385">
                  <c:v>1.9851985198519852E-2</c:v>
                </c:pt>
                <c:pt idx="386">
                  <c:v>2.3101112723754234E-2</c:v>
                </c:pt>
                <c:pt idx="387">
                  <c:v>2.6252263126131561E-2</c:v>
                </c:pt>
                <c:pt idx="388">
                  <c:v>2.0261578044596912E-2</c:v>
                </c:pt>
                <c:pt idx="389">
                  <c:v>1.8759602167057493E-2</c:v>
                </c:pt>
                <c:pt idx="390">
                  <c:v>2.5796088065765849E-2</c:v>
                </c:pt>
                <c:pt idx="391">
                  <c:v>4.1695947528695244E-2</c:v>
                </c:pt>
                <c:pt idx="392">
                  <c:v>2.0205112505740089E-2</c:v>
                </c:pt>
                <c:pt idx="393">
                  <c:v>1.9340408736075784E-2</c:v>
                </c:pt>
                <c:pt idx="394">
                  <c:v>1.9249625845074055E-2</c:v>
                </c:pt>
                <c:pt idx="395">
                  <c:v>2.0438850523501893E-2</c:v>
                </c:pt>
                <c:pt idx="396">
                  <c:v>1.6899808279485905E-2</c:v>
                </c:pt>
                <c:pt idx="397">
                  <c:v>2.9310536249583657E-2</c:v>
                </c:pt>
                <c:pt idx="398">
                  <c:v>3.3072673792955018E-2</c:v>
                </c:pt>
                <c:pt idx="399">
                  <c:v>1.7008046817849305E-2</c:v>
                </c:pt>
                <c:pt idx="400">
                  <c:v>1.8576001552041903E-2</c:v>
                </c:pt>
                <c:pt idx="401">
                  <c:v>1.9286248530825945E-2</c:v>
                </c:pt>
                <c:pt idx="402">
                  <c:v>2.2744544566279449E-2</c:v>
                </c:pt>
                <c:pt idx="403">
                  <c:v>2.1885786005647945E-2</c:v>
                </c:pt>
                <c:pt idx="404">
                  <c:v>2.9313929313929316E-2</c:v>
                </c:pt>
                <c:pt idx="405">
                  <c:v>4.2612064194798009E-2</c:v>
                </c:pt>
                <c:pt idx="406">
                  <c:v>2.3844869177955093E-2</c:v>
                </c:pt>
                <c:pt idx="407">
                  <c:v>2.7175782593739251E-2</c:v>
                </c:pt>
                <c:pt idx="408">
                  <c:v>2.8928554519198901E-2</c:v>
                </c:pt>
                <c:pt idx="409">
                  <c:v>2.9743057357902933E-2</c:v>
                </c:pt>
                <c:pt idx="410">
                  <c:v>2.0173824779547041E-2</c:v>
                </c:pt>
                <c:pt idx="411">
                  <c:v>3.1537916371367825E-2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14.6.2021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[0]!PlotY</c:f>
              <c:numCache>
                <c:formatCode>General</c:formatCode>
                <c:ptCount val="5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353</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598</c:v>
                </c:pt>
                <c:pt idx="421">
                  <c:v>629</c:v>
                </c:pt>
                <c:pt idx="422">
                  <c:v>686</c:v>
                </c:pt>
                <c:pt idx="423">
                  <c:v>401</c:v>
                </c:pt>
                <c:pt idx="424">
                  <c:v>422</c:v>
                </c:pt>
                <c:pt idx="425">
                  <c:v>875</c:v>
                </c:pt>
                <c:pt idx="426">
                  <c:v>758</c:v>
                </c:pt>
                <c:pt idx="427">
                  <c:v>732</c:v>
                </c:pt>
                <c:pt idx="428">
                  <c:v>640</c:v>
                </c:pt>
                <c:pt idx="429">
                  <c:v>630</c:v>
                </c:pt>
                <c:pt idx="430">
                  <c:v>433</c:v>
                </c:pt>
                <c:pt idx="431">
                  <c:v>395</c:v>
                </c:pt>
                <c:pt idx="432">
                  <c:v>834</c:v>
                </c:pt>
                <c:pt idx="433">
                  <c:v>773</c:v>
                </c:pt>
                <c:pt idx="434">
                  <c:v>822</c:v>
                </c:pt>
                <c:pt idx="435">
                  <c:v>779</c:v>
                </c:pt>
                <c:pt idx="436">
                  <c:v>808</c:v>
                </c:pt>
                <c:pt idx="437">
                  <c:v>491</c:v>
                </c:pt>
                <c:pt idx="438">
                  <c:v>434</c:v>
                </c:pt>
                <c:pt idx="439">
                  <c:v>892</c:v>
                </c:pt>
                <c:pt idx="440">
                  <c:v>767</c:v>
                </c:pt>
                <c:pt idx="441">
                  <c:v>743</c:v>
                </c:pt>
                <c:pt idx="442">
                  <c:v>735</c:v>
                </c:pt>
                <c:pt idx="443">
                  <c:v>745</c:v>
                </c:pt>
                <c:pt idx="444">
                  <c:v>404</c:v>
                </c:pt>
                <c:pt idx="445">
                  <c:v>420</c:v>
                </c:pt>
                <c:pt idx="446">
                  <c:v>769</c:v>
                </c:pt>
                <c:pt idx="447">
                  <c:v>703</c:v>
                </c:pt>
                <c:pt idx="448">
                  <c:v>695</c:v>
                </c:pt>
                <c:pt idx="449">
                  <c:v>606</c:v>
                </c:pt>
                <c:pt idx="450">
                  <c:v>688</c:v>
                </c:pt>
                <c:pt idx="451">
                  <c:v>351</c:v>
                </c:pt>
                <c:pt idx="452">
                  <c:v>372</c:v>
                </c:pt>
                <c:pt idx="453">
                  <c:v>654</c:v>
                </c:pt>
                <c:pt idx="454">
                  <c:v>570</c:v>
                </c:pt>
                <c:pt idx="455">
                  <c:v>550</c:v>
                </c:pt>
                <c:pt idx="456">
                  <c:v>486</c:v>
                </c:pt>
                <c:pt idx="457">
                  <c:v>361</c:v>
                </c:pt>
                <c:pt idx="458">
                  <c:v>320</c:v>
                </c:pt>
                <c:pt idx="459">
                  <c:v>322</c:v>
                </c:pt>
                <c:pt idx="460">
                  <c:v>359</c:v>
                </c:pt>
                <c:pt idx="461">
                  <c:v>545</c:v>
                </c:pt>
                <c:pt idx="462">
                  <c:v>426</c:v>
                </c:pt>
                <c:pt idx="463">
                  <c:v>407</c:v>
                </c:pt>
                <c:pt idx="464">
                  <c:v>351</c:v>
                </c:pt>
                <c:pt idx="465">
                  <c:v>226</c:v>
                </c:pt>
                <c:pt idx="466">
                  <c:v>239</c:v>
                </c:pt>
                <c:pt idx="467">
                  <c:v>398</c:v>
                </c:pt>
                <c:pt idx="468">
                  <c:v>325</c:v>
                </c:pt>
                <c:pt idx="469">
                  <c:v>345</c:v>
                </c:pt>
                <c:pt idx="470">
                  <c:v>274</c:v>
                </c:pt>
                <c:pt idx="471">
                  <c:v>264</c:v>
                </c:pt>
                <c:pt idx="472">
                  <c:v>171</c:v>
                </c:pt>
                <c:pt idx="473">
                  <c:v>156</c:v>
                </c:pt>
                <c:pt idx="474">
                  <c:v>284</c:v>
                </c:pt>
                <c:pt idx="475">
                  <c:v>285</c:v>
                </c:pt>
                <c:pt idx="476">
                  <c:v>233</c:v>
                </c:pt>
                <c:pt idx="477">
                  <c:v>258</c:v>
                </c:pt>
                <c:pt idx="478">
                  <c:v>255</c:v>
                </c:pt>
                <c:pt idx="479">
                  <c:v>155</c:v>
                </c:pt>
                <c:pt idx="480">
                  <c:v>140</c:v>
                </c:pt>
                <c:pt idx="481">
                  <c:v>243</c:v>
                </c:pt>
                <c:pt idx="482">
                  <c:v>228</c:v>
                </c:pt>
                <c:pt idx="483">
                  <c:v>274</c:v>
                </c:pt>
                <c:pt idx="484">
                  <c:v>201</c:v>
                </c:pt>
                <c:pt idx="485">
                  <c:v>197</c:v>
                </c:pt>
                <c:pt idx="486">
                  <c:v>108</c:v>
                </c:pt>
                <c:pt idx="487">
                  <c:v>135</c:v>
                </c:pt>
                <c:pt idx="488">
                  <c:v>318</c:v>
                </c:pt>
                <c:pt idx="489">
                  <c:v>205</c:v>
                </c:pt>
                <c:pt idx="490">
                  <c:v>266</c:v>
                </c:pt>
                <c:pt idx="491">
                  <c:v>239</c:v>
                </c:pt>
                <c:pt idx="492">
                  <c:v>214</c:v>
                </c:pt>
                <c:pt idx="493">
                  <c:v>131</c:v>
                </c:pt>
                <c:pt idx="494">
                  <c:v>130</c:v>
                </c:pt>
                <c:pt idx="495">
                  <c:v>257</c:v>
                </c:pt>
                <c:pt idx="496">
                  <c:v>215</c:v>
                </c:pt>
                <c:pt idx="497">
                  <c:v>256</c:v>
                </c:pt>
                <c:pt idx="498">
                  <c:v>156</c:v>
                </c:pt>
                <c:pt idx="499">
                  <c:v>245</c:v>
                </c:pt>
                <c:pt idx="500">
                  <c:v>160</c:v>
                </c:pt>
                <c:pt idx="501">
                  <c:v>133</c:v>
                </c:pt>
                <c:pt idx="502">
                  <c:v>284</c:v>
                </c:pt>
                <c:pt idx="503">
                  <c:v>217</c:v>
                </c:pt>
                <c:pt idx="504">
                  <c:v>230</c:v>
                </c:pt>
                <c:pt idx="505">
                  <c:v>215</c:v>
                </c:pt>
                <c:pt idx="506">
                  <c:v>169</c:v>
                </c:pt>
                <c:pt idx="507">
                  <c:v>108</c:v>
                </c:pt>
                <c:pt idx="508">
                  <c:v>93</c:v>
                </c:pt>
                <c:pt idx="509">
                  <c:v>188</c:v>
                </c:pt>
                <c:pt idx="510">
                  <c:v>152</c:v>
                </c:pt>
                <c:pt idx="511">
                  <c:v>142</c:v>
                </c:pt>
                <c:pt idx="512">
                  <c:v>127</c:v>
                </c:pt>
                <c:pt idx="513">
                  <c:v>136</c:v>
                </c:pt>
                <c:pt idx="514">
                  <c:v>64</c:v>
                </c:pt>
                <c:pt idx="515">
                  <c:v>79</c:v>
                </c:pt>
                <c:pt idx="516">
                  <c:v>145</c:v>
                </c:pt>
                <c:pt idx="517">
                  <c:v>121</c:v>
                </c:pt>
                <c:pt idx="518">
                  <c:v>118</c:v>
                </c:pt>
                <c:pt idx="519">
                  <c:v>111</c:v>
                </c:pt>
                <c:pt idx="520">
                  <c:v>101</c:v>
                </c:pt>
                <c:pt idx="521">
                  <c:v>65</c:v>
                </c:pt>
                <c:pt idx="522">
                  <c:v>60</c:v>
                </c:pt>
                <c:pt idx="523">
                  <c:v>136</c:v>
                </c:pt>
                <c:pt idx="524">
                  <c:v>102</c:v>
                </c:pt>
                <c:pt idx="525">
                  <c:v>82</c:v>
                </c:pt>
                <c:pt idx="526">
                  <c:v>78</c:v>
                </c:pt>
                <c:pt idx="527">
                  <c:v>70</c:v>
                </c:pt>
                <c:pt idx="528">
                  <c:v>43</c:v>
                </c:pt>
                <c:pt idx="529">
                  <c:v>46</c:v>
                </c:pt>
                <c:pt idx="530">
                  <c:v>78</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14.6.2021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HUS!PlotY</c:f>
              <c:numCache>
                <c:formatCode>General</c:formatCode>
                <c:ptCount val="5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97</c:v>
                </c:pt>
                <c:pt idx="383">
                  <c:v>257</c:v>
                </c:pt>
                <c:pt idx="384">
                  <c:v>189</c:v>
                </c:pt>
                <c:pt idx="385">
                  <c:v>209</c:v>
                </c:pt>
                <c:pt idx="386">
                  <c:v>178</c:v>
                </c:pt>
                <c:pt idx="387">
                  <c:v>196</c:v>
                </c:pt>
                <c:pt idx="388">
                  <c:v>93</c:v>
                </c:pt>
                <c:pt idx="389">
                  <c:v>153</c:v>
                </c:pt>
                <c:pt idx="390">
                  <c:v>257</c:v>
                </c:pt>
                <c:pt idx="391">
                  <c:v>212</c:v>
                </c:pt>
                <c:pt idx="392">
                  <c:v>188</c:v>
                </c:pt>
                <c:pt idx="393">
                  <c:v>229</c:v>
                </c:pt>
                <c:pt idx="394">
                  <c:v>191</c:v>
                </c:pt>
                <c:pt idx="395">
                  <c:v>132</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417</c:v>
                </c:pt>
                <c:pt idx="421">
                  <c:v>361</c:v>
                </c:pt>
                <c:pt idx="422">
                  <c:v>429</c:v>
                </c:pt>
                <c:pt idx="423">
                  <c:v>266</c:v>
                </c:pt>
                <c:pt idx="424">
                  <c:v>266</c:v>
                </c:pt>
                <c:pt idx="425">
                  <c:v>483</c:v>
                </c:pt>
                <c:pt idx="426">
                  <c:v>492</c:v>
                </c:pt>
                <c:pt idx="427">
                  <c:v>475</c:v>
                </c:pt>
                <c:pt idx="428">
                  <c:v>389</c:v>
                </c:pt>
                <c:pt idx="429">
                  <c:v>420</c:v>
                </c:pt>
                <c:pt idx="430">
                  <c:v>277</c:v>
                </c:pt>
                <c:pt idx="431">
                  <c:v>256</c:v>
                </c:pt>
                <c:pt idx="432">
                  <c:v>501</c:v>
                </c:pt>
                <c:pt idx="433">
                  <c:v>506</c:v>
                </c:pt>
                <c:pt idx="434">
                  <c:v>505</c:v>
                </c:pt>
                <c:pt idx="435">
                  <c:v>477</c:v>
                </c:pt>
                <c:pt idx="436">
                  <c:v>517</c:v>
                </c:pt>
                <c:pt idx="437">
                  <c:v>327</c:v>
                </c:pt>
                <c:pt idx="438">
                  <c:v>262</c:v>
                </c:pt>
                <c:pt idx="439">
                  <c:v>508</c:v>
                </c:pt>
                <c:pt idx="440">
                  <c:v>454</c:v>
                </c:pt>
                <c:pt idx="441">
                  <c:v>417</c:v>
                </c:pt>
                <c:pt idx="442">
                  <c:v>455</c:v>
                </c:pt>
                <c:pt idx="443">
                  <c:v>444</c:v>
                </c:pt>
                <c:pt idx="444">
                  <c:v>287</c:v>
                </c:pt>
                <c:pt idx="445">
                  <c:v>288</c:v>
                </c:pt>
                <c:pt idx="446">
                  <c:v>452</c:v>
                </c:pt>
                <c:pt idx="447">
                  <c:v>452</c:v>
                </c:pt>
                <c:pt idx="448">
                  <c:v>394</c:v>
                </c:pt>
                <c:pt idx="449">
                  <c:v>355</c:v>
                </c:pt>
                <c:pt idx="450">
                  <c:v>407</c:v>
                </c:pt>
                <c:pt idx="451">
                  <c:v>199</c:v>
                </c:pt>
                <c:pt idx="452">
                  <c:v>248</c:v>
                </c:pt>
                <c:pt idx="453">
                  <c:v>378</c:v>
                </c:pt>
                <c:pt idx="454">
                  <c:v>322</c:v>
                </c:pt>
                <c:pt idx="455">
                  <c:v>331</c:v>
                </c:pt>
                <c:pt idx="456">
                  <c:v>252</c:v>
                </c:pt>
                <c:pt idx="457">
                  <c:v>223</c:v>
                </c:pt>
                <c:pt idx="458">
                  <c:v>188</c:v>
                </c:pt>
                <c:pt idx="459">
                  <c:v>206</c:v>
                </c:pt>
                <c:pt idx="460">
                  <c:v>232</c:v>
                </c:pt>
                <c:pt idx="461">
                  <c:v>305</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144</c:v>
                </c:pt>
                <c:pt idx="476">
                  <c:v>114</c:v>
                </c:pt>
                <c:pt idx="477">
                  <c:v>139</c:v>
                </c:pt>
                <c:pt idx="478">
                  <c:v>110</c:v>
                </c:pt>
                <c:pt idx="479">
                  <c:v>85</c:v>
                </c:pt>
                <c:pt idx="480">
                  <c:v>83</c:v>
                </c:pt>
                <c:pt idx="481">
                  <c:v>121</c:v>
                </c:pt>
                <c:pt idx="482">
                  <c:v>109</c:v>
                </c:pt>
                <c:pt idx="483">
                  <c:v>146</c:v>
                </c:pt>
                <c:pt idx="484">
                  <c:v>94</c:v>
                </c:pt>
                <c:pt idx="485">
                  <c:v>97</c:v>
                </c:pt>
                <c:pt idx="486">
                  <c:v>54</c:v>
                </c:pt>
                <c:pt idx="487">
                  <c:v>81</c:v>
                </c:pt>
                <c:pt idx="488">
                  <c:v>158</c:v>
                </c:pt>
                <c:pt idx="489">
                  <c:v>113</c:v>
                </c:pt>
                <c:pt idx="490">
                  <c:v>126</c:v>
                </c:pt>
                <c:pt idx="491">
                  <c:v>113</c:v>
                </c:pt>
                <c:pt idx="492">
                  <c:v>94</c:v>
                </c:pt>
                <c:pt idx="493">
                  <c:v>69</c:v>
                </c:pt>
                <c:pt idx="494">
                  <c:v>69</c:v>
                </c:pt>
                <c:pt idx="495">
                  <c:v>138</c:v>
                </c:pt>
                <c:pt idx="496">
                  <c:v>107</c:v>
                </c:pt>
                <c:pt idx="497">
                  <c:v>146</c:v>
                </c:pt>
                <c:pt idx="498">
                  <c:v>77</c:v>
                </c:pt>
                <c:pt idx="499">
                  <c:v>85</c:v>
                </c:pt>
                <c:pt idx="500">
                  <c:v>80</c:v>
                </c:pt>
                <c:pt idx="501">
                  <c:v>55</c:v>
                </c:pt>
                <c:pt idx="502">
                  <c:v>120</c:v>
                </c:pt>
                <c:pt idx="503">
                  <c:v>109</c:v>
                </c:pt>
                <c:pt idx="504">
                  <c:v>113</c:v>
                </c:pt>
                <c:pt idx="505">
                  <c:v>103</c:v>
                </c:pt>
                <c:pt idx="506">
                  <c:v>86</c:v>
                </c:pt>
                <c:pt idx="507">
                  <c:v>55</c:v>
                </c:pt>
                <c:pt idx="508">
                  <c:v>54</c:v>
                </c:pt>
                <c:pt idx="509">
                  <c:v>109</c:v>
                </c:pt>
                <c:pt idx="510">
                  <c:v>85</c:v>
                </c:pt>
                <c:pt idx="511">
                  <c:v>76</c:v>
                </c:pt>
                <c:pt idx="512">
                  <c:v>56</c:v>
                </c:pt>
                <c:pt idx="513">
                  <c:v>64</c:v>
                </c:pt>
                <c:pt idx="514">
                  <c:v>28</c:v>
                </c:pt>
                <c:pt idx="515">
                  <c:v>49</c:v>
                </c:pt>
                <c:pt idx="516">
                  <c:v>95</c:v>
                </c:pt>
                <c:pt idx="517">
                  <c:v>77</c:v>
                </c:pt>
                <c:pt idx="518">
                  <c:v>67</c:v>
                </c:pt>
                <c:pt idx="519">
                  <c:v>68</c:v>
                </c:pt>
                <c:pt idx="520">
                  <c:v>63</c:v>
                </c:pt>
                <c:pt idx="521">
                  <c:v>41</c:v>
                </c:pt>
                <c:pt idx="522">
                  <c:v>42</c:v>
                </c:pt>
                <c:pt idx="523">
                  <c:v>85</c:v>
                </c:pt>
                <c:pt idx="524">
                  <c:v>54</c:v>
                </c:pt>
                <c:pt idx="525">
                  <c:v>37</c:v>
                </c:pt>
                <c:pt idx="526">
                  <c:v>32</c:v>
                </c:pt>
                <c:pt idx="527">
                  <c:v>33</c:v>
                </c:pt>
                <c:pt idx="528">
                  <c:v>33</c:v>
                </c:pt>
                <c:pt idx="529">
                  <c:v>32</c:v>
                </c:pt>
                <c:pt idx="530">
                  <c:v>33</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0.63636363636363635</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0.68548387096774188</c:v>
                </c:pt>
                <c:pt idx="272">
                  <c:v>0.60447761194029848</c:v>
                </c:pt>
                <c:pt idx="273">
                  <c:v>0.55688622754491013</c:v>
                </c:pt>
                <c:pt idx="274">
                  <c:v>0.41361256544502617</c:v>
                </c:pt>
                <c:pt idx="275">
                  <c:v>0.42245989304812837</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0.52155172413793105</c:v>
                </c:pt>
                <c:pt idx="301">
                  <c:v>0.50416666666666665</c:v>
                </c:pt>
                <c:pt idx="302">
                  <c:v>0.43037974683544306</c:v>
                </c:pt>
                <c:pt idx="303">
                  <c:v>0.55909090909090908</c:v>
                </c:pt>
                <c:pt idx="304">
                  <c:v>0.5950413223140496</c:v>
                </c:pt>
                <c:pt idx="305">
                  <c:v>0.61589403973509937</c:v>
                </c:pt>
                <c:pt idx="306">
                  <c:v>0.54006968641114983</c:v>
                </c:pt>
                <c:pt idx="307">
                  <c:v>0.61825726141078841</c:v>
                </c:pt>
                <c:pt idx="308">
                  <c:v>0.59154929577464788</c:v>
                </c:pt>
                <c:pt idx="309">
                  <c:v>0.63013698630136983</c:v>
                </c:pt>
                <c:pt idx="310">
                  <c:v>0.59183673469387754</c:v>
                </c:pt>
                <c:pt idx="311">
                  <c:v>0.734375</c:v>
                </c:pt>
                <c:pt idx="312">
                  <c:v>0.60606060606060608</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0.66666666666666663</c:v>
                </c:pt>
                <c:pt idx="326">
                  <c:v>0.60299625468164797</c:v>
                </c:pt>
                <c:pt idx="327">
                  <c:v>0.5178571428571429</c:v>
                </c:pt>
                <c:pt idx="328">
                  <c:v>0.60084925690021229</c:v>
                </c:pt>
                <c:pt idx="329">
                  <c:v>0.48303715670436187</c:v>
                </c:pt>
                <c:pt idx="330">
                  <c:v>0.51277013752455791</c:v>
                </c:pt>
                <c:pt idx="331">
                  <c:v>0.5307017543859649</c:v>
                </c:pt>
                <c:pt idx="332">
                  <c:v>0.53169014084507038</c:v>
                </c:pt>
                <c:pt idx="333">
                  <c:v>0.53924914675767921</c:v>
                </c:pt>
                <c:pt idx="334">
                  <c:v>0.52605042016806725</c:v>
                </c:pt>
                <c:pt idx="335">
                  <c:v>0.50227272727272732</c:v>
                </c:pt>
                <c:pt idx="336">
                  <c:v>0.50505050505050508</c:v>
                </c:pt>
                <c:pt idx="337">
                  <c:v>0.58786610878661083</c:v>
                </c:pt>
                <c:pt idx="338">
                  <c:v>0.47357293868921774</c:v>
                </c:pt>
                <c:pt idx="339">
                  <c:v>0.61199999999999999</c:v>
                </c:pt>
                <c:pt idx="340">
                  <c:v>0.55281690140845074</c:v>
                </c:pt>
                <c:pt idx="341">
                  <c:v>0.48381601362862009</c:v>
                </c:pt>
                <c:pt idx="342">
                  <c:v>0.52928870292887031</c:v>
                </c:pt>
                <c:pt idx="343">
                  <c:v>0.58008658008658009</c:v>
                </c:pt>
                <c:pt idx="344">
                  <c:v>0.54545454545454541</c:v>
                </c:pt>
                <c:pt idx="345">
                  <c:v>0.5280898876404494</c:v>
                </c:pt>
                <c:pt idx="346">
                  <c:v>0.59036144578313254</c:v>
                </c:pt>
                <c:pt idx="347">
                  <c:v>0.6123188405797102</c:v>
                </c:pt>
                <c:pt idx="348">
                  <c:v>0.5032397408207343</c:v>
                </c:pt>
                <c:pt idx="349">
                  <c:v>0.54317548746518107</c:v>
                </c:pt>
                <c:pt idx="350">
                  <c:v>0.5439093484419264</c:v>
                </c:pt>
                <c:pt idx="351">
                  <c:v>0.46749226006191952</c:v>
                </c:pt>
                <c:pt idx="352">
                  <c:v>0.45939086294416243</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0.51264367816091949</c:v>
                </c:pt>
                <c:pt idx="363">
                  <c:v>0.53420195439739415</c:v>
                </c:pt>
                <c:pt idx="364">
                  <c:v>0.43137254901960786</c:v>
                </c:pt>
                <c:pt idx="365">
                  <c:v>0.53543307086614178</c:v>
                </c:pt>
                <c:pt idx="366">
                  <c:v>0.51937984496124034</c:v>
                </c:pt>
                <c:pt idx="367">
                  <c:v>0.56796116504854366</c:v>
                </c:pt>
                <c:pt idx="368">
                  <c:v>0.55029585798816572</c:v>
                </c:pt>
                <c:pt idx="369">
                  <c:v>0.49497487437185927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0.4653846153846154</c:v>
                </c:pt>
                <c:pt idx="379">
                  <c:v>0.49397590361445781</c:v>
                </c:pt>
                <c:pt idx="380">
                  <c:v>0.40601503759398494</c:v>
                </c:pt>
                <c:pt idx="381">
                  <c:v>0.56725146198830412</c:v>
                </c:pt>
                <c:pt idx="382">
                  <c:v>0.49238578680203043</c:v>
                </c:pt>
                <c:pt idx="383">
                  <c:v>0.5736607142857143</c:v>
                </c:pt>
                <c:pt idx="384">
                  <c:v>0.55263157894736847</c:v>
                </c:pt>
                <c:pt idx="385">
                  <c:v>0.51477832512315269</c:v>
                </c:pt>
                <c:pt idx="386">
                  <c:v>0.47214854111405835</c:v>
                </c:pt>
                <c:pt idx="387">
                  <c:v>0.54293628808864269</c:v>
                </c:pt>
                <c:pt idx="388">
                  <c:v>0.5535714285714286</c:v>
                </c:pt>
                <c:pt idx="389">
                  <c:v>0.61943319838056676</c:v>
                </c:pt>
                <c:pt idx="390">
                  <c:v>0.42479338842975206</c:v>
                </c:pt>
                <c:pt idx="391">
                  <c:v>0.53400503778337527</c:v>
                </c:pt>
                <c:pt idx="392">
                  <c:v>0.49214659685863876</c:v>
                </c:pt>
                <c:pt idx="393">
                  <c:v>0.52643678160919538</c:v>
                </c:pt>
                <c:pt idx="394">
                  <c:v>0.50529100529100535</c:v>
                </c:pt>
                <c:pt idx="395">
                  <c:v>0.56896551724137934</c:v>
                </c:pt>
                <c:pt idx="396">
                  <c:v>0.61172161172161177</c:v>
                </c:pt>
                <c:pt idx="397">
                  <c:v>0.55430711610486894</c:v>
                </c:pt>
                <c:pt idx="398">
                  <c:v>0.63131313131313127</c:v>
                </c:pt>
                <c:pt idx="399">
                  <c:v>0.59637188208616776</c:v>
                </c:pt>
                <c:pt idx="400">
                  <c:v>0.60321715817694366</c:v>
                </c:pt>
                <c:pt idx="401">
                  <c:v>0.58855585831062673</c:v>
                </c:pt>
                <c:pt idx="402">
                  <c:v>0.6386554621848739</c:v>
                </c:pt>
                <c:pt idx="403">
                  <c:v>0.65530303030303028</c:v>
                </c:pt>
                <c:pt idx="404">
                  <c:v>0.63991323210412143</c:v>
                </c:pt>
                <c:pt idx="405">
                  <c:v>0.64516129032258063</c:v>
                </c:pt>
                <c:pt idx="406">
                  <c:v>0.60052219321148825</c:v>
                </c:pt>
                <c:pt idx="407">
                  <c:v>0.65650969529085867</c:v>
                </c:pt>
                <c:pt idx="408">
                  <c:v>0.62291169451073991</c:v>
                </c:pt>
                <c:pt idx="409">
                  <c:v>0.68458781362007171</c:v>
                </c:pt>
                <c:pt idx="410">
                  <c:v>0.64184397163120566</c:v>
                </c:pt>
                <c:pt idx="411">
                  <c:v>0.58441558441558439</c:v>
                </c:pt>
                <c:pt idx="412">
                  <c:v>0.63813229571984431</c:v>
                </c:pt>
                <c:pt idx="413">
                  <c:v>0.59493670886075944</c:v>
                </c:pt>
                <c:pt idx="414">
                  <c:v>0.53191489361702127</c:v>
                </c:pt>
                <c:pt idx="415">
                  <c:v>0.53403141361256545</c:v>
                </c:pt>
                <c:pt idx="416">
                  <c:v>0.58176100628930816</c:v>
                </c:pt>
                <c:pt idx="417">
                  <c:v>0.6179775280898876</c:v>
                </c:pt>
                <c:pt idx="418">
                  <c:v>0.622792937399679</c:v>
                </c:pt>
                <c:pt idx="419">
                  <c:v>0.61182108626198084</c:v>
                </c:pt>
                <c:pt idx="420">
                  <c:v>0.69732441471571904</c:v>
                </c:pt>
                <c:pt idx="421">
                  <c:v>0.57392686804451509</c:v>
                </c:pt>
                <c:pt idx="422">
                  <c:v>0.62536443148688048</c:v>
                </c:pt>
                <c:pt idx="423">
                  <c:v>0.66334164588528677</c:v>
                </c:pt>
                <c:pt idx="424">
                  <c:v>0.63033175355450233</c:v>
                </c:pt>
                <c:pt idx="425">
                  <c:v>0.55200000000000005</c:v>
                </c:pt>
                <c:pt idx="426">
                  <c:v>0.64907651715039583</c:v>
                </c:pt>
                <c:pt idx="427">
                  <c:v>0.64890710382513661</c:v>
                </c:pt>
                <c:pt idx="428">
                  <c:v>0.60781249999999998</c:v>
                </c:pt>
                <c:pt idx="429">
                  <c:v>0.66666666666666663</c:v>
                </c:pt>
                <c:pt idx="430">
                  <c:v>0.63972286374133946</c:v>
                </c:pt>
                <c:pt idx="431">
                  <c:v>0.64810126582278482</c:v>
                </c:pt>
                <c:pt idx="432">
                  <c:v>0.60071942446043169</c:v>
                </c:pt>
                <c:pt idx="433">
                  <c:v>0.6545924967658473</c:v>
                </c:pt>
                <c:pt idx="434">
                  <c:v>0.61435523114355228</c:v>
                </c:pt>
                <c:pt idx="435">
                  <c:v>0.61232349165596922</c:v>
                </c:pt>
                <c:pt idx="436">
                  <c:v>0.63985148514851486</c:v>
                </c:pt>
                <c:pt idx="437">
                  <c:v>0.66598778004073322</c:v>
                </c:pt>
                <c:pt idx="438">
                  <c:v>0.60368663594470051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97</c:v>
                </c:pt>
                <c:pt idx="383">
                  <c:v>257</c:v>
                </c:pt>
                <c:pt idx="384">
                  <c:v>189</c:v>
                </c:pt>
                <c:pt idx="385">
                  <c:v>209</c:v>
                </c:pt>
                <c:pt idx="386">
                  <c:v>178</c:v>
                </c:pt>
                <c:pt idx="387">
                  <c:v>196</c:v>
                </c:pt>
                <c:pt idx="388">
                  <c:v>93</c:v>
                </c:pt>
                <c:pt idx="389">
                  <c:v>153</c:v>
                </c:pt>
                <c:pt idx="390">
                  <c:v>257</c:v>
                </c:pt>
                <c:pt idx="391">
                  <c:v>212</c:v>
                </c:pt>
                <c:pt idx="392">
                  <c:v>188</c:v>
                </c:pt>
                <c:pt idx="393">
                  <c:v>229</c:v>
                </c:pt>
                <c:pt idx="394">
                  <c:v>191</c:v>
                </c:pt>
                <c:pt idx="395">
                  <c:v>132</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353</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14.6.2021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[0]!PlotY</c:f>
              <c:numCache>
                <c:formatCode>General</c:formatCode>
                <c:ptCount val="5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353</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598</c:v>
                </c:pt>
                <c:pt idx="421">
                  <c:v>629</c:v>
                </c:pt>
                <c:pt idx="422">
                  <c:v>686</c:v>
                </c:pt>
                <c:pt idx="423">
                  <c:v>401</c:v>
                </c:pt>
                <c:pt idx="424">
                  <c:v>422</c:v>
                </c:pt>
                <c:pt idx="425">
                  <c:v>875</c:v>
                </c:pt>
                <c:pt idx="426">
                  <c:v>758</c:v>
                </c:pt>
                <c:pt idx="427">
                  <c:v>732</c:v>
                </c:pt>
                <c:pt idx="428">
                  <c:v>640</c:v>
                </c:pt>
                <c:pt idx="429">
                  <c:v>630</c:v>
                </c:pt>
                <c:pt idx="430">
                  <c:v>433</c:v>
                </c:pt>
                <c:pt idx="431">
                  <c:v>395</c:v>
                </c:pt>
                <c:pt idx="432">
                  <c:v>834</c:v>
                </c:pt>
                <c:pt idx="433">
                  <c:v>773</c:v>
                </c:pt>
                <c:pt idx="434">
                  <c:v>822</c:v>
                </c:pt>
                <c:pt idx="435">
                  <c:v>779</c:v>
                </c:pt>
                <c:pt idx="436">
                  <c:v>808</c:v>
                </c:pt>
                <c:pt idx="437">
                  <c:v>491</c:v>
                </c:pt>
                <c:pt idx="438">
                  <c:v>434</c:v>
                </c:pt>
                <c:pt idx="439">
                  <c:v>892</c:v>
                </c:pt>
                <c:pt idx="440">
                  <c:v>767</c:v>
                </c:pt>
                <c:pt idx="441">
                  <c:v>743</c:v>
                </c:pt>
                <c:pt idx="442">
                  <c:v>735</c:v>
                </c:pt>
                <c:pt idx="443">
                  <c:v>745</c:v>
                </c:pt>
                <c:pt idx="444">
                  <c:v>404</c:v>
                </c:pt>
                <c:pt idx="445">
                  <c:v>420</c:v>
                </c:pt>
                <c:pt idx="446">
                  <c:v>769</c:v>
                </c:pt>
                <c:pt idx="447">
                  <c:v>703</c:v>
                </c:pt>
                <c:pt idx="448">
                  <c:v>695</c:v>
                </c:pt>
                <c:pt idx="449">
                  <c:v>606</c:v>
                </c:pt>
                <c:pt idx="450">
                  <c:v>688</c:v>
                </c:pt>
                <c:pt idx="451">
                  <c:v>351</c:v>
                </c:pt>
                <c:pt idx="452">
                  <c:v>372</c:v>
                </c:pt>
                <c:pt idx="453">
                  <c:v>654</c:v>
                </c:pt>
                <c:pt idx="454">
                  <c:v>570</c:v>
                </c:pt>
                <c:pt idx="455">
                  <c:v>550</c:v>
                </c:pt>
                <c:pt idx="456">
                  <c:v>486</c:v>
                </c:pt>
                <c:pt idx="457">
                  <c:v>361</c:v>
                </c:pt>
                <c:pt idx="458">
                  <c:v>320</c:v>
                </c:pt>
                <c:pt idx="459">
                  <c:v>322</c:v>
                </c:pt>
                <c:pt idx="460">
                  <c:v>359</c:v>
                </c:pt>
                <c:pt idx="461">
                  <c:v>545</c:v>
                </c:pt>
                <c:pt idx="462">
                  <c:v>426</c:v>
                </c:pt>
                <c:pt idx="463">
                  <c:v>407</c:v>
                </c:pt>
                <c:pt idx="464">
                  <c:v>351</c:v>
                </c:pt>
                <c:pt idx="465">
                  <c:v>226</c:v>
                </c:pt>
                <c:pt idx="466">
                  <c:v>239</c:v>
                </c:pt>
                <c:pt idx="467">
                  <c:v>398</c:v>
                </c:pt>
                <c:pt idx="468">
                  <c:v>325</c:v>
                </c:pt>
                <c:pt idx="469">
                  <c:v>345</c:v>
                </c:pt>
                <c:pt idx="470">
                  <c:v>274</c:v>
                </c:pt>
                <c:pt idx="471">
                  <c:v>264</c:v>
                </c:pt>
                <c:pt idx="472">
                  <c:v>171</c:v>
                </c:pt>
                <c:pt idx="473">
                  <c:v>156</c:v>
                </c:pt>
                <c:pt idx="474">
                  <c:v>284</c:v>
                </c:pt>
                <c:pt idx="475">
                  <c:v>285</c:v>
                </c:pt>
                <c:pt idx="476">
                  <c:v>233</c:v>
                </c:pt>
                <c:pt idx="477">
                  <c:v>258</c:v>
                </c:pt>
                <c:pt idx="478">
                  <c:v>255</c:v>
                </c:pt>
                <c:pt idx="479">
                  <c:v>155</c:v>
                </c:pt>
                <c:pt idx="480">
                  <c:v>140</c:v>
                </c:pt>
                <c:pt idx="481">
                  <c:v>243</c:v>
                </c:pt>
                <c:pt idx="482">
                  <c:v>228</c:v>
                </c:pt>
                <c:pt idx="483">
                  <c:v>274</c:v>
                </c:pt>
                <c:pt idx="484">
                  <c:v>201</c:v>
                </c:pt>
                <c:pt idx="485">
                  <c:v>197</c:v>
                </c:pt>
                <c:pt idx="486">
                  <c:v>108</c:v>
                </c:pt>
                <c:pt idx="487">
                  <c:v>135</c:v>
                </c:pt>
                <c:pt idx="488">
                  <c:v>318</c:v>
                </c:pt>
                <c:pt idx="489">
                  <c:v>205</c:v>
                </c:pt>
                <c:pt idx="490">
                  <c:v>266</c:v>
                </c:pt>
                <c:pt idx="491">
                  <c:v>239</c:v>
                </c:pt>
                <c:pt idx="492">
                  <c:v>214</c:v>
                </c:pt>
                <c:pt idx="493">
                  <c:v>131</c:v>
                </c:pt>
                <c:pt idx="494">
                  <c:v>130</c:v>
                </c:pt>
                <c:pt idx="495">
                  <c:v>257</c:v>
                </c:pt>
                <c:pt idx="496">
                  <c:v>215</c:v>
                </c:pt>
                <c:pt idx="497">
                  <c:v>256</c:v>
                </c:pt>
                <c:pt idx="498">
                  <c:v>156</c:v>
                </c:pt>
                <c:pt idx="499">
                  <c:v>245</c:v>
                </c:pt>
                <c:pt idx="500">
                  <c:v>160</c:v>
                </c:pt>
                <c:pt idx="501">
                  <c:v>133</c:v>
                </c:pt>
                <c:pt idx="502">
                  <c:v>284</c:v>
                </c:pt>
                <c:pt idx="503">
                  <c:v>217</c:v>
                </c:pt>
                <c:pt idx="504">
                  <c:v>230</c:v>
                </c:pt>
                <c:pt idx="505">
                  <c:v>215</c:v>
                </c:pt>
                <c:pt idx="506">
                  <c:v>169</c:v>
                </c:pt>
                <c:pt idx="507">
                  <c:v>108</c:v>
                </c:pt>
                <c:pt idx="508">
                  <c:v>93</c:v>
                </c:pt>
                <c:pt idx="509">
                  <c:v>188</c:v>
                </c:pt>
                <c:pt idx="510">
                  <c:v>152</c:v>
                </c:pt>
                <c:pt idx="511">
                  <c:v>142</c:v>
                </c:pt>
                <c:pt idx="512">
                  <c:v>127</c:v>
                </c:pt>
                <c:pt idx="513">
                  <c:v>136</c:v>
                </c:pt>
                <c:pt idx="514">
                  <c:v>64</c:v>
                </c:pt>
                <c:pt idx="515">
                  <c:v>79</c:v>
                </c:pt>
                <c:pt idx="516">
                  <c:v>145</c:v>
                </c:pt>
                <c:pt idx="517">
                  <c:v>121</c:v>
                </c:pt>
                <c:pt idx="518">
                  <c:v>118</c:v>
                </c:pt>
                <c:pt idx="519">
                  <c:v>111</c:v>
                </c:pt>
                <c:pt idx="520">
                  <c:v>101</c:v>
                </c:pt>
                <c:pt idx="521">
                  <c:v>65</c:v>
                </c:pt>
                <c:pt idx="522">
                  <c:v>60</c:v>
                </c:pt>
                <c:pt idx="523">
                  <c:v>136</c:v>
                </c:pt>
                <c:pt idx="524">
                  <c:v>102</c:v>
                </c:pt>
                <c:pt idx="525">
                  <c:v>82</c:v>
                </c:pt>
                <c:pt idx="526">
                  <c:v>78</c:v>
                </c:pt>
                <c:pt idx="527">
                  <c:v>70</c:v>
                </c:pt>
                <c:pt idx="528">
                  <c:v>43</c:v>
                </c:pt>
                <c:pt idx="529">
                  <c:v>46</c:v>
                </c:pt>
                <c:pt idx="530">
                  <c:v>78</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230.56578947368422</c:v>
                </c:pt>
                <c:pt idx="1">
                  <c:v>198.22368421052633</c:v>
                </c:pt>
                <c:pt idx="2">
                  <c:v>198.12987012987014</c:v>
                </c:pt>
                <c:pt idx="3">
                  <c:v>188</c:v>
                </c:pt>
                <c:pt idx="4">
                  <c:v>180.92207792207793</c:v>
                </c:pt>
                <c:pt idx="5">
                  <c:v>114.60526315789474</c:v>
                </c:pt>
                <c:pt idx="6">
                  <c:v>120.96052631578948</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N=94154. Uusimmat 18.6.2021 lisäykset 73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21.5</c:v>
                </c:pt>
                <c:pt idx="1">
                  <c:v>22.5</c:v>
                </c:pt>
                <c:pt idx="2">
                  <c:v>23.5</c:v>
                </c:pt>
                <c:pt idx="3">
                  <c:v>Ma 24</c:v>
                </c:pt>
                <c:pt idx="4">
                  <c:v>25.5</c:v>
                </c:pt>
                <c:pt idx="5">
                  <c:v>26.5</c:v>
                </c:pt>
                <c:pt idx="6">
                  <c:v>27.5</c:v>
                </c:pt>
                <c:pt idx="7">
                  <c:v>28.5</c:v>
                </c:pt>
                <c:pt idx="8">
                  <c:v>29.5</c:v>
                </c:pt>
                <c:pt idx="9">
                  <c:v>30.5</c:v>
                </c:pt>
                <c:pt idx="10">
                  <c:v>Ma 31</c:v>
                </c:pt>
                <c:pt idx="11">
                  <c:v>1.6</c:v>
                </c:pt>
                <c:pt idx="12">
                  <c:v>2.6</c:v>
                </c:pt>
                <c:pt idx="13">
                  <c:v>3.6</c:v>
                </c:pt>
                <c:pt idx="14">
                  <c:v>4.6</c:v>
                </c:pt>
                <c:pt idx="15">
                  <c:v>5.6</c:v>
                </c:pt>
                <c:pt idx="16">
                  <c:v>6.6</c:v>
                </c:pt>
                <c:pt idx="17">
                  <c:v>Ma 7</c:v>
                </c:pt>
                <c:pt idx="18">
                  <c:v>8.6</c:v>
                </c:pt>
                <c:pt idx="19">
                  <c:v>9.6</c:v>
                </c:pt>
                <c:pt idx="20">
                  <c:v>10.6</c:v>
                </c:pt>
                <c:pt idx="21">
                  <c:v>11.6</c:v>
                </c:pt>
                <c:pt idx="22">
                  <c:v>12.6</c:v>
                </c:pt>
                <c:pt idx="23">
                  <c:v>13.6</c:v>
                </c:pt>
                <c:pt idx="24">
                  <c:v>Ma 14</c:v>
                </c:pt>
                <c:pt idx="25">
                  <c:v>15.6</c:v>
                </c:pt>
                <c:pt idx="26">
                  <c:v>16.6</c:v>
                </c:pt>
                <c:pt idx="27">
                  <c:v>17.6</c:v>
                </c:pt>
              </c:strCache>
            </c:strRef>
          </c:cat>
          <c:val>
            <c:numRef>
              <c:f>Lisäys!$E$7:$E$34</c:f>
              <c:numCache>
                <c:formatCode>General</c:formatCode>
                <c:ptCount val="28"/>
                <c:pt idx="0">
                  <c:v>169</c:v>
                </c:pt>
                <c:pt idx="1">
                  <c:v>108</c:v>
                </c:pt>
                <c:pt idx="2">
                  <c:v>93</c:v>
                </c:pt>
                <c:pt idx="3">
                  <c:v>188</c:v>
                </c:pt>
                <c:pt idx="4">
                  <c:v>152</c:v>
                </c:pt>
                <c:pt idx="5">
                  <c:v>142</c:v>
                </c:pt>
                <c:pt idx="6">
                  <c:v>127</c:v>
                </c:pt>
                <c:pt idx="7">
                  <c:v>136</c:v>
                </c:pt>
                <c:pt idx="8">
                  <c:v>64</c:v>
                </c:pt>
                <c:pt idx="9">
                  <c:v>79</c:v>
                </c:pt>
                <c:pt idx="10">
                  <c:v>145</c:v>
                </c:pt>
                <c:pt idx="11">
                  <c:v>121</c:v>
                </c:pt>
                <c:pt idx="12">
                  <c:v>118</c:v>
                </c:pt>
                <c:pt idx="13">
                  <c:v>111</c:v>
                </c:pt>
                <c:pt idx="14">
                  <c:v>101</c:v>
                </c:pt>
                <c:pt idx="15">
                  <c:v>65</c:v>
                </c:pt>
                <c:pt idx="16">
                  <c:v>60</c:v>
                </c:pt>
                <c:pt idx="17">
                  <c:v>136</c:v>
                </c:pt>
                <c:pt idx="18">
                  <c:v>102</c:v>
                </c:pt>
                <c:pt idx="19">
                  <c:v>82</c:v>
                </c:pt>
                <c:pt idx="20">
                  <c:v>78</c:v>
                </c:pt>
                <c:pt idx="21">
                  <c:v>70</c:v>
                </c:pt>
                <c:pt idx="22">
                  <c:v>43</c:v>
                </c:pt>
                <c:pt idx="23">
                  <c:v>46</c:v>
                </c:pt>
                <c:pt idx="24">
                  <c:v>78</c:v>
                </c:pt>
                <c:pt idx="25">
                  <c:v>56</c:v>
                </c:pt>
                <c:pt idx="26">
                  <c:v>40</c:v>
                </c:pt>
                <c:pt idx="27">
                  <c:v>35</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21.5</c:v>
                </c:pt>
                <c:pt idx="1">
                  <c:v>22.5</c:v>
                </c:pt>
                <c:pt idx="2">
                  <c:v>23.5</c:v>
                </c:pt>
                <c:pt idx="3">
                  <c:v>Ma 24</c:v>
                </c:pt>
                <c:pt idx="4">
                  <c:v>25.5</c:v>
                </c:pt>
                <c:pt idx="5">
                  <c:v>26.5</c:v>
                </c:pt>
                <c:pt idx="6">
                  <c:v>27.5</c:v>
                </c:pt>
                <c:pt idx="7">
                  <c:v>28.5</c:v>
                </c:pt>
                <c:pt idx="8">
                  <c:v>29.5</c:v>
                </c:pt>
                <c:pt idx="9">
                  <c:v>30.5</c:v>
                </c:pt>
                <c:pt idx="10">
                  <c:v>Ma 31</c:v>
                </c:pt>
                <c:pt idx="11">
                  <c:v>1.6</c:v>
                </c:pt>
                <c:pt idx="12">
                  <c:v>2.6</c:v>
                </c:pt>
                <c:pt idx="13">
                  <c:v>3.6</c:v>
                </c:pt>
                <c:pt idx="14">
                  <c:v>4.6</c:v>
                </c:pt>
                <c:pt idx="15">
                  <c:v>5.6</c:v>
                </c:pt>
                <c:pt idx="16">
                  <c:v>6.6</c:v>
                </c:pt>
                <c:pt idx="17">
                  <c:v>Ma 7</c:v>
                </c:pt>
                <c:pt idx="18">
                  <c:v>8.6</c:v>
                </c:pt>
                <c:pt idx="19">
                  <c:v>9.6</c:v>
                </c:pt>
                <c:pt idx="20">
                  <c:v>10.6</c:v>
                </c:pt>
                <c:pt idx="21">
                  <c:v>11.6</c:v>
                </c:pt>
                <c:pt idx="22">
                  <c:v>12.6</c:v>
                </c:pt>
                <c:pt idx="23">
                  <c:v>13.6</c:v>
                </c:pt>
                <c:pt idx="24">
                  <c:v>Ma 14</c:v>
                </c:pt>
                <c:pt idx="25">
                  <c:v>15.6</c:v>
                </c:pt>
                <c:pt idx="26">
                  <c:v>16.6</c:v>
                </c:pt>
                <c:pt idx="27">
                  <c:v>17.6</c:v>
                </c:pt>
              </c:strCache>
            </c:strRef>
          </c:cat>
          <c:val>
            <c:numRef>
              <c:f>Lisäys!$F$7:$F$34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-2</c:v>
                </c:pt>
                <c:pt idx="22">
                  <c:v>1</c:v>
                </c:pt>
                <c:pt idx="23">
                  <c:v>10</c:v>
                </c:pt>
                <c:pt idx="24">
                  <c:v>11</c:v>
                </c:pt>
                <c:pt idx="25">
                  <c:v>0</c:v>
                </c:pt>
                <c:pt idx="26">
                  <c:v>9</c:v>
                </c:pt>
                <c:pt idx="27">
                  <c:v>35</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14.6.2021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44361.625</c:v>
                </c:pt>
                <c:pt idx="1">
                  <c:v>44354.625</c:v>
                </c:pt>
                <c:pt idx="2">
                  <c:v>44347.625</c:v>
                </c:pt>
                <c:pt idx="3">
                  <c:v>44340.625</c:v>
                </c:pt>
                <c:pt idx="4">
                  <c:v>44333.625</c:v>
                </c:pt>
                <c:pt idx="5">
                  <c:v>44326.625</c:v>
                </c:pt>
                <c:pt idx="6">
                  <c:v>44319.625</c:v>
                </c:pt>
                <c:pt idx="7">
                  <c:v>44312.625</c:v>
                </c:pt>
                <c:pt idx="8">
                  <c:v>44305.625</c:v>
                </c:pt>
                <c:pt idx="9">
                  <c:v>44298.625</c:v>
                </c:pt>
              </c:numCache>
            </c:numRef>
          </c:xVal>
          <c:yVal>
            <c:numRef>
              <c:f>Lisäys!$E$50:$E$59</c:f>
              <c:numCache>
                <c:formatCode>General</c:formatCode>
                <c:ptCount val="10"/>
                <c:pt idx="0">
                  <c:v>78</c:v>
                </c:pt>
                <c:pt idx="1">
                  <c:v>136</c:v>
                </c:pt>
                <c:pt idx="2">
                  <c:v>145</c:v>
                </c:pt>
                <c:pt idx="3">
                  <c:v>188</c:v>
                </c:pt>
                <c:pt idx="4">
                  <c:v>284</c:v>
                </c:pt>
                <c:pt idx="5">
                  <c:v>257</c:v>
                </c:pt>
                <c:pt idx="6">
                  <c:v>318</c:v>
                </c:pt>
                <c:pt idx="7">
                  <c:v>243</c:v>
                </c:pt>
                <c:pt idx="8">
                  <c:v>284</c:v>
                </c:pt>
                <c:pt idx="9">
                  <c:v>398</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44360.625</c:v>
                </c:pt>
                <c:pt idx="1">
                  <c:v>44353.625</c:v>
                </c:pt>
                <c:pt idx="2">
                  <c:v>44346.625</c:v>
                </c:pt>
                <c:pt idx="3">
                  <c:v>44339.625</c:v>
                </c:pt>
                <c:pt idx="4">
                  <c:v>44332.625</c:v>
                </c:pt>
                <c:pt idx="5">
                  <c:v>44325.625</c:v>
                </c:pt>
                <c:pt idx="6">
                  <c:v>44318.625</c:v>
                </c:pt>
                <c:pt idx="7">
                  <c:v>44311.625</c:v>
                </c:pt>
                <c:pt idx="8">
                  <c:v>44304.625</c:v>
                </c:pt>
                <c:pt idx="9">
                  <c:v>44297.625</c:v>
                </c:pt>
              </c:numCache>
            </c:numRef>
          </c:xVal>
          <c:yVal>
            <c:numRef>
              <c:f>Lisäys!$I$50:$I$59</c:f>
              <c:numCache>
                <c:formatCode>General</c:formatCode>
                <c:ptCount val="10"/>
                <c:pt idx="0">
                  <c:v>46</c:v>
                </c:pt>
                <c:pt idx="1">
                  <c:v>60</c:v>
                </c:pt>
                <c:pt idx="2">
                  <c:v>79</c:v>
                </c:pt>
                <c:pt idx="3">
                  <c:v>93</c:v>
                </c:pt>
                <c:pt idx="4">
                  <c:v>133</c:v>
                </c:pt>
                <c:pt idx="5">
                  <c:v>130</c:v>
                </c:pt>
                <c:pt idx="6">
                  <c:v>135</c:v>
                </c:pt>
                <c:pt idx="7">
                  <c:v>140</c:v>
                </c:pt>
                <c:pt idx="8">
                  <c:v>156</c:v>
                </c:pt>
                <c:pt idx="9">
                  <c:v>239</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44359.625</c:v>
                </c:pt>
                <c:pt idx="1">
                  <c:v>44352.625</c:v>
                </c:pt>
                <c:pt idx="2">
                  <c:v>44345.625</c:v>
                </c:pt>
                <c:pt idx="3">
                  <c:v>44338.625</c:v>
                </c:pt>
                <c:pt idx="4">
                  <c:v>44331.625</c:v>
                </c:pt>
                <c:pt idx="5">
                  <c:v>44324.625</c:v>
                </c:pt>
                <c:pt idx="6">
                  <c:v>44317.625</c:v>
                </c:pt>
                <c:pt idx="7">
                  <c:v>44310.625</c:v>
                </c:pt>
                <c:pt idx="8">
                  <c:v>44303.625</c:v>
                </c:pt>
                <c:pt idx="9">
                  <c:v>44296.625</c:v>
                </c:pt>
              </c:numCache>
            </c:numRef>
          </c:xVal>
          <c:yVal>
            <c:numRef>
              <c:f>Lisäys!$M$50:$M$59</c:f>
              <c:numCache>
                <c:formatCode>General</c:formatCode>
                <c:ptCount val="10"/>
                <c:pt idx="0">
                  <c:v>43</c:v>
                </c:pt>
                <c:pt idx="1">
                  <c:v>65</c:v>
                </c:pt>
                <c:pt idx="2">
                  <c:v>64</c:v>
                </c:pt>
                <c:pt idx="3">
                  <c:v>108</c:v>
                </c:pt>
                <c:pt idx="4">
                  <c:v>160</c:v>
                </c:pt>
                <c:pt idx="5">
                  <c:v>131</c:v>
                </c:pt>
                <c:pt idx="6">
                  <c:v>108</c:v>
                </c:pt>
                <c:pt idx="7">
                  <c:v>155</c:v>
                </c:pt>
                <c:pt idx="8">
                  <c:v>171</c:v>
                </c:pt>
                <c:pt idx="9">
                  <c:v>226</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44358.625</c:v>
                </c:pt>
                <c:pt idx="1">
                  <c:v>44351.625</c:v>
                </c:pt>
                <c:pt idx="2">
                  <c:v>44344.625</c:v>
                </c:pt>
                <c:pt idx="3">
                  <c:v>44337.625</c:v>
                </c:pt>
                <c:pt idx="4">
                  <c:v>44330.625</c:v>
                </c:pt>
                <c:pt idx="5">
                  <c:v>44323.625</c:v>
                </c:pt>
                <c:pt idx="6">
                  <c:v>44316.625</c:v>
                </c:pt>
                <c:pt idx="7">
                  <c:v>44309.625</c:v>
                </c:pt>
                <c:pt idx="8">
                  <c:v>44302.625</c:v>
                </c:pt>
                <c:pt idx="9">
                  <c:v>44295.625</c:v>
                </c:pt>
              </c:numCache>
            </c:numRef>
          </c:xVal>
          <c:yVal>
            <c:numRef>
              <c:f>Lisäys!$Q$50:$Q$59</c:f>
              <c:numCache>
                <c:formatCode>General</c:formatCode>
                <c:ptCount val="10"/>
                <c:pt idx="0">
                  <c:v>70</c:v>
                </c:pt>
                <c:pt idx="1">
                  <c:v>101</c:v>
                </c:pt>
                <c:pt idx="2">
                  <c:v>136</c:v>
                </c:pt>
                <c:pt idx="3">
                  <c:v>169</c:v>
                </c:pt>
                <c:pt idx="4">
                  <c:v>245</c:v>
                </c:pt>
                <c:pt idx="5">
                  <c:v>214</c:v>
                </c:pt>
                <c:pt idx="6">
                  <c:v>197</c:v>
                </c:pt>
                <c:pt idx="7">
                  <c:v>255</c:v>
                </c:pt>
                <c:pt idx="8">
                  <c:v>264</c:v>
                </c:pt>
                <c:pt idx="9">
                  <c:v>351</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44357.625</c:v>
                </c:pt>
                <c:pt idx="1">
                  <c:v>44350.625</c:v>
                </c:pt>
                <c:pt idx="2">
                  <c:v>44343.625</c:v>
                </c:pt>
                <c:pt idx="3">
                  <c:v>44336.625</c:v>
                </c:pt>
                <c:pt idx="4">
                  <c:v>44329.625</c:v>
                </c:pt>
                <c:pt idx="5">
                  <c:v>44322.625</c:v>
                </c:pt>
                <c:pt idx="6">
                  <c:v>44315.625</c:v>
                </c:pt>
                <c:pt idx="7">
                  <c:v>44308.625</c:v>
                </c:pt>
                <c:pt idx="8">
                  <c:v>44301.625</c:v>
                </c:pt>
                <c:pt idx="9">
                  <c:v>44294.625</c:v>
                </c:pt>
              </c:numCache>
            </c:numRef>
          </c:xVal>
          <c:yVal>
            <c:numRef>
              <c:f>Lisäys!$U$50:$U$59</c:f>
              <c:numCache>
                <c:formatCode>General</c:formatCode>
                <c:ptCount val="10"/>
                <c:pt idx="0">
                  <c:v>78</c:v>
                </c:pt>
                <c:pt idx="1">
                  <c:v>111</c:v>
                </c:pt>
                <c:pt idx="2">
                  <c:v>127</c:v>
                </c:pt>
                <c:pt idx="3">
                  <c:v>215</c:v>
                </c:pt>
                <c:pt idx="4">
                  <c:v>156</c:v>
                </c:pt>
                <c:pt idx="5">
                  <c:v>239</c:v>
                </c:pt>
                <c:pt idx="6">
                  <c:v>201</c:v>
                </c:pt>
                <c:pt idx="7">
                  <c:v>258</c:v>
                </c:pt>
                <c:pt idx="8">
                  <c:v>274</c:v>
                </c:pt>
                <c:pt idx="9">
                  <c:v>407</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44356.625</c:v>
                </c:pt>
                <c:pt idx="1">
                  <c:v>44349.625</c:v>
                </c:pt>
                <c:pt idx="2">
                  <c:v>44342.625</c:v>
                </c:pt>
                <c:pt idx="3">
                  <c:v>44335.625</c:v>
                </c:pt>
                <c:pt idx="4">
                  <c:v>44328.625</c:v>
                </c:pt>
                <c:pt idx="5">
                  <c:v>44321.625</c:v>
                </c:pt>
                <c:pt idx="6">
                  <c:v>44314.625</c:v>
                </c:pt>
                <c:pt idx="7">
                  <c:v>44307.625</c:v>
                </c:pt>
                <c:pt idx="8">
                  <c:v>44300.625</c:v>
                </c:pt>
                <c:pt idx="9">
                  <c:v>44293.625</c:v>
                </c:pt>
              </c:numCache>
            </c:numRef>
          </c:xVal>
          <c:yVal>
            <c:numRef>
              <c:f>Lisäys!$Y$50:$Y$59</c:f>
              <c:numCache>
                <c:formatCode>General</c:formatCode>
                <c:ptCount val="10"/>
                <c:pt idx="0">
                  <c:v>82</c:v>
                </c:pt>
                <c:pt idx="1">
                  <c:v>118</c:v>
                </c:pt>
                <c:pt idx="2">
                  <c:v>142</c:v>
                </c:pt>
                <c:pt idx="3">
                  <c:v>230</c:v>
                </c:pt>
                <c:pt idx="4">
                  <c:v>256</c:v>
                </c:pt>
                <c:pt idx="5">
                  <c:v>266</c:v>
                </c:pt>
                <c:pt idx="6">
                  <c:v>274</c:v>
                </c:pt>
                <c:pt idx="7">
                  <c:v>233</c:v>
                </c:pt>
                <c:pt idx="8">
                  <c:v>345</c:v>
                </c:pt>
                <c:pt idx="9">
                  <c:v>426</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44355.625</c:v>
                </c:pt>
                <c:pt idx="1">
                  <c:v>44348.625</c:v>
                </c:pt>
                <c:pt idx="2">
                  <c:v>44341.625</c:v>
                </c:pt>
                <c:pt idx="3">
                  <c:v>44334.625</c:v>
                </c:pt>
                <c:pt idx="4">
                  <c:v>44327.625</c:v>
                </c:pt>
                <c:pt idx="5">
                  <c:v>44320.625</c:v>
                </c:pt>
                <c:pt idx="6">
                  <c:v>44313.625</c:v>
                </c:pt>
                <c:pt idx="7">
                  <c:v>44306.625</c:v>
                </c:pt>
                <c:pt idx="8">
                  <c:v>44299.625</c:v>
                </c:pt>
                <c:pt idx="9">
                  <c:v>44292.625</c:v>
                </c:pt>
              </c:numCache>
            </c:numRef>
          </c:xVal>
          <c:yVal>
            <c:numRef>
              <c:f>Lisäys!$AC$50:$AC$59</c:f>
              <c:numCache>
                <c:formatCode>General</c:formatCode>
                <c:ptCount val="10"/>
                <c:pt idx="0">
                  <c:v>102</c:v>
                </c:pt>
                <c:pt idx="1">
                  <c:v>121</c:v>
                </c:pt>
                <c:pt idx="2">
                  <c:v>152</c:v>
                </c:pt>
                <c:pt idx="3">
                  <c:v>217</c:v>
                </c:pt>
                <c:pt idx="4">
                  <c:v>215</c:v>
                </c:pt>
                <c:pt idx="5">
                  <c:v>205</c:v>
                </c:pt>
                <c:pt idx="6">
                  <c:v>228</c:v>
                </c:pt>
                <c:pt idx="7">
                  <c:v>285</c:v>
                </c:pt>
                <c:pt idx="8">
                  <c:v>325</c:v>
                </c:pt>
                <c:pt idx="9">
                  <c:v>545</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773</c:v>
                </c:pt>
                <c:pt idx="2">
                  <c:v>822</c:v>
                </c:pt>
                <c:pt idx="3">
                  <c:v>779</c:v>
                </c:pt>
                <c:pt idx="4">
                  <c:v>808</c:v>
                </c:pt>
                <c:pt idx="5">
                  <c:v>491</c:v>
                </c:pt>
                <c:pt idx="6">
                  <c:v>434</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1B5AD9BA-DDE8-493A-A7EF-16B25F530CF7}" type="CELLRANGE">
                      <a:rPr lang="en-US"/>
                      <a:pPr/>
                      <a:t>[CELLRANGE]</a:t>
                    </a:fld>
                    <a:r>
                      <a:rPr lang="en-US" baseline="0"/>
                      <a:t>; </a:t>
                    </a:r>
                    <a:fld id="{C706D7C0-BA4A-46C1-BDA3-AA5047C74FB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77D8B931-32C1-4008-880B-CA93BA398780}" type="CELLRANGE">
                      <a:rPr lang="en-US"/>
                      <a:pPr/>
                      <a:t>[CELLRANGE]</a:t>
                    </a:fld>
                    <a:r>
                      <a:rPr lang="en-US" baseline="0"/>
                      <a:t>; </a:t>
                    </a:r>
                    <a:fld id="{F7D6C397-DB0C-4896-843B-1218205019F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34E86618-A6EB-4121-8FF4-A746CD19175A}" type="CELLRANGE">
                      <a:rPr lang="en-US"/>
                      <a:pPr/>
                      <a:t>[CELLRANGE]</a:t>
                    </a:fld>
                    <a:r>
                      <a:rPr lang="en-US" baseline="0"/>
                      <a:t>; </a:t>
                    </a:r>
                    <a:fld id="{D24F7CAC-E71B-4071-8557-F42B10908FE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8AE20120-5A90-4D14-B3B2-03A17602EBF2}" type="CELLRANGE">
                      <a:rPr lang="en-US"/>
                      <a:pPr/>
                      <a:t>[CELLRANGE]</a:t>
                    </a:fld>
                    <a:r>
                      <a:rPr lang="en-US" baseline="0"/>
                      <a:t>; </a:t>
                    </a:r>
                    <a:fld id="{DB643330-5A90-4EF7-A368-3F267F7BD10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4410941F-B5D7-40AE-9896-6C3210C3D1D0}" type="CELLRANGE">
                      <a:rPr lang="en-US"/>
                      <a:pPr/>
                      <a:t>[CELLRANGE]</a:t>
                    </a:fld>
                    <a:r>
                      <a:rPr lang="en-US" baseline="0"/>
                      <a:t>; </a:t>
                    </a:r>
                    <a:fld id="{27E25BC4-F1CA-44A4-95EF-A33F79F6663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66725DFB-BECB-480D-8EFD-A0D62700FE3B}" type="CELLRANGE">
                      <a:rPr lang="en-US"/>
                      <a:pPr/>
                      <a:t>[CELLRANGE]</a:t>
                    </a:fld>
                    <a:r>
                      <a:rPr lang="en-US" baseline="0"/>
                      <a:t>; </a:t>
                    </a:r>
                    <a:fld id="{8A4D4507-63C7-4EC2-AA3B-FD78945E463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E602EBEB-3DB2-421E-B1AC-882FE1DBE482}" type="CELLRANGE">
                      <a:rPr lang="en-US"/>
                      <a:pPr/>
                      <a:t>[CELLRANGE]</a:t>
                    </a:fld>
                    <a:r>
                      <a:rPr lang="en-US" baseline="0"/>
                      <a:t>; </a:t>
                    </a:r>
                    <a:fld id="{23DA2A4E-67ED-4220-80D0-82F3AA6D4D73}"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892</c:v>
                </c:pt>
                <c:pt idx="1">
                  <c:v>773</c:v>
                </c:pt>
                <c:pt idx="2">
                  <c:v>822</c:v>
                </c:pt>
                <c:pt idx="3">
                  <c:v>779</c:v>
                </c:pt>
                <c:pt idx="4">
                  <c:v>808</c:v>
                </c:pt>
                <c:pt idx="5">
                  <c:v>491</c:v>
                </c:pt>
                <c:pt idx="6">
                  <c:v>434</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14.6.2021 saakka. Suurin arvo 892,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HUS!PlotX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HUS!PlotY</c:f>
              <c:numCache>
                <c:formatCode>General</c:formatCode>
                <c:ptCount val="5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103</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67</c:v>
                </c:pt>
                <c:pt idx="367">
                  <c:v>117</c:v>
                </c:pt>
                <c:pt idx="368">
                  <c:v>93</c:v>
                </c:pt>
                <c:pt idx="369">
                  <c:v>197</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97</c:v>
                </c:pt>
                <c:pt idx="383">
                  <c:v>257</c:v>
                </c:pt>
                <c:pt idx="384">
                  <c:v>189</c:v>
                </c:pt>
                <c:pt idx="385">
                  <c:v>209</c:v>
                </c:pt>
                <c:pt idx="386">
                  <c:v>178</c:v>
                </c:pt>
                <c:pt idx="387">
                  <c:v>196</c:v>
                </c:pt>
                <c:pt idx="388">
                  <c:v>93</c:v>
                </c:pt>
                <c:pt idx="389">
                  <c:v>153</c:v>
                </c:pt>
                <c:pt idx="390">
                  <c:v>257</c:v>
                </c:pt>
                <c:pt idx="391">
                  <c:v>212</c:v>
                </c:pt>
                <c:pt idx="392">
                  <c:v>188</c:v>
                </c:pt>
                <c:pt idx="393">
                  <c:v>229</c:v>
                </c:pt>
                <c:pt idx="394">
                  <c:v>191</c:v>
                </c:pt>
                <c:pt idx="395">
                  <c:v>132</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417</c:v>
                </c:pt>
                <c:pt idx="421">
                  <c:v>361</c:v>
                </c:pt>
                <c:pt idx="422">
                  <c:v>429</c:v>
                </c:pt>
                <c:pt idx="423">
                  <c:v>266</c:v>
                </c:pt>
                <c:pt idx="424">
                  <c:v>266</c:v>
                </c:pt>
                <c:pt idx="425">
                  <c:v>483</c:v>
                </c:pt>
                <c:pt idx="426">
                  <c:v>492</c:v>
                </c:pt>
                <c:pt idx="427">
                  <c:v>475</c:v>
                </c:pt>
                <c:pt idx="428">
                  <c:v>389</c:v>
                </c:pt>
                <c:pt idx="429">
                  <c:v>420</c:v>
                </c:pt>
                <c:pt idx="430">
                  <c:v>277</c:v>
                </c:pt>
                <c:pt idx="431">
                  <c:v>256</c:v>
                </c:pt>
                <c:pt idx="432">
                  <c:v>501</c:v>
                </c:pt>
                <c:pt idx="433">
                  <c:v>506</c:v>
                </c:pt>
                <c:pt idx="434">
                  <c:v>505</c:v>
                </c:pt>
                <c:pt idx="435">
                  <c:v>477</c:v>
                </c:pt>
                <c:pt idx="436">
                  <c:v>517</c:v>
                </c:pt>
                <c:pt idx="437">
                  <c:v>327</c:v>
                </c:pt>
                <c:pt idx="438">
                  <c:v>262</c:v>
                </c:pt>
                <c:pt idx="439">
                  <c:v>508</c:v>
                </c:pt>
                <c:pt idx="440">
                  <c:v>454</c:v>
                </c:pt>
                <c:pt idx="441">
                  <c:v>417</c:v>
                </c:pt>
                <c:pt idx="442">
                  <c:v>455</c:v>
                </c:pt>
                <c:pt idx="443">
                  <c:v>444</c:v>
                </c:pt>
                <c:pt idx="444">
                  <c:v>287</c:v>
                </c:pt>
                <c:pt idx="445">
                  <c:v>288</c:v>
                </c:pt>
                <c:pt idx="446">
                  <c:v>452</c:v>
                </c:pt>
                <c:pt idx="447">
                  <c:v>452</c:v>
                </c:pt>
                <c:pt idx="448">
                  <c:v>394</c:v>
                </c:pt>
                <c:pt idx="449">
                  <c:v>355</c:v>
                </c:pt>
                <c:pt idx="450">
                  <c:v>407</c:v>
                </c:pt>
                <c:pt idx="451">
                  <c:v>199</c:v>
                </c:pt>
                <c:pt idx="452">
                  <c:v>248</c:v>
                </c:pt>
                <c:pt idx="453">
                  <c:v>378</c:v>
                </c:pt>
                <c:pt idx="454">
                  <c:v>322</c:v>
                </c:pt>
                <c:pt idx="455">
                  <c:v>331</c:v>
                </c:pt>
                <c:pt idx="456">
                  <c:v>252</c:v>
                </c:pt>
                <c:pt idx="457">
                  <c:v>223</c:v>
                </c:pt>
                <c:pt idx="458">
                  <c:v>188</c:v>
                </c:pt>
                <c:pt idx="459">
                  <c:v>206</c:v>
                </c:pt>
                <c:pt idx="460">
                  <c:v>232</c:v>
                </c:pt>
                <c:pt idx="461">
                  <c:v>305</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144</c:v>
                </c:pt>
                <c:pt idx="476">
                  <c:v>114</c:v>
                </c:pt>
                <c:pt idx="477">
                  <c:v>139</c:v>
                </c:pt>
                <c:pt idx="478">
                  <c:v>110</c:v>
                </c:pt>
                <c:pt idx="479">
                  <c:v>85</c:v>
                </c:pt>
                <c:pt idx="480">
                  <c:v>83</c:v>
                </c:pt>
                <c:pt idx="481">
                  <c:v>121</c:v>
                </c:pt>
                <c:pt idx="482">
                  <c:v>109</c:v>
                </c:pt>
                <c:pt idx="483">
                  <c:v>146</c:v>
                </c:pt>
                <c:pt idx="484">
                  <c:v>94</c:v>
                </c:pt>
                <c:pt idx="485">
                  <c:v>97</c:v>
                </c:pt>
                <c:pt idx="486">
                  <c:v>54</c:v>
                </c:pt>
                <c:pt idx="487">
                  <c:v>81</c:v>
                </c:pt>
                <c:pt idx="488">
                  <c:v>158</c:v>
                </c:pt>
                <c:pt idx="489">
                  <c:v>113</c:v>
                </c:pt>
                <c:pt idx="490">
                  <c:v>126</c:v>
                </c:pt>
                <c:pt idx="491">
                  <c:v>113</c:v>
                </c:pt>
                <c:pt idx="492">
                  <c:v>94</c:v>
                </c:pt>
                <c:pt idx="493">
                  <c:v>69</c:v>
                </c:pt>
                <c:pt idx="494">
                  <c:v>69</c:v>
                </c:pt>
                <c:pt idx="495">
                  <c:v>138</c:v>
                </c:pt>
                <c:pt idx="496">
                  <c:v>107</c:v>
                </c:pt>
                <c:pt idx="497">
                  <c:v>146</c:v>
                </c:pt>
                <c:pt idx="498">
                  <c:v>77</c:v>
                </c:pt>
                <c:pt idx="499">
                  <c:v>85</c:v>
                </c:pt>
                <c:pt idx="500">
                  <c:v>80</c:v>
                </c:pt>
                <c:pt idx="501">
                  <c:v>55</c:v>
                </c:pt>
                <c:pt idx="502">
                  <c:v>120</c:v>
                </c:pt>
                <c:pt idx="503">
                  <c:v>109</c:v>
                </c:pt>
                <c:pt idx="504">
                  <c:v>113</c:v>
                </c:pt>
                <c:pt idx="505">
                  <c:v>103</c:v>
                </c:pt>
                <c:pt idx="506">
                  <c:v>86</c:v>
                </c:pt>
                <c:pt idx="507">
                  <c:v>55</c:v>
                </c:pt>
                <c:pt idx="508">
                  <c:v>54</c:v>
                </c:pt>
                <c:pt idx="509">
                  <c:v>109</c:v>
                </c:pt>
                <c:pt idx="510">
                  <c:v>85</c:v>
                </c:pt>
                <c:pt idx="511">
                  <c:v>76</c:v>
                </c:pt>
                <c:pt idx="512">
                  <c:v>56</c:v>
                </c:pt>
                <c:pt idx="513">
                  <c:v>64</c:v>
                </c:pt>
                <c:pt idx="514">
                  <c:v>28</c:v>
                </c:pt>
                <c:pt idx="515">
                  <c:v>49</c:v>
                </c:pt>
                <c:pt idx="516">
                  <c:v>95</c:v>
                </c:pt>
                <c:pt idx="517">
                  <c:v>77</c:v>
                </c:pt>
                <c:pt idx="518">
                  <c:v>67</c:v>
                </c:pt>
                <c:pt idx="519">
                  <c:v>68</c:v>
                </c:pt>
                <c:pt idx="520">
                  <c:v>63</c:v>
                </c:pt>
                <c:pt idx="521">
                  <c:v>41</c:v>
                </c:pt>
                <c:pt idx="522">
                  <c:v>42</c:v>
                </c:pt>
                <c:pt idx="523">
                  <c:v>85</c:v>
                </c:pt>
                <c:pt idx="524">
                  <c:v>54</c:v>
                </c:pt>
                <c:pt idx="525">
                  <c:v>37</c:v>
                </c:pt>
                <c:pt idx="526">
                  <c:v>32</c:v>
                </c:pt>
                <c:pt idx="527">
                  <c:v>33</c:v>
                </c:pt>
                <c:pt idx="528">
                  <c:v>33</c:v>
                </c:pt>
                <c:pt idx="529">
                  <c:v>32</c:v>
                </c:pt>
                <c:pt idx="530">
                  <c:v>33</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531"/>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strCache>
            </c:strRef>
          </c:cat>
          <c:val>
            <c:numRef>
              <c:f>[0]!PlotY</c:f>
              <c:numCache>
                <c:formatCode>General</c:formatCode>
                <c:ptCount val="5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193</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353</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129</c:v>
                </c:pt>
                <c:pt idx="367">
                  <c:v>206</c:v>
                </c:pt>
                <c:pt idx="368">
                  <c:v>169</c:v>
                </c:pt>
                <c:pt idx="369">
                  <c:v>398</c:v>
                </c:pt>
                <c:pt idx="370">
                  <c:v>263</c:v>
                </c:pt>
                <c:pt idx="371">
                  <c:v>209</c:v>
                </c:pt>
                <c:pt idx="372">
                  <c:v>332</c:v>
                </c:pt>
                <c:pt idx="373">
                  <c:v>252</c:v>
                </c:pt>
                <c:pt idx="374">
                  <c:v>194</c:v>
                </c:pt>
                <c:pt idx="375">
                  <c:v>186</c:v>
                </c:pt>
                <c:pt idx="376">
                  <c:v>386</c:v>
                </c:pt>
                <c:pt idx="377">
                  <c:v>229</c:v>
                </c:pt>
                <c:pt idx="378">
                  <c:v>260</c:v>
                </c:pt>
                <c:pt idx="379">
                  <c:v>249</c:v>
                </c:pt>
                <c:pt idx="380">
                  <c:v>266</c:v>
                </c:pt>
                <c:pt idx="381">
                  <c:v>171</c:v>
                </c:pt>
                <c:pt idx="382">
                  <c:v>197</c:v>
                </c:pt>
                <c:pt idx="383">
                  <c:v>448</c:v>
                </c:pt>
                <c:pt idx="384">
                  <c:v>342</c:v>
                </c:pt>
                <c:pt idx="385">
                  <c:v>406</c:v>
                </c:pt>
                <c:pt idx="386">
                  <c:v>377</c:v>
                </c:pt>
                <c:pt idx="387">
                  <c:v>361</c:v>
                </c:pt>
                <c:pt idx="388">
                  <c:v>168</c:v>
                </c:pt>
                <c:pt idx="389">
                  <c:v>247</c:v>
                </c:pt>
                <c:pt idx="390">
                  <c:v>605</c:v>
                </c:pt>
                <c:pt idx="391">
                  <c:v>397</c:v>
                </c:pt>
                <c:pt idx="392">
                  <c:v>382</c:v>
                </c:pt>
                <c:pt idx="393">
                  <c:v>435</c:v>
                </c:pt>
                <c:pt idx="394">
                  <c:v>378</c:v>
                </c:pt>
                <c:pt idx="395">
                  <c:v>232</c:v>
                </c:pt>
                <c:pt idx="396">
                  <c:v>273</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598</c:v>
                </c:pt>
                <c:pt idx="421">
                  <c:v>629</c:v>
                </c:pt>
                <c:pt idx="422">
                  <c:v>686</c:v>
                </c:pt>
                <c:pt idx="423">
                  <c:v>401</c:v>
                </c:pt>
                <c:pt idx="424">
                  <c:v>422</c:v>
                </c:pt>
                <c:pt idx="425">
                  <c:v>875</c:v>
                </c:pt>
                <c:pt idx="426">
                  <c:v>758</c:v>
                </c:pt>
                <c:pt idx="427">
                  <c:v>732</c:v>
                </c:pt>
                <c:pt idx="428">
                  <c:v>640</c:v>
                </c:pt>
                <c:pt idx="429">
                  <c:v>630</c:v>
                </c:pt>
                <c:pt idx="430">
                  <c:v>433</c:v>
                </c:pt>
                <c:pt idx="431">
                  <c:v>395</c:v>
                </c:pt>
                <c:pt idx="432">
                  <c:v>834</c:v>
                </c:pt>
                <c:pt idx="433">
                  <c:v>773</c:v>
                </c:pt>
                <c:pt idx="434">
                  <c:v>822</c:v>
                </c:pt>
                <c:pt idx="435">
                  <c:v>779</c:v>
                </c:pt>
                <c:pt idx="436">
                  <c:v>808</c:v>
                </c:pt>
                <c:pt idx="437">
                  <c:v>491</c:v>
                </c:pt>
                <c:pt idx="438">
                  <c:v>434</c:v>
                </c:pt>
                <c:pt idx="439">
                  <c:v>892</c:v>
                </c:pt>
                <c:pt idx="440">
                  <c:v>767</c:v>
                </c:pt>
                <c:pt idx="441">
                  <c:v>743</c:v>
                </c:pt>
                <c:pt idx="442">
                  <c:v>735</c:v>
                </c:pt>
                <c:pt idx="443">
                  <c:v>745</c:v>
                </c:pt>
                <c:pt idx="444">
                  <c:v>404</c:v>
                </c:pt>
                <c:pt idx="445">
                  <c:v>420</c:v>
                </c:pt>
                <c:pt idx="446">
                  <c:v>769</c:v>
                </c:pt>
                <c:pt idx="447">
                  <c:v>703</c:v>
                </c:pt>
                <c:pt idx="448">
                  <c:v>695</c:v>
                </c:pt>
                <c:pt idx="449">
                  <c:v>606</c:v>
                </c:pt>
                <c:pt idx="450">
                  <c:v>688</c:v>
                </c:pt>
                <c:pt idx="451">
                  <c:v>351</c:v>
                </c:pt>
                <c:pt idx="452">
                  <c:v>372</c:v>
                </c:pt>
                <c:pt idx="453">
                  <c:v>654</c:v>
                </c:pt>
                <c:pt idx="454">
                  <c:v>570</c:v>
                </c:pt>
                <c:pt idx="455">
                  <c:v>550</c:v>
                </c:pt>
                <c:pt idx="456">
                  <c:v>486</c:v>
                </c:pt>
                <c:pt idx="457">
                  <c:v>361</c:v>
                </c:pt>
                <c:pt idx="458">
                  <c:v>320</c:v>
                </c:pt>
                <c:pt idx="459">
                  <c:v>322</c:v>
                </c:pt>
                <c:pt idx="460">
                  <c:v>359</c:v>
                </c:pt>
                <c:pt idx="461">
                  <c:v>545</c:v>
                </c:pt>
                <c:pt idx="462">
                  <c:v>426</c:v>
                </c:pt>
                <c:pt idx="463">
                  <c:v>407</c:v>
                </c:pt>
                <c:pt idx="464">
                  <c:v>351</c:v>
                </c:pt>
                <c:pt idx="465">
                  <c:v>226</c:v>
                </c:pt>
                <c:pt idx="466">
                  <c:v>239</c:v>
                </c:pt>
                <c:pt idx="467">
                  <c:v>398</c:v>
                </c:pt>
                <c:pt idx="468">
                  <c:v>325</c:v>
                </c:pt>
                <c:pt idx="469">
                  <c:v>345</c:v>
                </c:pt>
                <c:pt idx="470">
                  <c:v>274</c:v>
                </c:pt>
                <c:pt idx="471">
                  <c:v>264</c:v>
                </c:pt>
                <c:pt idx="472">
                  <c:v>171</c:v>
                </c:pt>
                <c:pt idx="473">
                  <c:v>156</c:v>
                </c:pt>
                <c:pt idx="474">
                  <c:v>284</c:v>
                </c:pt>
                <c:pt idx="475">
                  <c:v>285</c:v>
                </c:pt>
                <c:pt idx="476">
                  <c:v>233</c:v>
                </c:pt>
                <c:pt idx="477">
                  <c:v>258</c:v>
                </c:pt>
                <c:pt idx="478">
                  <c:v>255</c:v>
                </c:pt>
                <c:pt idx="479">
                  <c:v>155</c:v>
                </c:pt>
                <c:pt idx="480">
                  <c:v>140</c:v>
                </c:pt>
                <c:pt idx="481">
                  <c:v>243</c:v>
                </c:pt>
                <c:pt idx="482">
                  <c:v>228</c:v>
                </c:pt>
                <c:pt idx="483">
                  <c:v>274</c:v>
                </c:pt>
                <c:pt idx="484">
                  <c:v>201</c:v>
                </c:pt>
                <c:pt idx="485">
                  <c:v>197</c:v>
                </c:pt>
                <c:pt idx="486">
                  <c:v>108</c:v>
                </c:pt>
                <c:pt idx="487">
                  <c:v>135</c:v>
                </c:pt>
                <c:pt idx="488">
                  <c:v>318</c:v>
                </c:pt>
                <c:pt idx="489">
                  <c:v>205</c:v>
                </c:pt>
                <c:pt idx="490">
                  <c:v>266</c:v>
                </c:pt>
                <c:pt idx="491">
                  <c:v>239</c:v>
                </c:pt>
                <c:pt idx="492">
                  <c:v>214</c:v>
                </c:pt>
                <c:pt idx="493">
                  <c:v>131</c:v>
                </c:pt>
                <c:pt idx="494">
                  <c:v>130</c:v>
                </c:pt>
                <c:pt idx="495">
                  <c:v>257</c:v>
                </c:pt>
                <c:pt idx="496">
                  <c:v>215</c:v>
                </c:pt>
                <c:pt idx="497">
                  <c:v>256</c:v>
                </c:pt>
                <c:pt idx="498">
                  <c:v>156</c:v>
                </c:pt>
                <c:pt idx="499">
                  <c:v>245</c:v>
                </c:pt>
                <c:pt idx="500">
                  <c:v>160</c:v>
                </c:pt>
                <c:pt idx="501">
                  <c:v>133</c:v>
                </c:pt>
                <c:pt idx="502">
                  <c:v>284</c:v>
                </c:pt>
                <c:pt idx="503">
                  <c:v>217</c:v>
                </c:pt>
                <c:pt idx="504">
                  <c:v>230</c:v>
                </c:pt>
                <c:pt idx="505">
                  <c:v>215</c:v>
                </c:pt>
                <c:pt idx="506">
                  <c:v>169</c:v>
                </c:pt>
                <c:pt idx="507">
                  <c:v>108</c:v>
                </c:pt>
                <c:pt idx="508">
                  <c:v>93</c:v>
                </c:pt>
                <c:pt idx="509">
                  <c:v>188</c:v>
                </c:pt>
                <c:pt idx="510">
                  <c:v>152</c:v>
                </c:pt>
                <c:pt idx="511">
                  <c:v>142</c:v>
                </c:pt>
                <c:pt idx="512">
                  <c:v>127</c:v>
                </c:pt>
                <c:pt idx="513">
                  <c:v>136</c:v>
                </c:pt>
                <c:pt idx="514">
                  <c:v>64</c:v>
                </c:pt>
                <c:pt idx="515">
                  <c:v>79</c:v>
                </c:pt>
                <c:pt idx="516">
                  <c:v>145</c:v>
                </c:pt>
                <c:pt idx="517">
                  <c:v>121</c:v>
                </c:pt>
                <c:pt idx="518">
                  <c:v>118</c:v>
                </c:pt>
                <c:pt idx="519">
                  <c:v>111</c:v>
                </c:pt>
                <c:pt idx="520">
                  <c:v>101</c:v>
                </c:pt>
                <c:pt idx="521">
                  <c:v>65</c:v>
                </c:pt>
                <c:pt idx="522">
                  <c:v>60</c:v>
                </c:pt>
                <c:pt idx="523">
                  <c:v>136</c:v>
                </c:pt>
                <c:pt idx="524">
                  <c:v>102</c:v>
                </c:pt>
                <c:pt idx="525">
                  <c:v>82</c:v>
                </c:pt>
                <c:pt idx="526">
                  <c:v>78</c:v>
                </c:pt>
                <c:pt idx="527">
                  <c:v>70</c:v>
                </c:pt>
                <c:pt idx="528">
                  <c:v>43</c:v>
                </c:pt>
                <c:pt idx="529">
                  <c:v>46</c:v>
                </c:pt>
                <c:pt idx="530">
                  <c:v>78</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showDLblsOverMax val="0"/>
    <c:extLst/>
  </c:chart>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66675</xdr:rowOff>
        </xdr:from>
        <xdr:to>
          <xdr:col>1</xdr:col>
          <xdr:colOff>1362075</xdr:colOff>
          <xdr:row>0</xdr:row>
          <xdr:rowOff>447675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60960</xdr:colOff>
      <xdr:row>539</xdr:row>
      <xdr:rowOff>15240</xdr:rowOff>
    </xdr:from>
    <xdr:to>
      <xdr:col>12</xdr:col>
      <xdr:colOff>457200</xdr:colOff>
      <xdr:row>556</xdr:row>
      <xdr:rowOff>154033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1362075</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4</xdr:row>
      <xdr:rowOff>28575</xdr:rowOff>
    </xdr:from>
    <xdr:to>
      <xdr:col>17</xdr:col>
      <xdr:colOff>123824</xdr:colOff>
      <xdr:row>21</xdr:row>
      <xdr:rowOff>167368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66675</xdr:rowOff>
    </xdr:from>
    <xdr:to>
      <xdr:col>17</xdr:col>
      <xdr:colOff>559335</xdr:colOff>
      <xdr:row>77</xdr:row>
      <xdr:rowOff>142314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81</xdr:row>
      <xdr:rowOff>19050</xdr:rowOff>
    </xdr:from>
    <xdr:to>
      <xdr:col>14</xdr:col>
      <xdr:colOff>382281</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104775</xdr:colOff>
          <xdr:row>1</xdr:row>
          <xdr:rowOff>76200</xdr:rowOff>
        </xdr:from>
        <xdr:to>
          <xdr:col>2</xdr:col>
          <xdr:colOff>447675</xdr:colOff>
          <xdr:row>3</xdr:row>
          <xdr:rowOff>28575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428625</xdr:colOff>
      <xdr:row>3</xdr:row>
      <xdr:rowOff>161925</xdr:rowOff>
    </xdr:from>
    <xdr:to>
      <xdr:col>33</xdr:col>
      <xdr:colOff>348615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20" sqref="B20"/>
    </sheetView>
  </sheetViews>
  <sheetFormatPr defaultRowHeight="15"/>
  <sheetData>
    <row r="2" spans="2:12" ht="14.85" customHeight="1">
      <c r="B2" s="45" t="s">
        <v>523</v>
      </c>
      <c r="C2" s="46"/>
      <c r="D2" s="46"/>
      <c r="E2" s="46"/>
      <c r="F2" s="46"/>
      <c r="G2" s="46"/>
      <c r="H2" s="46"/>
      <c r="I2" s="47"/>
      <c r="J2" s="47"/>
      <c r="K2" s="47"/>
      <c r="L2" s="47"/>
    </row>
    <row r="3" spans="2:12">
      <c r="B3" s="46"/>
      <c r="C3" s="46"/>
      <c r="D3" s="46"/>
      <c r="E3" s="46"/>
      <c r="F3" s="46"/>
      <c r="G3" s="46"/>
      <c r="H3" s="46"/>
      <c r="I3" s="47"/>
      <c r="J3" s="47"/>
      <c r="K3" s="47"/>
      <c r="L3" s="47"/>
    </row>
    <row r="4" spans="2:12">
      <c r="B4" s="46"/>
      <c r="C4" s="46"/>
      <c r="D4" s="46"/>
      <c r="E4" s="46"/>
      <c r="F4" s="46"/>
      <c r="G4" s="46"/>
      <c r="H4" s="46"/>
      <c r="I4" s="47"/>
      <c r="J4" s="47"/>
      <c r="K4" s="47"/>
      <c r="L4" s="47"/>
    </row>
    <row r="5" spans="2:12">
      <c r="B5" s="46"/>
      <c r="C5" s="46"/>
      <c r="D5" s="46"/>
      <c r="E5" s="46"/>
      <c r="F5" s="46"/>
      <c r="G5" s="46"/>
      <c r="H5" s="46"/>
      <c r="I5" s="47"/>
      <c r="J5" s="47"/>
      <c r="K5" s="47"/>
      <c r="L5" s="47"/>
    </row>
    <row r="6" spans="2:12">
      <c r="B6" s="46"/>
      <c r="C6" s="46"/>
      <c r="D6" s="46"/>
      <c r="E6" s="46"/>
      <c r="F6" s="46"/>
      <c r="G6" s="46"/>
      <c r="H6" s="46"/>
      <c r="I6" s="47"/>
      <c r="J6" s="47"/>
      <c r="K6" s="47"/>
      <c r="L6" s="47"/>
    </row>
    <row r="7" spans="2:12">
      <c r="B7" s="46"/>
      <c r="C7" s="46"/>
      <c r="D7" s="46"/>
      <c r="E7" s="46"/>
      <c r="F7" s="46"/>
      <c r="G7" s="46"/>
      <c r="H7" s="46"/>
      <c r="I7" s="47"/>
      <c r="J7" s="47"/>
      <c r="K7" s="47"/>
      <c r="L7" s="47"/>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538</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workbookViewId="0"/>
  </sheetViews>
  <sheetFormatPr defaultRowHeight="15"/>
  <cols>
    <col min="1" max="1" width="23.570312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11</v>
      </c>
      <c r="D237" s="39">
        <f t="shared" si="3"/>
        <v>8.6444007858546166E-4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35</v>
      </c>
      <c r="D248" s="39">
        <f t="shared" si="3"/>
        <v>2.0744428639165482E-3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124</v>
      </c>
      <c r="D273" s="39">
        <f t="shared" si="4"/>
        <v>1.1009500133179436E-2</v>
      </c>
    </row>
    <row r="274" spans="1:4">
      <c r="A274" t="s">
        <v>226</v>
      </c>
      <c r="B274">
        <v>11771</v>
      </c>
      <c r="C274">
        <f>Kaikki!A274</f>
        <v>134</v>
      </c>
      <c r="D274" s="39">
        <f t="shared" si="4"/>
        <v>1.1383909608359527E-2</v>
      </c>
    </row>
    <row r="275" spans="1:4">
      <c r="A275" t="s">
        <v>228</v>
      </c>
      <c r="B275">
        <v>15401</v>
      </c>
      <c r="C275">
        <f>Kaikki!A275</f>
        <v>167</v>
      </c>
      <c r="D275" s="39">
        <f t="shared" si="4"/>
        <v>1.0843451723914032E-2</v>
      </c>
    </row>
    <row r="276" spans="1:4">
      <c r="A276" t="s">
        <v>230</v>
      </c>
      <c r="B276">
        <v>12134</v>
      </c>
      <c r="C276">
        <f>Kaikki!A276</f>
        <v>191</v>
      </c>
      <c r="D276" s="39">
        <f t="shared" si="4"/>
        <v>1.5740893357507828E-2</v>
      </c>
    </row>
    <row r="277" spans="1:4">
      <c r="A277" t="s">
        <v>231</v>
      </c>
      <c r="B277">
        <v>12512</v>
      </c>
      <c r="C277">
        <f>Kaikki!A277</f>
        <v>187</v>
      </c>
      <c r="D277" s="39">
        <f t="shared" si="4"/>
        <v>1.4945652173913044E-2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193</v>
      </c>
      <c r="D298" s="39">
        <f t="shared" si="4"/>
        <v>1.1788419252382117E-2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232</v>
      </c>
      <c r="D302" s="39">
        <f t="shared" si="4"/>
        <v>1.248385708136031E-2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287</v>
      </c>
      <c r="D308" s="39">
        <f t="shared" si="4"/>
        <v>2.9420809841107124E-2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270</v>
      </c>
      <c r="D327" s="39">
        <f t="shared" si="4"/>
        <v>2.0694412508622671E-2</v>
      </c>
    </row>
    <row r="328" spans="1:4">
      <c r="A328" t="s">
        <v>348</v>
      </c>
      <c r="B328">
        <v>8718</v>
      </c>
      <c r="C328">
        <f>Kaikki!A328</f>
        <v>267</v>
      </c>
      <c r="D328" s="39">
        <f t="shared" ref="D328:D391" si="5">C328/B328</f>
        <v>3.0626290433585685E-2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509</v>
      </c>
      <c r="D332" s="39">
        <f t="shared" si="5"/>
        <v>2.3212331265961329E-2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440</v>
      </c>
      <c r="D337" s="39">
        <f t="shared" si="5"/>
        <v>2.1063717746182202E-2</v>
      </c>
    </row>
    <row r="338" spans="1:4">
      <c r="A338" t="s">
        <v>361</v>
      </c>
      <c r="B338">
        <v>23756</v>
      </c>
      <c r="C338">
        <f>Kaikki!A338</f>
        <v>495</v>
      </c>
      <c r="D338" s="39">
        <f t="shared" si="5"/>
        <v>2.0836841219060449E-2</v>
      </c>
    </row>
    <row r="339" spans="1:4">
      <c r="A339" t="s">
        <v>362</v>
      </c>
      <c r="B339">
        <v>21894</v>
      </c>
      <c r="C339">
        <f>Kaikki!A339</f>
        <v>478</v>
      </c>
      <c r="D339" s="39">
        <f t="shared" si="5"/>
        <v>2.1832465515666394E-2</v>
      </c>
    </row>
    <row r="340" spans="1:4">
      <c r="A340" t="s">
        <v>363</v>
      </c>
      <c r="B340">
        <v>21704</v>
      </c>
      <c r="C340">
        <f>Kaikki!A340</f>
        <v>473</v>
      </c>
      <c r="D340" s="39">
        <f t="shared" si="5"/>
        <v>2.1793217840029487E-2</v>
      </c>
    </row>
    <row r="341" spans="1:4">
      <c r="A341" t="s">
        <v>364</v>
      </c>
      <c r="B341">
        <v>17866</v>
      </c>
      <c r="C341">
        <f>Kaikki!A341</f>
        <v>250</v>
      </c>
      <c r="D341" s="39">
        <f t="shared" si="5"/>
        <v>1.3993059442516512E-2</v>
      </c>
    </row>
    <row r="342" spans="1:4">
      <c r="A342" t="s">
        <v>365</v>
      </c>
      <c r="B342">
        <v>11462</v>
      </c>
      <c r="C342">
        <f>Kaikki!A342</f>
        <v>284</v>
      </c>
      <c r="D342" s="39">
        <f t="shared" si="5"/>
        <v>2.4777525737218635E-2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353</v>
      </c>
      <c r="D352" s="39">
        <f t="shared" si="5"/>
        <v>1.9007107473616197E-2</v>
      </c>
    </row>
    <row r="353" spans="1:4">
      <c r="A353" t="s">
        <v>376</v>
      </c>
      <c r="B353">
        <v>20440</v>
      </c>
      <c r="C353">
        <f>Kaikki!A353</f>
        <v>323</v>
      </c>
      <c r="D353" s="39">
        <f t="shared" si="5"/>
        <v>1.5802348336594912E-2</v>
      </c>
    </row>
    <row r="354" spans="1:4">
      <c r="A354" t="s">
        <v>377</v>
      </c>
      <c r="B354">
        <v>19754</v>
      </c>
      <c r="C354">
        <f>Kaikki!A354</f>
        <v>394</v>
      </c>
      <c r="D354" s="39">
        <f t="shared" si="5"/>
        <v>1.9945327528601803E-2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255</v>
      </c>
      <c r="D366" s="39">
        <f t="shared" si="5"/>
        <v>1.7804775869291998E-2</v>
      </c>
    </row>
    <row r="367" spans="1:4">
      <c r="A367" t="s">
        <v>390</v>
      </c>
      <c r="B367">
        <v>11974</v>
      </c>
      <c r="C367">
        <f>Kaikki!A367</f>
        <v>254</v>
      </c>
      <c r="D367" s="39">
        <f t="shared" si="5"/>
        <v>2.1212627359278438E-2</v>
      </c>
    </row>
    <row r="368" spans="1:4">
      <c r="A368" t="s">
        <v>391</v>
      </c>
      <c r="B368">
        <v>6829</v>
      </c>
      <c r="C368">
        <f>Kaikki!A368</f>
        <v>129</v>
      </c>
      <c r="D368" s="39">
        <f t="shared" si="5"/>
        <v>1.88900278225216E-2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398</v>
      </c>
      <c r="D371" s="39">
        <f t="shared" si="5"/>
        <v>3.7276388498641941E-2</v>
      </c>
    </row>
    <row r="372" spans="1:4">
      <c r="A372" t="s">
        <v>395</v>
      </c>
      <c r="B372">
        <v>14981</v>
      </c>
      <c r="C372">
        <f>Kaikki!A372</f>
        <v>263</v>
      </c>
      <c r="D372" s="39">
        <f t="shared" si="5"/>
        <v>1.7555570389159603E-2</v>
      </c>
    </row>
    <row r="373" spans="1:4">
      <c r="A373" t="s">
        <v>396</v>
      </c>
      <c r="B373">
        <v>10861</v>
      </c>
      <c r="C373">
        <f>Kaikki!A373</f>
        <v>209</v>
      </c>
      <c r="D373" s="39">
        <f t="shared" si="5"/>
        <v>1.9243163612926988E-2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194</v>
      </c>
      <c r="D376" s="39">
        <f t="shared" si="5"/>
        <v>2.0704375667022414E-2</v>
      </c>
    </row>
    <row r="377" spans="1:4">
      <c r="A377" t="s">
        <v>400</v>
      </c>
      <c r="B377">
        <v>6501</v>
      </c>
      <c r="C377">
        <f>Kaikki!A377</f>
        <v>186</v>
      </c>
      <c r="D377" s="39">
        <f t="shared" si="5"/>
        <v>2.8610982925703739E-2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260</v>
      </c>
      <c r="D380" s="39">
        <f t="shared" si="5"/>
        <v>2.0044715133759924E-2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197</v>
      </c>
      <c r="D384" s="39">
        <f t="shared" si="5"/>
        <v>3.8178294573643412E-2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406</v>
      </c>
      <c r="D387" s="39">
        <f t="shared" si="5"/>
        <v>2.5705964290236798E-2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605</v>
      </c>
      <c r="D392" s="39">
        <f t="shared" ref="D392:D406" si="6">C392/B392</f>
        <v>5.3355675103624656E-2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378</v>
      </c>
      <c r="D396" s="39">
        <f t="shared" si="6"/>
        <v>2.0261578044596912E-2</v>
      </c>
    </row>
    <row r="397" spans="1:4">
      <c r="A397" t="s">
        <v>421</v>
      </c>
      <c r="B397">
        <v>12367</v>
      </c>
      <c r="C397">
        <f>Kaikki!A397</f>
        <v>232</v>
      </c>
      <c r="D397" s="39">
        <f t="shared" si="6"/>
        <v>1.8759602167057493E-2</v>
      </c>
    </row>
    <row r="398" spans="1:4">
      <c r="A398" t="s">
        <v>422</v>
      </c>
      <c r="B398">
        <v>10583</v>
      </c>
      <c r="C398">
        <f>Kaikki!A398</f>
        <v>273</v>
      </c>
      <c r="D398" s="39">
        <f t="shared" si="6"/>
        <v>2.5796088065765849E-2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373</v>
      </c>
      <c r="D402" s="39">
        <f t="shared" si="6"/>
        <v>1.9249625845074055E-2</v>
      </c>
    </row>
    <row r="403" spans="1:4">
      <c r="A403" t="s">
        <v>427</v>
      </c>
      <c r="B403">
        <v>17956</v>
      </c>
      <c r="C403">
        <f>Kaikki!A403</f>
        <v>367</v>
      </c>
      <c r="D403" s="39">
        <f t="shared" si="6"/>
        <v>2.0438850523501893E-2</v>
      </c>
    </row>
    <row r="404" spans="1:4">
      <c r="A404" t="s">
        <v>428</v>
      </c>
      <c r="B404">
        <v>14083</v>
      </c>
      <c r="C404">
        <f>Kaikki!A404</f>
        <v>238</v>
      </c>
      <c r="D404" s="39">
        <f t="shared" si="6"/>
        <v>1.6899808279485905E-2</v>
      </c>
    </row>
    <row r="405" spans="1:4">
      <c r="A405" t="s">
        <v>429</v>
      </c>
      <c r="B405">
        <v>9007</v>
      </c>
      <c r="C405">
        <f>Kaikki!A405</f>
        <v>264</v>
      </c>
      <c r="D405" s="39">
        <f t="shared" si="6"/>
        <v>2.9310536249583657E-2</v>
      </c>
    </row>
    <row r="406" spans="1:4">
      <c r="A406" t="s">
        <v>437</v>
      </c>
      <c r="B406">
        <v>13939</v>
      </c>
      <c r="C406">
        <f>Kaikki!A406</f>
        <v>461</v>
      </c>
      <c r="D406" s="39">
        <f t="shared" si="6"/>
        <v>3.3072673792955018E-2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279</v>
      </c>
      <c r="D411" s="39">
        <f t="shared" si="7"/>
        <v>2.1885786005647945E-2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514</v>
      </c>
      <c r="D414" s="39">
        <f t="shared" si="7"/>
        <v>2.3844869177955093E-2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573</v>
      </c>
      <c r="D417" s="39">
        <f t="shared" si="7"/>
        <v>2.9743057357902933E-2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598</v>
      </c>
      <c r="D422" s="39">
        <f t="shared" si="7"/>
        <v>2.502092050209205</v>
      </c>
    </row>
    <row r="423" spans="1:4">
      <c r="A423" t="s">
        <v>462</v>
      </c>
      <c r="B423">
        <v>0</v>
      </c>
      <c r="C423">
        <f>Kaikki!A423</f>
        <v>629</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tabSelected="1" workbookViewId="0">
      <pane ySplit="1" topLeftCell="A513" activePane="bottomLeft" state="frozen"/>
      <selection pane="bottomLeft" activeCell="A535" sqref="A535"/>
    </sheetView>
  </sheetViews>
  <sheetFormatPr defaultRowHeight="15"/>
  <cols>
    <col min="1" max="1" width="9.14062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4.85546875" bestFit="1" customWidth="1"/>
    <col min="11" max="11" width="14" bestFit="1" customWidth="1"/>
    <col min="12" max="12" width="10.140625" bestFit="1" customWidth="1"/>
    <col min="13" max="13" width="14.140625" bestFit="1" customWidth="1"/>
  </cols>
  <sheetData>
    <row r="1" spans="1:15" s="7" customFormat="1" ht="39.950000000000003" customHeight="1">
      <c r="A1" s="31" t="s">
        <v>290</v>
      </c>
      <c r="B1" s="1" t="s">
        <v>1</v>
      </c>
      <c r="C1" s="1" t="s">
        <v>9</v>
      </c>
      <c r="D1" s="1" t="s">
        <v>291</v>
      </c>
      <c r="E1" s="1" t="s">
        <v>299</v>
      </c>
      <c r="F1" s="6" t="s">
        <v>7</v>
      </c>
      <c r="G1" s="7" t="s">
        <v>465</v>
      </c>
      <c r="H1" s="7" t="s">
        <v>467</v>
      </c>
      <c r="I1" s="7">
        <f>SUM(A:A)</f>
        <v>94154</v>
      </c>
      <c r="J1" s="8">
        <v>44365.779606481483</v>
      </c>
      <c r="K1" s="7">
        <f>MAX(A:A)</f>
        <v>892</v>
      </c>
      <c r="L1" s="15">
        <f>VLOOKUP(K1,A:F,6,FALSE)</f>
        <v>44270.625</v>
      </c>
      <c r="M1" s="7">
        <f>COUNT(DataN)-5</f>
        <v>530</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14.6.2021 saakka. Suurin arvo 892, joka 15.3.2021.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0">
      <c r="A17" s="3">
        <v>0</v>
      </c>
      <c r="B17" t="s">
        <v>249</v>
      </c>
      <c r="C17" t="s">
        <v>8</v>
      </c>
      <c r="E17" s="3">
        <f t="shared" si="0"/>
        <v>4</v>
      </c>
      <c r="F17" s="5">
        <v>43846.625</v>
      </c>
      <c r="G17" s="19" t="str">
        <f t="shared" si="1"/>
        <v/>
      </c>
      <c r="J17" s="28" t="e">
        <f t="shared" si="2"/>
        <v>#DIV/0!</v>
      </c>
    </row>
    <row r="18" spans="1:10">
      <c r="A18" s="3">
        <v>0</v>
      </c>
      <c r="B18" t="s">
        <v>250</v>
      </c>
      <c r="C18" t="s">
        <v>8</v>
      </c>
      <c r="E18" s="3">
        <f t="shared" si="0"/>
        <v>5</v>
      </c>
      <c r="F18" s="5">
        <v>43847.625</v>
      </c>
      <c r="G18" s="19" t="str">
        <f t="shared" si="1"/>
        <v/>
      </c>
      <c r="J18" s="28" t="e">
        <f t="shared" si="2"/>
        <v>#DIV/0!</v>
      </c>
    </row>
    <row r="19" spans="1:10">
      <c r="A19" s="3">
        <v>0</v>
      </c>
      <c r="B19" t="s">
        <v>251</v>
      </c>
      <c r="C19" t="s">
        <v>8</v>
      </c>
      <c r="E19" s="3">
        <f t="shared" si="0"/>
        <v>6</v>
      </c>
      <c r="F19" s="5">
        <v>43848.625</v>
      </c>
      <c r="G19" s="19" t="str">
        <f t="shared" si="1"/>
        <v/>
      </c>
      <c r="J19" s="28" t="e">
        <f t="shared" si="2"/>
        <v>#DIV/0!</v>
      </c>
    </row>
    <row r="20" spans="1:10">
      <c r="A20" s="3">
        <v>0</v>
      </c>
      <c r="B20" t="s">
        <v>252</v>
      </c>
      <c r="C20" t="s">
        <v>8</v>
      </c>
      <c r="E20" s="3">
        <f t="shared" si="0"/>
        <v>7</v>
      </c>
      <c r="F20" s="5">
        <v>43849.625</v>
      </c>
      <c r="G20" s="19" t="str">
        <f t="shared" si="1"/>
        <v/>
      </c>
      <c r="J20" s="28" t="e">
        <f t="shared" si="2"/>
        <v>#DIV/0!</v>
      </c>
    </row>
    <row r="21" spans="1:10">
      <c r="A21" s="3">
        <v>0</v>
      </c>
      <c r="B21" t="s">
        <v>253</v>
      </c>
      <c r="C21" t="s">
        <v>8</v>
      </c>
      <c r="E21" s="3">
        <f t="shared" si="0"/>
        <v>1</v>
      </c>
      <c r="F21" s="5">
        <v>43850.625</v>
      </c>
      <c r="G21" s="19" t="str">
        <f t="shared" si="1"/>
        <v>2020-W04</v>
      </c>
      <c r="H21">
        <f>SUM(A21:A27)</f>
        <v>0</v>
      </c>
      <c r="I21" s="28" t="e">
        <f>H21/H14-1</f>
        <v>#DIV/0!</v>
      </c>
      <c r="J21" s="28" t="e">
        <f t="shared" si="2"/>
        <v>#DIV/0!</v>
      </c>
    </row>
    <row r="22" spans="1:10">
      <c r="A22" s="3">
        <v>0</v>
      </c>
      <c r="B22" t="s">
        <v>254</v>
      </c>
      <c r="C22" t="s">
        <v>8</v>
      </c>
      <c r="E22" s="3">
        <f t="shared" si="0"/>
        <v>2</v>
      </c>
      <c r="F22" s="5">
        <v>43851.625</v>
      </c>
      <c r="G22" s="19" t="str">
        <f t="shared" si="1"/>
        <v/>
      </c>
      <c r="J22" s="28" t="e">
        <f t="shared" si="2"/>
        <v>#DIV/0!</v>
      </c>
    </row>
    <row r="23" spans="1:10">
      <c r="A23" s="3">
        <v>0</v>
      </c>
      <c r="B23" t="s">
        <v>255</v>
      </c>
      <c r="C23" t="s">
        <v>8</v>
      </c>
      <c r="E23" s="3">
        <f t="shared" si="0"/>
        <v>3</v>
      </c>
      <c r="F23" s="5">
        <v>43852.625</v>
      </c>
      <c r="G23" s="19" t="str">
        <f t="shared" si="1"/>
        <v/>
      </c>
      <c r="J23" s="28" t="e">
        <f t="shared" si="2"/>
        <v>#DIV/0!</v>
      </c>
    </row>
    <row r="24" spans="1:10">
      <c r="A24" s="3">
        <v>0</v>
      </c>
      <c r="B24" t="s">
        <v>256</v>
      </c>
      <c r="C24" t="s">
        <v>8</v>
      </c>
      <c r="E24" s="3">
        <f t="shared" si="0"/>
        <v>4</v>
      </c>
      <c r="F24" s="5">
        <v>43853.625</v>
      </c>
      <c r="G24" s="19" t="str">
        <f t="shared" si="1"/>
        <v/>
      </c>
      <c r="J24" s="28" t="e">
        <f t="shared" si="2"/>
        <v>#DIV/0!</v>
      </c>
    </row>
    <row r="25" spans="1:10">
      <c r="A25" s="3">
        <v>0</v>
      </c>
      <c r="B25" t="s">
        <v>257</v>
      </c>
      <c r="C25" t="s">
        <v>8</v>
      </c>
      <c r="E25" s="3">
        <f t="shared" si="0"/>
        <v>5</v>
      </c>
      <c r="F25" s="5">
        <v>43854.625</v>
      </c>
      <c r="G25" s="19" t="str">
        <f t="shared" si="1"/>
        <v/>
      </c>
      <c r="J25" s="28" t="e">
        <f t="shared" si="2"/>
        <v>#DIV/0!</v>
      </c>
    </row>
    <row r="26" spans="1:10">
      <c r="A26" s="3">
        <v>0</v>
      </c>
      <c r="B26" t="s">
        <v>258</v>
      </c>
      <c r="C26" t="s">
        <v>8</v>
      </c>
      <c r="E26" s="3">
        <f t="shared" si="0"/>
        <v>6</v>
      </c>
      <c r="F26" s="5">
        <v>43855.625</v>
      </c>
      <c r="G26" s="19" t="str">
        <f t="shared" si="1"/>
        <v/>
      </c>
      <c r="J26" s="28" t="e">
        <f t="shared" si="2"/>
        <v>#DIV/0!</v>
      </c>
    </row>
    <row r="27" spans="1:10">
      <c r="A27" s="3">
        <v>0</v>
      </c>
      <c r="B27" t="s">
        <v>259</v>
      </c>
      <c r="C27" t="s">
        <v>8</v>
      </c>
      <c r="E27" s="3">
        <f t="shared" si="0"/>
        <v>7</v>
      </c>
      <c r="F27" s="5">
        <v>43856.625</v>
      </c>
      <c r="G27" s="19" t="str">
        <f t="shared" si="1"/>
        <v/>
      </c>
      <c r="J27" s="28" t="e">
        <f t="shared" si="2"/>
        <v>#DIV/0!</v>
      </c>
    </row>
    <row r="28" spans="1:10">
      <c r="A28" s="3">
        <v>0</v>
      </c>
      <c r="B28" t="s">
        <v>260</v>
      </c>
      <c r="C28" t="s">
        <v>8</v>
      </c>
      <c r="E28" s="3">
        <f t="shared" si="0"/>
        <v>1</v>
      </c>
      <c r="F28" s="5">
        <v>43857.625</v>
      </c>
      <c r="G28" s="19" t="str">
        <f t="shared" si="1"/>
        <v>2020-W05</v>
      </c>
      <c r="H28">
        <f>SUM(A28:A34)</f>
        <v>1</v>
      </c>
      <c r="I28" s="28" t="e">
        <f>H28/H21-1</f>
        <v>#DIV/0!</v>
      </c>
      <c r="J28" s="28" t="e">
        <f t="shared" si="2"/>
        <v>#DIV/0!</v>
      </c>
    </row>
    <row r="29" spans="1:10">
      <c r="A29" s="3">
        <v>1</v>
      </c>
      <c r="B29" t="s">
        <v>10</v>
      </c>
      <c r="C29" t="s">
        <v>8</v>
      </c>
      <c r="E29" s="3">
        <f t="shared" si="0"/>
        <v>2</v>
      </c>
      <c r="F29" s="5">
        <v>43858.625</v>
      </c>
      <c r="G29" s="19" t="str">
        <f t="shared" si="1"/>
        <v/>
      </c>
      <c r="J29" s="28" t="e">
        <f t="shared" si="2"/>
        <v>#DIV/0!</v>
      </c>
    </row>
    <row r="30" spans="1:10">
      <c r="A30" s="3">
        <v>0</v>
      </c>
      <c r="B30" t="s">
        <v>261</v>
      </c>
      <c r="C30" t="s">
        <v>8</v>
      </c>
      <c r="E30" s="3">
        <f t="shared" si="0"/>
        <v>3</v>
      </c>
      <c r="F30" s="5">
        <v>43859.625</v>
      </c>
      <c r="G30" s="19" t="str">
        <f t="shared" si="1"/>
        <v/>
      </c>
      <c r="J30" s="28" t="e">
        <f t="shared" si="2"/>
        <v>#DIV/0!</v>
      </c>
    </row>
    <row r="31" spans="1:10">
      <c r="A31" s="3">
        <v>0</v>
      </c>
      <c r="B31" t="s">
        <v>262</v>
      </c>
      <c r="C31" t="s">
        <v>8</v>
      </c>
      <c r="E31" s="3">
        <f t="shared" si="0"/>
        <v>4</v>
      </c>
      <c r="F31" s="5">
        <v>43860.625</v>
      </c>
      <c r="G31" s="19" t="str">
        <f t="shared" si="1"/>
        <v/>
      </c>
      <c r="J31" s="28" t="e">
        <f t="shared" si="2"/>
        <v>#DIV/0!</v>
      </c>
    </row>
    <row r="32" spans="1:10">
      <c r="A32" s="3">
        <v>0</v>
      </c>
      <c r="B32" t="s">
        <v>263</v>
      </c>
      <c r="C32" t="s">
        <v>8</v>
      </c>
      <c r="E32" s="3">
        <f t="shared" si="0"/>
        <v>5</v>
      </c>
      <c r="F32" s="5">
        <v>43861.625</v>
      </c>
      <c r="G32" s="19" t="str">
        <f t="shared" si="1"/>
        <v/>
      </c>
      <c r="J32" s="28" t="e">
        <f t="shared" si="2"/>
        <v>#DIV/0!</v>
      </c>
    </row>
    <row r="33" spans="1:10">
      <c r="A33" s="3">
        <v>0</v>
      </c>
      <c r="B33" t="s">
        <v>264</v>
      </c>
      <c r="C33" t="s">
        <v>8</v>
      </c>
      <c r="E33" s="3">
        <f t="shared" si="0"/>
        <v>6</v>
      </c>
      <c r="F33" s="5">
        <v>43862.625</v>
      </c>
      <c r="G33" s="19" t="str">
        <f t="shared" si="1"/>
        <v/>
      </c>
      <c r="J33" s="28" t="e">
        <f t="shared" si="2"/>
        <v>#DIV/0!</v>
      </c>
    </row>
    <row r="34" spans="1:10">
      <c r="A34" s="3">
        <v>0</v>
      </c>
      <c r="B34" t="s">
        <v>265</v>
      </c>
      <c r="C34" t="s">
        <v>8</v>
      </c>
      <c r="E34" s="3">
        <f t="shared" si="0"/>
        <v>7</v>
      </c>
      <c r="F34" s="5">
        <v>43863.625</v>
      </c>
      <c r="G34" s="19" t="str">
        <f t="shared" si="1"/>
        <v/>
      </c>
      <c r="J34" s="28" t="e">
        <f t="shared" si="2"/>
        <v>#DIV/0!</v>
      </c>
    </row>
    <row r="35" spans="1:10">
      <c r="A35" s="3">
        <v>0</v>
      </c>
      <c r="B35" t="s">
        <v>266</v>
      </c>
      <c r="C35" t="s">
        <v>8</v>
      </c>
      <c r="E35" s="3">
        <f t="shared" si="0"/>
        <v>1</v>
      </c>
      <c r="F35" s="5">
        <v>43864.625</v>
      </c>
      <c r="G35" s="19" t="str">
        <f t="shared" si="1"/>
        <v>2020-W06</v>
      </c>
      <c r="H35">
        <f>SUM(A35:A41)</f>
        <v>0</v>
      </c>
      <c r="I35" s="28">
        <f>H35/H28-1</f>
        <v>-1</v>
      </c>
      <c r="J35" s="28" t="e">
        <f t="shared" si="2"/>
        <v>#DIV/0!</v>
      </c>
    </row>
    <row r="36" spans="1:10">
      <c r="A36" s="3">
        <v>0</v>
      </c>
      <c r="B36" t="s">
        <v>267</v>
      </c>
      <c r="C36" t="s">
        <v>8</v>
      </c>
      <c r="E36" s="3">
        <f t="shared" si="0"/>
        <v>2</v>
      </c>
      <c r="F36" s="5">
        <v>43865.625</v>
      </c>
      <c r="G36" s="19" t="str">
        <f t="shared" si="1"/>
        <v/>
      </c>
      <c r="J36" s="28">
        <f t="shared" si="2"/>
        <v>-1</v>
      </c>
    </row>
    <row r="37" spans="1:10">
      <c r="A37" s="3">
        <v>0</v>
      </c>
      <c r="B37" t="s">
        <v>268</v>
      </c>
      <c r="C37" t="s">
        <v>8</v>
      </c>
      <c r="E37" s="3">
        <f t="shared" si="0"/>
        <v>3</v>
      </c>
      <c r="F37" s="5">
        <v>43866.625</v>
      </c>
      <c r="G37" s="19" t="str">
        <f t="shared" si="1"/>
        <v/>
      </c>
      <c r="J37" s="28" t="e">
        <f t="shared" si="2"/>
        <v>#DIV/0!</v>
      </c>
    </row>
    <row r="38" spans="1:10">
      <c r="A38" s="3">
        <v>0</v>
      </c>
      <c r="B38" t="s">
        <v>269</v>
      </c>
      <c r="C38" t="s">
        <v>8</v>
      </c>
      <c r="E38" s="3">
        <f t="shared" si="0"/>
        <v>4</v>
      </c>
      <c r="F38" s="5">
        <v>43867.625</v>
      </c>
      <c r="G38" s="19" t="str">
        <f t="shared" si="1"/>
        <v/>
      </c>
      <c r="J38" s="28" t="e">
        <f t="shared" si="2"/>
        <v>#DIV/0!</v>
      </c>
    </row>
    <row r="39" spans="1:10">
      <c r="A39" s="3">
        <v>0</v>
      </c>
      <c r="B39" t="s">
        <v>270</v>
      </c>
      <c r="C39" t="s">
        <v>8</v>
      </c>
      <c r="E39" s="3">
        <f t="shared" si="0"/>
        <v>5</v>
      </c>
      <c r="F39" s="5">
        <v>43868.625</v>
      </c>
      <c r="G39" s="19" t="str">
        <f t="shared" si="1"/>
        <v/>
      </c>
      <c r="J39" s="28" t="e">
        <f t="shared" si="2"/>
        <v>#DIV/0!</v>
      </c>
    </row>
    <row r="40" spans="1:10">
      <c r="A40" s="3">
        <v>0</v>
      </c>
      <c r="B40" t="s">
        <v>271</v>
      </c>
      <c r="C40" t="s">
        <v>8</v>
      </c>
      <c r="E40" s="3">
        <f t="shared" si="0"/>
        <v>6</v>
      </c>
      <c r="F40" s="5">
        <v>43869.625</v>
      </c>
      <c r="G40" s="19" t="str">
        <f t="shared" si="1"/>
        <v/>
      </c>
      <c r="J40" s="28" t="e">
        <f t="shared" si="2"/>
        <v>#DIV/0!</v>
      </c>
    </row>
    <row r="41" spans="1:10">
      <c r="A41" s="3">
        <v>0</v>
      </c>
      <c r="B41" t="s">
        <v>272</v>
      </c>
      <c r="C41" t="s">
        <v>8</v>
      </c>
      <c r="E41" s="3">
        <f t="shared" si="0"/>
        <v>7</v>
      </c>
      <c r="F41" s="5">
        <v>43870.625</v>
      </c>
      <c r="G41" s="19" t="str">
        <f t="shared" si="1"/>
        <v/>
      </c>
      <c r="J41" s="28" t="e">
        <f t="shared" si="2"/>
        <v>#DIV/0!</v>
      </c>
    </row>
    <row r="42" spans="1:10">
      <c r="A42" s="3">
        <v>1</v>
      </c>
      <c r="B42" t="s">
        <v>11</v>
      </c>
      <c r="C42" t="s">
        <v>8</v>
      </c>
      <c r="E42" s="3">
        <f t="shared" si="0"/>
        <v>1</v>
      </c>
      <c r="F42" s="5">
        <v>43871.625</v>
      </c>
      <c r="G42" s="19" t="str">
        <f t="shared" si="1"/>
        <v>2020-W07</v>
      </c>
      <c r="H42">
        <f>SUM(A42:A48)</f>
        <v>1</v>
      </c>
      <c r="I42" s="28" t="e">
        <f>H42/H35-1</f>
        <v>#DIV/0!</v>
      </c>
      <c r="J42" s="28" t="e">
        <f t="shared" si="2"/>
        <v>#DIV/0!</v>
      </c>
    </row>
    <row r="43" spans="1:10">
      <c r="A43" s="3">
        <v>0</v>
      </c>
      <c r="B43" t="s">
        <v>273</v>
      </c>
      <c r="C43" t="s">
        <v>8</v>
      </c>
      <c r="E43" s="3">
        <f t="shared" si="0"/>
        <v>2</v>
      </c>
      <c r="F43" s="5">
        <v>43872.625</v>
      </c>
      <c r="G43" s="19" t="str">
        <f t="shared" si="1"/>
        <v/>
      </c>
      <c r="J43" s="28" t="e">
        <f t="shared" si="2"/>
        <v>#DIV/0!</v>
      </c>
    </row>
    <row r="44" spans="1:10">
      <c r="A44" s="3">
        <v>0</v>
      </c>
      <c r="B44" t="s">
        <v>274</v>
      </c>
      <c r="C44" t="s">
        <v>8</v>
      </c>
      <c r="E44" s="3">
        <f t="shared" si="0"/>
        <v>3</v>
      </c>
      <c r="F44" s="5">
        <v>43873.625</v>
      </c>
      <c r="G44" s="19" t="str">
        <f t="shared" si="1"/>
        <v/>
      </c>
      <c r="J44" s="28" t="e">
        <f t="shared" si="2"/>
        <v>#DIV/0!</v>
      </c>
    </row>
    <row r="45" spans="1:10">
      <c r="A45" s="3">
        <v>0</v>
      </c>
      <c r="B45" t="s">
        <v>275</v>
      </c>
      <c r="C45" t="s">
        <v>8</v>
      </c>
      <c r="E45" s="3">
        <f t="shared" si="0"/>
        <v>4</v>
      </c>
      <c r="F45" s="5">
        <v>43874.625</v>
      </c>
      <c r="G45" s="19" t="str">
        <f t="shared" si="1"/>
        <v/>
      </c>
      <c r="J45" s="28" t="e">
        <f t="shared" si="2"/>
        <v>#DIV/0!</v>
      </c>
    </row>
    <row r="46" spans="1:10">
      <c r="A46" s="3">
        <v>0</v>
      </c>
      <c r="B46" t="s">
        <v>276</v>
      </c>
      <c r="C46" t="s">
        <v>8</v>
      </c>
      <c r="E46" s="3">
        <f t="shared" si="0"/>
        <v>5</v>
      </c>
      <c r="F46" s="5">
        <v>43875.625</v>
      </c>
      <c r="G46" s="19" t="str">
        <f t="shared" si="1"/>
        <v/>
      </c>
      <c r="J46" s="28" t="e">
        <f t="shared" si="2"/>
        <v>#DIV/0!</v>
      </c>
    </row>
    <row r="47" spans="1:10">
      <c r="A47" s="3">
        <v>0</v>
      </c>
      <c r="B47" t="s">
        <v>277</v>
      </c>
      <c r="C47" t="s">
        <v>8</v>
      </c>
      <c r="E47" s="3">
        <f t="shared" si="0"/>
        <v>6</v>
      </c>
      <c r="F47" s="5">
        <v>43876.625</v>
      </c>
      <c r="G47" s="19" t="str">
        <f t="shared" si="1"/>
        <v/>
      </c>
      <c r="J47" s="28" t="e">
        <f t="shared" si="2"/>
        <v>#DIV/0!</v>
      </c>
    </row>
    <row r="48" spans="1:10">
      <c r="A48" s="3">
        <v>0</v>
      </c>
      <c r="B48" t="s">
        <v>278</v>
      </c>
      <c r="C48" t="s">
        <v>8</v>
      </c>
      <c r="E48" s="3">
        <f t="shared" si="0"/>
        <v>7</v>
      </c>
      <c r="F48" s="5">
        <v>43877.625</v>
      </c>
      <c r="G48" s="19" t="str">
        <f t="shared" si="1"/>
        <v/>
      </c>
      <c r="J48" s="28" t="e">
        <f t="shared" si="2"/>
        <v>#DIV/0!</v>
      </c>
    </row>
    <row r="49" spans="1:10">
      <c r="A49" s="3">
        <v>0</v>
      </c>
      <c r="B49" t="s">
        <v>279</v>
      </c>
      <c r="C49" t="s">
        <v>8</v>
      </c>
      <c r="E49" s="3">
        <f t="shared" si="0"/>
        <v>1</v>
      </c>
      <c r="F49" s="5">
        <v>43878.625</v>
      </c>
      <c r="G49" s="19" t="str">
        <f t="shared" si="1"/>
        <v>2020-W08</v>
      </c>
      <c r="H49">
        <f>SUM(A49:A55)</f>
        <v>1</v>
      </c>
      <c r="I49" s="28">
        <f>H49/H42-1</f>
        <v>0</v>
      </c>
      <c r="J49" s="28">
        <f t="shared" si="2"/>
        <v>-1</v>
      </c>
    </row>
    <row r="50" spans="1:10">
      <c r="A50" s="3">
        <v>0</v>
      </c>
      <c r="B50" t="s">
        <v>280</v>
      </c>
      <c r="C50" t="s">
        <v>8</v>
      </c>
      <c r="E50" s="3">
        <f t="shared" si="0"/>
        <v>2</v>
      </c>
      <c r="F50" s="5">
        <v>43879.625</v>
      </c>
      <c r="G50" s="19" t="str">
        <f t="shared" si="1"/>
        <v/>
      </c>
      <c r="J50" s="28" t="e">
        <f t="shared" si="2"/>
        <v>#DIV/0!</v>
      </c>
    </row>
    <row r="51" spans="1:10">
      <c r="A51" s="3">
        <v>0</v>
      </c>
      <c r="B51" t="s">
        <v>281</v>
      </c>
      <c r="C51" t="s">
        <v>8</v>
      </c>
      <c r="E51" s="3">
        <f t="shared" si="0"/>
        <v>3</v>
      </c>
      <c r="F51" s="5">
        <v>43880.625</v>
      </c>
      <c r="G51" s="19" t="str">
        <f t="shared" si="1"/>
        <v/>
      </c>
      <c r="J51" s="28" t="e">
        <f t="shared" si="2"/>
        <v>#DIV/0!</v>
      </c>
    </row>
    <row r="52" spans="1:10">
      <c r="A52" s="3">
        <v>0</v>
      </c>
      <c r="B52" t="s">
        <v>282</v>
      </c>
      <c r="C52" t="s">
        <v>8</v>
      </c>
      <c r="E52" s="3">
        <f t="shared" si="0"/>
        <v>4</v>
      </c>
      <c r="F52" s="5">
        <v>43881.625</v>
      </c>
      <c r="G52" s="19" t="str">
        <f t="shared" si="1"/>
        <v/>
      </c>
      <c r="J52" s="28" t="e">
        <f t="shared" si="2"/>
        <v>#DIV/0!</v>
      </c>
    </row>
    <row r="53" spans="1:10">
      <c r="A53" s="3">
        <v>0</v>
      </c>
      <c r="B53" t="s">
        <v>283</v>
      </c>
      <c r="C53" t="s">
        <v>8</v>
      </c>
      <c r="E53" s="3">
        <f t="shared" si="0"/>
        <v>5</v>
      </c>
      <c r="F53" s="5">
        <v>43882.625</v>
      </c>
      <c r="G53" s="19" t="str">
        <f t="shared" si="1"/>
        <v/>
      </c>
      <c r="J53" s="28" t="e">
        <f t="shared" si="2"/>
        <v>#DIV/0!</v>
      </c>
    </row>
    <row r="54" spans="1:10">
      <c r="A54" s="3">
        <v>1</v>
      </c>
      <c r="B54" t="s">
        <v>12</v>
      </c>
      <c r="C54" t="s">
        <v>8</v>
      </c>
      <c r="E54" s="3">
        <f t="shared" si="0"/>
        <v>6</v>
      </c>
      <c r="F54" s="5">
        <v>43883.625</v>
      </c>
      <c r="G54" s="19" t="str">
        <f t="shared" si="1"/>
        <v/>
      </c>
      <c r="J54" s="28" t="e">
        <f t="shared" si="2"/>
        <v>#DIV/0!</v>
      </c>
    </row>
    <row r="55" spans="1:10">
      <c r="A55" s="3">
        <v>0</v>
      </c>
      <c r="B55" t="s">
        <v>284</v>
      </c>
      <c r="C55" t="s">
        <v>8</v>
      </c>
      <c r="E55" s="3">
        <f t="shared" si="0"/>
        <v>7</v>
      </c>
      <c r="F55" s="5">
        <v>43884.625</v>
      </c>
      <c r="G55" s="19" t="str">
        <f t="shared" si="1"/>
        <v/>
      </c>
      <c r="J55" s="28" t="e">
        <f t="shared" si="2"/>
        <v>#DIV/0!</v>
      </c>
    </row>
    <row r="56" spans="1:10">
      <c r="A56" s="3">
        <v>0</v>
      </c>
      <c r="B56" t="s">
        <v>285</v>
      </c>
      <c r="C56" t="s">
        <v>8</v>
      </c>
      <c r="E56" s="3">
        <f t="shared" si="0"/>
        <v>1</v>
      </c>
      <c r="F56" s="5">
        <v>43885.625</v>
      </c>
      <c r="G56" s="19" t="str">
        <f t="shared" si="1"/>
        <v>2020-W09</v>
      </c>
      <c r="H56">
        <f>SUM(A56:A62)</f>
        <v>7</v>
      </c>
      <c r="I56" s="28">
        <f>H56/H49-1</f>
        <v>6</v>
      </c>
      <c r="J56" s="28" t="e">
        <f t="shared" si="2"/>
        <v>#DIV/0!</v>
      </c>
    </row>
    <row r="57" spans="1:10">
      <c r="A57" s="3">
        <v>1</v>
      </c>
      <c r="B57" t="s">
        <v>13</v>
      </c>
      <c r="C57" t="s">
        <v>8</v>
      </c>
      <c r="E57" s="3">
        <f t="shared" si="0"/>
        <v>2</v>
      </c>
      <c r="F57" s="5">
        <v>43886.625</v>
      </c>
      <c r="G57" s="19" t="str">
        <f t="shared" si="1"/>
        <v/>
      </c>
      <c r="J57" s="28" t="e">
        <f t="shared" si="2"/>
        <v>#DIV/0!</v>
      </c>
    </row>
    <row r="58" spans="1:10">
      <c r="A58" s="3">
        <v>0</v>
      </c>
      <c r="B58" t="s">
        <v>286</v>
      </c>
      <c r="C58" t="s">
        <v>8</v>
      </c>
      <c r="E58" s="3">
        <f t="shared" si="0"/>
        <v>3</v>
      </c>
      <c r="F58" s="5">
        <v>43887.625</v>
      </c>
      <c r="G58" s="19" t="str">
        <f t="shared" si="1"/>
        <v/>
      </c>
      <c r="J58" s="28" t="e">
        <f t="shared" si="2"/>
        <v>#DIV/0!</v>
      </c>
    </row>
    <row r="59" spans="1:10">
      <c r="A59" s="3">
        <v>1</v>
      </c>
      <c r="B59" t="s">
        <v>14</v>
      </c>
      <c r="C59" t="s">
        <v>8</v>
      </c>
      <c r="E59" s="3">
        <f t="shared" si="0"/>
        <v>4</v>
      </c>
      <c r="F59" s="5">
        <v>43888.625</v>
      </c>
      <c r="G59" s="19" t="str">
        <f t="shared" si="1"/>
        <v/>
      </c>
      <c r="J59" s="28" t="e">
        <f t="shared" si="2"/>
        <v>#DIV/0!</v>
      </c>
    </row>
    <row r="60" spans="1:10">
      <c r="A60" s="3">
        <v>3</v>
      </c>
      <c r="B60" t="s">
        <v>15</v>
      </c>
      <c r="C60" t="s">
        <v>8</v>
      </c>
      <c r="E60" s="3">
        <f t="shared" si="0"/>
        <v>5</v>
      </c>
      <c r="F60" s="5">
        <v>43889.625</v>
      </c>
      <c r="G60" s="19" t="str">
        <f t="shared" si="1"/>
        <v/>
      </c>
      <c r="J60" s="28" t="e">
        <f t="shared" si="2"/>
        <v>#DIV/0!</v>
      </c>
    </row>
    <row r="61" spans="1:10">
      <c r="A61" s="3">
        <v>1</v>
      </c>
      <c r="B61" t="s">
        <v>16</v>
      </c>
      <c r="C61" t="s">
        <v>8</v>
      </c>
      <c r="E61" s="3">
        <f t="shared" si="0"/>
        <v>6</v>
      </c>
      <c r="F61" s="5">
        <v>43890.625</v>
      </c>
      <c r="G61" s="19" t="str">
        <f t="shared" si="1"/>
        <v/>
      </c>
      <c r="J61" s="28">
        <f t="shared" si="2"/>
        <v>0</v>
      </c>
    </row>
    <row r="62" spans="1:10">
      <c r="A62" s="3">
        <v>1</v>
      </c>
      <c r="B62" t="s">
        <v>17</v>
      </c>
      <c r="C62" t="s">
        <v>8</v>
      </c>
      <c r="E62" s="3">
        <f t="shared" si="0"/>
        <v>7</v>
      </c>
      <c r="F62" s="5">
        <v>43891.625</v>
      </c>
      <c r="G62" s="19" t="str">
        <f t="shared" si="1"/>
        <v/>
      </c>
      <c r="J62" s="28" t="e">
        <f t="shared" si="2"/>
        <v>#DIV/0!</v>
      </c>
    </row>
    <row r="63" spans="1:10">
      <c r="A63" s="3">
        <v>0</v>
      </c>
      <c r="B63" t="s">
        <v>287</v>
      </c>
      <c r="C63" t="s">
        <v>8</v>
      </c>
      <c r="E63" s="3">
        <f t="shared" si="0"/>
        <v>1</v>
      </c>
      <c r="F63" s="5">
        <v>43892.625</v>
      </c>
      <c r="G63" s="19" t="str">
        <f t="shared" si="1"/>
        <v>2020-W10</v>
      </c>
      <c r="H63">
        <f>SUM(A63:A69)</f>
        <v>34</v>
      </c>
      <c r="I63" s="28">
        <f>H63/H56-1</f>
        <v>3.8571428571428568</v>
      </c>
      <c r="J63" s="28" t="e">
        <f t="shared" si="2"/>
        <v>#DIV/0!</v>
      </c>
    </row>
    <row r="64" spans="1:10">
      <c r="A64" s="3">
        <v>4</v>
      </c>
      <c r="B64" t="s">
        <v>18</v>
      </c>
      <c r="C64" t="s">
        <v>8</v>
      </c>
      <c r="E64" s="3">
        <f t="shared" si="0"/>
        <v>2</v>
      </c>
      <c r="F64" s="5">
        <v>43893.625</v>
      </c>
      <c r="G64" s="19" t="str">
        <f t="shared" si="1"/>
        <v/>
      </c>
      <c r="J64" s="28">
        <f t="shared" si="2"/>
        <v>3</v>
      </c>
    </row>
    <row r="65" spans="1:10">
      <c r="A65" s="3">
        <v>6</v>
      </c>
      <c r="B65" t="s">
        <v>19</v>
      </c>
      <c r="C65" t="s">
        <v>8</v>
      </c>
      <c r="E65" s="3">
        <f t="shared" si="0"/>
        <v>3</v>
      </c>
      <c r="F65" s="5">
        <v>43894.625</v>
      </c>
      <c r="G65" s="19" t="str">
        <f t="shared" si="1"/>
        <v/>
      </c>
      <c r="J65" s="28" t="e">
        <f t="shared" si="2"/>
        <v>#DIV/0!</v>
      </c>
    </row>
    <row r="66" spans="1:10">
      <c r="A66" s="3">
        <v>1</v>
      </c>
      <c r="B66" t="s">
        <v>20</v>
      </c>
      <c r="C66" t="s">
        <v>8</v>
      </c>
      <c r="E66" s="3">
        <f t="shared" si="0"/>
        <v>4</v>
      </c>
      <c r="F66" s="5">
        <v>43895.625</v>
      </c>
      <c r="G66" s="19" t="str">
        <f t="shared" si="1"/>
        <v/>
      </c>
      <c r="J66" s="28">
        <f t="shared" si="2"/>
        <v>0</v>
      </c>
    </row>
    <row r="67" spans="1:10">
      <c r="A67" s="3">
        <v>7</v>
      </c>
      <c r="B67" t="s">
        <v>21</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22</v>
      </c>
      <c r="C68" t="s">
        <v>8</v>
      </c>
      <c r="E68" s="3">
        <f t="shared" si="3"/>
        <v>6</v>
      </c>
      <c r="F68" s="5">
        <v>43897.625</v>
      </c>
      <c r="G68" s="19" t="str">
        <f t="shared" si="4"/>
        <v/>
      </c>
      <c r="J68" s="28">
        <f t="shared" si="2"/>
        <v>6</v>
      </c>
    </row>
    <row r="69" spans="1:10">
      <c r="A69" s="3">
        <v>9</v>
      </c>
      <c r="B69" t="s">
        <v>23</v>
      </c>
      <c r="C69" t="s">
        <v>8</v>
      </c>
      <c r="E69" s="3">
        <f t="shared" si="3"/>
        <v>7</v>
      </c>
      <c r="F69" s="5">
        <v>43898.625</v>
      </c>
      <c r="G69" s="19" t="str">
        <f t="shared" si="4"/>
        <v/>
      </c>
      <c r="J69" s="28">
        <f t="shared" si="2"/>
        <v>8</v>
      </c>
    </row>
    <row r="70" spans="1:10">
      <c r="A70" s="3">
        <v>17</v>
      </c>
      <c r="B70" t="s">
        <v>24</v>
      </c>
      <c r="C70" t="s">
        <v>8</v>
      </c>
      <c r="E70" s="3">
        <f t="shared" si="3"/>
        <v>1</v>
      </c>
      <c r="F70" s="5">
        <v>43899.625</v>
      </c>
      <c r="G70" s="19" t="str">
        <f t="shared" si="4"/>
        <v>2020-W11</v>
      </c>
      <c r="H70">
        <f>SUM(A70:A76)</f>
        <v>317</v>
      </c>
      <c r="I70" s="28">
        <f>H70/H63-1</f>
        <v>8.3235294117647065</v>
      </c>
      <c r="J70" s="28" t="e">
        <f t="shared" si="2"/>
        <v>#DIV/0!</v>
      </c>
    </row>
    <row r="71" spans="1:10">
      <c r="A71" s="3">
        <v>54</v>
      </c>
      <c r="B71" t="s">
        <v>25</v>
      </c>
      <c r="C71" t="s">
        <v>8</v>
      </c>
      <c r="E71" s="3">
        <f t="shared" si="3"/>
        <v>2</v>
      </c>
      <c r="F71" s="5">
        <v>43900.625</v>
      </c>
      <c r="G71" s="19" t="str">
        <f t="shared" si="4"/>
        <v/>
      </c>
      <c r="J71" s="28">
        <f t="shared" si="2"/>
        <v>12.5</v>
      </c>
    </row>
    <row r="72" spans="1:10">
      <c r="A72" s="3">
        <v>76</v>
      </c>
      <c r="B72" t="s">
        <v>26</v>
      </c>
      <c r="C72" t="s">
        <v>8</v>
      </c>
      <c r="E72" s="3">
        <f t="shared" si="3"/>
        <v>3</v>
      </c>
      <c r="F72" s="5">
        <v>43901.625</v>
      </c>
      <c r="G72" s="19" t="str">
        <f t="shared" si="4"/>
        <v/>
      </c>
      <c r="J72" s="28">
        <f t="shared" si="2"/>
        <v>11.666666666666666</v>
      </c>
    </row>
    <row r="73" spans="1:10">
      <c r="A73" s="3">
        <v>60</v>
      </c>
      <c r="B73" t="s">
        <v>27</v>
      </c>
      <c r="C73" t="s">
        <v>8</v>
      </c>
      <c r="E73" s="3">
        <f t="shared" si="3"/>
        <v>4</v>
      </c>
      <c r="F73" s="5">
        <v>43902.625</v>
      </c>
      <c r="G73" s="19" t="str">
        <f t="shared" si="4"/>
        <v/>
      </c>
      <c r="J73" s="28">
        <f t="shared" ref="J73:J136" si="5">A73/A66-1</f>
        <v>59</v>
      </c>
    </row>
    <row r="74" spans="1:10">
      <c r="A74" s="3">
        <v>28</v>
      </c>
      <c r="B74" t="s">
        <v>28</v>
      </c>
      <c r="C74" t="s">
        <v>8</v>
      </c>
      <c r="E74" s="3">
        <f t="shared" si="3"/>
        <v>5</v>
      </c>
      <c r="F74" s="5">
        <v>43903.625</v>
      </c>
      <c r="G74" s="19" t="str">
        <f t="shared" si="4"/>
        <v/>
      </c>
      <c r="J74" s="28">
        <f t="shared" si="5"/>
        <v>3</v>
      </c>
    </row>
    <row r="75" spans="1:10">
      <c r="A75" s="3">
        <v>29</v>
      </c>
      <c r="B75" t="s">
        <v>29</v>
      </c>
      <c r="C75" t="s">
        <v>8</v>
      </c>
      <c r="E75" s="3">
        <f t="shared" si="3"/>
        <v>6</v>
      </c>
      <c r="F75" s="5">
        <v>43904.625</v>
      </c>
      <c r="G75" s="19" t="str">
        <f t="shared" si="4"/>
        <v/>
      </c>
      <c r="J75" s="28">
        <f t="shared" si="5"/>
        <v>3.1428571428571432</v>
      </c>
    </row>
    <row r="76" spans="1:10">
      <c r="A76" s="3">
        <v>53</v>
      </c>
      <c r="B76" t="s">
        <v>30</v>
      </c>
      <c r="C76" t="s">
        <v>8</v>
      </c>
      <c r="E76" s="3">
        <f t="shared" si="3"/>
        <v>7</v>
      </c>
      <c r="F76" s="5">
        <v>43905.625</v>
      </c>
      <c r="G76" s="19" t="str">
        <f t="shared" si="4"/>
        <v/>
      </c>
      <c r="J76" s="28">
        <f t="shared" si="5"/>
        <v>4.8888888888888893</v>
      </c>
    </row>
    <row r="77" spans="1:10">
      <c r="A77" s="3">
        <v>52</v>
      </c>
      <c r="B77" t="s">
        <v>31</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32</v>
      </c>
      <c r="C78" t="s">
        <v>8</v>
      </c>
      <c r="E78" s="3">
        <f t="shared" si="3"/>
        <v>2</v>
      </c>
      <c r="F78" s="5">
        <v>43907.625</v>
      </c>
      <c r="G78" s="19" t="str">
        <f t="shared" si="4"/>
        <v/>
      </c>
      <c r="J78" s="28">
        <f t="shared" si="5"/>
        <v>-0.12962962962962965</v>
      </c>
    </row>
    <row r="79" spans="1:10">
      <c r="A79" s="3">
        <v>90</v>
      </c>
      <c r="B79" t="s">
        <v>33</v>
      </c>
      <c r="C79" t="s">
        <v>8</v>
      </c>
      <c r="E79" s="3">
        <f t="shared" si="3"/>
        <v>3</v>
      </c>
      <c r="F79" s="5">
        <v>43908.625</v>
      </c>
      <c r="G79" s="19" t="str">
        <f t="shared" si="4"/>
        <v/>
      </c>
      <c r="J79" s="28">
        <f t="shared" si="5"/>
        <v>0.18421052631578938</v>
      </c>
    </row>
    <row r="80" spans="1:10">
      <c r="A80" s="3">
        <v>99</v>
      </c>
      <c r="B80" t="s">
        <v>34</v>
      </c>
      <c r="C80" t="s">
        <v>8</v>
      </c>
      <c r="E80" s="3">
        <f t="shared" si="3"/>
        <v>4</v>
      </c>
      <c r="F80" s="5">
        <v>43909.625</v>
      </c>
      <c r="G80" s="19" t="str">
        <f t="shared" si="4"/>
        <v/>
      </c>
      <c r="J80" s="28">
        <f t="shared" si="5"/>
        <v>0.64999999999999991</v>
      </c>
    </row>
    <row r="81" spans="1:10">
      <c r="A81" s="3">
        <v>87</v>
      </c>
      <c r="B81" t="s">
        <v>35</v>
      </c>
      <c r="C81" t="s">
        <v>8</v>
      </c>
      <c r="E81" s="3">
        <f t="shared" si="3"/>
        <v>5</v>
      </c>
      <c r="F81" s="5">
        <v>43910.625</v>
      </c>
      <c r="G81" s="19" t="str">
        <f t="shared" si="4"/>
        <v/>
      </c>
      <c r="J81" s="28">
        <f t="shared" si="5"/>
        <v>2.1071428571428572</v>
      </c>
    </row>
    <row r="82" spans="1:10">
      <c r="A82" s="3">
        <v>87</v>
      </c>
      <c r="B82" t="s">
        <v>36</v>
      </c>
      <c r="C82" t="s">
        <v>8</v>
      </c>
      <c r="E82" s="3">
        <f t="shared" si="3"/>
        <v>6</v>
      </c>
      <c r="F82" s="5">
        <v>43911.625</v>
      </c>
      <c r="G82" s="19" t="str">
        <f t="shared" si="4"/>
        <v/>
      </c>
      <c r="J82" s="28">
        <f t="shared" si="5"/>
        <v>2</v>
      </c>
    </row>
    <row r="83" spans="1:10">
      <c r="A83" s="3">
        <v>78</v>
      </c>
      <c r="B83" t="s">
        <v>37</v>
      </c>
      <c r="C83" t="s">
        <v>8</v>
      </c>
      <c r="E83" s="3">
        <f t="shared" si="3"/>
        <v>7</v>
      </c>
      <c r="F83" s="5">
        <v>43912.625</v>
      </c>
      <c r="G83" s="19" t="str">
        <f t="shared" si="4"/>
        <v/>
      </c>
      <c r="J83" s="28">
        <f t="shared" si="5"/>
        <v>0.47169811320754707</v>
      </c>
    </row>
    <row r="84" spans="1:10">
      <c r="A84" s="3">
        <v>84</v>
      </c>
      <c r="B84" t="s">
        <v>38</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39</v>
      </c>
      <c r="C85" t="s">
        <v>8</v>
      </c>
      <c r="E85" s="3">
        <f t="shared" si="3"/>
        <v>2</v>
      </c>
      <c r="F85" s="5">
        <v>43914.625</v>
      </c>
      <c r="G85" s="19" t="str">
        <f t="shared" si="4"/>
        <v/>
      </c>
      <c r="J85" s="28">
        <f t="shared" si="5"/>
        <v>1.1063829787234041</v>
      </c>
    </row>
    <row r="86" spans="1:10">
      <c r="A86" s="3">
        <v>104</v>
      </c>
      <c r="B86" t="s">
        <v>40</v>
      </c>
      <c r="C86" t="s">
        <v>8</v>
      </c>
      <c r="E86" s="3">
        <f t="shared" si="3"/>
        <v>3</v>
      </c>
      <c r="F86" s="5">
        <v>43915.625</v>
      </c>
      <c r="G86" s="19" t="str">
        <f t="shared" si="4"/>
        <v/>
      </c>
      <c r="J86" s="28">
        <f t="shared" si="5"/>
        <v>0.15555555555555545</v>
      </c>
    </row>
    <row r="87" spans="1:10">
      <c r="A87" s="3">
        <v>113</v>
      </c>
      <c r="B87" t="s">
        <v>41</v>
      </c>
      <c r="C87" t="s">
        <v>8</v>
      </c>
      <c r="E87" s="3">
        <f t="shared" si="3"/>
        <v>4</v>
      </c>
      <c r="F87" s="5">
        <v>43916.625</v>
      </c>
      <c r="G87" s="19" t="str">
        <f t="shared" si="4"/>
        <v/>
      </c>
      <c r="J87" s="28">
        <f t="shared" si="5"/>
        <v>0.14141414141414144</v>
      </c>
    </row>
    <row r="88" spans="1:10">
      <c r="A88" s="3">
        <v>95</v>
      </c>
      <c r="B88" t="s">
        <v>42</v>
      </c>
      <c r="C88" t="s">
        <v>8</v>
      </c>
      <c r="E88" s="3">
        <f t="shared" si="3"/>
        <v>5</v>
      </c>
      <c r="F88" s="5">
        <v>43917.625</v>
      </c>
      <c r="G88" s="19" t="str">
        <f t="shared" si="4"/>
        <v/>
      </c>
      <c r="J88" s="28">
        <f t="shared" si="5"/>
        <v>9.1954022988505857E-2</v>
      </c>
    </row>
    <row r="89" spans="1:10">
      <c r="A89" s="3">
        <v>77</v>
      </c>
      <c r="B89" t="s">
        <v>43</v>
      </c>
      <c r="C89" t="s">
        <v>8</v>
      </c>
      <c r="E89" s="3">
        <f t="shared" si="3"/>
        <v>6</v>
      </c>
      <c r="F89" s="5">
        <v>43918.625</v>
      </c>
      <c r="G89" s="19" t="str">
        <f t="shared" si="4"/>
        <v/>
      </c>
      <c r="J89" s="28">
        <f t="shared" si="5"/>
        <v>-0.11494252873563215</v>
      </c>
    </row>
    <row r="90" spans="1:10">
      <c r="A90" s="3">
        <v>70</v>
      </c>
      <c r="B90" t="s">
        <v>44</v>
      </c>
      <c r="C90" t="s">
        <v>8</v>
      </c>
      <c r="E90" s="3">
        <f t="shared" si="3"/>
        <v>7</v>
      </c>
      <c r="F90" s="5">
        <v>43919.625</v>
      </c>
      <c r="G90" s="19" t="str">
        <f t="shared" si="4"/>
        <v/>
      </c>
      <c r="J90" s="28">
        <f t="shared" si="5"/>
        <v>-0.10256410256410253</v>
      </c>
    </row>
    <row r="91" spans="1:10">
      <c r="A91" s="3">
        <v>129</v>
      </c>
      <c r="B91" t="s">
        <v>45</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46</v>
      </c>
      <c r="C92" t="s">
        <v>8</v>
      </c>
      <c r="E92" s="3">
        <f t="shared" si="3"/>
        <v>2</v>
      </c>
      <c r="F92" s="5">
        <v>43921.625</v>
      </c>
      <c r="G92" s="19" t="str">
        <f t="shared" si="4"/>
        <v/>
      </c>
      <c r="J92" s="28">
        <f t="shared" si="5"/>
        <v>0.26262626262626254</v>
      </c>
    </row>
    <row r="93" spans="1:10">
      <c r="A93" s="3">
        <v>149</v>
      </c>
      <c r="B93" t="s">
        <v>47</v>
      </c>
      <c r="C93" t="s">
        <v>8</v>
      </c>
      <c r="E93" s="3">
        <f t="shared" si="3"/>
        <v>3</v>
      </c>
      <c r="F93" s="5">
        <v>43922.625</v>
      </c>
      <c r="G93" s="19" t="str">
        <f t="shared" si="4"/>
        <v/>
      </c>
      <c r="J93" s="28">
        <f t="shared" si="5"/>
        <v>0.43269230769230771</v>
      </c>
    </row>
    <row r="94" spans="1:10">
      <c r="A94" s="3">
        <v>161</v>
      </c>
      <c r="B94" t="s">
        <v>48</v>
      </c>
      <c r="C94" t="s">
        <v>8</v>
      </c>
      <c r="E94" s="3">
        <f t="shared" si="3"/>
        <v>4</v>
      </c>
      <c r="F94" s="5">
        <v>43923.625</v>
      </c>
      <c r="G94" s="19" t="str">
        <f t="shared" si="4"/>
        <v/>
      </c>
      <c r="J94" s="28">
        <f t="shared" si="5"/>
        <v>0.4247787610619469</v>
      </c>
    </row>
    <row r="95" spans="1:10">
      <c r="A95" s="3">
        <v>199</v>
      </c>
      <c r="B95" t="s">
        <v>49</v>
      </c>
      <c r="C95" t="s">
        <v>8</v>
      </c>
      <c r="E95" s="3">
        <f t="shared" si="3"/>
        <v>5</v>
      </c>
      <c r="F95" s="5">
        <v>43924.625</v>
      </c>
      <c r="G95" s="19" t="str">
        <f t="shared" si="4"/>
        <v/>
      </c>
      <c r="J95" s="28">
        <f t="shared" si="5"/>
        <v>1.094736842105263</v>
      </c>
    </row>
    <row r="96" spans="1:10">
      <c r="A96" s="3">
        <v>81</v>
      </c>
      <c r="B96" t="s">
        <v>50</v>
      </c>
      <c r="C96" t="s">
        <v>8</v>
      </c>
      <c r="E96" s="3">
        <f t="shared" si="3"/>
        <v>6</v>
      </c>
      <c r="F96" s="5">
        <v>43925.625</v>
      </c>
      <c r="G96" s="19" t="str">
        <f t="shared" si="4"/>
        <v/>
      </c>
      <c r="J96" s="28">
        <f t="shared" si="5"/>
        <v>5.1948051948051965E-2</v>
      </c>
    </row>
    <row r="97" spans="1:10">
      <c r="A97" s="3">
        <v>122</v>
      </c>
      <c r="B97" s="1" t="s">
        <v>51</v>
      </c>
      <c r="C97" t="s">
        <v>8</v>
      </c>
      <c r="D97" s="1"/>
      <c r="E97" s="3">
        <f t="shared" si="3"/>
        <v>7</v>
      </c>
      <c r="F97" s="6">
        <v>43926.625</v>
      </c>
      <c r="G97" s="19" t="str">
        <f t="shared" si="4"/>
        <v/>
      </c>
      <c r="J97" s="28">
        <f t="shared" si="5"/>
        <v>0.74285714285714288</v>
      </c>
    </row>
    <row r="98" spans="1:10" s="41" customFormat="1">
      <c r="A98" s="40">
        <v>209</v>
      </c>
      <c r="B98" s="41" t="s">
        <v>52</v>
      </c>
      <c r="C98" s="41" t="s">
        <v>8</v>
      </c>
      <c r="E98" s="40">
        <f t="shared" si="3"/>
        <v>1</v>
      </c>
      <c r="F98" s="42">
        <v>43927.625</v>
      </c>
      <c r="G98" s="43" t="str">
        <f t="shared" si="4"/>
        <v>2020-W15</v>
      </c>
      <c r="H98" s="41">
        <f>SUM(A98:A104)</f>
        <v>931</v>
      </c>
      <c r="I98" s="44">
        <f>H98/H91-1</f>
        <v>-3.6231884057971064E-2</v>
      </c>
      <c r="J98" s="44">
        <f t="shared" si="5"/>
        <v>0.62015503875968991</v>
      </c>
    </row>
    <row r="99" spans="1:10">
      <c r="A99" s="3">
        <v>200</v>
      </c>
      <c r="B99" t="s">
        <v>53</v>
      </c>
      <c r="C99" t="s">
        <v>8</v>
      </c>
      <c r="E99" s="3">
        <f t="shared" si="3"/>
        <v>2</v>
      </c>
      <c r="F99" s="5">
        <v>43928.625</v>
      </c>
      <c r="G99" s="19" t="str">
        <f t="shared" si="4"/>
        <v/>
      </c>
      <c r="J99" s="28">
        <f t="shared" si="5"/>
        <v>0.60000000000000009</v>
      </c>
    </row>
    <row r="100" spans="1:10">
      <c r="A100" s="3">
        <v>138</v>
      </c>
      <c r="B100" t="s">
        <v>54</v>
      </c>
      <c r="C100" t="s">
        <v>8</v>
      </c>
      <c r="E100" s="3">
        <f t="shared" si="3"/>
        <v>3</v>
      </c>
      <c r="F100" s="5">
        <v>43929.625</v>
      </c>
      <c r="G100" s="19" t="str">
        <f t="shared" si="4"/>
        <v/>
      </c>
      <c r="J100" s="28">
        <f t="shared" si="5"/>
        <v>-7.3825503355704702E-2</v>
      </c>
    </row>
    <row r="101" spans="1:10">
      <c r="A101" s="3">
        <v>158</v>
      </c>
      <c r="B101" t="s">
        <v>55</v>
      </c>
      <c r="C101" t="s">
        <v>8</v>
      </c>
      <c r="E101" s="3">
        <f t="shared" si="3"/>
        <v>4</v>
      </c>
      <c r="F101" s="5">
        <v>43930.625</v>
      </c>
      <c r="G101" s="19" t="str">
        <f t="shared" si="4"/>
        <v/>
      </c>
      <c r="J101" s="28">
        <f t="shared" si="5"/>
        <v>-1.8633540372670843E-2</v>
      </c>
    </row>
    <row r="102" spans="1:10">
      <c r="A102" s="3">
        <v>71</v>
      </c>
      <c r="B102" t="s">
        <v>56</v>
      </c>
      <c r="C102" t="s">
        <v>8</v>
      </c>
      <c r="E102" s="3">
        <f t="shared" si="3"/>
        <v>5</v>
      </c>
      <c r="F102" s="5">
        <v>43931.625</v>
      </c>
      <c r="G102" s="19" t="str">
        <f t="shared" si="4"/>
        <v/>
      </c>
      <c r="J102" s="28">
        <f t="shared" si="5"/>
        <v>-0.64321608040201006</v>
      </c>
    </row>
    <row r="103" spans="1:10">
      <c r="A103" s="3">
        <v>75</v>
      </c>
      <c r="B103" t="s">
        <v>57</v>
      </c>
      <c r="C103" t="s">
        <v>8</v>
      </c>
      <c r="E103" s="3">
        <f t="shared" si="3"/>
        <v>6</v>
      </c>
      <c r="F103" s="5">
        <v>43932.625</v>
      </c>
      <c r="G103" s="19" t="str">
        <f t="shared" si="4"/>
        <v/>
      </c>
      <c r="J103" s="28">
        <f t="shared" si="5"/>
        <v>-7.407407407407407E-2</v>
      </c>
    </row>
    <row r="104" spans="1:10">
      <c r="A104" s="3">
        <v>80</v>
      </c>
      <c r="B104" t="s">
        <v>58</v>
      </c>
      <c r="C104" t="s">
        <v>8</v>
      </c>
      <c r="E104" s="3">
        <f t="shared" si="3"/>
        <v>7</v>
      </c>
      <c r="F104" s="5">
        <v>43933.625</v>
      </c>
      <c r="G104" s="19" t="str">
        <f t="shared" si="4"/>
        <v/>
      </c>
      <c r="J104" s="28">
        <f t="shared" si="5"/>
        <v>-0.34426229508196726</v>
      </c>
    </row>
    <row r="105" spans="1:10">
      <c r="A105" s="3">
        <v>117</v>
      </c>
      <c r="B105" t="s">
        <v>59</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60</v>
      </c>
      <c r="C106" t="s">
        <v>8</v>
      </c>
      <c r="E106" s="3">
        <f t="shared" si="3"/>
        <v>2</v>
      </c>
      <c r="F106" s="5">
        <v>43935.625</v>
      </c>
      <c r="G106" s="19" t="str">
        <f t="shared" si="4"/>
        <v/>
      </c>
      <c r="J106" s="28">
        <f t="shared" si="5"/>
        <v>-0.125</v>
      </c>
    </row>
    <row r="107" spans="1:10">
      <c r="A107" s="3">
        <v>130</v>
      </c>
      <c r="B107" t="s">
        <v>61</v>
      </c>
      <c r="C107" t="s">
        <v>8</v>
      </c>
      <c r="E107" s="3">
        <f t="shared" si="3"/>
        <v>3</v>
      </c>
      <c r="F107" s="5">
        <v>43936.625</v>
      </c>
      <c r="G107" s="19" t="str">
        <f t="shared" si="4"/>
        <v/>
      </c>
      <c r="J107" s="28">
        <f t="shared" si="5"/>
        <v>-5.7971014492753659E-2</v>
      </c>
    </row>
    <row r="108" spans="1:10">
      <c r="A108" s="3">
        <v>120</v>
      </c>
      <c r="B108" t="s">
        <v>62</v>
      </c>
      <c r="C108" t="s">
        <v>8</v>
      </c>
      <c r="E108" s="3">
        <f t="shared" si="3"/>
        <v>4</v>
      </c>
      <c r="F108" s="5">
        <v>43937.625</v>
      </c>
      <c r="G108" s="19" t="str">
        <f t="shared" si="4"/>
        <v/>
      </c>
      <c r="J108" s="28">
        <f t="shared" si="5"/>
        <v>-0.240506329113924</v>
      </c>
    </row>
    <row r="109" spans="1:10">
      <c r="A109" s="3">
        <v>125</v>
      </c>
      <c r="B109" t="s">
        <v>63</v>
      </c>
      <c r="C109" t="s">
        <v>8</v>
      </c>
      <c r="E109" s="3">
        <f t="shared" si="3"/>
        <v>5</v>
      </c>
      <c r="F109" s="5">
        <v>43938.625</v>
      </c>
      <c r="G109" s="19" t="str">
        <f t="shared" si="4"/>
        <v/>
      </c>
      <c r="J109" s="28">
        <f t="shared" si="5"/>
        <v>0.76056338028169024</v>
      </c>
    </row>
    <row r="110" spans="1:10">
      <c r="A110" s="3">
        <v>56</v>
      </c>
      <c r="B110" t="s">
        <v>64</v>
      </c>
      <c r="C110" t="s">
        <v>8</v>
      </c>
      <c r="E110" s="3">
        <f t="shared" si="3"/>
        <v>6</v>
      </c>
      <c r="F110" s="5">
        <v>43939.625</v>
      </c>
      <c r="G110" s="19" t="str">
        <f t="shared" si="4"/>
        <v/>
      </c>
      <c r="J110" s="28">
        <f t="shared" si="5"/>
        <v>-0.2533333333333333</v>
      </c>
    </row>
    <row r="111" spans="1:10">
      <c r="A111" s="3">
        <v>67</v>
      </c>
      <c r="B111" t="s">
        <v>65</v>
      </c>
      <c r="C111" t="s">
        <v>8</v>
      </c>
      <c r="E111" s="3">
        <f t="shared" si="3"/>
        <v>7</v>
      </c>
      <c r="F111" s="5">
        <v>43940.625</v>
      </c>
      <c r="G111" s="19" t="str">
        <f t="shared" si="4"/>
        <v/>
      </c>
      <c r="J111" s="28">
        <f t="shared" si="5"/>
        <v>-0.16249999999999998</v>
      </c>
    </row>
    <row r="112" spans="1:10" s="41" customFormat="1">
      <c r="A112" s="40">
        <v>143</v>
      </c>
      <c r="B112" s="41" t="s">
        <v>66</v>
      </c>
      <c r="C112" s="41" t="s">
        <v>8</v>
      </c>
      <c r="E112" s="40">
        <f t="shared" si="3"/>
        <v>1</v>
      </c>
      <c r="F112" s="42">
        <v>43941.625</v>
      </c>
      <c r="G112" s="43" t="str">
        <f t="shared" si="4"/>
        <v>2020-W17</v>
      </c>
      <c r="H112" s="41">
        <f>SUM(A112:A118)</f>
        <v>736</v>
      </c>
      <c r="I112" s="44">
        <f>H112/H105-1</f>
        <v>-6.8354430379746867E-2</v>
      </c>
      <c r="J112" s="44">
        <f t="shared" si="5"/>
        <v>0.22222222222222232</v>
      </c>
    </row>
    <row r="113" spans="1:10">
      <c r="A113" s="3">
        <v>112</v>
      </c>
      <c r="B113" t="s">
        <v>67</v>
      </c>
      <c r="C113" t="s">
        <v>8</v>
      </c>
      <c r="E113" s="3">
        <f t="shared" si="3"/>
        <v>2</v>
      </c>
      <c r="F113" s="5">
        <v>43942.625</v>
      </c>
      <c r="G113" s="19" t="str">
        <f t="shared" si="4"/>
        <v/>
      </c>
      <c r="J113" s="28">
        <f t="shared" si="5"/>
        <v>-0.36</v>
      </c>
    </row>
    <row r="114" spans="1:10">
      <c r="A114" s="3">
        <v>124</v>
      </c>
      <c r="B114" t="s">
        <v>68</v>
      </c>
      <c r="C114" t="s">
        <v>8</v>
      </c>
      <c r="E114" s="3">
        <f t="shared" si="3"/>
        <v>3</v>
      </c>
      <c r="F114" s="5">
        <v>43943.625</v>
      </c>
      <c r="G114" s="19" t="str">
        <f t="shared" si="4"/>
        <v/>
      </c>
      <c r="J114" s="28">
        <f t="shared" si="5"/>
        <v>-4.6153846153846101E-2</v>
      </c>
    </row>
    <row r="115" spans="1:10">
      <c r="A115" s="3">
        <v>116</v>
      </c>
      <c r="B115" t="s">
        <v>69</v>
      </c>
      <c r="C115" t="s">
        <v>8</v>
      </c>
      <c r="E115" s="3">
        <f t="shared" si="3"/>
        <v>4</v>
      </c>
      <c r="F115" s="5">
        <v>43944.625</v>
      </c>
      <c r="G115" s="19" t="str">
        <f t="shared" si="4"/>
        <v/>
      </c>
      <c r="J115" s="28">
        <f t="shared" si="5"/>
        <v>-3.3333333333333326E-2</v>
      </c>
    </row>
    <row r="116" spans="1:10">
      <c r="A116" s="3">
        <v>92</v>
      </c>
      <c r="B116" t="s">
        <v>70</v>
      </c>
      <c r="C116" t="s">
        <v>8</v>
      </c>
      <c r="E116" s="3">
        <f t="shared" si="3"/>
        <v>5</v>
      </c>
      <c r="F116" s="5">
        <v>43945.625</v>
      </c>
      <c r="G116" s="19" t="str">
        <f t="shared" si="4"/>
        <v/>
      </c>
      <c r="J116" s="28">
        <f t="shared" si="5"/>
        <v>-0.26400000000000001</v>
      </c>
    </row>
    <row r="117" spans="1:10">
      <c r="A117" s="3">
        <v>76</v>
      </c>
      <c r="B117" t="s">
        <v>71</v>
      </c>
      <c r="C117" t="s">
        <v>8</v>
      </c>
      <c r="E117" s="3">
        <f t="shared" si="3"/>
        <v>6</v>
      </c>
      <c r="F117" s="5">
        <v>43946.625</v>
      </c>
      <c r="G117" s="19" t="str">
        <f t="shared" si="4"/>
        <v/>
      </c>
      <c r="J117" s="28">
        <f t="shared" si="5"/>
        <v>0.35714285714285721</v>
      </c>
    </row>
    <row r="118" spans="1:10">
      <c r="A118" s="3">
        <v>73</v>
      </c>
      <c r="B118" t="s">
        <v>72</v>
      </c>
      <c r="C118" t="s">
        <v>8</v>
      </c>
      <c r="E118" s="3">
        <f t="shared" si="3"/>
        <v>7</v>
      </c>
      <c r="F118" s="5">
        <v>43947.625</v>
      </c>
      <c r="G118" s="19" t="str">
        <f t="shared" si="4"/>
        <v/>
      </c>
      <c r="J118" s="28">
        <f t="shared" si="5"/>
        <v>8.9552238805970186E-2</v>
      </c>
    </row>
    <row r="119" spans="1:10">
      <c r="A119" s="3">
        <v>123</v>
      </c>
      <c r="B119" t="s">
        <v>73</v>
      </c>
      <c r="C119" t="s">
        <v>8</v>
      </c>
      <c r="E119" s="3">
        <f t="shared" si="3"/>
        <v>1</v>
      </c>
      <c r="F119" s="5">
        <v>43948.625</v>
      </c>
      <c r="G119" s="19" t="str">
        <f t="shared" si="4"/>
        <v>2020-W18</v>
      </c>
      <c r="H119">
        <f>SUM(A119:A125)</f>
        <v>623</v>
      </c>
      <c r="I119" s="28">
        <f>H119/H112-1</f>
        <v>-0.15353260869565222</v>
      </c>
      <c r="J119" s="28">
        <f t="shared" si="5"/>
        <v>-0.1398601398601399</v>
      </c>
    </row>
    <row r="120" spans="1:10" s="41" customFormat="1">
      <c r="A120" s="40">
        <v>139</v>
      </c>
      <c r="B120" s="41" t="s">
        <v>74</v>
      </c>
      <c r="C120" s="41" t="s">
        <v>8</v>
      </c>
      <c r="E120" s="40">
        <f t="shared" si="3"/>
        <v>2</v>
      </c>
      <c r="F120" s="42">
        <v>43949.625</v>
      </c>
      <c r="G120" s="43" t="str">
        <f t="shared" si="4"/>
        <v/>
      </c>
      <c r="J120" s="44">
        <f t="shared" si="5"/>
        <v>0.2410714285714286</v>
      </c>
    </row>
    <row r="121" spans="1:10">
      <c r="A121" s="3">
        <v>108</v>
      </c>
      <c r="B121" t="s">
        <v>75</v>
      </c>
      <c r="C121" t="s">
        <v>8</v>
      </c>
      <c r="E121" s="3">
        <f t="shared" si="3"/>
        <v>3</v>
      </c>
      <c r="F121" s="5">
        <v>43950.625</v>
      </c>
      <c r="G121" s="19" t="str">
        <f t="shared" si="4"/>
        <v/>
      </c>
      <c r="J121" s="28">
        <f t="shared" si="5"/>
        <v>-0.12903225806451613</v>
      </c>
    </row>
    <row r="122" spans="1:10">
      <c r="A122" s="3">
        <v>86</v>
      </c>
      <c r="B122" t="s">
        <v>76</v>
      </c>
      <c r="C122" t="s">
        <v>8</v>
      </c>
      <c r="E122" s="3">
        <f t="shared" si="3"/>
        <v>4</v>
      </c>
      <c r="F122" s="5">
        <v>43951.625</v>
      </c>
      <c r="G122" s="19" t="str">
        <f t="shared" si="4"/>
        <v/>
      </c>
      <c r="J122" s="28">
        <f t="shared" si="5"/>
        <v>-0.25862068965517238</v>
      </c>
    </row>
    <row r="123" spans="1:10">
      <c r="A123" s="3">
        <v>48</v>
      </c>
      <c r="B123" t="s">
        <v>77</v>
      </c>
      <c r="C123" t="s">
        <v>8</v>
      </c>
      <c r="E123" s="3">
        <f t="shared" si="3"/>
        <v>5</v>
      </c>
      <c r="F123" s="5">
        <v>43952.625</v>
      </c>
      <c r="G123" s="19" t="str">
        <f t="shared" si="4"/>
        <v/>
      </c>
      <c r="J123" s="28">
        <f t="shared" si="5"/>
        <v>-0.47826086956521741</v>
      </c>
    </row>
    <row r="124" spans="1:10">
      <c r="A124" s="3">
        <v>58</v>
      </c>
      <c r="B124" t="s">
        <v>78</v>
      </c>
      <c r="C124" t="s">
        <v>8</v>
      </c>
      <c r="E124" s="3">
        <f t="shared" si="3"/>
        <v>6</v>
      </c>
      <c r="F124" s="5">
        <v>43953.625</v>
      </c>
      <c r="G124" s="19" t="str">
        <f t="shared" si="4"/>
        <v/>
      </c>
      <c r="J124" s="28">
        <f t="shared" si="5"/>
        <v>-0.23684210526315785</v>
      </c>
    </row>
    <row r="125" spans="1:10">
      <c r="A125" s="3">
        <v>61</v>
      </c>
      <c r="B125" t="s">
        <v>79</v>
      </c>
      <c r="C125" t="s">
        <v>8</v>
      </c>
      <c r="E125" s="3">
        <f t="shared" si="3"/>
        <v>7</v>
      </c>
      <c r="F125" s="5">
        <v>43954.625</v>
      </c>
      <c r="G125" s="19" t="str">
        <f t="shared" si="4"/>
        <v/>
      </c>
      <c r="J125" s="28">
        <f t="shared" si="5"/>
        <v>-0.16438356164383561</v>
      </c>
    </row>
    <row r="126" spans="1:10">
      <c r="A126" s="3">
        <v>133</v>
      </c>
      <c r="B126" t="s">
        <v>80</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81</v>
      </c>
      <c r="C127" t="s">
        <v>8</v>
      </c>
      <c r="E127" s="3">
        <f t="shared" si="3"/>
        <v>2</v>
      </c>
      <c r="F127" s="5">
        <v>43956.625</v>
      </c>
      <c r="G127" s="19" t="str">
        <f t="shared" si="4"/>
        <v/>
      </c>
      <c r="J127" s="28">
        <f t="shared" si="5"/>
        <v>-0.10071942446043169</v>
      </c>
    </row>
    <row r="128" spans="1:10">
      <c r="A128" s="3">
        <v>95</v>
      </c>
      <c r="B128" t="s">
        <v>82</v>
      </c>
      <c r="C128" t="s">
        <v>8</v>
      </c>
      <c r="E128" s="3">
        <f t="shared" si="3"/>
        <v>3</v>
      </c>
      <c r="F128" s="5">
        <v>43957.625</v>
      </c>
      <c r="G128" s="19" t="str">
        <f t="shared" si="4"/>
        <v/>
      </c>
      <c r="J128" s="28">
        <f t="shared" si="5"/>
        <v>-0.12037037037037035</v>
      </c>
    </row>
    <row r="129" spans="1:10" s="41" customFormat="1">
      <c r="A129" s="40">
        <v>108</v>
      </c>
      <c r="B129" s="41" t="s">
        <v>83</v>
      </c>
      <c r="C129" s="41" t="s">
        <v>8</v>
      </c>
      <c r="E129" s="40">
        <f t="shared" si="3"/>
        <v>4</v>
      </c>
      <c r="F129" s="42">
        <v>43958.625</v>
      </c>
      <c r="G129" s="43" t="str">
        <f t="shared" si="4"/>
        <v/>
      </c>
      <c r="J129" s="44">
        <f t="shared" si="5"/>
        <v>0.2558139534883721</v>
      </c>
    </row>
    <row r="130" spans="1:10">
      <c r="A130" s="3">
        <v>81</v>
      </c>
      <c r="B130" t="s">
        <v>84</v>
      </c>
      <c r="C130" t="s">
        <v>8</v>
      </c>
      <c r="E130" s="3">
        <f t="shared" si="3"/>
        <v>5</v>
      </c>
      <c r="F130" s="5">
        <v>43959.625</v>
      </c>
      <c r="G130" s="19" t="str">
        <f t="shared" si="4"/>
        <v/>
      </c>
      <c r="J130" s="28">
        <f t="shared" si="5"/>
        <v>0.6875</v>
      </c>
    </row>
    <row r="131" spans="1:10">
      <c r="A131" s="3">
        <v>47</v>
      </c>
      <c r="B131" t="s">
        <v>85</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86</v>
      </c>
      <c r="C132" t="s">
        <v>8</v>
      </c>
      <c r="E132" s="3">
        <f t="shared" si="6"/>
        <v>7</v>
      </c>
      <c r="F132" s="5">
        <v>43961.625</v>
      </c>
      <c r="G132" s="19" t="str">
        <f t="shared" si="7"/>
        <v/>
      </c>
      <c r="J132" s="28">
        <f t="shared" si="5"/>
        <v>-0.54098360655737698</v>
      </c>
    </row>
    <row r="133" spans="1:10">
      <c r="A133" s="3">
        <v>92</v>
      </c>
      <c r="B133" t="s">
        <v>87</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88</v>
      </c>
      <c r="C134" t="s">
        <v>8</v>
      </c>
      <c r="E134" s="3">
        <f t="shared" si="6"/>
        <v>2</v>
      </c>
      <c r="F134" s="5">
        <v>43963.625</v>
      </c>
      <c r="G134" s="19" t="str">
        <f t="shared" si="7"/>
        <v/>
      </c>
      <c r="J134" s="28">
        <f t="shared" si="5"/>
        <v>-0.46399999999999997</v>
      </c>
    </row>
    <row r="135" spans="1:10">
      <c r="A135" s="3">
        <v>78</v>
      </c>
      <c r="B135" t="s">
        <v>89</v>
      </c>
      <c r="C135" t="s">
        <v>8</v>
      </c>
      <c r="E135" s="3">
        <f t="shared" si="6"/>
        <v>3</v>
      </c>
      <c r="F135" s="5">
        <v>43964.625</v>
      </c>
      <c r="G135" s="19" t="str">
        <f t="shared" si="7"/>
        <v/>
      </c>
      <c r="J135" s="28">
        <f t="shared" si="5"/>
        <v>-0.17894736842105263</v>
      </c>
    </row>
    <row r="136" spans="1:10">
      <c r="A136" s="3">
        <v>50</v>
      </c>
      <c r="B136" t="s">
        <v>90</v>
      </c>
      <c r="C136" t="s">
        <v>8</v>
      </c>
      <c r="E136" s="3">
        <f t="shared" si="6"/>
        <v>4</v>
      </c>
      <c r="F136" s="5">
        <v>43965.625</v>
      </c>
      <c r="G136" s="19" t="str">
        <f t="shared" si="7"/>
        <v/>
      </c>
      <c r="J136" s="28">
        <f t="shared" si="5"/>
        <v>-0.53703703703703698</v>
      </c>
    </row>
    <row r="137" spans="1:10">
      <c r="A137" s="3">
        <v>55</v>
      </c>
      <c r="B137" t="s">
        <v>91</v>
      </c>
      <c r="C137" t="s">
        <v>8</v>
      </c>
      <c r="E137" s="3">
        <f t="shared" si="6"/>
        <v>5</v>
      </c>
      <c r="F137" s="5">
        <v>43966.625</v>
      </c>
      <c r="G137" s="19" t="str">
        <f t="shared" si="7"/>
        <v/>
      </c>
      <c r="J137" s="28">
        <f t="shared" ref="J137:J200" si="8">A137/A130-1</f>
        <v>-0.32098765432098764</v>
      </c>
    </row>
    <row r="138" spans="1:10" s="41" customFormat="1">
      <c r="A138" s="40">
        <v>25</v>
      </c>
      <c r="B138" s="41" t="s">
        <v>92</v>
      </c>
      <c r="C138" s="41" t="s">
        <v>8</v>
      </c>
      <c r="E138" s="40">
        <f t="shared" si="6"/>
        <v>6</v>
      </c>
      <c r="F138" s="42">
        <v>43967.625</v>
      </c>
      <c r="G138" s="43" t="str">
        <f t="shared" si="7"/>
        <v/>
      </c>
      <c r="J138" s="44">
        <f t="shared" si="8"/>
        <v>-0.46808510638297873</v>
      </c>
    </row>
    <row r="139" spans="1:10">
      <c r="A139" s="3">
        <v>29</v>
      </c>
      <c r="B139" t="s">
        <v>93</v>
      </c>
      <c r="C139" t="s">
        <v>8</v>
      </c>
      <c r="E139" s="3">
        <f t="shared" si="6"/>
        <v>7</v>
      </c>
      <c r="F139" s="5">
        <v>43968.625</v>
      </c>
      <c r="G139" s="19" t="str">
        <f t="shared" si="7"/>
        <v/>
      </c>
      <c r="J139" s="28">
        <f t="shared" si="8"/>
        <v>3.5714285714285809E-2</v>
      </c>
    </row>
    <row r="140" spans="1:10">
      <c r="A140" s="3">
        <v>45</v>
      </c>
      <c r="B140" t="s">
        <v>94</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95</v>
      </c>
      <c r="C141" t="s">
        <v>8</v>
      </c>
      <c r="E141" s="3">
        <f t="shared" si="6"/>
        <v>2</v>
      </c>
      <c r="F141" s="5">
        <v>43970.625</v>
      </c>
      <c r="G141" s="19" t="str">
        <f t="shared" si="7"/>
        <v/>
      </c>
      <c r="J141" s="28">
        <f t="shared" si="8"/>
        <v>-0.38805970149253732</v>
      </c>
    </row>
    <row r="142" spans="1:10">
      <c r="A142" s="3">
        <v>43</v>
      </c>
      <c r="B142" t="s">
        <v>96</v>
      </c>
      <c r="C142" t="s">
        <v>8</v>
      </c>
      <c r="E142" s="3">
        <f t="shared" si="6"/>
        <v>3</v>
      </c>
      <c r="F142" s="5">
        <v>43971.625</v>
      </c>
      <c r="G142" s="19" t="str">
        <f t="shared" si="7"/>
        <v/>
      </c>
      <c r="J142" s="28">
        <f t="shared" si="8"/>
        <v>-0.44871794871794868</v>
      </c>
    </row>
    <row r="143" spans="1:10">
      <c r="A143" s="3">
        <v>22</v>
      </c>
      <c r="B143" t="s">
        <v>97</v>
      </c>
      <c r="C143" t="s">
        <v>8</v>
      </c>
      <c r="E143" s="3">
        <f t="shared" si="6"/>
        <v>4</v>
      </c>
      <c r="F143" s="5">
        <v>43972.625</v>
      </c>
      <c r="G143" s="19" t="str">
        <f t="shared" si="7"/>
        <v/>
      </c>
      <c r="J143" s="28">
        <f t="shared" si="8"/>
        <v>-0.56000000000000005</v>
      </c>
    </row>
    <row r="144" spans="1:10">
      <c r="A144" s="3">
        <v>32</v>
      </c>
      <c r="B144" t="s">
        <v>98</v>
      </c>
      <c r="C144" t="s">
        <v>8</v>
      </c>
      <c r="E144" s="3">
        <f t="shared" si="6"/>
        <v>5</v>
      </c>
      <c r="F144" s="5">
        <v>43973.625</v>
      </c>
      <c r="G144" s="19" t="str">
        <f t="shared" si="7"/>
        <v/>
      </c>
      <c r="J144" s="28">
        <f t="shared" si="8"/>
        <v>-0.41818181818181821</v>
      </c>
    </row>
    <row r="145" spans="1:10">
      <c r="A145" s="3">
        <v>18</v>
      </c>
      <c r="B145" t="s">
        <v>99</v>
      </c>
      <c r="C145" t="s">
        <v>8</v>
      </c>
      <c r="E145" s="3">
        <f t="shared" si="6"/>
        <v>6</v>
      </c>
      <c r="F145" s="5">
        <v>43974.625</v>
      </c>
      <c r="G145" s="19" t="str">
        <f t="shared" si="7"/>
        <v/>
      </c>
      <c r="J145" s="28">
        <f t="shared" si="8"/>
        <v>-0.28000000000000003</v>
      </c>
    </row>
    <row r="146" spans="1:10">
      <c r="A146" s="3">
        <v>20</v>
      </c>
      <c r="B146" t="s">
        <v>100</v>
      </c>
      <c r="C146" t="s">
        <v>8</v>
      </c>
      <c r="E146" s="3">
        <f t="shared" si="6"/>
        <v>7</v>
      </c>
      <c r="F146" s="5">
        <v>43975.625</v>
      </c>
      <c r="G146" s="19" t="str">
        <f t="shared" si="7"/>
        <v/>
      </c>
      <c r="J146" s="28">
        <f t="shared" si="8"/>
        <v>-0.31034482758620685</v>
      </c>
    </row>
    <row r="147" spans="1:10">
      <c r="A147" s="3">
        <v>45</v>
      </c>
      <c r="B147" t="s">
        <v>101</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102</v>
      </c>
      <c r="C148" t="s">
        <v>8</v>
      </c>
      <c r="E148" s="3">
        <f t="shared" si="6"/>
        <v>2</v>
      </c>
      <c r="F148" s="5">
        <v>43977.625</v>
      </c>
      <c r="G148" s="19" t="str">
        <f t="shared" si="7"/>
        <v/>
      </c>
      <c r="J148" s="28">
        <f t="shared" si="8"/>
        <v>-0.19512195121951215</v>
      </c>
    </row>
    <row r="149" spans="1:10">
      <c r="A149" s="3">
        <v>12</v>
      </c>
      <c r="B149" t="s">
        <v>103</v>
      </c>
      <c r="C149" t="s">
        <v>8</v>
      </c>
      <c r="E149" s="3">
        <f t="shared" si="6"/>
        <v>3</v>
      </c>
      <c r="F149" s="5">
        <v>43978.625</v>
      </c>
      <c r="G149" s="19" t="str">
        <f t="shared" si="7"/>
        <v/>
      </c>
      <c r="J149" s="28">
        <f t="shared" si="8"/>
        <v>-0.72093023255813948</v>
      </c>
    </row>
    <row r="150" spans="1:10">
      <c r="A150" s="3">
        <v>30</v>
      </c>
      <c r="B150" t="s">
        <v>104</v>
      </c>
      <c r="C150" t="s">
        <v>8</v>
      </c>
      <c r="E150" s="3">
        <f t="shared" si="6"/>
        <v>4</v>
      </c>
      <c r="F150" s="5">
        <v>43979.625</v>
      </c>
      <c r="G150" s="19" t="str">
        <f t="shared" si="7"/>
        <v/>
      </c>
      <c r="J150" s="28">
        <f t="shared" si="8"/>
        <v>0.36363636363636354</v>
      </c>
    </row>
    <row r="151" spans="1:10">
      <c r="A151" s="3">
        <v>21</v>
      </c>
      <c r="B151" t="s">
        <v>105</v>
      </c>
      <c r="C151" t="s">
        <v>8</v>
      </c>
      <c r="E151" s="3">
        <f t="shared" si="6"/>
        <v>5</v>
      </c>
      <c r="F151" s="5">
        <v>43980.625</v>
      </c>
      <c r="G151" s="19" t="str">
        <f t="shared" si="7"/>
        <v/>
      </c>
      <c r="J151" s="28">
        <f t="shared" si="8"/>
        <v>-0.34375</v>
      </c>
    </row>
    <row r="152" spans="1:10">
      <c r="A152" s="3">
        <v>10</v>
      </c>
      <c r="B152" t="s">
        <v>106</v>
      </c>
      <c r="C152" t="s">
        <v>8</v>
      </c>
      <c r="E152" s="3">
        <f t="shared" si="6"/>
        <v>6</v>
      </c>
      <c r="F152" s="5">
        <v>43981.625</v>
      </c>
      <c r="G152" s="19" t="str">
        <f t="shared" si="7"/>
        <v/>
      </c>
      <c r="J152" s="28">
        <f t="shared" si="8"/>
        <v>-0.44444444444444442</v>
      </c>
    </row>
    <row r="153" spans="1:10">
      <c r="A153" s="3">
        <v>12</v>
      </c>
      <c r="B153" t="s">
        <v>107</v>
      </c>
      <c r="C153" t="s">
        <v>8</v>
      </c>
      <c r="E153" s="3">
        <f t="shared" si="6"/>
        <v>7</v>
      </c>
      <c r="F153" s="5">
        <v>43982.625</v>
      </c>
      <c r="G153" s="19" t="str">
        <f t="shared" si="7"/>
        <v/>
      </c>
      <c r="J153" s="28">
        <f t="shared" si="8"/>
        <v>-0.4</v>
      </c>
    </row>
    <row r="154" spans="1:10">
      <c r="A154" s="3">
        <v>17</v>
      </c>
      <c r="B154" t="s">
        <v>108</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109</v>
      </c>
      <c r="C155" t="s">
        <v>8</v>
      </c>
      <c r="E155" s="3">
        <f t="shared" si="6"/>
        <v>2</v>
      </c>
      <c r="F155" s="5">
        <v>43984.625</v>
      </c>
      <c r="G155" s="19" t="str">
        <f t="shared" si="7"/>
        <v/>
      </c>
      <c r="J155" s="28">
        <f t="shared" si="8"/>
        <v>-0.54545454545454541</v>
      </c>
    </row>
    <row r="156" spans="1:10">
      <c r="A156" s="3">
        <v>25</v>
      </c>
      <c r="B156" t="s">
        <v>110</v>
      </c>
      <c r="C156" t="s">
        <v>8</v>
      </c>
      <c r="E156" s="3">
        <f t="shared" si="6"/>
        <v>3</v>
      </c>
      <c r="F156" s="5">
        <v>43985.625</v>
      </c>
      <c r="G156" s="19" t="str">
        <f t="shared" si="7"/>
        <v/>
      </c>
      <c r="J156" s="28">
        <f t="shared" si="8"/>
        <v>1.0833333333333335</v>
      </c>
    </row>
    <row r="157" spans="1:10">
      <c r="A157" s="3">
        <v>12</v>
      </c>
      <c r="B157" t="s">
        <v>111</v>
      </c>
      <c r="C157" t="s">
        <v>8</v>
      </c>
      <c r="E157" s="3">
        <f t="shared" si="6"/>
        <v>4</v>
      </c>
      <c r="F157" s="5">
        <v>43986.625</v>
      </c>
      <c r="G157" s="19" t="str">
        <f t="shared" si="7"/>
        <v/>
      </c>
      <c r="J157" s="28">
        <f t="shared" si="8"/>
        <v>-0.6</v>
      </c>
    </row>
    <row r="158" spans="1:10">
      <c r="A158" s="3">
        <v>13</v>
      </c>
      <c r="B158" t="s">
        <v>112</v>
      </c>
      <c r="C158" t="s">
        <v>8</v>
      </c>
      <c r="E158" s="3">
        <f t="shared" si="6"/>
        <v>5</v>
      </c>
      <c r="F158" s="5">
        <v>43987.625</v>
      </c>
      <c r="G158" s="19" t="str">
        <f t="shared" si="7"/>
        <v/>
      </c>
      <c r="J158" s="28">
        <f t="shared" si="8"/>
        <v>-0.38095238095238093</v>
      </c>
    </row>
    <row r="159" spans="1:10">
      <c r="A159" s="3">
        <v>13</v>
      </c>
      <c r="B159" t="s">
        <v>113</v>
      </c>
      <c r="C159" t="s">
        <v>8</v>
      </c>
      <c r="E159" s="3">
        <f t="shared" si="6"/>
        <v>6</v>
      </c>
      <c r="F159" s="5">
        <v>43988.625</v>
      </c>
      <c r="G159" s="19" t="str">
        <f t="shared" si="7"/>
        <v/>
      </c>
      <c r="J159" s="28">
        <f t="shared" si="8"/>
        <v>0.30000000000000004</v>
      </c>
    </row>
    <row r="160" spans="1:10">
      <c r="A160" s="3">
        <v>4</v>
      </c>
      <c r="B160" t="s">
        <v>114</v>
      </c>
      <c r="C160" t="s">
        <v>8</v>
      </c>
      <c r="E160" s="3">
        <f t="shared" si="6"/>
        <v>7</v>
      </c>
      <c r="F160" s="5">
        <v>43989.625</v>
      </c>
      <c r="G160" s="19" t="str">
        <f t="shared" si="7"/>
        <v/>
      </c>
      <c r="J160" s="28">
        <f t="shared" si="8"/>
        <v>-0.66666666666666674</v>
      </c>
    </row>
    <row r="161" spans="1:10">
      <c r="A161" s="3">
        <v>10</v>
      </c>
      <c r="B161" t="s">
        <v>115</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116</v>
      </c>
      <c r="C162" t="s">
        <v>8</v>
      </c>
      <c r="E162" s="3">
        <f t="shared" si="6"/>
        <v>2</v>
      </c>
      <c r="F162" s="5">
        <v>43991.625</v>
      </c>
      <c r="G162" s="19" t="str">
        <f t="shared" si="7"/>
        <v/>
      </c>
      <c r="J162" s="28">
        <f t="shared" si="8"/>
        <v>-0.46666666666666667</v>
      </c>
    </row>
    <row r="163" spans="1:10">
      <c r="A163" s="3">
        <v>7</v>
      </c>
      <c r="B163" t="s">
        <v>117</v>
      </c>
      <c r="C163" t="s">
        <v>8</v>
      </c>
      <c r="E163" s="3">
        <f t="shared" si="6"/>
        <v>3</v>
      </c>
      <c r="F163" s="5">
        <v>43992.625</v>
      </c>
      <c r="G163" s="19" t="str">
        <f t="shared" si="7"/>
        <v/>
      </c>
      <c r="J163" s="28">
        <f t="shared" si="8"/>
        <v>-0.72</v>
      </c>
    </row>
    <row r="164" spans="1:10">
      <c r="A164" s="3">
        <v>9</v>
      </c>
      <c r="B164" t="s">
        <v>118</v>
      </c>
      <c r="C164" t="s">
        <v>8</v>
      </c>
      <c r="E164" s="3">
        <f t="shared" si="6"/>
        <v>4</v>
      </c>
      <c r="F164" s="5">
        <v>43993.625</v>
      </c>
      <c r="G164" s="19" t="str">
        <f t="shared" si="7"/>
        <v/>
      </c>
      <c r="J164" s="28">
        <f t="shared" si="8"/>
        <v>-0.25</v>
      </c>
    </row>
    <row r="165" spans="1:10">
      <c r="A165" s="3">
        <v>13</v>
      </c>
      <c r="B165" t="s">
        <v>119</v>
      </c>
      <c r="C165" t="s">
        <v>8</v>
      </c>
      <c r="E165" s="3">
        <f t="shared" si="6"/>
        <v>5</v>
      </c>
      <c r="F165" s="5">
        <v>43994.625</v>
      </c>
      <c r="G165" s="19" t="str">
        <f t="shared" si="7"/>
        <v/>
      </c>
      <c r="J165" s="28">
        <f t="shared" si="8"/>
        <v>0</v>
      </c>
    </row>
    <row r="166" spans="1:10">
      <c r="A166" s="3">
        <v>2</v>
      </c>
      <c r="B166" t="s">
        <v>120</v>
      </c>
      <c r="C166" t="s">
        <v>8</v>
      </c>
      <c r="E166" s="3">
        <f t="shared" si="6"/>
        <v>6</v>
      </c>
      <c r="F166" s="5">
        <v>43995.625</v>
      </c>
      <c r="G166" s="19" t="str">
        <f t="shared" si="7"/>
        <v/>
      </c>
      <c r="J166" s="28">
        <f t="shared" si="8"/>
        <v>-0.84615384615384615</v>
      </c>
    </row>
    <row r="167" spans="1:10">
      <c r="A167" s="3">
        <v>5</v>
      </c>
      <c r="B167" t="s">
        <v>121</v>
      </c>
      <c r="C167" t="s">
        <v>8</v>
      </c>
      <c r="E167" s="3">
        <f t="shared" si="6"/>
        <v>7</v>
      </c>
      <c r="F167" s="5">
        <v>43996.625</v>
      </c>
      <c r="G167" s="19" t="str">
        <f t="shared" si="7"/>
        <v/>
      </c>
      <c r="J167" s="28">
        <f t="shared" si="8"/>
        <v>0.25</v>
      </c>
    </row>
    <row r="168" spans="1:10">
      <c r="A168" s="3">
        <v>16</v>
      </c>
      <c r="B168" t="s">
        <v>122</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123</v>
      </c>
      <c r="C169" t="s">
        <v>8</v>
      </c>
      <c r="E169" s="3">
        <f t="shared" si="6"/>
        <v>2</v>
      </c>
      <c r="F169" s="5">
        <v>43998.625</v>
      </c>
      <c r="G169" s="19" t="str">
        <f t="shared" si="7"/>
        <v/>
      </c>
      <c r="J169" s="28">
        <f t="shared" si="8"/>
        <v>0</v>
      </c>
    </row>
    <row r="170" spans="1:10">
      <c r="A170" s="3">
        <v>4</v>
      </c>
      <c r="B170" t="s">
        <v>124</v>
      </c>
      <c r="C170" t="s">
        <v>8</v>
      </c>
      <c r="E170" s="3">
        <f t="shared" si="6"/>
        <v>3</v>
      </c>
      <c r="F170" s="5">
        <v>43999.625</v>
      </c>
      <c r="G170" s="19" t="str">
        <f t="shared" si="7"/>
        <v/>
      </c>
      <c r="J170" s="28">
        <f t="shared" si="8"/>
        <v>-0.4285714285714286</v>
      </c>
    </row>
    <row r="171" spans="1:10">
      <c r="A171" s="3">
        <v>8</v>
      </c>
      <c r="B171" t="s">
        <v>125</v>
      </c>
      <c r="C171" t="s">
        <v>8</v>
      </c>
      <c r="E171" s="3">
        <f t="shared" si="6"/>
        <v>4</v>
      </c>
      <c r="F171" s="5">
        <v>44000.625</v>
      </c>
      <c r="G171" s="19" t="str">
        <f t="shared" si="7"/>
        <v/>
      </c>
      <c r="J171" s="28">
        <f t="shared" si="8"/>
        <v>-0.11111111111111116</v>
      </c>
    </row>
    <row r="172" spans="1:10" s="41" customFormat="1">
      <c r="A172" s="40">
        <v>0</v>
      </c>
      <c r="B172" s="41" t="s">
        <v>288</v>
      </c>
      <c r="C172" s="41" t="s">
        <v>8</v>
      </c>
      <c r="E172" s="40">
        <f t="shared" si="6"/>
        <v>5</v>
      </c>
      <c r="F172" s="42">
        <v>44001.625</v>
      </c>
      <c r="G172" s="43" t="str">
        <f t="shared" si="7"/>
        <v/>
      </c>
      <c r="J172" s="44">
        <f t="shared" si="8"/>
        <v>-1</v>
      </c>
    </row>
    <row r="173" spans="1:10">
      <c r="A173" s="3">
        <v>2</v>
      </c>
      <c r="B173" t="s">
        <v>126</v>
      </c>
      <c r="C173" t="s">
        <v>8</v>
      </c>
      <c r="E173" s="3">
        <f t="shared" si="6"/>
        <v>6</v>
      </c>
      <c r="F173" s="5">
        <v>44002.625</v>
      </c>
      <c r="G173" s="19" t="str">
        <f t="shared" si="7"/>
        <v/>
      </c>
      <c r="J173" s="28">
        <f t="shared" si="8"/>
        <v>0</v>
      </c>
    </row>
    <row r="174" spans="1:10">
      <c r="A174" s="3">
        <v>13</v>
      </c>
      <c r="B174" t="s">
        <v>127</v>
      </c>
      <c r="C174" t="s">
        <v>8</v>
      </c>
      <c r="E174" s="3">
        <f t="shared" si="6"/>
        <v>7</v>
      </c>
      <c r="F174" s="5">
        <v>44003.625</v>
      </c>
      <c r="G174" s="19" t="str">
        <f t="shared" si="7"/>
        <v/>
      </c>
      <c r="J174" s="28">
        <f t="shared" si="8"/>
        <v>1.6</v>
      </c>
    </row>
    <row r="175" spans="1:10">
      <c r="A175" s="3">
        <v>5</v>
      </c>
      <c r="B175" t="s">
        <v>128</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129</v>
      </c>
      <c r="C176" t="s">
        <v>8</v>
      </c>
      <c r="E176" s="3">
        <f t="shared" si="6"/>
        <v>2</v>
      </c>
      <c r="F176" s="5">
        <v>44005.625</v>
      </c>
      <c r="G176" s="19" t="str">
        <f t="shared" si="7"/>
        <v/>
      </c>
      <c r="J176" s="28">
        <f t="shared" si="8"/>
        <v>-0.375</v>
      </c>
    </row>
    <row r="177" spans="1:10">
      <c r="A177" s="3">
        <v>17</v>
      </c>
      <c r="B177" t="s">
        <v>130</v>
      </c>
      <c r="C177" t="s">
        <v>8</v>
      </c>
      <c r="E177" s="3">
        <f t="shared" si="6"/>
        <v>3</v>
      </c>
      <c r="F177" s="5">
        <v>44006.625</v>
      </c>
      <c r="G177" s="19" t="str">
        <f t="shared" si="7"/>
        <v/>
      </c>
      <c r="J177" s="28">
        <f t="shared" si="8"/>
        <v>3.25</v>
      </c>
    </row>
    <row r="178" spans="1:10">
      <c r="A178" s="3">
        <v>14</v>
      </c>
      <c r="B178" t="s">
        <v>131</v>
      </c>
      <c r="C178" t="s">
        <v>8</v>
      </c>
      <c r="E178" s="3">
        <f t="shared" si="6"/>
        <v>4</v>
      </c>
      <c r="F178" s="5">
        <v>44007.625</v>
      </c>
      <c r="G178" s="19" t="str">
        <f t="shared" si="7"/>
        <v/>
      </c>
      <c r="J178" s="28">
        <f t="shared" si="8"/>
        <v>0.75</v>
      </c>
    </row>
    <row r="179" spans="1:10">
      <c r="A179" s="3">
        <v>3</v>
      </c>
      <c r="B179" t="s">
        <v>132</v>
      </c>
      <c r="C179" t="s">
        <v>8</v>
      </c>
      <c r="E179" s="3">
        <f t="shared" si="6"/>
        <v>5</v>
      </c>
      <c r="F179" s="5">
        <v>44008.625</v>
      </c>
      <c r="G179" s="19" t="str">
        <f t="shared" si="7"/>
        <v/>
      </c>
      <c r="J179" s="28" t="e">
        <f t="shared" si="8"/>
        <v>#DIV/0!</v>
      </c>
    </row>
    <row r="180" spans="1:10">
      <c r="A180" s="3">
        <v>2</v>
      </c>
      <c r="B180" t="s">
        <v>133</v>
      </c>
      <c r="C180" t="s">
        <v>8</v>
      </c>
      <c r="E180" s="3">
        <f t="shared" si="6"/>
        <v>6</v>
      </c>
      <c r="F180" s="5">
        <v>44009.625</v>
      </c>
      <c r="G180" s="19" t="str">
        <f t="shared" si="7"/>
        <v/>
      </c>
      <c r="J180" s="28">
        <f t="shared" si="8"/>
        <v>0</v>
      </c>
    </row>
    <row r="181" spans="1:10">
      <c r="A181" s="3">
        <v>7</v>
      </c>
      <c r="B181" t="s">
        <v>134</v>
      </c>
      <c r="C181" t="s">
        <v>8</v>
      </c>
      <c r="E181" s="3">
        <f t="shared" si="6"/>
        <v>7</v>
      </c>
      <c r="F181" s="5">
        <v>44010.625</v>
      </c>
      <c r="G181" s="19" t="str">
        <f t="shared" si="7"/>
        <v/>
      </c>
      <c r="J181" s="28">
        <f t="shared" si="8"/>
        <v>-0.46153846153846156</v>
      </c>
    </row>
    <row r="182" spans="1:10">
      <c r="A182" s="3">
        <v>16</v>
      </c>
      <c r="B182" t="s">
        <v>135</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136</v>
      </c>
      <c r="C183" t="s">
        <v>8</v>
      </c>
      <c r="E183" s="3">
        <f t="shared" si="6"/>
        <v>2</v>
      </c>
      <c r="F183" s="5">
        <v>44012.625</v>
      </c>
      <c r="G183" s="19" t="str">
        <f t="shared" si="7"/>
        <v/>
      </c>
      <c r="J183" s="28">
        <f t="shared" si="8"/>
        <v>1</v>
      </c>
    </row>
    <row r="184" spans="1:10">
      <c r="A184" s="3">
        <v>2</v>
      </c>
      <c r="B184" t="s">
        <v>137</v>
      </c>
      <c r="C184" t="s">
        <v>8</v>
      </c>
      <c r="E184" s="3">
        <f t="shared" si="6"/>
        <v>3</v>
      </c>
      <c r="F184" s="5">
        <v>44013.625</v>
      </c>
      <c r="G184" s="19" t="str">
        <f t="shared" si="7"/>
        <v/>
      </c>
      <c r="J184" s="28">
        <f t="shared" si="8"/>
        <v>-0.88235294117647056</v>
      </c>
    </row>
    <row r="185" spans="1:10">
      <c r="A185" s="3">
        <v>7</v>
      </c>
      <c r="B185" t="s">
        <v>138</v>
      </c>
      <c r="C185" t="s">
        <v>8</v>
      </c>
      <c r="E185" s="3">
        <f t="shared" si="6"/>
        <v>4</v>
      </c>
      <c r="F185" s="5">
        <v>44014.625</v>
      </c>
      <c r="G185" s="19" t="str">
        <f t="shared" si="7"/>
        <v/>
      </c>
      <c r="J185" s="28">
        <f t="shared" si="8"/>
        <v>-0.5</v>
      </c>
    </row>
    <row r="186" spans="1:10">
      <c r="A186" s="3">
        <v>6</v>
      </c>
      <c r="B186" t="s">
        <v>139</v>
      </c>
      <c r="C186" t="s">
        <v>8</v>
      </c>
      <c r="E186" s="3">
        <f t="shared" si="6"/>
        <v>5</v>
      </c>
      <c r="F186" s="5">
        <v>44015.625</v>
      </c>
      <c r="G186" s="19" t="str">
        <f t="shared" si="7"/>
        <v/>
      </c>
      <c r="J186" s="28">
        <f t="shared" si="8"/>
        <v>1</v>
      </c>
    </row>
    <row r="187" spans="1:10">
      <c r="A187" s="3">
        <v>2</v>
      </c>
      <c r="B187" t="s">
        <v>140</v>
      </c>
      <c r="C187" t="s">
        <v>8</v>
      </c>
      <c r="E187" s="3">
        <f t="shared" si="6"/>
        <v>6</v>
      </c>
      <c r="F187" s="5">
        <v>44016.625</v>
      </c>
      <c r="G187" s="19" t="str">
        <f t="shared" si="7"/>
        <v/>
      </c>
      <c r="J187" s="28">
        <f t="shared" si="8"/>
        <v>0</v>
      </c>
    </row>
    <row r="188" spans="1:10">
      <c r="A188" s="3">
        <v>3</v>
      </c>
      <c r="B188" t="s">
        <v>141</v>
      </c>
      <c r="C188" t="s">
        <v>8</v>
      </c>
      <c r="E188" s="3">
        <f t="shared" si="6"/>
        <v>7</v>
      </c>
      <c r="F188" s="5">
        <v>44017.625</v>
      </c>
      <c r="G188" s="19" t="str">
        <f t="shared" si="7"/>
        <v/>
      </c>
      <c r="J188" s="28">
        <f t="shared" si="8"/>
        <v>-0.5714285714285714</v>
      </c>
    </row>
    <row r="189" spans="1:10" s="41" customFormat="1">
      <c r="A189" s="40">
        <v>8</v>
      </c>
      <c r="B189" s="41" t="s">
        <v>142</v>
      </c>
      <c r="C189" s="41" t="s">
        <v>8</v>
      </c>
      <c r="E189" s="40">
        <f t="shared" si="6"/>
        <v>1</v>
      </c>
      <c r="F189" s="42">
        <v>44018.625</v>
      </c>
      <c r="G189" s="43" t="str">
        <f t="shared" si="7"/>
        <v>2020-W28</v>
      </c>
      <c r="H189" s="41">
        <f>SUM(A189:A195)</f>
        <v>38</v>
      </c>
      <c r="I189" s="44">
        <f>H189/H182-1</f>
        <v>-0.17391304347826086</v>
      </c>
      <c r="J189" s="44">
        <f t="shared" si="8"/>
        <v>-0.5</v>
      </c>
    </row>
    <row r="190" spans="1:10">
      <c r="A190" s="3">
        <v>3</v>
      </c>
      <c r="B190" t="s">
        <v>143</v>
      </c>
      <c r="C190" t="s">
        <v>8</v>
      </c>
      <c r="E190" s="3">
        <f t="shared" si="6"/>
        <v>2</v>
      </c>
      <c r="F190" s="5">
        <v>44019.625</v>
      </c>
      <c r="G190" s="19" t="str">
        <f t="shared" si="7"/>
        <v/>
      </c>
      <c r="J190" s="28">
        <f t="shared" si="8"/>
        <v>-0.7</v>
      </c>
    </row>
    <row r="191" spans="1:10">
      <c r="A191" s="3">
        <v>9</v>
      </c>
      <c r="B191" t="s">
        <v>144</v>
      </c>
      <c r="C191" t="s">
        <v>8</v>
      </c>
      <c r="E191" s="3">
        <f t="shared" si="6"/>
        <v>3</v>
      </c>
      <c r="F191" s="5">
        <v>44020.625</v>
      </c>
      <c r="G191" s="19" t="str">
        <f t="shared" si="7"/>
        <v/>
      </c>
      <c r="J191" s="28">
        <f t="shared" si="8"/>
        <v>3.5</v>
      </c>
    </row>
    <row r="192" spans="1:10">
      <c r="A192" s="3">
        <v>8</v>
      </c>
      <c r="B192" t="s">
        <v>145</v>
      </c>
      <c r="C192" t="s">
        <v>8</v>
      </c>
      <c r="E192" s="3">
        <f t="shared" si="6"/>
        <v>4</v>
      </c>
      <c r="F192" s="5">
        <v>44021.625</v>
      </c>
      <c r="G192" s="19" t="str">
        <f t="shared" si="7"/>
        <v/>
      </c>
      <c r="J192" s="28">
        <f t="shared" si="8"/>
        <v>0.14285714285714279</v>
      </c>
    </row>
    <row r="193" spans="1:10">
      <c r="A193" s="3">
        <v>6</v>
      </c>
      <c r="B193" t="s">
        <v>146</v>
      </c>
      <c r="C193" t="s">
        <v>8</v>
      </c>
      <c r="E193" s="3">
        <f t="shared" si="6"/>
        <v>5</v>
      </c>
      <c r="F193" s="5">
        <v>44022.625</v>
      </c>
      <c r="G193" s="19" t="str">
        <f t="shared" si="7"/>
        <v/>
      </c>
      <c r="J193" s="28">
        <f t="shared" si="8"/>
        <v>0</v>
      </c>
    </row>
    <row r="194" spans="1:10">
      <c r="A194" s="3">
        <v>0</v>
      </c>
      <c r="B194" t="s">
        <v>289</v>
      </c>
      <c r="C194" t="s">
        <v>8</v>
      </c>
      <c r="E194" s="3">
        <f t="shared" si="6"/>
        <v>6</v>
      </c>
      <c r="F194" s="5">
        <v>44023.625</v>
      </c>
      <c r="G194" s="19" t="str">
        <f t="shared" si="7"/>
        <v/>
      </c>
      <c r="J194" s="28">
        <f t="shared" si="8"/>
        <v>-1</v>
      </c>
    </row>
    <row r="195" spans="1:10">
      <c r="A195" s="3">
        <v>4</v>
      </c>
      <c r="B195" t="s">
        <v>147</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148</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149</v>
      </c>
      <c r="C197" t="s">
        <v>8</v>
      </c>
      <c r="E197" s="3">
        <f t="shared" si="9"/>
        <v>2</v>
      </c>
      <c r="F197" s="5">
        <v>44026.625</v>
      </c>
      <c r="G197" s="19" t="str">
        <f t="shared" si="10"/>
        <v/>
      </c>
      <c r="J197" s="28">
        <f t="shared" si="8"/>
        <v>0.66666666666666674</v>
      </c>
    </row>
    <row r="198" spans="1:10">
      <c r="A198" s="3">
        <v>5</v>
      </c>
      <c r="B198" t="s">
        <v>150</v>
      </c>
      <c r="C198" t="s">
        <v>8</v>
      </c>
      <c r="E198" s="3">
        <f t="shared" si="9"/>
        <v>3</v>
      </c>
      <c r="F198" s="5">
        <v>44027.625</v>
      </c>
      <c r="G198" s="19" t="str">
        <f t="shared" si="10"/>
        <v/>
      </c>
      <c r="J198" s="28">
        <f t="shared" si="8"/>
        <v>-0.44444444444444442</v>
      </c>
    </row>
    <row r="199" spans="1:10">
      <c r="A199" s="3">
        <v>9</v>
      </c>
      <c r="B199" t="s">
        <v>151</v>
      </c>
      <c r="C199" t="s">
        <v>8</v>
      </c>
      <c r="E199" s="3">
        <f t="shared" si="9"/>
        <v>4</v>
      </c>
      <c r="F199" s="5">
        <v>44028.625</v>
      </c>
      <c r="G199" s="19" t="str">
        <f t="shared" si="10"/>
        <v/>
      </c>
      <c r="J199" s="28">
        <f t="shared" si="8"/>
        <v>0.125</v>
      </c>
    </row>
    <row r="200" spans="1:10">
      <c r="A200" s="3">
        <v>6</v>
      </c>
      <c r="B200" t="s">
        <v>152</v>
      </c>
      <c r="C200" t="s">
        <v>8</v>
      </c>
      <c r="E200" s="3">
        <f t="shared" si="9"/>
        <v>5</v>
      </c>
      <c r="F200" s="5">
        <v>44029.625</v>
      </c>
      <c r="G200" s="19" t="str">
        <f t="shared" si="10"/>
        <v/>
      </c>
      <c r="J200" s="28">
        <f t="shared" si="8"/>
        <v>0</v>
      </c>
    </row>
    <row r="201" spans="1:10">
      <c r="A201" s="3">
        <v>7</v>
      </c>
      <c r="B201" t="s">
        <v>153</v>
      </c>
      <c r="C201" t="s">
        <v>8</v>
      </c>
      <c r="E201" s="3">
        <f t="shared" si="9"/>
        <v>6</v>
      </c>
      <c r="F201" s="5">
        <v>44030.625</v>
      </c>
      <c r="G201" s="19" t="str">
        <f t="shared" si="10"/>
        <v/>
      </c>
      <c r="J201" s="28" t="e">
        <f t="shared" ref="J201:J264" si="11">A201/A194-1</f>
        <v>#DIV/0!</v>
      </c>
    </row>
    <row r="202" spans="1:10">
      <c r="A202" s="3">
        <v>5</v>
      </c>
      <c r="B202" t="s">
        <v>154</v>
      </c>
      <c r="C202" t="s">
        <v>8</v>
      </c>
      <c r="E202" s="3">
        <f t="shared" si="9"/>
        <v>7</v>
      </c>
      <c r="F202" s="5">
        <v>44031.625</v>
      </c>
      <c r="G202" s="19" t="str">
        <f t="shared" si="10"/>
        <v/>
      </c>
      <c r="J202" s="28">
        <f t="shared" si="11"/>
        <v>0.25</v>
      </c>
    </row>
    <row r="203" spans="1:10">
      <c r="A203" s="3">
        <v>12</v>
      </c>
      <c r="B203" t="s">
        <v>155</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156</v>
      </c>
      <c r="C204" t="s">
        <v>8</v>
      </c>
      <c r="E204" s="3">
        <f t="shared" si="9"/>
        <v>2</v>
      </c>
      <c r="F204" s="5">
        <v>44033.625</v>
      </c>
      <c r="G204" s="19" t="str">
        <f t="shared" si="10"/>
        <v/>
      </c>
      <c r="J204" s="28">
        <f t="shared" si="11"/>
        <v>0.60000000000000009</v>
      </c>
    </row>
    <row r="205" spans="1:10">
      <c r="A205" s="3">
        <v>11</v>
      </c>
      <c r="B205" t="s">
        <v>157</v>
      </c>
      <c r="C205" t="s">
        <v>8</v>
      </c>
      <c r="E205" s="3">
        <f t="shared" si="9"/>
        <v>3</v>
      </c>
      <c r="F205" s="5">
        <v>44034.625</v>
      </c>
      <c r="G205" s="19" t="str">
        <f t="shared" si="10"/>
        <v/>
      </c>
      <c r="J205" s="28">
        <f t="shared" si="11"/>
        <v>1.2000000000000002</v>
      </c>
    </row>
    <row r="206" spans="1:10">
      <c r="A206" s="3">
        <v>3</v>
      </c>
      <c r="B206" t="s">
        <v>158</v>
      </c>
      <c r="C206" t="s">
        <v>8</v>
      </c>
      <c r="E206" s="3">
        <f t="shared" si="9"/>
        <v>4</v>
      </c>
      <c r="F206" s="5">
        <v>44035.625</v>
      </c>
      <c r="G206" s="19" t="str">
        <f t="shared" si="10"/>
        <v/>
      </c>
      <c r="J206" s="28">
        <f t="shared" si="11"/>
        <v>-0.66666666666666674</v>
      </c>
    </row>
    <row r="207" spans="1:10">
      <c r="A207" s="3">
        <v>10</v>
      </c>
      <c r="B207" t="s">
        <v>159</v>
      </c>
      <c r="C207" t="s">
        <v>8</v>
      </c>
      <c r="E207" s="3">
        <f t="shared" si="9"/>
        <v>5</v>
      </c>
      <c r="F207" s="5">
        <v>44036.625</v>
      </c>
      <c r="G207" s="19" t="str">
        <f t="shared" si="10"/>
        <v/>
      </c>
      <c r="J207" s="28">
        <f t="shared" si="11"/>
        <v>0.66666666666666674</v>
      </c>
    </row>
    <row r="208" spans="1:10">
      <c r="A208" s="3">
        <v>4</v>
      </c>
      <c r="B208" t="s">
        <v>160</v>
      </c>
      <c r="C208" t="s">
        <v>8</v>
      </c>
      <c r="E208" s="3">
        <f t="shared" si="9"/>
        <v>6</v>
      </c>
      <c r="F208" s="5">
        <v>44037.625</v>
      </c>
      <c r="G208" s="19" t="str">
        <f t="shared" si="10"/>
        <v/>
      </c>
      <c r="J208" s="28">
        <f t="shared" si="11"/>
        <v>-0.4285714285714286</v>
      </c>
    </row>
    <row r="209" spans="1:10">
      <c r="A209" s="3">
        <v>8</v>
      </c>
      <c r="B209" t="s">
        <v>161</v>
      </c>
      <c r="C209" t="s">
        <v>8</v>
      </c>
      <c r="E209" s="3">
        <f t="shared" si="9"/>
        <v>7</v>
      </c>
      <c r="F209" s="5">
        <v>44038.625</v>
      </c>
      <c r="G209" s="19" t="str">
        <f t="shared" si="10"/>
        <v/>
      </c>
      <c r="J209" s="28">
        <f t="shared" si="11"/>
        <v>0.60000000000000009</v>
      </c>
    </row>
    <row r="210" spans="1:10">
      <c r="A210" s="3">
        <v>12</v>
      </c>
      <c r="B210" t="s">
        <v>162</v>
      </c>
      <c r="C210" t="s">
        <v>8</v>
      </c>
      <c r="E210" s="3">
        <f t="shared" si="9"/>
        <v>1</v>
      </c>
      <c r="F210" s="5">
        <v>44039.625</v>
      </c>
      <c r="G210" s="19" t="str">
        <f t="shared" si="10"/>
        <v>2020-W31</v>
      </c>
      <c r="H210">
        <f>SUM(A210:A216)</f>
        <v>84</v>
      </c>
      <c r="I210" s="28">
        <f>H210/H203-1</f>
        <v>0.5</v>
      </c>
      <c r="J210" s="28">
        <f t="shared" si="11"/>
        <v>0</v>
      </c>
    </row>
    <row r="211" spans="1:10">
      <c r="A211" s="3">
        <v>9</v>
      </c>
      <c r="B211" t="s">
        <v>163</v>
      </c>
      <c r="C211" t="s">
        <v>8</v>
      </c>
      <c r="E211" s="3">
        <f t="shared" si="9"/>
        <v>2</v>
      </c>
      <c r="F211" s="5">
        <v>44040.625</v>
      </c>
      <c r="G211" s="19" t="str">
        <f t="shared" si="10"/>
        <v/>
      </c>
      <c r="J211" s="28">
        <f t="shared" si="11"/>
        <v>0.125</v>
      </c>
    </row>
    <row r="212" spans="1:10">
      <c r="A212" s="3">
        <v>12</v>
      </c>
      <c r="B212" t="s">
        <v>164</v>
      </c>
      <c r="C212" t="s">
        <v>8</v>
      </c>
      <c r="E212" s="3">
        <f t="shared" si="9"/>
        <v>3</v>
      </c>
      <c r="F212" s="5">
        <v>44041.625</v>
      </c>
      <c r="G212" s="19" t="str">
        <f t="shared" si="10"/>
        <v/>
      </c>
      <c r="J212" s="28">
        <f t="shared" si="11"/>
        <v>9.0909090909090828E-2</v>
      </c>
    </row>
    <row r="213" spans="1:10">
      <c r="A213" s="3">
        <v>8</v>
      </c>
      <c r="B213" t="s">
        <v>165</v>
      </c>
      <c r="C213" t="s">
        <v>8</v>
      </c>
      <c r="E213" s="3">
        <f t="shared" si="9"/>
        <v>4</v>
      </c>
      <c r="F213" s="5">
        <v>44042.625</v>
      </c>
      <c r="G213" s="19" t="str">
        <f t="shared" si="10"/>
        <v/>
      </c>
      <c r="J213" s="28">
        <f t="shared" si="11"/>
        <v>1.6666666666666665</v>
      </c>
    </row>
    <row r="214" spans="1:10">
      <c r="A214" s="3">
        <v>18</v>
      </c>
      <c r="B214" t="s">
        <v>166</v>
      </c>
      <c r="C214" t="s">
        <v>8</v>
      </c>
      <c r="E214" s="3">
        <f t="shared" si="9"/>
        <v>5</v>
      </c>
      <c r="F214" s="5">
        <v>44043.625</v>
      </c>
      <c r="G214" s="19" t="str">
        <f t="shared" si="10"/>
        <v/>
      </c>
      <c r="J214" s="28">
        <f t="shared" si="11"/>
        <v>0.8</v>
      </c>
    </row>
    <row r="215" spans="1:10">
      <c r="A215" s="3">
        <v>15</v>
      </c>
      <c r="B215" t="s">
        <v>167</v>
      </c>
      <c r="C215" t="s">
        <v>8</v>
      </c>
      <c r="E215" s="3">
        <f t="shared" si="9"/>
        <v>6</v>
      </c>
      <c r="F215" s="5">
        <v>44044.625</v>
      </c>
      <c r="G215" s="19" t="str">
        <f t="shared" si="10"/>
        <v/>
      </c>
      <c r="J215" s="28">
        <f t="shared" si="11"/>
        <v>2.75</v>
      </c>
    </row>
    <row r="216" spans="1:10">
      <c r="A216" s="3">
        <v>10</v>
      </c>
      <c r="B216" t="s">
        <v>168</v>
      </c>
      <c r="C216" t="s">
        <v>8</v>
      </c>
      <c r="E216" s="3">
        <f t="shared" si="9"/>
        <v>7</v>
      </c>
      <c r="F216" s="5">
        <v>44045.625</v>
      </c>
      <c r="G216" s="19" t="str">
        <f t="shared" si="10"/>
        <v/>
      </c>
      <c r="J216" s="28">
        <f t="shared" si="11"/>
        <v>0.25</v>
      </c>
    </row>
    <row r="217" spans="1:10">
      <c r="A217" s="3">
        <v>35</v>
      </c>
      <c r="B217" t="s">
        <v>169</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170</v>
      </c>
      <c r="C218" t="s">
        <v>8</v>
      </c>
      <c r="E218" s="3">
        <f t="shared" si="9"/>
        <v>2</v>
      </c>
      <c r="F218" s="5">
        <v>44047.625</v>
      </c>
      <c r="G218" s="19" t="str">
        <f t="shared" si="10"/>
        <v/>
      </c>
      <c r="J218" s="28">
        <f t="shared" si="11"/>
        <v>1.4444444444444446</v>
      </c>
    </row>
    <row r="219" spans="1:10">
      <c r="A219" s="3">
        <v>29</v>
      </c>
      <c r="B219" t="s">
        <v>171</v>
      </c>
      <c r="C219" t="s">
        <v>8</v>
      </c>
      <c r="E219" s="3">
        <f t="shared" si="9"/>
        <v>3</v>
      </c>
      <c r="F219" s="5">
        <v>44048.625</v>
      </c>
      <c r="G219" s="19" t="str">
        <f t="shared" si="10"/>
        <v/>
      </c>
      <c r="J219" s="28">
        <f t="shared" si="11"/>
        <v>1.4166666666666665</v>
      </c>
    </row>
    <row r="220" spans="1:10">
      <c r="A220" s="3">
        <v>22</v>
      </c>
      <c r="B220" t="s">
        <v>172</v>
      </c>
      <c r="C220" t="s">
        <v>8</v>
      </c>
      <c r="E220" s="3">
        <f t="shared" si="9"/>
        <v>4</v>
      </c>
      <c r="F220" s="5">
        <v>44049.625</v>
      </c>
      <c r="G220" s="19" t="str">
        <f t="shared" si="10"/>
        <v/>
      </c>
      <c r="J220" s="28">
        <f t="shared" si="11"/>
        <v>1.75</v>
      </c>
    </row>
    <row r="221" spans="1:10">
      <c r="A221" s="3">
        <v>17</v>
      </c>
      <c r="B221" t="s">
        <v>173</v>
      </c>
      <c r="C221" t="s">
        <v>8</v>
      </c>
      <c r="E221" s="3">
        <f t="shared" si="9"/>
        <v>5</v>
      </c>
      <c r="F221" s="5">
        <v>44050.625</v>
      </c>
      <c r="G221" s="19" t="str">
        <f t="shared" si="10"/>
        <v/>
      </c>
      <c r="J221" s="28">
        <f t="shared" si="11"/>
        <v>-5.555555555555558E-2</v>
      </c>
    </row>
    <row r="222" spans="1:10">
      <c r="A222" s="3">
        <v>9</v>
      </c>
      <c r="B222" t="s">
        <v>174</v>
      </c>
      <c r="C222" t="s">
        <v>8</v>
      </c>
      <c r="E222" s="3">
        <f t="shared" si="9"/>
        <v>6</v>
      </c>
      <c r="F222" s="5">
        <v>44051.625</v>
      </c>
      <c r="G222" s="19" t="str">
        <f t="shared" si="10"/>
        <v/>
      </c>
      <c r="J222" s="28">
        <f t="shared" si="11"/>
        <v>-0.4</v>
      </c>
    </row>
    <row r="223" spans="1:10">
      <c r="A223" s="3">
        <v>35</v>
      </c>
      <c r="B223" t="s">
        <v>175</v>
      </c>
      <c r="C223" t="s">
        <v>8</v>
      </c>
      <c r="E223" s="3">
        <f t="shared" si="9"/>
        <v>7</v>
      </c>
      <c r="F223" s="5">
        <v>44052.625</v>
      </c>
      <c r="G223" s="19" t="str">
        <f t="shared" si="10"/>
        <v/>
      </c>
      <c r="J223" s="28">
        <f t="shared" si="11"/>
        <v>2.5</v>
      </c>
    </row>
    <row r="224" spans="1:10">
      <c r="A224" s="3">
        <v>15</v>
      </c>
      <c r="B224" t="s">
        <v>176</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177</v>
      </c>
      <c r="C225" t="s">
        <v>8</v>
      </c>
      <c r="E225" s="3">
        <f t="shared" si="9"/>
        <v>2</v>
      </c>
      <c r="F225" s="5">
        <v>44054.625</v>
      </c>
      <c r="G225" s="19" t="str">
        <f t="shared" si="10"/>
        <v/>
      </c>
      <c r="J225" s="28">
        <f t="shared" si="11"/>
        <v>0.27272727272727271</v>
      </c>
    </row>
    <row r="226" spans="1:10">
      <c r="A226" s="3">
        <v>27</v>
      </c>
      <c r="B226" t="s">
        <v>178</v>
      </c>
      <c r="C226" t="s">
        <v>8</v>
      </c>
      <c r="E226" s="3">
        <f t="shared" si="9"/>
        <v>3</v>
      </c>
      <c r="F226" s="5">
        <v>44055.625</v>
      </c>
      <c r="G226" s="19" t="str">
        <f t="shared" si="10"/>
        <v/>
      </c>
      <c r="J226" s="28">
        <f t="shared" si="11"/>
        <v>-6.8965517241379337E-2</v>
      </c>
    </row>
    <row r="227" spans="1:10">
      <c r="A227" s="3">
        <v>21</v>
      </c>
      <c r="B227" t="s">
        <v>179</v>
      </c>
      <c r="C227" t="s">
        <v>8</v>
      </c>
      <c r="E227" s="3">
        <f t="shared" si="9"/>
        <v>4</v>
      </c>
      <c r="F227" s="5">
        <v>44056.625</v>
      </c>
      <c r="G227" s="19" t="str">
        <f t="shared" si="10"/>
        <v/>
      </c>
      <c r="J227" s="28">
        <f t="shared" si="11"/>
        <v>-4.5454545454545414E-2</v>
      </c>
    </row>
    <row r="228" spans="1:10">
      <c r="A228" s="3">
        <v>27</v>
      </c>
      <c r="B228" t="s">
        <v>180</v>
      </c>
      <c r="C228" t="s">
        <v>8</v>
      </c>
      <c r="E228" s="3">
        <f t="shared" si="9"/>
        <v>5</v>
      </c>
      <c r="F228" s="5">
        <v>44057.625</v>
      </c>
      <c r="G228" s="19" t="str">
        <f t="shared" si="10"/>
        <v/>
      </c>
      <c r="J228" s="28">
        <f t="shared" si="11"/>
        <v>0.58823529411764697</v>
      </c>
    </row>
    <row r="229" spans="1:10">
      <c r="A229" s="3">
        <v>14</v>
      </c>
      <c r="B229" t="s">
        <v>181</v>
      </c>
      <c r="C229" t="s">
        <v>8</v>
      </c>
      <c r="E229" s="3">
        <f t="shared" si="9"/>
        <v>6</v>
      </c>
      <c r="F229" s="5">
        <v>44058.625</v>
      </c>
      <c r="G229" s="19" t="str">
        <f t="shared" si="10"/>
        <v/>
      </c>
      <c r="J229" s="28">
        <f t="shared" si="11"/>
        <v>0.55555555555555558</v>
      </c>
    </row>
    <row r="230" spans="1:10">
      <c r="A230" s="3">
        <v>43</v>
      </c>
      <c r="B230" t="s">
        <v>182</v>
      </c>
      <c r="C230" t="s">
        <v>8</v>
      </c>
      <c r="E230" s="3">
        <f t="shared" si="9"/>
        <v>7</v>
      </c>
      <c r="F230" s="5">
        <v>44059.625</v>
      </c>
      <c r="G230" s="19" t="str">
        <f t="shared" si="10"/>
        <v/>
      </c>
      <c r="J230" s="28">
        <f t="shared" si="11"/>
        <v>0.22857142857142865</v>
      </c>
    </row>
    <row r="231" spans="1:10">
      <c r="A231" s="3">
        <v>27</v>
      </c>
      <c r="B231" t="s">
        <v>183</v>
      </c>
      <c r="C231" t="s">
        <v>8</v>
      </c>
      <c r="E231" s="3">
        <f t="shared" si="9"/>
        <v>1</v>
      </c>
      <c r="F231" s="5">
        <v>44060.625</v>
      </c>
      <c r="G231" s="19" t="str">
        <f t="shared" si="10"/>
        <v>2020-W34</v>
      </c>
      <c r="H231">
        <f>SUM(A231:A237)</f>
        <v>192</v>
      </c>
      <c r="I231" s="28">
        <f>H231/H224-1</f>
        <v>9.7142857142857197E-2</v>
      </c>
      <c r="J231" s="28">
        <f t="shared" si="11"/>
        <v>0.8</v>
      </c>
    </row>
    <row r="232" spans="1:10">
      <c r="A232" s="3">
        <v>39</v>
      </c>
      <c r="B232" t="s">
        <v>184</v>
      </c>
      <c r="C232" t="s">
        <v>8</v>
      </c>
      <c r="E232" s="3">
        <f t="shared" si="9"/>
        <v>2</v>
      </c>
      <c r="F232" s="5">
        <v>44061.625</v>
      </c>
      <c r="G232" s="19" t="str">
        <f t="shared" si="10"/>
        <v/>
      </c>
      <c r="J232" s="28">
        <f t="shared" si="11"/>
        <v>0.39285714285714279</v>
      </c>
    </row>
    <row r="233" spans="1:10">
      <c r="A233" s="3">
        <v>47</v>
      </c>
      <c r="B233" t="s">
        <v>185</v>
      </c>
      <c r="C233" t="s">
        <v>8</v>
      </c>
      <c r="E233" s="3">
        <f t="shared" si="9"/>
        <v>3</v>
      </c>
      <c r="F233" s="5">
        <v>44062.625</v>
      </c>
      <c r="G233" s="19" t="str">
        <f t="shared" si="10"/>
        <v/>
      </c>
      <c r="J233" s="28">
        <f t="shared" si="11"/>
        <v>0.7407407407407407</v>
      </c>
    </row>
    <row r="234" spans="1:10">
      <c r="A234" s="3">
        <v>27</v>
      </c>
      <c r="B234" t="s">
        <v>186</v>
      </c>
      <c r="C234" t="s">
        <v>8</v>
      </c>
      <c r="E234" s="3">
        <f t="shared" si="9"/>
        <v>4</v>
      </c>
      <c r="F234" s="5">
        <v>44063.625</v>
      </c>
      <c r="G234" s="19" t="str">
        <f t="shared" si="10"/>
        <v/>
      </c>
      <c r="J234" s="28">
        <f t="shared" si="11"/>
        <v>0.28571428571428581</v>
      </c>
    </row>
    <row r="235" spans="1:10">
      <c r="A235" s="3">
        <v>25</v>
      </c>
      <c r="B235" t="s">
        <v>187</v>
      </c>
      <c r="C235" t="s">
        <v>8</v>
      </c>
      <c r="E235" s="3">
        <f t="shared" si="9"/>
        <v>5</v>
      </c>
      <c r="F235" s="5">
        <v>44064.625</v>
      </c>
      <c r="G235" s="19" t="str">
        <f t="shared" si="10"/>
        <v/>
      </c>
      <c r="J235" s="28">
        <f t="shared" si="11"/>
        <v>-7.407407407407407E-2</v>
      </c>
    </row>
    <row r="236" spans="1:10">
      <c r="A236" s="3">
        <v>16</v>
      </c>
      <c r="B236" t="s">
        <v>188</v>
      </c>
      <c r="C236" t="s">
        <v>8</v>
      </c>
      <c r="E236" s="3">
        <f t="shared" si="9"/>
        <v>6</v>
      </c>
      <c r="F236" s="5">
        <v>44065.625</v>
      </c>
      <c r="G236" s="19" t="str">
        <f t="shared" si="10"/>
        <v/>
      </c>
      <c r="J236" s="28">
        <f t="shared" si="11"/>
        <v>0.14285714285714279</v>
      </c>
    </row>
    <row r="237" spans="1:10">
      <c r="A237" s="3">
        <v>11</v>
      </c>
      <c r="B237" t="s">
        <v>189</v>
      </c>
      <c r="C237" t="s">
        <v>8</v>
      </c>
      <c r="E237" s="3">
        <f t="shared" si="9"/>
        <v>7</v>
      </c>
      <c r="F237" s="5">
        <v>44066.625</v>
      </c>
      <c r="G237" s="19" t="str">
        <f t="shared" si="10"/>
        <v/>
      </c>
      <c r="J237" s="28">
        <f t="shared" si="11"/>
        <v>-0.7441860465116279</v>
      </c>
    </row>
    <row r="238" spans="1:10">
      <c r="A238" s="3">
        <v>17</v>
      </c>
      <c r="B238" t="s">
        <v>190</v>
      </c>
      <c r="C238" t="s">
        <v>8</v>
      </c>
      <c r="E238" s="3">
        <f t="shared" si="9"/>
        <v>1</v>
      </c>
      <c r="F238" s="5">
        <v>44067.625</v>
      </c>
      <c r="G238" s="19" t="str">
        <f t="shared" si="10"/>
        <v>2020-W35</v>
      </c>
      <c r="H238">
        <f>SUM(A238:A244)</f>
        <v>156</v>
      </c>
      <c r="I238" s="28">
        <f>H238/H231-1</f>
        <v>-0.1875</v>
      </c>
      <c r="J238" s="28">
        <f t="shared" si="11"/>
        <v>-0.37037037037037035</v>
      </c>
    </row>
    <row r="239" spans="1:10">
      <c r="A239" s="3">
        <v>15</v>
      </c>
      <c r="B239" t="s">
        <v>191</v>
      </c>
      <c r="C239" t="s">
        <v>8</v>
      </c>
      <c r="E239" s="3">
        <f t="shared" si="9"/>
        <v>2</v>
      </c>
      <c r="F239" s="5">
        <v>44068.625</v>
      </c>
      <c r="G239" s="19" t="str">
        <f t="shared" si="10"/>
        <v/>
      </c>
      <c r="J239" s="28">
        <f t="shared" si="11"/>
        <v>-0.61538461538461542</v>
      </c>
    </row>
    <row r="240" spans="1:10">
      <c r="A240" s="3">
        <v>20</v>
      </c>
      <c r="B240" t="s">
        <v>192</v>
      </c>
      <c r="C240" t="s">
        <v>8</v>
      </c>
      <c r="E240" s="3">
        <f t="shared" si="9"/>
        <v>3</v>
      </c>
      <c r="F240" s="5">
        <v>44069.625</v>
      </c>
      <c r="G240" s="19" t="str">
        <f t="shared" si="10"/>
        <v/>
      </c>
      <c r="J240" s="28">
        <f t="shared" si="11"/>
        <v>-0.57446808510638303</v>
      </c>
    </row>
    <row r="241" spans="1:10">
      <c r="A241" s="3">
        <v>32</v>
      </c>
      <c r="B241" t="s">
        <v>193</v>
      </c>
      <c r="C241" t="s">
        <v>8</v>
      </c>
      <c r="E241" s="3">
        <f t="shared" si="9"/>
        <v>4</v>
      </c>
      <c r="F241" s="5">
        <v>44070.625</v>
      </c>
      <c r="G241" s="19" t="str">
        <f t="shared" si="10"/>
        <v/>
      </c>
      <c r="J241" s="28">
        <f t="shared" si="11"/>
        <v>0.18518518518518512</v>
      </c>
    </row>
    <row r="242" spans="1:10">
      <c r="A242" s="3">
        <v>35</v>
      </c>
      <c r="B242" t="s">
        <v>194</v>
      </c>
      <c r="C242" t="s">
        <v>8</v>
      </c>
      <c r="E242" s="3">
        <f t="shared" si="9"/>
        <v>5</v>
      </c>
      <c r="F242" s="5">
        <v>44071.625</v>
      </c>
      <c r="G242" s="19" t="str">
        <f t="shared" si="10"/>
        <v/>
      </c>
      <c r="J242" s="28">
        <f t="shared" si="11"/>
        <v>0.39999999999999991</v>
      </c>
    </row>
    <row r="243" spans="1:10">
      <c r="A243" s="3">
        <v>19</v>
      </c>
      <c r="B243" t="s">
        <v>195</v>
      </c>
      <c r="C243" t="s">
        <v>8</v>
      </c>
      <c r="E243" s="3">
        <f t="shared" si="9"/>
        <v>6</v>
      </c>
      <c r="F243" s="5">
        <v>44072.625</v>
      </c>
      <c r="G243" s="19" t="str">
        <f t="shared" si="10"/>
        <v/>
      </c>
      <c r="J243" s="28">
        <f t="shared" si="11"/>
        <v>0.1875</v>
      </c>
    </row>
    <row r="244" spans="1:10">
      <c r="A244" s="3">
        <v>18</v>
      </c>
      <c r="B244" t="s">
        <v>196</v>
      </c>
      <c r="C244" t="s">
        <v>8</v>
      </c>
      <c r="E244" s="3">
        <f t="shared" si="9"/>
        <v>7</v>
      </c>
      <c r="F244" s="5">
        <v>44073.625</v>
      </c>
      <c r="G244" s="19" t="str">
        <f t="shared" si="10"/>
        <v/>
      </c>
      <c r="J244" s="28">
        <f t="shared" si="11"/>
        <v>0.63636363636363646</v>
      </c>
    </row>
    <row r="245" spans="1:10">
      <c r="A245" s="3">
        <v>48</v>
      </c>
      <c r="B245" t="s">
        <v>197</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198</v>
      </c>
      <c r="C246" t="s">
        <v>8</v>
      </c>
      <c r="E246" s="3">
        <f t="shared" si="9"/>
        <v>2</v>
      </c>
      <c r="F246" s="5">
        <v>44075.625</v>
      </c>
      <c r="G246" s="19" t="str">
        <f t="shared" si="10"/>
        <v/>
      </c>
      <c r="J246" s="28">
        <f t="shared" si="11"/>
        <v>0.93333333333333335</v>
      </c>
    </row>
    <row r="247" spans="1:10">
      <c r="A247" s="3">
        <v>26</v>
      </c>
      <c r="B247" t="s">
        <v>199</v>
      </c>
      <c r="C247" t="s">
        <v>8</v>
      </c>
      <c r="E247" s="3">
        <f t="shared" si="9"/>
        <v>3</v>
      </c>
      <c r="F247" s="5">
        <v>44076.625</v>
      </c>
      <c r="G247" s="19" t="str">
        <f t="shared" si="10"/>
        <v/>
      </c>
      <c r="J247" s="28">
        <f t="shared" si="11"/>
        <v>0.30000000000000004</v>
      </c>
    </row>
    <row r="248" spans="1:10">
      <c r="A248" s="3">
        <v>35</v>
      </c>
      <c r="B248" t="s">
        <v>200</v>
      </c>
      <c r="C248" t="s">
        <v>8</v>
      </c>
      <c r="E248" s="3">
        <f t="shared" si="9"/>
        <v>4</v>
      </c>
      <c r="F248" s="5">
        <v>44077.625</v>
      </c>
      <c r="G248" s="19" t="str">
        <f t="shared" si="10"/>
        <v/>
      </c>
      <c r="J248" s="28">
        <f t="shared" si="11"/>
        <v>9.375E-2</v>
      </c>
    </row>
    <row r="249" spans="1:10">
      <c r="A249" s="3">
        <v>42</v>
      </c>
      <c r="B249" t="s">
        <v>201</v>
      </c>
      <c r="C249" t="s">
        <v>8</v>
      </c>
      <c r="E249" s="3">
        <f t="shared" si="9"/>
        <v>5</v>
      </c>
      <c r="F249" s="5">
        <v>44078.625</v>
      </c>
      <c r="G249" s="19" t="str">
        <f t="shared" si="10"/>
        <v/>
      </c>
      <c r="J249" s="28">
        <f t="shared" si="11"/>
        <v>0.19999999999999996</v>
      </c>
    </row>
    <row r="250" spans="1:10">
      <c r="A250" s="3">
        <v>22</v>
      </c>
      <c r="B250" t="s">
        <v>202</v>
      </c>
      <c r="C250" t="s">
        <v>8</v>
      </c>
      <c r="E250" s="3">
        <f t="shared" si="9"/>
        <v>6</v>
      </c>
      <c r="F250" s="5">
        <v>44079.625</v>
      </c>
      <c r="G250" s="19" t="str">
        <f t="shared" si="10"/>
        <v/>
      </c>
      <c r="J250" s="28">
        <f t="shared" si="11"/>
        <v>0.15789473684210531</v>
      </c>
    </row>
    <row r="251" spans="1:10">
      <c r="A251" s="3">
        <v>33</v>
      </c>
      <c r="B251" t="s">
        <v>203</v>
      </c>
      <c r="C251" t="s">
        <v>8</v>
      </c>
      <c r="E251" s="3">
        <f t="shared" si="9"/>
        <v>7</v>
      </c>
      <c r="F251" s="5">
        <v>44080.625</v>
      </c>
      <c r="G251" s="19" t="str">
        <f t="shared" si="10"/>
        <v/>
      </c>
      <c r="J251" s="28">
        <f t="shared" si="11"/>
        <v>0.83333333333333326</v>
      </c>
    </row>
    <row r="252" spans="1:10">
      <c r="A252" s="3">
        <v>45</v>
      </c>
      <c r="B252" t="s">
        <v>204</v>
      </c>
      <c r="C252" t="s">
        <v>8</v>
      </c>
      <c r="E252" s="3">
        <f t="shared" si="9"/>
        <v>1</v>
      </c>
      <c r="F252" s="5">
        <v>44081.625</v>
      </c>
      <c r="G252" s="19" t="str">
        <f t="shared" si="10"/>
        <v>2020-W37</v>
      </c>
      <c r="H252">
        <f>SUM(A252:A258)</f>
        <v>355</v>
      </c>
      <c r="I252" s="28">
        <f>H252/H245-1</f>
        <v>0.5106382978723405</v>
      </c>
      <c r="J252" s="28">
        <f t="shared" si="11"/>
        <v>-6.25E-2</v>
      </c>
    </row>
    <row r="253" spans="1:10">
      <c r="A253" s="3">
        <v>57</v>
      </c>
      <c r="B253" t="s">
        <v>205</v>
      </c>
      <c r="C253" t="s">
        <v>8</v>
      </c>
      <c r="E253" s="3">
        <f t="shared" si="9"/>
        <v>2</v>
      </c>
      <c r="F253" s="5">
        <v>44082.625</v>
      </c>
      <c r="G253" s="19" t="str">
        <f t="shared" si="10"/>
        <v/>
      </c>
      <c r="J253" s="28">
        <f t="shared" si="11"/>
        <v>0.96551724137931028</v>
      </c>
    </row>
    <row r="254" spans="1:10">
      <c r="A254" s="3">
        <v>55</v>
      </c>
      <c r="B254" t="s">
        <v>206</v>
      </c>
      <c r="C254" t="s">
        <v>8</v>
      </c>
      <c r="E254" s="3">
        <f t="shared" si="9"/>
        <v>3</v>
      </c>
      <c r="F254" s="5">
        <v>44083.625</v>
      </c>
      <c r="G254" s="19" t="str">
        <f t="shared" si="10"/>
        <v/>
      </c>
      <c r="J254" s="28">
        <f t="shared" si="11"/>
        <v>1.1153846153846154</v>
      </c>
    </row>
    <row r="255" spans="1:10">
      <c r="A255" s="3">
        <v>54</v>
      </c>
      <c r="B255" t="s">
        <v>207</v>
      </c>
      <c r="C255" t="s">
        <v>8</v>
      </c>
      <c r="E255" s="3">
        <f t="shared" si="9"/>
        <v>4</v>
      </c>
      <c r="F255" s="5">
        <v>44084.625</v>
      </c>
      <c r="G255" s="19" t="str">
        <f t="shared" si="10"/>
        <v/>
      </c>
      <c r="J255" s="28">
        <f t="shared" si="11"/>
        <v>0.54285714285714293</v>
      </c>
    </row>
    <row r="256" spans="1:10">
      <c r="A256" s="3">
        <v>58</v>
      </c>
      <c r="B256" t="s">
        <v>208</v>
      </c>
      <c r="C256" t="s">
        <v>8</v>
      </c>
      <c r="E256" s="3">
        <f t="shared" si="9"/>
        <v>5</v>
      </c>
      <c r="F256" s="5">
        <v>44085.625</v>
      </c>
      <c r="G256" s="19" t="str">
        <f t="shared" si="10"/>
        <v/>
      </c>
      <c r="J256" s="28">
        <f t="shared" si="11"/>
        <v>0.38095238095238093</v>
      </c>
    </row>
    <row r="257" spans="1:10">
      <c r="A257" s="3">
        <v>40</v>
      </c>
      <c r="B257" t="s">
        <v>209</v>
      </c>
      <c r="C257" t="s">
        <v>8</v>
      </c>
      <c r="E257" s="3">
        <f t="shared" si="9"/>
        <v>6</v>
      </c>
      <c r="F257" s="5">
        <v>44086.625</v>
      </c>
      <c r="G257" s="19" t="str">
        <f t="shared" si="10"/>
        <v/>
      </c>
      <c r="J257" s="28">
        <f t="shared" si="11"/>
        <v>0.81818181818181812</v>
      </c>
    </row>
    <row r="258" spans="1:10">
      <c r="A258" s="3">
        <v>46</v>
      </c>
      <c r="B258" t="s">
        <v>210</v>
      </c>
      <c r="C258" t="s">
        <v>8</v>
      </c>
      <c r="E258" s="3">
        <f t="shared" si="9"/>
        <v>7</v>
      </c>
      <c r="F258" s="5">
        <v>44087.625</v>
      </c>
      <c r="G258" s="19" t="str">
        <f t="shared" si="10"/>
        <v/>
      </c>
      <c r="J258" s="28">
        <f t="shared" si="11"/>
        <v>0.39393939393939403</v>
      </c>
    </row>
    <row r="259" spans="1:10">
      <c r="A259" s="3">
        <v>59</v>
      </c>
      <c r="B259" t="s">
        <v>211</v>
      </c>
      <c r="C259" t="s">
        <v>8</v>
      </c>
      <c r="E259" s="3">
        <f t="shared" ref="E259:E324" si="12">WEEKDAY(F259,2)</f>
        <v>1</v>
      </c>
      <c r="F259" s="5">
        <v>44088.625</v>
      </c>
      <c r="G259" s="19" t="str">
        <f t="shared" ref="G259:G322" si="13">IF(WEEKDAY(F259,2)=1,YEAR(F259)&amp;"-W"&amp;TEXT(WEEKNUM(F259,14),"00"),"")</f>
        <v>2020-W38</v>
      </c>
      <c r="H259">
        <f>SUM(A259:A265)</f>
        <v>469</v>
      </c>
      <c r="I259" s="28">
        <f>H259/H252-1</f>
        <v>0.3211267605633803</v>
      </c>
      <c r="J259" s="28">
        <f t="shared" si="11"/>
        <v>0.31111111111111112</v>
      </c>
    </row>
    <row r="260" spans="1:10">
      <c r="A260" s="3">
        <v>53</v>
      </c>
      <c r="B260" t="s">
        <v>212</v>
      </c>
      <c r="C260" t="s">
        <v>8</v>
      </c>
      <c r="E260" s="3">
        <f t="shared" si="12"/>
        <v>2</v>
      </c>
      <c r="F260" s="5">
        <v>44089.625</v>
      </c>
      <c r="G260" s="19" t="str">
        <f t="shared" si="13"/>
        <v/>
      </c>
      <c r="J260" s="28">
        <f t="shared" si="11"/>
        <v>-7.0175438596491224E-2</v>
      </c>
    </row>
    <row r="261" spans="1:10">
      <c r="A261" s="3">
        <v>57</v>
      </c>
      <c r="B261" t="s">
        <v>213</v>
      </c>
      <c r="C261" t="s">
        <v>8</v>
      </c>
      <c r="E261" s="3">
        <f t="shared" si="12"/>
        <v>3</v>
      </c>
      <c r="F261" s="5">
        <v>44090.625</v>
      </c>
      <c r="G261" s="19" t="str">
        <f t="shared" si="13"/>
        <v/>
      </c>
      <c r="J261" s="28">
        <f t="shared" si="11"/>
        <v>3.6363636363636376E-2</v>
      </c>
    </row>
    <row r="262" spans="1:10">
      <c r="A262" s="3">
        <v>85</v>
      </c>
      <c r="B262" t="s">
        <v>214</v>
      </c>
      <c r="C262" t="s">
        <v>8</v>
      </c>
      <c r="E262" s="3">
        <f t="shared" si="12"/>
        <v>4</v>
      </c>
      <c r="F262" s="5">
        <v>44091.625</v>
      </c>
      <c r="G262" s="19" t="str">
        <f t="shared" si="13"/>
        <v/>
      </c>
      <c r="J262" s="28">
        <f t="shared" si="11"/>
        <v>0.57407407407407418</v>
      </c>
    </row>
    <row r="263" spans="1:10">
      <c r="A263" s="3">
        <v>77</v>
      </c>
      <c r="B263" t="s">
        <v>215</v>
      </c>
      <c r="C263" t="s">
        <v>8</v>
      </c>
      <c r="E263" s="3">
        <f t="shared" si="12"/>
        <v>5</v>
      </c>
      <c r="F263" s="5">
        <v>44092.625</v>
      </c>
      <c r="G263" s="19" t="str">
        <f t="shared" si="13"/>
        <v/>
      </c>
      <c r="J263" s="28">
        <f t="shared" si="11"/>
        <v>0.32758620689655182</v>
      </c>
    </row>
    <row r="264" spans="1:10">
      <c r="A264" s="3">
        <v>64</v>
      </c>
      <c r="B264" t="s">
        <v>216</v>
      </c>
      <c r="C264" t="s">
        <v>8</v>
      </c>
      <c r="E264" s="3">
        <f t="shared" si="12"/>
        <v>6</v>
      </c>
      <c r="F264" s="5">
        <v>44093.625</v>
      </c>
      <c r="G264" s="19" t="str">
        <f t="shared" si="13"/>
        <v/>
      </c>
      <c r="J264" s="28">
        <f t="shared" si="11"/>
        <v>0.60000000000000009</v>
      </c>
    </row>
    <row r="265" spans="1:10">
      <c r="A265" s="3">
        <v>74</v>
      </c>
      <c r="B265" t="s">
        <v>217</v>
      </c>
      <c r="C265" t="s">
        <v>8</v>
      </c>
      <c r="E265" s="3">
        <f t="shared" si="12"/>
        <v>7</v>
      </c>
      <c r="F265" s="5">
        <v>44094.625</v>
      </c>
      <c r="G265" s="19" t="str">
        <f t="shared" si="13"/>
        <v/>
      </c>
      <c r="J265" s="28">
        <f t="shared" ref="J265:J328" si="14">A265/A258-1</f>
        <v>0.60869565217391308</v>
      </c>
    </row>
    <row r="266" spans="1:10">
      <c r="A266" s="3">
        <v>120</v>
      </c>
      <c r="B266" t="s">
        <v>218</v>
      </c>
      <c r="C266" t="s">
        <v>8</v>
      </c>
      <c r="E266" s="3">
        <f t="shared" si="12"/>
        <v>1</v>
      </c>
      <c r="F266" s="5">
        <v>44095.625</v>
      </c>
      <c r="G266" s="19" t="str">
        <f t="shared" si="13"/>
        <v>2020-W39</v>
      </c>
      <c r="H266">
        <f>SUM(A266:A272)</f>
        <v>717</v>
      </c>
      <c r="I266" s="28">
        <f>H266/H259-1</f>
        <v>0.52878464818763327</v>
      </c>
      <c r="J266" s="28">
        <f t="shared" si="14"/>
        <v>1.0338983050847457</v>
      </c>
    </row>
    <row r="267" spans="1:10">
      <c r="A267" s="3">
        <v>110</v>
      </c>
      <c r="B267" t="s">
        <v>219</v>
      </c>
      <c r="C267" t="s">
        <v>8</v>
      </c>
      <c r="E267" s="3">
        <f t="shared" si="12"/>
        <v>2</v>
      </c>
      <c r="F267" s="5">
        <v>44096.625</v>
      </c>
      <c r="G267" s="19" t="str">
        <f t="shared" si="13"/>
        <v/>
      </c>
      <c r="J267" s="28">
        <f t="shared" si="14"/>
        <v>1.0754716981132075</v>
      </c>
    </row>
    <row r="268" spans="1:10">
      <c r="A268" s="3">
        <v>117</v>
      </c>
      <c r="B268" t="s">
        <v>220</v>
      </c>
      <c r="C268" t="s">
        <v>8</v>
      </c>
      <c r="E268" s="3">
        <f t="shared" si="12"/>
        <v>3</v>
      </c>
      <c r="F268" s="5">
        <v>44097.625</v>
      </c>
      <c r="G268" s="19" t="str">
        <f t="shared" si="13"/>
        <v/>
      </c>
      <c r="J268" s="28">
        <f t="shared" si="14"/>
        <v>1.0526315789473686</v>
      </c>
    </row>
    <row r="269" spans="1:10">
      <c r="A269" s="3">
        <v>98</v>
      </c>
      <c r="B269" t="s">
        <v>221</v>
      </c>
      <c r="C269" t="s">
        <v>8</v>
      </c>
      <c r="E269" s="3">
        <f t="shared" si="12"/>
        <v>4</v>
      </c>
      <c r="F269" s="5">
        <v>44098.625</v>
      </c>
      <c r="G269" s="19" t="str">
        <f t="shared" si="13"/>
        <v/>
      </c>
      <c r="J269" s="28">
        <f t="shared" si="14"/>
        <v>0.15294117647058814</v>
      </c>
    </row>
    <row r="270" spans="1:10">
      <c r="A270" s="3">
        <v>128</v>
      </c>
      <c r="B270" t="s">
        <v>222</v>
      </c>
      <c r="C270" t="s">
        <v>8</v>
      </c>
      <c r="E270" s="3">
        <f t="shared" si="12"/>
        <v>5</v>
      </c>
      <c r="F270" s="5">
        <v>44099.625</v>
      </c>
      <c r="G270" s="19" t="str">
        <f t="shared" si="13"/>
        <v/>
      </c>
      <c r="J270" s="28">
        <f t="shared" si="14"/>
        <v>0.66233766233766245</v>
      </c>
    </row>
    <row r="271" spans="1:10">
      <c r="A271" s="3">
        <v>74</v>
      </c>
      <c r="B271" t="s">
        <v>223</v>
      </c>
      <c r="C271" t="s">
        <v>8</v>
      </c>
      <c r="E271" s="3">
        <f t="shared" si="12"/>
        <v>6</v>
      </c>
      <c r="F271" s="5">
        <v>44100.625</v>
      </c>
      <c r="G271" s="19" t="str">
        <f t="shared" si="13"/>
        <v/>
      </c>
      <c r="J271" s="28">
        <f t="shared" si="14"/>
        <v>0.15625</v>
      </c>
    </row>
    <row r="272" spans="1:10">
      <c r="A272" s="3">
        <v>70</v>
      </c>
      <c r="B272" t="s">
        <v>224</v>
      </c>
      <c r="C272" t="s">
        <v>8</v>
      </c>
      <c r="E272" s="3">
        <f t="shared" si="12"/>
        <v>7</v>
      </c>
      <c r="F272" s="5">
        <v>44101.625</v>
      </c>
      <c r="G272" s="19" t="str">
        <f t="shared" si="13"/>
        <v/>
      </c>
      <c r="J272" s="28">
        <f t="shared" si="14"/>
        <v>-5.4054054054054057E-2</v>
      </c>
    </row>
    <row r="273" spans="1:10">
      <c r="A273" s="3">
        <v>124</v>
      </c>
      <c r="B273" t="s">
        <v>225</v>
      </c>
      <c r="C273" t="s">
        <v>8</v>
      </c>
      <c r="E273" s="3">
        <f t="shared" si="12"/>
        <v>1</v>
      </c>
      <c r="F273" s="5">
        <v>44102.625</v>
      </c>
      <c r="G273" s="19" t="str">
        <f t="shared" si="13"/>
        <v>2020-W40</v>
      </c>
      <c r="H273">
        <f>SUM(A273:A279)</f>
        <v>1129</v>
      </c>
      <c r="I273" s="28">
        <f>H273/H266-1</f>
        <v>0.57461645746164569</v>
      </c>
      <c r="J273" s="28">
        <f t="shared" si="14"/>
        <v>3.3333333333333437E-2</v>
      </c>
    </row>
    <row r="274" spans="1:10">
      <c r="A274" s="3">
        <v>134</v>
      </c>
      <c r="B274" t="s">
        <v>226</v>
      </c>
      <c r="C274" t="s">
        <v>8</v>
      </c>
      <c r="E274" s="3">
        <f t="shared" si="12"/>
        <v>2</v>
      </c>
      <c r="F274" s="5">
        <v>44103.625</v>
      </c>
      <c r="G274" s="19" t="str">
        <f t="shared" si="13"/>
        <v/>
      </c>
      <c r="J274" s="28">
        <f t="shared" si="14"/>
        <v>0.21818181818181825</v>
      </c>
    </row>
    <row r="275" spans="1:10">
      <c r="A275" s="3">
        <v>167</v>
      </c>
      <c r="B275" t="s">
        <v>228</v>
      </c>
      <c r="C275" t="s">
        <v>8</v>
      </c>
      <c r="E275" s="3">
        <f t="shared" si="12"/>
        <v>3</v>
      </c>
      <c r="F275" s="5">
        <v>44104.625</v>
      </c>
      <c r="G275" s="19" t="str">
        <f t="shared" si="13"/>
        <v/>
      </c>
      <c r="J275" s="28">
        <f t="shared" si="14"/>
        <v>0.42735042735042739</v>
      </c>
    </row>
    <row r="276" spans="1:10">
      <c r="A276" s="3">
        <v>191</v>
      </c>
      <c r="B276" t="s">
        <v>230</v>
      </c>
      <c r="C276" t="s">
        <v>8</v>
      </c>
      <c r="E276" s="3">
        <f t="shared" si="12"/>
        <v>4</v>
      </c>
      <c r="F276" s="5">
        <v>44105.625</v>
      </c>
      <c r="G276" s="19" t="str">
        <f t="shared" si="13"/>
        <v/>
      </c>
      <c r="J276" s="28">
        <f t="shared" si="14"/>
        <v>0.94897959183673475</v>
      </c>
    </row>
    <row r="277" spans="1:10">
      <c r="A277" s="3">
        <v>187</v>
      </c>
      <c r="B277" t="s">
        <v>231</v>
      </c>
      <c r="C277" t="s">
        <v>8</v>
      </c>
      <c r="E277" s="3">
        <f t="shared" si="12"/>
        <v>5</v>
      </c>
      <c r="F277" s="5">
        <v>44106.625</v>
      </c>
      <c r="G277" s="19" t="str">
        <f t="shared" si="13"/>
        <v/>
      </c>
      <c r="J277" s="28">
        <f t="shared" si="14"/>
        <v>0.4609375</v>
      </c>
    </row>
    <row r="278" spans="1:10">
      <c r="A278" s="3">
        <v>178</v>
      </c>
      <c r="B278" t="s">
        <v>233</v>
      </c>
      <c r="C278" t="s">
        <v>8</v>
      </c>
      <c r="E278" s="3">
        <f t="shared" si="12"/>
        <v>6</v>
      </c>
      <c r="F278" s="5">
        <v>44107.625</v>
      </c>
      <c r="G278" s="19" t="str">
        <f t="shared" si="13"/>
        <v/>
      </c>
      <c r="J278" s="28">
        <f t="shared" si="14"/>
        <v>1.4054054054054053</v>
      </c>
    </row>
    <row r="279" spans="1:10">
      <c r="A279" s="3">
        <v>148</v>
      </c>
      <c r="B279" t="s">
        <v>292</v>
      </c>
      <c r="C279" t="s">
        <v>8</v>
      </c>
      <c r="E279" s="3">
        <f t="shared" si="12"/>
        <v>7</v>
      </c>
      <c r="F279" s="5">
        <v>44108.625</v>
      </c>
      <c r="G279" s="19" t="str">
        <f t="shared" si="13"/>
        <v/>
      </c>
      <c r="J279" s="28">
        <f t="shared" si="14"/>
        <v>1.1142857142857143</v>
      </c>
    </row>
    <row r="280" spans="1:10" s="10" customFormat="1">
      <c r="A280" s="14">
        <v>291</v>
      </c>
      <c r="B280" s="10" t="s">
        <v>293</v>
      </c>
      <c r="C280" s="10" t="s">
        <v>8</v>
      </c>
      <c r="E280" s="14">
        <f t="shared" si="12"/>
        <v>1</v>
      </c>
      <c r="F280" s="18">
        <v>44109.625</v>
      </c>
      <c r="G280" s="19" t="str">
        <f t="shared" si="13"/>
        <v>2020-W41</v>
      </c>
      <c r="H280">
        <f>SUM(A280:A286)</f>
        <v>1625</v>
      </c>
      <c r="I280" s="28">
        <f>H280/H273-1</f>
        <v>0.43932683790965465</v>
      </c>
      <c r="J280" s="28">
        <f t="shared" si="14"/>
        <v>1.346774193548387</v>
      </c>
    </row>
    <row r="281" spans="1:10">
      <c r="A281" s="3">
        <v>302</v>
      </c>
      <c r="B281" t="s">
        <v>294</v>
      </c>
      <c r="C281" t="s">
        <v>8</v>
      </c>
      <c r="E281" s="3">
        <f t="shared" si="12"/>
        <v>2</v>
      </c>
      <c r="F281" s="5">
        <v>44110.625</v>
      </c>
      <c r="G281" s="19" t="str">
        <f t="shared" si="13"/>
        <v/>
      </c>
      <c r="J281" s="28">
        <f t="shared" si="14"/>
        <v>1.2537313432835822</v>
      </c>
    </row>
    <row r="282" spans="1:10" s="41" customFormat="1">
      <c r="A282" s="40">
        <v>306</v>
      </c>
      <c r="B282" s="41" t="s">
        <v>295</v>
      </c>
      <c r="C282" s="41" t="s">
        <v>8</v>
      </c>
      <c r="E282" s="40">
        <f t="shared" si="12"/>
        <v>3</v>
      </c>
      <c r="F282" s="42">
        <v>44111.625</v>
      </c>
      <c r="G282" s="43" t="str">
        <f t="shared" si="13"/>
        <v/>
      </c>
      <c r="J282" s="44">
        <f t="shared" si="14"/>
        <v>0.83233532934131738</v>
      </c>
    </row>
    <row r="283" spans="1:10">
      <c r="A283" s="3">
        <v>259</v>
      </c>
      <c r="B283" t="s">
        <v>296</v>
      </c>
      <c r="C283" t="s">
        <v>8</v>
      </c>
      <c r="E283" s="3">
        <f t="shared" si="12"/>
        <v>4</v>
      </c>
      <c r="F283" s="5">
        <v>44112.625</v>
      </c>
      <c r="G283" s="19" t="str">
        <f t="shared" si="13"/>
        <v/>
      </c>
      <c r="J283" s="28">
        <f t="shared" si="14"/>
        <v>0.35602094240837689</v>
      </c>
    </row>
    <row r="284" spans="1:10">
      <c r="A284" s="3">
        <v>226</v>
      </c>
      <c r="B284" t="s">
        <v>297</v>
      </c>
      <c r="C284" t="s">
        <v>8</v>
      </c>
      <c r="E284" s="3">
        <f t="shared" si="12"/>
        <v>5</v>
      </c>
      <c r="F284" s="5">
        <v>44113.625</v>
      </c>
      <c r="G284" s="19" t="str">
        <f t="shared" si="13"/>
        <v/>
      </c>
      <c r="J284" s="28">
        <f t="shared" si="14"/>
        <v>0.20855614973262027</v>
      </c>
    </row>
    <row r="285" spans="1:10">
      <c r="A285" s="3">
        <v>110</v>
      </c>
      <c r="B285" t="s">
        <v>300</v>
      </c>
      <c r="C285" t="s">
        <v>8</v>
      </c>
      <c r="E285" s="3">
        <f t="shared" si="12"/>
        <v>6</v>
      </c>
      <c r="F285" s="5">
        <v>44114.625</v>
      </c>
      <c r="G285" s="19" t="str">
        <f t="shared" si="13"/>
        <v/>
      </c>
      <c r="J285" s="28">
        <f t="shared" si="14"/>
        <v>-0.3820224719101124</v>
      </c>
    </row>
    <row r="286" spans="1:10">
      <c r="A286" s="3">
        <v>131</v>
      </c>
      <c r="B286" t="s">
        <v>301</v>
      </c>
      <c r="C286" t="s">
        <v>8</v>
      </c>
      <c r="E286" s="3">
        <f t="shared" si="12"/>
        <v>7</v>
      </c>
      <c r="F286" s="5">
        <v>44115.625</v>
      </c>
      <c r="G286" s="19" t="str">
        <f t="shared" si="13"/>
        <v/>
      </c>
      <c r="J286" s="28">
        <f t="shared" si="14"/>
        <v>-0.11486486486486491</v>
      </c>
    </row>
    <row r="287" spans="1:10" s="10" customFormat="1">
      <c r="A287" s="14">
        <v>256</v>
      </c>
      <c r="B287" s="10" t="s">
        <v>305</v>
      </c>
      <c r="C287" s="10" t="s">
        <v>8</v>
      </c>
      <c r="E287" s="14">
        <f t="shared" si="12"/>
        <v>1</v>
      </c>
      <c r="F287" s="18">
        <v>44116.625</v>
      </c>
      <c r="G287" s="19" t="str">
        <f t="shared" si="13"/>
        <v>2020-W42</v>
      </c>
      <c r="H287">
        <f>SUM(A287:A293)</f>
        <v>1275</v>
      </c>
      <c r="I287" s="28">
        <f>H287/H280-1</f>
        <v>-0.2153846153846154</v>
      </c>
      <c r="J287" s="28">
        <f t="shared" si="14"/>
        <v>-0.1202749140893471</v>
      </c>
    </row>
    <row r="288" spans="1:10">
      <c r="A288" s="3">
        <v>199</v>
      </c>
      <c r="B288" t="s">
        <v>306</v>
      </c>
      <c r="C288" t="s">
        <v>8</v>
      </c>
      <c r="E288" s="3">
        <f t="shared" si="12"/>
        <v>2</v>
      </c>
      <c r="F288" s="5">
        <v>44117.625</v>
      </c>
      <c r="G288" s="19" t="str">
        <f t="shared" si="13"/>
        <v/>
      </c>
      <c r="J288" s="28">
        <f t="shared" si="14"/>
        <v>-0.34105960264900659</v>
      </c>
    </row>
    <row r="289" spans="1:10">
      <c r="A289" s="3">
        <v>202</v>
      </c>
      <c r="B289" t="s">
        <v>307</v>
      </c>
      <c r="C289" t="s">
        <v>8</v>
      </c>
      <c r="E289" s="3">
        <f t="shared" si="12"/>
        <v>3</v>
      </c>
      <c r="F289" s="5">
        <v>44118.625</v>
      </c>
      <c r="G289" s="19" t="str">
        <f t="shared" si="13"/>
        <v/>
      </c>
      <c r="J289" s="28">
        <f t="shared" si="14"/>
        <v>-0.33986928104575165</v>
      </c>
    </row>
    <row r="290" spans="1:10">
      <c r="A290" s="3">
        <v>190</v>
      </c>
      <c r="B290" t="s">
        <v>308</v>
      </c>
      <c r="C290" t="s">
        <v>8</v>
      </c>
      <c r="E290" s="3">
        <f t="shared" si="12"/>
        <v>4</v>
      </c>
      <c r="F290" s="5">
        <v>44119.625</v>
      </c>
      <c r="G290" s="19" t="str">
        <f t="shared" si="13"/>
        <v/>
      </c>
      <c r="J290" s="28">
        <f t="shared" si="14"/>
        <v>-0.26640926640926643</v>
      </c>
    </row>
    <row r="291" spans="1:10">
      <c r="A291" s="3">
        <v>195</v>
      </c>
      <c r="B291" t="s">
        <v>309</v>
      </c>
      <c r="C291" t="s">
        <v>8</v>
      </c>
      <c r="E291" s="3">
        <f t="shared" si="12"/>
        <v>5</v>
      </c>
      <c r="F291" s="5">
        <v>44120.625</v>
      </c>
      <c r="G291" s="19" t="str">
        <f t="shared" si="13"/>
        <v/>
      </c>
      <c r="J291" s="28">
        <f t="shared" si="14"/>
        <v>-0.13716814159292035</v>
      </c>
    </row>
    <row r="292" spans="1:10">
      <c r="A292" s="3">
        <v>104</v>
      </c>
      <c r="B292" t="s">
        <v>310</v>
      </c>
      <c r="C292" t="s">
        <v>8</v>
      </c>
      <c r="E292" s="3">
        <f t="shared" si="12"/>
        <v>6</v>
      </c>
      <c r="F292" s="5">
        <v>44121.625</v>
      </c>
      <c r="G292" s="19" t="str">
        <f t="shared" si="13"/>
        <v/>
      </c>
      <c r="J292" s="28">
        <f t="shared" si="14"/>
        <v>-5.4545454545454564E-2</v>
      </c>
    </row>
    <row r="293" spans="1:10">
      <c r="A293" s="3">
        <v>129</v>
      </c>
      <c r="B293" t="s">
        <v>311</v>
      </c>
      <c r="C293" t="s">
        <v>8</v>
      </c>
      <c r="E293" s="3">
        <f t="shared" si="12"/>
        <v>7</v>
      </c>
      <c r="F293" s="5">
        <v>44122.625</v>
      </c>
      <c r="G293" s="19" t="str">
        <f t="shared" si="13"/>
        <v/>
      </c>
      <c r="J293" s="28">
        <f t="shared" si="14"/>
        <v>-1.5267175572519109E-2</v>
      </c>
    </row>
    <row r="294" spans="1:10" s="10" customFormat="1">
      <c r="A294" s="14">
        <v>243</v>
      </c>
      <c r="B294" s="10" t="s">
        <v>312</v>
      </c>
      <c r="C294" s="10" t="s">
        <v>8</v>
      </c>
      <c r="E294" s="14">
        <f t="shared" si="12"/>
        <v>1</v>
      </c>
      <c r="F294" s="18">
        <v>44123.625</v>
      </c>
      <c r="G294" s="19" t="str">
        <f t="shared" si="13"/>
        <v>2020-W43</v>
      </c>
      <c r="H294">
        <f>SUM(A294:A300)</f>
        <v>1242</v>
      </c>
      <c r="I294" s="28">
        <f>H294/H287-1</f>
        <v>-2.5882352941176467E-2</v>
      </c>
      <c r="J294" s="28">
        <f t="shared" si="14"/>
        <v>-5.078125E-2</v>
      </c>
    </row>
    <row r="295" spans="1:10">
      <c r="A295" s="3">
        <v>167</v>
      </c>
      <c r="B295" t="s">
        <v>313</v>
      </c>
      <c r="C295" t="s">
        <v>8</v>
      </c>
      <c r="E295" s="3">
        <f t="shared" si="12"/>
        <v>2</v>
      </c>
      <c r="F295" s="5">
        <v>44124.625</v>
      </c>
      <c r="G295" s="19" t="str">
        <f t="shared" si="13"/>
        <v/>
      </c>
      <c r="J295" s="28">
        <f t="shared" si="14"/>
        <v>-0.16080402010050254</v>
      </c>
    </row>
    <row r="296" spans="1:10">
      <c r="A296" s="3">
        <v>188</v>
      </c>
      <c r="B296" t="s">
        <v>314</v>
      </c>
      <c r="C296" t="s">
        <v>8</v>
      </c>
      <c r="E296" s="3">
        <f t="shared" si="12"/>
        <v>3</v>
      </c>
      <c r="F296" s="5">
        <v>44125.625</v>
      </c>
      <c r="G296" s="19" t="str">
        <f t="shared" si="13"/>
        <v/>
      </c>
      <c r="J296" s="28">
        <f t="shared" si="14"/>
        <v>-6.9306930693069257E-2</v>
      </c>
    </row>
    <row r="297" spans="1:10">
      <c r="A297" s="3">
        <v>220</v>
      </c>
      <c r="B297" t="s">
        <v>315</v>
      </c>
      <c r="C297" t="s">
        <v>8</v>
      </c>
      <c r="E297" s="3">
        <f t="shared" si="12"/>
        <v>4</v>
      </c>
      <c r="F297" s="5">
        <v>44126.625</v>
      </c>
      <c r="G297" s="19" t="str">
        <f t="shared" si="13"/>
        <v/>
      </c>
      <c r="J297" s="28">
        <f t="shared" si="14"/>
        <v>0.15789473684210531</v>
      </c>
    </row>
    <row r="298" spans="1:10">
      <c r="A298" s="3">
        <v>193</v>
      </c>
      <c r="B298" t="s">
        <v>316</v>
      </c>
      <c r="C298" t="s">
        <v>8</v>
      </c>
      <c r="E298" s="3">
        <f t="shared" si="12"/>
        <v>5</v>
      </c>
      <c r="F298" s="5">
        <v>44127.625</v>
      </c>
      <c r="G298" s="19" t="str">
        <f t="shared" si="13"/>
        <v/>
      </c>
      <c r="J298" s="28">
        <f t="shared" si="14"/>
        <v>-1.025641025641022E-2</v>
      </c>
    </row>
    <row r="299" spans="1:10">
      <c r="A299" s="3">
        <v>107</v>
      </c>
      <c r="B299" t="s">
        <v>317</v>
      </c>
      <c r="C299" t="s">
        <v>8</v>
      </c>
      <c r="E299" s="3">
        <f t="shared" si="12"/>
        <v>6</v>
      </c>
      <c r="F299" s="5">
        <v>44128.625</v>
      </c>
      <c r="G299" s="19" t="str">
        <f t="shared" si="13"/>
        <v/>
      </c>
      <c r="J299" s="28">
        <f t="shared" si="14"/>
        <v>2.8846153846153744E-2</v>
      </c>
    </row>
    <row r="300" spans="1:10">
      <c r="A300" s="3">
        <v>124</v>
      </c>
      <c r="B300" t="s">
        <v>318</v>
      </c>
      <c r="C300" t="s">
        <v>8</v>
      </c>
      <c r="E300" s="3">
        <f t="shared" si="12"/>
        <v>7</v>
      </c>
      <c r="F300" s="5">
        <v>44129.625</v>
      </c>
      <c r="G300" s="19" t="str">
        <f t="shared" si="13"/>
        <v/>
      </c>
      <c r="J300" s="28">
        <f t="shared" si="14"/>
        <v>-3.8759689922480578E-2</v>
      </c>
    </row>
    <row r="301" spans="1:10" s="10" customFormat="1">
      <c r="A301" s="14">
        <v>255</v>
      </c>
      <c r="B301" s="10" t="s">
        <v>319</v>
      </c>
      <c r="C301" s="10" t="s">
        <v>8</v>
      </c>
      <c r="E301" s="14">
        <f t="shared" si="12"/>
        <v>1</v>
      </c>
      <c r="F301" s="18">
        <v>44130.625</v>
      </c>
      <c r="G301" s="19" t="str">
        <f t="shared" si="13"/>
        <v>2020-W44</v>
      </c>
      <c r="H301">
        <f>SUM(A301:A307)</f>
        <v>1456</v>
      </c>
      <c r="I301" s="28">
        <f>H301/H294-1</f>
        <v>0.17230273752012892</v>
      </c>
      <c r="J301" s="28">
        <f t="shared" si="14"/>
        <v>4.9382716049382713E-2</v>
      </c>
    </row>
    <row r="302" spans="1:10">
      <c r="A302" s="3">
        <v>232</v>
      </c>
      <c r="B302" t="s">
        <v>320</v>
      </c>
      <c r="C302" t="s">
        <v>8</v>
      </c>
      <c r="E302" s="3">
        <f t="shared" si="12"/>
        <v>2</v>
      </c>
      <c r="F302" s="5">
        <v>44131.625</v>
      </c>
      <c r="G302" s="19" t="str">
        <f t="shared" si="13"/>
        <v/>
      </c>
      <c r="J302" s="28">
        <f t="shared" si="14"/>
        <v>0.38922155688622762</v>
      </c>
    </row>
    <row r="303" spans="1:10">
      <c r="A303" s="3">
        <v>240</v>
      </c>
      <c r="B303" t="s">
        <v>321</v>
      </c>
      <c r="C303" t="s">
        <v>8</v>
      </c>
      <c r="E303" s="3">
        <f t="shared" si="12"/>
        <v>3</v>
      </c>
      <c r="F303" s="5">
        <v>44132.625</v>
      </c>
      <c r="G303" s="19" t="str">
        <f t="shared" si="13"/>
        <v/>
      </c>
      <c r="J303" s="28">
        <f t="shared" si="14"/>
        <v>0.27659574468085113</v>
      </c>
    </row>
    <row r="304" spans="1:10">
      <c r="A304" s="3">
        <v>237</v>
      </c>
      <c r="B304" t="s">
        <v>322</v>
      </c>
      <c r="C304" t="s">
        <v>8</v>
      </c>
      <c r="E304" s="3">
        <f t="shared" si="12"/>
        <v>4</v>
      </c>
      <c r="F304" s="5">
        <v>44133.625</v>
      </c>
      <c r="G304" s="19" t="str">
        <f t="shared" si="13"/>
        <v/>
      </c>
      <c r="J304" s="28">
        <f t="shared" si="14"/>
        <v>7.7272727272727382E-2</v>
      </c>
    </row>
    <row r="305" spans="1:10">
      <c r="A305" s="3">
        <v>220</v>
      </c>
      <c r="B305" t="s">
        <v>323</v>
      </c>
      <c r="C305" t="s">
        <v>8</v>
      </c>
      <c r="E305" s="3">
        <f t="shared" si="12"/>
        <v>5</v>
      </c>
      <c r="F305" s="5">
        <v>44134.625</v>
      </c>
      <c r="G305" s="19" t="str">
        <f t="shared" si="13"/>
        <v/>
      </c>
      <c r="J305" s="28">
        <f t="shared" si="14"/>
        <v>0.13989637305699487</v>
      </c>
    </row>
    <row r="306" spans="1:10">
      <c r="A306" s="3">
        <v>121</v>
      </c>
      <c r="B306" t="s">
        <v>324</v>
      </c>
      <c r="C306" t="s">
        <v>8</v>
      </c>
      <c r="E306" s="3">
        <f t="shared" si="12"/>
        <v>6</v>
      </c>
      <c r="F306" s="5">
        <v>44135.625</v>
      </c>
      <c r="G306" s="19" t="str">
        <f t="shared" si="13"/>
        <v/>
      </c>
      <c r="J306" s="28">
        <f t="shared" si="14"/>
        <v>0.13084112149532712</v>
      </c>
    </row>
    <row r="307" spans="1:10">
      <c r="A307" s="3">
        <v>151</v>
      </c>
      <c r="B307" t="s">
        <v>325</v>
      </c>
      <c r="C307" t="s">
        <v>8</v>
      </c>
      <c r="E307" s="3">
        <f t="shared" si="12"/>
        <v>7</v>
      </c>
      <c r="F307" s="5">
        <v>44136.625</v>
      </c>
      <c r="G307" s="19" t="str">
        <f t="shared" si="13"/>
        <v/>
      </c>
      <c r="J307" s="28">
        <f t="shared" si="14"/>
        <v>0.217741935483871</v>
      </c>
    </row>
    <row r="308" spans="1:10" s="10" customFormat="1">
      <c r="A308" s="14">
        <v>287</v>
      </c>
      <c r="B308" s="10" t="s">
        <v>326</v>
      </c>
      <c r="C308" s="10" t="s">
        <v>8</v>
      </c>
      <c r="E308" s="14">
        <f t="shared" si="12"/>
        <v>1</v>
      </c>
      <c r="F308" s="18">
        <v>44137.625</v>
      </c>
      <c r="G308" s="19" t="str">
        <f t="shared" si="13"/>
        <v>2020-W45</v>
      </c>
      <c r="H308">
        <f>SUM(A308:A314)</f>
        <v>1416</v>
      </c>
      <c r="I308" s="28">
        <f>H308/H301-1</f>
        <v>-2.7472527472527486E-2</v>
      </c>
      <c r="J308" s="28">
        <f t="shared" si="14"/>
        <v>0.12549019607843137</v>
      </c>
    </row>
    <row r="309" spans="1:10">
      <c r="A309" s="3">
        <v>241</v>
      </c>
      <c r="B309" t="s">
        <v>327</v>
      </c>
      <c r="C309" t="s">
        <v>8</v>
      </c>
      <c r="E309" s="3">
        <f t="shared" si="12"/>
        <v>2</v>
      </c>
      <c r="F309" s="5">
        <v>44138.625</v>
      </c>
      <c r="G309" s="19" t="str">
        <f t="shared" si="13"/>
        <v/>
      </c>
      <c r="J309" s="28">
        <f t="shared" si="14"/>
        <v>3.8793103448275801E-2</v>
      </c>
    </row>
    <row r="310" spans="1:10">
      <c r="A310" s="3">
        <v>213</v>
      </c>
      <c r="B310" t="s">
        <v>328</v>
      </c>
      <c r="C310" t="s">
        <v>8</v>
      </c>
      <c r="E310" s="3">
        <f t="shared" si="12"/>
        <v>3</v>
      </c>
      <c r="F310" s="5">
        <v>44139.625</v>
      </c>
      <c r="G310" s="19" t="str">
        <f t="shared" si="13"/>
        <v/>
      </c>
      <c r="J310" s="28">
        <f t="shared" si="14"/>
        <v>-0.11250000000000004</v>
      </c>
    </row>
    <row r="311" spans="1:10">
      <c r="A311" s="3">
        <v>219</v>
      </c>
      <c r="B311" t="s">
        <v>329</v>
      </c>
      <c r="C311" t="s">
        <v>8</v>
      </c>
      <c r="E311" s="3">
        <f t="shared" si="12"/>
        <v>4</v>
      </c>
      <c r="F311" s="5">
        <v>44140.625</v>
      </c>
      <c r="G311" s="19" t="str">
        <f t="shared" si="13"/>
        <v/>
      </c>
      <c r="J311" s="28">
        <f t="shared" si="14"/>
        <v>-7.5949367088607556E-2</v>
      </c>
    </row>
    <row r="312" spans="1:10">
      <c r="A312" s="3">
        <v>196</v>
      </c>
      <c r="B312" t="s">
        <v>330</v>
      </c>
      <c r="C312" t="s">
        <v>8</v>
      </c>
      <c r="E312" s="3">
        <f t="shared" si="12"/>
        <v>5</v>
      </c>
      <c r="F312" s="5">
        <v>44141.625</v>
      </c>
      <c r="G312" s="19" t="str">
        <f t="shared" si="13"/>
        <v/>
      </c>
      <c r="J312" s="28">
        <f t="shared" si="14"/>
        <v>-0.10909090909090913</v>
      </c>
    </row>
    <row r="313" spans="1:10">
      <c r="A313" s="3">
        <v>128</v>
      </c>
      <c r="B313" t="s">
        <v>331</v>
      </c>
      <c r="C313" t="s">
        <v>8</v>
      </c>
      <c r="E313" s="3">
        <f t="shared" si="12"/>
        <v>6</v>
      </c>
      <c r="F313" s="5">
        <v>44142.625</v>
      </c>
      <c r="G313" s="19" t="str">
        <f t="shared" si="13"/>
        <v/>
      </c>
      <c r="J313" s="28">
        <f t="shared" si="14"/>
        <v>5.7851239669421517E-2</v>
      </c>
    </row>
    <row r="314" spans="1:10">
      <c r="A314" s="3">
        <v>132</v>
      </c>
      <c r="B314" t="s">
        <v>332</v>
      </c>
      <c r="C314" t="s">
        <v>8</v>
      </c>
      <c r="E314" s="3">
        <f t="shared" si="12"/>
        <v>7</v>
      </c>
      <c r="F314" s="5">
        <v>44143.625</v>
      </c>
      <c r="G314" s="19" t="str">
        <f t="shared" si="13"/>
        <v/>
      </c>
      <c r="J314" s="28">
        <f t="shared" si="14"/>
        <v>-0.1258278145695364</v>
      </c>
    </row>
    <row r="315" spans="1:10">
      <c r="A315" s="3">
        <v>273</v>
      </c>
      <c r="B315" t="s">
        <v>333</v>
      </c>
      <c r="C315" t="s">
        <v>8</v>
      </c>
      <c r="E315" s="3">
        <f t="shared" si="12"/>
        <v>1</v>
      </c>
      <c r="F315" s="5">
        <v>44144.625</v>
      </c>
      <c r="G315" s="19" t="str">
        <f t="shared" si="13"/>
        <v>2020-W46</v>
      </c>
      <c r="H315">
        <f>SUM(A315:A321)</f>
        <v>1649</v>
      </c>
      <c r="I315" s="28">
        <f>H315/H308-1</f>
        <v>0.16454802259887003</v>
      </c>
      <c r="J315" s="28">
        <f t="shared" si="14"/>
        <v>-4.8780487804878092E-2</v>
      </c>
    </row>
    <row r="316" spans="1:10">
      <c r="A316" s="3">
        <v>206</v>
      </c>
      <c r="B316" t="s">
        <v>334</v>
      </c>
      <c r="C316" t="s">
        <v>8</v>
      </c>
      <c r="E316" s="3">
        <f t="shared" si="12"/>
        <v>2</v>
      </c>
      <c r="F316" s="5">
        <v>44145.625</v>
      </c>
      <c r="G316" s="19" t="str">
        <f t="shared" si="13"/>
        <v/>
      </c>
      <c r="J316" s="28">
        <f t="shared" si="14"/>
        <v>-0.14522821576763489</v>
      </c>
    </row>
    <row r="317" spans="1:10">
      <c r="A317" s="3">
        <v>294</v>
      </c>
      <c r="B317" t="s">
        <v>335</v>
      </c>
      <c r="C317" t="s">
        <v>8</v>
      </c>
      <c r="E317" s="3">
        <f t="shared" si="12"/>
        <v>3</v>
      </c>
      <c r="F317" s="5">
        <v>44146.625</v>
      </c>
      <c r="G317" s="19" t="str">
        <f t="shared" si="13"/>
        <v/>
      </c>
      <c r="J317" s="28">
        <f t="shared" si="14"/>
        <v>0.38028169014084501</v>
      </c>
    </row>
    <row r="318" spans="1:10">
      <c r="A318" s="3">
        <v>282</v>
      </c>
      <c r="B318" t="s">
        <v>336</v>
      </c>
      <c r="C318" t="s">
        <v>8</v>
      </c>
      <c r="E318" s="3">
        <f t="shared" si="12"/>
        <v>4</v>
      </c>
      <c r="F318" s="5">
        <v>44147.625</v>
      </c>
      <c r="G318" s="19" t="str">
        <f t="shared" si="13"/>
        <v/>
      </c>
      <c r="J318" s="28">
        <f t="shared" si="14"/>
        <v>0.28767123287671237</v>
      </c>
    </row>
    <row r="319" spans="1:10">
      <c r="A319" s="3">
        <v>268</v>
      </c>
      <c r="B319" t="s">
        <v>337</v>
      </c>
      <c r="C319" t="s">
        <v>8</v>
      </c>
      <c r="E319" s="3">
        <f t="shared" si="12"/>
        <v>5</v>
      </c>
      <c r="F319" s="5">
        <v>44148.625</v>
      </c>
      <c r="G319" s="19" t="str">
        <f t="shared" si="13"/>
        <v/>
      </c>
      <c r="J319" s="28">
        <f t="shared" si="14"/>
        <v>0.36734693877551017</v>
      </c>
    </row>
    <row r="320" spans="1:10">
      <c r="A320" s="3">
        <v>145</v>
      </c>
      <c r="B320" t="s">
        <v>338</v>
      </c>
      <c r="C320" t="s">
        <v>8</v>
      </c>
      <c r="E320" s="3">
        <f t="shared" si="12"/>
        <v>6</v>
      </c>
      <c r="F320" s="5">
        <v>44149.625</v>
      </c>
      <c r="G320" s="19" t="str">
        <f t="shared" si="13"/>
        <v/>
      </c>
      <c r="J320" s="28">
        <f t="shared" si="14"/>
        <v>0.1328125</v>
      </c>
    </row>
    <row r="321" spans="1:10">
      <c r="A321" s="3">
        <v>181</v>
      </c>
      <c r="B321" t="s">
        <v>339</v>
      </c>
      <c r="C321" t="s">
        <v>8</v>
      </c>
      <c r="E321" s="3">
        <f t="shared" si="12"/>
        <v>7</v>
      </c>
      <c r="F321" s="5">
        <v>44150.625</v>
      </c>
      <c r="G321" s="19" t="str">
        <f t="shared" si="13"/>
        <v/>
      </c>
      <c r="J321" s="28">
        <f t="shared" si="14"/>
        <v>0.3712121212121211</v>
      </c>
    </row>
    <row r="322" spans="1:10">
      <c r="A322" s="3">
        <v>392</v>
      </c>
      <c r="B322" t="s">
        <v>340</v>
      </c>
      <c r="C322" t="s">
        <v>8</v>
      </c>
      <c r="E322" s="3">
        <f t="shared" si="12"/>
        <v>1</v>
      </c>
      <c r="F322" s="5">
        <v>44151.625</v>
      </c>
      <c r="G322" s="19" t="str">
        <f t="shared" si="13"/>
        <v>2020-W47</v>
      </c>
      <c r="H322">
        <f>SUM(A322:A328)</f>
        <v>2600</v>
      </c>
      <c r="I322" s="28">
        <f>H322/H315-1</f>
        <v>0.57671315949060031</v>
      </c>
      <c r="J322" s="28">
        <f t="shared" si="14"/>
        <v>0.4358974358974359</v>
      </c>
    </row>
    <row r="323" spans="1:10">
      <c r="A323" s="3">
        <v>389</v>
      </c>
      <c r="B323" t="s">
        <v>341</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342</v>
      </c>
      <c r="C324" t="s">
        <v>8</v>
      </c>
      <c r="E324" s="3">
        <f t="shared" si="12"/>
        <v>3</v>
      </c>
      <c r="F324" s="5">
        <v>44153.625</v>
      </c>
      <c r="G324" s="19" t="str">
        <f t="shared" si="16"/>
        <v/>
      </c>
      <c r="J324" s="28">
        <f t="shared" si="14"/>
        <v>0.27891156462585043</v>
      </c>
    </row>
    <row r="325" spans="1:10">
      <c r="A325" s="3">
        <v>478</v>
      </c>
      <c r="B325" t="s">
        <v>343</v>
      </c>
      <c r="C325" t="s">
        <v>8</v>
      </c>
      <c r="E325" s="3">
        <f t="shared" ref="E325:E382" si="17">WEEKDAY(F325,2)</f>
        <v>4</v>
      </c>
      <c r="F325" s="5">
        <v>44154.625</v>
      </c>
      <c r="G325" s="19" t="str">
        <f t="shared" si="16"/>
        <v/>
      </c>
      <c r="J325" s="28">
        <f t="shared" si="14"/>
        <v>0.69503546099290769</v>
      </c>
    </row>
    <row r="326" spans="1:10">
      <c r="A326" s="3">
        <v>428</v>
      </c>
      <c r="B326" t="s">
        <v>344</v>
      </c>
      <c r="C326" t="s">
        <v>8</v>
      </c>
      <c r="E326" s="3">
        <f t="shared" si="17"/>
        <v>5</v>
      </c>
      <c r="F326" s="5">
        <v>44155.625</v>
      </c>
      <c r="G326" s="19" t="str">
        <f t="shared" si="16"/>
        <v/>
      </c>
      <c r="J326" s="28">
        <f t="shared" si="14"/>
        <v>0.59701492537313428</v>
      </c>
    </row>
    <row r="327" spans="1:10">
      <c r="A327" s="3">
        <v>270</v>
      </c>
      <c r="B327" t="s">
        <v>347</v>
      </c>
      <c r="C327" t="s">
        <v>8</v>
      </c>
      <c r="E327" s="3">
        <f t="shared" si="17"/>
        <v>6</v>
      </c>
      <c r="F327" s="5">
        <v>44156.625</v>
      </c>
      <c r="G327" s="19" t="str">
        <f t="shared" si="16"/>
        <v/>
      </c>
      <c r="J327" s="28">
        <f t="shared" si="14"/>
        <v>0.86206896551724133</v>
      </c>
    </row>
    <row r="328" spans="1:10">
      <c r="A328" s="3">
        <v>267</v>
      </c>
      <c r="B328" t="s">
        <v>348</v>
      </c>
      <c r="C328" t="s">
        <v>8</v>
      </c>
      <c r="E328" s="3">
        <f t="shared" si="17"/>
        <v>7</v>
      </c>
      <c r="F328" s="5">
        <v>44157.625</v>
      </c>
      <c r="G328" s="19" t="str">
        <f t="shared" si="16"/>
        <v/>
      </c>
      <c r="J328" s="28">
        <f t="shared" si="14"/>
        <v>0.47513812154696122</v>
      </c>
    </row>
    <row r="329" spans="1:10">
      <c r="A329" s="3">
        <v>504</v>
      </c>
      <c r="B329" t="s">
        <v>349</v>
      </c>
      <c r="C329" t="s">
        <v>8</v>
      </c>
      <c r="E329" s="3">
        <f t="shared" si="17"/>
        <v>1</v>
      </c>
      <c r="F329" s="5">
        <v>44158.625</v>
      </c>
      <c r="G329" s="19" t="str">
        <f t="shared" si="16"/>
        <v>2020-W48</v>
      </c>
      <c r="H329">
        <f>SUM(A329:A335)</f>
        <v>3136</v>
      </c>
      <c r="I329" s="28">
        <f>H329/H322-1</f>
        <v>0.20615384615384613</v>
      </c>
      <c r="J329" s="28">
        <f t="shared" ref="J329:J392" si="18">A329/A322-1</f>
        <v>0.28571428571428581</v>
      </c>
    </row>
    <row r="330" spans="1:10">
      <c r="A330" s="3">
        <v>471</v>
      </c>
      <c r="B330" t="s">
        <v>350</v>
      </c>
      <c r="C330" t="s">
        <v>8</v>
      </c>
      <c r="E330" s="3">
        <f t="shared" si="17"/>
        <v>2</v>
      </c>
      <c r="F330" s="5">
        <v>44159.625</v>
      </c>
      <c r="G330" s="19" t="str">
        <f t="shared" si="16"/>
        <v/>
      </c>
      <c r="J330" s="28">
        <f t="shared" si="18"/>
        <v>0.2107969151670952</v>
      </c>
    </row>
    <row r="331" spans="1:10">
      <c r="A331" s="3">
        <v>619</v>
      </c>
      <c r="B331" t="s">
        <v>351</v>
      </c>
      <c r="C331" t="s">
        <v>8</v>
      </c>
      <c r="E331" s="3">
        <f t="shared" si="17"/>
        <v>3</v>
      </c>
      <c r="F331" s="5">
        <v>44160.625</v>
      </c>
      <c r="G331" s="19" t="str">
        <f t="shared" si="16"/>
        <v/>
      </c>
      <c r="J331" s="28">
        <f t="shared" si="18"/>
        <v>0.64627659574468077</v>
      </c>
    </row>
    <row r="332" spans="1:10">
      <c r="A332" s="3">
        <v>509</v>
      </c>
      <c r="B332" t="s">
        <v>354</v>
      </c>
      <c r="C332" t="s">
        <v>8</v>
      </c>
      <c r="E332" s="3">
        <f t="shared" si="17"/>
        <v>4</v>
      </c>
      <c r="F332" s="5">
        <v>44161.625</v>
      </c>
      <c r="G332" s="19" t="str">
        <f t="shared" si="16"/>
        <v/>
      </c>
      <c r="J332" s="28">
        <f t="shared" si="18"/>
        <v>6.4853556485355623E-2</v>
      </c>
    </row>
    <row r="333" spans="1:10">
      <c r="A333" s="3">
        <v>456</v>
      </c>
      <c r="B333" t="s">
        <v>355</v>
      </c>
      <c r="C333" t="s">
        <v>8</v>
      </c>
      <c r="E333" s="3">
        <f t="shared" si="17"/>
        <v>5</v>
      </c>
      <c r="F333" s="5">
        <v>44162.625</v>
      </c>
      <c r="G333" s="19" t="str">
        <f t="shared" si="16"/>
        <v/>
      </c>
      <c r="J333" s="28">
        <f t="shared" si="18"/>
        <v>6.5420560747663448E-2</v>
      </c>
    </row>
    <row r="334" spans="1:10">
      <c r="A334" s="3">
        <v>284</v>
      </c>
      <c r="B334" t="s">
        <v>356</v>
      </c>
      <c r="C334" t="s">
        <v>8</v>
      </c>
      <c r="E334" s="3">
        <f t="shared" si="17"/>
        <v>6</v>
      </c>
      <c r="F334" s="5">
        <v>44163.625</v>
      </c>
      <c r="G334" s="19" t="str">
        <f t="shared" si="16"/>
        <v/>
      </c>
      <c r="J334" s="28">
        <f t="shared" si="18"/>
        <v>5.1851851851851816E-2</v>
      </c>
    </row>
    <row r="335" spans="1:10">
      <c r="A335" s="3">
        <v>293</v>
      </c>
      <c r="B335" t="s">
        <v>357</v>
      </c>
      <c r="C335" t="s">
        <v>8</v>
      </c>
      <c r="E335" s="3">
        <f t="shared" si="17"/>
        <v>7</v>
      </c>
      <c r="F335" s="5">
        <v>44164.625</v>
      </c>
      <c r="G335" s="19" t="str">
        <f t="shared" si="16"/>
        <v/>
      </c>
      <c r="J335" s="28">
        <f t="shared" si="18"/>
        <v>9.7378277153558068E-2</v>
      </c>
    </row>
    <row r="336" spans="1:10">
      <c r="A336" s="3">
        <v>595</v>
      </c>
      <c r="B336" t="s">
        <v>358</v>
      </c>
      <c r="C336" t="s">
        <v>8</v>
      </c>
      <c r="E336" s="3">
        <f t="shared" si="17"/>
        <v>1</v>
      </c>
      <c r="F336" s="5">
        <v>44165.625</v>
      </c>
      <c r="G336" s="19" t="str">
        <f t="shared" si="16"/>
        <v>2020-W49</v>
      </c>
      <c r="H336">
        <f>SUM(A336:A342)</f>
        <v>3015</v>
      </c>
      <c r="I336" s="28">
        <f>H336/H329-1</f>
        <v>-3.8584183673469385E-2</v>
      </c>
      <c r="J336" s="28">
        <f t="shared" si="18"/>
        <v>0.18055555555555558</v>
      </c>
    </row>
    <row r="337" spans="1:10">
      <c r="A337" s="3">
        <v>440</v>
      </c>
      <c r="B337" t="s">
        <v>360</v>
      </c>
      <c r="C337" t="s">
        <v>8</v>
      </c>
      <c r="E337" s="3">
        <f t="shared" si="17"/>
        <v>2</v>
      </c>
      <c r="F337" s="5">
        <v>44166.625</v>
      </c>
      <c r="G337" s="19" t="str">
        <f t="shared" si="16"/>
        <v/>
      </c>
      <c r="J337" s="28">
        <f t="shared" si="18"/>
        <v>-6.5817409766454338E-2</v>
      </c>
    </row>
    <row r="338" spans="1:10">
      <c r="A338" s="3">
        <v>495</v>
      </c>
      <c r="B338" t="s">
        <v>361</v>
      </c>
      <c r="C338" t="s">
        <v>8</v>
      </c>
      <c r="E338" s="3">
        <f t="shared" si="17"/>
        <v>3</v>
      </c>
      <c r="F338" s="5">
        <v>44167.625</v>
      </c>
      <c r="G338" s="19" t="str">
        <f t="shared" si="16"/>
        <v/>
      </c>
      <c r="J338" s="28">
        <f t="shared" si="18"/>
        <v>-0.20032310177705981</v>
      </c>
    </row>
    <row r="339" spans="1:10">
      <c r="A339" s="3">
        <v>478</v>
      </c>
      <c r="B339" t="s">
        <v>362</v>
      </c>
      <c r="C339" t="s">
        <v>8</v>
      </c>
      <c r="E339" s="3">
        <f t="shared" si="17"/>
        <v>4</v>
      </c>
      <c r="F339" s="5">
        <v>44168.625</v>
      </c>
      <c r="G339" s="19" t="str">
        <f t="shared" si="16"/>
        <v/>
      </c>
      <c r="J339" s="28">
        <f t="shared" si="18"/>
        <v>-6.0903732809430289E-2</v>
      </c>
    </row>
    <row r="340" spans="1:10">
      <c r="A340" s="3">
        <v>473</v>
      </c>
      <c r="B340" t="s">
        <v>363</v>
      </c>
      <c r="C340" t="s">
        <v>8</v>
      </c>
      <c r="E340" s="3">
        <f t="shared" si="17"/>
        <v>5</v>
      </c>
      <c r="F340" s="5">
        <v>44169.625</v>
      </c>
      <c r="G340" s="19" t="str">
        <f t="shared" si="16"/>
        <v/>
      </c>
      <c r="J340" s="28">
        <f t="shared" si="18"/>
        <v>3.7280701754385914E-2</v>
      </c>
    </row>
    <row r="341" spans="1:10">
      <c r="A341" s="3">
        <v>250</v>
      </c>
      <c r="B341" t="s">
        <v>364</v>
      </c>
      <c r="C341" t="s">
        <v>8</v>
      </c>
      <c r="E341" s="3">
        <f t="shared" si="17"/>
        <v>6</v>
      </c>
      <c r="F341" s="5">
        <v>44170.625</v>
      </c>
      <c r="G341" s="19" t="str">
        <f t="shared" si="16"/>
        <v/>
      </c>
      <c r="J341" s="28">
        <f t="shared" si="18"/>
        <v>-0.11971830985915488</v>
      </c>
    </row>
    <row r="342" spans="1:10">
      <c r="A342" s="3">
        <v>284</v>
      </c>
      <c r="B342" t="s">
        <v>365</v>
      </c>
      <c r="C342" t="s">
        <v>8</v>
      </c>
      <c r="E342" s="3">
        <f t="shared" si="17"/>
        <v>7</v>
      </c>
      <c r="F342" s="5">
        <v>44171.625</v>
      </c>
      <c r="G342" s="19" t="str">
        <f t="shared" si="16"/>
        <v/>
      </c>
      <c r="J342" s="28">
        <f t="shared" si="18"/>
        <v>-3.0716723549488067E-2</v>
      </c>
    </row>
    <row r="343" spans="1:10">
      <c r="A343" s="3">
        <v>587</v>
      </c>
      <c r="B343" t="s">
        <v>366</v>
      </c>
      <c r="C343" t="s">
        <v>8</v>
      </c>
      <c r="E343" s="3">
        <f t="shared" si="17"/>
        <v>1</v>
      </c>
      <c r="F343" s="5">
        <v>44172.625</v>
      </c>
      <c r="G343" s="19" t="str">
        <f t="shared" si="16"/>
        <v>2020-W50</v>
      </c>
      <c r="H343">
        <f>SUM(A343:A349)</f>
        <v>2904</v>
      </c>
      <c r="I343" s="28">
        <f>H343/H336-1</f>
        <v>-3.681592039800996E-2</v>
      </c>
      <c r="J343" s="28">
        <f t="shared" si="18"/>
        <v>-1.3445378151260456E-2</v>
      </c>
    </row>
    <row r="344" spans="1:10">
      <c r="A344" s="3">
        <v>478</v>
      </c>
      <c r="B344" t="s">
        <v>367</v>
      </c>
      <c r="C344" t="s">
        <v>8</v>
      </c>
      <c r="E344" s="3">
        <f t="shared" si="17"/>
        <v>2</v>
      </c>
      <c r="F344" s="5">
        <v>44173.625</v>
      </c>
      <c r="G344" s="19" t="str">
        <f t="shared" si="16"/>
        <v/>
      </c>
      <c r="J344" s="28">
        <f t="shared" si="18"/>
        <v>8.636363636363642E-2</v>
      </c>
    </row>
    <row r="345" spans="1:10">
      <c r="A345" s="3">
        <v>462</v>
      </c>
      <c r="B345" t="s">
        <v>368</v>
      </c>
      <c r="C345" t="s">
        <v>8</v>
      </c>
      <c r="E345" s="3">
        <f t="shared" si="17"/>
        <v>3</v>
      </c>
      <c r="F345" s="5">
        <v>44174.625</v>
      </c>
      <c r="G345" s="19" t="str">
        <f t="shared" si="16"/>
        <v/>
      </c>
      <c r="J345" s="28">
        <f t="shared" si="18"/>
        <v>-6.6666666666666652E-2</v>
      </c>
    </row>
    <row r="346" spans="1:10">
      <c r="A346" s="3">
        <v>407</v>
      </c>
      <c r="B346" t="s">
        <v>369</v>
      </c>
      <c r="C346" t="s">
        <v>8</v>
      </c>
      <c r="E346" s="3">
        <f t="shared" si="17"/>
        <v>4</v>
      </c>
      <c r="F346" s="5">
        <v>44175.625</v>
      </c>
      <c r="G346" s="19" t="str">
        <f t="shared" si="16"/>
        <v/>
      </c>
      <c r="J346" s="28">
        <f t="shared" si="18"/>
        <v>-0.14853556485355646</v>
      </c>
    </row>
    <row r="347" spans="1:10">
      <c r="A347" s="3">
        <v>445</v>
      </c>
      <c r="B347" t="s">
        <v>370</v>
      </c>
      <c r="C347" t="s">
        <v>8</v>
      </c>
      <c r="E347" s="3">
        <f t="shared" si="17"/>
        <v>5</v>
      </c>
      <c r="F347" s="5">
        <v>44176.625</v>
      </c>
      <c r="G347" s="19" t="str">
        <f t="shared" si="16"/>
        <v/>
      </c>
      <c r="J347" s="28">
        <f t="shared" si="18"/>
        <v>-5.9196617336152224E-2</v>
      </c>
    </row>
    <row r="348" spans="1:10">
      <c r="A348" s="3">
        <v>249</v>
      </c>
      <c r="B348" t="s">
        <v>371</v>
      </c>
      <c r="C348" t="s">
        <v>8</v>
      </c>
      <c r="E348" s="3">
        <f t="shared" si="17"/>
        <v>6</v>
      </c>
      <c r="F348" s="5">
        <v>44177.625</v>
      </c>
      <c r="G348" s="19" t="str">
        <f t="shared" si="16"/>
        <v/>
      </c>
      <c r="J348" s="28">
        <f t="shared" si="18"/>
        <v>-4.0000000000000036E-3</v>
      </c>
    </row>
    <row r="349" spans="1:10">
      <c r="A349" s="3">
        <v>276</v>
      </c>
      <c r="B349" t="s">
        <v>372</v>
      </c>
      <c r="C349" t="s">
        <v>8</v>
      </c>
      <c r="E349" s="3">
        <f t="shared" si="17"/>
        <v>7</v>
      </c>
      <c r="F349" s="5">
        <v>44178.625</v>
      </c>
      <c r="G349" s="19" t="str">
        <f t="shared" si="16"/>
        <v/>
      </c>
      <c r="J349" s="28">
        <f t="shared" si="18"/>
        <v>-2.8169014084507005E-2</v>
      </c>
    </row>
    <row r="350" spans="1:10">
      <c r="A350" s="3">
        <v>463</v>
      </c>
      <c r="B350" t="s">
        <v>373</v>
      </c>
      <c r="C350" t="s">
        <v>8</v>
      </c>
      <c r="E350" s="3">
        <f t="shared" si="17"/>
        <v>1</v>
      </c>
      <c r="F350" s="5">
        <v>44179.625</v>
      </c>
      <c r="G350" s="19" t="str">
        <f t="shared" si="16"/>
        <v>2020-W51</v>
      </c>
      <c r="H350">
        <f>SUM(A350:A356)</f>
        <v>2327</v>
      </c>
      <c r="I350" s="28">
        <f>H350/H343-1</f>
        <v>-0.19869146005509641</v>
      </c>
      <c r="J350" s="28">
        <f t="shared" si="18"/>
        <v>-0.21124361158432714</v>
      </c>
    </row>
    <row r="351" spans="1:10">
      <c r="A351" s="3">
        <v>359</v>
      </c>
      <c r="B351" t="s">
        <v>374</v>
      </c>
      <c r="C351" t="s">
        <v>8</v>
      </c>
      <c r="E351" s="3">
        <f t="shared" si="17"/>
        <v>2</v>
      </c>
      <c r="F351" s="5">
        <v>44180.625</v>
      </c>
      <c r="G351" s="19" t="str">
        <f t="shared" si="16"/>
        <v/>
      </c>
      <c r="J351" s="28">
        <f t="shared" si="18"/>
        <v>-0.2489539748953975</v>
      </c>
    </row>
    <row r="352" spans="1:10">
      <c r="A352" s="3">
        <v>353</v>
      </c>
      <c r="B352" t="s">
        <v>375</v>
      </c>
      <c r="C352" t="s">
        <v>8</v>
      </c>
      <c r="E352" s="3">
        <f t="shared" si="17"/>
        <v>3</v>
      </c>
      <c r="F352" s="5">
        <v>44181.625</v>
      </c>
      <c r="G352" s="19" t="str">
        <f t="shared" si="16"/>
        <v/>
      </c>
      <c r="J352" s="28">
        <f t="shared" si="18"/>
        <v>-0.23593073593073588</v>
      </c>
    </row>
    <row r="353" spans="1:10">
      <c r="A353" s="3">
        <v>323</v>
      </c>
      <c r="B353" t="s">
        <v>376</v>
      </c>
      <c r="C353" t="s">
        <v>8</v>
      </c>
      <c r="E353" s="3">
        <f t="shared" si="17"/>
        <v>4</v>
      </c>
      <c r="F353" s="5">
        <v>44182.625</v>
      </c>
      <c r="G353" s="19" t="str">
        <f t="shared" si="16"/>
        <v/>
      </c>
      <c r="J353" s="28">
        <f t="shared" si="18"/>
        <v>-0.20638820638820643</v>
      </c>
    </row>
    <row r="354" spans="1:10">
      <c r="A354" s="3">
        <v>394</v>
      </c>
      <c r="B354" t="s">
        <v>377</v>
      </c>
      <c r="C354" t="s">
        <v>8</v>
      </c>
      <c r="E354" s="3">
        <f t="shared" si="17"/>
        <v>5</v>
      </c>
      <c r="F354" s="5">
        <v>44183.625</v>
      </c>
      <c r="G354" s="19" t="str">
        <f t="shared" si="16"/>
        <v/>
      </c>
      <c r="J354" s="28">
        <f t="shared" si="18"/>
        <v>-0.11460674157303374</v>
      </c>
    </row>
    <row r="355" spans="1:10">
      <c r="A355" s="3">
        <v>191</v>
      </c>
      <c r="B355" t="s">
        <v>378</v>
      </c>
      <c r="C355" t="s">
        <v>8</v>
      </c>
      <c r="E355" s="3">
        <f t="shared" si="17"/>
        <v>6</v>
      </c>
      <c r="F355" s="5">
        <v>44184.625</v>
      </c>
      <c r="G355" s="19" t="str">
        <f t="shared" si="16"/>
        <v/>
      </c>
      <c r="J355" s="28">
        <f t="shared" si="18"/>
        <v>-0.23293172690763053</v>
      </c>
    </row>
    <row r="356" spans="1:10">
      <c r="A356" s="3">
        <v>244</v>
      </c>
      <c r="B356" t="s">
        <v>379</v>
      </c>
      <c r="C356" t="s">
        <v>8</v>
      </c>
      <c r="E356" s="3">
        <f t="shared" si="17"/>
        <v>7</v>
      </c>
      <c r="F356" s="5">
        <v>44185.625</v>
      </c>
      <c r="G356" s="19" t="str">
        <f t="shared" si="16"/>
        <v/>
      </c>
      <c r="J356" s="28">
        <f t="shared" si="18"/>
        <v>-0.11594202898550721</v>
      </c>
    </row>
    <row r="357" spans="1:10">
      <c r="A357" s="3">
        <v>375</v>
      </c>
      <c r="B357" t="s">
        <v>380</v>
      </c>
      <c r="C357" t="s">
        <v>8</v>
      </c>
      <c r="E357" s="3">
        <f t="shared" si="17"/>
        <v>1</v>
      </c>
      <c r="F357" s="5">
        <v>44186.625</v>
      </c>
      <c r="G357" s="19" t="str">
        <f t="shared" si="16"/>
        <v>2020-W52</v>
      </c>
      <c r="H357">
        <f>SUM(A357:A363)</f>
        <v>1653</v>
      </c>
      <c r="I357" s="28">
        <f>H357/H350-1</f>
        <v>-0.28964331757627848</v>
      </c>
      <c r="J357" s="28">
        <f t="shared" si="18"/>
        <v>-0.19006479481641469</v>
      </c>
    </row>
    <row r="358" spans="1:10">
      <c r="A358" s="3">
        <v>332</v>
      </c>
      <c r="B358" t="s">
        <v>381</v>
      </c>
      <c r="C358" t="s">
        <v>8</v>
      </c>
      <c r="E358" s="3">
        <f t="shared" si="17"/>
        <v>2</v>
      </c>
      <c r="F358" s="5">
        <v>44187.625</v>
      </c>
      <c r="G358" s="19" t="str">
        <f t="shared" si="16"/>
        <v/>
      </c>
      <c r="J358" s="28">
        <f t="shared" si="18"/>
        <v>-7.5208913649025044E-2</v>
      </c>
    </row>
    <row r="359" spans="1:10">
      <c r="A359" s="3">
        <v>277</v>
      </c>
      <c r="B359" t="s">
        <v>382</v>
      </c>
      <c r="C359" t="s">
        <v>8</v>
      </c>
      <c r="E359" s="3">
        <f t="shared" si="17"/>
        <v>3</v>
      </c>
      <c r="F359" s="5">
        <v>44188.625</v>
      </c>
      <c r="G359" s="19" t="str">
        <f t="shared" si="16"/>
        <v/>
      </c>
      <c r="J359" s="28">
        <f t="shared" si="18"/>
        <v>-0.2152974504249292</v>
      </c>
    </row>
    <row r="360" spans="1:10">
      <c r="A360" s="3">
        <v>138</v>
      </c>
      <c r="B360" t="s">
        <v>383</v>
      </c>
      <c r="C360" t="s">
        <v>8</v>
      </c>
      <c r="E360" s="3">
        <f t="shared" si="17"/>
        <v>4</v>
      </c>
      <c r="F360" s="5">
        <v>44189.625</v>
      </c>
      <c r="G360" s="19" t="str">
        <f t="shared" si="16"/>
        <v/>
      </c>
      <c r="J360" s="28">
        <f t="shared" si="18"/>
        <v>-0.5727554179566563</v>
      </c>
    </row>
    <row r="361" spans="1:10">
      <c r="A361" s="3">
        <v>157</v>
      </c>
      <c r="B361" t="s">
        <v>384</v>
      </c>
      <c r="C361" t="s">
        <v>8</v>
      </c>
      <c r="E361" s="3">
        <f t="shared" si="17"/>
        <v>5</v>
      </c>
      <c r="F361" s="5">
        <v>44190.625</v>
      </c>
      <c r="G361" s="19" t="str">
        <f t="shared" si="16"/>
        <v/>
      </c>
      <c r="J361" s="28">
        <f t="shared" si="18"/>
        <v>-0.60152284263959399</v>
      </c>
    </row>
    <row r="362" spans="1:10">
      <c r="A362" s="3">
        <v>183</v>
      </c>
      <c r="B362" t="s">
        <v>385</v>
      </c>
      <c r="C362" t="s">
        <v>8</v>
      </c>
      <c r="E362" s="3">
        <f t="shared" si="17"/>
        <v>6</v>
      </c>
      <c r="F362" s="5">
        <v>44191.625</v>
      </c>
      <c r="G362" s="19" t="str">
        <f t="shared" si="16"/>
        <v/>
      </c>
      <c r="J362" s="28">
        <f t="shared" si="18"/>
        <v>-4.1884816753926746E-2</v>
      </c>
    </row>
    <row r="363" spans="1:10">
      <c r="A363" s="3">
        <v>191</v>
      </c>
      <c r="B363" t="s">
        <v>386</v>
      </c>
      <c r="C363" t="s">
        <v>8</v>
      </c>
      <c r="E363" s="3">
        <f t="shared" si="17"/>
        <v>7</v>
      </c>
      <c r="F363" s="5">
        <v>44192.625</v>
      </c>
      <c r="G363" s="19" t="str">
        <f t="shared" si="16"/>
        <v/>
      </c>
      <c r="J363" s="28">
        <f t="shared" si="18"/>
        <v>-0.21721311475409832</v>
      </c>
    </row>
    <row r="364" spans="1:10">
      <c r="A364" s="3">
        <v>435</v>
      </c>
      <c r="B364" t="s">
        <v>387</v>
      </c>
      <c r="C364" t="s">
        <v>8</v>
      </c>
      <c r="E364" s="3">
        <f t="shared" si="17"/>
        <v>1</v>
      </c>
      <c r="F364" s="5">
        <v>44193.625</v>
      </c>
      <c r="G364" s="19" t="str">
        <f t="shared" si="16"/>
        <v>2020-W53</v>
      </c>
      <c r="H364">
        <f>SUM(A364:A370)</f>
        <v>1755</v>
      </c>
      <c r="I364" s="28">
        <f>H364/H357-1</f>
        <v>6.1705989110707904E-2</v>
      </c>
      <c r="J364" s="28">
        <f t="shared" si="18"/>
        <v>0.15999999999999992</v>
      </c>
    </row>
    <row r="365" spans="1:10">
      <c r="A365" s="3">
        <v>307</v>
      </c>
      <c r="B365" t="s">
        <v>388</v>
      </c>
      <c r="C365" t="s">
        <v>8</v>
      </c>
      <c r="E365" s="3">
        <f t="shared" si="17"/>
        <v>2</v>
      </c>
      <c r="F365" s="5">
        <v>44194.625</v>
      </c>
      <c r="G365" s="19" t="str">
        <f t="shared" si="16"/>
        <v/>
      </c>
      <c r="J365" s="28">
        <f t="shared" si="18"/>
        <v>-7.5301204819277157E-2</v>
      </c>
    </row>
    <row r="366" spans="1:10">
      <c r="A366" s="3">
        <v>255</v>
      </c>
      <c r="B366" t="s">
        <v>389</v>
      </c>
      <c r="C366" t="s">
        <v>8</v>
      </c>
      <c r="E366" s="3">
        <f t="shared" si="17"/>
        <v>3</v>
      </c>
      <c r="F366" s="5">
        <v>44195.625</v>
      </c>
      <c r="G366" s="19" t="str">
        <f t="shared" si="16"/>
        <v/>
      </c>
      <c r="J366" s="28">
        <f t="shared" si="18"/>
        <v>-7.9422382671480163E-2</v>
      </c>
    </row>
    <row r="367" spans="1:10">
      <c r="A367" s="3">
        <v>254</v>
      </c>
      <c r="B367" t="s">
        <v>390</v>
      </c>
      <c r="C367" t="s">
        <v>8</v>
      </c>
      <c r="E367" s="3">
        <f t="shared" si="17"/>
        <v>4</v>
      </c>
      <c r="F367" s="5">
        <v>44196.625</v>
      </c>
      <c r="G367" s="19" t="str">
        <f t="shared" si="16"/>
        <v/>
      </c>
      <c r="J367" s="28">
        <f t="shared" si="18"/>
        <v>0.84057971014492749</v>
      </c>
    </row>
    <row r="368" spans="1:10">
      <c r="A368" s="3">
        <v>129</v>
      </c>
      <c r="B368" t="s">
        <v>391</v>
      </c>
      <c r="C368" t="s">
        <v>8</v>
      </c>
      <c r="E368" s="3">
        <f t="shared" si="17"/>
        <v>5</v>
      </c>
      <c r="F368" s="5">
        <v>44197.625</v>
      </c>
      <c r="G368" s="19" t="str">
        <f t="shared" si="16"/>
        <v/>
      </c>
      <c r="J368" s="28">
        <f t="shared" si="18"/>
        <v>-0.17834394904458595</v>
      </c>
    </row>
    <row r="369" spans="1:10">
      <c r="A369" s="3">
        <v>206</v>
      </c>
      <c r="B369" t="s">
        <v>392</v>
      </c>
      <c r="C369" t="s">
        <v>8</v>
      </c>
      <c r="E369" s="3">
        <f t="shared" si="17"/>
        <v>6</v>
      </c>
      <c r="F369" s="5">
        <v>44198.625</v>
      </c>
      <c r="G369" s="19" t="str">
        <f t="shared" si="16"/>
        <v/>
      </c>
      <c r="J369" s="28">
        <f t="shared" si="18"/>
        <v>0.12568306010928953</v>
      </c>
    </row>
    <row r="370" spans="1:10">
      <c r="A370" s="3">
        <v>169</v>
      </c>
      <c r="B370" t="s">
        <v>393</v>
      </c>
      <c r="C370" t="s">
        <v>8</v>
      </c>
      <c r="E370" s="3">
        <f t="shared" si="17"/>
        <v>7</v>
      </c>
      <c r="F370" s="5">
        <v>44199.625</v>
      </c>
      <c r="G370" s="19" t="str">
        <f t="shared" si="16"/>
        <v/>
      </c>
      <c r="J370" s="28">
        <f t="shared" si="18"/>
        <v>-0.11518324607329844</v>
      </c>
    </row>
    <row r="371" spans="1:10">
      <c r="A371" s="3">
        <v>398</v>
      </c>
      <c r="B371" t="s">
        <v>394</v>
      </c>
      <c r="C371" t="s">
        <v>8</v>
      </c>
      <c r="E371" s="3">
        <f t="shared" si="17"/>
        <v>1</v>
      </c>
      <c r="F371" s="5">
        <v>44200.625</v>
      </c>
      <c r="G371" s="19" t="str">
        <f t="shared" si="16"/>
        <v>2021-W01</v>
      </c>
      <c r="H371">
        <f>SUM(A371:A377)</f>
        <v>1834</v>
      </c>
      <c r="I371" s="28">
        <f>H371/H364-1</f>
        <v>4.5014245014245002E-2</v>
      </c>
      <c r="J371" s="28">
        <f t="shared" si="18"/>
        <v>-8.5057471264367801E-2</v>
      </c>
    </row>
    <row r="372" spans="1:10">
      <c r="A372" s="3">
        <v>263</v>
      </c>
      <c r="B372" t="s">
        <v>395</v>
      </c>
      <c r="C372" t="s">
        <v>8</v>
      </c>
      <c r="E372" s="3">
        <f t="shared" si="17"/>
        <v>2</v>
      </c>
      <c r="F372" s="5">
        <v>44201.625</v>
      </c>
      <c r="G372" s="19" t="str">
        <f t="shared" si="16"/>
        <v/>
      </c>
      <c r="J372" s="28">
        <f t="shared" si="18"/>
        <v>-0.14332247557003253</v>
      </c>
    </row>
    <row r="373" spans="1:10">
      <c r="A373" s="3">
        <v>209</v>
      </c>
      <c r="B373" t="s">
        <v>396</v>
      </c>
      <c r="C373" t="s">
        <v>8</v>
      </c>
      <c r="E373" s="3">
        <f t="shared" si="17"/>
        <v>3</v>
      </c>
      <c r="F373" s="5">
        <v>44202.625</v>
      </c>
      <c r="G373" s="19" t="str">
        <f t="shared" si="16"/>
        <v/>
      </c>
      <c r="J373" s="28">
        <f t="shared" si="18"/>
        <v>-0.18039215686274512</v>
      </c>
    </row>
    <row r="374" spans="1:10">
      <c r="A374" s="3">
        <v>332</v>
      </c>
      <c r="B374" t="s">
        <v>397</v>
      </c>
      <c r="C374" t="s">
        <v>8</v>
      </c>
      <c r="E374" s="3">
        <f t="shared" si="17"/>
        <v>4</v>
      </c>
      <c r="F374" s="5">
        <v>44203.625</v>
      </c>
      <c r="G374" s="19" t="str">
        <f t="shared" si="16"/>
        <v/>
      </c>
      <c r="J374" s="28">
        <f t="shared" si="18"/>
        <v>0.30708661417322825</v>
      </c>
    </row>
    <row r="375" spans="1:10">
      <c r="A375" s="3">
        <v>252</v>
      </c>
      <c r="B375" t="s">
        <v>398</v>
      </c>
      <c r="C375" t="s">
        <v>8</v>
      </c>
      <c r="E375" s="3">
        <f t="shared" si="17"/>
        <v>5</v>
      </c>
      <c r="F375" s="5">
        <v>44204.625</v>
      </c>
      <c r="G375" s="19" t="str">
        <f t="shared" si="16"/>
        <v/>
      </c>
      <c r="J375" s="28">
        <f t="shared" si="18"/>
        <v>0.95348837209302317</v>
      </c>
    </row>
    <row r="376" spans="1:10">
      <c r="A376" s="3">
        <v>194</v>
      </c>
      <c r="B376" t="s">
        <v>399</v>
      </c>
      <c r="C376" t="s">
        <v>8</v>
      </c>
      <c r="E376" s="3">
        <f t="shared" si="17"/>
        <v>6</v>
      </c>
      <c r="F376" s="5">
        <v>44205.625</v>
      </c>
      <c r="G376" s="19" t="str">
        <f t="shared" si="16"/>
        <v/>
      </c>
      <c r="J376" s="28">
        <f t="shared" si="18"/>
        <v>-5.8252427184465994E-2</v>
      </c>
    </row>
    <row r="377" spans="1:10">
      <c r="A377" s="3">
        <v>186</v>
      </c>
      <c r="B377" t="s">
        <v>400</v>
      </c>
      <c r="C377" t="s">
        <v>8</v>
      </c>
      <c r="E377" s="3">
        <f t="shared" si="17"/>
        <v>7</v>
      </c>
      <c r="F377" s="5">
        <v>44206.625</v>
      </c>
      <c r="G377" s="19" t="str">
        <f t="shared" si="16"/>
        <v/>
      </c>
      <c r="J377" s="28">
        <f t="shared" si="18"/>
        <v>0.10059171597633143</v>
      </c>
    </row>
    <row r="378" spans="1:10">
      <c r="A378" s="3">
        <v>386</v>
      </c>
      <c r="B378" t="s">
        <v>401</v>
      </c>
      <c r="C378" t="s">
        <v>8</v>
      </c>
      <c r="E378" s="3">
        <f t="shared" si="17"/>
        <v>1</v>
      </c>
      <c r="F378" s="5">
        <v>44207.625</v>
      </c>
      <c r="G378" s="19" t="str">
        <f t="shared" si="16"/>
        <v>2021-W02</v>
      </c>
      <c r="H378">
        <f>SUM(A378:A384)</f>
        <v>1758</v>
      </c>
      <c r="I378" s="28">
        <f>H378/H371-1</f>
        <v>-4.1439476553980392E-2</v>
      </c>
      <c r="J378" s="28">
        <f t="shared" si="18"/>
        <v>-3.0150753768844241E-2</v>
      </c>
    </row>
    <row r="379" spans="1:10">
      <c r="A379" s="3">
        <v>229</v>
      </c>
      <c r="B379" t="s">
        <v>402</v>
      </c>
      <c r="C379" t="s">
        <v>8</v>
      </c>
      <c r="E379" s="3">
        <f t="shared" si="17"/>
        <v>2</v>
      </c>
      <c r="F379" s="5">
        <v>44208.625</v>
      </c>
      <c r="G379" s="19" t="str">
        <f t="shared" si="16"/>
        <v/>
      </c>
      <c r="J379" s="28">
        <f t="shared" si="18"/>
        <v>-0.12927756653992395</v>
      </c>
    </row>
    <row r="380" spans="1:10">
      <c r="A380" s="3">
        <v>260</v>
      </c>
      <c r="B380" t="s">
        <v>403</v>
      </c>
      <c r="C380" t="s">
        <v>8</v>
      </c>
      <c r="E380" s="3">
        <f t="shared" si="17"/>
        <v>3</v>
      </c>
      <c r="F380" s="5">
        <v>44209.625</v>
      </c>
      <c r="G380" s="19" t="str">
        <f t="shared" si="16"/>
        <v/>
      </c>
      <c r="J380" s="28">
        <f t="shared" si="18"/>
        <v>0.24401913875598091</v>
      </c>
    </row>
    <row r="381" spans="1:10">
      <c r="A381" s="3">
        <v>249</v>
      </c>
      <c r="B381" t="s">
        <v>404</v>
      </c>
      <c r="C381" t="s">
        <v>8</v>
      </c>
      <c r="E381" s="3">
        <f t="shared" si="17"/>
        <v>4</v>
      </c>
      <c r="F381" s="5">
        <v>44210.625</v>
      </c>
      <c r="G381" s="19" t="str">
        <f t="shared" si="16"/>
        <v/>
      </c>
      <c r="J381" s="28">
        <f t="shared" si="18"/>
        <v>-0.25</v>
      </c>
    </row>
    <row r="382" spans="1:10">
      <c r="A382" s="3">
        <v>266</v>
      </c>
      <c r="B382" t="s">
        <v>405</v>
      </c>
      <c r="C382" t="s">
        <v>8</v>
      </c>
      <c r="E382" s="3">
        <f t="shared" si="17"/>
        <v>5</v>
      </c>
      <c r="F382" s="5">
        <v>44211.625</v>
      </c>
      <c r="G382" s="19" t="str">
        <f t="shared" si="16"/>
        <v/>
      </c>
      <c r="J382" s="28">
        <f t="shared" si="18"/>
        <v>5.555555555555558E-2</v>
      </c>
    </row>
    <row r="383" spans="1:10">
      <c r="A383" s="3">
        <v>171</v>
      </c>
      <c r="B383" t="s">
        <v>406</v>
      </c>
      <c r="C383" t="s">
        <v>8</v>
      </c>
      <c r="E383" s="3">
        <f t="shared" ref="E383:E446" si="19">WEEKDAY(F383,2)</f>
        <v>6</v>
      </c>
      <c r="F383" s="5">
        <v>44212.625</v>
      </c>
      <c r="G383" s="19" t="str">
        <f t="shared" si="16"/>
        <v/>
      </c>
      <c r="J383" s="28">
        <f t="shared" si="18"/>
        <v>-0.11855670103092786</v>
      </c>
    </row>
    <row r="384" spans="1:10">
      <c r="A384" s="3">
        <v>197</v>
      </c>
      <c r="B384" t="s">
        <v>407</v>
      </c>
      <c r="C384" t="s">
        <v>8</v>
      </c>
      <c r="E384" s="3">
        <f t="shared" si="19"/>
        <v>7</v>
      </c>
      <c r="F384" s="5">
        <v>44213.625</v>
      </c>
      <c r="G384" s="19" t="str">
        <f t="shared" si="16"/>
        <v/>
      </c>
      <c r="J384" s="28">
        <f t="shared" si="18"/>
        <v>5.9139784946236507E-2</v>
      </c>
    </row>
    <row r="385" spans="1:10">
      <c r="A385" s="3">
        <v>448</v>
      </c>
      <c r="B385" t="s">
        <v>408</v>
      </c>
      <c r="C385" t="s">
        <v>8</v>
      </c>
      <c r="E385" s="3">
        <f t="shared" si="19"/>
        <v>1</v>
      </c>
      <c r="F385" s="5">
        <v>44214.625</v>
      </c>
      <c r="G385" s="19" t="str">
        <f t="shared" si="16"/>
        <v>2021-W03</v>
      </c>
      <c r="H385">
        <f>SUM(A385:A391)</f>
        <v>2349</v>
      </c>
      <c r="I385" s="28">
        <f>H385/H378-1</f>
        <v>0.33617747440273038</v>
      </c>
      <c r="J385" s="28">
        <f t="shared" si="18"/>
        <v>0.16062176165803099</v>
      </c>
    </row>
    <row r="386" spans="1:10">
      <c r="A386" s="3">
        <v>342</v>
      </c>
      <c r="B386" t="s">
        <v>409</v>
      </c>
      <c r="C386" t="s">
        <v>8</v>
      </c>
      <c r="E386" s="3">
        <f t="shared" si="19"/>
        <v>2</v>
      </c>
      <c r="F386" s="5">
        <v>44215.625</v>
      </c>
      <c r="G386" s="19" t="str">
        <f t="shared" si="16"/>
        <v/>
      </c>
      <c r="J386" s="28">
        <f t="shared" si="18"/>
        <v>0.49344978165938858</v>
      </c>
    </row>
    <row r="387" spans="1:10">
      <c r="A387" s="3">
        <v>406</v>
      </c>
      <c r="B387" t="s">
        <v>410</v>
      </c>
      <c r="C387" t="s">
        <v>8</v>
      </c>
      <c r="E387" s="3">
        <f t="shared" si="19"/>
        <v>3</v>
      </c>
      <c r="F387" s="5">
        <v>44216.625</v>
      </c>
      <c r="G387" s="19" t="str">
        <f t="shared" ref="G387:G450" si="20">IF(WEEKDAY(F387,2)=1,YEAR(F387)&amp;"-W"&amp;TEXT(WEEKNUM(F387,14),"00"),"")</f>
        <v/>
      </c>
      <c r="J387" s="28">
        <f t="shared" si="18"/>
        <v>0.56153846153846154</v>
      </c>
    </row>
    <row r="388" spans="1:10">
      <c r="A388" s="3">
        <v>377</v>
      </c>
      <c r="B388" t="s">
        <v>411</v>
      </c>
      <c r="C388" t="s">
        <v>8</v>
      </c>
      <c r="E388" s="3">
        <f t="shared" si="19"/>
        <v>4</v>
      </c>
      <c r="F388" s="5">
        <v>44217.625</v>
      </c>
      <c r="G388" s="19" t="str">
        <f t="shared" si="20"/>
        <v/>
      </c>
      <c r="J388" s="28">
        <f t="shared" si="18"/>
        <v>0.51405622489959835</v>
      </c>
    </row>
    <row r="389" spans="1:10">
      <c r="A389" s="3">
        <v>361</v>
      </c>
      <c r="B389" t="s">
        <v>412</v>
      </c>
      <c r="C389" t="s">
        <v>8</v>
      </c>
      <c r="E389" s="3">
        <f t="shared" si="19"/>
        <v>5</v>
      </c>
      <c r="F389" s="5">
        <v>44218.625</v>
      </c>
      <c r="G389" s="19" t="str">
        <f t="shared" si="20"/>
        <v/>
      </c>
      <c r="J389" s="28">
        <f t="shared" si="18"/>
        <v>0.35714285714285721</v>
      </c>
    </row>
    <row r="390" spans="1:10">
      <c r="A390" s="3">
        <v>168</v>
      </c>
      <c r="B390" t="s">
        <v>413</v>
      </c>
      <c r="C390" t="s">
        <v>8</v>
      </c>
      <c r="E390" s="3">
        <f t="shared" si="19"/>
        <v>6</v>
      </c>
      <c r="F390" s="5">
        <v>44219.625</v>
      </c>
      <c r="G390" s="19" t="str">
        <f t="shared" si="20"/>
        <v/>
      </c>
      <c r="J390" s="28">
        <f t="shared" si="18"/>
        <v>-1.7543859649122862E-2</v>
      </c>
    </row>
    <row r="391" spans="1:10">
      <c r="A391" s="3">
        <v>247</v>
      </c>
      <c r="B391" t="s">
        <v>414</v>
      </c>
      <c r="C391" t="s">
        <v>8</v>
      </c>
      <c r="E391" s="3">
        <f t="shared" si="19"/>
        <v>7</v>
      </c>
      <c r="F391" s="5">
        <v>44220.625</v>
      </c>
      <c r="G391" s="19" t="str">
        <f t="shared" si="20"/>
        <v/>
      </c>
      <c r="J391" s="28">
        <f t="shared" si="18"/>
        <v>0.25380710659898487</v>
      </c>
    </row>
    <row r="392" spans="1:10">
      <c r="A392" s="3">
        <v>605</v>
      </c>
      <c r="B392" t="s">
        <v>415</v>
      </c>
      <c r="C392" t="s">
        <v>8</v>
      </c>
      <c r="E392" s="3">
        <f t="shared" si="19"/>
        <v>1</v>
      </c>
      <c r="F392" s="5">
        <v>44221.625</v>
      </c>
      <c r="G392" s="19" t="str">
        <f t="shared" si="20"/>
        <v>2021-W04</v>
      </c>
      <c r="H392">
        <f>SUM(A392:A398)</f>
        <v>2702</v>
      </c>
      <c r="I392" s="28">
        <f>H392/H385-1</f>
        <v>0.15027671349510441</v>
      </c>
      <c r="J392" s="28">
        <f t="shared" si="18"/>
        <v>0.3504464285714286</v>
      </c>
    </row>
    <row r="393" spans="1:10">
      <c r="A393" s="3">
        <v>397</v>
      </c>
      <c r="B393" t="s">
        <v>416</v>
      </c>
      <c r="C393" t="s">
        <v>8</v>
      </c>
      <c r="E393" s="3">
        <f t="shared" si="19"/>
        <v>2</v>
      </c>
      <c r="F393" s="5">
        <v>44222.625</v>
      </c>
      <c r="G393" s="19" t="str">
        <f t="shared" si="20"/>
        <v/>
      </c>
      <c r="J393" s="28">
        <f t="shared" ref="J393:J456" si="21">A393/A386-1</f>
        <v>0.16081871345029231</v>
      </c>
    </row>
    <row r="394" spans="1:10">
      <c r="A394" s="3">
        <v>382</v>
      </c>
      <c r="B394" t="s">
        <v>417</v>
      </c>
      <c r="C394" t="s">
        <v>8</v>
      </c>
      <c r="E394" s="3">
        <f t="shared" si="19"/>
        <v>3</v>
      </c>
      <c r="F394" s="5">
        <v>44223.625</v>
      </c>
      <c r="G394" s="19" t="str">
        <f t="shared" si="20"/>
        <v/>
      </c>
      <c r="J394" s="28">
        <f t="shared" si="21"/>
        <v>-5.9113300492610876E-2</v>
      </c>
    </row>
    <row r="395" spans="1:10">
      <c r="A395" s="3">
        <v>435</v>
      </c>
      <c r="B395" t="s">
        <v>418</v>
      </c>
      <c r="C395" t="s">
        <v>8</v>
      </c>
      <c r="E395" s="3">
        <f t="shared" si="19"/>
        <v>4</v>
      </c>
      <c r="F395" s="5">
        <v>44224.625</v>
      </c>
      <c r="G395" s="19" t="str">
        <f t="shared" si="20"/>
        <v/>
      </c>
      <c r="J395" s="28">
        <f t="shared" si="21"/>
        <v>0.15384615384615374</v>
      </c>
    </row>
    <row r="396" spans="1:10">
      <c r="A396" s="3">
        <v>378</v>
      </c>
      <c r="B396" t="s">
        <v>419</v>
      </c>
      <c r="C396" t="s">
        <v>8</v>
      </c>
      <c r="E396" s="3">
        <f t="shared" si="19"/>
        <v>5</v>
      </c>
      <c r="F396" s="5">
        <v>44225.625</v>
      </c>
      <c r="G396" s="19" t="str">
        <f t="shared" si="20"/>
        <v/>
      </c>
      <c r="J396" s="28">
        <f t="shared" si="21"/>
        <v>4.7091412742382266E-2</v>
      </c>
    </row>
    <row r="397" spans="1:10">
      <c r="A397" s="3">
        <v>232</v>
      </c>
      <c r="B397" t="s">
        <v>421</v>
      </c>
      <c r="C397" t="s">
        <v>8</v>
      </c>
      <c r="E397" s="3">
        <f t="shared" si="19"/>
        <v>6</v>
      </c>
      <c r="F397" s="5">
        <v>44226.625</v>
      </c>
      <c r="G397" s="19" t="str">
        <f t="shared" si="20"/>
        <v/>
      </c>
      <c r="J397" s="28">
        <f t="shared" si="21"/>
        <v>0.38095238095238093</v>
      </c>
    </row>
    <row r="398" spans="1:10">
      <c r="A398" s="3">
        <v>273</v>
      </c>
      <c r="B398" t="s">
        <v>422</v>
      </c>
      <c r="C398" t="s">
        <v>8</v>
      </c>
      <c r="E398" s="3">
        <f t="shared" si="19"/>
        <v>7</v>
      </c>
      <c r="F398" s="5">
        <v>44227.625</v>
      </c>
      <c r="G398" s="19" t="str">
        <f t="shared" si="20"/>
        <v/>
      </c>
      <c r="J398" s="28">
        <f t="shared" si="21"/>
        <v>0.10526315789473695</v>
      </c>
    </row>
    <row r="399" spans="1:10">
      <c r="A399" s="3">
        <v>534</v>
      </c>
      <c r="B399" t="s">
        <v>423</v>
      </c>
      <c r="C399" t="s">
        <v>8</v>
      </c>
      <c r="E399" s="3">
        <f t="shared" si="19"/>
        <v>1</v>
      </c>
      <c r="F399" s="5">
        <v>44228.625</v>
      </c>
      <c r="G399" s="19" t="str">
        <f t="shared" si="20"/>
        <v>2021-W05</v>
      </c>
      <c r="H399">
        <f>SUM(A399:A405)</f>
        <v>2613</v>
      </c>
      <c r="I399" s="28">
        <f>H399/H392-1</f>
        <v>-3.2938564026646966E-2</v>
      </c>
      <c r="J399" s="28">
        <f t="shared" si="21"/>
        <v>-0.11735537190082646</v>
      </c>
    </row>
    <row r="400" spans="1:10">
      <c r="A400" s="3">
        <v>396</v>
      </c>
      <c r="B400" t="s">
        <v>424</v>
      </c>
      <c r="C400" t="s">
        <v>8</v>
      </c>
      <c r="E400" s="3">
        <f t="shared" si="19"/>
        <v>2</v>
      </c>
      <c r="F400" s="5">
        <v>44229.625</v>
      </c>
      <c r="G400" s="19" t="str">
        <f t="shared" si="20"/>
        <v/>
      </c>
      <c r="J400" s="28">
        <f t="shared" si="21"/>
        <v>-2.5188916876573986E-3</v>
      </c>
    </row>
    <row r="401" spans="1:10">
      <c r="A401" s="3">
        <v>441</v>
      </c>
      <c r="B401" t="s">
        <v>425</v>
      </c>
      <c r="C401" t="s">
        <v>8</v>
      </c>
      <c r="E401" s="3">
        <f t="shared" si="19"/>
        <v>3</v>
      </c>
      <c r="F401" s="5">
        <v>44230.625</v>
      </c>
      <c r="G401" s="19" t="str">
        <f t="shared" si="20"/>
        <v/>
      </c>
      <c r="J401" s="28">
        <f t="shared" si="21"/>
        <v>0.15445026178010468</v>
      </c>
    </row>
    <row r="402" spans="1:10">
      <c r="A402" s="3">
        <v>373</v>
      </c>
      <c r="B402" t="s">
        <v>426</v>
      </c>
      <c r="C402" t="s">
        <v>8</v>
      </c>
      <c r="E402" s="3">
        <f t="shared" si="19"/>
        <v>4</v>
      </c>
      <c r="F402" s="5">
        <v>44231.625</v>
      </c>
      <c r="G402" s="19" t="str">
        <f t="shared" si="20"/>
        <v/>
      </c>
      <c r="J402" s="28">
        <f t="shared" si="21"/>
        <v>-0.14252873563218393</v>
      </c>
    </row>
    <row r="403" spans="1:10">
      <c r="A403" s="3">
        <v>367</v>
      </c>
      <c r="B403" t="s">
        <v>427</v>
      </c>
      <c r="C403" t="s">
        <v>8</v>
      </c>
      <c r="E403" s="3">
        <f t="shared" si="19"/>
        <v>5</v>
      </c>
      <c r="F403" s="5">
        <v>44232.625</v>
      </c>
      <c r="G403" s="19" t="str">
        <f t="shared" si="20"/>
        <v/>
      </c>
      <c r="J403" s="28">
        <f t="shared" si="21"/>
        <v>-2.9100529100529071E-2</v>
      </c>
    </row>
    <row r="404" spans="1:10">
      <c r="A404" s="3">
        <v>238</v>
      </c>
      <c r="B404" t="s">
        <v>428</v>
      </c>
      <c r="C404" t="s">
        <v>8</v>
      </c>
      <c r="E404" s="3">
        <f t="shared" si="19"/>
        <v>6</v>
      </c>
      <c r="F404" s="5">
        <v>44233.625</v>
      </c>
      <c r="G404" s="19" t="str">
        <f t="shared" si="20"/>
        <v/>
      </c>
      <c r="J404" s="28">
        <f t="shared" si="21"/>
        <v>2.5862068965517349E-2</v>
      </c>
    </row>
    <row r="405" spans="1:10">
      <c r="A405" s="3">
        <v>264</v>
      </c>
      <c r="B405" t="s">
        <v>429</v>
      </c>
      <c r="C405" t="s">
        <v>8</v>
      </c>
      <c r="E405" s="3">
        <f t="shared" si="19"/>
        <v>7</v>
      </c>
      <c r="F405" s="5">
        <v>44234.625</v>
      </c>
      <c r="G405" s="19" t="str">
        <f t="shared" si="20"/>
        <v/>
      </c>
      <c r="J405" s="28">
        <f t="shared" si="21"/>
        <v>-3.2967032967032961E-2</v>
      </c>
    </row>
    <row r="406" spans="1:10">
      <c r="A406" s="3">
        <v>461</v>
      </c>
      <c r="B406" t="s">
        <v>437</v>
      </c>
      <c r="C406" t="s">
        <v>8</v>
      </c>
      <c r="E406" s="3">
        <f t="shared" si="19"/>
        <v>1</v>
      </c>
      <c r="F406" s="5">
        <v>44235.625</v>
      </c>
      <c r="G406" s="19" t="str">
        <f t="shared" si="20"/>
        <v>2021-W06</v>
      </c>
      <c r="H406">
        <f>SUM(A406:A412)</f>
        <v>2557</v>
      </c>
      <c r="I406" s="28">
        <f>H406/H399-1</f>
        <v>-2.1431305013394519E-2</v>
      </c>
      <c r="J406" s="28">
        <f t="shared" si="21"/>
        <v>-0.13670411985018727</v>
      </c>
    </row>
    <row r="407" spans="1:10">
      <c r="A407" s="3">
        <v>372</v>
      </c>
      <c r="B407" t="s">
        <v>438</v>
      </c>
      <c r="C407" t="s">
        <v>8</v>
      </c>
      <c r="E407" s="3">
        <f t="shared" si="19"/>
        <v>2</v>
      </c>
      <c r="F407" s="5">
        <v>44236.625</v>
      </c>
      <c r="G407" s="19" t="str">
        <f t="shared" si="20"/>
        <v/>
      </c>
      <c r="J407" s="28">
        <f t="shared" si="21"/>
        <v>-6.0606060606060552E-2</v>
      </c>
    </row>
    <row r="408" spans="1:10">
      <c r="A408" s="3">
        <v>383</v>
      </c>
      <c r="B408" t="s">
        <v>439</v>
      </c>
      <c r="C408" t="s">
        <v>8</v>
      </c>
      <c r="E408" s="3">
        <f t="shared" si="19"/>
        <v>3</v>
      </c>
      <c r="F408" s="5">
        <v>44237.625</v>
      </c>
      <c r="G408" s="19" t="str">
        <f t="shared" si="20"/>
        <v/>
      </c>
      <c r="J408" s="28">
        <f t="shared" si="21"/>
        <v>-0.13151927437641719</v>
      </c>
    </row>
    <row r="409" spans="1:10">
      <c r="A409" s="3">
        <v>361</v>
      </c>
      <c r="B409" t="s">
        <v>440</v>
      </c>
      <c r="C409" t="s">
        <v>8</v>
      </c>
      <c r="E409" s="3">
        <f t="shared" si="19"/>
        <v>4</v>
      </c>
      <c r="F409" s="5">
        <v>44238.625</v>
      </c>
      <c r="G409" s="19" t="str">
        <f t="shared" si="20"/>
        <v/>
      </c>
      <c r="J409" s="28">
        <f t="shared" si="21"/>
        <v>-3.2171581769437019E-2</v>
      </c>
    </row>
    <row r="410" spans="1:10">
      <c r="A410" s="3">
        <v>419</v>
      </c>
      <c r="B410" t="s">
        <v>441</v>
      </c>
      <c r="C410" t="s">
        <v>8</v>
      </c>
      <c r="E410" s="3">
        <f t="shared" si="19"/>
        <v>5</v>
      </c>
      <c r="F410" s="5">
        <v>44239.625</v>
      </c>
      <c r="G410" s="19" t="str">
        <f t="shared" si="20"/>
        <v/>
      </c>
      <c r="J410" s="28">
        <f t="shared" si="21"/>
        <v>0.14168937329700282</v>
      </c>
    </row>
    <row r="411" spans="1:10">
      <c r="A411" s="3">
        <v>279</v>
      </c>
      <c r="B411" t="s">
        <v>442</v>
      </c>
      <c r="C411" t="s">
        <v>8</v>
      </c>
      <c r="E411" s="3">
        <f t="shared" si="19"/>
        <v>6</v>
      </c>
      <c r="F411" s="5">
        <v>44240.625</v>
      </c>
      <c r="G411" s="19" t="str">
        <f t="shared" si="20"/>
        <v/>
      </c>
      <c r="J411" s="28">
        <f t="shared" si="21"/>
        <v>0.17226890756302526</v>
      </c>
    </row>
    <row r="412" spans="1:10">
      <c r="A412" s="3">
        <v>282</v>
      </c>
      <c r="B412" t="s">
        <v>443</v>
      </c>
      <c r="C412" t="s">
        <v>8</v>
      </c>
      <c r="E412" s="3">
        <f t="shared" si="19"/>
        <v>7</v>
      </c>
      <c r="F412" s="5">
        <v>44241.625</v>
      </c>
      <c r="G412" s="19" t="str">
        <f t="shared" si="20"/>
        <v/>
      </c>
      <c r="J412" s="28">
        <f t="shared" si="21"/>
        <v>6.8181818181818121E-2</v>
      </c>
    </row>
    <row r="413" spans="1:10" s="10" customFormat="1">
      <c r="A413" s="14">
        <v>616</v>
      </c>
      <c r="B413" s="10" t="s">
        <v>444</v>
      </c>
      <c r="C413" s="10" t="s">
        <v>8</v>
      </c>
      <c r="E413" s="14">
        <f t="shared" si="19"/>
        <v>1</v>
      </c>
      <c r="F413" s="18">
        <v>44242.625</v>
      </c>
      <c r="G413" s="19" t="str">
        <f t="shared" si="20"/>
        <v>2021-W07</v>
      </c>
      <c r="H413" s="10">
        <f>SUM(A413:A419)</f>
        <v>3541</v>
      </c>
      <c r="I413" s="34">
        <f>H413/H406-1</f>
        <v>0.38482596793116941</v>
      </c>
      <c r="J413" s="28">
        <f t="shared" si="21"/>
        <v>0.33622559652928419</v>
      </c>
    </row>
    <row r="414" spans="1:10">
      <c r="A414" s="3">
        <v>514</v>
      </c>
      <c r="B414" t="s">
        <v>445</v>
      </c>
      <c r="C414" t="s">
        <v>8</v>
      </c>
      <c r="E414" s="3">
        <f t="shared" si="19"/>
        <v>2</v>
      </c>
      <c r="F414" s="5">
        <v>44243.625</v>
      </c>
      <c r="G414" s="19" t="str">
        <f t="shared" si="20"/>
        <v/>
      </c>
      <c r="J414" s="28">
        <f t="shared" si="21"/>
        <v>0.38172043010752699</v>
      </c>
    </row>
    <row r="415" spans="1:10">
      <c r="A415" s="3">
        <v>553</v>
      </c>
      <c r="B415" t="s">
        <v>446</v>
      </c>
      <c r="C415" t="s">
        <v>8</v>
      </c>
      <c r="E415" s="3">
        <f t="shared" si="19"/>
        <v>3</v>
      </c>
      <c r="F415" s="5">
        <v>44244.625</v>
      </c>
      <c r="G415" s="19" t="str">
        <f t="shared" si="20"/>
        <v/>
      </c>
      <c r="J415" s="28">
        <f t="shared" si="21"/>
        <v>0.44386422976501305</v>
      </c>
    </row>
    <row r="416" spans="1:10">
      <c r="A416" s="3">
        <v>611</v>
      </c>
      <c r="B416" t="s">
        <v>447</v>
      </c>
      <c r="C416" t="s">
        <v>8</v>
      </c>
      <c r="E416" s="3">
        <f t="shared" si="19"/>
        <v>4</v>
      </c>
      <c r="F416" s="5">
        <v>44245.625</v>
      </c>
      <c r="G416" s="19" t="str">
        <f t="shared" si="20"/>
        <v/>
      </c>
      <c r="J416" s="28">
        <f t="shared" si="21"/>
        <v>0.69252077562326875</v>
      </c>
    </row>
    <row r="417" spans="1:10">
      <c r="A417" s="3">
        <v>573</v>
      </c>
      <c r="B417" t="s">
        <v>448</v>
      </c>
      <c r="C417" t="s">
        <v>8</v>
      </c>
      <c r="E417" s="3">
        <f t="shared" si="19"/>
        <v>5</v>
      </c>
      <c r="F417" s="5">
        <v>44246.625</v>
      </c>
      <c r="G417" s="19" t="str">
        <f t="shared" si="20"/>
        <v/>
      </c>
      <c r="J417" s="28">
        <f t="shared" si="21"/>
        <v>0.36754176610978528</v>
      </c>
    </row>
    <row r="418" spans="1:10">
      <c r="A418" s="3">
        <v>318</v>
      </c>
      <c r="B418" t="s">
        <v>450</v>
      </c>
      <c r="C418" t="s">
        <v>8</v>
      </c>
      <c r="E418" s="3">
        <f t="shared" si="19"/>
        <v>6</v>
      </c>
      <c r="F418" s="5">
        <v>44247.625</v>
      </c>
      <c r="G418" s="19" t="str">
        <f t="shared" si="20"/>
        <v/>
      </c>
      <c r="J418" s="28">
        <f t="shared" si="21"/>
        <v>0.13978494623655924</v>
      </c>
    </row>
    <row r="419" spans="1:10">
      <c r="A419" s="3">
        <v>356</v>
      </c>
      <c r="B419" t="s">
        <v>451</v>
      </c>
      <c r="C419" t="s">
        <v>8</v>
      </c>
      <c r="E419" s="3">
        <f t="shared" si="19"/>
        <v>7</v>
      </c>
      <c r="F419" s="5">
        <v>44248.625</v>
      </c>
      <c r="G419" s="19" t="str">
        <f t="shared" si="20"/>
        <v/>
      </c>
      <c r="J419" s="28">
        <f t="shared" si="21"/>
        <v>0.26241134751773054</v>
      </c>
    </row>
    <row r="420" spans="1:10">
      <c r="A420" s="3">
        <v>623</v>
      </c>
      <c r="B420" t="s">
        <v>452</v>
      </c>
      <c r="C420" t="s">
        <v>8</v>
      </c>
      <c r="E420" s="3">
        <f t="shared" si="19"/>
        <v>1</v>
      </c>
      <c r="F420" s="5">
        <v>44249.625</v>
      </c>
      <c r="G420" s="19" t="str">
        <f t="shared" si="20"/>
        <v>2021-W08</v>
      </c>
      <c r="H420">
        <f>SUM(A420:A426)</f>
        <v>3985</v>
      </c>
      <c r="I420" s="28">
        <f>H420/H413-1</f>
        <v>0.12538830838746118</v>
      </c>
      <c r="J420" s="28">
        <f t="shared" si="21"/>
        <v>1.1363636363636465E-2</v>
      </c>
    </row>
    <row r="421" spans="1:10">
      <c r="A421" s="3">
        <v>626</v>
      </c>
      <c r="B421" t="s">
        <v>455</v>
      </c>
      <c r="C421" t="s">
        <v>8</v>
      </c>
      <c r="E421" s="3">
        <f t="shared" si="19"/>
        <v>2</v>
      </c>
      <c r="F421" s="5">
        <v>44250.625</v>
      </c>
      <c r="G421" s="19" t="str">
        <f t="shared" si="20"/>
        <v/>
      </c>
      <c r="J421" s="28">
        <f t="shared" si="21"/>
        <v>0.21789883268482479</v>
      </c>
    </row>
    <row r="422" spans="1:10">
      <c r="A422" s="3">
        <v>598</v>
      </c>
      <c r="B422" t="s">
        <v>461</v>
      </c>
      <c r="C422" t="s">
        <v>8</v>
      </c>
      <c r="E422" s="3">
        <f t="shared" si="19"/>
        <v>3</v>
      </c>
      <c r="F422" s="5">
        <v>44251.625</v>
      </c>
      <c r="G422" s="19" t="str">
        <f t="shared" si="20"/>
        <v/>
      </c>
      <c r="J422" s="28">
        <f t="shared" si="21"/>
        <v>8.1374321880651079E-2</v>
      </c>
    </row>
    <row r="423" spans="1:10">
      <c r="A423" s="3">
        <v>629</v>
      </c>
      <c r="B423" t="s">
        <v>463</v>
      </c>
      <c r="C423" t="s">
        <v>8</v>
      </c>
      <c r="E423" s="3">
        <f t="shared" si="19"/>
        <v>4</v>
      </c>
      <c r="F423" s="5">
        <v>44252.625</v>
      </c>
      <c r="G423" s="19" t="str">
        <f t="shared" si="20"/>
        <v/>
      </c>
      <c r="J423" s="28">
        <f t="shared" si="21"/>
        <v>2.9459901800327426E-2</v>
      </c>
    </row>
    <row r="424" spans="1:10">
      <c r="A424" s="3">
        <v>686</v>
      </c>
      <c r="B424" t="s">
        <v>464</v>
      </c>
      <c r="C424" t="s">
        <v>8</v>
      </c>
      <c r="E424" s="3">
        <f t="shared" si="19"/>
        <v>5</v>
      </c>
      <c r="F424" s="5">
        <v>44253.625</v>
      </c>
      <c r="G424" s="19" t="str">
        <f t="shared" si="20"/>
        <v/>
      </c>
      <c r="J424" s="28">
        <f t="shared" si="21"/>
        <v>0.19720767888307145</v>
      </c>
    </row>
    <row r="425" spans="1:10">
      <c r="A425" s="3">
        <v>401</v>
      </c>
      <c r="B425" t="s">
        <v>469</v>
      </c>
      <c r="C425" t="s">
        <v>8</v>
      </c>
      <c r="E425" s="3">
        <f t="shared" si="19"/>
        <v>6</v>
      </c>
      <c r="F425" s="5">
        <v>44254.625</v>
      </c>
      <c r="G425" s="19" t="str">
        <f t="shared" si="20"/>
        <v/>
      </c>
      <c r="J425" s="28">
        <f t="shared" si="21"/>
        <v>0.26100628930817615</v>
      </c>
    </row>
    <row r="426" spans="1:10">
      <c r="A426" s="3">
        <v>422</v>
      </c>
      <c r="B426" t="s">
        <v>470</v>
      </c>
      <c r="C426" t="s">
        <v>8</v>
      </c>
      <c r="E426" s="3">
        <f t="shared" si="19"/>
        <v>7</v>
      </c>
      <c r="F426" s="5">
        <v>44255.625</v>
      </c>
      <c r="G426" s="19" t="str">
        <f t="shared" si="20"/>
        <v/>
      </c>
      <c r="J426" s="28">
        <f t="shared" si="21"/>
        <v>0.18539325842696619</v>
      </c>
    </row>
    <row r="427" spans="1:10">
      <c r="A427" s="3">
        <v>875</v>
      </c>
      <c r="B427" t="s">
        <v>471</v>
      </c>
      <c r="C427" t="s">
        <v>8</v>
      </c>
      <c r="E427" s="3">
        <f t="shared" si="19"/>
        <v>1</v>
      </c>
      <c r="F427" s="5">
        <v>44256.625</v>
      </c>
      <c r="G427" s="19" t="str">
        <f t="shared" si="20"/>
        <v>2021-W09</v>
      </c>
      <c r="H427">
        <f>SUM(A427:A433)</f>
        <v>4463</v>
      </c>
      <c r="I427" s="28">
        <f>H427/H420-1</f>
        <v>0.11994981179422837</v>
      </c>
      <c r="J427" s="28">
        <f t="shared" si="21"/>
        <v>0.40449438202247201</v>
      </c>
    </row>
    <row r="428" spans="1:10">
      <c r="A428" s="3">
        <v>758</v>
      </c>
      <c r="B428" t="s">
        <v>472</v>
      </c>
      <c r="C428" t="s">
        <v>8</v>
      </c>
      <c r="E428" s="3">
        <f t="shared" si="19"/>
        <v>2</v>
      </c>
      <c r="F428" s="5">
        <v>44257.625</v>
      </c>
      <c r="G428" s="19" t="str">
        <f t="shared" si="20"/>
        <v/>
      </c>
      <c r="J428" s="28">
        <f t="shared" si="21"/>
        <v>0.21086261980830678</v>
      </c>
    </row>
    <row r="429" spans="1:10">
      <c r="A429" s="3">
        <v>732</v>
      </c>
      <c r="B429" t="s">
        <v>473</v>
      </c>
      <c r="C429" t="s">
        <v>8</v>
      </c>
      <c r="E429" s="3">
        <f t="shared" si="19"/>
        <v>3</v>
      </c>
      <c r="F429" s="5">
        <v>44258.625</v>
      </c>
      <c r="G429" s="19" t="str">
        <f t="shared" si="20"/>
        <v/>
      </c>
      <c r="J429" s="28">
        <f t="shared" si="21"/>
        <v>0.2240802675585285</v>
      </c>
    </row>
    <row r="430" spans="1:10">
      <c r="A430" s="3">
        <v>640</v>
      </c>
      <c r="B430" t="s">
        <v>474</v>
      </c>
      <c r="C430" t="s">
        <v>8</v>
      </c>
      <c r="E430" s="3">
        <f t="shared" si="19"/>
        <v>4</v>
      </c>
      <c r="F430" s="5">
        <v>44259.625</v>
      </c>
      <c r="G430" s="19" t="str">
        <f t="shared" si="20"/>
        <v/>
      </c>
      <c r="J430" s="28">
        <f t="shared" si="21"/>
        <v>1.7488076311605649E-2</v>
      </c>
    </row>
    <row r="431" spans="1:10">
      <c r="A431" s="3">
        <v>630</v>
      </c>
      <c r="B431" t="s">
        <v>475</v>
      </c>
      <c r="C431" t="s">
        <v>8</v>
      </c>
      <c r="E431" s="3">
        <f t="shared" si="19"/>
        <v>5</v>
      </c>
      <c r="F431" s="5">
        <v>44260.625</v>
      </c>
      <c r="G431" s="19" t="str">
        <f t="shared" si="20"/>
        <v/>
      </c>
      <c r="J431" s="28">
        <f t="shared" si="21"/>
        <v>-8.1632653061224469E-2</v>
      </c>
    </row>
    <row r="432" spans="1:10">
      <c r="A432" s="3">
        <v>433</v>
      </c>
      <c r="B432" t="s">
        <v>476</v>
      </c>
      <c r="C432" t="s">
        <v>8</v>
      </c>
      <c r="E432" s="3">
        <f t="shared" si="19"/>
        <v>6</v>
      </c>
      <c r="F432" s="5">
        <v>44261.625</v>
      </c>
      <c r="G432" s="19" t="str">
        <f t="shared" si="20"/>
        <v/>
      </c>
      <c r="J432" s="28">
        <f t="shared" si="21"/>
        <v>7.9800498753117122E-2</v>
      </c>
    </row>
    <row r="433" spans="1:10">
      <c r="A433" s="3">
        <v>395</v>
      </c>
      <c r="B433" t="s">
        <v>477</v>
      </c>
      <c r="C433" t="s">
        <v>8</v>
      </c>
      <c r="E433" s="3">
        <f t="shared" si="19"/>
        <v>7</v>
      </c>
      <c r="F433" s="5">
        <v>44262.625</v>
      </c>
      <c r="G433" s="19" t="str">
        <f t="shared" si="20"/>
        <v/>
      </c>
      <c r="J433" s="28">
        <f t="shared" si="21"/>
        <v>-6.3981042654028486E-2</v>
      </c>
    </row>
    <row r="434" spans="1:10">
      <c r="A434" s="3">
        <v>834</v>
      </c>
      <c r="B434" t="s">
        <v>478</v>
      </c>
      <c r="C434" t="s">
        <v>8</v>
      </c>
      <c r="E434" s="3">
        <f t="shared" si="19"/>
        <v>1</v>
      </c>
      <c r="F434" s="5">
        <v>44263.625</v>
      </c>
      <c r="G434" s="19" t="str">
        <f t="shared" si="20"/>
        <v>2021-W10</v>
      </c>
      <c r="H434">
        <f>SUM(A434:A440)</f>
        <v>4941</v>
      </c>
      <c r="I434" s="28">
        <f>H434/H427-1</f>
        <v>0.10710284561953842</v>
      </c>
      <c r="J434" s="28">
        <f t="shared" si="21"/>
        <v>-4.6857142857142819E-2</v>
      </c>
    </row>
    <row r="435" spans="1:10">
      <c r="A435" s="3">
        <v>773</v>
      </c>
      <c r="B435" t="s">
        <v>479</v>
      </c>
      <c r="C435" t="s">
        <v>8</v>
      </c>
      <c r="E435" s="3">
        <f t="shared" si="19"/>
        <v>2</v>
      </c>
      <c r="F435" s="5">
        <v>44264.625</v>
      </c>
      <c r="G435" s="19" t="str">
        <f t="shared" si="20"/>
        <v/>
      </c>
      <c r="J435" s="28">
        <f t="shared" si="21"/>
        <v>1.978891820580464E-2</v>
      </c>
    </row>
    <row r="436" spans="1:10">
      <c r="A436" s="3">
        <v>822</v>
      </c>
      <c r="B436" t="s">
        <v>480</v>
      </c>
      <c r="C436" t="s">
        <v>8</v>
      </c>
      <c r="E436" s="3">
        <f t="shared" si="19"/>
        <v>3</v>
      </c>
      <c r="F436" s="5">
        <v>44265.625</v>
      </c>
      <c r="G436" s="19" t="str">
        <f t="shared" si="20"/>
        <v/>
      </c>
      <c r="J436" s="28">
        <f t="shared" si="21"/>
        <v>0.12295081967213117</v>
      </c>
    </row>
    <row r="437" spans="1:10">
      <c r="A437" s="3">
        <v>779</v>
      </c>
      <c r="B437" t="s">
        <v>481</v>
      </c>
      <c r="C437" t="s">
        <v>8</v>
      </c>
      <c r="E437" s="3">
        <f t="shared" si="19"/>
        <v>4</v>
      </c>
      <c r="F437" s="5">
        <v>44266.625</v>
      </c>
      <c r="G437" s="19" t="str">
        <f t="shared" si="20"/>
        <v/>
      </c>
      <c r="J437" s="28">
        <f t="shared" si="21"/>
        <v>0.21718750000000009</v>
      </c>
    </row>
    <row r="438" spans="1:10">
      <c r="A438" s="3">
        <v>808</v>
      </c>
      <c r="B438" t="s">
        <v>482</v>
      </c>
      <c r="C438" t="s">
        <v>8</v>
      </c>
      <c r="E438" s="3">
        <f t="shared" si="19"/>
        <v>5</v>
      </c>
      <c r="F438" s="5">
        <v>44267.625</v>
      </c>
      <c r="G438" s="19" t="str">
        <f t="shared" si="20"/>
        <v/>
      </c>
      <c r="J438" s="28">
        <f t="shared" si="21"/>
        <v>0.28253968253968265</v>
      </c>
    </row>
    <row r="439" spans="1:10">
      <c r="A439" s="3">
        <v>491</v>
      </c>
      <c r="B439" t="s">
        <v>483</v>
      </c>
      <c r="C439" t="s">
        <v>8</v>
      </c>
      <c r="E439" s="3">
        <f t="shared" si="19"/>
        <v>6</v>
      </c>
      <c r="F439" s="5">
        <v>44268.625</v>
      </c>
      <c r="G439" s="19" t="str">
        <f t="shared" si="20"/>
        <v/>
      </c>
      <c r="J439" s="28">
        <f t="shared" si="21"/>
        <v>0.13394919168591235</v>
      </c>
    </row>
    <row r="440" spans="1:10">
      <c r="A440" s="3">
        <v>434</v>
      </c>
      <c r="B440" t="s">
        <v>484</v>
      </c>
      <c r="C440" t="s">
        <v>8</v>
      </c>
      <c r="E440" s="3">
        <f t="shared" si="19"/>
        <v>7</v>
      </c>
      <c r="F440" s="5">
        <v>44269.625</v>
      </c>
      <c r="G440" s="19" t="str">
        <f t="shared" si="20"/>
        <v/>
      </c>
      <c r="J440" s="28">
        <f t="shared" si="21"/>
        <v>9.8734177215189955E-2</v>
      </c>
    </row>
    <row r="441" spans="1:10">
      <c r="A441" s="3">
        <v>892</v>
      </c>
      <c r="B441" t="s">
        <v>485</v>
      </c>
      <c r="C441" t="s">
        <v>8</v>
      </c>
      <c r="E441" s="3">
        <f t="shared" si="19"/>
        <v>1</v>
      </c>
      <c r="F441" s="5">
        <v>44270.625</v>
      </c>
      <c r="G441" s="19" t="str">
        <f t="shared" si="20"/>
        <v>2021-W11</v>
      </c>
      <c r="H441">
        <f>SUM(A441:A447)</f>
        <v>4706</v>
      </c>
      <c r="I441" s="28">
        <f>H441/H434-1</f>
        <v>-4.7561222424610361E-2</v>
      </c>
      <c r="J441" s="28">
        <f t="shared" si="21"/>
        <v>6.9544364508393297E-2</v>
      </c>
    </row>
    <row r="442" spans="1:10">
      <c r="A442" s="3">
        <v>767</v>
      </c>
      <c r="B442" t="s">
        <v>486</v>
      </c>
      <c r="C442" t="s">
        <v>8</v>
      </c>
      <c r="E442" s="3">
        <f t="shared" si="19"/>
        <v>2</v>
      </c>
      <c r="F442" s="5">
        <v>44271.625</v>
      </c>
      <c r="G442" s="19" t="str">
        <f t="shared" si="20"/>
        <v/>
      </c>
      <c r="J442" s="28">
        <f t="shared" si="21"/>
        <v>-7.7619663648124115E-3</v>
      </c>
    </row>
    <row r="443" spans="1:10">
      <c r="A443" s="3">
        <v>743</v>
      </c>
      <c r="B443" t="s">
        <v>487</v>
      </c>
      <c r="C443" t="s">
        <v>8</v>
      </c>
      <c r="E443" s="3">
        <f t="shared" si="19"/>
        <v>3</v>
      </c>
      <c r="F443" s="5">
        <v>44272.625</v>
      </c>
      <c r="G443" s="19" t="str">
        <f t="shared" si="20"/>
        <v/>
      </c>
      <c r="J443" s="28">
        <f t="shared" si="21"/>
        <v>-9.6107055961070609E-2</v>
      </c>
    </row>
    <row r="444" spans="1:10">
      <c r="A444" s="3">
        <v>735</v>
      </c>
      <c r="B444" t="s">
        <v>488</v>
      </c>
      <c r="C444" t="s">
        <v>8</v>
      </c>
      <c r="E444" s="3">
        <f t="shared" si="19"/>
        <v>4</v>
      </c>
      <c r="F444" s="5">
        <v>44273.625</v>
      </c>
      <c r="G444" s="19" t="str">
        <f t="shared" si="20"/>
        <v/>
      </c>
      <c r="J444" s="28">
        <f t="shared" si="21"/>
        <v>-5.6482670089858744E-2</v>
      </c>
    </row>
    <row r="445" spans="1:10">
      <c r="A445" s="3">
        <v>745</v>
      </c>
      <c r="B445" t="s">
        <v>489</v>
      </c>
      <c r="C445" t="s">
        <v>8</v>
      </c>
      <c r="E445" s="3">
        <f t="shared" si="19"/>
        <v>5</v>
      </c>
      <c r="F445" s="5">
        <v>44274.625</v>
      </c>
      <c r="G445" s="19" t="str">
        <f t="shared" si="20"/>
        <v/>
      </c>
      <c r="J445" s="28">
        <f t="shared" si="21"/>
        <v>-7.7970297029702929E-2</v>
      </c>
    </row>
    <row r="446" spans="1:10">
      <c r="A446" s="3">
        <v>404</v>
      </c>
      <c r="B446" t="s">
        <v>490</v>
      </c>
      <c r="C446" t="s">
        <v>8</v>
      </c>
      <c r="E446" s="3">
        <f t="shared" si="19"/>
        <v>6</v>
      </c>
      <c r="F446" s="5">
        <v>44275.625</v>
      </c>
      <c r="G446" s="19" t="str">
        <f t="shared" si="20"/>
        <v/>
      </c>
      <c r="J446" s="28">
        <f t="shared" si="21"/>
        <v>-0.17718940936863548</v>
      </c>
    </row>
    <row r="447" spans="1:10">
      <c r="A447" s="3">
        <v>420</v>
      </c>
      <c r="B447" t="s">
        <v>491</v>
      </c>
      <c r="C447" t="s">
        <v>8</v>
      </c>
      <c r="E447" s="3">
        <f t="shared" ref="E447:E510" si="22">WEEKDAY(F447,2)</f>
        <v>7</v>
      </c>
      <c r="F447" s="5">
        <v>44276.625</v>
      </c>
      <c r="G447" s="19" t="str">
        <f t="shared" si="20"/>
        <v/>
      </c>
      <c r="J447" s="28">
        <f t="shared" si="21"/>
        <v>-3.2258064516129004E-2</v>
      </c>
    </row>
    <row r="448" spans="1:10">
      <c r="A448" s="3">
        <v>769</v>
      </c>
      <c r="B448" t="s">
        <v>492</v>
      </c>
      <c r="C448" t="s">
        <v>8</v>
      </c>
      <c r="E448" s="3">
        <f t="shared" si="22"/>
        <v>1</v>
      </c>
      <c r="F448" s="5">
        <v>44277.625</v>
      </c>
      <c r="G448" s="19" t="str">
        <f t="shared" si="20"/>
        <v>2021-W12</v>
      </c>
      <c r="H448">
        <f>SUM(A448:A454)</f>
        <v>4184</v>
      </c>
      <c r="I448" s="28">
        <f>H448/H441-1</f>
        <v>-0.11092222694432641</v>
      </c>
      <c r="J448" s="28">
        <f t="shared" si="21"/>
        <v>-0.13789237668161436</v>
      </c>
    </row>
    <row r="449" spans="1:10">
      <c r="A449" s="3">
        <v>703</v>
      </c>
      <c r="B449" t="s">
        <v>493</v>
      </c>
      <c r="C449" t="s">
        <v>8</v>
      </c>
      <c r="E449" s="3">
        <f t="shared" si="22"/>
        <v>2</v>
      </c>
      <c r="F449" s="5">
        <v>44278.625</v>
      </c>
      <c r="G449" s="19" t="str">
        <f t="shared" si="20"/>
        <v/>
      </c>
      <c r="J449" s="28">
        <f t="shared" si="21"/>
        <v>-8.3441981747066518E-2</v>
      </c>
    </row>
    <row r="450" spans="1:10">
      <c r="A450" s="3">
        <v>695</v>
      </c>
      <c r="B450" t="s">
        <v>494</v>
      </c>
      <c r="C450" t="s">
        <v>8</v>
      </c>
      <c r="E450" s="3">
        <f t="shared" si="22"/>
        <v>3</v>
      </c>
      <c r="F450" s="5">
        <v>44279.625</v>
      </c>
      <c r="G450" s="19" t="str">
        <f t="shared" si="20"/>
        <v/>
      </c>
      <c r="J450" s="28">
        <f t="shared" si="21"/>
        <v>-6.4602960969044387E-2</v>
      </c>
    </row>
    <row r="451" spans="1:10">
      <c r="A451" s="3">
        <v>606</v>
      </c>
      <c r="B451" t="s">
        <v>495</v>
      </c>
      <c r="C451" t="s">
        <v>8</v>
      </c>
      <c r="E451" s="3">
        <f t="shared" si="22"/>
        <v>4</v>
      </c>
      <c r="F451" s="5">
        <v>44280.625</v>
      </c>
      <c r="G451" s="19" t="str">
        <f t="shared" ref="G451:G514" si="23">IF(WEEKDAY(F451,2)=1,YEAR(F451)&amp;"-W"&amp;TEXT(WEEKNUM(F451,14),"00"),"")</f>
        <v/>
      </c>
      <c r="J451" s="28">
        <f t="shared" si="21"/>
        <v>-0.17551020408163265</v>
      </c>
    </row>
    <row r="452" spans="1:10">
      <c r="A452" s="3">
        <v>688</v>
      </c>
      <c r="B452" t="s">
        <v>496</v>
      </c>
      <c r="C452" t="s">
        <v>8</v>
      </c>
      <c r="E452" s="3">
        <f t="shared" si="22"/>
        <v>5</v>
      </c>
      <c r="F452" s="5">
        <v>44281.625</v>
      </c>
      <c r="G452" s="19" t="str">
        <f t="shared" si="23"/>
        <v/>
      </c>
      <c r="J452" s="28">
        <f t="shared" si="21"/>
        <v>-7.6510067114093916E-2</v>
      </c>
    </row>
    <row r="453" spans="1:10">
      <c r="A453" s="3">
        <v>351</v>
      </c>
      <c r="B453" t="s">
        <v>497</v>
      </c>
      <c r="C453" t="s">
        <v>8</v>
      </c>
      <c r="E453" s="3">
        <f t="shared" si="22"/>
        <v>6</v>
      </c>
      <c r="F453" s="5">
        <v>44282.625</v>
      </c>
      <c r="G453" s="19" t="str">
        <f t="shared" si="23"/>
        <v/>
      </c>
      <c r="J453" s="28">
        <f t="shared" si="21"/>
        <v>-0.13118811881188119</v>
      </c>
    </row>
    <row r="454" spans="1:10">
      <c r="A454" s="3">
        <v>372</v>
      </c>
      <c r="B454" t="s">
        <v>498</v>
      </c>
      <c r="C454" t="s">
        <v>8</v>
      </c>
      <c r="E454" s="3">
        <f t="shared" si="22"/>
        <v>7</v>
      </c>
      <c r="F454" s="5">
        <v>44283.625</v>
      </c>
      <c r="G454" s="19" t="str">
        <f t="shared" si="23"/>
        <v/>
      </c>
      <c r="J454" s="28">
        <f t="shared" si="21"/>
        <v>-0.11428571428571432</v>
      </c>
    </row>
    <row r="455" spans="1:10">
      <c r="A455" s="3">
        <v>654</v>
      </c>
      <c r="B455" t="s">
        <v>499</v>
      </c>
      <c r="C455" t="s">
        <v>8</v>
      </c>
      <c r="E455" s="3">
        <f t="shared" si="22"/>
        <v>1</v>
      </c>
      <c r="F455" s="5">
        <v>44284.625</v>
      </c>
      <c r="G455" s="19" t="str">
        <f t="shared" si="23"/>
        <v>2021-W13</v>
      </c>
      <c r="H455">
        <f>SUM(A455:A461)</f>
        <v>3263</v>
      </c>
      <c r="I455" s="28">
        <f>H455/H448-1</f>
        <v>-0.22012428298279163</v>
      </c>
      <c r="J455" s="28">
        <f t="shared" si="21"/>
        <v>-0.14954486345903772</v>
      </c>
    </row>
    <row r="456" spans="1:10">
      <c r="A456" s="3">
        <v>570</v>
      </c>
      <c r="B456" t="s">
        <v>500</v>
      </c>
      <c r="C456" t="s">
        <v>8</v>
      </c>
      <c r="E456" s="3">
        <f t="shared" si="22"/>
        <v>2</v>
      </c>
      <c r="F456" s="5">
        <v>44285.625</v>
      </c>
      <c r="G456" s="19" t="str">
        <f t="shared" si="23"/>
        <v/>
      </c>
      <c r="J456" s="28">
        <f t="shared" si="21"/>
        <v>-0.18918918918918914</v>
      </c>
    </row>
    <row r="457" spans="1:10">
      <c r="A457" s="3">
        <v>550</v>
      </c>
      <c r="B457" t="s">
        <v>501</v>
      </c>
      <c r="C457" t="s">
        <v>8</v>
      </c>
      <c r="E457" s="3">
        <f t="shared" si="22"/>
        <v>3</v>
      </c>
      <c r="F457" s="5">
        <v>44286.625</v>
      </c>
      <c r="G457" s="19" t="str">
        <f t="shared" si="23"/>
        <v/>
      </c>
      <c r="J457" s="28">
        <f t="shared" ref="J457:J520" si="24">A457/A450-1</f>
        <v>-0.20863309352517989</v>
      </c>
    </row>
    <row r="458" spans="1:10">
      <c r="A458" s="3">
        <v>486</v>
      </c>
      <c r="B458" t="s">
        <v>502</v>
      </c>
      <c r="C458" t="s">
        <v>8</v>
      </c>
      <c r="E458" s="3">
        <f t="shared" si="22"/>
        <v>4</v>
      </c>
      <c r="F458" s="5">
        <v>44287.625</v>
      </c>
      <c r="G458" s="19" t="str">
        <f t="shared" si="23"/>
        <v/>
      </c>
      <c r="J458" s="28">
        <f t="shared" si="24"/>
        <v>-0.19801980198019797</v>
      </c>
    </row>
    <row r="459" spans="1:10">
      <c r="A459" s="3">
        <v>361</v>
      </c>
      <c r="B459" t="s">
        <v>503</v>
      </c>
      <c r="C459" t="s">
        <v>8</v>
      </c>
      <c r="E459" s="3">
        <f t="shared" si="22"/>
        <v>5</v>
      </c>
      <c r="F459" s="5">
        <v>44288.625</v>
      </c>
      <c r="G459" s="19" t="str">
        <f t="shared" si="23"/>
        <v/>
      </c>
      <c r="J459" s="28">
        <f t="shared" si="24"/>
        <v>-0.47529069767441856</v>
      </c>
    </row>
    <row r="460" spans="1:10">
      <c r="A460" s="3">
        <v>320</v>
      </c>
      <c r="B460" t="s">
        <v>504</v>
      </c>
      <c r="C460" t="s">
        <v>8</v>
      </c>
      <c r="E460" s="3">
        <f t="shared" si="22"/>
        <v>6</v>
      </c>
      <c r="F460" s="5">
        <v>44289.625</v>
      </c>
      <c r="G460" s="19" t="str">
        <f t="shared" si="23"/>
        <v/>
      </c>
      <c r="J460" s="28">
        <f t="shared" si="24"/>
        <v>-8.8319088319088301E-2</v>
      </c>
    </row>
    <row r="461" spans="1:10">
      <c r="A461" s="3">
        <v>322</v>
      </c>
      <c r="B461" t="s">
        <v>505</v>
      </c>
      <c r="C461" t="s">
        <v>8</v>
      </c>
      <c r="E461" s="3">
        <f t="shared" si="22"/>
        <v>7</v>
      </c>
      <c r="F461" s="5">
        <v>44290.625</v>
      </c>
      <c r="G461" s="19" t="str">
        <f t="shared" si="23"/>
        <v/>
      </c>
      <c r="J461" s="28">
        <f t="shared" si="24"/>
        <v>-0.13440860215053763</v>
      </c>
    </row>
    <row r="462" spans="1:10">
      <c r="A462" s="3">
        <v>359</v>
      </c>
      <c r="B462" t="s">
        <v>506</v>
      </c>
      <c r="C462" t="s">
        <v>8</v>
      </c>
      <c r="E462" s="3">
        <f t="shared" si="22"/>
        <v>1</v>
      </c>
      <c r="F462" s="5">
        <v>44291.625</v>
      </c>
      <c r="G462" s="19" t="str">
        <f t="shared" si="23"/>
        <v>2021-W14</v>
      </c>
      <c r="H462">
        <f>SUM(A462:A468)</f>
        <v>2553</v>
      </c>
      <c r="I462" s="28">
        <f>H462/H455-1</f>
        <v>-0.21759117376647252</v>
      </c>
      <c r="J462" s="28">
        <f t="shared" si="24"/>
        <v>-0.45107033639143734</v>
      </c>
    </row>
    <row r="463" spans="1:10">
      <c r="A463" s="3">
        <v>545</v>
      </c>
      <c r="B463" t="s">
        <v>507</v>
      </c>
      <c r="C463" t="s">
        <v>8</v>
      </c>
      <c r="E463" s="3">
        <f t="shared" si="22"/>
        <v>2</v>
      </c>
      <c r="F463" s="5">
        <v>44292.625</v>
      </c>
      <c r="G463" s="19" t="str">
        <f t="shared" si="23"/>
        <v/>
      </c>
      <c r="J463" s="28">
        <f t="shared" si="24"/>
        <v>-4.3859649122807043E-2</v>
      </c>
    </row>
    <row r="464" spans="1:10">
      <c r="A464" s="3">
        <v>426</v>
      </c>
      <c r="B464" t="s">
        <v>508</v>
      </c>
      <c r="C464" t="s">
        <v>8</v>
      </c>
      <c r="E464" s="3">
        <f t="shared" si="22"/>
        <v>3</v>
      </c>
      <c r="F464" s="5">
        <v>44293.625</v>
      </c>
      <c r="G464" s="19" t="str">
        <f t="shared" si="23"/>
        <v/>
      </c>
      <c r="J464" s="28">
        <f t="shared" si="24"/>
        <v>-0.22545454545454546</v>
      </c>
    </row>
    <row r="465" spans="1:10">
      <c r="A465" s="3">
        <v>407</v>
      </c>
      <c r="B465" t="s">
        <v>509</v>
      </c>
      <c r="C465" t="s">
        <v>8</v>
      </c>
      <c r="E465" s="3">
        <f t="shared" si="22"/>
        <v>4</v>
      </c>
      <c r="F465" s="5">
        <v>44294.625</v>
      </c>
      <c r="G465" s="19" t="str">
        <f t="shared" si="23"/>
        <v/>
      </c>
      <c r="J465" s="28">
        <f t="shared" si="24"/>
        <v>-0.16255144032921809</v>
      </c>
    </row>
    <row r="466" spans="1:10">
      <c r="A466" s="3">
        <v>351</v>
      </c>
      <c r="B466" t="s">
        <v>510</v>
      </c>
      <c r="C466" t="s">
        <v>8</v>
      </c>
      <c r="E466" s="3">
        <f t="shared" si="22"/>
        <v>5</v>
      </c>
      <c r="F466" s="5">
        <v>44295.625</v>
      </c>
      <c r="G466" s="19" t="str">
        <f t="shared" si="23"/>
        <v/>
      </c>
      <c r="J466" s="28">
        <f t="shared" si="24"/>
        <v>-2.7700831024930705E-2</v>
      </c>
    </row>
    <row r="467" spans="1:10">
      <c r="A467" s="3">
        <v>226</v>
      </c>
      <c r="B467" t="s">
        <v>511</v>
      </c>
      <c r="C467" t="s">
        <v>8</v>
      </c>
      <c r="E467" s="3">
        <f t="shared" si="22"/>
        <v>6</v>
      </c>
      <c r="F467" s="5">
        <v>44296.625</v>
      </c>
      <c r="G467" s="19" t="str">
        <f t="shared" si="23"/>
        <v/>
      </c>
      <c r="J467" s="28">
        <f t="shared" si="24"/>
        <v>-0.29374999999999996</v>
      </c>
    </row>
    <row r="468" spans="1:10">
      <c r="A468" s="3">
        <v>239</v>
      </c>
      <c r="B468" t="s">
        <v>512</v>
      </c>
      <c r="C468" t="s">
        <v>8</v>
      </c>
      <c r="E468" s="3">
        <f t="shared" si="22"/>
        <v>7</v>
      </c>
      <c r="F468" s="5">
        <v>44297.625</v>
      </c>
      <c r="G468" s="19" t="str">
        <f t="shared" si="23"/>
        <v/>
      </c>
      <c r="J468" s="28">
        <f t="shared" si="24"/>
        <v>-0.25776397515527949</v>
      </c>
    </row>
    <row r="469" spans="1:10">
      <c r="A469" s="3">
        <v>398</v>
      </c>
      <c r="B469" t="s">
        <v>513</v>
      </c>
      <c r="C469" t="s">
        <v>8</v>
      </c>
      <c r="E469" s="3">
        <f t="shared" si="22"/>
        <v>1</v>
      </c>
      <c r="F469" s="5">
        <v>44298.625</v>
      </c>
      <c r="G469" s="19" t="str">
        <f t="shared" si="23"/>
        <v>2021-W15</v>
      </c>
      <c r="H469">
        <f>SUM(A469:A475)</f>
        <v>1933</v>
      </c>
      <c r="I469" s="28">
        <f>H469/H462-1</f>
        <v>-0.2428515471993733</v>
      </c>
      <c r="J469" s="28">
        <f t="shared" si="24"/>
        <v>0.10863509749303613</v>
      </c>
    </row>
    <row r="470" spans="1:10">
      <c r="A470" s="3">
        <v>325</v>
      </c>
      <c r="B470" t="s">
        <v>514</v>
      </c>
      <c r="C470" t="s">
        <v>8</v>
      </c>
      <c r="E470" s="3">
        <f t="shared" si="22"/>
        <v>2</v>
      </c>
      <c r="F470" s="5">
        <v>44299.625</v>
      </c>
      <c r="G470" s="19" t="str">
        <f t="shared" si="23"/>
        <v/>
      </c>
      <c r="J470" s="28">
        <f t="shared" si="24"/>
        <v>-0.40366972477064222</v>
      </c>
    </row>
    <row r="471" spans="1:10">
      <c r="A471" s="3">
        <v>345</v>
      </c>
      <c r="B471" t="s">
        <v>515</v>
      </c>
      <c r="C471" t="s">
        <v>8</v>
      </c>
      <c r="E471" s="3">
        <f t="shared" si="22"/>
        <v>3</v>
      </c>
      <c r="F471" s="5">
        <v>44300.625</v>
      </c>
      <c r="G471" s="19" t="str">
        <f t="shared" si="23"/>
        <v/>
      </c>
      <c r="J471" s="28">
        <f t="shared" si="24"/>
        <v>-0.1901408450704225</v>
      </c>
    </row>
    <row r="472" spans="1:10">
      <c r="A472" s="3">
        <v>274</v>
      </c>
      <c r="B472" t="s">
        <v>516</v>
      </c>
      <c r="C472" t="s">
        <v>8</v>
      </c>
      <c r="E472" s="3">
        <f t="shared" si="22"/>
        <v>4</v>
      </c>
      <c r="F472" s="5">
        <v>44301.625</v>
      </c>
      <c r="G472" s="19" t="str">
        <f t="shared" si="23"/>
        <v/>
      </c>
      <c r="J472" s="28">
        <f t="shared" si="24"/>
        <v>-0.32678132678132676</v>
      </c>
    </row>
    <row r="473" spans="1:10">
      <c r="A473" s="3">
        <v>264</v>
      </c>
      <c r="B473" t="s">
        <v>517</v>
      </c>
      <c r="C473" t="s">
        <v>8</v>
      </c>
      <c r="E473" s="3">
        <f t="shared" si="22"/>
        <v>5</v>
      </c>
      <c r="F473" s="5">
        <v>44302.625</v>
      </c>
      <c r="G473" s="19" t="str">
        <f t="shared" si="23"/>
        <v/>
      </c>
      <c r="J473" s="28">
        <f t="shared" si="24"/>
        <v>-0.24786324786324787</v>
      </c>
    </row>
    <row r="474" spans="1:10">
      <c r="A474" s="3">
        <v>171</v>
      </c>
      <c r="B474" t="s">
        <v>518</v>
      </c>
      <c r="C474" t="s">
        <v>8</v>
      </c>
      <c r="E474" s="3">
        <f t="shared" si="22"/>
        <v>6</v>
      </c>
      <c r="F474" s="5">
        <v>44303.625</v>
      </c>
      <c r="G474" s="19" t="str">
        <f t="shared" si="23"/>
        <v/>
      </c>
      <c r="J474" s="28">
        <f t="shared" si="24"/>
        <v>-0.24336283185840712</v>
      </c>
    </row>
    <row r="475" spans="1:10">
      <c r="A475" s="3">
        <v>156</v>
      </c>
      <c r="B475" t="s">
        <v>519</v>
      </c>
      <c r="C475" t="s">
        <v>8</v>
      </c>
      <c r="E475" s="3">
        <f t="shared" si="22"/>
        <v>7</v>
      </c>
      <c r="F475" s="5">
        <v>44304.625</v>
      </c>
      <c r="G475" s="19" t="str">
        <f t="shared" si="23"/>
        <v/>
      </c>
      <c r="J475" s="28">
        <f t="shared" si="24"/>
        <v>-0.34728033472803344</v>
      </c>
    </row>
    <row r="476" spans="1:10">
      <c r="A476" s="3">
        <v>284</v>
      </c>
      <c r="B476" t="s">
        <v>520</v>
      </c>
      <c r="C476" t="s">
        <v>8</v>
      </c>
      <c r="E476" s="3">
        <f t="shared" si="22"/>
        <v>1</v>
      </c>
      <c r="F476" s="5">
        <v>44305.625</v>
      </c>
      <c r="G476" s="19" t="str">
        <f t="shared" si="23"/>
        <v>2021-W16</v>
      </c>
      <c r="H476">
        <f>SUM(A476:A482)</f>
        <v>1610</v>
      </c>
      <c r="I476" s="28">
        <f>H476/H469-1</f>
        <v>-0.16709777547853077</v>
      </c>
      <c r="J476" s="28">
        <f t="shared" si="24"/>
        <v>-0.28643216080402012</v>
      </c>
    </row>
    <row r="477" spans="1:10">
      <c r="A477" s="3">
        <v>285</v>
      </c>
      <c r="B477" t="s">
        <v>521</v>
      </c>
      <c r="C477" t="s">
        <v>8</v>
      </c>
      <c r="E477" s="3">
        <f t="shared" si="22"/>
        <v>2</v>
      </c>
      <c r="F477" s="5">
        <v>44306.625</v>
      </c>
      <c r="G477" s="19" t="str">
        <f t="shared" si="23"/>
        <v/>
      </c>
      <c r="J477" s="28">
        <f t="shared" si="24"/>
        <v>-0.12307692307692308</v>
      </c>
    </row>
    <row r="478" spans="1:10">
      <c r="A478" s="3">
        <v>233</v>
      </c>
      <c r="B478" t="s">
        <v>522</v>
      </c>
      <c r="C478" t="s">
        <v>8</v>
      </c>
      <c r="E478" s="3">
        <f t="shared" si="22"/>
        <v>3</v>
      </c>
      <c r="F478" s="5">
        <v>44307.625</v>
      </c>
      <c r="G478" s="19" t="str">
        <f t="shared" si="23"/>
        <v/>
      </c>
      <c r="J478" s="28">
        <f t="shared" si="24"/>
        <v>-0.32463768115942027</v>
      </c>
    </row>
    <row r="479" spans="1:10">
      <c r="A479" s="3">
        <v>258</v>
      </c>
      <c r="B479" t="s">
        <v>524</v>
      </c>
      <c r="C479" t="s">
        <v>8</v>
      </c>
      <c r="E479" s="3">
        <f t="shared" si="22"/>
        <v>4</v>
      </c>
      <c r="F479" s="5">
        <v>44308.625</v>
      </c>
      <c r="G479" s="19" t="str">
        <f t="shared" si="23"/>
        <v/>
      </c>
      <c r="J479" s="28">
        <f t="shared" si="24"/>
        <v>-5.8394160583941646E-2</v>
      </c>
    </row>
    <row r="480" spans="1:10">
      <c r="A480" s="3">
        <v>255</v>
      </c>
      <c r="B480" t="s">
        <v>525</v>
      </c>
      <c r="C480" t="s">
        <v>8</v>
      </c>
      <c r="E480" s="3">
        <f t="shared" si="22"/>
        <v>5</v>
      </c>
      <c r="F480" s="5">
        <v>44309.625</v>
      </c>
      <c r="G480" s="19" t="str">
        <f t="shared" si="23"/>
        <v/>
      </c>
      <c r="J480" s="28">
        <f t="shared" si="24"/>
        <v>-3.4090909090909061E-2</v>
      </c>
    </row>
    <row r="481" spans="1:10">
      <c r="A481" s="3">
        <v>155</v>
      </c>
      <c r="B481" t="s">
        <v>526</v>
      </c>
      <c r="C481" t="s">
        <v>8</v>
      </c>
      <c r="E481" s="3">
        <f t="shared" si="22"/>
        <v>6</v>
      </c>
      <c r="F481" s="5">
        <v>44310.625</v>
      </c>
      <c r="G481" s="19" t="str">
        <f t="shared" si="23"/>
        <v/>
      </c>
      <c r="J481" s="28">
        <f t="shared" si="24"/>
        <v>-9.3567251461988299E-2</v>
      </c>
    </row>
    <row r="482" spans="1:10">
      <c r="A482" s="3">
        <v>140</v>
      </c>
      <c r="B482" t="s">
        <v>527</v>
      </c>
      <c r="C482" t="s">
        <v>8</v>
      </c>
      <c r="E482" s="3">
        <f t="shared" si="22"/>
        <v>7</v>
      </c>
      <c r="F482" s="5">
        <v>44311.625</v>
      </c>
      <c r="G482" s="19" t="str">
        <f t="shared" si="23"/>
        <v/>
      </c>
      <c r="J482" s="28">
        <f t="shared" si="24"/>
        <v>-0.10256410256410253</v>
      </c>
    </row>
    <row r="483" spans="1:10">
      <c r="A483" s="3">
        <v>243</v>
      </c>
      <c r="B483" t="s">
        <v>528</v>
      </c>
      <c r="C483" t="s">
        <v>8</v>
      </c>
      <c r="E483" s="3">
        <f t="shared" si="22"/>
        <v>1</v>
      </c>
      <c r="F483" s="5">
        <v>44312.625</v>
      </c>
      <c r="G483" s="19" t="str">
        <f t="shared" si="23"/>
        <v>2021-W17</v>
      </c>
      <c r="H483">
        <f>SUM(A483:A489)</f>
        <v>1386</v>
      </c>
      <c r="I483" s="28">
        <f>H483/H476-1</f>
        <v>-0.13913043478260867</v>
      </c>
      <c r="J483" s="28">
        <f t="shared" si="24"/>
        <v>-0.14436619718309862</v>
      </c>
    </row>
    <row r="484" spans="1:10">
      <c r="A484" s="3">
        <v>228</v>
      </c>
      <c r="B484" t="s">
        <v>529</v>
      </c>
      <c r="C484" t="s">
        <v>8</v>
      </c>
      <c r="E484" s="3">
        <f t="shared" si="22"/>
        <v>2</v>
      </c>
      <c r="F484" s="5">
        <v>44313.625</v>
      </c>
      <c r="G484" s="19" t="str">
        <f t="shared" si="23"/>
        <v/>
      </c>
      <c r="J484" s="28">
        <f t="shared" si="24"/>
        <v>-0.19999999999999996</v>
      </c>
    </row>
    <row r="485" spans="1:10">
      <c r="A485" s="3">
        <v>274</v>
      </c>
      <c r="B485" t="s">
        <v>530</v>
      </c>
      <c r="C485" t="s">
        <v>8</v>
      </c>
      <c r="E485" s="3">
        <f t="shared" si="22"/>
        <v>3</v>
      </c>
      <c r="F485" s="5">
        <v>44314.625</v>
      </c>
      <c r="G485" s="19" t="str">
        <f t="shared" si="23"/>
        <v/>
      </c>
      <c r="J485" s="28">
        <f t="shared" si="24"/>
        <v>0.17596566523605151</v>
      </c>
    </row>
    <row r="486" spans="1:10">
      <c r="A486" s="3">
        <v>201</v>
      </c>
      <c r="B486" t="s">
        <v>531</v>
      </c>
      <c r="C486" t="s">
        <v>8</v>
      </c>
      <c r="E486" s="3">
        <f t="shared" si="22"/>
        <v>4</v>
      </c>
      <c r="F486" s="5">
        <v>44315.625</v>
      </c>
      <c r="G486" s="19" t="str">
        <f t="shared" si="23"/>
        <v/>
      </c>
      <c r="J486" s="28">
        <f t="shared" si="24"/>
        <v>-0.22093023255813948</v>
      </c>
    </row>
    <row r="487" spans="1:10">
      <c r="A487" s="3">
        <v>197</v>
      </c>
      <c r="B487" t="s">
        <v>532</v>
      </c>
      <c r="C487" t="s">
        <v>8</v>
      </c>
      <c r="E487" s="3">
        <f t="shared" si="22"/>
        <v>5</v>
      </c>
      <c r="F487" s="5">
        <v>44316.625</v>
      </c>
      <c r="G487" s="19" t="str">
        <f t="shared" si="23"/>
        <v/>
      </c>
      <c r="J487" s="28">
        <f t="shared" si="24"/>
        <v>-0.22745098039215683</v>
      </c>
    </row>
    <row r="488" spans="1:10">
      <c r="A488" s="3">
        <v>108</v>
      </c>
      <c r="B488" t="s">
        <v>533</v>
      </c>
      <c r="C488" t="s">
        <v>8</v>
      </c>
      <c r="E488" s="3">
        <f t="shared" si="22"/>
        <v>6</v>
      </c>
      <c r="F488" s="5">
        <v>44317.625</v>
      </c>
      <c r="G488" s="19" t="str">
        <f t="shared" si="23"/>
        <v/>
      </c>
      <c r="J488" s="28">
        <f t="shared" si="24"/>
        <v>-0.3032258064516129</v>
      </c>
    </row>
    <row r="489" spans="1:10">
      <c r="A489" s="3">
        <v>135</v>
      </c>
      <c r="B489" t="s">
        <v>534</v>
      </c>
      <c r="C489" t="s">
        <v>8</v>
      </c>
      <c r="E489" s="3">
        <f t="shared" si="22"/>
        <v>7</v>
      </c>
      <c r="F489" s="5">
        <v>44318.625</v>
      </c>
      <c r="G489" s="19" t="str">
        <f t="shared" si="23"/>
        <v/>
      </c>
      <c r="J489" s="28">
        <f t="shared" si="24"/>
        <v>-3.5714285714285698E-2</v>
      </c>
    </row>
    <row r="490" spans="1:10">
      <c r="A490" s="3">
        <v>318</v>
      </c>
      <c r="B490" t="s">
        <v>535</v>
      </c>
      <c r="C490" t="s">
        <v>8</v>
      </c>
      <c r="E490" s="3">
        <f t="shared" si="22"/>
        <v>1</v>
      </c>
      <c r="F490" s="5">
        <v>44319.625</v>
      </c>
      <c r="G490" s="19" t="str">
        <f t="shared" si="23"/>
        <v>2021-W18</v>
      </c>
      <c r="H490">
        <f>SUM(A490:A496)</f>
        <v>1503</v>
      </c>
      <c r="I490" s="28">
        <f>H490/H483-1</f>
        <v>8.4415584415584499E-2</v>
      </c>
      <c r="J490" s="28">
        <f t="shared" si="24"/>
        <v>0.30864197530864201</v>
      </c>
    </row>
    <row r="491" spans="1:10">
      <c r="A491" s="3">
        <v>205</v>
      </c>
      <c r="B491" t="s">
        <v>536</v>
      </c>
      <c r="C491" t="s">
        <v>8</v>
      </c>
      <c r="E491" s="3">
        <f t="shared" si="22"/>
        <v>2</v>
      </c>
      <c r="F491" s="5">
        <v>44320.625</v>
      </c>
      <c r="G491" s="19" t="str">
        <f t="shared" si="23"/>
        <v/>
      </c>
      <c r="J491" s="28">
        <f t="shared" si="24"/>
        <v>-0.10087719298245612</v>
      </c>
    </row>
    <row r="492" spans="1:10">
      <c r="A492" s="3">
        <v>266</v>
      </c>
      <c r="B492" t="s">
        <v>537</v>
      </c>
      <c r="C492" t="s">
        <v>8</v>
      </c>
      <c r="E492" s="3">
        <f t="shared" si="22"/>
        <v>3</v>
      </c>
      <c r="F492" s="5">
        <v>44321.625</v>
      </c>
      <c r="G492" s="19" t="str">
        <f t="shared" si="23"/>
        <v/>
      </c>
      <c r="J492" s="28">
        <f t="shared" si="24"/>
        <v>-2.9197080291970767E-2</v>
      </c>
    </row>
    <row r="493" spans="1:10">
      <c r="A493" s="3">
        <v>239</v>
      </c>
      <c r="B493" t="s">
        <v>539</v>
      </c>
      <c r="C493" t="s">
        <v>8</v>
      </c>
      <c r="E493" s="3">
        <f t="shared" si="22"/>
        <v>4</v>
      </c>
      <c r="F493" s="5">
        <v>44322.625</v>
      </c>
      <c r="G493" s="19" t="str">
        <f t="shared" si="23"/>
        <v/>
      </c>
      <c r="J493" s="28">
        <f t="shared" si="24"/>
        <v>0.18905472636815923</v>
      </c>
    </row>
    <row r="494" spans="1:10">
      <c r="A494" s="3">
        <v>214</v>
      </c>
      <c r="B494" t="s">
        <v>540</v>
      </c>
      <c r="C494" t="s">
        <v>8</v>
      </c>
      <c r="E494" s="3">
        <f t="shared" si="22"/>
        <v>5</v>
      </c>
      <c r="F494" s="5">
        <v>44323.625</v>
      </c>
      <c r="G494" s="19" t="str">
        <f t="shared" si="23"/>
        <v/>
      </c>
      <c r="J494" s="28">
        <f t="shared" si="24"/>
        <v>8.6294416243654748E-2</v>
      </c>
    </row>
    <row r="495" spans="1:10">
      <c r="A495" s="3">
        <v>131</v>
      </c>
      <c r="B495" t="s">
        <v>541</v>
      </c>
      <c r="C495" t="s">
        <v>8</v>
      </c>
      <c r="E495" s="3">
        <f t="shared" si="22"/>
        <v>6</v>
      </c>
      <c r="F495" s="5">
        <v>44324.625</v>
      </c>
      <c r="G495" s="19" t="str">
        <f t="shared" si="23"/>
        <v/>
      </c>
      <c r="J495" s="28">
        <f t="shared" si="24"/>
        <v>0.21296296296296302</v>
      </c>
    </row>
    <row r="496" spans="1:10">
      <c r="A496" s="3">
        <v>130</v>
      </c>
      <c r="B496" t="s">
        <v>542</v>
      </c>
      <c r="C496" t="s">
        <v>8</v>
      </c>
      <c r="E496" s="3">
        <f t="shared" si="22"/>
        <v>7</v>
      </c>
      <c r="F496" s="5">
        <v>44325.625</v>
      </c>
      <c r="G496" s="19" t="str">
        <f t="shared" si="23"/>
        <v/>
      </c>
      <c r="J496" s="28">
        <f t="shared" si="24"/>
        <v>-3.703703703703709E-2</v>
      </c>
    </row>
    <row r="497" spans="1:10">
      <c r="A497" s="3">
        <v>257</v>
      </c>
      <c r="B497" t="s">
        <v>543</v>
      </c>
      <c r="C497" t="s">
        <v>8</v>
      </c>
      <c r="E497" s="3">
        <f t="shared" si="22"/>
        <v>1</v>
      </c>
      <c r="F497" s="5">
        <v>44326.625</v>
      </c>
      <c r="G497" s="19" t="str">
        <f t="shared" si="23"/>
        <v>2021-W19</v>
      </c>
      <c r="H497">
        <f>SUM(A497:A503)</f>
        <v>1422</v>
      </c>
      <c r="I497" s="28">
        <f>H497/H490-1</f>
        <v>-5.3892215568862256E-2</v>
      </c>
      <c r="J497" s="28">
        <f t="shared" si="24"/>
        <v>-0.19182389937106914</v>
      </c>
    </row>
    <row r="498" spans="1:10">
      <c r="A498" s="3">
        <v>215</v>
      </c>
      <c r="B498" t="s">
        <v>544</v>
      </c>
      <c r="C498" t="s">
        <v>8</v>
      </c>
      <c r="E498" s="3">
        <f t="shared" si="22"/>
        <v>2</v>
      </c>
      <c r="F498" s="5">
        <v>44327.625</v>
      </c>
      <c r="G498" s="19" t="str">
        <f t="shared" si="23"/>
        <v/>
      </c>
      <c r="J498" s="28">
        <f t="shared" si="24"/>
        <v>4.8780487804878092E-2</v>
      </c>
    </row>
    <row r="499" spans="1:10">
      <c r="A499" s="3">
        <v>256</v>
      </c>
      <c r="B499" t="s">
        <v>545</v>
      </c>
      <c r="C499" t="s">
        <v>8</v>
      </c>
      <c r="E499" s="3">
        <f t="shared" si="22"/>
        <v>3</v>
      </c>
      <c r="F499" s="5">
        <v>44328.625</v>
      </c>
      <c r="G499" s="19" t="str">
        <f t="shared" si="23"/>
        <v/>
      </c>
      <c r="J499" s="28">
        <f t="shared" si="24"/>
        <v>-3.7593984962406068E-2</v>
      </c>
    </row>
    <row r="500" spans="1:10">
      <c r="A500" s="3">
        <v>156</v>
      </c>
      <c r="B500" t="s">
        <v>546</v>
      </c>
      <c r="C500" t="s">
        <v>8</v>
      </c>
      <c r="E500" s="3">
        <f t="shared" si="22"/>
        <v>4</v>
      </c>
      <c r="F500" s="5">
        <v>44329.625</v>
      </c>
      <c r="G500" s="19" t="str">
        <f t="shared" si="23"/>
        <v/>
      </c>
      <c r="J500" s="28">
        <f t="shared" si="24"/>
        <v>-0.34728033472803344</v>
      </c>
    </row>
    <row r="501" spans="1:10">
      <c r="A501" s="3">
        <v>245</v>
      </c>
      <c r="B501" t="s">
        <v>547</v>
      </c>
      <c r="C501" t="s">
        <v>8</v>
      </c>
      <c r="E501" s="3">
        <f t="shared" si="22"/>
        <v>5</v>
      </c>
      <c r="F501" s="5">
        <v>44330.625</v>
      </c>
      <c r="G501" s="19" t="str">
        <f t="shared" si="23"/>
        <v/>
      </c>
      <c r="J501" s="28">
        <f t="shared" si="24"/>
        <v>0.14485981308411211</v>
      </c>
    </row>
    <row r="502" spans="1:10">
      <c r="A502" s="3">
        <v>160</v>
      </c>
      <c r="B502" t="s">
        <v>548</v>
      </c>
      <c r="C502" t="s">
        <v>8</v>
      </c>
      <c r="E502" s="3">
        <f t="shared" si="22"/>
        <v>6</v>
      </c>
      <c r="F502" s="5">
        <v>44331.625</v>
      </c>
      <c r="G502" s="19" t="str">
        <f t="shared" si="23"/>
        <v/>
      </c>
      <c r="J502" s="28">
        <f t="shared" si="24"/>
        <v>0.22137404580152675</v>
      </c>
    </row>
    <row r="503" spans="1:10">
      <c r="A503" s="3">
        <v>133</v>
      </c>
      <c r="B503" t="s">
        <v>549</v>
      </c>
      <c r="C503" t="s">
        <v>8</v>
      </c>
      <c r="E503" s="3">
        <f t="shared" si="22"/>
        <v>7</v>
      </c>
      <c r="F503" s="5">
        <v>44332.625</v>
      </c>
      <c r="G503" s="19" t="str">
        <f t="shared" si="23"/>
        <v/>
      </c>
      <c r="J503" s="28">
        <f t="shared" si="24"/>
        <v>2.3076923076922995E-2</v>
      </c>
    </row>
    <row r="504" spans="1:10">
      <c r="A504" s="3">
        <v>284</v>
      </c>
      <c r="B504" t="s">
        <v>550</v>
      </c>
      <c r="C504" t="s">
        <v>8</v>
      </c>
      <c r="E504" s="3">
        <f t="shared" si="22"/>
        <v>1</v>
      </c>
      <c r="F504" s="5">
        <v>44333.625</v>
      </c>
      <c r="G504" s="19" t="str">
        <f t="shared" si="23"/>
        <v>2021-W20</v>
      </c>
      <c r="H504">
        <f>SUM(A504:A510)</f>
        <v>1316</v>
      </c>
      <c r="I504" s="28">
        <f>H504/H497-1</f>
        <v>-7.4542897327707469E-2</v>
      </c>
      <c r="J504" s="28">
        <f t="shared" si="24"/>
        <v>0.10505836575875493</v>
      </c>
    </row>
    <row r="505" spans="1:10">
      <c r="A505" s="3">
        <v>217</v>
      </c>
      <c r="B505" t="s">
        <v>551</v>
      </c>
      <c r="C505" t="s">
        <v>8</v>
      </c>
      <c r="E505" s="3">
        <f t="shared" si="22"/>
        <v>2</v>
      </c>
      <c r="F505" s="5">
        <v>44334.625</v>
      </c>
      <c r="G505" s="19" t="str">
        <f t="shared" si="23"/>
        <v/>
      </c>
      <c r="J505" s="28">
        <f t="shared" si="24"/>
        <v>9.302325581395321E-3</v>
      </c>
    </row>
    <row r="506" spans="1:10">
      <c r="A506" s="3">
        <v>230</v>
      </c>
      <c r="B506" t="s">
        <v>552</v>
      </c>
      <c r="C506" t="s">
        <v>8</v>
      </c>
      <c r="E506" s="3">
        <f t="shared" si="22"/>
        <v>3</v>
      </c>
      <c r="F506" s="5">
        <v>44335.625</v>
      </c>
      <c r="G506" s="19" t="str">
        <f t="shared" si="23"/>
        <v/>
      </c>
      <c r="J506" s="28">
        <f t="shared" si="24"/>
        <v>-0.1015625</v>
      </c>
    </row>
    <row r="507" spans="1:10">
      <c r="A507" s="3">
        <v>215</v>
      </c>
      <c r="B507" t="s">
        <v>553</v>
      </c>
      <c r="C507" t="s">
        <v>8</v>
      </c>
      <c r="E507" s="3">
        <f t="shared" si="22"/>
        <v>4</v>
      </c>
      <c r="F507" s="5">
        <v>44336.625</v>
      </c>
      <c r="G507" s="19" t="str">
        <f t="shared" si="23"/>
        <v/>
      </c>
      <c r="J507" s="28">
        <f t="shared" si="24"/>
        <v>0.37820512820512819</v>
      </c>
    </row>
    <row r="508" spans="1:10">
      <c r="A508" s="3">
        <v>169</v>
      </c>
      <c r="B508" t="s">
        <v>554</v>
      </c>
      <c r="C508" t="s">
        <v>8</v>
      </c>
      <c r="E508" s="3">
        <f t="shared" si="22"/>
        <v>5</v>
      </c>
      <c r="F508" s="5">
        <v>44337.625</v>
      </c>
      <c r="G508" s="19" t="str">
        <f t="shared" si="23"/>
        <v/>
      </c>
      <c r="J508" s="28">
        <f t="shared" si="24"/>
        <v>-0.31020408163265301</v>
      </c>
    </row>
    <row r="509" spans="1:10">
      <c r="A509" s="3">
        <v>108</v>
      </c>
      <c r="B509" t="s">
        <v>555</v>
      </c>
      <c r="C509" t="s">
        <v>8</v>
      </c>
      <c r="E509" s="3">
        <f t="shared" si="22"/>
        <v>6</v>
      </c>
      <c r="F509" s="5">
        <v>44338.625</v>
      </c>
      <c r="G509" s="19" t="str">
        <f t="shared" si="23"/>
        <v/>
      </c>
      <c r="J509" s="28">
        <f t="shared" si="24"/>
        <v>-0.32499999999999996</v>
      </c>
    </row>
    <row r="510" spans="1:10">
      <c r="A510" s="3">
        <v>93</v>
      </c>
      <c r="B510" t="s">
        <v>556</v>
      </c>
      <c r="C510" t="s">
        <v>8</v>
      </c>
      <c r="E510" s="3">
        <f t="shared" si="22"/>
        <v>7</v>
      </c>
      <c r="F510" s="5">
        <v>44339.625</v>
      </c>
      <c r="G510" s="19" t="str">
        <f t="shared" si="23"/>
        <v/>
      </c>
      <c r="J510" s="28">
        <f t="shared" si="24"/>
        <v>-0.3007518796992481</v>
      </c>
    </row>
    <row r="511" spans="1:10" s="41" customFormat="1">
      <c r="A511" s="40">
        <v>188</v>
      </c>
      <c r="B511" s="41" t="s">
        <v>557</v>
      </c>
      <c r="C511" s="41" t="s">
        <v>8</v>
      </c>
      <c r="E511" s="40">
        <f t="shared" ref="E511:E574" si="25">WEEKDAY(F511,2)</f>
        <v>1</v>
      </c>
      <c r="F511" s="42">
        <v>44340.625</v>
      </c>
      <c r="G511" s="43" t="str">
        <f t="shared" si="23"/>
        <v>2021-W21</v>
      </c>
      <c r="H511" s="41">
        <f>SUM(A511:A517)</f>
        <v>888</v>
      </c>
      <c r="I511" s="44">
        <f>H511/H504-1</f>
        <v>-0.32522796352583583</v>
      </c>
      <c r="J511" s="44">
        <f t="shared" si="24"/>
        <v>-0.3380281690140845</v>
      </c>
    </row>
    <row r="512" spans="1:10">
      <c r="A512" s="3">
        <v>152</v>
      </c>
      <c r="B512" t="s">
        <v>558</v>
      </c>
      <c r="C512" t="s">
        <v>8</v>
      </c>
      <c r="E512" s="3">
        <f t="shared" si="25"/>
        <v>2</v>
      </c>
      <c r="F512" s="5">
        <v>44341.625</v>
      </c>
      <c r="G512" s="19" t="str">
        <f t="shared" si="23"/>
        <v/>
      </c>
      <c r="J512" s="28">
        <f t="shared" si="24"/>
        <v>-0.29953917050691248</v>
      </c>
    </row>
    <row r="513" spans="1:10">
      <c r="A513" s="3">
        <v>142</v>
      </c>
      <c r="B513" t="s">
        <v>559</v>
      </c>
      <c r="C513" t="s">
        <v>8</v>
      </c>
      <c r="E513" s="3">
        <f t="shared" si="25"/>
        <v>3</v>
      </c>
      <c r="F513" s="5">
        <v>44342.625</v>
      </c>
      <c r="G513" s="19" t="str">
        <f t="shared" si="23"/>
        <v/>
      </c>
      <c r="J513" s="28">
        <f t="shared" si="24"/>
        <v>-0.38260869565217392</v>
      </c>
    </row>
    <row r="514" spans="1:10">
      <c r="A514" s="3">
        <v>127</v>
      </c>
      <c r="B514" t="s">
        <v>560</v>
      </c>
      <c r="C514" t="s">
        <v>8</v>
      </c>
      <c r="E514" s="3">
        <f t="shared" si="25"/>
        <v>4</v>
      </c>
      <c r="F514" s="5">
        <v>44343.625</v>
      </c>
      <c r="G514" s="19" t="str">
        <f t="shared" si="23"/>
        <v/>
      </c>
      <c r="J514" s="28">
        <f t="shared" si="24"/>
        <v>-0.40930232558139534</v>
      </c>
    </row>
    <row r="515" spans="1:10">
      <c r="A515" s="3">
        <v>136</v>
      </c>
      <c r="B515" t="s">
        <v>561</v>
      </c>
      <c r="C515" t="s">
        <v>8</v>
      </c>
      <c r="E515" s="3">
        <f t="shared" si="25"/>
        <v>5</v>
      </c>
      <c r="F515" s="5">
        <v>44344.625</v>
      </c>
      <c r="G515" s="19" t="str">
        <f t="shared" ref="G515:G578" si="26">IF(WEEKDAY(F515,2)=1,YEAR(F515)&amp;"-W"&amp;TEXT(WEEKNUM(F515,14),"00"),"")</f>
        <v/>
      </c>
      <c r="J515" s="28">
        <f t="shared" si="24"/>
        <v>-0.19526627218934911</v>
      </c>
    </row>
    <row r="516" spans="1:10">
      <c r="A516" s="3">
        <v>64</v>
      </c>
      <c r="B516" t="s">
        <v>562</v>
      </c>
      <c r="C516" t="s">
        <v>8</v>
      </c>
      <c r="E516" s="3">
        <f t="shared" si="25"/>
        <v>6</v>
      </c>
      <c r="F516" s="5">
        <v>44345.625</v>
      </c>
      <c r="G516" s="19" t="str">
        <f t="shared" si="26"/>
        <v/>
      </c>
      <c r="J516" s="28">
        <f t="shared" si="24"/>
        <v>-0.40740740740740744</v>
      </c>
    </row>
    <row r="517" spans="1:10">
      <c r="A517" s="3">
        <v>79</v>
      </c>
      <c r="B517" t="s">
        <v>563</v>
      </c>
      <c r="C517" t="s">
        <v>8</v>
      </c>
      <c r="E517" s="3">
        <f t="shared" si="25"/>
        <v>7</v>
      </c>
      <c r="F517" s="5">
        <v>44346.625</v>
      </c>
      <c r="G517" s="19" t="str">
        <f t="shared" si="26"/>
        <v/>
      </c>
      <c r="J517" s="28">
        <f t="shared" si="24"/>
        <v>-0.15053763440860213</v>
      </c>
    </row>
    <row r="518" spans="1:10">
      <c r="A518" s="3">
        <v>145</v>
      </c>
      <c r="B518" t="s">
        <v>564</v>
      </c>
      <c r="C518" t="s">
        <v>8</v>
      </c>
      <c r="E518" s="3">
        <f t="shared" si="25"/>
        <v>1</v>
      </c>
      <c r="F518" s="5">
        <v>44347.625</v>
      </c>
      <c r="G518" s="19" t="str">
        <f t="shared" si="26"/>
        <v>2021-W22</v>
      </c>
      <c r="H518">
        <f>SUM(A518:A524)</f>
        <v>721</v>
      </c>
      <c r="I518" s="28">
        <f>H518/H511-1</f>
        <v>-0.18806306306306309</v>
      </c>
      <c r="J518" s="28">
        <f t="shared" si="24"/>
        <v>-0.22872340425531912</v>
      </c>
    </row>
    <row r="519" spans="1:10">
      <c r="A519" s="3">
        <v>121</v>
      </c>
      <c r="B519" t="s">
        <v>565</v>
      </c>
      <c r="C519" t="s">
        <v>8</v>
      </c>
      <c r="E519" s="3">
        <f t="shared" si="25"/>
        <v>2</v>
      </c>
      <c r="F519" s="5">
        <v>44348.625</v>
      </c>
      <c r="G519" s="19" t="str">
        <f t="shared" si="26"/>
        <v/>
      </c>
      <c r="J519" s="28">
        <f t="shared" si="24"/>
        <v>-0.20394736842105265</v>
      </c>
    </row>
    <row r="520" spans="1:10">
      <c r="A520" s="3">
        <v>118</v>
      </c>
      <c r="B520" t="s">
        <v>566</v>
      </c>
      <c r="C520" t="s">
        <v>8</v>
      </c>
      <c r="E520" s="3">
        <f t="shared" si="25"/>
        <v>3</v>
      </c>
      <c r="F520" s="5">
        <v>44349.625</v>
      </c>
      <c r="G520" s="19" t="str">
        <f t="shared" si="26"/>
        <v/>
      </c>
      <c r="J520" s="28">
        <f t="shared" si="24"/>
        <v>-0.16901408450704225</v>
      </c>
    </row>
    <row r="521" spans="1:10">
      <c r="A521" s="3">
        <v>111</v>
      </c>
      <c r="B521" t="s">
        <v>567</v>
      </c>
      <c r="C521" t="s">
        <v>8</v>
      </c>
      <c r="E521" s="3">
        <f t="shared" si="25"/>
        <v>4</v>
      </c>
      <c r="F521" s="5">
        <v>44350.625</v>
      </c>
      <c r="G521" s="19" t="str">
        <f t="shared" si="26"/>
        <v/>
      </c>
      <c r="J521" s="28">
        <f t="shared" ref="J521:J584" si="27">A521/A514-1</f>
        <v>-0.12598425196850394</v>
      </c>
    </row>
    <row r="522" spans="1:10">
      <c r="A522" s="3">
        <v>101</v>
      </c>
      <c r="B522" t="s">
        <v>568</v>
      </c>
      <c r="C522" t="s">
        <v>8</v>
      </c>
      <c r="E522" s="3">
        <f t="shared" si="25"/>
        <v>5</v>
      </c>
      <c r="F522" s="5">
        <v>44351.625</v>
      </c>
      <c r="G522" s="19" t="str">
        <f t="shared" si="26"/>
        <v/>
      </c>
      <c r="J522" s="28">
        <f t="shared" si="27"/>
        <v>-0.25735294117647056</v>
      </c>
    </row>
    <row r="523" spans="1:10">
      <c r="A523" s="3">
        <v>65</v>
      </c>
      <c r="B523" t="s">
        <v>569</v>
      </c>
      <c r="C523" t="s">
        <v>8</v>
      </c>
      <c r="E523" s="3">
        <f t="shared" si="25"/>
        <v>6</v>
      </c>
      <c r="F523" s="5">
        <v>44352.625</v>
      </c>
      <c r="G523" s="19" t="str">
        <f t="shared" si="26"/>
        <v/>
      </c>
      <c r="J523" s="28">
        <f t="shared" si="27"/>
        <v>1.5625E-2</v>
      </c>
    </row>
    <row r="524" spans="1:10">
      <c r="A524" s="3">
        <v>60</v>
      </c>
      <c r="B524" t="s">
        <v>570</v>
      </c>
      <c r="C524" t="s">
        <v>8</v>
      </c>
      <c r="E524" s="3">
        <f t="shared" si="25"/>
        <v>7</v>
      </c>
      <c r="F524" s="5">
        <v>44353.625</v>
      </c>
      <c r="G524" s="19" t="str">
        <f t="shared" si="26"/>
        <v/>
      </c>
      <c r="J524" s="28">
        <f t="shared" si="27"/>
        <v>-0.240506329113924</v>
      </c>
    </row>
    <row r="525" spans="1:10">
      <c r="A525" s="3">
        <v>136</v>
      </c>
      <c r="B525" t="s">
        <v>571</v>
      </c>
      <c r="C525" t="s">
        <v>8</v>
      </c>
      <c r="E525" s="3">
        <f t="shared" si="25"/>
        <v>1</v>
      </c>
      <c r="F525" s="5">
        <v>44354.625</v>
      </c>
      <c r="G525" s="19" t="str">
        <f t="shared" si="26"/>
        <v>2021-W23</v>
      </c>
      <c r="H525">
        <f>SUM(A525:A531)</f>
        <v>557</v>
      </c>
      <c r="I525" s="28">
        <f>H525/H518-1</f>
        <v>-0.2274618585298197</v>
      </c>
      <c r="J525" s="28">
        <f t="shared" si="27"/>
        <v>-6.2068965517241392E-2</v>
      </c>
    </row>
    <row r="526" spans="1:10">
      <c r="A526" s="3">
        <v>102</v>
      </c>
      <c r="B526" t="s">
        <v>572</v>
      </c>
      <c r="C526" t="s">
        <v>8</v>
      </c>
      <c r="E526" s="3">
        <f t="shared" si="25"/>
        <v>2</v>
      </c>
      <c r="F526" s="5">
        <v>44355.625</v>
      </c>
      <c r="G526" s="19" t="str">
        <f t="shared" si="26"/>
        <v/>
      </c>
      <c r="J526" s="28">
        <f t="shared" si="27"/>
        <v>-0.15702479338842978</v>
      </c>
    </row>
    <row r="527" spans="1:10">
      <c r="A527" s="3">
        <v>82</v>
      </c>
      <c r="B527" t="s">
        <v>573</v>
      </c>
      <c r="C527" t="s">
        <v>8</v>
      </c>
      <c r="E527" s="3">
        <f t="shared" si="25"/>
        <v>3</v>
      </c>
      <c r="F527" s="5">
        <v>44356.625</v>
      </c>
      <c r="G527" s="19" t="str">
        <f t="shared" si="26"/>
        <v/>
      </c>
      <c r="J527" s="28">
        <f t="shared" si="27"/>
        <v>-0.30508474576271183</v>
      </c>
    </row>
    <row r="528" spans="1:10">
      <c r="A528" s="3">
        <v>78</v>
      </c>
      <c r="B528" t="s">
        <v>574</v>
      </c>
      <c r="C528" t="s">
        <v>8</v>
      </c>
      <c r="E528" s="3">
        <f t="shared" si="25"/>
        <v>4</v>
      </c>
      <c r="F528" s="5">
        <v>44357.625</v>
      </c>
      <c r="G528" s="19" t="str">
        <f t="shared" si="26"/>
        <v/>
      </c>
      <c r="J528" s="28">
        <f t="shared" si="27"/>
        <v>-0.29729729729729726</v>
      </c>
    </row>
    <row r="529" spans="1:10">
      <c r="A529" s="3">
        <v>70</v>
      </c>
      <c r="B529" t="s">
        <v>575</v>
      </c>
      <c r="C529" t="s">
        <v>8</v>
      </c>
      <c r="E529" s="3">
        <f t="shared" si="25"/>
        <v>5</v>
      </c>
      <c r="F529" s="5">
        <v>44358.625</v>
      </c>
      <c r="G529" s="19" t="str">
        <f t="shared" si="26"/>
        <v/>
      </c>
      <c r="J529" s="28">
        <f t="shared" si="27"/>
        <v>-0.30693069306930698</v>
      </c>
    </row>
    <row r="530" spans="1:10">
      <c r="A530" s="3">
        <v>43</v>
      </c>
      <c r="B530" t="s">
        <v>576</v>
      </c>
      <c r="C530" t="s">
        <v>8</v>
      </c>
      <c r="E530" s="3">
        <f t="shared" si="25"/>
        <v>6</v>
      </c>
      <c r="F530" s="5">
        <v>44359.625</v>
      </c>
      <c r="G530" s="19" t="str">
        <f t="shared" si="26"/>
        <v/>
      </c>
      <c r="J530" s="28">
        <f t="shared" si="27"/>
        <v>-0.33846153846153848</v>
      </c>
    </row>
    <row r="531" spans="1:10">
      <c r="A531" s="3">
        <v>46</v>
      </c>
      <c r="B531" t="s">
        <v>577</v>
      </c>
      <c r="C531" t="s">
        <v>8</v>
      </c>
      <c r="E531" s="3">
        <f t="shared" si="25"/>
        <v>7</v>
      </c>
      <c r="F531" s="5">
        <v>44360.625</v>
      </c>
      <c r="G531" s="19" t="str">
        <f t="shared" si="26"/>
        <v/>
      </c>
      <c r="J531" s="28">
        <f t="shared" si="27"/>
        <v>-0.23333333333333328</v>
      </c>
    </row>
    <row r="532" spans="1:10">
      <c r="A532" s="3">
        <v>78</v>
      </c>
      <c r="B532" t="s">
        <v>578</v>
      </c>
      <c r="C532" t="s">
        <v>8</v>
      </c>
      <c r="E532" s="3">
        <f t="shared" si="25"/>
        <v>1</v>
      </c>
      <c r="F532" s="5">
        <v>44361.625</v>
      </c>
      <c r="G532" s="19" t="str">
        <f t="shared" si="26"/>
        <v>2021-W24</v>
      </c>
      <c r="H532">
        <f>SUM(A532:A538)</f>
        <v>209</v>
      </c>
      <c r="I532" s="28">
        <f>H532/H525-1</f>
        <v>-0.62477558348294426</v>
      </c>
      <c r="J532" s="28">
        <f t="shared" si="27"/>
        <v>-0.42647058823529416</v>
      </c>
    </row>
    <row r="533" spans="1:10">
      <c r="A533" s="3">
        <v>56</v>
      </c>
      <c r="B533" t="s">
        <v>579</v>
      </c>
      <c r="C533" t="s">
        <v>8</v>
      </c>
      <c r="E533" s="3">
        <f t="shared" si="25"/>
        <v>2</v>
      </c>
      <c r="F533" s="5">
        <v>44362.625</v>
      </c>
      <c r="G533" s="19" t="str">
        <f t="shared" si="26"/>
        <v/>
      </c>
      <c r="J533" s="28">
        <f t="shared" si="27"/>
        <v>-0.4509803921568627</v>
      </c>
    </row>
    <row r="534" spans="1:10">
      <c r="A534" s="3">
        <v>40</v>
      </c>
      <c r="B534" t="s">
        <v>580</v>
      </c>
      <c r="C534" t="s">
        <v>8</v>
      </c>
      <c r="E534" s="3">
        <f t="shared" si="25"/>
        <v>3</v>
      </c>
      <c r="F534" s="5">
        <v>44363.625</v>
      </c>
      <c r="G534" s="19" t="str">
        <f t="shared" si="26"/>
        <v/>
      </c>
      <c r="J534" s="28">
        <f t="shared" si="27"/>
        <v>-0.51219512195121952</v>
      </c>
    </row>
    <row r="535" spans="1:10">
      <c r="A535" s="3">
        <v>35</v>
      </c>
      <c r="B535" t="s">
        <v>581</v>
      </c>
      <c r="C535" t="s">
        <v>8</v>
      </c>
      <c r="E535" s="3">
        <f t="shared" si="25"/>
        <v>4</v>
      </c>
      <c r="F535" s="5">
        <v>44364.625</v>
      </c>
      <c r="G535" s="19" t="str">
        <f t="shared" si="26"/>
        <v/>
      </c>
      <c r="J535" s="28">
        <f t="shared" si="27"/>
        <v>-0.55128205128205132</v>
      </c>
    </row>
    <row r="536" spans="1:10">
      <c r="A536" s="3">
        <v>0</v>
      </c>
      <c r="B536" t="s">
        <v>582</v>
      </c>
      <c r="C536" t="s">
        <v>8</v>
      </c>
      <c r="E536" s="3">
        <f t="shared" si="25"/>
        <v>5</v>
      </c>
      <c r="F536" s="5">
        <v>44365.417939814812</v>
      </c>
      <c r="G536" s="19" t="str">
        <f t="shared" si="26"/>
        <v/>
      </c>
      <c r="J536" s="28">
        <f t="shared" si="27"/>
        <v>-1</v>
      </c>
    </row>
    <row r="537" spans="1:10">
      <c r="E537" s="3">
        <f t="shared" si="25"/>
        <v>6</v>
      </c>
      <c r="G537" s="19" t="str">
        <f t="shared" si="26"/>
        <v/>
      </c>
      <c r="J537" s="28">
        <f t="shared" si="27"/>
        <v>-1</v>
      </c>
    </row>
    <row r="538" spans="1:10">
      <c r="E538" s="3">
        <f t="shared" si="25"/>
        <v>6</v>
      </c>
      <c r="G538" s="19" t="str">
        <f t="shared" si="26"/>
        <v/>
      </c>
      <c r="J538" s="28">
        <f t="shared" si="27"/>
        <v>-1</v>
      </c>
    </row>
    <row r="539" spans="1:10">
      <c r="E539" s="3">
        <f t="shared" si="25"/>
        <v>6</v>
      </c>
      <c r="G539" s="19" t="str">
        <f t="shared" si="26"/>
        <v/>
      </c>
      <c r="H539">
        <f>SUM(A539:A545)</f>
        <v>0</v>
      </c>
      <c r="I539" s="28">
        <f>H539/H532-1</f>
        <v>-1</v>
      </c>
      <c r="J539" s="28">
        <f t="shared" si="27"/>
        <v>-1</v>
      </c>
    </row>
    <row r="540" spans="1:10">
      <c r="E540" s="3">
        <f t="shared" si="25"/>
        <v>6</v>
      </c>
      <c r="G540" s="19" t="str">
        <f t="shared" si="26"/>
        <v/>
      </c>
      <c r="J540" s="28">
        <f t="shared" si="27"/>
        <v>-1</v>
      </c>
    </row>
    <row r="541" spans="1:10">
      <c r="E541" s="3">
        <f t="shared" si="25"/>
        <v>6</v>
      </c>
      <c r="G541" s="19" t="str">
        <f t="shared" si="26"/>
        <v/>
      </c>
      <c r="J541" s="28">
        <f t="shared" si="27"/>
        <v>-1</v>
      </c>
    </row>
    <row r="542" spans="1:10">
      <c r="E542" s="3">
        <f t="shared" si="25"/>
        <v>6</v>
      </c>
      <c r="G542" s="19" t="str">
        <f t="shared" si="26"/>
        <v/>
      </c>
      <c r="J542" s="28">
        <f t="shared" si="27"/>
        <v>-1</v>
      </c>
    </row>
    <row r="543" spans="1:10">
      <c r="E543" s="3">
        <f t="shared" si="25"/>
        <v>6</v>
      </c>
      <c r="G543" s="19" t="str">
        <f t="shared" si="26"/>
        <v/>
      </c>
      <c r="J543" s="28" t="e">
        <f t="shared" si="27"/>
        <v>#DIV/0!</v>
      </c>
    </row>
    <row r="544" spans="1: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66675</xdr:rowOff>
                  </from>
                  <to>
                    <xdr:col>1</xdr:col>
                    <xdr:colOff>1362075</xdr:colOff>
                    <xdr:row>0</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505" activePane="bottomLeft" state="frozen"/>
      <selection pane="bottomLeft" activeCell="A526" sqref="A526"/>
    </sheetView>
  </sheetViews>
  <sheetFormatPr defaultRowHeight="15"/>
  <cols>
    <col min="1" max="1" width="8.85546875" style="3"/>
    <col min="2" max="2" width="22.85546875" bestFit="1" customWidth="1"/>
    <col min="3" max="3" width="17.140625" bestFit="1" customWidth="1"/>
    <col min="4" max="4" width="6.140625" customWidth="1"/>
    <col min="5" max="5" width="15.140625" style="3" bestFit="1" customWidth="1"/>
    <col min="6" max="6" width="14" style="5" bestFit="1" customWidth="1"/>
    <col min="7" max="7" width="9.85546875" style="4" bestFit="1" customWidth="1"/>
    <col min="8" max="8" width="16.85546875" customWidth="1"/>
    <col min="9" max="9" width="14.140625" bestFit="1" customWidth="1"/>
    <col min="10" max="10" width="12.140625" customWidth="1"/>
    <col min="11" max="11" width="14" bestFit="1" customWidth="1"/>
    <col min="13" max="13" width="14.140625" bestFit="1" customWidth="1"/>
  </cols>
  <sheetData>
    <row r="1" spans="1:14" s="7" customFormat="1" ht="39.950000000000003" customHeight="1">
      <c r="A1" s="31" t="s">
        <v>290</v>
      </c>
      <c r="B1" s="1" t="s">
        <v>1</v>
      </c>
      <c r="C1" s="1" t="s">
        <v>9</v>
      </c>
      <c r="D1" s="1" t="s">
        <v>291</v>
      </c>
      <c r="E1" s="1" t="s">
        <v>299</v>
      </c>
      <c r="F1" s="6" t="s">
        <v>7</v>
      </c>
      <c r="G1" s="7" t="s">
        <v>465</v>
      </c>
      <c r="H1" s="7" t="s">
        <v>467</v>
      </c>
      <c r="I1" s="7">
        <f>SUM(A:A)</f>
        <v>54537</v>
      </c>
      <c r="J1" s="7">
        <f>MAX(A:A)</f>
        <v>517</v>
      </c>
      <c r="K1" s="15">
        <f>VLOOKUP(J1,A:F,6,FALSE)</f>
        <v>44267.625</v>
      </c>
      <c r="L1" s="7">
        <f>COUNT(DataN)-5</f>
        <v>530</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14.6.2021 saakka. Suurin arvo 517,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612</v>
      </c>
      <c r="I91" s="28">
        <f>H91/H84-1</f>
        <v>0.72881355932203395</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132</v>
      </c>
      <c r="B95" t="s">
        <v>49</v>
      </c>
      <c r="C95" t="s">
        <v>456</v>
      </c>
      <c r="E95" s="3">
        <f t="shared" si="3"/>
        <v>5</v>
      </c>
      <c r="F95" s="5">
        <v>43924.625</v>
      </c>
      <c r="G95" s="19" t="str">
        <f t="shared" si="4"/>
        <v/>
      </c>
      <c r="J95" s="28">
        <f t="shared" si="5"/>
        <v>1.693877551020408</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3.5947712418300748E-2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-0.56060606060606055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118</v>
      </c>
      <c r="I231" s="28">
        <f>H231/H224-1</f>
        <v>-4.065040650406504E-2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7</v>
      </c>
      <c r="B237" t="s">
        <v>189</v>
      </c>
      <c r="C237" t="s">
        <v>456</v>
      </c>
      <c r="E237" s="3">
        <f t="shared" si="9"/>
        <v>7</v>
      </c>
      <c r="F237" s="5">
        <v>44066.625</v>
      </c>
      <c r="G237" s="19" t="str">
        <f t="shared" si="10"/>
        <v/>
      </c>
      <c r="J237" s="28">
        <f t="shared" si="11"/>
        <v>-0.77419354838709675</v>
      </c>
    </row>
    <row r="238" spans="1:10">
      <c r="A238" s="3">
        <v>12</v>
      </c>
      <c r="B238" t="s">
        <v>190</v>
      </c>
      <c r="C238" t="s">
        <v>456</v>
      </c>
      <c r="E238" s="3">
        <f t="shared" si="9"/>
        <v>1</v>
      </c>
      <c r="F238" s="5">
        <v>44067.625</v>
      </c>
      <c r="G238" s="19" t="str">
        <f t="shared" si="10"/>
        <v>2020-W35</v>
      </c>
      <c r="H238">
        <f>SUM(A238:A244)</f>
        <v>87</v>
      </c>
      <c r="I238" s="28">
        <f>H238/H231-1</f>
        <v>-0.26271186440677963</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0.5714285714285714</v>
      </c>
    </row>
    <row r="245" spans="1:10">
      <c r="A245" s="3">
        <v>19</v>
      </c>
      <c r="B245" t="s">
        <v>197</v>
      </c>
      <c r="C245" t="s">
        <v>456</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15</v>
      </c>
      <c r="B248" t="s">
        <v>200</v>
      </c>
      <c r="C248" t="s">
        <v>456</v>
      </c>
      <c r="E248" s="3">
        <f t="shared" si="9"/>
        <v>4</v>
      </c>
      <c r="F248" s="5">
        <v>44077.625</v>
      </c>
      <c r="G248" s="19" t="str">
        <f t="shared" si="10"/>
        <v/>
      </c>
      <c r="J248" s="28">
        <f t="shared" si="11"/>
        <v>-0.2857142857142857</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0.1166666666666667</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0.1333333333333333</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85</v>
      </c>
      <c r="B273" t="s">
        <v>225</v>
      </c>
      <c r="C273" t="s">
        <v>456</v>
      </c>
      <c r="E273" s="3">
        <f t="shared" si="12"/>
        <v>1</v>
      </c>
      <c r="F273" s="5">
        <v>44102.625</v>
      </c>
      <c r="G273" s="19" t="str">
        <f t="shared" si="13"/>
        <v>2020-W40</v>
      </c>
      <c r="H273">
        <f>SUM(A273:A279)</f>
        <v>567</v>
      </c>
      <c r="I273" s="28">
        <f>H273/H266-1</f>
        <v>0.29452054794520555</v>
      </c>
      <c r="J273" s="28">
        <f t="shared" si="14"/>
        <v>0.28787878787878785</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0.33509700176366852</v>
      </c>
      <c r="J280" s="28">
        <f t="shared" si="14"/>
        <v>0.39999999999999991</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673</v>
      </c>
      <c r="I294" s="28">
        <f>H294/H287-1</f>
        <v>-5.3445850914205395E-2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103</v>
      </c>
      <c r="B298" t="s">
        <v>316</v>
      </c>
      <c r="C298" t="s">
        <v>456</v>
      </c>
      <c r="E298" s="3">
        <f t="shared" si="12"/>
        <v>5</v>
      </c>
      <c r="F298" s="5">
        <v>44127.625</v>
      </c>
      <c r="G298" s="19" t="str">
        <f t="shared" si="13"/>
        <v/>
      </c>
      <c r="J298" s="28">
        <f t="shared" si="14"/>
        <v>-0.13445378151260501</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765</v>
      </c>
      <c r="I301" s="28">
        <f>H301/H294-1</f>
        <v>0.13670133729569089</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0.19417475728155331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155</v>
      </c>
      <c r="B308" s="10" t="s">
        <v>326</v>
      </c>
      <c r="C308" s="10" t="s">
        <v>456</v>
      </c>
      <c r="E308" s="14">
        <f t="shared" si="12"/>
        <v>1</v>
      </c>
      <c r="F308" s="18">
        <v>44137.625</v>
      </c>
      <c r="G308" s="19" t="str">
        <f t="shared" si="13"/>
        <v>2020-W45</v>
      </c>
      <c r="H308">
        <f>SUM(A308:A314)</f>
        <v>858</v>
      </c>
      <c r="I308" s="28">
        <f>H308/H301-1</f>
        <v>0.1215686274509804</v>
      </c>
      <c r="J308" s="28">
        <f t="shared" si="14"/>
        <v>0.16541353383458657</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0.1631701631701632</v>
      </c>
      <c r="J315" s="28">
        <f t="shared" si="14"/>
        <v>4.5161290322580649E-2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1665</v>
      </c>
      <c r="I322" s="28">
        <f>H322/H315-1</f>
        <v>0.66833667334669333</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180</v>
      </c>
      <c r="B327" t="s">
        <v>347</v>
      </c>
      <c r="C327" t="s">
        <v>456</v>
      </c>
      <c r="E327" s="3">
        <f t="shared" si="16"/>
        <v>6</v>
      </c>
      <c r="F327" s="5">
        <v>44156.625</v>
      </c>
      <c r="G327" s="19" t="str">
        <f t="shared" si="15"/>
        <v/>
      </c>
      <c r="J327" s="28">
        <f t="shared" si="14"/>
        <v>0.9780219780219781</v>
      </c>
    </row>
    <row r="328" spans="1:10">
      <c r="A328" s="3">
        <v>161</v>
      </c>
      <c r="B328" t="s">
        <v>348</v>
      </c>
      <c r="C328" t="s">
        <v>456</v>
      </c>
      <c r="E328" s="3">
        <f t="shared" si="16"/>
        <v>7</v>
      </c>
      <c r="F328" s="5">
        <v>44157.625</v>
      </c>
      <c r="G328" s="19" t="str">
        <f t="shared" si="15"/>
        <v/>
      </c>
      <c r="J328" s="28">
        <f t="shared" si="14"/>
        <v>0.46363636363636362</v>
      </c>
    </row>
    <row r="329" spans="1:10">
      <c r="A329" s="3">
        <v>261</v>
      </c>
      <c r="B329" t="s">
        <v>349</v>
      </c>
      <c r="C329" t="s">
        <v>456</v>
      </c>
      <c r="E329" s="3">
        <f t="shared" si="16"/>
        <v>1</v>
      </c>
      <c r="F329" s="5">
        <v>44158.625</v>
      </c>
      <c r="G329" s="19" t="str">
        <f t="shared" si="15"/>
        <v>2020-W48</v>
      </c>
      <c r="H329">
        <f>SUM(A329:A335)</f>
        <v>1655</v>
      </c>
      <c r="I329" s="28">
        <f>H329/H322-1</f>
        <v>-6.0060060060059817E-3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261</v>
      </c>
      <c r="B332" t="s">
        <v>354</v>
      </c>
      <c r="C332" t="s">
        <v>456</v>
      </c>
      <c r="E332" s="3">
        <f t="shared" si="16"/>
        <v>4</v>
      </c>
      <c r="F332" s="5">
        <v>44161.625</v>
      </c>
      <c r="G332" s="19" t="str">
        <f t="shared" si="15"/>
        <v/>
      </c>
      <c r="J332" s="28">
        <f t="shared" si="17"/>
        <v>-0.18437499999999996</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-0.16111111111111109</v>
      </c>
    </row>
    <row r="335" spans="1:10">
      <c r="A335" s="3">
        <v>158</v>
      </c>
      <c r="B335" t="s">
        <v>357</v>
      </c>
      <c r="C335" t="s">
        <v>456</v>
      </c>
      <c r="E335" s="3">
        <f t="shared" si="16"/>
        <v>7</v>
      </c>
      <c r="F335" s="5">
        <v>44164.625</v>
      </c>
      <c r="G335" s="19" t="str">
        <f t="shared" si="15"/>
        <v/>
      </c>
      <c r="J335" s="28">
        <f t="shared" si="17"/>
        <v>-1.8633540372670843E-2</v>
      </c>
    </row>
    <row r="336" spans="1:10">
      <c r="A336" s="3">
        <v>313</v>
      </c>
      <c r="B336" t="s">
        <v>358</v>
      </c>
      <c r="C336" t="s">
        <v>456</v>
      </c>
      <c r="E336" s="3">
        <f t="shared" si="16"/>
        <v>1</v>
      </c>
      <c r="F336" s="5">
        <v>44165.625</v>
      </c>
      <c r="G336" s="19" t="str">
        <f t="shared" si="15"/>
        <v>2020-W49</v>
      </c>
      <c r="H336">
        <f>SUM(A336:A342)</f>
        <v>1599</v>
      </c>
      <c r="I336" s="28">
        <f>H336/H329-1</f>
        <v>-3.3836858006042303E-2</v>
      </c>
      <c r="J336" s="28">
        <f t="shared" si="17"/>
        <v>0.19923371647509569</v>
      </c>
    </row>
    <row r="337" spans="1:10">
      <c r="A337" s="3">
        <v>221</v>
      </c>
      <c r="B337" t="s">
        <v>360</v>
      </c>
      <c r="C337" t="s">
        <v>456</v>
      </c>
      <c r="E337" s="3">
        <f t="shared" si="16"/>
        <v>2</v>
      </c>
      <c r="F337" s="5">
        <v>44166.625</v>
      </c>
      <c r="G337" s="19" t="str">
        <f t="shared" si="15"/>
        <v/>
      </c>
      <c r="J337" s="28">
        <f t="shared" si="17"/>
        <v>-0.21908127208480566</v>
      </c>
    </row>
    <row r="338" spans="1:10">
      <c r="A338" s="3">
        <v>250</v>
      </c>
      <c r="B338" t="s">
        <v>361</v>
      </c>
      <c r="C338" t="s">
        <v>456</v>
      </c>
      <c r="E338" s="3">
        <f t="shared" si="16"/>
        <v>3</v>
      </c>
      <c r="F338" s="5">
        <v>44167.625</v>
      </c>
      <c r="G338" s="19" t="str">
        <f t="shared" si="15"/>
        <v/>
      </c>
      <c r="J338" s="28">
        <f t="shared" si="17"/>
        <v>-0.16387959866220736</v>
      </c>
    </row>
    <row r="339" spans="1:10">
      <c r="A339" s="3">
        <v>281</v>
      </c>
      <c r="B339" t="s">
        <v>362</v>
      </c>
      <c r="C339" t="s">
        <v>456</v>
      </c>
      <c r="E339" s="3">
        <f t="shared" si="16"/>
        <v>4</v>
      </c>
      <c r="F339" s="5">
        <v>44168.625</v>
      </c>
      <c r="G339" s="19" t="str">
        <f t="shared" si="15"/>
        <v/>
      </c>
      <c r="J339" s="28">
        <f t="shared" si="17"/>
        <v>7.6628352490421436E-2</v>
      </c>
    </row>
    <row r="340" spans="1:10">
      <c r="A340" s="3">
        <v>224</v>
      </c>
      <c r="B340" t="s">
        <v>363</v>
      </c>
      <c r="C340" t="s">
        <v>456</v>
      </c>
      <c r="E340" s="3">
        <f t="shared" si="16"/>
        <v>5</v>
      </c>
      <c r="F340" s="5">
        <v>44169.625</v>
      </c>
      <c r="G340" s="19" t="str">
        <f t="shared" si="15"/>
        <v/>
      </c>
      <c r="J340" s="28">
        <f t="shared" si="17"/>
        <v>-7.4380165289256173E-2</v>
      </c>
    </row>
    <row r="341" spans="1:10">
      <c r="A341" s="3">
        <v>153</v>
      </c>
      <c r="B341" t="s">
        <v>364</v>
      </c>
      <c r="C341" t="s">
        <v>456</v>
      </c>
      <c r="E341" s="3">
        <f t="shared" si="16"/>
        <v>6</v>
      </c>
      <c r="F341" s="5">
        <v>44170.625</v>
      </c>
      <c r="G341" s="19" t="str">
        <f t="shared" si="15"/>
        <v/>
      </c>
      <c r="J341" s="28">
        <f t="shared" si="17"/>
        <v>1.3245033112582849E-2</v>
      </c>
    </row>
    <row r="342" spans="1:10">
      <c r="A342" s="3">
        <v>157</v>
      </c>
      <c r="B342" t="s">
        <v>365</v>
      </c>
      <c r="C342" t="s">
        <v>456</v>
      </c>
      <c r="E342" s="3">
        <f t="shared" si="16"/>
        <v>7</v>
      </c>
      <c r="F342" s="5">
        <v>44171.625</v>
      </c>
      <c r="G342" s="19" t="str">
        <f t="shared" si="15"/>
        <v/>
      </c>
      <c r="J342" s="28">
        <f t="shared" si="17"/>
        <v>-6.3291139240506666E-3</v>
      </c>
    </row>
    <row r="343" spans="1:10">
      <c r="A343" s="3">
        <v>284</v>
      </c>
      <c r="B343" t="s">
        <v>366</v>
      </c>
      <c r="C343" t="s">
        <v>456</v>
      </c>
      <c r="E343" s="3">
        <f t="shared" si="16"/>
        <v>1</v>
      </c>
      <c r="F343" s="5">
        <v>44172.625</v>
      </c>
      <c r="G343" s="19" t="str">
        <f t="shared" si="15"/>
        <v>2020-W50</v>
      </c>
      <c r="H343">
        <f>SUM(A343:A349)</f>
        <v>1578</v>
      </c>
      <c r="I343" s="28">
        <f>H343/H336-1</f>
        <v>-1.3133208255159512E-2</v>
      </c>
      <c r="J343" s="28">
        <f t="shared" si="17"/>
        <v>-9.2651757188498385E-2</v>
      </c>
    </row>
    <row r="344" spans="1:10">
      <c r="A344" s="3">
        <v>253</v>
      </c>
      <c r="B344" t="s">
        <v>367</v>
      </c>
      <c r="C344" t="s">
        <v>456</v>
      </c>
      <c r="E344" s="3">
        <f t="shared" si="16"/>
        <v>2</v>
      </c>
      <c r="F344" s="5">
        <v>44173.625</v>
      </c>
      <c r="G344" s="19" t="str">
        <f t="shared" si="15"/>
        <v/>
      </c>
      <c r="J344" s="28">
        <f t="shared" si="17"/>
        <v>0.14479638009049767</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-0.20996441281138789</v>
      </c>
    </row>
    <row r="347" spans="1:10">
      <c r="A347" s="3">
        <v>235</v>
      </c>
      <c r="B347" t="s">
        <v>370</v>
      </c>
      <c r="C347" t="s">
        <v>456</v>
      </c>
      <c r="E347" s="3">
        <f t="shared" si="16"/>
        <v>5</v>
      </c>
      <c r="F347" s="5">
        <v>44176.625</v>
      </c>
      <c r="G347" s="19" t="str">
        <f t="shared" si="15"/>
        <v/>
      </c>
      <c r="J347" s="28">
        <f t="shared" si="17"/>
        <v>4.9107142857142794E-2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7.6433121019108263E-2</v>
      </c>
    </row>
    <row r="350" spans="1:10">
      <c r="A350" s="3">
        <v>233</v>
      </c>
      <c r="B350" t="s">
        <v>373</v>
      </c>
      <c r="C350" t="s">
        <v>456</v>
      </c>
      <c r="E350" s="3">
        <f t="shared" si="16"/>
        <v>1</v>
      </c>
      <c r="F350" s="5">
        <v>44179.625</v>
      </c>
      <c r="G350" s="19" t="str">
        <f t="shared" si="15"/>
        <v>2020-W51</v>
      </c>
      <c r="H350">
        <f>SUM(A350:A356)</f>
        <v>1224</v>
      </c>
      <c r="I350" s="28">
        <f>H350/H343-1</f>
        <v>-0.2243346007604563</v>
      </c>
      <c r="J350" s="28">
        <f t="shared" si="17"/>
        <v>-0.17957746478873238</v>
      </c>
    </row>
    <row r="351" spans="1:10">
      <c r="A351" s="3">
        <v>195</v>
      </c>
      <c r="B351" t="s">
        <v>374</v>
      </c>
      <c r="C351" t="s">
        <v>456</v>
      </c>
      <c r="E351" s="3">
        <f t="shared" si="16"/>
        <v>2</v>
      </c>
      <c r="F351" s="5">
        <v>44180.625</v>
      </c>
      <c r="G351" s="19" t="str">
        <f t="shared" si="15"/>
        <v/>
      </c>
      <c r="J351" s="28">
        <f t="shared" si="17"/>
        <v>-0.22924901185770752</v>
      </c>
    </row>
    <row r="352" spans="1:10">
      <c r="A352" s="3">
        <v>192</v>
      </c>
      <c r="B352" t="s">
        <v>375</v>
      </c>
      <c r="C352" t="s">
        <v>456</v>
      </c>
      <c r="E352" s="3">
        <f t="shared" si="16"/>
        <v>3</v>
      </c>
      <c r="F352" s="5">
        <v>44181.625</v>
      </c>
      <c r="G352" s="19" t="str">
        <f t="shared" si="15"/>
        <v/>
      </c>
      <c r="J352" s="28">
        <f t="shared" si="17"/>
        <v>-0.28358208955223885</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-0.22978723404255319</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940</v>
      </c>
      <c r="I357" s="28">
        <f>H357/H350-1</f>
        <v>-0.23202614379084963</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-0.23958333333333337</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910</v>
      </c>
      <c r="I364" s="28">
        <f>H364/H357-1</f>
        <v>-3.1914893617021267E-2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136</v>
      </c>
      <c r="B367" t="s">
        <v>390</v>
      </c>
      <c r="C367" t="s">
        <v>456</v>
      </c>
      <c r="E367" s="3">
        <f t="shared" si="16"/>
        <v>4</v>
      </c>
      <c r="F367" s="5">
        <v>44196.625</v>
      </c>
      <c r="G367" s="19" t="str">
        <f t="shared" si="15"/>
        <v/>
      </c>
      <c r="J367" s="28">
        <f t="shared" si="17"/>
        <v>0.43157894736842106</v>
      </c>
    </row>
    <row r="368" spans="1:10">
      <c r="A368" s="3">
        <v>67</v>
      </c>
      <c r="B368" t="s">
        <v>391</v>
      </c>
      <c r="C368" t="s">
        <v>456</v>
      </c>
      <c r="E368" s="3">
        <f t="shared" si="16"/>
        <v>5</v>
      </c>
      <c r="F368" s="5">
        <v>44197.625</v>
      </c>
      <c r="G368" s="19" t="str">
        <f t="shared" si="15"/>
        <v/>
      </c>
      <c r="J368" s="28">
        <f t="shared" si="17"/>
        <v>-0.30208333333333337</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197</v>
      </c>
      <c r="B371" t="s">
        <v>394</v>
      </c>
      <c r="C371" t="s">
        <v>456</v>
      </c>
      <c r="E371" s="3">
        <f t="shared" si="16"/>
        <v>1</v>
      </c>
      <c r="F371" s="5">
        <v>44200.625</v>
      </c>
      <c r="G371" s="19" t="str">
        <f t="shared" si="15"/>
        <v>2021-W01</v>
      </c>
      <c r="H371">
        <f>SUM(A371:A377)</f>
        <v>974</v>
      </c>
      <c r="I371" s="28">
        <f>H371/H364-1</f>
        <v>7.0329670329670302E-2</v>
      </c>
      <c r="J371" s="28">
        <f t="shared" si="17"/>
        <v>-0.11659192825112108</v>
      </c>
    </row>
    <row r="372" spans="1:10">
      <c r="A372" s="3">
        <v>155</v>
      </c>
      <c r="B372" t="s">
        <v>395</v>
      </c>
      <c r="C372" t="s">
        <v>456</v>
      </c>
      <c r="E372" s="3">
        <f t="shared" si="16"/>
        <v>2</v>
      </c>
      <c r="F372" s="5">
        <v>44201.625</v>
      </c>
      <c r="G372" s="19" t="str">
        <f t="shared" si="15"/>
        <v/>
      </c>
      <c r="J372" s="28">
        <f t="shared" si="17"/>
        <v>-5.4878048780487854E-2</v>
      </c>
    </row>
    <row r="373" spans="1:10">
      <c r="A373" s="3">
        <v>95</v>
      </c>
      <c r="B373" t="s">
        <v>396</v>
      </c>
      <c r="C373" t="s">
        <v>456</v>
      </c>
      <c r="E373" s="3">
        <f t="shared" si="16"/>
        <v>3</v>
      </c>
      <c r="F373" s="5">
        <v>44202.625</v>
      </c>
      <c r="G373" s="19" t="str">
        <f t="shared" si="15"/>
        <v/>
      </c>
      <c r="J373" s="28">
        <f t="shared" si="17"/>
        <v>-0.13636363636363635</v>
      </c>
    </row>
    <row r="374" spans="1:10">
      <c r="A374" s="3">
        <v>162</v>
      </c>
      <c r="B374" t="s">
        <v>397</v>
      </c>
      <c r="C374" t="s">
        <v>456</v>
      </c>
      <c r="E374" s="3">
        <f t="shared" si="16"/>
        <v>4</v>
      </c>
      <c r="F374" s="5">
        <v>44203.625</v>
      </c>
      <c r="G374" s="19" t="str">
        <f t="shared" si="15"/>
        <v/>
      </c>
      <c r="J374" s="28">
        <f t="shared" si="17"/>
        <v>0.19117647058823528</v>
      </c>
    </row>
    <row r="375" spans="1:10">
      <c r="A375" s="3">
        <v>146</v>
      </c>
      <c r="B375" t="s">
        <v>398</v>
      </c>
      <c r="C375" t="s">
        <v>456</v>
      </c>
      <c r="E375" s="3">
        <f t="shared" si="16"/>
        <v>5</v>
      </c>
      <c r="F375" s="5">
        <v>44204.625</v>
      </c>
      <c r="G375" s="19" t="str">
        <f t="shared" si="15"/>
        <v/>
      </c>
      <c r="J375" s="28">
        <f t="shared" si="17"/>
        <v>1.1791044776119404</v>
      </c>
    </row>
    <row r="376" spans="1:10">
      <c r="A376" s="3">
        <v>101</v>
      </c>
      <c r="B376" t="s">
        <v>399</v>
      </c>
      <c r="C376" t="s">
        <v>456</v>
      </c>
      <c r="E376" s="3">
        <f t="shared" si="16"/>
        <v>6</v>
      </c>
      <c r="F376" s="5">
        <v>44205.625</v>
      </c>
      <c r="G376" s="19" t="str">
        <f t="shared" si="15"/>
        <v/>
      </c>
      <c r="J376" s="28">
        <f t="shared" si="17"/>
        <v>-0.13675213675213671</v>
      </c>
    </row>
    <row r="377" spans="1:10">
      <c r="A377" s="3">
        <v>118</v>
      </c>
      <c r="B377" t="s">
        <v>400</v>
      </c>
      <c r="C377" t="s">
        <v>456</v>
      </c>
      <c r="E377" s="3">
        <f t="shared" si="16"/>
        <v>7</v>
      </c>
      <c r="F377" s="5">
        <v>44206.625</v>
      </c>
      <c r="G377" s="19" t="str">
        <f t="shared" si="15"/>
        <v/>
      </c>
      <c r="J377" s="28">
        <f t="shared" si="17"/>
        <v>0.26881720430107525</v>
      </c>
    </row>
    <row r="378" spans="1:10">
      <c r="A378" s="3">
        <v>187</v>
      </c>
      <c r="B378" t="s">
        <v>401</v>
      </c>
      <c r="C378" t="s">
        <v>456</v>
      </c>
      <c r="E378" s="3">
        <f t="shared" si="16"/>
        <v>1</v>
      </c>
      <c r="F378" s="5">
        <v>44207.625</v>
      </c>
      <c r="G378" s="19" t="str">
        <f t="shared" si="15"/>
        <v>2021-W02</v>
      </c>
      <c r="H378">
        <f>SUM(A378:A384)</f>
        <v>860</v>
      </c>
      <c r="I378" s="28">
        <f>H378/H371-1</f>
        <v>-0.11704312114989734</v>
      </c>
      <c r="J378" s="28">
        <f t="shared" si="17"/>
        <v>-5.0761421319796995E-2</v>
      </c>
    </row>
    <row r="379" spans="1:10">
      <c r="A379" s="3">
        <v>127</v>
      </c>
      <c r="B379" t="s">
        <v>402</v>
      </c>
      <c r="C379" t="s">
        <v>456</v>
      </c>
      <c r="E379" s="3">
        <f t="shared" si="16"/>
        <v>2</v>
      </c>
      <c r="F379" s="5">
        <v>44208.625</v>
      </c>
      <c r="G379" s="19" t="str">
        <f t="shared" si="15"/>
        <v/>
      </c>
      <c r="J379" s="28">
        <f t="shared" si="17"/>
        <v>-0.1806451612903226</v>
      </c>
    </row>
    <row r="380" spans="1:10">
      <c r="A380" s="3">
        <v>121</v>
      </c>
      <c r="B380" t="s">
        <v>403</v>
      </c>
      <c r="C380" t="s">
        <v>456</v>
      </c>
      <c r="E380" s="3">
        <f t="shared" si="16"/>
        <v>3</v>
      </c>
      <c r="F380" s="5">
        <v>44209.625</v>
      </c>
      <c r="G380" s="19" t="str">
        <f t="shared" si="15"/>
        <v/>
      </c>
      <c r="J380" s="28">
        <f t="shared" si="17"/>
        <v>0.27368421052631575</v>
      </c>
    </row>
    <row r="381" spans="1:10">
      <c r="A381" s="3">
        <v>123</v>
      </c>
      <c r="B381" t="s">
        <v>404</v>
      </c>
      <c r="C381" t="s">
        <v>456</v>
      </c>
      <c r="E381" s="3">
        <f t="shared" si="16"/>
        <v>4</v>
      </c>
      <c r="F381" s="5">
        <v>44210.625</v>
      </c>
      <c r="G381" s="19" t="str">
        <f t="shared" si="15"/>
        <v/>
      </c>
      <c r="J381" s="28">
        <f t="shared" si="17"/>
        <v>-0.2407407407407407</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-3.9603960396039639E-2</v>
      </c>
    </row>
    <row r="384" spans="1:10">
      <c r="A384" s="3">
        <v>97</v>
      </c>
      <c r="B384" t="s">
        <v>407</v>
      </c>
      <c r="C384" t="s">
        <v>456</v>
      </c>
      <c r="E384" s="3">
        <f t="shared" si="16"/>
        <v>7</v>
      </c>
      <c r="F384" s="5">
        <v>44213.625</v>
      </c>
      <c r="G384" s="19" t="str">
        <f t="shared" si="15"/>
        <v/>
      </c>
      <c r="J384" s="28">
        <f t="shared" si="17"/>
        <v>-0.17796610169491522</v>
      </c>
    </row>
    <row r="385" spans="1:10">
      <c r="A385" s="3">
        <v>257</v>
      </c>
      <c r="B385" t="s">
        <v>408</v>
      </c>
      <c r="C385" t="s">
        <v>456</v>
      </c>
      <c r="E385" s="3">
        <f t="shared" si="16"/>
        <v>1</v>
      </c>
      <c r="F385" s="5">
        <v>44214.625</v>
      </c>
      <c r="G385" s="19" t="str">
        <f t="shared" si="15"/>
        <v>2021-W03</v>
      </c>
      <c r="H385">
        <f>SUM(A385:A391)</f>
        <v>1275</v>
      </c>
      <c r="I385" s="28">
        <f>H385/H378-1</f>
        <v>0.48255813953488369</v>
      </c>
      <c r="J385" s="28">
        <f t="shared" si="17"/>
        <v>0.37433155080213898</v>
      </c>
    </row>
    <row r="386" spans="1:10">
      <c r="A386" s="3">
        <v>189</v>
      </c>
      <c r="B386" t="s">
        <v>409</v>
      </c>
      <c r="C386" t="s">
        <v>456</v>
      </c>
      <c r="E386" s="3">
        <f t="shared" si="16"/>
        <v>2</v>
      </c>
      <c r="F386" s="5">
        <v>44215.625</v>
      </c>
      <c r="G386" s="19" t="str">
        <f t="shared" si="15"/>
        <v/>
      </c>
      <c r="J386" s="28">
        <f t="shared" si="17"/>
        <v>0.48818897637795278</v>
      </c>
    </row>
    <row r="387" spans="1:10">
      <c r="A387" s="3">
        <v>209</v>
      </c>
      <c r="B387" t="s">
        <v>410</v>
      </c>
      <c r="C387" t="s">
        <v>456</v>
      </c>
      <c r="E387" s="3">
        <f t="shared" si="16"/>
        <v>3</v>
      </c>
      <c r="F387" s="5">
        <v>44216.625</v>
      </c>
      <c r="G387" s="19" t="str">
        <f t="shared" ref="G387:G450" si="18">IF(WEEKDAY(F387,2)=1,YEAR(F387)&amp;"-W"&amp;TEXT(WEEKNUM(F387,14),"00"),"")</f>
        <v/>
      </c>
      <c r="J387" s="28">
        <f t="shared" si="17"/>
        <v>0.72727272727272729</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0.57731958762886593</v>
      </c>
    </row>
    <row r="392" spans="1:10">
      <c r="A392" s="3">
        <v>257</v>
      </c>
      <c r="B392" t="s">
        <v>415</v>
      </c>
      <c r="C392" t="s">
        <v>456</v>
      </c>
      <c r="E392" s="3">
        <f t="shared" si="19"/>
        <v>1</v>
      </c>
      <c r="F392" s="5">
        <v>44221.625</v>
      </c>
      <c r="G392" s="19" t="str">
        <f t="shared" si="18"/>
        <v>2021-W04</v>
      </c>
      <c r="H392">
        <f>SUM(A392:A398)</f>
        <v>1376</v>
      </c>
      <c r="I392" s="28">
        <f>H392/H385-1</f>
        <v>7.92156862745097E-2</v>
      </c>
      <c r="J392" s="28">
        <f t="shared" si="17"/>
        <v>0</v>
      </c>
    </row>
    <row r="393" spans="1:10">
      <c r="A393" s="3">
        <v>212</v>
      </c>
      <c r="B393" t="s">
        <v>416</v>
      </c>
      <c r="C393" t="s">
        <v>456</v>
      </c>
      <c r="E393" s="3">
        <f t="shared" si="19"/>
        <v>2</v>
      </c>
      <c r="F393" s="5">
        <v>44222.625</v>
      </c>
      <c r="G393" s="19" t="str">
        <f t="shared" si="18"/>
        <v/>
      </c>
      <c r="J393" s="28">
        <f t="shared" ref="J393:J456" si="20">A393/A386-1</f>
        <v>0.12169312169312163</v>
      </c>
    </row>
    <row r="394" spans="1:10">
      <c r="A394" s="3">
        <v>188</v>
      </c>
      <c r="B394" t="s">
        <v>417</v>
      </c>
      <c r="C394" t="s">
        <v>456</v>
      </c>
      <c r="E394" s="3">
        <f t="shared" si="19"/>
        <v>3</v>
      </c>
      <c r="F394" s="5">
        <v>44223.625</v>
      </c>
      <c r="G394" s="19" t="str">
        <f t="shared" si="18"/>
        <v/>
      </c>
      <c r="J394" s="28">
        <f t="shared" si="20"/>
        <v>-0.1004784688995215</v>
      </c>
    </row>
    <row r="395" spans="1:10">
      <c r="A395" s="3">
        <v>229</v>
      </c>
      <c r="B395" t="s">
        <v>418</v>
      </c>
      <c r="C395" t="s">
        <v>456</v>
      </c>
      <c r="E395" s="3">
        <f t="shared" si="19"/>
        <v>4</v>
      </c>
      <c r="F395" s="5">
        <v>44224.625</v>
      </c>
      <c r="G395" s="19" t="str">
        <f t="shared" si="18"/>
        <v/>
      </c>
      <c r="J395" s="28">
        <f t="shared" si="20"/>
        <v>0.28651685393258419</v>
      </c>
    </row>
    <row r="396" spans="1:10">
      <c r="A396" s="3">
        <v>191</v>
      </c>
      <c r="B396" t="s">
        <v>419</v>
      </c>
      <c r="C396" t="s">
        <v>456</v>
      </c>
      <c r="E396" s="3">
        <f t="shared" si="19"/>
        <v>5</v>
      </c>
      <c r="F396" s="5">
        <v>44225.625</v>
      </c>
      <c r="G396" s="19" t="str">
        <f t="shared" si="18"/>
        <v/>
      </c>
      <c r="J396" s="28">
        <f t="shared" si="20"/>
        <v>-2.5510204081632626E-2</v>
      </c>
    </row>
    <row r="397" spans="1:10">
      <c r="A397" s="3">
        <v>132</v>
      </c>
      <c r="B397" t="s">
        <v>421</v>
      </c>
      <c r="C397" t="s">
        <v>456</v>
      </c>
      <c r="E397" s="3">
        <f t="shared" si="19"/>
        <v>6</v>
      </c>
      <c r="F397" s="5">
        <v>44226.625</v>
      </c>
      <c r="G397" s="19" t="str">
        <f t="shared" si="18"/>
        <v/>
      </c>
      <c r="J397" s="28">
        <f t="shared" si="20"/>
        <v>0.41935483870967749</v>
      </c>
    </row>
    <row r="398" spans="1:10">
      <c r="A398" s="3">
        <v>167</v>
      </c>
      <c r="B398" t="s">
        <v>422</v>
      </c>
      <c r="C398" t="s">
        <v>456</v>
      </c>
      <c r="E398" s="3">
        <f t="shared" si="19"/>
        <v>7</v>
      </c>
      <c r="F398" s="5">
        <v>44227.625</v>
      </c>
      <c r="G398" s="19" t="str">
        <f t="shared" si="18"/>
        <v/>
      </c>
      <c r="J398" s="28">
        <f t="shared" si="20"/>
        <v>9.1503267973856106E-2</v>
      </c>
    </row>
    <row r="399" spans="1:10">
      <c r="A399" s="3">
        <v>296</v>
      </c>
      <c r="B399" t="s">
        <v>423</v>
      </c>
      <c r="C399" t="s">
        <v>456</v>
      </c>
      <c r="E399" s="3">
        <f t="shared" si="19"/>
        <v>1</v>
      </c>
      <c r="F399" s="5">
        <v>44228.625</v>
      </c>
      <c r="G399" s="19" t="str">
        <f t="shared" si="18"/>
        <v>2021-W05</v>
      </c>
      <c r="H399">
        <f>SUM(A399:A405)</f>
        <v>1575</v>
      </c>
      <c r="I399" s="28">
        <f>H399/H392-1</f>
        <v>0.14462209302325579</v>
      </c>
      <c r="J399" s="28">
        <f t="shared" si="20"/>
        <v>0.15175097276264582</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225</v>
      </c>
      <c r="B402" t="s">
        <v>426</v>
      </c>
      <c r="C402" t="s">
        <v>456</v>
      </c>
      <c r="E402" s="3">
        <f t="shared" si="19"/>
        <v>4</v>
      </c>
      <c r="F402" s="5">
        <v>44231.625</v>
      </c>
      <c r="G402" s="19" t="str">
        <f t="shared" si="18"/>
        <v/>
      </c>
      <c r="J402" s="28">
        <f t="shared" si="20"/>
        <v>-1.7467248908296984E-2</v>
      </c>
    </row>
    <row r="403" spans="1:10">
      <c r="A403" s="3">
        <v>216</v>
      </c>
      <c r="B403" t="s">
        <v>427</v>
      </c>
      <c r="C403" t="s">
        <v>456</v>
      </c>
      <c r="E403" s="3">
        <f t="shared" si="19"/>
        <v>5</v>
      </c>
      <c r="F403" s="5">
        <v>44232.625</v>
      </c>
      <c r="G403" s="19" t="str">
        <f t="shared" si="18"/>
        <v/>
      </c>
      <c r="J403" s="28">
        <f t="shared" si="20"/>
        <v>0.13089005235602102</v>
      </c>
    </row>
    <row r="404" spans="1:10">
      <c r="A404" s="3">
        <v>152</v>
      </c>
      <c r="B404" t="s">
        <v>428</v>
      </c>
      <c r="C404" t="s">
        <v>456</v>
      </c>
      <c r="E404" s="3">
        <f t="shared" si="19"/>
        <v>6</v>
      </c>
      <c r="F404" s="5">
        <v>44233.625</v>
      </c>
      <c r="G404" s="19" t="str">
        <f t="shared" si="18"/>
        <v/>
      </c>
      <c r="J404" s="28">
        <f t="shared" si="20"/>
        <v>0.1515151515151516</v>
      </c>
    </row>
    <row r="405" spans="1:10">
      <c r="A405" s="3">
        <v>173</v>
      </c>
      <c r="B405" t="s">
        <v>429</v>
      </c>
      <c r="C405" t="s">
        <v>456</v>
      </c>
      <c r="E405" s="3">
        <f t="shared" si="19"/>
        <v>7</v>
      </c>
      <c r="F405" s="5">
        <v>44234.625</v>
      </c>
      <c r="G405" s="19" t="str">
        <f t="shared" si="18"/>
        <v/>
      </c>
      <c r="J405" s="28">
        <f t="shared" si="20"/>
        <v>3.5928143712574911E-2</v>
      </c>
    </row>
    <row r="406" spans="1:10">
      <c r="A406" s="3">
        <v>295</v>
      </c>
      <c r="B406" t="s">
        <v>437</v>
      </c>
      <c r="C406" t="s">
        <v>456</v>
      </c>
      <c r="E406" s="3">
        <f t="shared" si="19"/>
        <v>1</v>
      </c>
      <c r="F406" s="5">
        <v>44235.625</v>
      </c>
      <c r="G406" s="19" t="str">
        <f t="shared" si="18"/>
        <v>2021-W06</v>
      </c>
      <c r="H406">
        <f>SUM(A406:A412)</f>
        <v>1635</v>
      </c>
      <c r="I406" s="28">
        <f>H406/H399-1</f>
        <v>3.8095238095238182E-2</v>
      </c>
      <c r="J406" s="28">
        <f t="shared" si="20"/>
        <v>-3.3783783783783994E-3</v>
      </c>
    </row>
    <row r="407" spans="1:10">
      <c r="A407" s="3">
        <v>240</v>
      </c>
      <c r="B407" t="s">
        <v>438</v>
      </c>
      <c r="C407" t="s">
        <v>456</v>
      </c>
      <c r="E407" s="3">
        <f t="shared" si="19"/>
        <v>2</v>
      </c>
      <c r="F407" s="5">
        <v>44236.625</v>
      </c>
      <c r="G407" s="19" t="str">
        <f t="shared" si="18"/>
        <v/>
      </c>
      <c r="J407" s="28">
        <f t="shared" si="20"/>
        <v>-4.0000000000000036E-2</v>
      </c>
    </row>
    <row r="408" spans="1:10">
      <c r="A408" s="3">
        <v>230</v>
      </c>
      <c r="B408" t="s">
        <v>439</v>
      </c>
      <c r="C408" t="s">
        <v>456</v>
      </c>
      <c r="E408" s="3">
        <f t="shared" si="19"/>
        <v>3</v>
      </c>
      <c r="F408" s="5">
        <v>44237.625</v>
      </c>
      <c r="G408" s="19" t="str">
        <f t="shared" si="18"/>
        <v/>
      </c>
      <c r="J408" s="28">
        <f t="shared" si="20"/>
        <v>-0.12547528517110262</v>
      </c>
    </row>
    <row r="409" spans="1:10">
      <c r="A409" s="3">
        <v>237</v>
      </c>
      <c r="B409" t="s">
        <v>440</v>
      </c>
      <c r="C409" t="s">
        <v>456</v>
      </c>
      <c r="E409" s="3">
        <f t="shared" si="19"/>
        <v>4</v>
      </c>
      <c r="F409" s="5">
        <v>44238.625</v>
      </c>
      <c r="G409" s="19" t="str">
        <f t="shared" si="18"/>
        <v/>
      </c>
      <c r="J409" s="28">
        <f t="shared" si="20"/>
        <v>5.3333333333333233E-2</v>
      </c>
    </row>
    <row r="410" spans="1:10">
      <c r="A410" s="3">
        <v>261</v>
      </c>
      <c r="B410" t="s">
        <v>441</v>
      </c>
      <c r="C410" t="s">
        <v>456</v>
      </c>
      <c r="E410" s="3">
        <f t="shared" si="19"/>
        <v>5</v>
      </c>
      <c r="F410" s="5">
        <v>44239.625</v>
      </c>
      <c r="G410" s="19" t="str">
        <f t="shared" si="18"/>
        <v/>
      </c>
      <c r="J410" s="28">
        <f t="shared" si="20"/>
        <v>0.20833333333333326</v>
      </c>
    </row>
    <row r="411" spans="1:10">
      <c r="A411" s="3">
        <v>191</v>
      </c>
      <c r="B411" t="s">
        <v>442</v>
      </c>
      <c r="C411" t="s">
        <v>456</v>
      </c>
      <c r="E411" s="3">
        <f t="shared" si="19"/>
        <v>6</v>
      </c>
      <c r="F411" s="5">
        <v>44240.625</v>
      </c>
      <c r="G411" s="19" t="str">
        <f t="shared" si="18"/>
        <v/>
      </c>
      <c r="J411" s="28">
        <f t="shared" si="20"/>
        <v>0.25657894736842102</v>
      </c>
    </row>
    <row r="412" spans="1:10">
      <c r="A412" s="3">
        <v>181</v>
      </c>
      <c r="B412" t="s">
        <v>443</v>
      </c>
      <c r="C412" t="s">
        <v>456</v>
      </c>
      <c r="E412" s="3">
        <f t="shared" si="19"/>
        <v>7</v>
      </c>
      <c r="F412" s="5">
        <v>44241.625</v>
      </c>
      <c r="G412" s="19" t="str">
        <f t="shared" si="18"/>
        <v/>
      </c>
      <c r="J412" s="28">
        <f t="shared" si="20"/>
        <v>4.6242774566473965E-2</v>
      </c>
    </row>
    <row r="413" spans="1:10" s="10" customFormat="1">
      <c r="A413" s="14">
        <v>360</v>
      </c>
      <c r="B413" s="10" t="s">
        <v>444</v>
      </c>
      <c r="C413" s="10" t="s">
        <v>456</v>
      </c>
      <c r="E413" s="14">
        <f t="shared" si="19"/>
        <v>1</v>
      </c>
      <c r="F413" s="18">
        <v>44242.625</v>
      </c>
      <c r="G413" s="19" t="str">
        <f t="shared" si="18"/>
        <v>2021-W07</v>
      </c>
      <c r="H413" s="10">
        <f>SUM(A413:A419)</f>
        <v>2053</v>
      </c>
      <c r="I413" s="34">
        <f>H413/H406-1</f>
        <v>0.25565749235474011</v>
      </c>
      <c r="J413" s="28">
        <f t="shared" si="20"/>
        <v>0.22033898305084754</v>
      </c>
    </row>
    <row r="414" spans="1:10">
      <c r="A414" s="3">
        <v>328</v>
      </c>
      <c r="B414" t="s">
        <v>445</v>
      </c>
      <c r="C414" t="s">
        <v>456</v>
      </c>
      <c r="E414" s="3">
        <f t="shared" si="19"/>
        <v>2</v>
      </c>
      <c r="F414" s="5">
        <v>44243.625</v>
      </c>
      <c r="G414" s="19" t="str">
        <f t="shared" si="18"/>
        <v/>
      </c>
      <c r="J414" s="28">
        <f t="shared" si="20"/>
        <v>0.3666666666666667</v>
      </c>
    </row>
    <row r="415" spans="1:10">
      <c r="A415" s="3">
        <v>329</v>
      </c>
      <c r="B415" t="s">
        <v>446</v>
      </c>
      <c r="C415" t="s">
        <v>456</v>
      </c>
      <c r="E415" s="3">
        <f t="shared" si="19"/>
        <v>3</v>
      </c>
      <c r="F415" s="5">
        <v>44244.625</v>
      </c>
      <c r="G415" s="19" t="str">
        <f t="shared" si="18"/>
        <v/>
      </c>
      <c r="J415" s="28">
        <f t="shared" si="20"/>
        <v>0.43043478260869561</v>
      </c>
    </row>
    <row r="416" spans="1:10">
      <c r="A416" s="3">
        <v>325</v>
      </c>
      <c r="B416" t="s">
        <v>447</v>
      </c>
      <c r="C416" t="s">
        <v>456</v>
      </c>
      <c r="E416" s="3">
        <f t="shared" si="19"/>
        <v>4</v>
      </c>
      <c r="F416" s="5">
        <v>44245.625</v>
      </c>
      <c r="G416" s="19" t="str">
        <f t="shared" si="18"/>
        <v/>
      </c>
      <c r="J416" s="28">
        <f t="shared" si="20"/>
        <v>0.37130801687763704</v>
      </c>
    </row>
    <row r="417" spans="1:10">
      <c r="A417" s="3">
        <v>306</v>
      </c>
      <c r="B417" t="s">
        <v>448</v>
      </c>
      <c r="C417" t="s">
        <v>456</v>
      </c>
      <c r="E417" s="3">
        <f t="shared" si="19"/>
        <v>5</v>
      </c>
      <c r="F417" s="5">
        <v>44246.625</v>
      </c>
      <c r="G417" s="19" t="str">
        <f t="shared" si="18"/>
        <v/>
      </c>
      <c r="J417" s="28">
        <f t="shared" si="20"/>
        <v>0.17241379310344818</v>
      </c>
    </row>
    <row r="418" spans="1:10">
      <c r="A418" s="3">
        <v>185</v>
      </c>
      <c r="B418" t="s">
        <v>450</v>
      </c>
      <c r="C418" t="s">
        <v>456</v>
      </c>
      <c r="E418" s="3">
        <f t="shared" si="19"/>
        <v>6</v>
      </c>
      <c r="F418" s="5">
        <v>44247.625</v>
      </c>
      <c r="G418" s="19" t="str">
        <f t="shared" si="18"/>
        <v/>
      </c>
      <c r="J418" s="28">
        <f t="shared" si="20"/>
        <v>-3.1413612565445059E-2</v>
      </c>
    </row>
    <row r="419" spans="1:10">
      <c r="A419" s="3">
        <v>220</v>
      </c>
      <c r="B419" t="s">
        <v>451</v>
      </c>
      <c r="C419" t="s">
        <v>456</v>
      </c>
      <c r="E419" s="3">
        <f t="shared" si="19"/>
        <v>7</v>
      </c>
      <c r="F419" s="5">
        <v>44248.625</v>
      </c>
      <c r="G419" s="19" t="str">
        <f t="shared" si="18"/>
        <v/>
      </c>
      <c r="J419" s="28">
        <f t="shared" si="20"/>
        <v>0.21546961325966851</v>
      </c>
    </row>
    <row r="420" spans="1:10">
      <c r="A420" s="3">
        <v>388</v>
      </c>
      <c r="B420" t="s">
        <v>452</v>
      </c>
      <c r="C420" t="s">
        <v>456</v>
      </c>
      <c r="E420" s="3">
        <f t="shared" si="19"/>
        <v>1</v>
      </c>
      <c r="F420" s="5">
        <v>44249.625</v>
      </c>
      <c r="G420" s="19" t="str">
        <f t="shared" si="18"/>
        <v>2021-W08</v>
      </c>
      <c r="H420">
        <f>SUM(A420:A426)</f>
        <v>2510</v>
      </c>
      <c r="I420" s="28">
        <f>H420/H413-1</f>
        <v>0.22260107160253284</v>
      </c>
      <c r="J420" s="28">
        <f t="shared" si="20"/>
        <v>7.7777777777777724E-2</v>
      </c>
    </row>
    <row r="421" spans="1:10">
      <c r="A421" s="3">
        <v>383</v>
      </c>
      <c r="B421" t="s">
        <v>455</v>
      </c>
      <c r="C421" t="s">
        <v>456</v>
      </c>
      <c r="E421" s="3">
        <f t="shared" si="19"/>
        <v>2</v>
      </c>
      <c r="F421" s="5">
        <v>44250.625</v>
      </c>
      <c r="G421" s="19" t="str">
        <f t="shared" si="18"/>
        <v/>
      </c>
      <c r="J421" s="28">
        <f t="shared" si="20"/>
        <v>0.16768292682926833</v>
      </c>
    </row>
    <row r="422" spans="1:10">
      <c r="A422" s="3">
        <v>417</v>
      </c>
      <c r="B422" t="s">
        <v>461</v>
      </c>
      <c r="C422" t="s">
        <v>456</v>
      </c>
      <c r="E422" s="3">
        <f t="shared" si="19"/>
        <v>3</v>
      </c>
      <c r="F422" s="5">
        <v>44251.625</v>
      </c>
      <c r="G422" s="19" t="str">
        <f t="shared" si="18"/>
        <v/>
      </c>
      <c r="J422" s="28">
        <f t="shared" si="20"/>
        <v>0.26747720364741645</v>
      </c>
    </row>
    <row r="423" spans="1:10">
      <c r="A423" s="3">
        <v>361</v>
      </c>
      <c r="B423" t="s">
        <v>463</v>
      </c>
      <c r="C423" t="s">
        <v>456</v>
      </c>
      <c r="E423" s="3">
        <f t="shared" si="19"/>
        <v>4</v>
      </c>
      <c r="F423" s="5">
        <v>44252.625</v>
      </c>
      <c r="G423" s="19" t="str">
        <f t="shared" si="18"/>
        <v/>
      </c>
      <c r="J423" s="28">
        <f t="shared" si="20"/>
        <v>0.11076923076923073</v>
      </c>
    </row>
    <row r="424" spans="1:10">
      <c r="A424" s="3">
        <v>429</v>
      </c>
      <c r="B424" t="s">
        <v>464</v>
      </c>
      <c r="C424" t="s">
        <v>456</v>
      </c>
      <c r="E424" s="3">
        <f t="shared" si="19"/>
        <v>5</v>
      </c>
      <c r="F424" s="5">
        <v>44253.625</v>
      </c>
      <c r="G424" s="19" t="str">
        <f t="shared" si="18"/>
        <v/>
      </c>
      <c r="J424" s="28">
        <f t="shared" si="20"/>
        <v>0.40196078431372539</v>
      </c>
    </row>
    <row r="425" spans="1:10">
      <c r="A425" s="3">
        <v>266</v>
      </c>
      <c r="B425" t="s">
        <v>469</v>
      </c>
      <c r="C425" t="s">
        <v>456</v>
      </c>
      <c r="E425" s="3">
        <f t="shared" si="19"/>
        <v>6</v>
      </c>
      <c r="F425" s="5">
        <v>44254.625</v>
      </c>
      <c r="G425" s="19" t="str">
        <f t="shared" si="18"/>
        <v/>
      </c>
      <c r="J425" s="28">
        <f t="shared" si="20"/>
        <v>0.43783783783783781</v>
      </c>
    </row>
    <row r="426" spans="1:10">
      <c r="A426" s="3">
        <v>266</v>
      </c>
      <c r="B426" t="s">
        <v>470</v>
      </c>
      <c r="C426" t="s">
        <v>456</v>
      </c>
      <c r="E426" s="3">
        <f t="shared" si="19"/>
        <v>7</v>
      </c>
      <c r="F426" s="5">
        <v>44255.625</v>
      </c>
      <c r="G426" s="19" t="str">
        <f t="shared" si="18"/>
        <v/>
      </c>
      <c r="J426" s="28">
        <f t="shared" si="20"/>
        <v>0.20909090909090899</v>
      </c>
    </row>
    <row r="427" spans="1:10">
      <c r="A427" s="3">
        <v>483</v>
      </c>
      <c r="B427" t="s">
        <v>471</v>
      </c>
      <c r="C427" t="s">
        <v>456</v>
      </c>
      <c r="E427" s="3">
        <f t="shared" si="19"/>
        <v>1</v>
      </c>
      <c r="F427" s="5">
        <v>44256.625</v>
      </c>
      <c r="G427" s="19" t="str">
        <f t="shared" si="18"/>
        <v>2021-W09</v>
      </c>
      <c r="H427">
        <f>SUM(A427:A433)</f>
        <v>2792</v>
      </c>
      <c r="I427" s="28">
        <f>H427/H420-1</f>
        <v>0.11235059760956179</v>
      </c>
      <c r="J427" s="28">
        <f t="shared" si="20"/>
        <v>0.24484536082474229</v>
      </c>
    </row>
    <row r="428" spans="1:10">
      <c r="A428" s="3">
        <v>492</v>
      </c>
      <c r="B428" t="s">
        <v>472</v>
      </c>
      <c r="C428" t="s">
        <v>456</v>
      </c>
      <c r="E428" s="3">
        <f t="shared" si="19"/>
        <v>2</v>
      </c>
      <c r="F428" s="5">
        <v>44257.625</v>
      </c>
      <c r="G428" s="19" t="str">
        <f t="shared" si="18"/>
        <v/>
      </c>
      <c r="J428" s="28">
        <f t="shared" si="20"/>
        <v>0.28459530026109658</v>
      </c>
    </row>
    <row r="429" spans="1:10">
      <c r="A429" s="3">
        <v>475</v>
      </c>
      <c r="B429" t="s">
        <v>473</v>
      </c>
      <c r="C429" t="s">
        <v>456</v>
      </c>
      <c r="E429" s="3">
        <f t="shared" si="19"/>
        <v>3</v>
      </c>
      <c r="F429" s="5">
        <v>44258.625</v>
      </c>
      <c r="G429" s="19" t="str">
        <f t="shared" si="18"/>
        <v/>
      </c>
      <c r="J429" s="28">
        <f t="shared" si="20"/>
        <v>0.13908872901678659</v>
      </c>
    </row>
    <row r="430" spans="1:10">
      <c r="A430" s="3">
        <v>389</v>
      </c>
      <c r="B430" t="s">
        <v>474</v>
      </c>
      <c r="C430" t="s">
        <v>456</v>
      </c>
      <c r="E430" s="3">
        <f t="shared" si="19"/>
        <v>4</v>
      </c>
      <c r="F430" s="5">
        <v>44259.625</v>
      </c>
      <c r="G430" s="19" t="str">
        <f t="shared" si="18"/>
        <v/>
      </c>
      <c r="J430" s="28">
        <f t="shared" si="20"/>
        <v>7.756232686980602E-2</v>
      </c>
    </row>
    <row r="431" spans="1:10">
      <c r="A431" s="3">
        <v>420</v>
      </c>
      <c r="B431" t="s">
        <v>475</v>
      </c>
      <c r="C431" t="s">
        <v>456</v>
      </c>
      <c r="E431" s="3">
        <f t="shared" si="19"/>
        <v>5</v>
      </c>
      <c r="F431" s="5">
        <v>44260.625</v>
      </c>
      <c r="G431" s="19" t="str">
        <f t="shared" si="18"/>
        <v/>
      </c>
      <c r="J431" s="28">
        <f t="shared" si="20"/>
        <v>-2.0979020979020935E-2</v>
      </c>
    </row>
    <row r="432" spans="1:10">
      <c r="A432" s="3">
        <v>277</v>
      </c>
      <c r="B432" t="s">
        <v>476</v>
      </c>
      <c r="C432" t="s">
        <v>456</v>
      </c>
      <c r="E432" s="3">
        <f t="shared" si="19"/>
        <v>6</v>
      </c>
      <c r="F432" s="5">
        <v>44261.625</v>
      </c>
      <c r="G432" s="19" t="str">
        <f t="shared" si="18"/>
        <v/>
      </c>
      <c r="J432" s="28">
        <f t="shared" si="20"/>
        <v>4.1353383458646586E-2</v>
      </c>
    </row>
    <row r="433" spans="1:10">
      <c r="A433" s="3">
        <v>256</v>
      </c>
      <c r="B433" t="s">
        <v>477</v>
      </c>
      <c r="C433" t="s">
        <v>456</v>
      </c>
      <c r="E433" s="3">
        <f t="shared" si="19"/>
        <v>7</v>
      </c>
      <c r="F433" s="5">
        <v>44262.625</v>
      </c>
      <c r="G433" s="19" t="str">
        <f t="shared" si="18"/>
        <v/>
      </c>
      <c r="J433" s="28">
        <f t="shared" si="20"/>
        <v>-3.7593984962406068E-2</v>
      </c>
    </row>
    <row r="434" spans="1:10">
      <c r="A434" s="3">
        <v>501</v>
      </c>
      <c r="B434" t="s">
        <v>478</v>
      </c>
      <c r="C434" t="s">
        <v>456</v>
      </c>
      <c r="E434" s="3">
        <f t="shared" si="19"/>
        <v>1</v>
      </c>
      <c r="F434" s="5">
        <v>44263.625</v>
      </c>
      <c r="G434" s="19" t="str">
        <f t="shared" si="18"/>
        <v>2021-W10</v>
      </c>
      <c r="H434">
        <f>SUM(A434:A440)</f>
        <v>3095</v>
      </c>
      <c r="I434" s="28">
        <f>H434/H427-1</f>
        <v>0.10852435530085969</v>
      </c>
      <c r="J434" s="28">
        <f t="shared" si="20"/>
        <v>3.7267080745341685E-2</v>
      </c>
    </row>
    <row r="435" spans="1:10">
      <c r="A435" s="3">
        <v>506</v>
      </c>
      <c r="B435" t="s">
        <v>479</v>
      </c>
      <c r="C435" t="s">
        <v>456</v>
      </c>
      <c r="E435" s="3">
        <f t="shared" si="19"/>
        <v>2</v>
      </c>
      <c r="F435" s="5">
        <v>44264.625</v>
      </c>
      <c r="G435" s="19" t="str">
        <f t="shared" si="18"/>
        <v/>
      </c>
      <c r="J435" s="28">
        <f t="shared" si="20"/>
        <v>2.8455284552845628E-2</v>
      </c>
    </row>
    <row r="436" spans="1:10">
      <c r="A436" s="3">
        <v>505</v>
      </c>
      <c r="B436" t="s">
        <v>480</v>
      </c>
      <c r="C436" t="s">
        <v>456</v>
      </c>
      <c r="E436" s="3">
        <f t="shared" si="19"/>
        <v>3</v>
      </c>
      <c r="F436" s="5">
        <v>44265.625</v>
      </c>
      <c r="G436" s="19" t="str">
        <f t="shared" si="18"/>
        <v/>
      </c>
      <c r="J436" s="28">
        <f t="shared" si="20"/>
        <v>6.315789473684208E-2</v>
      </c>
    </row>
    <row r="437" spans="1:10">
      <c r="A437" s="3">
        <v>477</v>
      </c>
      <c r="B437" t="s">
        <v>481</v>
      </c>
      <c r="C437" t="s">
        <v>456</v>
      </c>
      <c r="E437" s="3">
        <f t="shared" si="19"/>
        <v>4</v>
      </c>
      <c r="F437" s="5">
        <v>44266.625</v>
      </c>
      <c r="G437" s="19" t="str">
        <f t="shared" si="18"/>
        <v/>
      </c>
      <c r="J437" s="28">
        <f t="shared" si="20"/>
        <v>0.22622107969151672</v>
      </c>
    </row>
    <row r="438" spans="1:10">
      <c r="A438" s="3">
        <v>517</v>
      </c>
      <c r="B438" t="s">
        <v>482</v>
      </c>
      <c r="C438" t="s">
        <v>456</v>
      </c>
      <c r="E438" s="3">
        <f t="shared" si="19"/>
        <v>5</v>
      </c>
      <c r="F438" s="5">
        <v>44267.625</v>
      </c>
      <c r="G438" s="19" t="str">
        <f t="shared" si="18"/>
        <v/>
      </c>
      <c r="J438" s="28">
        <f t="shared" si="20"/>
        <v>0.23095238095238102</v>
      </c>
    </row>
    <row r="439" spans="1:10">
      <c r="A439" s="3">
        <v>327</v>
      </c>
      <c r="B439" t="s">
        <v>483</v>
      </c>
      <c r="C439" t="s">
        <v>456</v>
      </c>
      <c r="E439" s="3">
        <f t="shared" si="19"/>
        <v>6</v>
      </c>
      <c r="F439" s="5">
        <v>44268.625</v>
      </c>
      <c r="G439" s="19" t="str">
        <f t="shared" si="18"/>
        <v/>
      </c>
      <c r="J439" s="28">
        <f t="shared" si="20"/>
        <v>0.18050541516245477</v>
      </c>
    </row>
    <row r="440" spans="1:10">
      <c r="A440" s="3">
        <v>262</v>
      </c>
      <c r="B440" t="s">
        <v>484</v>
      </c>
      <c r="C440" t="s">
        <v>456</v>
      </c>
      <c r="E440" s="3">
        <f t="shared" si="19"/>
        <v>7</v>
      </c>
      <c r="F440" s="5">
        <v>44269.625</v>
      </c>
      <c r="G440" s="19" t="str">
        <f t="shared" si="18"/>
        <v/>
      </c>
      <c r="J440" s="28">
        <f t="shared" si="20"/>
        <v>2.34375E-2</v>
      </c>
    </row>
    <row r="441" spans="1:10">
      <c r="A441" s="3">
        <v>508</v>
      </c>
      <c r="B441" t="s">
        <v>485</v>
      </c>
      <c r="C441" t="s">
        <v>456</v>
      </c>
      <c r="E441" s="3">
        <f t="shared" si="19"/>
        <v>1</v>
      </c>
      <c r="F441" s="5">
        <v>44270.625</v>
      </c>
      <c r="G441" s="19" t="str">
        <f t="shared" si="18"/>
        <v>2021-W11</v>
      </c>
      <c r="H441">
        <f>SUM(A441:A447)</f>
        <v>2853</v>
      </c>
      <c r="I441" s="28">
        <f>H441/H434-1</f>
        <v>-7.8190630048465271E-2</v>
      </c>
      <c r="J441" s="28">
        <f t="shared" si="20"/>
        <v>1.3972055888223478E-2</v>
      </c>
    </row>
    <row r="442" spans="1:10">
      <c r="A442" s="3">
        <v>454</v>
      </c>
      <c r="B442" t="s">
        <v>486</v>
      </c>
      <c r="C442" t="s">
        <v>456</v>
      </c>
      <c r="E442" s="3">
        <f t="shared" si="19"/>
        <v>2</v>
      </c>
      <c r="F442" s="5">
        <v>44271.625</v>
      </c>
      <c r="G442" s="19" t="str">
        <f t="shared" si="18"/>
        <v/>
      </c>
      <c r="J442" s="28">
        <f t="shared" si="20"/>
        <v>-0.10276679841897229</v>
      </c>
    </row>
    <row r="443" spans="1:10">
      <c r="A443" s="3">
        <v>417</v>
      </c>
      <c r="B443" t="s">
        <v>487</v>
      </c>
      <c r="C443" t="s">
        <v>456</v>
      </c>
      <c r="E443" s="3">
        <f t="shared" si="19"/>
        <v>3</v>
      </c>
      <c r="F443" s="5">
        <v>44272.625</v>
      </c>
      <c r="G443" s="19" t="str">
        <f t="shared" si="18"/>
        <v/>
      </c>
      <c r="J443" s="28">
        <f t="shared" si="20"/>
        <v>-0.1742574257425743</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-0.14119922630560933</v>
      </c>
    </row>
    <row r="446" spans="1:10">
      <c r="A446" s="3">
        <v>287</v>
      </c>
      <c r="B446" t="s">
        <v>490</v>
      </c>
      <c r="C446" t="s">
        <v>456</v>
      </c>
      <c r="E446" s="3">
        <f t="shared" si="19"/>
        <v>6</v>
      </c>
      <c r="F446" s="5">
        <v>44275.625</v>
      </c>
      <c r="G446" s="19" t="str">
        <f t="shared" si="18"/>
        <v/>
      </c>
      <c r="J446" s="28">
        <f t="shared" si="20"/>
        <v>-0.1223241590214067</v>
      </c>
    </row>
    <row r="447" spans="1:10">
      <c r="A447" s="3">
        <v>288</v>
      </c>
      <c r="B447" t="s">
        <v>491</v>
      </c>
      <c r="C447" t="s">
        <v>456</v>
      </c>
      <c r="E447" s="3">
        <f t="shared" si="19"/>
        <v>7</v>
      </c>
      <c r="F447" s="5">
        <v>44276.625</v>
      </c>
      <c r="G447" s="19" t="str">
        <f t="shared" si="18"/>
        <v/>
      </c>
      <c r="J447" s="28">
        <f t="shared" si="20"/>
        <v>9.92366412213741E-2</v>
      </c>
    </row>
    <row r="448" spans="1:10">
      <c r="A448" s="3">
        <v>452</v>
      </c>
      <c r="B448" t="s">
        <v>492</v>
      </c>
      <c r="C448" t="s">
        <v>456</v>
      </c>
      <c r="E448" s="3">
        <f t="shared" si="19"/>
        <v>1</v>
      </c>
      <c r="F448" s="5">
        <v>44277.625</v>
      </c>
      <c r="G448" s="19" t="str">
        <f t="shared" si="18"/>
        <v>2021-W12</v>
      </c>
      <c r="H448">
        <f>SUM(A448:A454)</f>
        <v>2507</v>
      </c>
      <c r="I448" s="28">
        <f>H448/H441-1</f>
        <v>-0.12127584998247454</v>
      </c>
      <c r="J448" s="28">
        <f t="shared" si="20"/>
        <v>-0.11023622047244097</v>
      </c>
    </row>
    <row r="449" spans="1:10">
      <c r="A449" s="3">
        <v>452</v>
      </c>
      <c r="B449" t="s">
        <v>493</v>
      </c>
      <c r="C449" t="s">
        <v>456</v>
      </c>
      <c r="E449" s="3">
        <f t="shared" si="19"/>
        <v>2</v>
      </c>
      <c r="F449" s="5">
        <v>44278.625</v>
      </c>
      <c r="G449" s="19" t="str">
        <f t="shared" si="18"/>
        <v/>
      </c>
      <c r="J449" s="28">
        <f t="shared" si="20"/>
        <v>-4.405286343612369E-3</v>
      </c>
    </row>
    <row r="450" spans="1:10">
      <c r="A450" s="3">
        <v>394</v>
      </c>
      <c r="B450" t="s">
        <v>494</v>
      </c>
      <c r="C450" t="s">
        <v>456</v>
      </c>
      <c r="E450" s="3">
        <f t="shared" si="19"/>
        <v>3</v>
      </c>
      <c r="F450" s="5">
        <v>44279.625</v>
      </c>
      <c r="G450" s="19" t="str">
        <f t="shared" si="18"/>
        <v/>
      </c>
      <c r="J450" s="28">
        <f t="shared" si="20"/>
        <v>-5.5155875299760182E-2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248</v>
      </c>
      <c r="B454" t="s">
        <v>498</v>
      </c>
      <c r="C454" t="s">
        <v>456</v>
      </c>
      <c r="E454" s="3">
        <f t="shared" si="22"/>
        <v>7</v>
      </c>
      <c r="F454" s="5">
        <v>44283.625</v>
      </c>
      <c r="G454" s="19" t="str">
        <f t="shared" si="21"/>
        <v/>
      </c>
      <c r="J454" s="28">
        <f t="shared" si="20"/>
        <v>-0.13888888888888884</v>
      </c>
    </row>
    <row r="455" spans="1:10">
      <c r="A455" s="3">
        <v>378</v>
      </c>
      <c r="B455" t="s">
        <v>499</v>
      </c>
      <c r="C455" t="s">
        <v>456</v>
      </c>
      <c r="E455" s="3">
        <f t="shared" si="22"/>
        <v>1</v>
      </c>
      <c r="F455" s="5">
        <v>44284.625</v>
      </c>
      <c r="G455" s="19" t="str">
        <f t="shared" si="21"/>
        <v>2021-W13</v>
      </c>
      <c r="H455">
        <f>SUM(A455:A461)</f>
        <v>1900</v>
      </c>
      <c r="I455" s="28">
        <f>H455/H448-1</f>
        <v>-0.24212205823693655</v>
      </c>
      <c r="J455" s="28">
        <f t="shared" si="20"/>
        <v>-0.16371681415929207</v>
      </c>
    </row>
    <row r="456" spans="1:10">
      <c r="A456" s="3">
        <v>322</v>
      </c>
      <c r="B456" t="s">
        <v>500</v>
      </c>
      <c r="C456" t="s">
        <v>456</v>
      </c>
      <c r="E456" s="3">
        <f t="shared" si="22"/>
        <v>2</v>
      </c>
      <c r="F456" s="5">
        <v>44285.625</v>
      </c>
      <c r="G456" s="19" t="str">
        <f t="shared" si="21"/>
        <v/>
      </c>
      <c r="J456" s="28">
        <f t="shared" si="20"/>
        <v>-0.28761061946902655</v>
      </c>
    </row>
    <row r="457" spans="1:10">
      <c r="A457" s="3">
        <v>331</v>
      </c>
      <c r="B457" t="s">
        <v>501</v>
      </c>
      <c r="C457" t="s">
        <v>456</v>
      </c>
      <c r="E457" s="3">
        <f t="shared" si="22"/>
        <v>3</v>
      </c>
      <c r="F457" s="5">
        <v>44286.625</v>
      </c>
      <c r="G457" s="19" t="str">
        <f t="shared" si="21"/>
        <v/>
      </c>
      <c r="J457" s="28">
        <f t="shared" ref="J457:J520" si="23">A457/A450-1</f>
        <v>-0.15989847715736039</v>
      </c>
    </row>
    <row r="458" spans="1:10">
      <c r="A458" s="3">
        <v>252</v>
      </c>
      <c r="B458" t="s">
        <v>502</v>
      </c>
      <c r="C458" t="s">
        <v>456</v>
      </c>
      <c r="E458" s="3">
        <f t="shared" si="22"/>
        <v>4</v>
      </c>
      <c r="F458" s="5">
        <v>44287.625</v>
      </c>
      <c r="G458" s="19" t="str">
        <f t="shared" si="21"/>
        <v/>
      </c>
      <c r="J458" s="28">
        <f t="shared" si="23"/>
        <v>-0.29014084507042248</v>
      </c>
    </row>
    <row r="459" spans="1:10">
      <c r="A459" s="3">
        <v>223</v>
      </c>
      <c r="B459" t="s">
        <v>503</v>
      </c>
      <c r="C459" t="s">
        <v>456</v>
      </c>
      <c r="E459" s="3">
        <f t="shared" si="22"/>
        <v>5</v>
      </c>
      <c r="F459" s="5">
        <v>44288.625</v>
      </c>
      <c r="G459" s="19" t="str">
        <f t="shared" si="21"/>
        <v/>
      </c>
      <c r="J459" s="28">
        <f t="shared" si="23"/>
        <v>-0.45208845208845205</v>
      </c>
    </row>
    <row r="460" spans="1:10">
      <c r="A460" s="3">
        <v>188</v>
      </c>
      <c r="B460" t="s">
        <v>504</v>
      </c>
      <c r="C460" t="s">
        <v>456</v>
      </c>
      <c r="E460" s="3">
        <f t="shared" si="22"/>
        <v>6</v>
      </c>
      <c r="F460" s="5">
        <v>44289.625</v>
      </c>
      <c r="G460" s="19" t="str">
        <f t="shared" si="21"/>
        <v/>
      </c>
      <c r="J460" s="28">
        <f t="shared" si="23"/>
        <v>-5.5276381909547756E-2</v>
      </c>
    </row>
    <row r="461" spans="1:10">
      <c r="A461" s="3">
        <v>206</v>
      </c>
      <c r="B461" t="s">
        <v>505</v>
      </c>
      <c r="C461" t="s">
        <v>456</v>
      </c>
      <c r="E461" s="3">
        <f t="shared" si="22"/>
        <v>7</v>
      </c>
      <c r="F461" s="5">
        <v>44290.625</v>
      </c>
      <c r="G461" s="19" t="str">
        <f t="shared" si="21"/>
        <v/>
      </c>
      <c r="J461" s="28">
        <f t="shared" si="23"/>
        <v>-0.16935483870967738</v>
      </c>
    </row>
    <row r="462" spans="1:10">
      <c r="A462" s="3">
        <v>232</v>
      </c>
      <c r="B462" t="s">
        <v>506</v>
      </c>
      <c r="C462" t="s">
        <v>456</v>
      </c>
      <c r="E462" s="3">
        <f t="shared" si="22"/>
        <v>1</v>
      </c>
      <c r="F462" s="5">
        <v>44291.625</v>
      </c>
      <c r="G462" s="19" t="str">
        <f t="shared" si="21"/>
        <v>2021-W14</v>
      </c>
      <c r="H462">
        <f>SUM(A462:A468)</f>
        <v>1448</v>
      </c>
      <c r="I462" s="28">
        <f>H462/H455-1</f>
        <v>-0.23789473684210527</v>
      </c>
      <c r="J462" s="28">
        <f t="shared" si="23"/>
        <v>-0.38624338624338628</v>
      </c>
    </row>
    <row r="463" spans="1:10">
      <c r="A463" s="3">
        <v>305</v>
      </c>
      <c r="B463" t="s">
        <v>507</v>
      </c>
      <c r="C463" t="s">
        <v>456</v>
      </c>
      <c r="E463" s="3">
        <f t="shared" si="22"/>
        <v>2</v>
      </c>
      <c r="F463" s="5">
        <v>44292.625</v>
      </c>
      <c r="G463" s="19" t="str">
        <f t="shared" si="21"/>
        <v/>
      </c>
      <c r="J463" s="28">
        <f t="shared" si="23"/>
        <v>-5.2795031055900665E-2</v>
      </c>
    </row>
    <row r="464" spans="1:10">
      <c r="A464" s="3">
        <v>246</v>
      </c>
      <c r="B464" t="s">
        <v>508</v>
      </c>
      <c r="C464" t="s">
        <v>456</v>
      </c>
      <c r="E464" s="3">
        <f t="shared" si="22"/>
        <v>3</v>
      </c>
      <c r="F464" s="5">
        <v>44293.625</v>
      </c>
      <c r="G464" s="19" t="str">
        <f t="shared" si="21"/>
        <v/>
      </c>
      <c r="J464" s="28">
        <f t="shared" si="23"/>
        <v>-0.25679758308157097</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-0.2152466367713004</v>
      </c>
    </row>
    <row r="467" spans="1:10">
      <c r="A467" s="3">
        <v>137</v>
      </c>
      <c r="B467" t="s">
        <v>511</v>
      </c>
      <c r="C467" t="s">
        <v>456</v>
      </c>
      <c r="E467" s="3">
        <f t="shared" si="22"/>
        <v>6</v>
      </c>
      <c r="F467" s="5">
        <v>44296.625</v>
      </c>
      <c r="G467" s="19" t="str">
        <f t="shared" si="21"/>
        <v/>
      </c>
      <c r="J467" s="28">
        <f t="shared" si="23"/>
        <v>-0.27127659574468088</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-0.3024861878453039</v>
      </c>
      <c r="J469" s="28">
        <f t="shared" si="23"/>
        <v>-7.3275862068965525E-2</v>
      </c>
    </row>
    <row r="470" spans="1:10">
      <c r="A470" s="3">
        <v>155</v>
      </c>
      <c r="B470" t="s">
        <v>514</v>
      </c>
      <c r="C470" t="s">
        <v>456</v>
      </c>
      <c r="E470" s="3">
        <f t="shared" si="22"/>
        <v>2</v>
      </c>
      <c r="F470" s="5">
        <v>44299.625</v>
      </c>
      <c r="G470" s="19" t="str">
        <f t="shared" si="21"/>
        <v/>
      </c>
      <c r="J470" s="28">
        <f t="shared" si="23"/>
        <v>-0.49180327868852458</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-9.4890510948905105E-2</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811</v>
      </c>
      <c r="I476" s="28">
        <f>H476/H469-1</f>
        <v>-0.19702970297029698</v>
      </c>
      <c r="J476" s="28">
        <f t="shared" si="23"/>
        <v>-0.36744186046511629</v>
      </c>
    </row>
    <row r="477" spans="1:10">
      <c r="A477" s="3">
        <v>144</v>
      </c>
      <c r="B477" t="s">
        <v>521</v>
      </c>
      <c r="C477" t="s">
        <v>456</v>
      </c>
      <c r="E477" s="3">
        <f t="shared" si="22"/>
        <v>2</v>
      </c>
      <c r="F477" s="5">
        <v>44306.625</v>
      </c>
      <c r="G477" s="19" t="str">
        <f t="shared" si="21"/>
        <v/>
      </c>
      <c r="J477" s="28">
        <f t="shared" si="23"/>
        <v>-7.096774193548383E-2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85</v>
      </c>
      <c r="B481" t="s">
        <v>526</v>
      </c>
      <c r="C481" t="s">
        <v>456</v>
      </c>
      <c r="E481" s="3">
        <f t="shared" si="22"/>
        <v>6</v>
      </c>
      <c r="F481" s="5">
        <v>44310.625</v>
      </c>
      <c r="G481" s="19" t="str">
        <f t="shared" si="21"/>
        <v/>
      </c>
      <c r="J481" s="28">
        <f t="shared" si="23"/>
        <v>-0.31451612903225812</v>
      </c>
    </row>
    <row r="482" spans="1:10">
      <c r="A482" s="3">
        <v>83</v>
      </c>
      <c r="B482" t="s">
        <v>527</v>
      </c>
      <c r="C482" t="s">
        <v>456</v>
      </c>
      <c r="E482" s="3">
        <f t="shared" si="22"/>
        <v>7</v>
      </c>
      <c r="F482" s="5">
        <v>44311.625</v>
      </c>
      <c r="G482" s="19" t="str">
        <f t="shared" si="21"/>
        <v/>
      </c>
      <c r="J482" s="28">
        <f t="shared" si="23"/>
        <v>-5.6818181818181768E-2</v>
      </c>
    </row>
    <row r="483" spans="1:10">
      <c r="A483" s="3">
        <v>121</v>
      </c>
      <c r="B483" t="s">
        <v>528</v>
      </c>
      <c r="C483" t="s">
        <v>456</v>
      </c>
      <c r="E483" s="3">
        <f t="shared" si="22"/>
        <v>1</v>
      </c>
      <c r="F483" s="5">
        <v>44312.625</v>
      </c>
      <c r="G483" s="19" t="str">
        <f t="shared" si="21"/>
        <v>2021-W17</v>
      </c>
      <c r="H483">
        <f>SUM(A483:A489)</f>
        <v>702</v>
      </c>
      <c r="I483" s="28">
        <f>H483/H476-1</f>
        <v>-0.13440197287299627</v>
      </c>
      <c r="J483" s="28">
        <f t="shared" si="23"/>
        <v>-0.11029411764705888</v>
      </c>
    </row>
    <row r="484" spans="1:10">
      <c r="A484" s="3">
        <v>109</v>
      </c>
      <c r="B484" t="s">
        <v>529</v>
      </c>
      <c r="C484" t="s">
        <v>456</v>
      </c>
      <c r="E484" s="3">
        <f t="shared" si="22"/>
        <v>2</v>
      </c>
      <c r="F484" s="5">
        <v>44313.625</v>
      </c>
      <c r="G484" s="19" t="str">
        <f t="shared" si="21"/>
        <v/>
      </c>
      <c r="J484" s="28">
        <f t="shared" si="23"/>
        <v>-0.24305555555555558</v>
      </c>
    </row>
    <row r="485" spans="1:10">
      <c r="A485" s="3">
        <v>146</v>
      </c>
      <c r="B485" t="s">
        <v>530</v>
      </c>
      <c r="C485" t="s">
        <v>456</v>
      </c>
      <c r="E485" s="3">
        <f t="shared" si="22"/>
        <v>3</v>
      </c>
      <c r="F485" s="5">
        <v>44314.625</v>
      </c>
      <c r="G485" s="19" t="str">
        <f t="shared" si="21"/>
        <v/>
      </c>
      <c r="J485" s="28">
        <f t="shared" si="23"/>
        <v>0.2807017543859649</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54</v>
      </c>
      <c r="B488" t="s">
        <v>533</v>
      </c>
      <c r="C488" t="s">
        <v>456</v>
      </c>
      <c r="E488" s="3">
        <f t="shared" si="22"/>
        <v>6</v>
      </c>
      <c r="F488" s="5">
        <v>44317.625</v>
      </c>
      <c r="G488" s="19" t="str">
        <f t="shared" si="21"/>
        <v/>
      </c>
      <c r="J488" s="28">
        <f t="shared" si="23"/>
        <v>-0.36470588235294121</v>
      </c>
    </row>
    <row r="489" spans="1:10">
      <c r="A489" s="3">
        <v>81</v>
      </c>
      <c r="B489" t="s">
        <v>534</v>
      </c>
      <c r="C489" t="s">
        <v>456</v>
      </c>
      <c r="E489" s="3">
        <f t="shared" si="22"/>
        <v>7</v>
      </c>
      <c r="F489" s="5">
        <v>44318.625</v>
      </c>
      <c r="G489" s="19" t="str">
        <f t="shared" si="21"/>
        <v/>
      </c>
      <c r="J489" s="28">
        <f t="shared" si="23"/>
        <v>-2.4096385542168641E-2</v>
      </c>
    </row>
    <row r="490" spans="1:10">
      <c r="A490" s="3">
        <v>158</v>
      </c>
      <c r="B490" t="s">
        <v>535</v>
      </c>
      <c r="C490" t="s">
        <v>456</v>
      </c>
      <c r="E490" s="3">
        <f t="shared" si="22"/>
        <v>1</v>
      </c>
      <c r="F490" s="5">
        <v>44319.625</v>
      </c>
      <c r="G490" s="19" t="str">
        <f t="shared" si="21"/>
        <v>2021-W18</v>
      </c>
      <c r="H490">
        <f>SUM(A490:A496)</f>
        <v>742</v>
      </c>
      <c r="I490" s="28">
        <f>H490/H483-1</f>
        <v>5.6980056980056926E-2</v>
      </c>
      <c r="J490" s="28">
        <f t="shared" si="23"/>
        <v>0.30578512396694224</v>
      </c>
    </row>
    <row r="491" spans="1:10">
      <c r="A491" s="3">
        <v>113</v>
      </c>
      <c r="B491" t="s">
        <v>536</v>
      </c>
      <c r="C491" t="s">
        <v>456</v>
      </c>
      <c r="E491" s="3">
        <f t="shared" si="22"/>
        <v>2</v>
      </c>
      <c r="F491" s="5">
        <v>44320.625</v>
      </c>
      <c r="G491" s="19" t="str">
        <f t="shared" si="21"/>
        <v/>
      </c>
      <c r="J491" s="28">
        <f t="shared" si="23"/>
        <v>3.669724770642202E-2</v>
      </c>
    </row>
    <row r="492" spans="1:10">
      <c r="A492" s="3">
        <v>126</v>
      </c>
      <c r="B492" t="s">
        <v>537</v>
      </c>
      <c r="C492" t="s">
        <v>456</v>
      </c>
      <c r="E492" s="3">
        <f t="shared" si="22"/>
        <v>3</v>
      </c>
      <c r="F492" s="5">
        <v>44321.625</v>
      </c>
      <c r="G492" s="19" t="str">
        <f t="shared" si="21"/>
        <v/>
      </c>
      <c r="J492" s="28">
        <f t="shared" si="23"/>
        <v>-0.13698630136986301</v>
      </c>
    </row>
    <row r="493" spans="1:10">
      <c r="A493" s="3">
        <v>113</v>
      </c>
      <c r="B493" t="s">
        <v>539</v>
      </c>
      <c r="C493" t="s">
        <v>456</v>
      </c>
      <c r="E493" s="3">
        <f t="shared" si="22"/>
        <v>4</v>
      </c>
      <c r="F493" s="5">
        <v>44322.625</v>
      </c>
      <c r="G493" s="19" t="str">
        <f t="shared" si="21"/>
        <v/>
      </c>
      <c r="J493" s="28">
        <f t="shared" si="23"/>
        <v>0.2021276595744681</v>
      </c>
    </row>
    <row r="494" spans="1:10">
      <c r="A494" s="3">
        <v>94</v>
      </c>
      <c r="B494" t="s">
        <v>540</v>
      </c>
      <c r="C494" t="s">
        <v>456</v>
      </c>
      <c r="E494" s="3">
        <f t="shared" si="22"/>
        <v>5</v>
      </c>
      <c r="F494" s="5">
        <v>44323.625</v>
      </c>
      <c r="G494" s="19" t="str">
        <f t="shared" si="21"/>
        <v/>
      </c>
      <c r="J494" s="28">
        <f t="shared" si="23"/>
        <v>-3.0927835051546393E-2</v>
      </c>
    </row>
    <row r="495" spans="1:10">
      <c r="A495" s="3">
        <v>69</v>
      </c>
      <c r="B495" t="s">
        <v>541</v>
      </c>
      <c r="C495" t="s">
        <v>456</v>
      </c>
      <c r="E495" s="3">
        <f t="shared" si="22"/>
        <v>6</v>
      </c>
      <c r="F495" s="5">
        <v>44324.625</v>
      </c>
      <c r="G495" s="19" t="str">
        <f t="shared" si="21"/>
        <v/>
      </c>
      <c r="J495" s="28">
        <f t="shared" si="23"/>
        <v>0.27777777777777768</v>
      </c>
    </row>
    <row r="496" spans="1:10">
      <c r="A496" s="3">
        <v>69</v>
      </c>
      <c r="B496" t="s">
        <v>542</v>
      </c>
      <c r="C496" t="s">
        <v>456</v>
      </c>
      <c r="E496" s="3">
        <f t="shared" si="22"/>
        <v>7</v>
      </c>
      <c r="F496" s="5">
        <v>44325.625</v>
      </c>
      <c r="G496" s="19" t="str">
        <f t="shared" si="21"/>
        <v/>
      </c>
      <c r="J496" s="28">
        <f t="shared" si="23"/>
        <v>-0.14814814814814814</v>
      </c>
    </row>
    <row r="497" spans="1:10">
      <c r="A497" s="3">
        <v>138</v>
      </c>
      <c r="B497" t="s">
        <v>543</v>
      </c>
      <c r="C497" t="s">
        <v>456</v>
      </c>
      <c r="E497" s="3">
        <f t="shared" si="22"/>
        <v>1</v>
      </c>
      <c r="F497" s="5">
        <v>44326.625</v>
      </c>
      <c r="G497" s="19" t="str">
        <f t="shared" si="21"/>
        <v>2021-W19</v>
      </c>
      <c r="H497">
        <f>SUM(A497:A503)</f>
        <v>688</v>
      </c>
      <c r="I497" s="28">
        <f>H497/H490-1</f>
        <v>-7.2776280323450182E-2</v>
      </c>
      <c r="J497" s="28">
        <f t="shared" si="23"/>
        <v>-0.12658227848101267</v>
      </c>
    </row>
    <row r="498" spans="1:10">
      <c r="A498" s="3">
        <v>107</v>
      </c>
      <c r="B498" t="s">
        <v>544</v>
      </c>
      <c r="C498" t="s">
        <v>456</v>
      </c>
      <c r="E498" s="3">
        <f t="shared" si="22"/>
        <v>2</v>
      </c>
      <c r="F498" s="5">
        <v>44327.625</v>
      </c>
      <c r="G498" s="19" t="str">
        <f t="shared" si="21"/>
        <v/>
      </c>
      <c r="J498" s="28">
        <f t="shared" si="23"/>
        <v>-5.3097345132743334E-2</v>
      </c>
    </row>
    <row r="499" spans="1:10">
      <c r="A499" s="3">
        <v>146</v>
      </c>
      <c r="B499" t="s">
        <v>545</v>
      </c>
      <c r="C499" t="s">
        <v>456</v>
      </c>
      <c r="E499" s="3">
        <f t="shared" si="22"/>
        <v>3</v>
      </c>
      <c r="F499" s="5">
        <v>44328.625</v>
      </c>
      <c r="G499" s="19" t="str">
        <f t="shared" si="21"/>
        <v/>
      </c>
      <c r="J499" s="28">
        <f t="shared" si="23"/>
        <v>0.15873015873015883</v>
      </c>
    </row>
    <row r="500" spans="1:10">
      <c r="A500" s="3">
        <v>77</v>
      </c>
      <c r="B500" t="s">
        <v>546</v>
      </c>
      <c r="C500" t="s">
        <v>456</v>
      </c>
      <c r="E500" s="3">
        <f t="shared" si="22"/>
        <v>4</v>
      </c>
      <c r="F500" s="5">
        <v>44329.625</v>
      </c>
      <c r="G500" s="19" t="str">
        <f t="shared" si="21"/>
        <v/>
      </c>
      <c r="J500" s="28">
        <f t="shared" si="23"/>
        <v>-0.31858407079646023</v>
      </c>
    </row>
    <row r="501" spans="1:10">
      <c r="A501" s="3">
        <v>85</v>
      </c>
      <c r="B501" t="s">
        <v>547</v>
      </c>
      <c r="C501" t="s">
        <v>456</v>
      </c>
      <c r="E501" s="3">
        <f t="shared" si="22"/>
        <v>5</v>
      </c>
      <c r="F501" s="5">
        <v>44330.625</v>
      </c>
      <c r="G501" s="19" t="str">
        <f t="shared" si="21"/>
        <v/>
      </c>
      <c r="J501" s="28">
        <f t="shared" si="23"/>
        <v>-9.5744680851063801E-2</v>
      </c>
    </row>
    <row r="502" spans="1:10">
      <c r="A502" s="3">
        <v>80</v>
      </c>
      <c r="B502" t="s">
        <v>548</v>
      </c>
      <c r="C502" t="s">
        <v>456</v>
      </c>
      <c r="E502" s="3">
        <f t="shared" si="22"/>
        <v>6</v>
      </c>
      <c r="F502" s="5">
        <v>44331.625</v>
      </c>
      <c r="G502" s="19" t="str">
        <f t="shared" si="21"/>
        <v/>
      </c>
      <c r="J502" s="28">
        <f t="shared" si="23"/>
        <v>0.15942028985507251</v>
      </c>
    </row>
    <row r="503" spans="1:10">
      <c r="A503" s="3">
        <v>55</v>
      </c>
      <c r="B503" t="s">
        <v>549</v>
      </c>
      <c r="C503" t="s">
        <v>456</v>
      </c>
      <c r="E503" s="3">
        <f t="shared" si="22"/>
        <v>7</v>
      </c>
      <c r="F503" s="5">
        <v>44332.625</v>
      </c>
      <c r="G503" s="19" t="str">
        <f t="shared" si="21"/>
        <v/>
      </c>
      <c r="J503" s="28">
        <f t="shared" si="23"/>
        <v>-0.20289855072463769</v>
      </c>
    </row>
    <row r="504" spans="1:10">
      <c r="A504" s="3">
        <v>120</v>
      </c>
      <c r="B504" t="s">
        <v>550</v>
      </c>
      <c r="C504" t="s">
        <v>456</v>
      </c>
      <c r="E504" s="3">
        <f t="shared" si="22"/>
        <v>1</v>
      </c>
      <c r="F504" s="5">
        <v>44333.625</v>
      </c>
      <c r="G504" s="19" t="str">
        <f t="shared" si="21"/>
        <v>2021-W20</v>
      </c>
      <c r="H504">
        <f>SUM(A504:A510)</f>
        <v>640</v>
      </c>
      <c r="I504" s="28">
        <f>H504/H497-1</f>
        <v>-6.9767441860465129E-2</v>
      </c>
      <c r="J504" s="28">
        <f t="shared" si="23"/>
        <v>-0.13043478260869568</v>
      </c>
    </row>
    <row r="505" spans="1:10">
      <c r="A505" s="3">
        <v>109</v>
      </c>
      <c r="B505" t="s">
        <v>551</v>
      </c>
      <c r="C505" t="s">
        <v>456</v>
      </c>
      <c r="E505" s="3">
        <f t="shared" si="22"/>
        <v>2</v>
      </c>
      <c r="F505" s="5">
        <v>44334.625</v>
      </c>
      <c r="G505" s="19" t="str">
        <f t="shared" si="21"/>
        <v/>
      </c>
      <c r="J505" s="28">
        <f t="shared" si="23"/>
        <v>1.8691588785046731E-2</v>
      </c>
    </row>
    <row r="506" spans="1:10">
      <c r="A506" s="3">
        <v>113</v>
      </c>
      <c r="B506" t="s">
        <v>552</v>
      </c>
      <c r="C506" t="s">
        <v>456</v>
      </c>
      <c r="E506" s="3">
        <f t="shared" si="22"/>
        <v>3</v>
      </c>
      <c r="F506" s="5">
        <v>44335.625</v>
      </c>
      <c r="G506" s="19" t="str">
        <f t="shared" si="21"/>
        <v/>
      </c>
      <c r="J506" s="28">
        <f t="shared" si="23"/>
        <v>-0.22602739726027399</v>
      </c>
    </row>
    <row r="507" spans="1:10">
      <c r="A507" s="3">
        <v>103</v>
      </c>
      <c r="B507" t="s">
        <v>553</v>
      </c>
      <c r="C507" t="s">
        <v>456</v>
      </c>
      <c r="E507" s="3">
        <f t="shared" si="22"/>
        <v>4</v>
      </c>
      <c r="F507" s="5">
        <v>44336.625</v>
      </c>
      <c r="G507" s="19" t="str">
        <f t="shared" si="21"/>
        <v/>
      </c>
      <c r="J507" s="28">
        <f t="shared" si="23"/>
        <v>0.33766233766233755</v>
      </c>
    </row>
    <row r="508" spans="1:10">
      <c r="A508" s="3">
        <v>86</v>
      </c>
      <c r="B508" t="s">
        <v>554</v>
      </c>
      <c r="C508" t="s">
        <v>456</v>
      </c>
      <c r="E508" s="3">
        <f t="shared" si="22"/>
        <v>5</v>
      </c>
      <c r="F508" s="5">
        <v>44337.625</v>
      </c>
      <c r="G508" s="19" t="str">
        <f t="shared" si="21"/>
        <v/>
      </c>
      <c r="J508" s="28">
        <f t="shared" si="23"/>
        <v>1.1764705882352899E-2</v>
      </c>
    </row>
    <row r="509" spans="1:10">
      <c r="A509" s="3">
        <v>55</v>
      </c>
      <c r="B509" t="s">
        <v>555</v>
      </c>
      <c r="C509" t="s">
        <v>456</v>
      </c>
      <c r="E509" s="3">
        <f t="shared" si="22"/>
        <v>6</v>
      </c>
      <c r="F509" s="5">
        <v>44338.625</v>
      </c>
      <c r="G509" s="19" t="str">
        <f t="shared" si="21"/>
        <v/>
      </c>
      <c r="J509" s="28">
        <f t="shared" si="23"/>
        <v>-0.3125</v>
      </c>
    </row>
    <row r="510" spans="1:10">
      <c r="A510" s="3">
        <v>54</v>
      </c>
      <c r="B510" t="s">
        <v>556</v>
      </c>
      <c r="C510" t="s">
        <v>456</v>
      </c>
      <c r="E510" s="3">
        <f t="shared" si="22"/>
        <v>7</v>
      </c>
      <c r="F510" s="5">
        <v>44339.625</v>
      </c>
      <c r="G510" s="19" t="str">
        <f t="shared" si="21"/>
        <v/>
      </c>
      <c r="J510" s="28">
        <f t="shared" si="23"/>
        <v>-1.8181818181818188E-2</v>
      </c>
    </row>
    <row r="511" spans="1:10">
      <c r="A511" s="3">
        <v>109</v>
      </c>
      <c r="B511" t="s">
        <v>557</v>
      </c>
      <c r="C511" t="s">
        <v>456</v>
      </c>
      <c r="E511" s="3">
        <f t="shared" si="22"/>
        <v>1</v>
      </c>
      <c r="F511" s="5">
        <v>44340.625</v>
      </c>
      <c r="G511" s="19" t="str">
        <f t="shared" si="21"/>
        <v>2021-W21</v>
      </c>
      <c r="H511">
        <f>SUM(A511:A517)</f>
        <v>467</v>
      </c>
      <c r="I511" s="28">
        <f>H511/H504-1</f>
        <v>-0.27031249999999996</v>
      </c>
      <c r="J511" s="28">
        <f t="shared" si="23"/>
        <v>-9.1666666666666674E-2</v>
      </c>
    </row>
    <row r="512" spans="1:10">
      <c r="A512" s="3">
        <v>85</v>
      </c>
      <c r="B512" t="s">
        <v>558</v>
      </c>
      <c r="C512" t="s">
        <v>456</v>
      </c>
      <c r="E512" s="3">
        <f t="shared" si="22"/>
        <v>2</v>
      </c>
      <c r="F512" s="5">
        <v>44341.625</v>
      </c>
      <c r="G512" s="19" t="str">
        <f t="shared" si="21"/>
        <v/>
      </c>
      <c r="J512" s="28">
        <f t="shared" si="23"/>
        <v>-0.22018348623853212</v>
      </c>
    </row>
    <row r="513" spans="1:10">
      <c r="A513" s="3">
        <v>76</v>
      </c>
      <c r="B513" t="s">
        <v>559</v>
      </c>
      <c r="C513" t="s">
        <v>456</v>
      </c>
      <c r="E513" s="3">
        <f t="shared" si="22"/>
        <v>3</v>
      </c>
      <c r="F513" s="5">
        <v>44342.625</v>
      </c>
      <c r="G513" s="19" t="str">
        <f t="shared" si="21"/>
        <v/>
      </c>
      <c r="J513" s="28">
        <f t="shared" si="23"/>
        <v>-0.32743362831858402</v>
      </c>
    </row>
    <row r="514" spans="1:10">
      <c r="A514" s="3">
        <v>56</v>
      </c>
      <c r="B514" t="s">
        <v>560</v>
      </c>
      <c r="C514" t="s">
        <v>456</v>
      </c>
      <c r="E514" s="3">
        <f t="shared" si="22"/>
        <v>4</v>
      </c>
      <c r="F514" s="5">
        <v>44343.625</v>
      </c>
      <c r="G514" s="19" t="str">
        <f t="shared" si="21"/>
        <v/>
      </c>
      <c r="J514" s="28">
        <f t="shared" si="23"/>
        <v>-0.4563106796116505</v>
      </c>
    </row>
    <row r="515" spans="1:10">
      <c r="A515" s="3">
        <v>64</v>
      </c>
      <c r="B515" t="s">
        <v>561</v>
      </c>
      <c r="C515" t="s">
        <v>456</v>
      </c>
      <c r="E515" s="3">
        <f t="shared" si="22"/>
        <v>5</v>
      </c>
      <c r="F515" s="5">
        <v>44344.625</v>
      </c>
      <c r="G515" s="19" t="str">
        <f t="shared" ref="G515:G578" si="24">IF(WEEKDAY(F515,2)=1,YEAR(F515)&amp;"-W"&amp;TEXT(WEEKNUM(F515,14),"00"),"")</f>
        <v/>
      </c>
      <c r="J515" s="28">
        <f t="shared" si="23"/>
        <v>-0.2558139534883721</v>
      </c>
    </row>
    <row r="516" spans="1:10">
      <c r="A516" s="3">
        <v>28</v>
      </c>
      <c r="B516" t="s">
        <v>562</v>
      </c>
      <c r="C516" t="s">
        <v>456</v>
      </c>
      <c r="E516" s="3">
        <f t="shared" si="22"/>
        <v>6</v>
      </c>
      <c r="F516" s="5">
        <v>44345.625</v>
      </c>
      <c r="G516" s="19" t="str">
        <f t="shared" si="24"/>
        <v/>
      </c>
      <c r="J516" s="28">
        <f t="shared" si="23"/>
        <v>-0.49090909090909096</v>
      </c>
    </row>
    <row r="517" spans="1:10">
      <c r="A517" s="3">
        <v>49</v>
      </c>
      <c r="B517" t="s">
        <v>563</v>
      </c>
      <c r="C517" t="s">
        <v>456</v>
      </c>
      <c r="E517" s="3">
        <f t="shared" ref="E517:E580" si="25">WEEKDAY(F517,2)</f>
        <v>7</v>
      </c>
      <c r="F517" s="5">
        <v>44346.625</v>
      </c>
      <c r="G517" s="19" t="str">
        <f t="shared" si="24"/>
        <v/>
      </c>
      <c r="J517" s="28">
        <f t="shared" si="23"/>
        <v>-9.259259259259256E-2</v>
      </c>
    </row>
    <row r="518" spans="1:10">
      <c r="A518" s="3">
        <v>95</v>
      </c>
      <c r="B518" t="s">
        <v>564</v>
      </c>
      <c r="C518" t="s">
        <v>456</v>
      </c>
      <c r="E518" s="3">
        <f t="shared" si="25"/>
        <v>1</v>
      </c>
      <c r="F518" s="5">
        <v>44347.625</v>
      </c>
      <c r="G518" s="19" t="str">
        <f t="shared" si="24"/>
        <v>2021-W22</v>
      </c>
      <c r="H518">
        <f>SUM(A518:A524)</f>
        <v>453</v>
      </c>
      <c r="I518" s="28">
        <f>H518/H511-1</f>
        <v>-2.9978586723768741E-2</v>
      </c>
      <c r="J518" s="28">
        <f t="shared" si="23"/>
        <v>-0.12844036697247707</v>
      </c>
    </row>
    <row r="519" spans="1:10">
      <c r="A519" s="3">
        <v>77</v>
      </c>
      <c r="B519" t="s">
        <v>565</v>
      </c>
      <c r="C519" t="s">
        <v>456</v>
      </c>
      <c r="E519" s="3">
        <f t="shared" si="25"/>
        <v>2</v>
      </c>
      <c r="F519" s="5">
        <v>44348.625</v>
      </c>
      <c r="G519" s="19" t="str">
        <f t="shared" si="24"/>
        <v/>
      </c>
      <c r="J519" s="28">
        <f t="shared" si="23"/>
        <v>-9.4117647058823528E-2</v>
      </c>
    </row>
    <row r="520" spans="1:10">
      <c r="A520" s="3">
        <v>67</v>
      </c>
      <c r="B520" t="s">
        <v>566</v>
      </c>
      <c r="C520" t="s">
        <v>456</v>
      </c>
      <c r="E520" s="3">
        <f t="shared" si="25"/>
        <v>3</v>
      </c>
      <c r="F520" s="5">
        <v>44349.625</v>
      </c>
      <c r="G520" s="19" t="str">
        <f t="shared" si="24"/>
        <v/>
      </c>
      <c r="J520" s="28">
        <f t="shared" si="23"/>
        <v>-0.11842105263157898</v>
      </c>
    </row>
    <row r="521" spans="1:10">
      <c r="A521" s="3">
        <v>68</v>
      </c>
      <c r="B521" t="s">
        <v>567</v>
      </c>
      <c r="C521" t="s">
        <v>456</v>
      </c>
      <c r="E521" s="3">
        <f t="shared" si="25"/>
        <v>4</v>
      </c>
      <c r="F521" s="5">
        <v>44350.625</v>
      </c>
      <c r="G521" s="19" t="str">
        <f t="shared" si="24"/>
        <v/>
      </c>
      <c r="J521" s="28">
        <f t="shared" ref="J521:J584" si="26">A521/A514-1</f>
        <v>0.21428571428571419</v>
      </c>
    </row>
    <row r="522" spans="1:10">
      <c r="A522" s="3">
        <v>63</v>
      </c>
      <c r="B522" t="s">
        <v>568</v>
      </c>
      <c r="C522" t="s">
        <v>456</v>
      </c>
      <c r="E522" s="3">
        <f t="shared" si="25"/>
        <v>5</v>
      </c>
      <c r="F522" s="5">
        <v>44351.625</v>
      </c>
      <c r="G522" s="19" t="str">
        <f t="shared" si="24"/>
        <v/>
      </c>
      <c r="J522" s="28">
        <f t="shared" si="26"/>
        <v>-1.5625E-2</v>
      </c>
    </row>
    <row r="523" spans="1:10">
      <c r="A523" s="3">
        <v>41</v>
      </c>
      <c r="B523" t="s">
        <v>569</v>
      </c>
      <c r="C523" t="s">
        <v>456</v>
      </c>
      <c r="E523" s="3">
        <f t="shared" si="25"/>
        <v>6</v>
      </c>
      <c r="F523" s="5">
        <v>44352.625</v>
      </c>
      <c r="G523" s="19" t="str">
        <f t="shared" si="24"/>
        <v/>
      </c>
      <c r="J523" s="28">
        <f t="shared" si="26"/>
        <v>0.46428571428571419</v>
      </c>
    </row>
    <row r="524" spans="1:10">
      <c r="A524" s="3">
        <v>42</v>
      </c>
      <c r="B524" t="s">
        <v>570</v>
      </c>
      <c r="C524" t="s">
        <v>456</v>
      </c>
      <c r="E524" s="3">
        <f t="shared" si="25"/>
        <v>7</v>
      </c>
      <c r="F524" s="5">
        <v>44353.625</v>
      </c>
      <c r="G524" s="19" t="str">
        <f t="shared" si="24"/>
        <v/>
      </c>
      <c r="J524" s="28">
        <f t="shared" si="26"/>
        <v>-0.1428571428571429</v>
      </c>
    </row>
    <row r="525" spans="1:10">
      <c r="A525" s="3">
        <v>85</v>
      </c>
      <c r="B525" t="s">
        <v>571</v>
      </c>
      <c r="C525" t="s">
        <v>456</v>
      </c>
      <c r="E525" s="3">
        <f t="shared" si="25"/>
        <v>1</v>
      </c>
      <c r="F525" s="5">
        <v>44354.625</v>
      </c>
      <c r="G525" s="19" t="str">
        <f t="shared" si="24"/>
        <v>2021-W23</v>
      </c>
      <c r="H525">
        <f>SUM(A525:A531)</f>
        <v>306</v>
      </c>
      <c r="I525" s="28">
        <f>H525/H518-1</f>
        <v>-0.32450331125827814</v>
      </c>
      <c r="J525" s="28">
        <f t="shared" si="26"/>
        <v>-0.10526315789473684</v>
      </c>
    </row>
    <row r="526" spans="1:10">
      <c r="A526" s="3">
        <v>54</v>
      </c>
      <c r="B526" t="s">
        <v>572</v>
      </c>
      <c r="C526" t="s">
        <v>456</v>
      </c>
      <c r="E526" s="3">
        <f t="shared" si="25"/>
        <v>2</v>
      </c>
      <c r="F526" s="5">
        <v>44355.625</v>
      </c>
      <c r="G526" s="19" t="str">
        <f t="shared" si="24"/>
        <v/>
      </c>
      <c r="J526" s="28">
        <f t="shared" si="26"/>
        <v>-0.29870129870129869</v>
      </c>
    </row>
    <row r="527" spans="1:10">
      <c r="A527" s="3">
        <v>37</v>
      </c>
      <c r="B527" t="s">
        <v>573</v>
      </c>
      <c r="C527" t="s">
        <v>456</v>
      </c>
      <c r="E527" s="3">
        <f t="shared" si="25"/>
        <v>3</v>
      </c>
      <c r="F527" s="5">
        <v>44356.625</v>
      </c>
      <c r="G527" s="19" t="str">
        <f t="shared" si="24"/>
        <v/>
      </c>
      <c r="J527" s="28">
        <f t="shared" si="26"/>
        <v>-0.44776119402985071</v>
      </c>
    </row>
    <row r="528" spans="1:10">
      <c r="A528" s="3">
        <v>32</v>
      </c>
      <c r="B528" t="s">
        <v>574</v>
      </c>
      <c r="C528" t="s">
        <v>456</v>
      </c>
      <c r="E528" s="3">
        <f t="shared" si="25"/>
        <v>4</v>
      </c>
      <c r="F528" s="5">
        <v>44357.625</v>
      </c>
      <c r="G528" s="19" t="str">
        <f t="shared" si="24"/>
        <v/>
      </c>
      <c r="J528" s="28">
        <f t="shared" si="26"/>
        <v>-0.52941176470588236</v>
      </c>
    </row>
    <row r="529" spans="1:10">
      <c r="A529" s="3">
        <v>33</v>
      </c>
      <c r="B529" t="s">
        <v>575</v>
      </c>
      <c r="C529" t="s">
        <v>456</v>
      </c>
      <c r="E529" s="3">
        <f t="shared" si="25"/>
        <v>5</v>
      </c>
      <c r="F529" s="5">
        <v>44358.625</v>
      </c>
      <c r="G529" s="19" t="str">
        <f t="shared" si="24"/>
        <v/>
      </c>
      <c r="J529" s="28">
        <f t="shared" si="26"/>
        <v>-0.47619047619047616</v>
      </c>
    </row>
    <row r="530" spans="1:10">
      <c r="A530" s="3">
        <v>33</v>
      </c>
      <c r="B530" t="s">
        <v>576</v>
      </c>
      <c r="C530" t="s">
        <v>456</v>
      </c>
      <c r="E530" s="3">
        <f t="shared" si="25"/>
        <v>6</v>
      </c>
      <c r="F530" s="5">
        <v>44359.625</v>
      </c>
      <c r="G530" s="19" t="str">
        <f t="shared" si="24"/>
        <v/>
      </c>
      <c r="J530" s="28">
        <f t="shared" si="26"/>
        <v>-0.19512195121951215</v>
      </c>
    </row>
    <row r="531" spans="1:10">
      <c r="A531" s="3">
        <v>32</v>
      </c>
      <c r="B531" t="s">
        <v>577</v>
      </c>
      <c r="C531" t="s">
        <v>456</v>
      </c>
      <c r="E531" s="3">
        <f t="shared" si="25"/>
        <v>7</v>
      </c>
      <c r="F531" s="5">
        <v>44360.625</v>
      </c>
      <c r="G531" s="19" t="str">
        <f t="shared" si="24"/>
        <v/>
      </c>
      <c r="J531" s="28">
        <f t="shared" si="26"/>
        <v>-0.23809523809523814</v>
      </c>
    </row>
    <row r="532" spans="1:10">
      <c r="A532" s="3">
        <v>33</v>
      </c>
      <c r="B532" t="s">
        <v>578</v>
      </c>
      <c r="C532" t="s">
        <v>456</v>
      </c>
      <c r="E532" s="3">
        <f t="shared" si="25"/>
        <v>1</v>
      </c>
      <c r="F532" s="5">
        <v>44361.625</v>
      </c>
      <c r="G532" s="19" t="str">
        <f t="shared" si="24"/>
        <v>2021-W24</v>
      </c>
      <c r="H532">
        <f>SUM(A532:A538)</f>
        <v>124</v>
      </c>
      <c r="I532" s="28">
        <f>H532/H525-1</f>
        <v>-0.59477124183006536</v>
      </c>
      <c r="J532" s="28">
        <f t="shared" si="26"/>
        <v>-0.61176470588235299</v>
      </c>
    </row>
    <row r="533" spans="1:10">
      <c r="A533" s="3">
        <v>34</v>
      </c>
      <c r="B533" t="s">
        <v>579</v>
      </c>
      <c r="C533" t="s">
        <v>456</v>
      </c>
      <c r="E533" s="3">
        <f t="shared" si="25"/>
        <v>2</v>
      </c>
      <c r="F533" s="5">
        <v>44362.625</v>
      </c>
      <c r="G533" s="19" t="str">
        <f t="shared" si="24"/>
        <v/>
      </c>
      <c r="J533" s="28">
        <f t="shared" si="26"/>
        <v>-0.37037037037037035</v>
      </c>
    </row>
    <row r="534" spans="1:10">
      <c r="A534" s="3">
        <v>29</v>
      </c>
      <c r="B534" t="s">
        <v>580</v>
      </c>
      <c r="C534" t="s">
        <v>456</v>
      </c>
      <c r="E534" s="3">
        <f t="shared" si="25"/>
        <v>3</v>
      </c>
      <c r="F534" s="5">
        <v>44363.625</v>
      </c>
      <c r="G534" s="19" t="str">
        <f t="shared" si="24"/>
        <v/>
      </c>
      <c r="J534" s="28">
        <f t="shared" si="26"/>
        <v>-0.21621621621621623</v>
      </c>
    </row>
    <row r="535" spans="1:10">
      <c r="A535" s="3">
        <v>28</v>
      </c>
      <c r="B535" t="s">
        <v>581</v>
      </c>
      <c r="C535" t="s">
        <v>456</v>
      </c>
      <c r="E535" s="3">
        <f t="shared" si="25"/>
        <v>4</v>
      </c>
      <c r="F535" s="5">
        <v>44364.625</v>
      </c>
      <c r="G535" s="19" t="str">
        <f t="shared" si="24"/>
        <v/>
      </c>
      <c r="J535" s="28">
        <f t="shared" si="26"/>
        <v>-0.125</v>
      </c>
    </row>
    <row r="536" spans="1:10">
      <c r="A536" s="3">
        <v>0</v>
      </c>
      <c r="B536" t="s">
        <v>582</v>
      </c>
      <c r="C536" t="s">
        <v>456</v>
      </c>
      <c r="E536" s="3">
        <f t="shared" si="25"/>
        <v>5</v>
      </c>
      <c r="F536" s="5">
        <v>44365.417939814812</v>
      </c>
      <c r="G536" s="19" t="str">
        <f t="shared" si="24"/>
        <v/>
      </c>
      <c r="J536" s="28">
        <f t="shared" si="26"/>
        <v>-1</v>
      </c>
    </row>
    <row r="537" spans="1:10">
      <c r="E537" s="3">
        <f t="shared" si="25"/>
        <v>6</v>
      </c>
      <c r="G537" s="19" t="str">
        <f t="shared" si="24"/>
        <v/>
      </c>
      <c r="J537" s="28">
        <f t="shared" si="26"/>
        <v>-1</v>
      </c>
    </row>
    <row r="538" spans="1:10">
      <c r="E538" s="3">
        <f t="shared" si="25"/>
        <v>6</v>
      </c>
      <c r="G538" s="19" t="str">
        <f t="shared" si="24"/>
        <v/>
      </c>
      <c r="J538" s="28">
        <f t="shared" si="26"/>
        <v>-1</v>
      </c>
    </row>
    <row r="539" spans="1:10">
      <c r="E539" s="3">
        <f t="shared" si="25"/>
        <v>6</v>
      </c>
      <c r="G539" s="19" t="str">
        <f t="shared" si="24"/>
        <v/>
      </c>
      <c r="H539">
        <f>SUM(A539:A545)</f>
        <v>0</v>
      </c>
      <c r="I539" s="28">
        <f>H539/H532-1</f>
        <v>-1</v>
      </c>
      <c r="J539" s="28">
        <f t="shared" si="26"/>
        <v>-1</v>
      </c>
    </row>
    <row r="540" spans="1:10">
      <c r="E540" s="3">
        <f t="shared" si="25"/>
        <v>6</v>
      </c>
      <c r="G540" s="19" t="str">
        <f t="shared" si="24"/>
        <v/>
      </c>
      <c r="J540" s="28">
        <f t="shared" si="26"/>
        <v>-1</v>
      </c>
    </row>
    <row r="541" spans="1:10">
      <c r="E541" s="3">
        <f t="shared" si="25"/>
        <v>6</v>
      </c>
      <c r="G541" s="19" t="str">
        <f t="shared" si="24"/>
        <v/>
      </c>
      <c r="J541" s="28">
        <f t="shared" si="26"/>
        <v>-1</v>
      </c>
    </row>
    <row r="542" spans="1:10">
      <c r="E542" s="3">
        <f t="shared" si="25"/>
        <v>6</v>
      </c>
      <c r="G542" s="19" t="str">
        <f t="shared" si="24"/>
        <v/>
      </c>
      <c r="J542" s="28">
        <f t="shared" si="26"/>
        <v>-1</v>
      </c>
    </row>
    <row r="543" spans="1:10">
      <c r="E543" s="3">
        <f t="shared" si="25"/>
        <v>6</v>
      </c>
      <c r="G543" s="19" t="str">
        <f t="shared" si="24"/>
        <v/>
      </c>
      <c r="J543" s="28" t="e">
        <f t="shared" si="26"/>
        <v>#DIV/0!</v>
      </c>
    </row>
    <row r="544" spans="1: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1362075</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85546875" bestFit="1" customWidth="1"/>
    <col min="4" max="4" width="10.140625" bestFit="1" customWidth="1"/>
    <col min="5" max="5" width="8.85546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11</v>
      </c>
      <c r="D237">
        <f>HUS!A237</f>
        <v>7</v>
      </c>
      <c r="E237" s="38">
        <f t="shared" si="3"/>
        <v>0.63636363636363635</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124</v>
      </c>
      <c r="D273">
        <f>HUS!A273</f>
        <v>85</v>
      </c>
      <c r="E273" s="38">
        <f t="shared" si="4"/>
        <v>0.68548387096774188</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167</v>
      </c>
      <c r="D275">
        <f>HUS!A275</f>
        <v>93</v>
      </c>
      <c r="E275" s="38">
        <f t="shared" si="4"/>
        <v>0.55688622754491013</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187</v>
      </c>
      <c r="D277">
        <f>HUS!A277</f>
        <v>79</v>
      </c>
      <c r="E277" s="38">
        <f t="shared" si="4"/>
        <v>0.42245989304812837</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232</v>
      </c>
      <c r="D302">
        <f>HUS!A302</f>
        <v>121</v>
      </c>
      <c r="E302" s="38">
        <f t="shared" si="4"/>
        <v>0.52155172413793105</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287</v>
      </c>
      <c r="D308">
        <f>HUS!A308</f>
        <v>155</v>
      </c>
      <c r="E308" s="38">
        <f t="shared" si="4"/>
        <v>0.54006968641114983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270</v>
      </c>
      <c r="D327">
        <f>HUS!A327</f>
        <v>180</v>
      </c>
      <c r="E327" s="38">
        <f t="shared" si="5"/>
        <v>0.66666666666666663</v>
      </c>
    </row>
    <row r="328" spans="1:5">
      <c r="A328" s="30">
        <f>Kaikki!F328</f>
        <v>44157.625</v>
      </c>
      <c r="B328" s="37" t="str">
        <f>Kaikki!G328</f>
        <v/>
      </c>
      <c r="C328">
        <f>Kaikki!A328</f>
        <v>267</v>
      </c>
      <c r="D328">
        <f>HUS!A328</f>
        <v>161</v>
      </c>
      <c r="E328" s="38">
        <f t="shared" si="5"/>
        <v>0.60299625468164797</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509</v>
      </c>
      <c r="D332">
        <f>HUS!A332</f>
        <v>261</v>
      </c>
      <c r="E332" s="38">
        <f t="shared" si="5"/>
        <v>0.51277013752455791</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440</v>
      </c>
      <c r="D337">
        <f>HUS!A337</f>
        <v>221</v>
      </c>
      <c r="E337" s="38">
        <f t="shared" si="5"/>
        <v>0.50227272727272732</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478</v>
      </c>
      <c r="D339">
        <f>HUS!A339</f>
        <v>281</v>
      </c>
      <c r="E339" s="38">
        <f t="shared" si="5"/>
        <v>0.58786610878661083</v>
      </c>
    </row>
    <row r="340" spans="1:5">
      <c r="A340" s="30">
        <f>Kaikki!F340</f>
        <v>44169.625</v>
      </c>
      <c r="B340" s="37" t="str">
        <f>Kaikki!G340</f>
        <v/>
      </c>
      <c r="C340">
        <f>Kaikki!A340</f>
        <v>473</v>
      </c>
      <c r="D340">
        <f>HUS!A340</f>
        <v>224</v>
      </c>
      <c r="E340" s="38">
        <f t="shared" si="5"/>
        <v>0.47357293868921774</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284</v>
      </c>
      <c r="D342">
        <f>HUS!A342</f>
        <v>157</v>
      </c>
      <c r="E342" s="38">
        <f t="shared" si="5"/>
        <v>0.55281690140845074</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253</v>
      </c>
      <c r="E344" s="38">
        <f t="shared" si="5"/>
        <v>0.52928870292887031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235</v>
      </c>
      <c r="E347" s="38">
        <f t="shared" si="5"/>
        <v>0.5280898876404494</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394</v>
      </c>
      <c r="D354">
        <f>HUS!A354</f>
        <v>181</v>
      </c>
      <c r="E354" s="38">
        <f t="shared" si="5"/>
        <v>0.45939086294416243</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254</v>
      </c>
      <c r="D367">
        <f>HUS!A367</f>
        <v>136</v>
      </c>
      <c r="E367" s="38">
        <f t="shared" si="5"/>
        <v>0.53543307086614178</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398</v>
      </c>
      <c r="D371">
        <f>HUS!A371</f>
        <v>197</v>
      </c>
      <c r="E371" s="38">
        <f t="shared" si="5"/>
        <v>0.49497487437185927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260</v>
      </c>
      <c r="D380">
        <f>HUS!A380</f>
        <v>121</v>
      </c>
      <c r="E380" s="38">
        <f t="shared" si="5"/>
        <v>0.4653846153846154</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197</v>
      </c>
      <c r="D384">
        <f>HUS!A384</f>
        <v>97</v>
      </c>
      <c r="E384" s="38">
        <f t="shared" si="5"/>
        <v>0.49238578680203043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189</v>
      </c>
      <c r="E386" s="38">
        <f t="shared" si="5"/>
        <v>0.55263157894736847</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605</v>
      </c>
      <c r="D392">
        <f>HUS!A392</f>
        <v>257</v>
      </c>
      <c r="E392" s="38">
        <f t="shared" si="6"/>
        <v>0.42479338842975206</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378</v>
      </c>
      <c r="D396">
        <f>HUS!A396</f>
        <v>191</v>
      </c>
      <c r="E396" s="38">
        <f t="shared" si="6"/>
        <v>0.50529100529100535</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273</v>
      </c>
      <c r="D398">
        <f>HUS!A398</f>
        <v>167</v>
      </c>
      <c r="E398" s="38">
        <f t="shared" si="6"/>
        <v>0.61172161172161177</v>
      </c>
    </row>
    <row r="399" spans="1:5">
      <c r="A399" s="30">
        <f>Kaikki!F399</f>
        <v>44228.625</v>
      </c>
      <c r="B399" s="37" t="str">
        <f>Kaikki!G399</f>
        <v>2021-W05</v>
      </c>
      <c r="C399">
        <f>Kaikki!A399</f>
        <v>534</v>
      </c>
      <c r="D399">
        <f>HUS!A399</f>
        <v>296</v>
      </c>
      <c r="E399" s="38">
        <f t="shared" si="6"/>
        <v>0.55430711610486894</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373</v>
      </c>
      <c r="D402">
        <f>HUS!A402</f>
        <v>225</v>
      </c>
      <c r="E402" s="38">
        <f t="shared" si="6"/>
        <v>0.60321715817694366</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238</v>
      </c>
      <c r="D404">
        <f>HUS!A404</f>
        <v>152</v>
      </c>
      <c r="E404" s="38">
        <f t="shared" si="6"/>
        <v>0.6386554621848739</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461</v>
      </c>
      <c r="D406">
        <f>HUS!A406</f>
        <v>295</v>
      </c>
      <c r="E406" s="38">
        <f t="shared" si="6"/>
        <v>0.63991323210412143</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230</v>
      </c>
      <c r="E408" s="38">
        <f t="shared" si="6"/>
        <v>0.60052219321148825</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261</v>
      </c>
      <c r="E410" s="38">
        <f t="shared" si="6"/>
        <v>0.62291169451073991</v>
      </c>
    </row>
    <row r="411" spans="1:5">
      <c r="A411" s="30">
        <f>Kaikki!F411</f>
        <v>44240.625</v>
      </c>
      <c r="B411" s="37" t="str">
        <f>Kaikki!G411</f>
        <v/>
      </c>
      <c r="C411">
        <f>Kaikki!A411</f>
        <v>279</v>
      </c>
      <c r="D411">
        <f>HUS!A411</f>
        <v>191</v>
      </c>
      <c r="E411" s="38">
        <f t="shared" si="6"/>
        <v>0.68458781362007171</v>
      </c>
    </row>
    <row r="412" spans="1:5">
      <c r="A412" s="30">
        <f>Kaikki!F412</f>
        <v>44241.625</v>
      </c>
      <c r="B412" s="37" t="str">
        <f>Kaikki!G412</f>
        <v/>
      </c>
      <c r="C412">
        <f>Kaikki!A412</f>
        <v>282</v>
      </c>
      <c r="D412">
        <f>HUS!A412</f>
        <v>181</v>
      </c>
      <c r="E412" s="38">
        <f t="shared" si="6"/>
        <v>0.64184397163120566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514</v>
      </c>
      <c r="D414">
        <f>HUS!A414</f>
        <v>328</v>
      </c>
      <c r="E414" s="38">
        <f t="shared" si="6"/>
        <v>0.63813229571984431</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573</v>
      </c>
      <c r="D417">
        <f>HUS!A417</f>
        <v>306</v>
      </c>
      <c r="E417" s="38">
        <f t="shared" si="6"/>
        <v>0.53403141361256545</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388</v>
      </c>
      <c r="E420" s="38">
        <f t="shared" si="6"/>
        <v>0.622792937399679</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629</v>
      </c>
      <c r="D423">
        <f>HUS!A423</f>
        <v>361</v>
      </c>
      <c r="E423" s="38">
        <f t="shared" si="6"/>
        <v>0.57392686804451509</v>
      </c>
    </row>
    <row r="424" spans="1:5">
      <c r="A424" s="30">
        <f>Kaikki!F424</f>
        <v>44253.625</v>
      </c>
      <c r="B424" s="37" t="str">
        <f>Kaikki!G424</f>
        <v/>
      </c>
      <c r="C424">
        <f>Kaikki!A424</f>
        <v>686</v>
      </c>
      <c r="D424">
        <f>HUS!A424</f>
        <v>429</v>
      </c>
      <c r="E424" s="38">
        <f t="shared" si="6"/>
        <v>0.62536443148688048</v>
      </c>
    </row>
    <row r="425" spans="1:5">
      <c r="A425" s="30">
        <f>Kaikki!F425</f>
        <v>44254.625</v>
      </c>
      <c r="B425" s="37" t="str">
        <f>Kaikki!G425</f>
        <v/>
      </c>
      <c r="C425">
        <f>Kaikki!A425</f>
        <v>401</v>
      </c>
      <c r="D425">
        <f>HUS!A425</f>
        <v>266</v>
      </c>
      <c r="E425" s="38">
        <f t="shared" si="6"/>
        <v>0.66334164588528677</v>
      </c>
    </row>
    <row r="426" spans="1:5">
      <c r="A426" s="30">
        <f>Kaikki!F426</f>
        <v>44255.625</v>
      </c>
      <c r="B426" s="37" t="str">
        <f>Kaikki!G426</f>
        <v/>
      </c>
      <c r="C426">
        <f>Kaikki!A426</f>
        <v>422</v>
      </c>
      <c r="D426">
        <f>HUS!A426</f>
        <v>266</v>
      </c>
      <c r="E426" s="38">
        <f t="shared" si="6"/>
        <v>0.63033175355450233</v>
      </c>
    </row>
    <row r="427" spans="1:5">
      <c r="A427" s="30">
        <f>Kaikki!F427</f>
        <v>44256.625</v>
      </c>
      <c r="B427" s="37" t="str">
        <f>Kaikki!G427</f>
        <v>2021-W09</v>
      </c>
      <c r="C427">
        <f>Kaikki!A427</f>
        <v>875</v>
      </c>
      <c r="D427">
        <f>HUS!A427</f>
        <v>483</v>
      </c>
      <c r="E427" s="38">
        <f t="shared" si="6"/>
        <v>0.55200000000000005</v>
      </c>
    </row>
    <row r="428" spans="1:5">
      <c r="A428" s="30">
        <f>Kaikki!F428</f>
        <v>44257.625</v>
      </c>
      <c r="B428" s="37" t="str">
        <f>Kaikki!G428</f>
        <v/>
      </c>
      <c r="C428">
        <f>Kaikki!A428</f>
        <v>758</v>
      </c>
      <c r="D428">
        <f>HUS!A428</f>
        <v>492</v>
      </c>
      <c r="E428" s="38">
        <f t="shared" si="6"/>
        <v>0.64907651715039583</v>
      </c>
    </row>
    <row r="429" spans="1:5">
      <c r="A429" s="30">
        <f>Kaikki!F429</f>
        <v>44258.625</v>
      </c>
      <c r="B429" s="37" t="str">
        <f>Kaikki!G429</f>
        <v/>
      </c>
      <c r="C429">
        <f>Kaikki!A429</f>
        <v>732</v>
      </c>
      <c r="D429">
        <f>HUS!A429</f>
        <v>475</v>
      </c>
      <c r="E429" s="38">
        <f t="shared" si="6"/>
        <v>0.64890710382513661</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433</v>
      </c>
      <c r="D432">
        <f>HUS!A432</f>
        <v>277</v>
      </c>
      <c r="E432" s="38">
        <f t="shared" si="6"/>
        <v>0.63972286374133946</v>
      </c>
    </row>
    <row r="433" spans="1:5">
      <c r="A433" s="30">
        <f>Kaikki!F433</f>
        <v>44262.625</v>
      </c>
      <c r="B433" s="37" t="str">
        <f>Kaikki!G433</f>
        <v/>
      </c>
      <c r="C433">
        <f>Kaikki!A433</f>
        <v>395</v>
      </c>
      <c r="D433">
        <f>HUS!A433</f>
        <v>256</v>
      </c>
      <c r="E433" s="38">
        <f t="shared" si="6"/>
        <v>0.64810126582278482</v>
      </c>
    </row>
    <row r="434" spans="1:5">
      <c r="A434" s="30">
        <f>Kaikki!F434</f>
        <v>44263.625</v>
      </c>
      <c r="B434" s="37" t="str">
        <f>Kaikki!G434</f>
        <v>2021-W10</v>
      </c>
      <c r="C434">
        <f>Kaikki!A434</f>
        <v>834</v>
      </c>
      <c r="D434">
        <f>HUS!A434</f>
        <v>501</v>
      </c>
      <c r="E434" s="38">
        <f t="shared" si="6"/>
        <v>0.60071942446043169</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822</v>
      </c>
      <c r="D436">
        <f>HUS!A436</f>
        <v>505</v>
      </c>
      <c r="E436" s="38">
        <f t="shared" si="6"/>
        <v>0.61435523114355228</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517</v>
      </c>
      <c r="E438" s="38">
        <f t="shared" si="6"/>
        <v>0.63985148514851486</v>
      </c>
    </row>
    <row r="439" spans="1:5">
      <c r="A439" s="30">
        <f>Kaikki!F439</f>
        <v>44268.625</v>
      </c>
      <c r="B439" s="37" t="str">
        <f>Kaikki!G439</f>
        <v/>
      </c>
      <c r="C439">
        <f>Kaikki!A439</f>
        <v>491</v>
      </c>
      <c r="D439">
        <f>HUS!A439</f>
        <v>327</v>
      </c>
      <c r="E439" s="38">
        <f t="shared" si="6"/>
        <v>0.66598778004073322</v>
      </c>
    </row>
    <row r="440" spans="1:5">
      <c r="A440" s="30">
        <f>Kaikki!F440</f>
        <v>44269.625</v>
      </c>
      <c r="B440" s="37" t="str">
        <f>Kaikki!G440</f>
        <v/>
      </c>
      <c r="C440">
        <f>Kaikki!A440</f>
        <v>434</v>
      </c>
      <c r="D440">
        <f>HUS!A440</f>
        <v>262</v>
      </c>
      <c r="E440" s="38">
        <f t="shared" si="6"/>
        <v>0.60368663594470051</v>
      </c>
    </row>
    <row r="441" spans="1:5">
      <c r="A441" s="30">
        <f>Kaikki!F441</f>
        <v>44270.625</v>
      </c>
      <c r="B441" s="37" t="str">
        <f>Kaikki!G441</f>
        <v>2021-W11</v>
      </c>
      <c r="C441">
        <f>Kaikki!A441</f>
        <v>892</v>
      </c>
      <c r="D441">
        <f>HUS!A441</f>
        <v>508</v>
      </c>
      <c r="E441" s="38">
        <f t="shared" si="6"/>
        <v>0.56950672645739908</v>
      </c>
    </row>
    <row r="442" spans="1:5">
      <c r="A442" s="30">
        <f>Kaikki!F442</f>
        <v>44271.625</v>
      </c>
      <c r="B442" s="37" t="str">
        <f>Kaikki!G442</f>
        <v/>
      </c>
      <c r="C442">
        <f>Kaikki!A442</f>
        <v>767</v>
      </c>
      <c r="D442">
        <f>HUS!A442</f>
        <v>454</v>
      </c>
      <c r="E442" s="38">
        <f t="shared" si="6"/>
        <v>0.59191655801825294</v>
      </c>
    </row>
    <row r="443" spans="1:5">
      <c r="A443" s="30">
        <f>Kaikki!F443</f>
        <v>44272.625</v>
      </c>
      <c r="B443" s="37" t="str">
        <f>Kaikki!G443</f>
        <v/>
      </c>
      <c r="C443">
        <f>Kaikki!A443</f>
        <v>743</v>
      </c>
      <c r="D443">
        <f>HUS!A443</f>
        <v>417</v>
      </c>
      <c r="E443" s="38">
        <f t="shared" si="6"/>
        <v>0.56123822341857332</v>
      </c>
    </row>
    <row r="444" spans="1:5">
      <c r="A444" s="30">
        <f>Kaikki!F444</f>
        <v>44273.625</v>
      </c>
      <c r="B444" s="37" t="str">
        <f>Kaikki!G444</f>
        <v/>
      </c>
      <c r="C444">
        <f>Kaikki!A444</f>
        <v>735</v>
      </c>
      <c r="D444">
        <f>HUS!A444</f>
        <v>455</v>
      </c>
      <c r="E444" s="38">
        <f t="shared" si="6"/>
        <v>0.61904761904761907</v>
      </c>
    </row>
    <row r="445" spans="1:5">
      <c r="A445" s="30">
        <f>Kaikki!F445</f>
        <v>44274.625</v>
      </c>
      <c r="B445" s="37" t="str">
        <f>Kaikki!G445</f>
        <v/>
      </c>
      <c r="C445">
        <f>Kaikki!A445</f>
        <v>745</v>
      </c>
      <c r="D445">
        <f>HUS!A445</f>
        <v>444</v>
      </c>
      <c r="E445" s="38">
        <f t="shared" si="6"/>
        <v>0.59597315436241616</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420</v>
      </c>
      <c r="D447">
        <f>HUS!A447</f>
        <v>288</v>
      </c>
      <c r="E447" s="38">
        <f t="shared" si="6"/>
        <v>0.68571428571428572</v>
      </c>
    </row>
    <row r="448" spans="1:5">
      <c r="A448" s="30">
        <f>Kaikki!F448</f>
        <v>44277.625</v>
      </c>
      <c r="B448" s="37" t="str">
        <f>Kaikki!G448</f>
        <v>2021-W12</v>
      </c>
      <c r="C448">
        <f>Kaikki!A448</f>
        <v>769</v>
      </c>
      <c r="D448">
        <f>HUS!A448</f>
        <v>452</v>
      </c>
      <c r="E448" s="38">
        <f t="shared" si="6"/>
        <v>0.58777633289986997</v>
      </c>
    </row>
    <row r="449" spans="1:5">
      <c r="A449" s="30">
        <f>Kaikki!F449</f>
        <v>44278.625</v>
      </c>
      <c r="B449" s="37" t="str">
        <f>Kaikki!G449</f>
        <v/>
      </c>
      <c r="C449">
        <f>Kaikki!A449</f>
        <v>703</v>
      </c>
      <c r="D449">
        <f>HUS!A449</f>
        <v>452</v>
      </c>
      <c r="E449" s="38">
        <f t="shared" si="6"/>
        <v>0.64295874822190613</v>
      </c>
    </row>
    <row r="450" spans="1:5">
      <c r="A450" s="30">
        <f>Kaikki!F450</f>
        <v>44279.625</v>
      </c>
      <c r="B450" s="37" t="str">
        <f>Kaikki!G450</f>
        <v/>
      </c>
      <c r="C450">
        <f>Kaikki!A450</f>
        <v>695</v>
      </c>
      <c r="D450">
        <f>HUS!A450</f>
        <v>394</v>
      </c>
      <c r="E450" s="38">
        <f t="shared" si="6"/>
        <v>0.56690647482014389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372</v>
      </c>
      <c r="D454">
        <f>HUS!A454</f>
        <v>248</v>
      </c>
      <c r="E454" s="38">
        <f t="shared" si="7"/>
        <v>0.66666666666666663</v>
      </c>
    </row>
    <row r="455" spans="1:5">
      <c r="A455" s="30">
        <f>Kaikki!F455</f>
        <v>44284.625</v>
      </c>
      <c r="B455" s="37" t="str">
        <f>Kaikki!G455</f>
        <v>2021-W13</v>
      </c>
      <c r="C455">
        <f>Kaikki!A455</f>
        <v>654</v>
      </c>
      <c r="D455">
        <f>HUS!A455</f>
        <v>378</v>
      </c>
      <c r="E455" s="38">
        <f t="shared" si="7"/>
        <v>0.57798165137614677</v>
      </c>
    </row>
    <row r="456" spans="1:5">
      <c r="A456" s="30">
        <f>Kaikki!F456</f>
        <v>44285.625</v>
      </c>
      <c r="B456" s="37" t="str">
        <f>Kaikki!G456</f>
        <v/>
      </c>
      <c r="C456">
        <f>Kaikki!A456</f>
        <v>570</v>
      </c>
      <c r="D456">
        <f>HUS!A456</f>
        <v>322</v>
      </c>
      <c r="E456" s="38">
        <f t="shared" si="7"/>
        <v>0.56491228070175437</v>
      </c>
    </row>
    <row r="457" spans="1:5">
      <c r="A457" s="30">
        <f>Kaikki!F457</f>
        <v>44286.625</v>
      </c>
      <c r="B457" s="37" t="str">
        <f>Kaikki!G457</f>
        <v/>
      </c>
      <c r="C457">
        <f>Kaikki!A457</f>
        <v>550</v>
      </c>
      <c r="D457">
        <f>HUS!A457</f>
        <v>331</v>
      </c>
      <c r="E457" s="38">
        <f t="shared" si="7"/>
        <v>0.60181818181818181</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223</v>
      </c>
      <c r="E459" s="38">
        <f t="shared" si="7"/>
        <v>0.61772853185595566</v>
      </c>
    </row>
    <row r="460" spans="1:5">
      <c r="A460" s="30">
        <f>Kaikki!F460</f>
        <v>44289.625</v>
      </c>
      <c r="B460" s="37" t="str">
        <f>Kaikki!G460</f>
        <v/>
      </c>
      <c r="C460">
        <f>Kaikki!A460</f>
        <v>320</v>
      </c>
      <c r="D460">
        <f>HUS!A460</f>
        <v>188</v>
      </c>
      <c r="E460" s="38">
        <f t="shared" si="7"/>
        <v>0.58750000000000002</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359</v>
      </c>
      <c r="D462">
        <f>HUS!A462</f>
        <v>232</v>
      </c>
      <c r="E462" s="38">
        <f t="shared" si="7"/>
        <v>0.64623955431754876</v>
      </c>
    </row>
    <row r="463" spans="1:5">
      <c r="A463" s="30">
        <f>Kaikki!F463</f>
        <v>44292.625</v>
      </c>
      <c r="B463" s="37" t="str">
        <f>Kaikki!G463</f>
        <v/>
      </c>
      <c r="C463">
        <f>Kaikki!A463</f>
        <v>545</v>
      </c>
      <c r="D463">
        <f>HUS!A463</f>
        <v>305</v>
      </c>
      <c r="E463" s="38">
        <f t="shared" si="7"/>
        <v>0.55963302752293576</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407</v>
      </c>
      <c r="D465">
        <f>HUS!A465</f>
        <v>211</v>
      </c>
      <c r="E465" s="38">
        <f t="shared" si="7"/>
        <v>0.51842751842751844</v>
      </c>
    </row>
    <row r="466" spans="1:5">
      <c r="A466" s="30">
        <f>Kaikki!F466</f>
        <v>44295.625</v>
      </c>
      <c r="B466" s="37" t="str">
        <f>Kaikki!G466</f>
        <v/>
      </c>
      <c r="C466">
        <f>Kaikki!A466</f>
        <v>351</v>
      </c>
      <c r="D466">
        <f>HUS!A466</f>
        <v>175</v>
      </c>
      <c r="E466" s="38">
        <f t="shared" si="7"/>
        <v>0.4985754985754986</v>
      </c>
    </row>
    <row r="467" spans="1:5">
      <c r="A467" s="30">
        <f>Kaikki!F467</f>
        <v>44296.625</v>
      </c>
      <c r="B467" s="37" t="str">
        <f>Kaikki!G467</f>
        <v/>
      </c>
      <c r="C467">
        <f>Kaikki!A467</f>
        <v>226</v>
      </c>
      <c r="D467">
        <f>HUS!A467</f>
        <v>137</v>
      </c>
      <c r="E467" s="38">
        <f t="shared" si="7"/>
        <v>0.60619469026548678</v>
      </c>
    </row>
    <row r="468" spans="1:5">
      <c r="A468" s="30">
        <f>Kaikki!F468</f>
        <v>44297.625</v>
      </c>
      <c r="B468" s="37" t="str">
        <f>Kaikki!G468</f>
        <v/>
      </c>
      <c r="C468">
        <f>Kaikki!A468</f>
        <v>239</v>
      </c>
      <c r="D468">
        <f>HUS!A468</f>
        <v>142</v>
      </c>
      <c r="E468" s="38">
        <f t="shared" si="7"/>
        <v>0.59414225941422594</v>
      </c>
    </row>
    <row r="469" spans="1:5">
      <c r="A469" s="30">
        <f>Kaikki!F469</f>
        <v>44298.625</v>
      </c>
      <c r="B469" s="37" t="str">
        <f>Kaikki!G469</f>
        <v>2021-W15</v>
      </c>
      <c r="C469">
        <f>Kaikki!A469</f>
        <v>398</v>
      </c>
      <c r="D469">
        <f>HUS!A469</f>
        <v>215</v>
      </c>
      <c r="E469" s="38">
        <f t="shared" si="7"/>
        <v>0.54020100502512558</v>
      </c>
    </row>
    <row r="470" spans="1:5">
      <c r="A470" s="30">
        <f>Kaikki!F470</f>
        <v>44299.625</v>
      </c>
      <c r="B470" s="37" t="str">
        <f>Kaikki!G470</f>
        <v/>
      </c>
      <c r="C470">
        <f>Kaikki!A470</f>
        <v>325</v>
      </c>
      <c r="D470">
        <f>HUS!A470</f>
        <v>155</v>
      </c>
      <c r="E470" s="38">
        <f t="shared" si="7"/>
        <v>0.47692307692307695</v>
      </c>
    </row>
    <row r="471" spans="1:5">
      <c r="A471" s="30">
        <f>Kaikki!F471</f>
        <v>44300.625</v>
      </c>
      <c r="B471" s="37" t="str">
        <f>Kaikki!G471</f>
        <v/>
      </c>
      <c r="C471">
        <f>Kaikki!A471</f>
        <v>345</v>
      </c>
      <c r="D471">
        <f>HUS!A471</f>
        <v>169</v>
      </c>
      <c r="E471" s="38">
        <f t="shared" si="7"/>
        <v>0.48985507246376814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264</v>
      </c>
      <c r="D473">
        <f>HUS!A473</f>
        <v>130</v>
      </c>
      <c r="E473" s="38">
        <f t="shared" si="7"/>
        <v>0.49242424242424243</v>
      </c>
    </row>
    <row r="474" spans="1:5">
      <c r="A474" s="30">
        <f>Kaikki!F474</f>
        <v>44303.625</v>
      </c>
      <c r="B474" s="37" t="str">
        <f>Kaikki!G474</f>
        <v/>
      </c>
      <c r="C474">
        <f>Kaikki!A474</f>
        <v>171</v>
      </c>
      <c r="D474">
        <f>HUS!A474</f>
        <v>124</v>
      </c>
      <c r="E474" s="38">
        <f t="shared" si="7"/>
        <v>0.72514619883040932</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284</v>
      </c>
      <c r="D476">
        <f>HUS!A476</f>
        <v>136</v>
      </c>
      <c r="E476" s="38">
        <f t="shared" si="7"/>
        <v>0.47887323943661969</v>
      </c>
    </row>
    <row r="477" spans="1:5">
      <c r="A477" s="30">
        <f>Kaikki!F477</f>
        <v>44306.625</v>
      </c>
      <c r="B477" s="37" t="str">
        <f>Kaikki!G477</f>
        <v/>
      </c>
      <c r="C477">
        <f>Kaikki!A477</f>
        <v>285</v>
      </c>
      <c r="D477">
        <f>HUS!A477</f>
        <v>144</v>
      </c>
      <c r="E477" s="38">
        <f t="shared" si="7"/>
        <v>0.50526315789473686</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258</v>
      </c>
      <c r="D479">
        <f>HUS!A479</f>
        <v>139</v>
      </c>
      <c r="E479" s="38">
        <f t="shared" si="7"/>
        <v>0.53875968992248058</v>
      </c>
    </row>
    <row r="480" spans="1:5">
      <c r="A480" s="30">
        <f>Kaikki!F480</f>
        <v>44309.625</v>
      </c>
      <c r="B480" s="37" t="str">
        <f>Kaikki!G480</f>
        <v/>
      </c>
      <c r="C480">
        <f>Kaikki!A480</f>
        <v>255</v>
      </c>
      <c r="D480">
        <f>HUS!A480</f>
        <v>110</v>
      </c>
      <c r="E480" s="38">
        <f t="shared" si="7"/>
        <v>0.43137254901960786</v>
      </c>
    </row>
    <row r="481" spans="1:5">
      <c r="A481" s="30">
        <f>Kaikki!F481</f>
        <v>44310.625</v>
      </c>
      <c r="B481" s="37" t="str">
        <f>Kaikki!G481</f>
        <v/>
      </c>
      <c r="C481">
        <f>Kaikki!A481</f>
        <v>155</v>
      </c>
      <c r="D481">
        <f>HUS!A481</f>
        <v>85</v>
      </c>
      <c r="E481" s="38">
        <f t="shared" si="7"/>
        <v>0.54838709677419351</v>
      </c>
    </row>
    <row r="482" spans="1:5">
      <c r="A482" s="30">
        <f>Kaikki!F482</f>
        <v>44311.625</v>
      </c>
      <c r="B482" s="37" t="str">
        <f>Kaikki!G482</f>
        <v/>
      </c>
      <c r="C482">
        <f>Kaikki!A482</f>
        <v>140</v>
      </c>
      <c r="D482">
        <f>HUS!A482</f>
        <v>83</v>
      </c>
      <c r="E482" s="38">
        <f t="shared" si="7"/>
        <v>0.59285714285714286</v>
      </c>
    </row>
    <row r="483" spans="1:5">
      <c r="A483" s="30">
        <f>Kaikki!F483</f>
        <v>44312.625</v>
      </c>
      <c r="B483" s="37" t="str">
        <f>Kaikki!G483</f>
        <v>2021-W17</v>
      </c>
      <c r="C483">
        <f>Kaikki!A483</f>
        <v>243</v>
      </c>
      <c r="D483">
        <f>HUS!A483</f>
        <v>121</v>
      </c>
      <c r="E483" s="38">
        <f t="shared" si="7"/>
        <v>0.49794238683127573</v>
      </c>
    </row>
    <row r="484" spans="1:5">
      <c r="A484" s="30">
        <f>Kaikki!F484</f>
        <v>44313.625</v>
      </c>
      <c r="B484" s="37" t="str">
        <f>Kaikki!G484</f>
        <v/>
      </c>
      <c r="C484">
        <f>Kaikki!A484</f>
        <v>228</v>
      </c>
      <c r="D484">
        <f>HUS!A484</f>
        <v>109</v>
      </c>
      <c r="E484" s="38">
        <f t="shared" si="7"/>
        <v>0.47807017543859648</v>
      </c>
    </row>
    <row r="485" spans="1:5">
      <c r="A485" s="30">
        <f>Kaikki!F485</f>
        <v>44314.625</v>
      </c>
      <c r="B485" s="37" t="str">
        <f>Kaikki!G485</f>
        <v/>
      </c>
      <c r="C485">
        <f>Kaikki!A485</f>
        <v>274</v>
      </c>
      <c r="D485">
        <f>HUS!A485</f>
        <v>146</v>
      </c>
      <c r="E485" s="38">
        <f t="shared" si="7"/>
        <v>0.53284671532846717</v>
      </c>
    </row>
    <row r="486" spans="1:5">
      <c r="A486" s="30">
        <f>Kaikki!F486</f>
        <v>44315.625</v>
      </c>
      <c r="B486" s="37" t="str">
        <f>Kaikki!G486</f>
        <v/>
      </c>
      <c r="C486">
        <f>Kaikki!A486</f>
        <v>201</v>
      </c>
      <c r="D486">
        <f>HUS!A486</f>
        <v>94</v>
      </c>
      <c r="E486" s="38">
        <f t="shared" si="7"/>
        <v>0.46766169154228854</v>
      </c>
    </row>
    <row r="487" spans="1:5">
      <c r="A487" s="30">
        <f>Kaikki!F487</f>
        <v>44316.625</v>
      </c>
      <c r="B487" s="37" t="str">
        <f>Kaikki!G487</f>
        <v/>
      </c>
      <c r="C487">
        <f>Kaikki!A487</f>
        <v>197</v>
      </c>
      <c r="D487">
        <f>HUS!A487</f>
        <v>97</v>
      </c>
      <c r="E487" s="38">
        <f t="shared" si="7"/>
        <v>0.49238578680203043</v>
      </c>
    </row>
    <row r="488" spans="1:5">
      <c r="A488" s="30">
        <f>Kaikki!F488</f>
        <v>44317.625</v>
      </c>
      <c r="B488" s="37" t="str">
        <f>Kaikki!G488</f>
        <v/>
      </c>
      <c r="C488">
        <f>Kaikki!A488</f>
        <v>108</v>
      </c>
      <c r="D488">
        <f>HUS!A488</f>
        <v>54</v>
      </c>
      <c r="E488" s="38">
        <f t="shared" si="7"/>
        <v>0.5</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158</v>
      </c>
      <c r="E490" s="38">
        <f t="shared" si="7"/>
        <v>0.49685534591194969</v>
      </c>
    </row>
    <row r="491" spans="1:5">
      <c r="A491" s="30">
        <f>Kaikki!F491</f>
        <v>44320.625</v>
      </c>
      <c r="B491" s="37" t="str">
        <f>Kaikki!G491</f>
        <v/>
      </c>
      <c r="C491">
        <f>Kaikki!A491</f>
        <v>205</v>
      </c>
      <c r="D491">
        <f>HUS!A491</f>
        <v>113</v>
      </c>
      <c r="E491" s="38">
        <f t="shared" si="7"/>
        <v>0.551219512195122</v>
      </c>
    </row>
    <row r="492" spans="1:5">
      <c r="A492" s="30">
        <f>Kaikki!F492</f>
        <v>44321.625</v>
      </c>
      <c r="B492" s="37" t="str">
        <f>Kaikki!G492</f>
        <v/>
      </c>
      <c r="C492">
        <f>Kaikki!A492</f>
        <v>266</v>
      </c>
      <c r="D492">
        <f>HUS!A492</f>
        <v>126</v>
      </c>
      <c r="E492" s="38">
        <f t="shared" si="7"/>
        <v>0.47368421052631576</v>
      </c>
    </row>
    <row r="493" spans="1:5">
      <c r="A493" s="30">
        <f>Kaikki!F493</f>
        <v>44322.625</v>
      </c>
      <c r="B493" s="37" t="str">
        <f>Kaikki!G493</f>
        <v/>
      </c>
      <c r="C493">
        <f>Kaikki!A493</f>
        <v>239</v>
      </c>
      <c r="D493">
        <f>HUS!A493</f>
        <v>113</v>
      </c>
      <c r="E493" s="38">
        <f t="shared" si="7"/>
        <v>0.47280334728033474</v>
      </c>
    </row>
    <row r="494" spans="1:5">
      <c r="A494" s="30">
        <f>Kaikki!F494</f>
        <v>44323.625</v>
      </c>
      <c r="B494" s="37" t="str">
        <f>Kaikki!G494</f>
        <v/>
      </c>
      <c r="C494">
        <f>Kaikki!A494</f>
        <v>214</v>
      </c>
      <c r="D494">
        <f>HUS!A494</f>
        <v>94</v>
      </c>
      <c r="E494" s="38">
        <f t="shared" si="7"/>
        <v>0.43925233644859812</v>
      </c>
    </row>
    <row r="495" spans="1:5">
      <c r="A495" s="30">
        <f>Kaikki!F495</f>
        <v>44324.625</v>
      </c>
      <c r="B495" s="37" t="str">
        <f>Kaikki!G495</f>
        <v/>
      </c>
      <c r="C495">
        <f>Kaikki!A495</f>
        <v>131</v>
      </c>
      <c r="D495">
        <f>HUS!A495</f>
        <v>69</v>
      </c>
      <c r="E495" s="38">
        <f t="shared" si="7"/>
        <v>0.52671755725190839</v>
      </c>
    </row>
    <row r="496" spans="1:5">
      <c r="A496" s="30">
        <f>Kaikki!F496</f>
        <v>44325.625</v>
      </c>
      <c r="B496" s="37" t="str">
        <f>Kaikki!G496</f>
        <v/>
      </c>
      <c r="C496">
        <f>Kaikki!A496</f>
        <v>130</v>
      </c>
      <c r="D496">
        <f>HUS!A496</f>
        <v>69</v>
      </c>
      <c r="E496" s="38">
        <f t="shared" si="7"/>
        <v>0.53076923076923077</v>
      </c>
    </row>
    <row r="497" spans="1:5">
      <c r="A497" s="30">
        <f>Kaikki!F497</f>
        <v>44326.625</v>
      </c>
      <c r="B497" s="37" t="str">
        <f>Kaikki!G497</f>
        <v>2021-W19</v>
      </c>
      <c r="C497">
        <f>Kaikki!A497</f>
        <v>257</v>
      </c>
      <c r="D497">
        <f>HUS!A497</f>
        <v>138</v>
      </c>
      <c r="E497" s="38">
        <f t="shared" si="7"/>
        <v>0.53696498054474706</v>
      </c>
    </row>
    <row r="498" spans="1:5">
      <c r="A498" s="30">
        <f>Kaikki!F498</f>
        <v>44327.625</v>
      </c>
      <c r="B498" s="37" t="str">
        <f>Kaikki!G498</f>
        <v/>
      </c>
      <c r="C498">
        <f>Kaikki!A498</f>
        <v>215</v>
      </c>
      <c r="D498">
        <f>HUS!A498</f>
        <v>107</v>
      </c>
      <c r="E498" s="38">
        <f t="shared" si="7"/>
        <v>0.49767441860465117</v>
      </c>
    </row>
    <row r="499" spans="1:5">
      <c r="A499" s="30">
        <f>Kaikki!F499</f>
        <v>44328.625</v>
      </c>
      <c r="B499" s="37" t="str">
        <f>Kaikki!G499</f>
        <v/>
      </c>
      <c r="C499">
        <f>Kaikki!A499</f>
        <v>256</v>
      </c>
      <c r="D499">
        <f>HUS!A499</f>
        <v>146</v>
      </c>
      <c r="E499" s="38">
        <f t="shared" si="7"/>
        <v>0.5703125</v>
      </c>
    </row>
    <row r="500" spans="1:5">
      <c r="A500" s="30">
        <f>Kaikki!F500</f>
        <v>44329.625</v>
      </c>
      <c r="B500" s="37" t="str">
        <f>Kaikki!G500</f>
        <v/>
      </c>
      <c r="C500">
        <f>Kaikki!A500</f>
        <v>156</v>
      </c>
      <c r="D500">
        <f>HUS!A500</f>
        <v>77</v>
      </c>
      <c r="E500" s="38">
        <f t="shared" si="7"/>
        <v>0.49358974358974361</v>
      </c>
    </row>
    <row r="501" spans="1:5">
      <c r="A501" s="30">
        <f>Kaikki!F501</f>
        <v>44330.625</v>
      </c>
      <c r="B501" s="37" t="str">
        <f>Kaikki!G501</f>
        <v/>
      </c>
      <c r="C501">
        <f>Kaikki!A501</f>
        <v>245</v>
      </c>
      <c r="D501">
        <f>HUS!A501</f>
        <v>85</v>
      </c>
      <c r="E501" s="38">
        <f t="shared" si="7"/>
        <v>0.34693877551020408</v>
      </c>
    </row>
    <row r="502" spans="1:5">
      <c r="A502" s="30">
        <f>Kaikki!F502</f>
        <v>44331.625</v>
      </c>
      <c r="B502" s="37" t="str">
        <f>Kaikki!G502</f>
        <v/>
      </c>
      <c r="C502">
        <f>Kaikki!A502</f>
        <v>160</v>
      </c>
      <c r="D502">
        <f>HUS!A502</f>
        <v>80</v>
      </c>
      <c r="E502" s="38">
        <f t="shared" si="7"/>
        <v>0.5</v>
      </c>
    </row>
    <row r="503" spans="1:5">
      <c r="A503" s="30">
        <f>Kaikki!F503</f>
        <v>44332.625</v>
      </c>
      <c r="B503" s="37" t="str">
        <f>Kaikki!G503</f>
        <v/>
      </c>
      <c r="C503">
        <f>Kaikki!A503</f>
        <v>133</v>
      </c>
      <c r="D503">
        <f>HUS!A503</f>
        <v>55</v>
      </c>
      <c r="E503" s="38">
        <f t="shared" si="7"/>
        <v>0.41353383458646614</v>
      </c>
    </row>
    <row r="504" spans="1:5">
      <c r="A504" s="30">
        <f>Kaikki!F504</f>
        <v>44333.625</v>
      </c>
      <c r="B504" s="37" t="str">
        <f>Kaikki!G504</f>
        <v>2021-W20</v>
      </c>
      <c r="C504">
        <f>Kaikki!A504</f>
        <v>284</v>
      </c>
      <c r="D504">
        <f>HUS!A504</f>
        <v>120</v>
      </c>
      <c r="E504" s="38">
        <f t="shared" si="7"/>
        <v>0.42253521126760563</v>
      </c>
    </row>
    <row r="505" spans="1:5">
      <c r="A505" s="30">
        <f>Kaikki!F505</f>
        <v>44334.625</v>
      </c>
      <c r="B505" s="37" t="str">
        <f>Kaikki!G505</f>
        <v/>
      </c>
      <c r="C505">
        <f>Kaikki!A505</f>
        <v>217</v>
      </c>
      <c r="D505">
        <f>HUS!A505</f>
        <v>109</v>
      </c>
      <c r="E505" s="38">
        <f t="shared" si="7"/>
        <v>0.50230414746543783</v>
      </c>
    </row>
    <row r="506" spans="1:5">
      <c r="A506" s="30">
        <f>Kaikki!F506</f>
        <v>44335.625</v>
      </c>
      <c r="B506" s="37" t="str">
        <f>Kaikki!G506</f>
        <v/>
      </c>
      <c r="C506">
        <f>Kaikki!A506</f>
        <v>230</v>
      </c>
      <c r="D506">
        <f>HUS!A506</f>
        <v>113</v>
      </c>
      <c r="E506" s="38">
        <f t="shared" si="7"/>
        <v>0.49130434782608695</v>
      </c>
    </row>
    <row r="507" spans="1:5">
      <c r="A507" s="30">
        <f>Kaikki!F507</f>
        <v>44336.625</v>
      </c>
      <c r="B507" s="37" t="str">
        <f>Kaikki!G507</f>
        <v/>
      </c>
      <c r="C507">
        <f>Kaikki!A507</f>
        <v>215</v>
      </c>
      <c r="D507">
        <f>HUS!A507</f>
        <v>103</v>
      </c>
      <c r="E507" s="38">
        <f t="shared" si="7"/>
        <v>0.47906976744186047</v>
      </c>
    </row>
    <row r="508" spans="1:5">
      <c r="A508" s="30">
        <f>Kaikki!F508</f>
        <v>44337.625</v>
      </c>
      <c r="B508" s="37" t="str">
        <f>Kaikki!G508</f>
        <v/>
      </c>
      <c r="C508">
        <f>Kaikki!A508</f>
        <v>169</v>
      </c>
      <c r="D508">
        <f>HUS!A508</f>
        <v>86</v>
      </c>
      <c r="E508" s="38">
        <f t="shared" si="7"/>
        <v>0.50887573964497046</v>
      </c>
    </row>
    <row r="509" spans="1:5">
      <c r="A509" s="30">
        <f>Kaikki!F509</f>
        <v>44338.625</v>
      </c>
      <c r="B509" s="37" t="str">
        <f>Kaikki!G509</f>
        <v/>
      </c>
      <c r="C509">
        <f>Kaikki!A509</f>
        <v>108</v>
      </c>
      <c r="D509">
        <f>HUS!A509</f>
        <v>55</v>
      </c>
      <c r="E509" s="38">
        <f t="shared" si="7"/>
        <v>0.5092592592592593</v>
      </c>
    </row>
    <row r="510" spans="1:5">
      <c r="A510" s="30">
        <f>Kaikki!F510</f>
        <v>44339.625</v>
      </c>
      <c r="B510" s="37" t="str">
        <f>Kaikki!G510</f>
        <v/>
      </c>
      <c r="C510">
        <f>Kaikki!A510</f>
        <v>93</v>
      </c>
      <c r="D510">
        <f>HUS!A510</f>
        <v>54</v>
      </c>
      <c r="E510" s="38">
        <f t="shared" si="7"/>
        <v>0.58064516129032262</v>
      </c>
    </row>
    <row r="511" spans="1:5">
      <c r="A511" s="30">
        <f>Kaikki!F511</f>
        <v>44340.625</v>
      </c>
      <c r="B511" s="37" t="str">
        <f>Kaikki!G511</f>
        <v>2021-W21</v>
      </c>
      <c r="C511">
        <f>Kaikki!A511</f>
        <v>188</v>
      </c>
      <c r="D511">
        <f>HUS!A511</f>
        <v>109</v>
      </c>
      <c r="E511" s="38">
        <f t="shared" si="7"/>
        <v>0.57978723404255317</v>
      </c>
    </row>
    <row r="512" spans="1:5">
      <c r="A512" s="30">
        <f>Kaikki!F512</f>
        <v>44341.625</v>
      </c>
      <c r="B512" s="37" t="str">
        <f>Kaikki!G512</f>
        <v/>
      </c>
      <c r="C512">
        <f>Kaikki!A512</f>
        <v>152</v>
      </c>
      <c r="D512">
        <f>HUS!A512</f>
        <v>85</v>
      </c>
      <c r="E512" s="38">
        <f t="shared" si="7"/>
        <v>0.55921052631578949</v>
      </c>
    </row>
    <row r="513" spans="1:5">
      <c r="A513" s="30">
        <f>Kaikki!F513</f>
        <v>44342.625</v>
      </c>
      <c r="B513" s="37" t="str">
        <f>Kaikki!G513</f>
        <v/>
      </c>
      <c r="C513">
        <f>Kaikki!A513</f>
        <v>142</v>
      </c>
      <c r="D513">
        <f>HUS!A513</f>
        <v>76</v>
      </c>
      <c r="E513" s="38">
        <f t="shared" si="7"/>
        <v>0.53521126760563376</v>
      </c>
    </row>
    <row r="514" spans="1:5">
      <c r="A514" s="30">
        <f>Kaikki!F514</f>
        <v>44343.625</v>
      </c>
      <c r="B514" s="37" t="str">
        <f>Kaikki!G514</f>
        <v/>
      </c>
      <c r="C514">
        <f>Kaikki!A514</f>
        <v>127</v>
      </c>
      <c r="D514">
        <f>HUS!A514</f>
        <v>56</v>
      </c>
      <c r="E514" s="38">
        <f t="shared" si="7"/>
        <v>0.44094488188976377</v>
      </c>
    </row>
    <row r="515" spans="1:5">
      <c r="A515" s="30">
        <f>Kaikki!F515</f>
        <v>44344.625</v>
      </c>
      <c r="B515" s="37" t="str">
        <f>Kaikki!G515</f>
        <v/>
      </c>
      <c r="C515">
        <f>Kaikki!A515</f>
        <v>136</v>
      </c>
      <c r="D515">
        <f>HUS!A515</f>
        <v>64</v>
      </c>
      <c r="E515" s="38">
        <f t="shared" ref="E515:E556" si="8">D515/C515</f>
        <v>0.47058823529411764</v>
      </c>
    </row>
    <row r="516" spans="1:5">
      <c r="A516" s="30">
        <f>Kaikki!F516</f>
        <v>44345.625</v>
      </c>
      <c r="B516" s="37" t="str">
        <f>Kaikki!G516</f>
        <v/>
      </c>
      <c r="C516">
        <f>Kaikki!A516</f>
        <v>64</v>
      </c>
      <c r="D516">
        <f>HUS!A516</f>
        <v>28</v>
      </c>
      <c r="E516" s="38">
        <f t="shared" si="8"/>
        <v>0.4375</v>
      </c>
    </row>
    <row r="517" spans="1:5">
      <c r="A517" s="30">
        <f>Kaikki!F517</f>
        <v>44346.625</v>
      </c>
      <c r="B517" s="37" t="str">
        <f>Kaikki!G517</f>
        <v/>
      </c>
      <c r="C517">
        <f>Kaikki!A517</f>
        <v>79</v>
      </c>
      <c r="D517">
        <f>HUS!A517</f>
        <v>49</v>
      </c>
      <c r="E517" s="38">
        <f t="shared" si="8"/>
        <v>0.620253164556962</v>
      </c>
    </row>
    <row r="518" spans="1:5">
      <c r="A518" s="30">
        <f>Kaikki!F518</f>
        <v>44347.625</v>
      </c>
      <c r="B518" s="37" t="str">
        <f>Kaikki!G518</f>
        <v>2021-W22</v>
      </c>
      <c r="C518">
        <f>Kaikki!A518</f>
        <v>145</v>
      </c>
      <c r="D518">
        <f>HUS!A518</f>
        <v>95</v>
      </c>
      <c r="E518" s="38">
        <f t="shared" si="8"/>
        <v>0.65517241379310343</v>
      </c>
    </row>
    <row r="519" spans="1:5">
      <c r="A519" s="30">
        <f>Kaikki!F519</f>
        <v>44348.625</v>
      </c>
      <c r="B519" s="37" t="str">
        <f>Kaikki!G519</f>
        <v/>
      </c>
      <c r="C519">
        <f>Kaikki!A519</f>
        <v>121</v>
      </c>
      <c r="D519">
        <f>HUS!A519</f>
        <v>77</v>
      </c>
      <c r="E519" s="38">
        <f t="shared" si="8"/>
        <v>0.63636363636363635</v>
      </c>
    </row>
    <row r="520" spans="1:5">
      <c r="A520" s="30">
        <f>Kaikki!F520</f>
        <v>44349.625</v>
      </c>
      <c r="B520" s="37" t="str">
        <f>Kaikki!G520</f>
        <v/>
      </c>
      <c r="C520">
        <f>Kaikki!A520</f>
        <v>118</v>
      </c>
      <c r="D520">
        <f>HUS!A520</f>
        <v>67</v>
      </c>
      <c r="E520" s="38">
        <f t="shared" si="8"/>
        <v>0.56779661016949157</v>
      </c>
    </row>
    <row r="521" spans="1:5">
      <c r="A521" s="30">
        <f>Kaikki!F521</f>
        <v>44350.625</v>
      </c>
      <c r="B521" s="37" t="str">
        <f>Kaikki!G521</f>
        <v/>
      </c>
      <c r="C521">
        <f>Kaikki!A521</f>
        <v>111</v>
      </c>
      <c r="D521">
        <f>HUS!A521</f>
        <v>68</v>
      </c>
      <c r="E521" s="38">
        <f t="shared" si="8"/>
        <v>0.61261261261261257</v>
      </c>
    </row>
    <row r="522" spans="1:5">
      <c r="A522" s="30">
        <f>Kaikki!F522</f>
        <v>44351.625</v>
      </c>
      <c r="B522" s="37" t="str">
        <f>Kaikki!G522</f>
        <v/>
      </c>
      <c r="C522">
        <f>Kaikki!A522</f>
        <v>101</v>
      </c>
      <c r="D522">
        <f>HUS!A522</f>
        <v>63</v>
      </c>
      <c r="E522" s="38">
        <f t="shared" si="8"/>
        <v>0.62376237623762376</v>
      </c>
    </row>
    <row r="523" spans="1:5">
      <c r="A523" s="30">
        <f>Kaikki!F523</f>
        <v>44352.625</v>
      </c>
      <c r="B523" s="37" t="str">
        <f>Kaikki!G523</f>
        <v/>
      </c>
      <c r="C523">
        <f>Kaikki!A523</f>
        <v>65</v>
      </c>
      <c r="D523">
        <f>HUS!A523</f>
        <v>41</v>
      </c>
      <c r="E523" s="38">
        <f t="shared" si="8"/>
        <v>0.63076923076923075</v>
      </c>
    </row>
    <row r="524" spans="1:5">
      <c r="A524" s="30">
        <f>Kaikki!F524</f>
        <v>44353.625</v>
      </c>
      <c r="B524" s="37" t="str">
        <f>Kaikki!G524</f>
        <v/>
      </c>
      <c r="C524">
        <f>Kaikki!A524</f>
        <v>60</v>
      </c>
      <c r="D524">
        <f>HUS!A524</f>
        <v>42</v>
      </c>
      <c r="E524" s="38">
        <f t="shared" si="8"/>
        <v>0.7</v>
      </c>
    </row>
    <row r="525" spans="1:5">
      <c r="A525" s="30">
        <f>Kaikki!F525</f>
        <v>44354.625</v>
      </c>
      <c r="B525" s="37" t="str">
        <f>Kaikki!G525</f>
        <v>2021-W23</v>
      </c>
      <c r="C525">
        <f>Kaikki!A525</f>
        <v>136</v>
      </c>
      <c r="D525">
        <f>HUS!A525</f>
        <v>85</v>
      </c>
      <c r="E525" s="38">
        <f t="shared" si="8"/>
        <v>0.625</v>
      </c>
    </row>
    <row r="526" spans="1:5">
      <c r="A526" s="30">
        <f>Kaikki!F526</f>
        <v>44355.625</v>
      </c>
      <c r="B526" s="37" t="str">
        <f>Kaikki!G526</f>
        <v/>
      </c>
      <c r="C526">
        <f>Kaikki!A526</f>
        <v>102</v>
      </c>
      <c r="D526">
        <f>HUS!A526</f>
        <v>54</v>
      </c>
      <c r="E526" s="38">
        <f t="shared" si="8"/>
        <v>0.52941176470588236</v>
      </c>
    </row>
    <row r="527" spans="1:5">
      <c r="A527" s="30">
        <f>Kaikki!F527</f>
        <v>44356.625</v>
      </c>
      <c r="B527" s="37" t="str">
        <f>Kaikki!G527</f>
        <v/>
      </c>
      <c r="C527">
        <f>Kaikki!A527</f>
        <v>82</v>
      </c>
      <c r="D527">
        <f>HUS!A527</f>
        <v>37</v>
      </c>
      <c r="E527" s="38">
        <f t="shared" si="8"/>
        <v>0.45121951219512196</v>
      </c>
    </row>
    <row r="528" spans="1:5">
      <c r="A528" s="30">
        <f>Kaikki!F528</f>
        <v>44357.625</v>
      </c>
      <c r="B528" s="37" t="str">
        <f>Kaikki!G528</f>
        <v/>
      </c>
      <c r="C528">
        <f>Kaikki!A528</f>
        <v>78</v>
      </c>
      <c r="D528">
        <f>HUS!A528</f>
        <v>32</v>
      </c>
      <c r="E528" s="38">
        <f t="shared" si="8"/>
        <v>0.41025641025641024</v>
      </c>
    </row>
    <row r="529" spans="1:5">
      <c r="A529" s="30">
        <f>Kaikki!F529</f>
        <v>44358.625</v>
      </c>
      <c r="B529" s="37" t="str">
        <f>Kaikki!G529</f>
        <v/>
      </c>
      <c r="C529">
        <f>Kaikki!A529</f>
        <v>70</v>
      </c>
      <c r="D529">
        <f>HUS!A529</f>
        <v>33</v>
      </c>
      <c r="E529" s="38">
        <f t="shared" si="8"/>
        <v>0.47142857142857142</v>
      </c>
    </row>
    <row r="530" spans="1:5">
      <c r="A530" s="30">
        <f>Kaikki!F530</f>
        <v>44359.625</v>
      </c>
      <c r="B530" s="37" t="str">
        <f>Kaikki!G530</f>
        <v/>
      </c>
      <c r="C530">
        <f>Kaikki!A530</f>
        <v>43</v>
      </c>
      <c r="D530">
        <f>HUS!A530</f>
        <v>33</v>
      </c>
      <c r="E530" s="38">
        <f t="shared" si="8"/>
        <v>0.76744186046511631</v>
      </c>
    </row>
    <row r="531" spans="1:5">
      <c r="A531" s="30">
        <f>Kaikki!F531</f>
        <v>44360.625</v>
      </c>
      <c r="B531" s="37" t="str">
        <f>Kaikki!G531</f>
        <v/>
      </c>
      <c r="C531">
        <f>Kaikki!A531</f>
        <v>46</v>
      </c>
      <c r="D531">
        <f>HUS!A531</f>
        <v>32</v>
      </c>
      <c r="E531" s="38">
        <f t="shared" si="8"/>
        <v>0.69565217391304346</v>
      </c>
    </row>
    <row r="532" spans="1:5">
      <c r="A532" s="30">
        <f>Kaikki!F532</f>
        <v>44361.625</v>
      </c>
      <c r="B532" s="37" t="str">
        <f>Kaikki!G532</f>
        <v>2021-W24</v>
      </c>
      <c r="C532">
        <f>Kaikki!A532</f>
        <v>78</v>
      </c>
      <c r="D532">
        <f>HUS!A532</f>
        <v>33</v>
      </c>
      <c r="E532" s="38">
        <f t="shared" si="8"/>
        <v>0.42307692307692307</v>
      </c>
    </row>
    <row r="533" spans="1:5">
      <c r="A533" s="30">
        <f>Kaikki!F533</f>
        <v>44362.625</v>
      </c>
      <c r="B533" s="37" t="str">
        <f>Kaikki!G533</f>
        <v/>
      </c>
      <c r="C533">
        <f>Kaikki!A533</f>
        <v>56</v>
      </c>
      <c r="D533">
        <f>HUS!A533</f>
        <v>34</v>
      </c>
      <c r="E533" s="38">
        <f t="shared" si="8"/>
        <v>0.6071428571428571</v>
      </c>
    </row>
    <row r="534" spans="1:5">
      <c r="A534" s="30">
        <f>Kaikki!F534</f>
        <v>44363.625</v>
      </c>
      <c r="B534" s="37" t="str">
        <f>Kaikki!G534</f>
        <v/>
      </c>
      <c r="C534">
        <f>Kaikki!A534</f>
        <v>40</v>
      </c>
      <c r="D534">
        <f>HUS!A534</f>
        <v>29</v>
      </c>
      <c r="E534" s="38">
        <f t="shared" si="8"/>
        <v>0.72499999999999998</v>
      </c>
    </row>
    <row r="535" spans="1:5">
      <c r="A535" s="30">
        <f>Kaikki!F535</f>
        <v>44364.625</v>
      </c>
      <c r="B535" s="37" t="str">
        <f>Kaikki!G535</f>
        <v/>
      </c>
      <c r="C535">
        <f>Kaikki!A535</f>
        <v>35</v>
      </c>
      <c r="D535">
        <f>HUS!A535</f>
        <v>28</v>
      </c>
      <c r="E535" s="38">
        <f t="shared" si="8"/>
        <v>0.8</v>
      </c>
    </row>
    <row r="536" spans="1:5">
      <c r="A536" s="30">
        <f>Kaikki!F536</f>
        <v>44365.417939814812</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YT257"/>
  <sheetViews>
    <sheetView topLeftCell="A33" zoomScaleNormal="100" workbookViewId="0">
      <selection activeCell="F34" sqref="F34"/>
    </sheetView>
  </sheetViews>
  <sheetFormatPr defaultRowHeight="15"/>
  <cols>
    <col min="2" max="2" width="10.140625" bestFit="1" customWidth="1"/>
    <col min="3" max="3" width="10.140625" customWidth="1"/>
    <col min="4" max="4" width="10.85546875" bestFit="1" customWidth="1"/>
    <col min="6" max="6" width="9.85546875" bestFit="1" customWidth="1"/>
    <col min="7" max="7" width="11.42578125" customWidth="1"/>
    <col min="10" max="11" width="10.140625" bestFit="1" customWidth="1"/>
    <col min="12" max="12" width="9.140625" style="4"/>
    <col min="14" max="14" width="15.140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140625" style="16"/>
    <col min="47" max="47" width="9.140625" style="16"/>
    <col min="50" max="50" width="9.140625" style="16"/>
    <col min="53" max="53" width="9.140625" style="16"/>
    <col min="56" max="56" width="9.140625" style="16"/>
    <col min="59" max="59" width="9.140625" style="16"/>
    <col min="62" max="62" width="9.140625" style="16"/>
    <col min="65" max="65" width="9.140625" style="16"/>
    <col min="68" max="68" width="9.140625" style="16"/>
    <col min="71" max="71" width="9.140625" style="16"/>
    <col min="74" max="74" width="9.140625" style="16"/>
    <col min="77" max="77" width="9.140625" style="16"/>
    <col min="80" max="80" width="9.140625" style="16"/>
    <col min="83" max="83" width="9.140625" style="16"/>
    <col min="86" max="86" width="9.140625" style="16"/>
    <col min="89" max="89" width="9.140625" style="16"/>
  </cols>
  <sheetData>
    <row r="1" spans="1:670">
      <c r="C1" s="4"/>
    </row>
    <row r="2" spans="1:670">
      <c r="C2" s="4"/>
    </row>
    <row r="3" spans="1:670">
      <c r="C3" s="4"/>
    </row>
    <row r="4" spans="1:670">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670">
      <c r="C5" s="4" t="s">
        <v>5</v>
      </c>
      <c r="D5" t="s">
        <v>0</v>
      </c>
      <c r="E5" t="s">
        <v>6</v>
      </c>
      <c r="F5">
        <f ca="1">SUM(F7:F35)</f>
        <v>65</v>
      </c>
      <c r="G5" t="s">
        <v>227</v>
      </c>
      <c r="H5" t="s">
        <v>345</v>
      </c>
      <c r="J5" t="s">
        <v>346</v>
      </c>
      <c r="K5" t="s">
        <v>345</v>
      </c>
      <c r="N5" s="16" t="s">
        <v>302</v>
      </c>
      <c r="Q5" s="16" t="s">
        <v>303</v>
      </c>
      <c r="T5" s="16" t="s">
        <v>304</v>
      </c>
    </row>
    <row r="6" spans="1:670">
      <c r="B6" t="str">
        <f ca="1">IF(WEEKDAY(C6,2)=1,"Ma "&amp;TEXT(C6,"p"),TEXT(C6,"p.k"))</f>
        <v>20.5</v>
      </c>
      <c r="C6" s="4">
        <f t="shared" ref="C6:C34" ca="1" si="0">C7-1</f>
        <v>44336</v>
      </c>
      <c r="D6" s="11">
        <f t="shared" ref="D6:D35" ca="1" si="1">SUMIF(aika,"&lt;"&amp;(C6+1),DataN)</f>
        <v>91409</v>
      </c>
      <c r="P6" s="10">
        <v>244</v>
      </c>
    </row>
    <row r="7" spans="1:670" s="10" customFormat="1">
      <c r="B7" t="str">
        <f t="shared" ref="B7:B35" ca="1" si="2">IF(WEEKDAY(C7,2)=1,"Ma "&amp;TEXT(C7,"p"),TEXT(C7,"p.k"))</f>
        <v>21.5</v>
      </c>
      <c r="C7" s="9">
        <f t="shared" ca="1" si="0"/>
        <v>44337</v>
      </c>
      <c r="D7" s="10">
        <f t="shared" ca="1" si="1"/>
        <v>91578</v>
      </c>
      <c r="E7" s="10">
        <f t="shared" ref="E7:E35" ca="1" si="3">D7-D6</f>
        <v>169</v>
      </c>
      <c r="F7" s="10">
        <f t="shared" ref="F7:F35" ca="1" si="4">_xlfn.IFNA(E7-G7,"")</f>
        <v>0</v>
      </c>
      <c r="G7" s="10">
        <f ca="1">VLOOKUP(C7,Previous,3,FALSE)</f>
        <v>169</v>
      </c>
      <c r="H7" s="10">
        <f ca="1">SUM(E7:E13)</f>
        <v>979</v>
      </c>
      <c r="J7" s="10">
        <f ca="1">SUM(E7:E20)</f>
        <v>1753</v>
      </c>
      <c r="L7" s="14"/>
      <c r="N7" s="17">
        <v>44337</v>
      </c>
      <c r="O7" s="10">
        <v>91570</v>
      </c>
      <c r="P7">
        <v>169</v>
      </c>
      <c r="Q7" s="17">
        <v>44337</v>
      </c>
      <c r="R7" s="10">
        <v>91570</v>
      </c>
      <c r="S7" s="10">
        <v>169</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0">
        <v>44268</v>
      </c>
      <c r="RU7" s="10">
        <v>67406</v>
      </c>
      <c r="RV7" s="10">
        <v>491</v>
      </c>
      <c r="RW7" s="10">
        <v>44269</v>
      </c>
      <c r="RX7" s="10">
        <v>67840</v>
      </c>
      <c r="RY7" s="10">
        <v>434</v>
      </c>
      <c r="RZ7" s="10">
        <v>44270</v>
      </c>
      <c r="SA7" s="10">
        <v>68731</v>
      </c>
      <c r="SB7" s="10">
        <v>891</v>
      </c>
      <c r="SC7" s="10">
        <v>44271</v>
      </c>
      <c r="SD7" s="10">
        <v>69494</v>
      </c>
      <c r="SE7" s="10">
        <v>763</v>
      </c>
      <c r="SF7" s="10">
        <v>44272</v>
      </c>
      <c r="SG7" s="10">
        <v>70239</v>
      </c>
      <c r="SH7" s="10">
        <v>743</v>
      </c>
      <c r="SI7" s="10">
        <v>44273</v>
      </c>
      <c r="SJ7" s="10">
        <v>70975</v>
      </c>
      <c r="SK7" s="10">
        <v>736</v>
      </c>
      <c r="SL7" s="10">
        <v>44275</v>
      </c>
      <c r="SM7" s="10">
        <v>72123</v>
      </c>
      <c r="SN7" s="10">
        <v>403</v>
      </c>
      <c r="SO7" s="10">
        <v>44276</v>
      </c>
      <c r="SP7" s="10">
        <v>72558</v>
      </c>
      <c r="SQ7" s="10">
        <v>417</v>
      </c>
      <c r="SR7" s="10">
        <v>44277</v>
      </c>
      <c r="SS7" s="10">
        <v>73327</v>
      </c>
      <c r="ST7" s="10">
        <v>767</v>
      </c>
      <c r="SU7" s="10">
        <v>44278</v>
      </c>
      <c r="SV7" s="10">
        <v>74030</v>
      </c>
      <c r="SW7" s="10">
        <v>703</v>
      </c>
      <c r="SX7" s="10">
        <v>44280</v>
      </c>
      <c r="SY7" s="10">
        <v>75331</v>
      </c>
      <c r="SZ7" s="10">
        <v>606</v>
      </c>
      <c r="TA7" s="10">
        <v>44281</v>
      </c>
      <c r="TB7" s="10">
        <v>76020</v>
      </c>
      <c r="TC7" s="10">
        <v>687</v>
      </c>
      <c r="TD7" s="10">
        <v>44283</v>
      </c>
      <c r="TE7" s="10">
        <v>76740</v>
      </c>
      <c r="TF7" s="10">
        <v>368</v>
      </c>
      <c r="TG7" s="10">
        <v>44284</v>
      </c>
      <c r="TH7" s="10">
        <v>77397</v>
      </c>
      <c r="TI7" s="10">
        <v>653</v>
      </c>
      <c r="TJ7" s="10">
        <v>44285</v>
      </c>
      <c r="TK7" s="10">
        <v>77966</v>
      </c>
      <c r="TL7" s="10">
        <v>568</v>
      </c>
      <c r="TM7" s="10">
        <v>44286</v>
      </c>
      <c r="TN7" s="10">
        <v>78516</v>
      </c>
      <c r="TO7" s="10">
        <v>550</v>
      </c>
      <c r="TP7" s="10">
        <v>44288</v>
      </c>
      <c r="TQ7" s="10">
        <v>79368</v>
      </c>
      <c r="TR7" s="10">
        <v>361</v>
      </c>
      <c r="TS7" s="10">
        <v>44289</v>
      </c>
      <c r="TT7" s="10">
        <v>79690</v>
      </c>
      <c r="TU7" s="10">
        <v>319</v>
      </c>
      <c r="TV7" s="10">
        <v>44289</v>
      </c>
      <c r="TW7" s="10">
        <v>79696</v>
      </c>
      <c r="TX7" s="10">
        <v>319</v>
      </c>
      <c r="TY7" s="10">
        <v>44290</v>
      </c>
      <c r="TZ7" s="10">
        <v>80016</v>
      </c>
      <c r="UA7" s="10">
        <v>320</v>
      </c>
      <c r="UB7" s="10">
        <v>44292</v>
      </c>
      <c r="UC7" s="10">
        <v>80919</v>
      </c>
      <c r="UD7" s="10">
        <v>544</v>
      </c>
      <c r="UE7" s="10">
        <v>44292</v>
      </c>
      <c r="UF7" s="10">
        <v>80919</v>
      </c>
      <c r="UG7" s="10">
        <v>544</v>
      </c>
      <c r="UH7" s="10">
        <v>44293</v>
      </c>
      <c r="UI7" s="10">
        <v>81346</v>
      </c>
      <c r="UJ7" s="10">
        <v>425</v>
      </c>
      <c r="UK7" s="10">
        <v>44294</v>
      </c>
      <c r="UL7" s="10">
        <v>81750</v>
      </c>
      <c r="UM7" s="10">
        <v>403</v>
      </c>
      <c r="UN7" s="10">
        <v>44298</v>
      </c>
      <c r="UO7" s="10">
        <v>82966</v>
      </c>
      <c r="UP7" s="10">
        <v>396</v>
      </c>
      <c r="UQ7" s="10">
        <v>44299</v>
      </c>
      <c r="UR7" s="10">
        <v>83293</v>
      </c>
      <c r="US7" s="10">
        <v>325</v>
      </c>
      <c r="UT7" s="10">
        <v>44300</v>
      </c>
      <c r="UU7" s="10">
        <v>83639</v>
      </c>
      <c r="UV7" s="10">
        <v>345</v>
      </c>
      <c r="UW7" s="10">
        <v>44301</v>
      </c>
      <c r="UX7" s="10">
        <v>83915</v>
      </c>
      <c r="UY7" s="10">
        <v>274</v>
      </c>
      <c r="UZ7" s="10">
        <v>44303</v>
      </c>
      <c r="VA7" s="10">
        <v>84354</v>
      </c>
      <c r="VB7" s="10">
        <v>171</v>
      </c>
      <c r="VC7" s="10">
        <v>44303</v>
      </c>
      <c r="VD7" s="10">
        <v>84352</v>
      </c>
      <c r="VE7" s="10">
        <v>171</v>
      </c>
      <c r="VF7" s="10">
        <v>44304</v>
      </c>
      <c r="VG7" s="10">
        <v>84508</v>
      </c>
      <c r="VH7" s="10">
        <v>156</v>
      </c>
      <c r="VI7" s="10">
        <v>44306</v>
      </c>
      <c r="VJ7" s="10">
        <v>85076</v>
      </c>
      <c r="VK7" s="10">
        <v>285</v>
      </c>
      <c r="VL7" s="10">
        <v>44306</v>
      </c>
      <c r="VM7" s="10">
        <v>85076</v>
      </c>
      <c r="VN7" s="10">
        <v>285</v>
      </c>
      <c r="VO7" s="10">
        <v>44306</v>
      </c>
      <c r="VP7" s="10">
        <v>85309</v>
      </c>
      <c r="VQ7" s="10">
        <v>233</v>
      </c>
      <c r="VR7" s="10">
        <v>44308</v>
      </c>
      <c r="VS7" s="10">
        <v>85566</v>
      </c>
      <c r="VT7" s="10">
        <v>258</v>
      </c>
      <c r="VU7" s="10">
        <v>44310</v>
      </c>
      <c r="VV7" s="10">
        <v>85978</v>
      </c>
      <c r="VW7" s="10">
        <v>155</v>
      </c>
      <c r="VX7" s="10">
        <v>44310</v>
      </c>
      <c r="VY7" s="10">
        <v>85980</v>
      </c>
      <c r="VZ7" s="10">
        <v>155</v>
      </c>
      <c r="WA7" s="10">
        <v>44311</v>
      </c>
      <c r="WB7" s="10">
        <v>86124</v>
      </c>
      <c r="WC7" s="10">
        <v>140</v>
      </c>
      <c r="WD7" s="10">
        <v>44311</v>
      </c>
      <c r="WE7" s="10">
        <v>86367</v>
      </c>
      <c r="WF7" s="10">
        <v>243</v>
      </c>
      <c r="WG7" s="10">
        <v>44313</v>
      </c>
      <c r="WH7" s="10">
        <v>86595</v>
      </c>
      <c r="WI7" s="10">
        <v>228</v>
      </c>
      <c r="WJ7" s="10">
        <v>44315</v>
      </c>
      <c r="WK7" s="10">
        <v>87070</v>
      </c>
      <c r="WL7" s="10">
        <v>201</v>
      </c>
      <c r="WM7" s="10">
        <v>44315</v>
      </c>
      <c r="WN7" s="10">
        <v>87071</v>
      </c>
      <c r="WO7" s="10">
        <v>201</v>
      </c>
      <c r="WP7" s="10">
        <v>44318</v>
      </c>
      <c r="WQ7" s="10">
        <v>87510</v>
      </c>
      <c r="WR7" s="10">
        <v>135</v>
      </c>
      <c r="WS7" s="10">
        <v>44319</v>
      </c>
      <c r="WT7" s="10">
        <v>87828</v>
      </c>
      <c r="WU7" s="10">
        <v>318</v>
      </c>
      <c r="WV7" s="10">
        <v>44320</v>
      </c>
      <c r="WW7" s="10">
        <v>88035</v>
      </c>
      <c r="WX7" s="10">
        <v>205</v>
      </c>
      <c r="WY7" s="10">
        <v>44321</v>
      </c>
      <c r="WZ7" s="10">
        <v>88304</v>
      </c>
      <c r="XA7" s="10">
        <v>266</v>
      </c>
      <c r="XB7" s="10">
        <v>44321</v>
      </c>
      <c r="XC7" s="10">
        <v>88539</v>
      </c>
      <c r="XD7" s="10">
        <v>234</v>
      </c>
      <c r="XE7" s="10">
        <v>44324</v>
      </c>
      <c r="XF7" s="10">
        <v>88884</v>
      </c>
      <c r="XG7" s="10">
        <v>130</v>
      </c>
      <c r="XH7" s="10">
        <v>44324</v>
      </c>
      <c r="XI7" s="10">
        <v>88890</v>
      </c>
      <c r="XJ7" s="10">
        <v>130</v>
      </c>
      <c r="XK7" s="10">
        <v>44325</v>
      </c>
      <c r="XL7" s="10">
        <v>89020</v>
      </c>
      <c r="XM7" s="10">
        <v>130</v>
      </c>
      <c r="XN7" s="10">
        <v>44326</v>
      </c>
      <c r="XO7" s="10">
        <v>89278</v>
      </c>
      <c r="XP7" s="10">
        <v>258</v>
      </c>
      <c r="XQ7" s="10">
        <v>44327</v>
      </c>
      <c r="XR7" s="10">
        <v>89492</v>
      </c>
      <c r="XS7" s="10">
        <v>214</v>
      </c>
      <c r="XT7" s="10">
        <v>44328</v>
      </c>
      <c r="XU7" s="10">
        <v>89751</v>
      </c>
      <c r="XV7" s="10">
        <v>256</v>
      </c>
      <c r="XW7" s="10">
        <v>44329</v>
      </c>
      <c r="XX7" s="10">
        <v>89909</v>
      </c>
      <c r="XY7" s="10">
        <v>155</v>
      </c>
      <c r="XZ7" s="10">
        <v>44330</v>
      </c>
      <c r="YA7" s="10">
        <v>90154</v>
      </c>
      <c r="YB7" s="10">
        <v>244</v>
      </c>
      <c r="YC7" s="10">
        <v>44332</v>
      </c>
      <c r="YD7" s="10">
        <v>90449</v>
      </c>
      <c r="YE7" s="10">
        <v>133</v>
      </c>
      <c r="YF7" s="10">
        <v>44333</v>
      </c>
      <c r="YG7" s="10">
        <v>90735</v>
      </c>
      <c r="YH7" s="10">
        <v>284</v>
      </c>
      <c r="YI7" s="10">
        <v>44334</v>
      </c>
      <c r="YJ7" s="10">
        <v>90951</v>
      </c>
      <c r="YK7" s="10">
        <v>216</v>
      </c>
      <c r="YL7" s="10">
        <v>44334</v>
      </c>
      <c r="YM7" s="10">
        <v>91181</v>
      </c>
      <c r="YN7" s="10">
        <v>230</v>
      </c>
      <c r="YO7" s="10">
        <v>44335</v>
      </c>
      <c r="YP7" s="10">
        <v>91400</v>
      </c>
      <c r="YQ7" s="10">
        <v>215</v>
      </c>
      <c r="YR7" s="10">
        <v>44337</v>
      </c>
      <c r="YS7" s="10">
        <v>91570</v>
      </c>
      <c r="YT7" s="10">
        <v>169</v>
      </c>
    </row>
    <row r="8" spans="1:670">
      <c r="B8" t="str">
        <f t="shared" ca="1" si="2"/>
        <v>22.5</v>
      </c>
      <c r="C8" s="4">
        <f t="shared" ca="1" si="0"/>
        <v>44338</v>
      </c>
      <c r="D8" s="11">
        <f t="shared" ca="1" si="1"/>
        <v>91686</v>
      </c>
      <c r="E8">
        <f t="shared" ca="1" si="3"/>
        <v>108</v>
      </c>
      <c r="F8" s="11">
        <f t="shared" ca="1" si="4"/>
        <v>0</v>
      </c>
      <c r="G8" s="11">
        <f t="shared" ref="G8:G35" ca="1" si="5">VLOOKUP(C8,Previous,3,FALSE)</f>
        <v>108</v>
      </c>
      <c r="L8" s="3"/>
      <c r="N8" s="16">
        <v>44338</v>
      </c>
      <c r="O8">
        <v>91678</v>
      </c>
      <c r="P8">
        <v>108</v>
      </c>
      <c r="Q8" s="16">
        <v>44338</v>
      </c>
      <c r="R8">
        <v>91678</v>
      </c>
      <c r="S8">
        <v>108</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v>44269</v>
      </c>
      <c r="RU8">
        <v>67840</v>
      </c>
      <c r="RV8">
        <v>434</v>
      </c>
      <c r="RW8">
        <v>44270</v>
      </c>
      <c r="RX8">
        <v>68731</v>
      </c>
      <c r="RY8">
        <v>891</v>
      </c>
      <c r="RZ8">
        <v>44271</v>
      </c>
      <c r="SA8">
        <v>69494</v>
      </c>
      <c r="SB8">
        <v>763</v>
      </c>
      <c r="SC8">
        <v>44272</v>
      </c>
      <c r="SD8">
        <v>70237</v>
      </c>
      <c r="SE8">
        <v>743</v>
      </c>
      <c r="SF8">
        <v>44273</v>
      </c>
      <c r="SG8">
        <v>70975</v>
      </c>
      <c r="SH8">
        <v>736</v>
      </c>
      <c r="SI8">
        <v>44274</v>
      </c>
      <c r="SJ8">
        <v>71719</v>
      </c>
      <c r="SK8">
        <v>744</v>
      </c>
      <c r="SL8">
        <v>44276</v>
      </c>
      <c r="SM8">
        <v>72540</v>
      </c>
      <c r="SN8">
        <v>417</v>
      </c>
      <c r="SO8">
        <v>44277</v>
      </c>
      <c r="SP8">
        <v>73324</v>
      </c>
      <c r="SQ8">
        <v>766</v>
      </c>
      <c r="SR8">
        <v>44278</v>
      </c>
      <c r="SS8">
        <v>74030</v>
      </c>
      <c r="ST8">
        <v>703</v>
      </c>
      <c r="SU8">
        <v>44279</v>
      </c>
      <c r="SV8">
        <v>74723</v>
      </c>
      <c r="SW8">
        <v>693</v>
      </c>
      <c r="SX8">
        <v>44281</v>
      </c>
      <c r="SY8">
        <v>76018</v>
      </c>
      <c r="SZ8">
        <v>687</v>
      </c>
      <c r="TA8">
        <v>44282</v>
      </c>
      <c r="TB8">
        <v>76371</v>
      </c>
      <c r="TC8">
        <v>351</v>
      </c>
      <c r="TD8">
        <v>44284</v>
      </c>
      <c r="TE8">
        <v>77393</v>
      </c>
      <c r="TF8">
        <v>653</v>
      </c>
      <c r="TG8">
        <v>44285</v>
      </c>
      <c r="TH8">
        <v>77965</v>
      </c>
      <c r="TI8">
        <v>568</v>
      </c>
      <c r="TJ8">
        <v>44286</v>
      </c>
      <c r="TK8">
        <v>78516</v>
      </c>
      <c r="TL8">
        <v>550</v>
      </c>
      <c r="TM8">
        <v>44287</v>
      </c>
      <c r="TN8">
        <v>79003</v>
      </c>
      <c r="TO8">
        <v>487</v>
      </c>
      <c r="TP8">
        <v>44289</v>
      </c>
      <c r="TQ8">
        <v>79687</v>
      </c>
      <c r="TR8">
        <v>319</v>
      </c>
      <c r="TS8">
        <v>44290</v>
      </c>
      <c r="TT8">
        <v>80010</v>
      </c>
      <c r="TU8">
        <v>320</v>
      </c>
      <c r="TV8">
        <v>44290</v>
      </c>
      <c r="TW8">
        <v>80016</v>
      </c>
      <c r="TX8">
        <v>320</v>
      </c>
      <c r="TY8">
        <v>44291</v>
      </c>
      <c r="TZ8">
        <v>80375</v>
      </c>
      <c r="UA8">
        <v>359</v>
      </c>
      <c r="UB8">
        <v>44293</v>
      </c>
      <c r="UC8">
        <v>81344</v>
      </c>
      <c r="UD8">
        <v>425</v>
      </c>
      <c r="UE8">
        <v>44293</v>
      </c>
      <c r="UF8">
        <v>81344</v>
      </c>
      <c r="UG8">
        <v>425</v>
      </c>
      <c r="UH8">
        <v>44294</v>
      </c>
      <c r="UI8">
        <v>81749</v>
      </c>
      <c r="UJ8">
        <v>403</v>
      </c>
      <c r="UK8">
        <v>44295</v>
      </c>
      <c r="UL8">
        <v>82098</v>
      </c>
      <c r="UM8">
        <v>348</v>
      </c>
      <c r="UN8">
        <v>44299</v>
      </c>
      <c r="UO8">
        <v>83291</v>
      </c>
      <c r="UP8">
        <v>325</v>
      </c>
      <c r="UQ8">
        <v>44300</v>
      </c>
      <c r="UR8">
        <v>83638</v>
      </c>
      <c r="US8">
        <v>345</v>
      </c>
      <c r="UT8">
        <v>44301</v>
      </c>
      <c r="UU8">
        <v>83913</v>
      </c>
      <c r="UV8">
        <v>274</v>
      </c>
      <c r="UW8">
        <v>44302</v>
      </c>
      <c r="UX8">
        <v>84179</v>
      </c>
      <c r="UY8">
        <v>264</v>
      </c>
      <c r="UZ8">
        <v>44304</v>
      </c>
      <c r="VA8">
        <v>84509</v>
      </c>
      <c r="VB8">
        <v>155</v>
      </c>
      <c r="VC8">
        <v>44304</v>
      </c>
      <c r="VD8">
        <v>84507</v>
      </c>
      <c r="VE8">
        <v>155</v>
      </c>
      <c r="VF8">
        <v>44305</v>
      </c>
      <c r="VG8">
        <v>84791</v>
      </c>
      <c r="VH8">
        <v>283</v>
      </c>
      <c r="VI8">
        <v>44307</v>
      </c>
      <c r="VJ8">
        <v>85309</v>
      </c>
      <c r="VK8">
        <v>233</v>
      </c>
      <c r="VL8">
        <v>44307</v>
      </c>
      <c r="VM8">
        <v>85309</v>
      </c>
      <c r="VN8">
        <v>233</v>
      </c>
      <c r="VO8">
        <v>44308</v>
      </c>
      <c r="VP8">
        <v>85567</v>
      </c>
      <c r="VQ8">
        <v>258</v>
      </c>
      <c r="VR8">
        <v>44309</v>
      </c>
      <c r="VS8">
        <v>85821</v>
      </c>
      <c r="VT8">
        <v>255</v>
      </c>
      <c r="VU8">
        <v>44311</v>
      </c>
      <c r="VV8">
        <v>86118</v>
      </c>
      <c r="VW8">
        <v>140</v>
      </c>
      <c r="VX8">
        <v>44311</v>
      </c>
      <c r="VY8">
        <v>86120</v>
      </c>
      <c r="VZ8">
        <v>140</v>
      </c>
      <c r="WA8">
        <v>44312</v>
      </c>
      <c r="WB8">
        <v>86367</v>
      </c>
      <c r="WC8">
        <v>243</v>
      </c>
      <c r="WD8">
        <v>44313</v>
      </c>
      <c r="WE8">
        <v>86595</v>
      </c>
      <c r="WF8">
        <v>228</v>
      </c>
      <c r="WG8">
        <v>44314</v>
      </c>
      <c r="WH8">
        <v>86868</v>
      </c>
      <c r="WI8">
        <v>273</v>
      </c>
      <c r="WJ8">
        <v>44316</v>
      </c>
      <c r="WK8">
        <v>87265</v>
      </c>
      <c r="WL8">
        <v>195</v>
      </c>
      <c r="WM8">
        <v>44316</v>
      </c>
      <c r="WN8">
        <v>87266</v>
      </c>
      <c r="WO8">
        <v>195</v>
      </c>
      <c r="WP8">
        <v>44319</v>
      </c>
      <c r="WQ8">
        <v>87828</v>
      </c>
      <c r="WR8">
        <v>318</v>
      </c>
      <c r="WS8">
        <v>44320</v>
      </c>
      <c r="WT8">
        <v>88033</v>
      </c>
      <c r="WU8">
        <v>205</v>
      </c>
      <c r="WV8">
        <v>44321</v>
      </c>
      <c r="WW8">
        <v>88301</v>
      </c>
      <c r="WX8">
        <v>266</v>
      </c>
      <c r="WY8">
        <v>44322</v>
      </c>
      <c r="WZ8">
        <v>88538</v>
      </c>
      <c r="XA8">
        <v>234</v>
      </c>
      <c r="XB8">
        <v>44323</v>
      </c>
      <c r="XC8">
        <v>88753</v>
      </c>
      <c r="XD8">
        <v>214</v>
      </c>
      <c r="XE8">
        <v>44325</v>
      </c>
      <c r="XF8">
        <v>89014</v>
      </c>
      <c r="XG8">
        <v>130</v>
      </c>
      <c r="XH8">
        <v>44325</v>
      </c>
      <c r="XI8">
        <v>89020</v>
      </c>
      <c r="XJ8">
        <v>130</v>
      </c>
      <c r="XK8">
        <v>44326</v>
      </c>
      <c r="XL8">
        <v>89278</v>
      </c>
      <c r="XM8">
        <v>258</v>
      </c>
      <c r="XN8">
        <v>44327</v>
      </c>
      <c r="XO8">
        <v>89492</v>
      </c>
      <c r="XP8">
        <v>214</v>
      </c>
      <c r="XQ8">
        <v>44328</v>
      </c>
      <c r="XR8">
        <v>89748</v>
      </c>
      <c r="XS8">
        <v>256</v>
      </c>
      <c r="XT8">
        <v>44329</v>
      </c>
      <c r="XU8">
        <v>89906</v>
      </c>
      <c r="XV8">
        <v>155</v>
      </c>
      <c r="XW8">
        <v>44330</v>
      </c>
      <c r="XX8">
        <v>90153</v>
      </c>
      <c r="XY8">
        <v>244</v>
      </c>
      <c r="XZ8">
        <v>44331</v>
      </c>
      <c r="YA8">
        <v>90314</v>
      </c>
      <c r="YB8">
        <v>160</v>
      </c>
      <c r="YC8">
        <v>44333</v>
      </c>
      <c r="YD8">
        <v>90733</v>
      </c>
      <c r="YE8">
        <v>284</v>
      </c>
      <c r="YF8">
        <v>44334</v>
      </c>
      <c r="YG8">
        <v>90951</v>
      </c>
      <c r="YH8">
        <v>216</v>
      </c>
      <c r="YI8">
        <v>44335</v>
      </c>
      <c r="YJ8">
        <v>91181</v>
      </c>
      <c r="YK8">
        <v>230</v>
      </c>
      <c r="YL8">
        <v>44336</v>
      </c>
      <c r="YM8">
        <v>91396</v>
      </c>
      <c r="YN8">
        <v>215</v>
      </c>
      <c r="YO8">
        <v>44337</v>
      </c>
      <c r="YP8">
        <v>91570</v>
      </c>
      <c r="YQ8">
        <v>170</v>
      </c>
      <c r="YR8">
        <v>44338</v>
      </c>
      <c r="YS8">
        <v>91678</v>
      </c>
      <c r="YT8">
        <v>108</v>
      </c>
    </row>
    <row r="9" spans="1:670">
      <c r="B9" t="str">
        <f t="shared" ca="1" si="2"/>
        <v>23.5</v>
      </c>
      <c r="C9" s="4">
        <f t="shared" ca="1" si="0"/>
        <v>44339</v>
      </c>
      <c r="D9" s="11">
        <f t="shared" ca="1" si="1"/>
        <v>91779</v>
      </c>
      <c r="E9">
        <f t="shared" ca="1" si="3"/>
        <v>93</v>
      </c>
      <c r="F9" s="11">
        <f t="shared" ca="1" si="4"/>
        <v>0</v>
      </c>
      <c r="G9" s="11">
        <f t="shared" ca="1" si="5"/>
        <v>93</v>
      </c>
      <c r="L9" s="3"/>
      <c r="N9" s="16">
        <v>44339</v>
      </c>
      <c r="O9">
        <v>91771</v>
      </c>
      <c r="P9">
        <v>93</v>
      </c>
      <c r="Q9" s="16">
        <v>44339</v>
      </c>
      <c r="R9">
        <v>91771</v>
      </c>
      <c r="S9">
        <v>93</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v>44270</v>
      </c>
      <c r="RU9">
        <v>68731</v>
      </c>
      <c r="RV9">
        <v>891</v>
      </c>
      <c r="RW9">
        <v>44271</v>
      </c>
      <c r="RX9">
        <v>69494</v>
      </c>
      <c r="RY9">
        <v>763</v>
      </c>
      <c r="RZ9">
        <v>44272</v>
      </c>
      <c r="SA9">
        <v>70237</v>
      </c>
      <c r="SB9">
        <v>743</v>
      </c>
      <c r="SC9">
        <v>44273</v>
      </c>
      <c r="SD9">
        <v>70973</v>
      </c>
      <c r="SE9">
        <v>736</v>
      </c>
      <c r="SF9">
        <v>44274</v>
      </c>
      <c r="SG9">
        <v>71719</v>
      </c>
      <c r="SH9">
        <v>744</v>
      </c>
      <c r="SI9">
        <v>44275</v>
      </c>
      <c r="SJ9">
        <v>72122</v>
      </c>
      <c r="SK9">
        <v>403</v>
      </c>
      <c r="SL9">
        <v>44277</v>
      </c>
      <c r="SM9">
        <v>73306</v>
      </c>
      <c r="SN9">
        <v>766</v>
      </c>
      <c r="SO9">
        <v>44278</v>
      </c>
      <c r="SP9">
        <v>74027</v>
      </c>
      <c r="SQ9">
        <v>703</v>
      </c>
      <c r="SR9">
        <v>44279</v>
      </c>
      <c r="SS9">
        <v>74723</v>
      </c>
      <c r="ST9">
        <v>693</v>
      </c>
      <c r="SU9">
        <v>44280</v>
      </c>
      <c r="SV9">
        <v>75329</v>
      </c>
      <c r="SW9">
        <v>606</v>
      </c>
      <c r="SX9">
        <v>44282</v>
      </c>
      <c r="SY9">
        <v>76368</v>
      </c>
      <c r="SZ9">
        <v>350</v>
      </c>
      <c r="TA9">
        <v>44283</v>
      </c>
      <c r="TB9">
        <v>76740</v>
      </c>
      <c r="TC9">
        <v>369</v>
      </c>
      <c r="TD9">
        <v>44285</v>
      </c>
      <c r="TE9">
        <v>77961</v>
      </c>
      <c r="TF9">
        <v>568</v>
      </c>
      <c r="TG9">
        <v>44286</v>
      </c>
      <c r="TH9">
        <v>78515</v>
      </c>
      <c r="TI9">
        <v>550</v>
      </c>
      <c r="TJ9">
        <v>44287</v>
      </c>
      <c r="TK9">
        <v>79003</v>
      </c>
      <c r="TL9">
        <v>487</v>
      </c>
      <c r="TM9">
        <v>44288</v>
      </c>
      <c r="TN9">
        <v>79364</v>
      </c>
      <c r="TO9">
        <v>361</v>
      </c>
      <c r="TP9">
        <v>44290</v>
      </c>
      <c r="TQ9">
        <v>80007</v>
      </c>
      <c r="TR9">
        <v>320</v>
      </c>
      <c r="TS9">
        <v>44291</v>
      </c>
      <c r="TT9">
        <v>80369</v>
      </c>
      <c r="TU9">
        <v>359</v>
      </c>
      <c r="TV9">
        <v>44291</v>
      </c>
      <c r="TW9">
        <v>80375</v>
      </c>
      <c r="TX9">
        <v>359</v>
      </c>
      <c r="TY9">
        <v>44292</v>
      </c>
      <c r="TZ9">
        <v>80919</v>
      </c>
      <c r="UA9">
        <v>544</v>
      </c>
      <c r="UB9">
        <v>44294</v>
      </c>
      <c r="UC9">
        <v>81747</v>
      </c>
      <c r="UD9">
        <v>403</v>
      </c>
      <c r="UE9">
        <v>44294</v>
      </c>
      <c r="UF9">
        <v>81747</v>
      </c>
      <c r="UG9">
        <v>403</v>
      </c>
      <c r="UH9">
        <v>44295</v>
      </c>
      <c r="UI9">
        <v>82097</v>
      </c>
      <c r="UJ9">
        <v>348</v>
      </c>
      <c r="UK9">
        <v>44296</v>
      </c>
      <c r="UL9">
        <v>82323</v>
      </c>
      <c r="UM9">
        <v>225</v>
      </c>
      <c r="UN9">
        <v>44300</v>
      </c>
      <c r="UO9">
        <v>83636</v>
      </c>
      <c r="UP9">
        <v>345</v>
      </c>
      <c r="UQ9">
        <v>44301</v>
      </c>
      <c r="UR9">
        <v>83912</v>
      </c>
      <c r="US9">
        <v>274</v>
      </c>
      <c r="UT9">
        <v>44302</v>
      </c>
      <c r="UU9">
        <v>84177</v>
      </c>
      <c r="UV9">
        <v>264</v>
      </c>
      <c r="UW9">
        <v>44303</v>
      </c>
      <c r="UX9">
        <v>84350</v>
      </c>
      <c r="UY9">
        <v>171</v>
      </c>
      <c r="UZ9">
        <v>44305</v>
      </c>
      <c r="VA9">
        <v>84792</v>
      </c>
      <c r="VB9">
        <v>283</v>
      </c>
      <c r="VC9">
        <v>44305</v>
      </c>
      <c r="VD9">
        <v>84790</v>
      </c>
      <c r="VE9">
        <v>283</v>
      </c>
      <c r="VF9">
        <v>44306</v>
      </c>
      <c r="VG9">
        <v>85076</v>
      </c>
      <c r="VH9">
        <v>285</v>
      </c>
      <c r="VI9">
        <v>44308</v>
      </c>
      <c r="VJ9">
        <v>85567</v>
      </c>
      <c r="VK9">
        <v>258</v>
      </c>
      <c r="VL9">
        <v>44308</v>
      </c>
      <c r="VM9">
        <v>85567</v>
      </c>
      <c r="VN9">
        <v>258</v>
      </c>
      <c r="VO9">
        <v>44309</v>
      </c>
      <c r="VP9">
        <v>85822</v>
      </c>
      <c r="VQ9">
        <v>255</v>
      </c>
      <c r="VR9">
        <v>44310</v>
      </c>
      <c r="VS9">
        <v>85976</v>
      </c>
      <c r="VT9">
        <v>155</v>
      </c>
      <c r="VU9">
        <v>44312</v>
      </c>
      <c r="VV9">
        <v>86361</v>
      </c>
      <c r="VW9">
        <v>243</v>
      </c>
      <c r="VX9">
        <v>44312</v>
      </c>
      <c r="VY9">
        <v>86363</v>
      </c>
      <c r="VZ9">
        <v>243</v>
      </c>
      <c r="WA9">
        <v>44313</v>
      </c>
      <c r="WB9">
        <v>86595</v>
      </c>
      <c r="WC9">
        <v>228</v>
      </c>
      <c r="WD9">
        <v>44314</v>
      </c>
      <c r="WE9">
        <v>86868</v>
      </c>
      <c r="WF9">
        <v>273</v>
      </c>
      <c r="WG9">
        <v>44315</v>
      </c>
      <c r="WH9">
        <v>87069</v>
      </c>
      <c r="WI9">
        <v>201</v>
      </c>
      <c r="WJ9">
        <v>44317</v>
      </c>
      <c r="WK9">
        <v>87372</v>
      </c>
      <c r="WL9">
        <v>107</v>
      </c>
      <c r="WM9">
        <v>44317</v>
      </c>
      <c r="WN9">
        <v>87373</v>
      </c>
      <c r="WO9">
        <v>107</v>
      </c>
      <c r="WP9">
        <v>44320</v>
      </c>
      <c r="WQ9">
        <v>88033</v>
      </c>
      <c r="WR9">
        <v>205</v>
      </c>
      <c r="WS9">
        <v>44321</v>
      </c>
      <c r="WT9">
        <v>88299</v>
      </c>
      <c r="WU9">
        <v>266</v>
      </c>
      <c r="WV9">
        <v>44322</v>
      </c>
      <c r="WW9">
        <v>88535</v>
      </c>
      <c r="WX9">
        <v>234</v>
      </c>
      <c r="WY9">
        <v>44323</v>
      </c>
      <c r="WZ9">
        <v>88752</v>
      </c>
      <c r="XA9">
        <v>214</v>
      </c>
      <c r="XB9">
        <v>44324</v>
      </c>
      <c r="XC9">
        <v>88883</v>
      </c>
      <c r="XD9">
        <v>130</v>
      </c>
      <c r="XE9">
        <v>44326</v>
      </c>
      <c r="XF9">
        <v>89272</v>
      </c>
      <c r="XG9">
        <v>258</v>
      </c>
      <c r="XH9">
        <v>44326</v>
      </c>
      <c r="XI9">
        <v>89278</v>
      </c>
      <c r="XJ9">
        <v>258</v>
      </c>
      <c r="XK9">
        <v>44327</v>
      </c>
      <c r="XL9">
        <v>89492</v>
      </c>
      <c r="XM9">
        <v>214</v>
      </c>
      <c r="XN9">
        <v>44328</v>
      </c>
      <c r="XO9">
        <v>89748</v>
      </c>
      <c r="XP9">
        <v>256</v>
      </c>
      <c r="XQ9">
        <v>44329</v>
      </c>
      <c r="XR9">
        <v>89903</v>
      </c>
      <c r="XS9">
        <v>155</v>
      </c>
      <c r="XT9">
        <v>44330</v>
      </c>
      <c r="XU9">
        <v>90150</v>
      </c>
      <c r="XV9">
        <v>244</v>
      </c>
      <c r="XW9">
        <v>44331</v>
      </c>
      <c r="XX9">
        <v>90313</v>
      </c>
      <c r="XY9">
        <v>160</v>
      </c>
      <c r="XZ9">
        <v>44332</v>
      </c>
      <c r="YA9">
        <v>90447</v>
      </c>
      <c r="YB9">
        <v>133</v>
      </c>
      <c r="YC9">
        <v>44334</v>
      </c>
      <c r="YD9">
        <v>90949</v>
      </c>
      <c r="YE9">
        <v>216</v>
      </c>
      <c r="YF9">
        <v>44335</v>
      </c>
      <c r="YG9">
        <v>91181</v>
      </c>
      <c r="YH9">
        <v>230</v>
      </c>
      <c r="YI9">
        <v>44336</v>
      </c>
      <c r="YJ9">
        <v>91396</v>
      </c>
      <c r="YK9">
        <v>215</v>
      </c>
      <c r="YL9">
        <v>44337</v>
      </c>
      <c r="YM9">
        <v>91566</v>
      </c>
      <c r="YN9">
        <v>170</v>
      </c>
      <c r="YO9">
        <v>44338</v>
      </c>
      <c r="YP9">
        <v>91678</v>
      </c>
      <c r="YQ9">
        <v>108</v>
      </c>
      <c r="YR9">
        <v>44339</v>
      </c>
      <c r="YS9">
        <v>91771</v>
      </c>
      <c r="YT9">
        <v>93</v>
      </c>
    </row>
    <row r="10" spans="1:670">
      <c r="B10" t="str">
        <f t="shared" ca="1" si="2"/>
        <v>Ma 24</v>
      </c>
      <c r="C10" s="4">
        <f t="shared" ca="1" si="0"/>
        <v>44340</v>
      </c>
      <c r="D10" s="11">
        <f t="shared" ca="1" si="1"/>
        <v>91967</v>
      </c>
      <c r="E10">
        <f t="shared" ca="1" si="3"/>
        <v>188</v>
      </c>
      <c r="F10" s="11">
        <f t="shared" ca="1" si="4"/>
        <v>0</v>
      </c>
      <c r="G10" s="11">
        <f t="shared" ca="1" si="5"/>
        <v>188</v>
      </c>
      <c r="L10" s="10"/>
      <c r="N10" s="16">
        <v>44340</v>
      </c>
      <c r="O10">
        <v>91959</v>
      </c>
      <c r="P10">
        <v>188</v>
      </c>
      <c r="Q10" s="16">
        <v>44340</v>
      </c>
      <c r="R10">
        <v>91959</v>
      </c>
      <c r="S10">
        <v>188</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v>44271</v>
      </c>
      <c r="RU10">
        <v>69494</v>
      </c>
      <c r="RV10">
        <v>763</v>
      </c>
      <c r="RW10">
        <v>44272</v>
      </c>
      <c r="RX10">
        <v>70237</v>
      </c>
      <c r="RY10">
        <v>743</v>
      </c>
      <c r="RZ10">
        <v>44273</v>
      </c>
      <c r="SA10">
        <v>70973</v>
      </c>
      <c r="SB10">
        <v>736</v>
      </c>
      <c r="SC10">
        <v>44274</v>
      </c>
      <c r="SD10">
        <v>71717</v>
      </c>
      <c r="SE10">
        <v>744</v>
      </c>
      <c r="SF10">
        <v>44275</v>
      </c>
      <c r="SG10">
        <v>72123</v>
      </c>
      <c r="SH10">
        <v>404</v>
      </c>
      <c r="SI10">
        <v>44276</v>
      </c>
      <c r="SJ10">
        <v>72539</v>
      </c>
      <c r="SK10">
        <v>417</v>
      </c>
      <c r="SL10">
        <v>44278</v>
      </c>
      <c r="SM10">
        <v>74009</v>
      </c>
      <c r="SN10">
        <v>703</v>
      </c>
      <c r="SO10">
        <v>44279</v>
      </c>
      <c r="SP10">
        <v>74720</v>
      </c>
      <c r="SQ10">
        <v>693</v>
      </c>
      <c r="SR10">
        <v>44280</v>
      </c>
      <c r="SS10">
        <v>75329</v>
      </c>
      <c r="ST10">
        <v>606</v>
      </c>
      <c r="SU10">
        <v>44281</v>
      </c>
      <c r="SV10">
        <v>76015</v>
      </c>
      <c r="SW10">
        <v>686</v>
      </c>
      <c r="SX10">
        <v>44283</v>
      </c>
      <c r="SY10">
        <v>76737</v>
      </c>
      <c r="SZ10">
        <v>369</v>
      </c>
      <c r="TA10">
        <v>44284</v>
      </c>
      <c r="TB10">
        <v>77393</v>
      </c>
      <c r="TC10">
        <v>653</v>
      </c>
      <c r="TD10">
        <v>44286</v>
      </c>
      <c r="TE10">
        <v>78511</v>
      </c>
      <c r="TF10">
        <v>550</v>
      </c>
      <c r="TG10">
        <v>44287</v>
      </c>
      <c r="TH10">
        <v>79002</v>
      </c>
      <c r="TI10">
        <v>487</v>
      </c>
      <c r="TJ10">
        <v>44288</v>
      </c>
      <c r="TK10">
        <v>79364</v>
      </c>
      <c r="TL10">
        <v>361</v>
      </c>
      <c r="TM10">
        <v>44289</v>
      </c>
      <c r="TN10">
        <v>79683</v>
      </c>
      <c r="TO10">
        <v>319</v>
      </c>
      <c r="TP10">
        <v>44291</v>
      </c>
      <c r="TQ10">
        <v>80366</v>
      </c>
      <c r="TR10">
        <v>359</v>
      </c>
      <c r="TS10">
        <v>44292</v>
      </c>
      <c r="TT10">
        <v>80912</v>
      </c>
      <c r="TU10">
        <v>543</v>
      </c>
      <c r="TV10">
        <v>44292</v>
      </c>
      <c r="TW10">
        <v>80918</v>
      </c>
      <c r="TX10">
        <v>543</v>
      </c>
      <c r="TY10">
        <v>44293</v>
      </c>
      <c r="TZ10">
        <v>81344</v>
      </c>
      <c r="UA10">
        <v>425</v>
      </c>
      <c r="UB10">
        <v>44295</v>
      </c>
      <c r="UC10">
        <v>82095</v>
      </c>
      <c r="UD10">
        <v>348</v>
      </c>
      <c r="UE10">
        <v>44295</v>
      </c>
      <c r="UF10">
        <v>82095</v>
      </c>
      <c r="UG10">
        <v>348</v>
      </c>
      <c r="UH10">
        <v>44296</v>
      </c>
      <c r="UI10">
        <v>82322</v>
      </c>
      <c r="UJ10">
        <v>225</v>
      </c>
      <c r="UK10">
        <v>44297</v>
      </c>
      <c r="UL10">
        <v>82561</v>
      </c>
      <c r="UM10">
        <v>238</v>
      </c>
      <c r="UN10">
        <v>44301</v>
      </c>
      <c r="UO10">
        <v>83911</v>
      </c>
      <c r="UP10">
        <v>275</v>
      </c>
      <c r="UQ10">
        <v>44302</v>
      </c>
      <c r="UR10">
        <v>84176</v>
      </c>
      <c r="US10">
        <v>264</v>
      </c>
      <c r="UT10">
        <v>44303</v>
      </c>
      <c r="UU10">
        <v>84348</v>
      </c>
      <c r="UV10">
        <v>171</v>
      </c>
      <c r="UW10">
        <v>44304</v>
      </c>
      <c r="UX10">
        <v>84505</v>
      </c>
      <c r="UY10">
        <v>155</v>
      </c>
      <c r="UZ10">
        <v>44306</v>
      </c>
      <c r="VA10">
        <v>85077</v>
      </c>
      <c r="VB10">
        <v>285</v>
      </c>
      <c r="VC10">
        <v>44306</v>
      </c>
      <c r="VD10">
        <v>85075</v>
      </c>
      <c r="VE10">
        <v>285</v>
      </c>
      <c r="VF10">
        <v>44307</v>
      </c>
      <c r="VG10">
        <v>85309</v>
      </c>
      <c r="VH10">
        <v>233</v>
      </c>
      <c r="VI10">
        <v>44309</v>
      </c>
      <c r="VJ10">
        <v>85822</v>
      </c>
      <c r="VK10">
        <v>255</v>
      </c>
      <c r="VL10">
        <v>44309</v>
      </c>
      <c r="VM10">
        <v>85822</v>
      </c>
      <c r="VN10">
        <v>255</v>
      </c>
      <c r="VO10">
        <v>44310</v>
      </c>
      <c r="VP10">
        <v>85977</v>
      </c>
      <c r="VQ10">
        <v>155</v>
      </c>
      <c r="VR10">
        <v>44311</v>
      </c>
      <c r="VS10">
        <v>86116</v>
      </c>
      <c r="VT10">
        <v>140</v>
      </c>
      <c r="VU10">
        <v>44313</v>
      </c>
      <c r="VV10">
        <v>86589</v>
      </c>
      <c r="VW10">
        <v>228</v>
      </c>
      <c r="VX10">
        <v>44313</v>
      </c>
      <c r="VY10">
        <v>86591</v>
      </c>
      <c r="VZ10">
        <v>228</v>
      </c>
      <c r="WA10">
        <v>44314</v>
      </c>
      <c r="WB10">
        <v>86868</v>
      </c>
      <c r="WC10">
        <v>273</v>
      </c>
      <c r="WD10">
        <v>44315</v>
      </c>
      <c r="WE10">
        <v>87069</v>
      </c>
      <c r="WF10">
        <v>201</v>
      </c>
      <c r="WG10">
        <v>44316</v>
      </c>
      <c r="WH10">
        <v>87264</v>
      </c>
      <c r="WI10">
        <v>195</v>
      </c>
      <c r="WJ10">
        <v>44318</v>
      </c>
      <c r="WK10">
        <v>87507</v>
      </c>
      <c r="WL10">
        <v>135</v>
      </c>
      <c r="WM10">
        <v>44318</v>
      </c>
      <c r="WN10">
        <v>87508</v>
      </c>
      <c r="WO10">
        <v>135</v>
      </c>
      <c r="WP10">
        <v>44321</v>
      </c>
      <c r="WQ10">
        <v>88299</v>
      </c>
      <c r="WR10">
        <v>266</v>
      </c>
      <c r="WS10">
        <v>44322</v>
      </c>
      <c r="WT10">
        <v>88533</v>
      </c>
      <c r="WU10">
        <v>234</v>
      </c>
      <c r="WV10">
        <v>44323</v>
      </c>
      <c r="WW10">
        <v>88749</v>
      </c>
      <c r="WX10">
        <v>214</v>
      </c>
      <c r="WY10">
        <v>44324</v>
      </c>
      <c r="WZ10">
        <v>88882</v>
      </c>
      <c r="XA10">
        <v>130</v>
      </c>
      <c r="XB10">
        <v>44325</v>
      </c>
      <c r="XC10">
        <v>89013</v>
      </c>
      <c r="XD10">
        <v>130</v>
      </c>
      <c r="XE10">
        <v>44327</v>
      </c>
      <c r="XF10">
        <v>89486</v>
      </c>
      <c r="XG10">
        <v>214</v>
      </c>
      <c r="XH10">
        <v>44327</v>
      </c>
      <c r="XI10">
        <v>89492</v>
      </c>
      <c r="XJ10">
        <v>214</v>
      </c>
      <c r="XK10">
        <v>44328</v>
      </c>
      <c r="XL10">
        <v>89748</v>
      </c>
      <c r="XM10">
        <v>256</v>
      </c>
      <c r="XN10">
        <v>44329</v>
      </c>
      <c r="XO10">
        <v>89903</v>
      </c>
      <c r="XP10">
        <v>155</v>
      </c>
      <c r="XQ10">
        <v>44330</v>
      </c>
      <c r="XR10">
        <v>90147</v>
      </c>
      <c r="XS10">
        <v>244</v>
      </c>
      <c r="XT10">
        <v>44331</v>
      </c>
      <c r="XU10">
        <v>90310</v>
      </c>
      <c r="XV10">
        <v>160</v>
      </c>
      <c r="XW10">
        <v>44332</v>
      </c>
      <c r="XX10">
        <v>90446</v>
      </c>
      <c r="XY10">
        <v>133</v>
      </c>
      <c r="XZ10">
        <v>44333</v>
      </c>
      <c r="YA10">
        <v>90731</v>
      </c>
      <c r="YB10">
        <v>284</v>
      </c>
      <c r="YC10">
        <v>44335</v>
      </c>
      <c r="YD10">
        <v>91179</v>
      </c>
      <c r="YE10">
        <v>230</v>
      </c>
      <c r="YF10">
        <v>44336</v>
      </c>
      <c r="YG10">
        <v>91396</v>
      </c>
      <c r="YH10">
        <v>215</v>
      </c>
      <c r="YI10">
        <v>44337</v>
      </c>
      <c r="YJ10">
        <v>91566</v>
      </c>
      <c r="YK10">
        <v>170</v>
      </c>
      <c r="YL10">
        <v>44338</v>
      </c>
      <c r="YM10">
        <v>91674</v>
      </c>
      <c r="YN10">
        <v>108</v>
      </c>
      <c r="YO10">
        <v>44339</v>
      </c>
      <c r="YP10">
        <v>91771</v>
      </c>
      <c r="YQ10">
        <v>93</v>
      </c>
      <c r="YR10">
        <v>44340</v>
      </c>
      <c r="YS10">
        <v>91959</v>
      </c>
      <c r="YT10">
        <v>188</v>
      </c>
    </row>
    <row r="11" spans="1:670">
      <c r="B11" t="str">
        <f t="shared" ca="1" si="2"/>
        <v>25.5</v>
      </c>
      <c r="C11" s="4">
        <f t="shared" ca="1" si="0"/>
        <v>44341</v>
      </c>
      <c r="D11" s="11">
        <f t="shared" ca="1" si="1"/>
        <v>92119</v>
      </c>
      <c r="E11">
        <f t="shared" ca="1" si="3"/>
        <v>152</v>
      </c>
      <c r="F11" s="11">
        <f t="shared" ca="1" si="4"/>
        <v>0</v>
      </c>
      <c r="G11" s="11">
        <f t="shared" ca="1" si="5"/>
        <v>152</v>
      </c>
      <c r="K11" s="10">
        <f ca="1">SUM(E11:E17)</f>
        <v>845</v>
      </c>
      <c r="L11" s="3"/>
      <c r="N11" s="16">
        <v>44341</v>
      </c>
      <c r="O11">
        <v>92111</v>
      </c>
      <c r="P11">
        <v>152</v>
      </c>
      <c r="Q11" s="16">
        <v>44341</v>
      </c>
      <c r="R11">
        <v>92111</v>
      </c>
      <c r="S11">
        <v>152</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v>44272</v>
      </c>
      <c r="RU11">
        <v>70237</v>
      </c>
      <c r="RV11">
        <v>743</v>
      </c>
      <c r="RW11">
        <v>44273</v>
      </c>
      <c r="RX11">
        <v>70973</v>
      </c>
      <c r="RY11">
        <v>736</v>
      </c>
      <c r="RZ11">
        <v>44274</v>
      </c>
      <c r="SA11">
        <v>71717</v>
      </c>
      <c r="SB11">
        <v>744</v>
      </c>
      <c r="SC11">
        <v>44275</v>
      </c>
      <c r="SD11">
        <v>72121</v>
      </c>
      <c r="SE11">
        <v>404</v>
      </c>
      <c r="SF11">
        <v>44276</v>
      </c>
      <c r="SG11">
        <v>72540</v>
      </c>
      <c r="SH11">
        <v>417</v>
      </c>
      <c r="SI11">
        <v>44277</v>
      </c>
      <c r="SJ11">
        <v>73306</v>
      </c>
      <c r="SK11">
        <v>767</v>
      </c>
      <c r="SL11">
        <v>44279</v>
      </c>
      <c r="SM11">
        <v>74702</v>
      </c>
      <c r="SN11">
        <v>693</v>
      </c>
      <c r="SO11">
        <v>44280</v>
      </c>
      <c r="SP11">
        <v>75326</v>
      </c>
      <c r="SQ11">
        <v>606</v>
      </c>
      <c r="SR11">
        <v>44281</v>
      </c>
      <c r="SS11">
        <v>76015</v>
      </c>
      <c r="ST11">
        <v>686</v>
      </c>
      <c r="SU11">
        <v>44282</v>
      </c>
      <c r="SV11">
        <v>76365</v>
      </c>
      <c r="SW11">
        <v>350</v>
      </c>
      <c r="SX11">
        <v>44284</v>
      </c>
      <c r="SY11">
        <v>77392</v>
      </c>
      <c r="SZ11">
        <v>655</v>
      </c>
      <c r="TA11">
        <v>44285</v>
      </c>
      <c r="TB11">
        <v>77961</v>
      </c>
      <c r="TC11">
        <v>568</v>
      </c>
      <c r="TD11">
        <v>44287</v>
      </c>
      <c r="TE11">
        <v>78998</v>
      </c>
      <c r="TF11">
        <v>487</v>
      </c>
      <c r="TG11">
        <v>44288</v>
      </c>
      <c r="TH11">
        <v>79363</v>
      </c>
      <c r="TI11">
        <v>361</v>
      </c>
      <c r="TJ11">
        <v>44289</v>
      </c>
      <c r="TK11">
        <v>79683</v>
      </c>
      <c r="TL11">
        <v>319</v>
      </c>
      <c r="TM11">
        <v>44290</v>
      </c>
      <c r="TN11">
        <v>80003</v>
      </c>
      <c r="TO11">
        <v>320</v>
      </c>
      <c r="TP11">
        <v>44292</v>
      </c>
      <c r="TQ11">
        <v>80909</v>
      </c>
      <c r="TR11">
        <v>543</v>
      </c>
      <c r="TS11">
        <v>44293</v>
      </c>
      <c r="TT11">
        <v>81336</v>
      </c>
      <c r="TU11">
        <v>424</v>
      </c>
      <c r="TV11">
        <v>44293</v>
      </c>
      <c r="TW11">
        <v>81342</v>
      </c>
      <c r="TX11">
        <v>424</v>
      </c>
      <c r="TY11">
        <v>44294</v>
      </c>
      <c r="TZ11">
        <v>81747</v>
      </c>
      <c r="UA11">
        <v>403</v>
      </c>
      <c r="UB11">
        <v>44296</v>
      </c>
      <c r="UC11">
        <v>82319</v>
      </c>
      <c r="UD11">
        <v>224</v>
      </c>
      <c r="UE11">
        <v>44296</v>
      </c>
      <c r="UF11">
        <v>82320</v>
      </c>
      <c r="UG11">
        <v>225</v>
      </c>
      <c r="UH11">
        <v>44297</v>
      </c>
      <c r="UI11">
        <v>82560</v>
      </c>
      <c r="UJ11">
        <v>238</v>
      </c>
      <c r="UK11">
        <v>44298</v>
      </c>
      <c r="UL11">
        <v>82957</v>
      </c>
      <c r="UM11">
        <v>396</v>
      </c>
      <c r="UN11">
        <v>44302</v>
      </c>
      <c r="UO11">
        <v>84175</v>
      </c>
      <c r="UP11">
        <v>264</v>
      </c>
      <c r="UQ11">
        <v>44303</v>
      </c>
      <c r="UR11">
        <v>84347</v>
      </c>
      <c r="US11">
        <v>171</v>
      </c>
      <c r="UT11">
        <v>44304</v>
      </c>
      <c r="UU11">
        <v>84503</v>
      </c>
      <c r="UV11">
        <v>155</v>
      </c>
      <c r="UW11">
        <v>44305</v>
      </c>
      <c r="UX11">
        <v>84788</v>
      </c>
      <c r="UY11">
        <v>283</v>
      </c>
      <c r="UZ11">
        <v>44307</v>
      </c>
      <c r="VA11">
        <v>85310</v>
      </c>
      <c r="VB11">
        <v>233</v>
      </c>
      <c r="VC11">
        <v>44307</v>
      </c>
      <c r="VD11">
        <v>85308</v>
      </c>
      <c r="VE11">
        <v>233</v>
      </c>
      <c r="VF11">
        <v>44308</v>
      </c>
      <c r="VG11">
        <v>85567</v>
      </c>
      <c r="VH11">
        <v>258</v>
      </c>
      <c r="VI11">
        <v>44310</v>
      </c>
      <c r="VJ11">
        <v>85976</v>
      </c>
      <c r="VK11">
        <v>154</v>
      </c>
      <c r="VL11">
        <v>44310</v>
      </c>
      <c r="VM11">
        <v>85976</v>
      </c>
      <c r="VN11">
        <v>154</v>
      </c>
      <c r="VO11">
        <v>44311</v>
      </c>
      <c r="VP11">
        <v>86118</v>
      </c>
      <c r="VQ11">
        <v>141</v>
      </c>
      <c r="VR11">
        <v>44312</v>
      </c>
      <c r="VS11">
        <v>86358</v>
      </c>
      <c r="VT11">
        <v>242</v>
      </c>
      <c r="VU11">
        <v>44314</v>
      </c>
      <c r="VV11">
        <v>86862</v>
      </c>
      <c r="VW11">
        <v>273</v>
      </c>
      <c r="VX11">
        <v>44314</v>
      </c>
      <c r="VY11">
        <v>86864</v>
      </c>
      <c r="VZ11">
        <v>273</v>
      </c>
      <c r="WA11">
        <v>44315</v>
      </c>
      <c r="WB11">
        <v>87069</v>
      </c>
      <c r="WC11">
        <v>201</v>
      </c>
      <c r="WD11">
        <v>44316</v>
      </c>
      <c r="WE11">
        <v>87264</v>
      </c>
      <c r="WF11">
        <v>195</v>
      </c>
      <c r="WG11">
        <v>44317</v>
      </c>
      <c r="WH11">
        <v>87371</v>
      </c>
      <c r="WI11">
        <v>107</v>
      </c>
      <c r="WJ11">
        <v>44319</v>
      </c>
      <c r="WK11">
        <v>87825</v>
      </c>
      <c r="WL11">
        <v>318</v>
      </c>
      <c r="WM11">
        <v>44319</v>
      </c>
      <c r="WN11">
        <v>87826</v>
      </c>
      <c r="WO11">
        <v>318</v>
      </c>
      <c r="WP11">
        <v>44322</v>
      </c>
      <c r="WQ11">
        <v>88533</v>
      </c>
      <c r="WR11">
        <v>234</v>
      </c>
      <c r="WS11">
        <v>44323</v>
      </c>
      <c r="WT11">
        <v>88747</v>
      </c>
      <c r="WU11">
        <v>214</v>
      </c>
      <c r="WV11">
        <v>44324</v>
      </c>
      <c r="WW11">
        <v>88879</v>
      </c>
      <c r="WX11">
        <v>130</v>
      </c>
      <c r="WY11">
        <v>44325</v>
      </c>
      <c r="WZ11">
        <v>89012</v>
      </c>
      <c r="XA11">
        <v>130</v>
      </c>
      <c r="XB11">
        <v>44326</v>
      </c>
      <c r="XC11">
        <v>89271</v>
      </c>
      <c r="XD11">
        <v>258</v>
      </c>
      <c r="XE11">
        <v>44328</v>
      </c>
      <c r="XF11">
        <v>89742</v>
      </c>
      <c r="XG11">
        <v>256</v>
      </c>
      <c r="XH11">
        <v>44328</v>
      </c>
      <c r="XI11">
        <v>89748</v>
      </c>
      <c r="XJ11">
        <v>256</v>
      </c>
      <c r="XK11">
        <v>44329</v>
      </c>
      <c r="XL11">
        <v>89903</v>
      </c>
      <c r="XM11">
        <v>155</v>
      </c>
      <c r="XN11">
        <v>44330</v>
      </c>
      <c r="XO11">
        <v>90147</v>
      </c>
      <c r="XP11">
        <v>244</v>
      </c>
      <c r="XQ11">
        <v>44331</v>
      </c>
      <c r="XR11">
        <v>90307</v>
      </c>
      <c r="XS11">
        <v>160</v>
      </c>
      <c r="XT11">
        <v>44332</v>
      </c>
      <c r="XU11">
        <v>90443</v>
      </c>
      <c r="XV11">
        <v>133</v>
      </c>
      <c r="XW11">
        <v>44333</v>
      </c>
      <c r="XX11">
        <v>90730</v>
      </c>
      <c r="XY11">
        <v>284</v>
      </c>
      <c r="XZ11">
        <v>44334</v>
      </c>
      <c r="YA11">
        <v>90947</v>
      </c>
      <c r="YB11">
        <v>216</v>
      </c>
      <c r="YC11">
        <v>44336</v>
      </c>
      <c r="YD11">
        <v>91394</v>
      </c>
      <c r="YE11">
        <v>215</v>
      </c>
      <c r="YF11">
        <v>44337</v>
      </c>
      <c r="YG11">
        <v>91566</v>
      </c>
      <c r="YH11">
        <v>170</v>
      </c>
      <c r="YI11">
        <v>44338</v>
      </c>
      <c r="YJ11">
        <v>91674</v>
      </c>
      <c r="YK11">
        <v>108</v>
      </c>
      <c r="YL11">
        <v>44339</v>
      </c>
      <c r="YM11">
        <v>91767</v>
      </c>
      <c r="YN11">
        <v>93</v>
      </c>
      <c r="YO11">
        <v>44340</v>
      </c>
      <c r="YP11">
        <v>91959</v>
      </c>
      <c r="YQ11">
        <v>188</v>
      </c>
      <c r="YR11">
        <v>44341</v>
      </c>
      <c r="YS11">
        <v>92111</v>
      </c>
      <c r="YT11">
        <v>152</v>
      </c>
    </row>
    <row r="12" spans="1:670">
      <c r="B12" t="str">
        <f t="shared" ca="1" si="2"/>
        <v>26.5</v>
      </c>
      <c r="C12" s="4">
        <f t="shared" ca="1" si="0"/>
        <v>44342</v>
      </c>
      <c r="D12" s="11">
        <f t="shared" ca="1" si="1"/>
        <v>92261</v>
      </c>
      <c r="E12">
        <f t="shared" ca="1" si="3"/>
        <v>142</v>
      </c>
      <c r="F12" s="11">
        <f t="shared" ca="1" si="4"/>
        <v>0</v>
      </c>
      <c r="G12" s="11">
        <f t="shared" ca="1" si="5"/>
        <v>142</v>
      </c>
      <c r="L12" s="3"/>
      <c r="N12" s="16">
        <v>44342</v>
      </c>
      <c r="O12">
        <v>92253</v>
      </c>
      <c r="P12">
        <v>142</v>
      </c>
      <c r="Q12" s="16">
        <v>44342</v>
      </c>
      <c r="R12">
        <v>92253</v>
      </c>
      <c r="S12">
        <v>142</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v>44273</v>
      </c>
      <c r="RU12">
        <v>70973</v>
      </c>
      <c r="RV12">
        <v>736</v>
      </c>
      <c r="RW12">
        <v>44274</v>
      </c>
      <c r="RX12">
        <v>71717</v>
      </c>
      <c r="RY12">
        <v>744</v>
      </c>
      <c r="RZ12">
        <v>44275</v>
      </c>
      <c r="SA12">
        <v>72121</v>
      </c>
      <c r="SB12">
        <v>404</v>
      </c>
      <c r="SC12">
        <v>44276</v>
      </c>
      <c r="SD12">
        <v>72538</v>
      </c>
      <c r="SE12">
        <v>417</v>
      </c>
      <c r="SF12">
        <v>44277</v>
      </c>
      <c r="SG12">
        <v>73306</v>
      </c>
      <c r="SH12">
        <v>766</v>
      </c>
      <c r="SI12">
        <v>44278</v>
      </c>
      <c r="SJ12">
        <v>74009</v>
      </c>
      <c r="SK12">
        <v>703</v>
      </c>
      <c r="SL12">
        <v>44280</v>
      </c>
      <c r="SM12">
        <v>75308</v>
      </c>
      <c r="SN12">
        <v>606</v>
      </c>
      <c r="SO12">
        <v>44281</v>
      </c>
      <c r="SP12">
        <v>76012</v>
      </c>
      <c r="SQ12">
        <v>686</v>
      </c>
      <c r="SR12">
        <v>44282</v>
      </c>
      <c r="SS12">
        <v>76365</v>
      </c>
      <c r="ST12">
        <v>350</v>
      </c>
      <c r="SU12">
        <v>44283</v>
      </c>
      <c r="SV12">
        <v>76734</v>
      </c>
      <c r="SW12">
        <v>369</v>
      </c>
      <c r="SX12">
        <v>44285</v>
      </c>
      <c r="SY12">
        <v>77958</v>
      </c>
      <c r="SZ12">
        <v>566</v>
      </c>
      <c r="TA12">
        <v>44286</v>
      </c>
      <c r="TB12">
        <v>78511</v>
      </c>
      <c r="TC12">
        <v>550</v>
      </c>
      <c r="TD12">
        <v>44288</v>
      </c>
      <c r="TE12">
        <v>79359</v>
      </c>
      <c r="TF12">
        <v>361</v>
      </c>
      <c r="TG12">
        <v>44289</v>
      </c>
      <c r="TH12">
        <v>79682</v>
      </c>
      <c r="TI12">
        <v>319</v>
      </c>
      <c r="TJ12">
        <v>44290</v>
      </c>
      <c r="TK12">
        <v>80002</v>
      </c>
      <c r="TL12">
        <v>319</v>
      </c>
      <c r="TM12">
        <v>44291</v>
      </c>
      <c r="TN12">
        <v>80362</v>
      </c>
      <c r="TO12">
        <v>359</v>
      </c>
      <c r="TP12">
        <v>44293</v>
      </c>
      <c r="TQ12">
        <v>81333</v>
      </c>
      <c r="TR12">
        <v>424</v>
      </c>
      <c r="TS12">
        <v>44294</v>
      </c>
      <c r="TT12">
        <v>81739</v>
      </c>
      <c r="TU12">
        <v>403</v>
      </c>
      <c r="TV12">
        <v>44294</v>
      </c>
      <c r="TW12">
        <v>81745</v>
      </c>
      <c r="TX12">
        <v>403</v>
      </c>
      <c r="TY12">
        <v>44295</v>
      </c>
      <c r="TZ12">
        <v>82095</v>
      </c>
      <c r="UA12">
        <v>348</v>
      </c>
      <c r="UB12">
        <v>44297</v>
      </c>
      <c r="UC12">
        <v>82557</v>
      </c>
      <c r="UD12">
        <v>238</v>
      </c>
      <c r="UE12">
        <v>44297</v>
      </c>
      <c r="UF12">
        <v>82558</v>
      </c>
      <c r="UG12">
        <v>238</v>
      </c>
      <c r="UH12">
        <v>44298</v>
      </c>
      <c r="UI12">
        <v>82956</v>
      </c>
      <c r="UJ12">
        <v>396</v>
      </c>
      <c r="UK12">
        <v>44299</v>
      </c>
      <c r="UL12">
        <v>83282</v>
      </c>
      <c r="UM12">
        <v>325</v>
      </c>
      <c r="UN12">
        <v>44303</v>
      </c>
      <c r="UO12">
        <v>84345</v>
      </c>
      <c r="UP12">
        <v>170</v>
      </c>
      <c r="UQ12">
        <v>44304</v>
      </c>
      <c r="UR12">
        <v>84502</v>
      </c>
      <c r="US12">
        <v>155</v>
      </c>
      <c r="UT12">
        <v>44305</v>
      </c>
      <c r="UU12">
        <v>84786</v>
      </c>
      <c r="UV12">
        <v>283</v>
      </c>
      <c r="UW12">
        <v>44306</v>
      </c>
      <c r="UX12">
        <v>85073</v>
      </c>
      <c r="UY12">
        <v>285</v>
      </c>
      <c r="UZ12">
        <v>44308</v>
      </c>
      <c r="VA12">
        <v>85568</v>
      </c>
      <c r="VB12">
        <v>258</v>
      </c>
      <c r="VC12">
        <v>44308</v>
      </c>
      <c r="VD12">
        <v>85565</v>
      </c>
      <c r="VE12">
        <v>257</v>
      </c>
      <c r="VF12">
        <v>44309</v>
      </c>
      <c r="VG12">
        <v>85822</v>
      </c>
      <c r="VH12">
        <v>255</v>
      </c>
      <c r="VI12">
        <v>44311</v>
      </c>
      <c r="VJ12">
        <v>86117</v>
      </c>
      <c r="VK12">
        <v>141</v>
      </c>
      <c r="VL12">
        <v>44311</v>
      </c>
      <c r="VM12">
        <v>86117</v>
      </c>
      <c r="VN12">
        <v>141</v>
      </c>
      <c r="VO12">
        <v>44312</v>
      </c>
      <c r="VP12">
        <v>86360</v>
      </c>
      <c r="VQ12">
        <v>242</v>
      </c>
      <c r="VR12">
        <v>44313</v>
      </c>
      <c r="VS12">
        <v>86586</v>
      </c>
      <c r="VT12">
        <v>228</v>
      </c>
      <c r="VU12">
        <v>44315</v>
      </c>
      <c r="VV12">
        <v>87064</v>
      </c>
      <c r="VW12">
        <v>202</v>
      </c>
      <c r="VX12">
        <v>44315</v>
      </c>
      <c r="VY12">
        <v>87066</v>
      </c>
      <c r="VZ12">
        <v>202</v>
      </c>
      <c r="WA12">
        <v>44316</v>
      </c>
      <c r="WB12">
        <v>87264</v>
      </c>
      <c r="WC12">
        <v>195</v>
      </c>
      <c r="WD12">
        <v>44317</v>
      </c>
      <c r="WE12">
        <v>87371</v>
      </c>
      <c r="WF12">
        <v>107</v>
      </c>
      <c r="WG12">
        <v>44318</v>
      </c>
      <c r="WH12">
        <v>87506</v>
      </c>
      <c r="WI12">
        <v>135</v>
      </c>
      <c r="WJ12">
        <v>44320</v>
      </c>
      <c r="WK12">
        <v>88030</v>
      </c>
      <c r="WL12">
        <v>205</v>
      </c>
      <c r="WM12">
        <v>44320</v>
      </c>
      <c r="WN12">
        <v>88031</v>
      </c>
      <c r="WO12">
        <v>205</v>
      </c>
      <c r="WP12">
        <v>44323</v>
      </c>
      <c r="WQ12">
        <v>88747</v>
      </c>
      <c r="WR12">
        <v>214</v>
      </c>
      <c r="WS12">
        <v>44324</v>
      </c>
      <c r="WT12">
        <v>88877</v>
      </c>
      <c r="WU12">
        <v>130</v>
      </c>
      <c r="WV12">
        <v>44325</v>
      </c>
      <c r="WW12">
        <v>89009</v>
      </c>
      <c r="WX12">
        <v>130</v>
      </c>
      <c r="WY12">
        <v>44326</v>
      </c>
      <c r="WZ12">
        <v>89270</v>
      </c>
      <c r="XA12">
        <v>258</v>
      </c>
      <c r="XB12">
        <v>44327</v>
      </c>
      <c r="XC12">
        <v>89485</v>
      </c>
      <c r="XD12">
        <v>214</v>
      </c>
      <c r="XE12">
        <v>44329</v>
      </c>
      <c r="XF12">
        <v>89897</v>
      </c>
      <c r="XG12">
        <v>155</v>
      </c>
      <c r="XH12">
        <v>44329</v>
      </c>
      <c r="XI12">
        <v>89903</v>
      </c>
      <c r="XJ12">
        <v>155</v>
      </c>
      <c r="XK12">
        <v>44330</v>
      </c>
      <c r="XL12">
        <v>90147</v>
      </c>
      <c r="XM12">
        <v>244</v>
      </c>
      <c r="XN12">
        <v>44331</v>
      </c>
      <c r="XO12">
        <v>90307</v>
      </c>
      <c r="XP12">
        <v>160</v>
      </c>
      <c r="XQ12">
        <v>44332</v>
      </c>
      <c r="XR12">
        <v>90440</v>
      </c>
      <c r="XS12">
        <v>133</v>
      </c>
      <c r="XT12">
        <v>44333</v>
      </c>
      <c r="XU12">
        <v>90727</v>
      </c>
      <c r="XV12">
        <v>284</v>
      </c>
      <c r="XW12">
        <v>44334</v>
      </c>
      <c r="XX12">
        <v>90946</v>
      </c>
      <c r="XY12">
        <v>216</v>
      </c>
      <c r="XZ12">
        <v>44335</v>
      </c>
      <c r="YA12">
        <v>91177</v>
      </c>
      <c r="YB12">
        <v>230</v>
      </c>
      <c r="YC12">
        <v>44337</v>
      </c>
      <c r="YD12">
        <v>91564</v>
      </c>
      <c r="YE12">
        <v>170</v>
      </c>
      <c r="YF12">
        <v>44338</v>
      </c>
      <c r="YG12">
        <v>91673</v>
      </c>
      <c r="YH12">
        <v>107</v>
      </c>
      <c r="YI12">
        <v>44339</v>
      </c>
      <c r="YJ12">
        <v>91767</v>
      </c>
      <c r="YK12">
        <v>93</v>
      </c>
      <c r="YL12">
        <v>44340</v>
      </c>
      <c r="YM12">
        <v>91955</v>
      </c>
      <c r="YN12">
        <v>188</v>
      </c>
      <c r="YO12">
        <v>44341</v>
      </c>
      <c r="YP12">
        <v>92111</v>
      </c>
      <c r="YQ12">
        <v>152</v>
      </c>
      <c r="YR12">
        <v>44342</v>
      </c>
      <c r="YS12">
        <v>92253</v>
      </c>
      <c r="YT12">
        <v>142</v>
      </c>
    </row>
    <row r="13" spans="1:670">
      <c r="B13" t="str">
        <f t="shared" ca="1" si="2"/>
        <v>27.5</v>
      </c>
      <c r="C13" s="4">
        <f t="shared" ca="1" si="0"/>
        <v>44343</v>
      </c>
      <c r="D13" s="11">
        <f t="shared" ca="1" si="1"/>
        <v>92388</v>
      </c>
      <c r="E13">
        <f t="shared" ca="1" si="3"/>
        <v>127</v>
      </c>
      <c r="F13" s="11">
        <f t="shared" ca="1" si="4"/>
        <v>0</v>
      </c>
      <c r="G13" s="11">
        <f t="shared" ca="1" si="5"/>
        <v>127</v>
      </c>
      <c r="H13" s="10"/>
      <c r="L13" s="3"/>
      <c r="N13" s="16">
        <v>44343</v>
      </c>
      <c r="O13">
        <v>92380</v>
      </c>
      <c r="P13" s="10">
        <v>127</v>
      </c>
      <c r="Q13" s="16">
        <v>44343</v>
      </c>
      <c r="R13">
        <v>92380</v>
      </c>
      <c r="S13">
        <v>127</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v>44274</v>
      </c>
      <c r="RU13">
        <v>71717</v>
      </c>
      <c r="RV13">
        <v>744</v>
      </c>
      <c r="RW13">
        <v>44275</v>
      </c>
      <c r="RX13">
        <v>72120</v>
      </c>
      <c r="RY13">
        <v>403</v>
      </c>
      <c r="RZ13">
        <v>44276</v>
      </c>
      <c r="SA13">
        <v>72538</v>
      </c>
      <c r="SB13">
        <v>417</v>
      </c>
      <c r="SC13">
        <v>44277</v>
      </c>
      <c r="SD13">
        <v>73304</v>
      </c>
      <c r="SE13">
        <v>766</v>
      </c>
      <c r="SF13">
        <v>44278</v>
      </c>
      <c r="SG13">
        <v>74008</v>
      </c>
      <c r="SH13">
        <v>702</v>
      </c>
      <c r="SI13">
        <v>44279</v>
      </c>
      <c r="SJ13">
        <v>74702</v>
      </c>
      <c r="SK13">
        <v>693</v>
      </c>
      <c r="SL13">
        <v>44281</v>
      </c>
      <c r="SM13">
        <v>75994</v>
      </c>
      <c r="SN13">
        <v>686</v>
      </c>
      <c r="SO13">
        <v>44282</v>
      </c>
      <c r="SP13">
        <v>76362</v>
      </c>
      <c r="SQ13">
        <v>350</v>
      </c>
      <c r="SR13">
        <v>44283</v>
      </c>
      <c r="SS13">
        <v>76734</v>
      </c>
      <c r="ST13">
        <v>369</v>
      </c>
      <c r="SU13">
        <v>44284</v>
      </c>
      <c r="SV13">
        <v>77389</v>
      </c>
      <c r="SW13">
        <v>655</v>
      </c>
      <c r="SX13">
        <v>44286</v>
      </c>
      <c r="SY13">
        <v>78507</v>
      </c>
      <c r="SZ13">
        <v>549</v>
      </c>
      <c r="TA13">
        <v>44287</v>
      </c>
      <c r="TB13">
        <v>78998</v>
      </c>
      <c r="TC13">
        <v>487</v>
      </c>
      <c r="TD13">
        <v>44289</v>
      </c>
      <c r="TE13">
        <v>79678</v>
      </c>
      <c r="TF13">
        <v>319</v>
      </c>
      <c r="TG13">
        <v>44290</v>
      </c>
      <c r="TH13">
        <v>80001</v>
      </c>
      <c r="TI13">
        <v>319</v>
      </c>
      <c r="TJ13">
        <v>44291</v>
      </c>
      <c r="TK13">
        <v>80361</v>
      </c>
      <c r="TL13">
        <v>359</v>
      </c>
      <c r="TM13">
        <v>44292</v>
      </c>
      <c r="TN13">
        <v>80905</v>
      </c>
      <c r="TO13">
        <v>543</v>
      </c>
      <c r="TP13">
        <v>44294</v>
      </c>
      <c r="TQ13">
        <v>81736</v>
      </c>
      <c r="TR13">
        <v>403</v>
      </c>
      <c r="TS13">
        <v>44295</v>
      </c>
      <c r="TT13">
        <v>82087</v>
      </c>
      <c r="TU13">
        <v>348</v>
      </c>
      <c r="TV13">
        <v>44295</v>
      </c>
      <c r="TW13">
        <v>82093</v>
      </c>
      <c r="TX13">
        <v>348</v>
      </c>
      <c r="TY13">
        <v>44296</v>
      </c>
      <c r="TZ13">
        <v>82319</v>
      </c>
      <c r="UA13">
        <v>224</v>
      </c>
      <c r="UB13">
        <v>44298</v>
      </c>
      <c r="UC13">
        <v>82953</v>
      </c>
      <c r="UD13">
        <v>396</v>
      </c>
      <c r="UE13">
        <v>44298</v>
      </c>
      <c r="UF13">
        <v>82954</v>
      </c>
      <c r="UG13">
        <v>396</v>
      </c>
      <c r="UH13">
        <v>44299</v>
      </c>
      <c r="UI13">
        <v>83281</v>
      </c>
      <c r="UJ13">
        <v>325</v>
      </c>
      <c r="UK13">
        <v>44300</v>
      </c>
      <c r="UL13">
        <v>83627</v>
      </c>
      <c r="UM13">
        <v>345</v>
      </c>
      <c r="UN13">
        <v>44304</v>
      </c>
      <c r="UO13">
        <v>84500</v>
      </c>
      <c r="UP13">
        <v>155</v>
      </c>
      <c r="UQ13">
        <v>44305</v>
      </c>
      <c r="UR13">
        <v>84785</v>
      </c>
      <c r="US13">
        <v>283</v>
      </c>
      <c r="UT13">
        <v>44306</v>
      </c>
      <c r="UU13">
        <v>85071</v>
      </c>
      <c r="UV13">
        <v>285</v>
      </c>
      <c r="UW13">
        <v>44307</v>
      </c>
      <c r="UX13">
        <v>85307</v>
      </c>
      <c r="UY13">
        <v>234</v>
      </c>
      <c r="UZ13">
        <v>44309</v>
      </c>
      <c r="VA13">
        <v>85825</v>
      </c>
      <c r="VB13">
        <v>257</v>
      </c>
      <c r="VC13">
        <v>44309</v>
      </c>
      <c r="VD13">
        <v>85820</v>
      </c>
      <c r="VE13">
        <v>255</v>
      </c>
      <c r="VF13">
        <v>44310</v>
      </c>
      <c r="VG13">
        <v>85976</v>
      </c>
      <c r="VH13">
        <v>154</v>
      </c>
      <c r="VI13">
        <v>44312</v>
      </c>
      <c r="VJ13">
        <v>86360</v>
      </c>
      <c r="VK13">
        <v>243</v>
      </c>
      <c r="VL13">
        <v>44312</v>
      </c>
      <c r="VM13">
        <v>86360</v>
      </c>
      <c r="VN13">
        <v>243</v>
      </c>
      <c r="VO13">
        <v>44313</v>
      </c>
      <c r="VP13">
        <v>86588</v>
      </c>
      <c r="VQ13">
        <v>228</v>
      </c>
      <c r="VR13">
        <v>44314</v>
      </c>
      <c r="VS13">
        <v>86859</v>
      </c>
      <c r="VT13">
        <v>273</v>
      </c>
      <c r="VU13">
        <v>44316</v>
      </c>
      <c r="VV13">
        <v>87259</v>
      </c>
      <c r="VW13">
        <v>195</v>
      </c>
      <c r="VX13">
        <v>44316</v>
      </c>
      <c r="VY13">
        <v>87261</v>
      </c>
      <c r="VZ13">
        <v>195</v>
      </c>
      <c r="WA13">
        <v>44317</v>
      </c>
      <c r="WB13">
        <v>87371</v>
      </c>
      <c r="WC13">
        <v>107</v>
      </c>
      <c r="WD13">
        <v>44318</v>
      </c>
      <c r="WE13">
        <v>87506</v>
      </c>
      <c r="WF13">
        <v>135</v>
      </c>
      <c r="WG13">
        <v>44319</v>
      </c>
      <c r="WH13">
        <v>87824</v>
      </c>
      <c r="WI13">
        <v>318</v>
      </c>
      <c r="WJ13">
        <v>44321</v>
      </c>
      <c r="WK13">
        <v>88296</v>
      </c>
      <c r="WL13">
        <v>266</v>
      </c>
      <c r="WM13">
        <v>44321</v>
      </c>
      <c r="WN13">
        <v>88297</v>
      </c>
      <c r="WO13">
        <v>266</v>
      </c>
      <c r="WP13">
        <v>44324</v>
      </c>
      <c r="WQ13">
        <v>88877</v>
      </c>
      <c r="WR13">
        <v>130</v>
      </c>
      <c r="WS13">
        <v>44325</v>
      </c>
      <c r="WT13">
        <v>89007</v>
      </c>
      <c r="WU13">
        <v>130</v>
      </c>
      <c r="WV13">
        <v>44326</v>
      </c>
      <c r="WW13">
        <v>89267</v>
      </c>
      <c r="WX13">
        <v>258</v>
      </c>
      <c r="WY13">
        <v>44327</v>
      </c>
      <c r="WZ13">
        <v>89484</v>
      </c>
      <c r="XA13">
        <v>214</v>
      </c>
      <c r="XB13">
        <v>44328</v>
      </c>
      <c r="XC13">
        <v>89741</v>
      </c>
      <c r="XD13">
        <v>256</v>
      </c>
      <c r="XE13">
        <v>44330</v>
      </c>
      <c r="XF13">
        <v>90140</v>
      </c>
      <c r="XG13">
        <v>243</v>
      </c>
      <c r="XH13">
        <v>44330</v>
      </c>
      <c r="XI13">
        <v>90147</v>
      </c>
      <c r="XJ13">
        <v>244</v>
      </c>
      <c r="XK13">
        <v>44331</v>
      </c>
      <c r="XL13">
        <v>90307</v>
      </c>
      <c r="XM13">
        <v>160</v>
      </c>
      <c r="XN13">
        <v>44332</v>
      </c>
      <c r="XO13">
        <v>90440</v>
      </c>
      <c r="XP13">
        <v>133</v>
      </c>
      <c r="XQ13">
        <v>44333</v>
      </c>
      <c r="XR13">
        <v>90724</v>
      </c>
      <c r="XS13">
        <v>284</v>
      </c>
      <c r="XT13">
        <v>44334</v>
      </c>
      <c r="XU13">
        <v>90943</v>
      </c>
      <c r="XV13">
        <v>216</v>
      </c>
      <c r="XW13">
        <v>44335</v>
      </c>
      <c r="XX13">
        <v>91176</v>
      </c>
      <c r="XY13">
        <v>230</v>
      </c>
      <c r="XZ13">
        <v>44336</v>
      </c>
      <c r="YA13">
        <v>91392</v>
      </c>
      <c r="YB13">
        <v>215</v>
      </c>
      <c r="YC13">
        <v>44338</v>
      </c>
      <c r="YD13">
        <v>91671</v>
      </c>
      <c r="YE13">
        <v>107</v>
      </c>
      <c r="YF13">
        <v>44339</v>
      </c>
      <c r="YG13">
        <v>91765</v>
      </c>
      <c r="YH13">
        <v>92</v>
      </c>
      <c r="YI13">
        <v>44340</v>
      </c>
      <c r="YJ13">
        <v>91955</v>
      </c>
      <c r="YK13">
        <v>188</v>
      </c>
      <c r="YL13">
        <v>44341</v>
      </c>
      <c r="YM13">
        <v>92107</v>
      </c>
      <c r="YN13">
        <v>152</v>
      </c>
      <c r="YO13">
        <v>44342</v>
      </c>
      <c r="YP13">
        <v>92253</v>
      </c>
      <c r="YQ13">
        <v>142</v>
      </c>
      <c r="YR13">
        <v>44343</v>
      </c>
      <c r="YS13">
        <v>92380</v>
      </c>
      <c r="YT13">
        <v>127</v>
      </c>
    </row>
    <row r="14" spans="1:670" s="10" customFormat="1">
      <c r="B14" t="str">
        <f t="shared" ca="1" si="2"/>
        <v>28.5</v>
      </c>
      <c r="C14" s="9">
        <f t="shared" ca="1" si="0"/>
        <v>44344</v>
      </c>
      <c r="D14" s="10">
        <f t="shared" ca="1" si="1"/>
        <v>92524</v>
      </c>
      <c r="E14" s="10">
        <f t="shared" ca="1" si="3"/>
        <v>136</v>
      </c>
      <c r="F14" s="10">
        <f t="shared" ca="1" si="4"/>
        <v>0</v>
      </c>
      <c r="G14" s="10">
        <f t="shared" ca="1" si="5"/>
        <v>136</v>
      </c>
      <c r="H14" s="10">
        <f ca="1">SUM(E14:E20)</f>
        <v>774</v>
      </c>
      <c r="I14" s="10" t="str">
        <f ca="1">TEXT(H14/H7-1,"0 %")</f>
        <v>-21 %</v>
      </c>
      <c r="L14" s="14"/>
      <c r="M14"/>
      <c r="N14" s="17">
        <v>44344</v>
      </c>
      <c r="O14" s="10">
        <v>92516</v>
      </c>
      <c r="P14">
        <v>136</v>
      </c>
      <c r="Q14" s="17">
        <v>44344</v>
      </c>
      <c r="R14" s="10">
        <v>92516</v>
      </c>
      <c r="S14" s="10">
        <v>136</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0">
        <v>44275</v>
      </c>
      <c r="RU14" s="10">
        <v>72120</v>
      </c>
      <c r="RV14" s="10">
        <v>403</v>
      </c>
      <c r="RW14" s="10">
        <v>44276</v>
      </c>
      <c r="RX14" s="10">
        <v>72537</v>
      </c>
      <c r="RY14" s="10">
        <v>417</v>
      </c>
      <c r="RZ14" s="10">
        <v>44277</v>
      </c>
      <c r="SA14" s="10">
        <v>73304</v>
      </c>
      <c r="SB14" s="10">
        <v>766</v>
      </c>
      <c r="SC14" s="10">
        <v>44278</v>
      </c>
      <c r="SD14" s="10">
        <v>74006</v>
      </c>
      <c r="SE14" s="10">
        <v>702</v>
      </c>
      <c r="SF14" s="10">
        <v>44279</v>
      </c>
      <c r="SG14" s="10">
        <v>74701</v>
      </c>
      <c r="SH14" s="10">
        <v>693</v>
      </c>
      <c r="SI14" s="10">
        <v>44280</v>
      </c>
      <c r="SJ14" s="10">
        <v>75308</v>
      </c>
      <c r="SK14" s="10">
        <v>606</v>
      </c>
      <c r="SL14" s="10">
        <v>44282</v>
      </c>
      <c r="SM14" s="10">
        <v>76344</v>
      </c>
      <c r="SN14" s="10">
        <v>350</v>
      </c>
      <c r="SO14" s="10">
        <v>44283</v>
      </c>
      <c r="SP14" s="10">
        <v>76731</v>
      </c>
      <c r="SQ14" s="10">
        <v>369</v>
      </c>
      <c r="SR14" s="10">
        <v>44284</v>
      </c>
      <c r="SS14" s="10">
        <v>77389</v>
      </c>
      <c r="ST14" s="10">
        <v>655</v>
      </c>
      <c r="SU14" s="10">
        <v>44285</v>
      </c>
      <c r="SV14" s="10">
        <v>77955</v>
      </c>
      <c r="SW14" s="10">
        <v>566</v>
      </c>
      <c r="SX14" s="10">
        <v>44287</v>
      </c>
      <c r="SY14" s="10">
        <v>78995</v>
      </c>
      <c r="SZ14" s="10">
        <v>488</v>
      </c>
      <c r="TA14" s="10">
        <v>44288</v>
      </c>
      <c r="TB14" s="10">
        <v>79359</v>
      </c>
      <c r="TC14" s="10">
        <v>361</v>
      </c>
      <c r="TD14" s="10">
        <v>44290</v>
      </c>
      <c r="TE14" s="10">
        <v>79997</v>
      </c>
      <c r="TF14" s="10">
        <v>319</v>
      </c>
      <c r="TG14" s="10">
        <v>44291</v>
      </c>
      <c r="TH14" s="10">
        <v>80360</v>
      </c>
      <c r="TI14" s="10">
        <v>359</v>
      </c>
      <c r="TJ14" s="10">
        <v>44292</v>
      </c>
      <c r="TK14" s="10">
        <v>80905</v>
      </c>
      <c r="TL14" s="10">
        <v>544</v>
      </c>
      <c r="TM14" s="10">
        <v>44293</v>
      </c>
      <c r="TN14" s="10">
        <v>81329</v>
      </c>
      <c r="TO14" s="10">
        <v>424</v>
      </c>
      <c r="TP14" s="10">
        <v>44295</v>
      </c>
      <c r="TQ14" s="10">
        <v>82084</v>
      </c>
      <c r="TR14" s="10">
        <v>348</v>
      </c>
      <c r="TS14" s="10">
        <v>44296</v>
      </c>
      <c r="TT14" s="10">
        <v>82311</v>
      </c>
      <c r="TU14" s="10">
        <v>224</v>
      </c>
      <c r="TV14" s="10">
        <v>44296</v>
      </c>
      <c r="TW14" s="10">
        <v>82317</v>
      </c>
      <c r="TX14" s="10">
        <v>224</v>
      </c>
      <c r="TY14" s="10">
        <v>44297</v>
      </c>
      <c r="TZ14" s="10">
        <v>82557</v>
      </c>
      <c r="UA14" s="10">
        <v>238</v>
      </c>
      <c r="UB14" s="10">
        <v>44299</v>
      </c>
      <c r="UC14" s="10">
        <v>83278</v>
      </c>
      <c r="UD14" s="10">
        <v>325</v>
      </c>
      <c r="UE14" s="10">
        <v>44299</v>
      </c>
      <c r="UF14" s="10">
        <v>83279</v>
      </c>
      <c r="UG14" s="10">
        <v>325</v>
      </c>
      <c r="UH14" s="10">
        <v>44300</v>
      </c>
      <c r="UI14" s="10">
        <v>83626</v>
      </c>
      <c r="UJ14" s="10">
        <v>345</v>
      </c>
      <c r="UK14" s="10">
        <v>44301</v>
      </c>
      <c r="UL14" s="10">
        <v>83902</v>
      </c>
      <c r="UM14" s="10">
        <v>275</v>
      </c>
      <c r="UN14" s="10">
        <v>44305</v>
      </c>
      <c r="UO14" s="10">
        <v>84783</v>
      </c>
      <c r="UP14" s="10">
        <v>283</v>
      </c>
      <c r="UQ14" s="10">
        <v>44306</v>
      </c>
      <c r="UR14" s="10">
        <v>85070</v>
      </c>
      <c r="US14" s="10">
        <v>285</v>
      </c>
      <c r="UT14" s="10">
        <v>44307</v>
      </c>
      <c r="UU14" s="10">
        <v>85307</v>
      </c>
      <c r="UV14" s="10">
        <v>236</v>
      </c>
      <c r="UW14" s="10">
        <v>44308</v>
      </c>
      <c r="UX14" s="10">
        <v>85566</v>
      </c>
      <c r="UY14" s="10">
        <v>259</v>
      </c>
      <c r="UZ14" s="10">
        <v>44310</v>
      </c>
      <c r="VA14" s="10">
        <v>85979</v>
      </c>
      <c r="VB14" s="10">
        <v>154</v>
      </c>
      <c r="VC14" s="10">
        <v>44310</v>
      </c>
      <c r="VD14" s="10">
        <v>85974</v>
      </c>
      <c r="VE14" s="10">
        <v>154</v>
      </c>
      <c r="VF14" s="10">
        <v>44311</v>
      </c>
      <c r="VG14" s="10">
        <v>86117</v>
      </c>
      <c r="VH14" s="10">
        <v>141</v>
      </c>
      <c r="VI14" s="10">
        <v>44313</v>
      </c>
      <c r="VJ14" s="10">
        <v>86588</v>
      </c>
      <c r="VK14" s="10">
        <v>228</v>
      </c>
      <c r="VL14" s="10">
        <v>44313</v>
      </c>
      <c r="VM14" s="10">
        <v>86588</v>
      </c>
      <c r="VN14" s="10">
        <v>228</v>
      </c>
      <c r="VO14" s="10">
        <v>44314</v>
      </c>
      <c r="VP14" s="10">
        <v>86861</v>
      </c>
      <c r="VQ14" s="10">
        <v>273</v>
      </c>
      <c r="VR14" s="10">
        <v>44315</v>
      </c>
      <c r="VS14" s="10">
        <v>87061</v>
      </c>
      <c r="VT14" s="10">
        <v>202</v>
      </c>
      <c r="VU14" s="10">
        <v>44317</v>
      </c>
      <c r="VV14" s="10">
        <v>87364</v>
      </c>
      <c r="VW14" s="10">
        <v>105</v>
      </c>
      <c r="VX14" s="10">
        <v>44317</v>
      </c>
      <c r="VY14" s="10">
        <v>87368</v>
      </c>
      <c r="VZ14" s="10">
        <v>107</v>
      </c>
      <c r="WA14" s="10">
        <v>44318</v>
      </c>
      <c r="WB14" s="10">
        <v>87506</v>
      </c>
      <c r="WC14" s="10">
        <v>135</v>
      </c>
      <c r="WD14" s="10">
        <v>44319</v>
      </c>
      <c r="WE14" s="10">
        <v>87824</v>
      </c>
      <c r="WF14" s="10">
        <v>318</v>
      </c>
      <c r="WG14" s="10">
        <v>44320</v>
      </c>
      <c r="WH14" s="10">
        <v>88029</v>
      </c>
      <c r="WI14" s="10">
        <v>205</v>
      </c>
      <c r="WJ14" s="10">
        <v>44322</v>
      </c>
      <c r="WK14" s="10">
        <v>88530</v>
      </c>
      <c r="WL14" s="10">
        <v>234</v>
      </c>
      <c r="WM14" s="10">
        <v>44322</v>
      </c>
      <c r="WN14" s="10">
        <v>88531</v>
      </c>
      <c r="WO14" s="10">
        <v>234</v>
      </c>
      <c r="WP14" s="10">
        <v>44325</v>
      </c>
      <c r="WQ14" s="10">
        <v>89006</v>
      </c>
      <c r="WR14" s="10">
        <v>129</v>
      </c>
      <c r="WS14" s="10">
        <v>44326</v>
      </c>
      <c r="WT14" s="10">
        <v>89265</v>
      </c>
      <c r="WU14" s="10">
        <v>258</v>
      </c>
      <c r="WV14" s="10">
        <v>44327</v>
      </c>
      <c r="WW14" s="10">
        <v>89481</v>
      </c>
      <c r="WX14" s="10">
        <v>214</v>
      </c>
      <c r="WY14" s="10">
        <v>44328</v>
      </c>
      <c r="WZ14" s="10">
        <v>89740</v>
      </c>
      <c r="XA14" s="10">
        <v>256</v>
      </c>
      <c r="XB14" s="10">
        <v>44329</v>
      </c>
      <c r="XC14" s="10">
        <v>89896</v>
      </c>
      <c r="XD14" s="10">
        <v>155</v>
      </c>
      <c r="XE14" s="10">
        <v>44331</v>
      </c>
      <c r="XF14" s="10">
        <v>90300</v>
      </c>
      <c r="XG14" s="10">
        <v>160</v>
      </c>
      <c r="XH14" s="10">
        <v>44331</v>
      </c>
      <c r="XI14" s="10">
        <v>90307</v>
      </c>
      <c r="XJ14" s="10">
        <v>160</v>
      </c>
      <c r="XK14" s="10">
        <v>44332</v>
      </c>
      <c r="XL14" s="10">
        <v>90440</v>
      </c>
      <c r="XM14" s="10">
        <v>133</v>
      </c>
      <c r="XN14" s="10">
        <v>44333</v>
      </c>
      <c r="XO14" s="10">
        <v>90724</v>
      </c>
      <c r="XP14" s="10">
        <v>284</v>
      </c>
      <c r="XQ14" s="10">
        <v>44334</v>
      </c>
      <c r="XR14" s="10">
        <v>90940</v>
      </c>
      <c r="XS14" s="10">
        <v>216</v>
      </c>
      <c r="XT14" s="10">
        <v>44335</v>
      </c>
      <c r="XU14" s="10">
        <v>91173</v>
      </c>
      <c r="XV14" s="10">
        <v>230</v>
      </c>
      <c r="XW14" s="10">
        <v>44336</v>
      </c>
      <c r="XX14" s="10">
        <v>91391</v>
      </c>
      <c r="XY14" s="10">
        <v>215</v>
      </c>
      <c r="XZ14" s="10">
        <v>44337</v>
      </c>
      <c r="YA14" s="10">
        <v>91562</v>
      </c>
      <c r="YB14" s="10">
        <v>170</v>
      </c>
      <c r="YC14" s="10">
        <v>44339</v>
      </c>
      <c r="YD14" s="10">
        <v>91763</v>
      </c>
      <c r="YE14" s="10">
        <v>92</v>
      </c>
      <c r="YF14" s="10">
        <v>44340</v>
      </c>
      <c r="YG14" s="10">
        <v>91953</v>
      </c>
      <c r="YH14" s="10">
        <v>188</v>
      </c>
      <c r="YI14" s="10">
        <v>44341</v>
      </c>
      <c r="YJ14" s="10">
        <v>92107</v>
      </c>
      <c r="YK14" s="10">
        <v>152</v>
      </c>
      <c r="YL14" s="10">
        <v>44342</v>
      </c>
      <c r="YM14" s="10">
        <v>92249</v>
      </c>
      <c r="YN14" s="10">
        <v>142</v>
      </c>
      <c r="YO14" s="10">
        <v>44343</v>
      </c>
      <c r="YP14" s="10">
        <v>92380</v>
      </c>
      <c r="YQ14" s="10">
        <v>127</v>
      </c>
      <c r="YR14" s="10">
        <v>44344</v>
      </c>
      <c r="YS14" s="10">
        <v>92516</v>
      </c>
      <c r="YT14" s="10">
        <v>136</v>
      </c>
    </row>
    <row r="15" spans="1:670">
      <c r="B15" t="str">
        <f t="shared" ca="1" si="2"/>
        <v>29.5</v>
      </c>
      <c r="C15" s="4">
        <f t="shared" ca="1" si="0"/>
        <v>44345</v>
      </c>
      <c r="D15" s="11">
        <f t="shared" ca="1" si="1"/>
        <v>92588</v>
      </c>
      <c r="E15">
        <f t="shared" ca="1" si="3"/>
        <v>64</v>
      </c>
      <c r="F15" s="11">
        <f t="shared" ca="1" si="4"/>
        <v>0</v>
      </c>
      <c r="G15" s="11">
        <f t="shared" ca="1" si="5"/>
        <v>64</v>
      </c>
      <c r="L15" s="3"/>
      <c r="N15" s="16">
        <v>44345</v>
      </c>
      <c r="O15">
        <v>92580</v>
      </c>
      <c r="P15">
        <v>64</v>
      </c>
      <c r="Q15" s="16">
        <v>44345</v>
      </c>
      <c r="R15">
        <v>92580</v>
      </c>
      <c r="S15">
        <v>64</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v>44276</v>
      </c>
      <c r="RU15">
        <v>72537</v>
      </c>
      <c r="RV15">
        <v>417</v>
      </c>
      <c r="RW15">
        <v>44277</v>
      </c>
      <c r="RX15">
        <v>73303</v>
      </c>
      <c r="RY15">
        <v>766</v>
      </c>
      <c r="RZ15">
        <v>44278</v>
      </c>
      <c r="SA15">
        <v>74006</v>
      </c>
      <c r="SB15">
        <v>702</v>
      </c>
      <c r="SC15">
        <v>44279</v>
      </c>
      <c r="SD15">
        <v>74699</v>
      </c>
      <c r="SE15">
        <v>693</v>
      </c>
      <c r="SF15">
        <v>44280</v>
      </c>
      <c r="SG15">
        <v>75307</v>
      </c>
      <c r="SH15">
        <v>606</v>
      </c>
      <c r="SI15">
        <v>44281</v>
      </c>
      <c r="SJ15">
        <v>75994</v>
      </c>
      <c r="SK15">
        <v>686</v>
      </c>
      <c r="SL15">
        <v>44283</v>
      </c>
      <c r="SM15">
        <v>76713</v>
      </c>
      <c r="SN15">
        <v>369</v>
      </c>
      <c r="SO15">
        <v>44284</v>
      </c>
      <c r="SP15">
        <v>77386</v>
      </c>
      <c r="SQ15">
        <v>655</v>
      </c>
      <c r="SR15">
        <v>44285</v>
      </c>
      <c r="SS15">
        <v>77955</v>
      </c>
      <c r="ST15">
        <v>566</v>
      </c>
      <c r="SU15">
        <v>44286</v>
      </c>
      <c r="SV15">
        <v>78504</v>
      </c>
      <c r="SW15">
        <v>549</v>
      </c>
      <c r="SX15">
        <v>44288</v>
      </c>
      <c r="SY15">
        <v>79356</v>
      </c>
      <c r="SZ15">
        <v>361</v>
      </c>
      <c r="TA15">
        <v>44289</v>
      </c>
      <c r="TB15">
        <v>79678</v>
      </c>
      <c r="TC15">
        <v>319</v>
      </c>
      <c r="TD15">
        <v>44291</v>
      </c>
      <c r="TE15">
        <v>80356</v>
      </c>
      <c r="TF15">
        <v>359</v>
      </c>
      <c r="TG15">
        <v>44292</v>
      </c>
      <c r="TH15">
        <v>80903</v>
      </c>
      <c r="TI15">
        <v>543</v>
      </c>
      <c r="TJ15">
        <v>44293</v>
      </c>
      <c r="TK15">
        <v>81329</v>
      </c>
      <c r="TL15">
        <v>424</v>
      </c>
      <c r="TM15">
        <v>44294</v>
      </c>
      <c r="TN15">
        <v>81732</v>
      </c>
      <c r="TO15">
        <v>403</v>
      </c>
      <c r="TP15">
        <v>44296</v>
      </c>
      <c r="TQ15">
        <v>82308</v>
      </c>
      <c r="TR15">
        <v>224</v>
      </c>
      <c r="TS15">
        <v>44297</v>
      </c>
      <c r="TT15">
        <v>82550</v>
      </c>
      <c r="TU15">
        <v>239</v>
      </c>
      <c r="TV15">
        <v>44297</v>
      </c>
      <c r="TW15">
        <v>82556</v>
      </c>
      <c r="TX15">
        <v>239</v>
      </c>
      <c r="TY15">
        <v>44298</v>
      </c>
      <c r="TZ15">
        <v>82953</v>
      </c>
      <c r="UA15">
        <v>396</v>
      </c>
      <c r="UB15">
        <v>44300</v>
      </c>
      <c r="UC15">
        <v>83623</v>
      </c>
      <c r="UD15">
        <v>345</v>
      </c>
      <c r="UE15">
        <v>44300</v>
      </c>
      <c r="UF15">
        <v>83624</v>
      </c>
      <c r="UG15">
        <v>345</v>
      </c>
      <c r="UH15">
        <v>44301</v>
      </c>
      <c r="UI15">
        <v>83901</v>
      </c>
      <c r="UJ15">
        <v>275</v>
      </c>
      <c r="UK15">
        <v>44302</v>
      </c>
      <c r="UL15">
        <v>84166</v>
      </c>
      <c r="UM15">
        <v>264</v>
      </c>
      <c r="UN15">
        <v>44306</v>
      </c>
      <c r="UO15">
        <v>85068</v>
      </c>
      <c r="UP15">
        <v>285</v>
      </c>
      <c r="UQ15">
        <v>44307</v>
      </c>
      <c r="UR15">
        <v>85311</v>
      </c>
      <c r="US15">
        <v>241</v>
      </c>
      <c r="UT15">
        <v>44308</v>
      </c>
      <c r="UU15">
        <v>85567</v>
      </c>
      <c r="UV15">
        <v>260</v>
      </c>
      <c r="UW15">
        <v>44309</v>
      </c>
      <c r="UX15">
        <v>85823</v>
      </c>
      <c r="UY15">
        <v>257</v>
      </c>
      <c r="UZ15">
        <v>44311</v>
      </c>
      <c r="VA15">
        <v>86120</v>
      </c>
      <c r="VB15">
        <v>141</v>
      </c>
      <c r="VC15">
        <v>44311</v>
      </c>
      <c r="VD15">
        <v>86115</v>
      </c>
      <c r="VE15">
        <v>141</v>
      </c>
      <c r="VF15">
        <v>44312</v>
      </c>
      <c r="VG15">
        <v>86360</v>
      </c>
      <c r="VH15">
        <v>243</v>
      </c>
      <c r="VI15">
        <v>44314</v>
      </c>
      <c r="VJ15">
        <v>86861</v>
      </c>
      <c r="VK15">
        <v>273</v>
      </c>
      <c r="VL15">
        <v>44314</v>
      </c>
      <c r="VM15">
        <v>86861</v>
      </c>
      <c r="VN15">
        <v>273</v>
      </c>
      <c r="VO15">
        <v>44315</v>
      </c>
      <c r="VP15">
        <v>87061</v>
      </c>
      <c r="VQ15">
        <v>200</v>
      </c>
      <c r="VR15">
        <v>44316</v>
      </c>
      <c r="VS15">
        <v>87256</v>
      </c>
      <c r="VT15">
        <v>195</v>
      </c>
      <c r="VU15">
        <v>44318</v>
      </c>
      <c r="VV15">
        <v>87499</v>
      </c>
      <c r="VW15">
        <v>135</v>
      </c>
      <c r="VX15">
        <v>44318</v>
      </c>
      <c r="VY15">
        <v>87503</v>
      </c>
      <c r="VZ15">
        <v>135</v>
      </c>
      <c r="WA15">
        <v>44319</v>
      </c>
      <c r="WB15">
        <v>87824</v>
      </c>
      <c r="WC15">
        <v>318</v>
      </c>
      <c r="WD15">
        <v>44320</v>
      </c>
      <c r="WE15">
        <v>88029</v>
      </c>
      <c r="WF15">
        <v>205</v>
      </c>
      <c r="WG15">
        <v>44321</v>
      </c>
      <c r="WH15">
        <v>88295</v>
      </c>
      <c r="WI15">
        <v>266</v>
      </c>
      <c r="WJ15">
        <v>44323</v>
      </c>
      <c r="WK15">
        <v>88744</v>
      </c>
      <c r="WL15">
        <v>214</v>
      </c>
      <c r="WM15">
        <v>44323</v>
      </c>
      <c r="WN15">
        <v>88745</v>
      </c>
      <c r="WO15">
        <v>214</v>
      </c>
      <c r="WP15">
        <v>44326</v>
      </c>
      <c r="WQ15">
        <v>89264</v>
      </c>
      <c r="WR15">
        <v>258</v>
      </c>
      <c r="WS15">
        <v>44327</v>
      </c>
      <c r="WT15">
        <v>89479</v>
      </c>
      <c r="WU15">
        <v>214</v>
      </c>
      <c r="WV15">
        <v>44328</v>
      </c>
      <c r="WW15">
        <v>89737</v>
      </c>
      <c r="WX15">
        <v>256</v>
      </c>
      <c r="WY15">
        <v>44329</v>
      </c>
      <c r="WZ15">
        <v>89895</v>
      </c>
      <c r="XA15">
        <v>155</v>
      </c>
      <c r="XB15">
        <v>44330</v>
      </c>
      <c r="XC15">
        <v>90139</v>
      </c>
      <c r="XD15">
        <v>243</v>
      </c>
      <c r="XE15">
        <v>44332</v>
      </c>
      <c r="XF15">
        <v>90433</v>
      </c>
      <c r="XG15">
        <v>133</v>
      </c>
      <c r="XH15">
        <v>44332</v>
      </c>
      <c r="XI15">
        <v>90440</v>
      </c>
      <c r="XJ15">
        <v>133</v>
      </c>
      <c r="XK15">
        <v>44333</v>
      </c>
      <c r="XL15">
        <v>90724</v>
      </c>
      <c r="XM15">
        <v>284</v>
      </c>
      <c r="XN15">
        <v>44334</v>
      </c>
      <c r="XO15">
        <v>90940</v>
      </c>
      <c r="XP15">
        <v>216</v>
      </c>
      <c r="XQ15">
        <v>44335</v>
      </c>
      <c r="XR15">
        <v>91169</v>
      </c>
      <c r="XS15">
        <v>229</v>
      </c>
      <c r="XT15">
        <v>44336</v>
      </c>
      <c r="XU15">
        <v>91388</v>
      </c>
      <c r="XV15">
        <v>215</v>
      </c>
      <c r="XW15">
        <v>44337</v>
      </c>
      <c r="XX15">
        <v>91561</v>
      </c>
      <c r="XY15">
        <v>170</v>
      </c>
      <c r="XZ15">
        <v>44338</v>
      </c>
      <c r="YA15">
        <v>91669</v>
      </c>
      <c r="YB15">
        <v>107</v>
      </c>
      <c r="YC15">
        <v>44340</v>
      </c>
      <c r="YD15">
        <v>91951</v>
      </c>
      <c r="YE15">
        <v>188</v>
      </c>
      <c r="YF15">
        <v>44341</v>
      </c>
      <c r="YG15">
        <v>92105</v>
      </c>
      <c r="YH15">
        <v>152</v>
      </c>
      <c r="YI15">
        <v>44342</v>
      </c>
      <c r="YJ15">
        <v>92249</v>
      </c>
      <c r="YK15">
        <v>142</v>
      </c>
      <c r="YL15">
        <v>44343</v>
      </c>
      <c r="YM15">
        <v>92376</v>
      </c>
      <c r="YN15">
        <v>127</v>
      </c>
      <c r="YO15">
        <v>44344</v>
      </c>
      <c r="YP15">
        <v>92516</v>
      </c>
      <c r="YQ15">
        <v>136</v>
      </c>
      <c r="YR15">
        <v>44345</v>
      </c>
      <c r="YS15">
        <v>92580</v>
      </c>
      <c r="YT15">
        <v>64</v>
      </c>
    </row>
    <row r="16" spans="1:670">
      <c r="B16" t="str">
        <f t="shared" ca="1" si="2"/>
        <v>30.5</v>
      </c>
      <c r="C16" s="4">
        <f t="shared" ca="1" si="0"/>
        <v>44346</v>
      </c>
      <c r="D16" s="11">
        <f t="shared" ca="1" si="1"/>
        <v>92667</v>
      </c>
      <c r="E16">
        <f t="shared" ca="1" si="3"/>
        <v>79</v>
      </c>
      <c r="F16" s="11">
        <f t="shared" ca="1" si="4"/>
        <v>0</v>
      </c>
      <c r="G16" s="11">
        <f t="shared" ca="1" si="5"/>
        <v>79</v>
      </c>
      <c r="L16" s="3"/>
      <c r="N16" s="16">
        <v>44346</v>
      </c>
      <c r="O16">
        <v>92659</v>
      </c>
      <c r="P16">
        <v>79</v>
      </c>
      <c r="Q16" s="16">
        <v>44346</v>
      </c>
      <c r="R16">
        <v>92659</v>
      </c>
      <c r="S16">
        <v>79</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v>44277</v>
      </c>
      <c r="RU16">
        <v>73303</v>
      </c>
      <c r="RV16">
        <v>766</v>
      </c>
      <c r="RW16">
        <v>44278</v>
      </c>
      <c r="RX16">
        <v>74005</v>
      </c>
      <c r="RY16">
        <v>702</v>
      </c>
      <c r="RZ16">
        <v>44279</v>
      </c>
      <c r="SA16">
        <v>74699</v>
      </c>
      <c r="SB16">
        <v>693</v>
      </c>
      <c r="SC16">
        <v>44280</v>
      </c>
      <c r="SD16">
        <v>75305</v>
      </c>
      <c r="SE16">
        <v>606</v>
      </c>
      <c r="SF16">
        <v>44281</v>
      </c>
      <c r="SG16">
        <v>75993</v>
      </c>
      <c r="SH16">
        <v>686</v>
      </c>
      <c r="SI16">
        <v>44282</v>
      </c>
      <c r="SJ16">
        <v>76344</v>
      </c>
      <c r="SK16">
        <v>350</v>
      </c>
      <c r="SL16">
        <v>44284</v>
      </c>
      <c r="SM16">
        <v>77368</v>
      </c>
      <c r="SN16">
        <v>655</v>
      </c>
      <c r="SO16">
        <v>44285</v>
      </c>
      <c r="SP16">
        <v>77952</v>
      </c>
      <c r="SQ16">
        <v>566</v>
      </c>
      <c r="SR16">
        <v>44286</v>
      </c>
      <c r="SS16">
        <v>78504</v>
      </c>
      <c r="ST16">
        <v>549</v>
      </c>
      <c r="SU16">
        <v>44287</v>
      </c>
      <c r="SV16">
        <v>78992</v>
      </c>
      <c r="SW16">
        <v>488</v>
      </c>
      <c r="SX16">
        <v>44289</v>
      </c>
      <c r="SY16">
        <v>79672</v>
      </c>
      <c r="SZ16">
        <v>316</v>
      </c>
      <c r="TA16">
        <v>44290</v>
      </c>
      <c r="TB16">
        <v>79997</v>
      </c>
      <c r="TC16">
        <v>319</v>
      </c>
      <c r="TD16">
        <v>44292</v>
      </c>
      <c r="TE16">
        <v>80898</v>
      </c>
      <c r="TF16">
        <v>542</v>
      </c>
      <c r="TG16">
        <v>44293</v>
      </c>
      <c r="TH16">
        <v>81327</v>
      </c>
      <c r="TI16">
        <v>424</v>
      </c>
      <c r="TJ16">
        <v>44294</v>
      </c>
      <c r="TK16">
        <v>81732</v>
      </c>
      <c r="TL16">
        <v>403</v>
      </c>
      <c r="TM16">
        <v>44295</v>
      </c>
      <c r="TN16">
        <v>82080</v>
      </c>
      <c r="TO16">
        <v>348</v>
      </c>
      <c r="TP16">
        <v>44297</v>
      </c>
      <c r="TQ16">
        <v>82547</v>
      </c>
      <c r="TR16">
        <v>239</v>
      </c>
      <c r="TS16">
        <v>44298</v>
      </c>
      <c r="TT16">
        <v>82947</v>
      </c>
      <c r="TU16">
        <v>397</v>
      </c>
      <c r="TV16">
        <v>44298</v>
      </c>
      <c r="TW16">
        <v>82953</v>
      </c>
      <c r="TX16">
        <v>397</v>
      </c>
      <c r="TY16">
        <v>44299</v>
      </c>
      <c r="TZ16">
        <v>83278</v>
      </c>
      <c r="UA16">
        <v>325</v>
      </c>
      <c r="UB16">
        <v>44301</v>
      </c>
      <c r="UC16">
        <v>83898</v>
      </c>
      <c r="UD16">
        <v>275</v>
      </c>
      <c r="UE16">
        <v>44301</v>
      </c>
      <c r="UF16">
        <v>83899</v>
      </c>
      <c r="UG16">
        <v>275</v>
      </c>
      <c r="UH16">
        <v>44302</v>
      </c>
      <c r="UI16">
        <v>84165</v>
      </c>
      <c r="UJ16">
        <v>264</v>
      </c>
      <c r="UK16">
        <v>44303</v>
      </c>
      <c r="UL16">
        <v>84336</v>
      </c>
      <c r="UM16">
        <v>170</v>
      </c>
      <c r="UN16">
        <v>44307</v>
      </c>
      <c r="UO16">
        <v>85308</v>
      </c>
      <c r="UP16">
        <v>240</v>
      </c>
      <c r="UQ16">
        <v>44308</v>
      </c>
      <c r="UR16">
        <v>85571</v>
      </c>
      <c r="US16">
        <v>260</v>
      </c>
      <c r="UT16">
        <v>44309</v>
      </c>
      <c r="UU16">
        <v>85824</v>
      </c>
      <c r="UV16">
        <v>257</v>
      </c>
      <c r="UW16">
        <v>44310</v>
      </c>
      <c r="UX16">
        <v>85977</v>
      </c>
      <c r="UY16">
        <v>154</v>
      </c>
      <c r="UZ16">
        <v>44312</v>
      </c>
      <c r="VA16">
        <v>86363</v>
      </c>
      <c r="VB16">
        <v>243</v>
      </c>
      <c r="VC16">
        <v>44312</v>
      </c>
      <c r="VD16">
        <v>86358</v>
      </c>
      <c r="VE16">
        <v>243</v>
      </c>
      <c r="VF16">
        <v>44313</v>
      </c>
      <c r="VG16">
        <v>86588</v>
      </c>
      <c r="VH16">
        <v>228</v>
      </c>
      <c r="VI16">
        <v>44315</v>
      </c>
      <c r="VJ16">
        <v>87061</v>
      </c>
      <c r="VK16">
        <v>200</v>
      </c>
      <c r="VL16">
        <v>44315</v>
      </c>
      <c r="VM16">
        <v>87061</v>
      </c>
      <c r="VN16">
        <v>200</v>
      </c>
      <c r="VO16">
        <v>44316</v>
      </c>
      <c r="VP16">
        <v>87256</v>
      </c>
      <c r="VQ16">
        <v>195</v>
      </c>
      <c r="VR16">
        <v>44317</v>
      </c>
      <c r="VS16">
        <v>87361</v>
      </c>
      <c r="VT16">
        <v>105</v>
      </c>
      <c r="VU16">
        <v>44319</v>
      </c>
      <c r="VV16">
        <v>87817</v>
      </c>
      <c r="VW16">
        <v>318</v>
      </c>
      <c r="VX16">
        <v>44319</v>
      </c>
      <c r="VY16">
        <v>87821</v>
      </c>
      <c r="VZ16">
        <v>318</v>
      </c>
      <c r="WA16">
        <v>44320</v>
      </c>
      <c r="WB16">
        <v>88029</v>
      </c>
      <c r="WC16">
        <v>205</v>
      </c>
      <c r="WD16">
        <v>44321</v>
      </c>
      <c r="WE16">
        <v>88295</v>
      </c>
      <c r="WF16">
        <v>266</v>
      </c>
      <c r="WG16">
        <v>44322</v>
      </c>
      <c r="WH16">
        <v>88529</v>
      </c>
      <c r="WI16">
        <v>234</v>
      </c>
      <c r="WJ16">
        <v>44324</v>
      </c>
      <c r="WK16">
        <v>88873</v>
      </c>
      <c r="WL16">
        <v>129</v>
      </c>
      <c r="WM16">
        <v>44324</v>
      </c>
      <c r="WN16">
        <v>88875</v>
      </c>
      <c r="WO16">
        <v>130</v>
      </c>
      <c r="WP16">
        <v>44327</v>
      </c>
      <c r="WQ16">
        <v>89478</v>
      </c>
      <c r="WR16">
        <v>214</v>
      </c>
      <c r="WS16">
        <v>44328</v>
      </c>
      <c r="WT16">
        <v>89735</v>
      </c>
      <c r="WU16">
        <v>256</v>
      </c>
      <c r="WV16">
        <v>44329</v>
      </c>
      <c r="WW16">
        <v>89892</v>
      </c>
      <c r="WX16">
        <v>155</v>
      </c>
      <c r="WY16">
        <v>44330</v>
      </c>
      <c r="WZ16">
        <v>90138</v>
      </c>
      <c r="XA16">
        <v>243</v>
      </c>
      <c r="XB16">
        <v>44331</v>
      </c>
      <c r="XC16">
        <v>90299</v>
      </c>
      <c r="XD16">
        <v>160</v>
      </c>
      <c r="XE16">
        <v>44333</v>
      </c>
      <c r="XF16">
        <v>90717</v>
      </c>
      <c r="XG16">
        <v>284</v>
      </c>
      <c r="XH16">
        <v>44333</v>
      </c>
      <c r="XI16">
        <v>90724</v>
      </c>
      <c r="XJ16">
        <v>284</v>
      </c>
      <c r="XK16">
        <v>44334</v>
      </c>
      <c r="XL16">
        <v>90940</v>
      </c>
      <c r="XM16">
        <v>216</v>
      </c>
      <c r="XN16">
        <v>44335</v>
      </c>
      <c r="XO16">
        <v>91169</v>
      </c>
      <c r="XP16">
        <v>229</v>
      </c>
      <c r="XQ16">
        <v>44336</v>
      </c>
      <c r="XR16">
        <v>91384</v>
      </c>
      <c r="XS16">
        <v>215</v>
      </c>
      <c r="XT16">
        <v>44337</v>
      </c>
      <c r="XU16">
        <v>91558</v>
      </c>
      <c r="XV16">
        <v>170</v>
      </c>
      <c r="XW16">
        <v>44338</v>
      </c>
      <c r="XX16">
        <v>91668</v>
      </c>
      <c r="XY16">
        <v>107</v>
      </c>
      <c r="XZ16">
        <v>44339</v>
      </c>
      <c r="YA16">
        <v>91761</v>
      </c>
      <c r="YB16">
        <v>92</v>
      </c>
      <c r="YC16">
        <v>44341</v>
      </c>
      <c r="YD16">
        <v>92103</v>
      </c>
      <c r="YE16">
        <v>152</v>
      </c>
      <c r="YF16">
        <v>44342</v>
      </c>
      <c r="YG16">
        <v>92247</v>
      </c>
      <c r="YH16">
        <v>142</v>
      </c>
      <c r="YI16">
        <v>44343</v>
      </c>
      <c r="YJ16">
        <v>92376</v>
      </c>
      <c r="YK16">
        <v>127</v>
      </c>
      <c r="YL16">
        <v>44344</v>
      </c>
      <c r="YM16">
        <v>92512</v>
      </c>
      <c r="YN16">
        <v>136</v>
      </c>
      <c r="YO16">
        <v>44345</v>
      </c>
      <c r="YP16">
        <v>92580</v>
      </c>
      <c r="YQ16">
        <v>64</v>
      </c>
      <c r="YR16">
        <v>44346</v>
      </c>
      <c r="YS16">
        <v>92659</v>
      </c>
      <c r="YT16">
        <v>79</v>
      </c>
    </row>
    <row r="17" spans="2:670">
      <c r="B17" t="str">
        <f t="shared" ca="1" si="2"/>
        <v>Ma 31</v>
      </c>
      <c r="C17" s="4">
        <f t="shared" ca="1" si="0"/>
        <v>44347</v>
      </c>
      <c r="D17" s="11">
        <f t="shared" ca="1" si="1"/>
        <v>92812</v>
      </c>
      <c r="E17">
        <f t="shared" ca="1" si="3"/>
        <v>145</v>
      </c>
      <c r="F17" s="11">
        <f t="shared" ca="1" si="4"/>
        <v>0</v>
      </c>
      <c r="G17" s="11">
        <f t="shared" ca="1" si="5"/>
        <v>145</v>
      </c>
      <c r="N17" s="16">
        <v>44347</v>
      </c>
      <c r="O17">
        <v>92804</v>
      </c>
      <c r="P17">
        <v>145</v>
      </c>
      <c r="Q17" s="16">
        <v>44347</v>
      </c>
      <c r="R17">
        <v>92804</v>
      </c>
      <c r="S17">
        <v>145</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v>44278</v>
      </c>
      <c r="RU17">
        <v>74000</v>
      </c>
      <c r="RV17">
        <v>697</v>
      </c>
      <c r="RW17">
        <v>44279</v>
      </c>
      <c r="RX17">
        <v>74698</v>
      </c>
      <c r="RY17">
        <v>693</v>
      </c>
      <c r="RZ17">
        <v>44280</v>
      </c>
      <c r="SA17">
        <v>75305</v>
      </c>
      <c r="SB17">
        <v>606</v>
      </c>
      <c r="SC17">
        <v>44281</v>
      </c>
      <c r="SD17">
        <v>75990</v>
      </c>
      <c r="SE17">
        <v>685</v>
      </c>
      <c r="SF17">
        <v>44282</v>
      </c>
      <c r="SG17">
        <v>76343</v>
      </c>
      <c r="SH17">
        <v>350</v>
      </c>
      <c r="SI17">
        <v>44283</v>
      </c>
      <c r="SJ17">
        <v>76713</v>
      </c>
      <c r="SK17">
        <v>369</v>
      </c>
      <c r="SL17">
        <v>44285</v>
      </c>
      <c r="SM17">
        <v>77934</v>
      </c>
      <c r="SN17">
        <v>566</v>
      </c>
      <c r="SO17">
        <v>44286</v>
      </c>
      <c r="SP17">
        <v>78501</v>
      </c>
      <c r="SQ17">
        <v>549</v>
      </c>
      <c r="SR17">
        <v>44287</v>
      </c>
      <c r="SS17">
        <v>78992</v>
      </c>
      <c r="ST17">
        <v>488</v>
      </c>
      <c r="SU17">
        <v>44288</v>
      </c>
      <c r="SV17">
        <v>79353</v>
      </c>
      <c r="SW17">
        <v>361</v>
      </c>
      <c r="SX17">
        <v>44290</v>
      </c>
      <c r="SY17">
        <v>79991</v>
      </c>
      <c r="SZ17">
        <v>319</v>
      </c>
      <c r="TA17">
        <v>44291</v>
      </c>
      <c r="TB17">
        <v>80356</v>
      </c>
      <c r="TC17">
        <v>359</v>
      </c>
      <c r="TD17">
        <v>44293</v>
      </c>
      <c r="TE17">
        <v>81323</v>
      </c>
      <c r="TF17">
        <v>425</v>
      </c>
      <c r="TG17">
        <v>44294</v>
      </c>
      <c r="TH17">
        <v>81730</v>
      </c>
      <c r="TI17">
        <v>403</v>
      </c>
      <c r="TJ17">
        <v>44295</v>
      </c>
      <c r="TK17">
        <v>82080</v>
      </c>
      <c r="TL17">
        <v>348</v>
      </c>
      <c r="TM17">
        <v>44296</v>
      </c>
      <c r="TN17">
        <v>82304</v>
      </c>
      <c r="TO17">
        <v>224</v>
      </c>
      <c r="TP17">
        <v>44298</v>
      </c>
      <c r="TQ17">
        <v>82944</v>
      </c>
      <c r="TR17">
        <v>397</v>
      </c>
      <c r="TS17">
        <v>44299</v>
      </c>
      <c r="TT17">
        <v>83272</v>
      </c>
      <c r="TU17">
        <v>325</v>
      </c>
      <c r="TV17">
        <v>44299</v>
      </c>
      <c r="TW17">
        <v>83278</v>
      </c>
      <c r="TX17">
        <v>325</v>
      </c>
      <c r="TY17">
        <v>44300</v>
      </c>
      <c r="TZ17">
        <v>83623</v>
      </c>
      <c r="UA17">
        <v>345</v>
      </c>
      <c r="UB17">
        <v>44302</v>
      </c>
      <c r="UC17">
        <v>84162</v>
      </c>
      <c r="UD17">
        <v>264</v>
      </c>
      <c r="UE17">
        <v>44302</v>
      </c>
      <c r="UF17">
        <v>84163</v>
      </c>
      <c r="UG17">
        <v>264</v>
      </c>
      <c r="UH17">
        <v>44303</v>
      </c>
      <c r="UI17">
        <v>84335</v>
      </c>
      <c r="UJ17">
        <v>170</v>
      </c>
      <c r="UK17">
        <v>44304</v>
      </c>
      <c r="UL17">
        <v>84491</v>
      </c>
      <c r="UM17">
        <v>155</v>
      </c>
      <c r="UN17">
        <v>44308</v>
      </c>
      <c r="UO17">
        <v>85568</v>
      </c>
      <c r="UP17">
        <v>260</v>
      </c>
      <c r="UQ17">
        <v>44309</v>
      </c>
      <c r="UR17">
        <v>85828</v>
      </c>
      <c r="US17">
        <v>257</v>
      </c>
      <c r="UT17">
        <v>44310</v>
      </c>
      <c r="UU17">
        <v>85978</v>
      </c>
      <c r="UV17">
        <v>154</v>
      </c>
      <c r="UW17">
        <v>44311</v>
      </c>
      <c r="UX17">
        <v>86118</v>
      </c>
      <c r="UY17">
        <v>141</v>
      </c>
      <c r="UZ17">
        <v>44313</v>
      </c>
      <c r="VA17">
        <v>86591</v>
      </c>
      <c r="VB17">
        <v>228</v>
      </c>
      <c r="VC17">
        <v>44313</v>
      </c>
      <c r="VD17">
        <v>86586</v>
      </c>
      <c r="VE17">
        <v>228</v>
      </c>
      <c r="VF17">
        <v>44314</v>
      </c>
      <c r="VG17">
        <v>86861</v>
      </c>
      <c r="VH17">
        <v>273</v>
      </c>
      <c r="VI17">
        <v>44316</v>
      </c>
      <c r="VJ17">
        <v>87256</v>
      </c>
      <c r="VK17">
        <v>195</v>
      </c>
      <c r="VL17">
        <v>44316</v>
      </c>
      <c r="VM17">
        <v>87256</v>
      </c>
      <c r="VN17">
        <v>195</v>
      </c>
      <c r="VO17">
        <v>44317</v>
      </c>
      <c r="VP17">
        <v>87361</v>
      </c>
      <c r="VQ17">
        <v>105</v>
      </c>
      <c r="VR17">
        <v>44318</v>
      </c>
      <c r="VS17">
        <v>87496</v>
      </c>
      <c r="VT17">
        <v>135</v>
      </c>
      <c r="VU17">
        <v>44320</v>
      </c>
      <c r="VV17">
        <v>88022</v>
      </c>
      <c r="VW17">
        <v>205</v>
      </c>
      <c r="VX17">
        <v>44320</v>
      </c>
      <c r="VY17">
        <v>88026</v>
      </c>
      <c r="VZ17">
        <v>205</v>
      </c>
      <c r="WA17">
        <v>44321</v>
      </c>
      <c r="WB17">
        <v>88295</v>
      </c>
      <c r="WC17">
        <v>266</v>
      </c>
      <c r="WD17">
        <v>44322</v>
      </c>
      <c r="WE17">
        <v>88529</v>
      </c>
      <c r="WF17">
        <v>234</v>
      </c>
      <c r="WG17">
        <v>44323</v>
      </c>
      <c r="WH17">
        <v>88743</v>
      </c>
      <c r="WI17">
        <v>214</v>
      </c>
      <c r="WJ17">
        <v>44325</v>
      </c>
      <c r="WK17">
        <v>89002</v>
      </c>
      <c r="WL17">
        <v>129</v>
      </c>
      <c r="WM17">
        <v>44325</v>
      </c>
      <c r="WN17">
        <v>89004</v>
      </c>
      <c r="WO17">
        <v>129</v>
      </c>
      <c r="WP17">
        <v>44328</v>
      </c>
      <c r="WQ17">
        <v>89733</v>
      </c>
      <c r="WR17">
        <v>255</v>
      </c>
      <c r="WS17">
        <v>44329</v>
      </c>
      <c r="WT17">
        <v>89890</v>
      </c>
      <c r="WU17">
        <v>155</v>
      </c>
      <c r="WV17">
        <v>44330</v>
      </c>
      <c r="WW17">
        <v>90135</v>
      </c>
      <c r="WX17">
        <v>243</v>
      </c>
      <c r="WY17">
        <v>44331</v>
      </c>
      <c r="WZ17">
        <v>90298</v>
      </c>
      <c r="XA17">
        <v>160</v>
      </c>
      <c r="XB17">
        <v>44332</v>
      </c>
      <c r="XC17">
        <v>90432</v>
      </c>
      <c r="XD17">
        <v>133</v>
      </c>
      <c r="XE17">
        <v>44334</v>
      </c>
      <c r="XF17">
        <v>90933</v>
      </c>
      <c r="XG17">
        <v>216</v>
      </c>
      <c r="XH17">
        <v>44334</v>
      </c>
      <c r="XI17">
        <v>90940</v>
      </c>
      <c r="XJ17">
        <v>216</v>
      </c>
      <c r="XK17">
        <v>44335</v>
      </c>
      <c r="XL17">
        <v>91169</v>
      </c>
      <c r="XM17">
        <v>229</v>
      </c>
      <c r="XN17">
        <v>44336</v>
      </c>
      <c r="XO17">
        <v>91384</v>
      </c>
      <c r="XP17">
        <v>215</v>
      </c>
      <c r="XQ17">
        <v>44337</v>
      </c>
      <c r="XR17">
        <v>91554</v>
      </c>
      <c r="XS17">
        <v>170</v>
      </c>
      <c r="XT17">
        <v>44338</v>
      </c>
      <c r="XU17">
        <v>91665</v>
      </c>
      <c r="XV17">
        <v>107</v>
      </c>
      <c r="XW17">
        <v>44339</v>
      </c>
      <c r="XX17">
        <v>91760</v>
      </c>
      <c r="XY17">
        <v>92</v>
      </c>
      <c r="XZ17">
        <v>44340</v>
      </c>
      <c r="YA17">
        <v>91949</v>
      </c>
      <c r="YB17">
        <v>188</v>
      </c>
      <c r="YC17">
        <v>44342</v>
      </c>
      <c r="YD17">
        <v>92245</v>
      </c>
      <c r="YE17">
        <v>142</v>
      </c>
      <c r="YF17">
        <v>44343</v>
      </c>
      <c r="YG17">
        <v>92374</v>
      </c>
      <c r="YH17">
        <v>127</v>
      </c>
      <c r="YI17">
        <v>44344</v>
      </c>
      <c r="YJ17">
        <v>92512</v>
      </c>
      <c r="YK17">
        <v>136</v>
      </c>
      <c r="YL17">
        <v>44345</v>
      </c>
      <c r="YM17">
        <v>92576</v>
      </c>
      <c r="YN17">
        <v>64</v>
      </c>
      <c r="YO17">
        <v>44346</v>
      </c>
      <c r="YP17">
        <v>92659</v>
      </c>
      <c r="YQ17">
        <v>79</v>
      </c>
      <c r="YR17">
        <v>44347</v>
      </c>
      <c r="YS17">
        <v>92804</v>
      </c>
      <c r="YT17">
        <v>145</v>
      </c>
    </row>
    <row r="18" spans="2:670">
      <c r="B18" t="str">
        <f t="shared" ca="1" si="2"/>
        <v>1.6</v>
      </c>
      <c r="C18" s="4">
        <f t="shared" ca="1" si="0"/>
        <v>44348</v>
      </c>
      <c r="D18" s="11">
        <f t="shared" ca="1" si="1"/>
        <v>92933</v>
      </c>
      <c r="E18">
        <f t="shared" ca="1" si="3"/>
        <v>121</v>
      </c>
      <c r="F18" s="11">
        <f t="shared" ca="1" si="4"/>
        <v>0</v>
      </c>
      <c r="G18" s="11">
        <f t="shared" ca="1" si="5"/>
        <v>121</v>
      </c>
      <c r="K18" s="10">
        <f ca="1">SUM(E18:E24)</f>
        <v>712</v>
      </c>
      <c r="L18" s="10" t="str">
        <f ca="1">TEXT(K18/K11-1,"0 %")</f>
        <v>-16 %</v>
      </c>
      <c r="N18" s="16">
        <v>44348</v>
      </c>
      <c r="O18">
        <v>92925</v>
      </c>
      <c r="P18">
        <v>121</v>
      </c>
      <c r="Q18" s="16">
        <v>44348</v>
      </c>
      <c r="R18">
        <v>92925</v>
      </c>
      <c r="S18">
        <v>121</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v>44279</v>
      </c>
      <c r="RU18">
        <v>74698</v>
      </c>
      <c r="RV18">
        <v>698</v>
      </c>
      <c r="RW18">
        <v>44280</v>
      </c>
      <c r="RX18">
        <v>75304</v>
      </c>
      <c r="RY18">
        <v>606</v>
      </c>
      <c r="RZ18">
        <v>44281</v>
      </c>
      <c r="SA18">
        <v>75990</v>
      </c>
      <c r="SB18">
        <v>685</v>
      </c>
      <c r="SC18">
        <v>44282</v>
      </c>
      <c r="SD18">
        <v>76340</v>
      </c>
      <c r="SE18">
        <v>350</v>
      </c>
      <c r="SF18">
        <v>44283</v>
      </c>
      <c r="SG18">
        <v>76712</v>
      </c>
      <c r="SH18">
        <v>369</v>
      </c>
      <c r="SI18">
        <v>44284</v>
      </c>
      <c r="SJ18">
        <v>77368</v>
      </c>
      <c r="SK18">
        <v>655</v>
      </c>
      <c r="SL18">
        <v>44286</v>
      </c>
      <c r="SM18">
        <v>78482</v>
      </c>
      <c r="SN18">
        <v>548</v>
      </c>
      <c r="SO18">
        <v>44287</v>
      </c>
      <c r="SP18">
        <v>78988</v>
      </c>
      <c r="SQ18">
        <v>487</v>
      </c>
      <c r="SR18">
        <v>44288</v>
      </c>
      <c r="SS18">
        <v>79353</v>
      </c>
      <c r="ST18">
        <v>361</v>
      </c>
      <c r="SU18">
        <v>44289</v>
      </c>
      <c r="SV18">
        <v>79670</v>
      </c>
      <c r="SW18">
        <v>317</v>
      </c>
      <c r="SX18">
        <v>44291</v>
      </c>
      <c r="SY18">
        <v>80349</v>
      </c>
      <c r="SZ18">
        <v>358</v>
      </c>
      <c r="TA18">
        <v>44292</v>
      </c>
      <c r="TB18">
        <v>80897</v>
      </c>
      <c r="TC18">
        <v>541</v>
      </c>
      <c r="TD18">
        <v>44294</v>
      </c>
      <c r="TE18">
        <v>81726</v>
      </c>
      <c r="TF18">
        <v>403</v>
      </c>
      <c r="TG18">
        <v>44295</v>
      </c>
      <c r="TH18">
        <v>82078</v>
      </c>
      <c r="TI18">
        <v>348</v>
      </c>
      <c r="TJ18">
        <v>44296</v>
      </c>
      <c r="TK18">
        <v>82304</v>
      </c>
      <c r="TL18">
        <v>224</v>
      </c>
      <c r="TM18">
        <v>44297</v>
      </c>
      <c r="TN18">
        <v>82543</v>
      </c>
      <c r="TO18">
        <v>239</v>
      </c>
      <c r="TP18">
        <v>44299</v>
      </c>
      <c r="TQ18">
        <v>83268</v>
      </c>
      <c r="TR18">
        <v>324</v>
      </c>
      <c r="TS18">
        <v>44300</v>
      </c>
      <c r="TT18">
        <v>83617</v>
      </c>
      <c r="TU18">
        <v>345</v>
      </c>
      <c r="TV18">
        <v>44300</v>
      </c>
      <c r="TW18">
        <v>83623</v>
      </c>
      <c r="TX18">
        <v>345</v>
      </c>
      <c r="TY18">
        <v>44301</v>
      </c>
      <c r="TZ18">
        <v>83898</v>
      </c>
      <c r="UA18">
        <v>275</v>
      </c>
      <c r="UB18">
        <v>44303</v>
      </c>
      <c r="UC18">
        <v>84331</v>
      </c>
      <c r="UD18">
        <v>169</v>
      </c>
      <c r="UE18">
        <v>44303</v>
      </c>
      <c r="UF18">
        <v>84332</v>
      </c>
      <c r="UG18">
        <v>169</v>
      </c>
      <c r="UH18">
        <v>44304</v>
      </c>
      <c r="UI18">
        <v>84490</v>
      </c>
      <c r="UJ18">
        <v>155</v>
      </c>
      <c r="UK18">
        <v>44305</v>
      </c>
      <c r="UL18">
        <v>84775</v>
      </c>
      <c r="UM18">
        <v>284</v>
      </c>
      <c r="UN18">
        <v>44309</v>
      </c>
      <c r="UO18">
        <v>85825</v>
      </c>
      <c r="UP18">
        <v>257</v>
      </c>
      <c r="UQ18">
        <v>44310</v>
      </c>
      <c r="UR18">
        <v>85982</v>
      </c>
      <c r="US18">
        <v>154</v>
      </c>
      <c r="UT18">
        <v>44311</v>
      </c>
      <c r="UU18">
        <v>86119</v>
      </c>
      <c r="UV18">
        <v>141</v>
      </c>
      <c r="UW18">
        <v>44312</v>
      </c>
      <c r="UX18">
        <v>86361</v>
      </c>
      <c r="UY18">
        <v>243</v>
      </c>
      <c r="UZ18">
        <v>44314</v>
      </c>
      <c r="VA18">
        <v>86864</v>
      </c>
      <c r="VB18">
        <v>273</v>
      </c>
      <c r="VC18">
        <v>44314</v>
      </c>
      <c r="VD18">
        <v>86859</v>
      </c>
      <c r="VE18">
        <v>273</v>
      </c>
      <c r="VF18">
        <v>44315</v>
      </c>
      <c r="VG18">
        <v>87061</v>
      </c>
      <c r="VH18">
        <v>200</v>
      </c>
      <c r="VI18">
        <v>44317</v>
      </c>
      <c r="VJ18">
        <v>87361</v>
      </c>
      <c r="VK18">
        <v>105</v>
      </c>
      <c r="VL18">
        <v>44317</v>
      </c>
      <c r="VM18">
        <v>87361</v>
      </c>
      <c r="VN18">
        <v>105</v>
      </c>
      <c r="VO18">
        <v>44318</v>
      </c>
      <c r="VP18">
        <v>87495</v>
      </c>
      <c r="VQ18">
        <v>134</v>
      </c>
      <c r="VR18">
        <v>44319</v>
      </c>
      <c r="VS18">
        <v>87814</v>
      </c>
      <c r="VT18">
        <v>318</v>
      </c>
      <c r="VU18">
        <v>44321</v>
      </c>
      <c r="VV18">
        <v>88288</v>
      </c>
      <c r="VW18">
        <v>266</v>
      </c>
      <c r="VX18">
        <v>44321</v>
      </c>
      <c r="VY18">
        <v>88292</v>
      </c>
      <c r="VZ18">
        <v>266</v>
      </c>
      <c r="WA18">
        <v>44322</v>
      </c>
      <c r="WB18">
        <v>88529</v>
      </c>
      <c r="WC18">
        <v>234</v>
      </c>
      <c r="WD18">
        <v>44323</v>
      </c>
      <c r="WE18">
        <v>88743</v>
      </c>
      <c r="WF18">
        <v>214</v>
      </c>
      <c r="WG18">
        <v>44324</v>
      </c>
      <c r="WH18">
        <v>88872</v>
      </c>
      <c r="WI18">
        <v>129</v>
      </c>
      <c r="WJ18">
        <v>44326</v>
      </c>
      <c r="WK18">
        <v>89260</v>
      </c>
      <c r="WL18">
        <v>258</v>
      </c>
      <c r="WM18">
        <v>44326</v>
      </c>
      <c r="WN18">
        <v>89262</v>
      </c>
      <c r="WO18">
        <v>258</v>
      </c>
      <c r="WP18">
        <v>44329</v>
      </c>
      <c r="WQ18">
        <v>89888</v>
      </c>
      <c r="WR18">
        <v>155</v>
      </c>
      <c r="WS18">
        <v>44330</v>
      </c>
      <c r="WT18">
        <v>90133</v>
      </c>
      <c r="WU18">
        <v>243</v>
      </c>
      <c r="WV18">
        <v>44331</v>
      </c>
      <c r="WW18">
        <v>90295</v>
      </c>
      <c r="WX18">
        <v>160</v>
      </c>
      <c r="WY18">
        <v>44332</v>
      </c>
      <c r="WZ18">
        <v>90431</v>
      </c>
      <c r="XA18">
        <v>133</v>
      </c>
      <c r="XB18">
        <v>44333</v>
      </c>
      <c r="XC18">
        <v>90716</v>
      </c>
      <c r="XD18">
        <v>284</v>
      </c>
      <c r="XE18">
        <v>44335</v>
      </c>
      <c r="XF18">
        <v>91162</v>
      </c>
      <c r="XG18">
        <v>229</v>
      </c>
      <c r="XH18">
        <v>44335</v>
      </c>
      <c r="XI18">
        <v>91169</v>
      </c>
      <c r="XJ18">
        <v>229</v>
      </c>
      <c r="XK18">
        <v>44336</v>
      </c>
      <c r="XL18">
        <v>91384</v>
      </c>
      <c r="XM18">
        <v>215</v>
      </c>
      <c r="XN18">
        <v>44337</v>
      </c>
      <c r="XO18">
        <v>91553</v>
      </c>
      <c r="XP18">
        <v>169</v>
      </c>
      <c r="XQ18">
        <v>44338</v>
      </c>
      <c r="XR18">
        <v>91661</v>
      </c>
      <c r="XS18">
        <v>107</v>
      </c>
      <c r="XT18">
        <v>44339</v>
      </c>
      <c r="XU18">
        <v>91757</v>
      </c>
      <c r="XV18">
        <v>92</v>
      </c>
      <c r="XW18">
        <v>44340</v>
      </c>
      <c r="XX18">
        <v>91948</v>
      </c>
      <c r="XY18">
        <v>188</v>
      </c>
      <c r="XZ18">
        <v>44341</v>
      </c>
      <c r="YA18">
        <v>92101</v>
      </c>
      <c r="YB18">
        <v>152</v>
      </c>
      <c r="YC18">
        <v>44343</v>
      </c>
      <c r="YD18">
        <v>92372</v>
      </c>
      <c r="YE18">
        <v>127</v>
      </c>
      <c r="YF18">
        <v>44344</v>
      </c>
      <c r="YG18">
        <v>92510</v>
      </c>
      <c r="YH18">
        <v>136</v>
      </c>
      <c r="YI18">
        <v>44345</v>
      </c>
      <c r="YJ18">
        <v>92576</v>
      </c>
      <c r="YK18">
        <v>64</v>
      </c>
      <c r="YL18">
        <v>44346</v>
      </c>
      <c r="YM18">
        <v>92655</v>
      </c>
      <c r="YN18">
        <v>79</v>
      </c>
      <c r="YO18">
        <v>44347</v>
      </c>
      <c r="YP18">
        <v>92803</v>
      </c>
      <c r="YQ18">
        <v>144</v>
      </c>
      <c r="YR18">
        <v>44348</v>
      </c>
      <c r="YS18">
        <v>92925</v>
      </c>
      <c r="YT18">
        <v>121</v>
      </c>
    </row>
    <row r="19" spans="2:670">
      <c r="B19" t="str">
        <f t="shared" ca="1" si="2"/>
        <v>2.6</v>
      </c>
      <c r="C19" s="4">
        <f t="shared" ca="1" si="0"/>
        <v>44349</v>
      </c>
      <c r="D19" s="11">
        <f t="shared" ca="1" si="1"/>
        <v>93051</v>
      </c>
      <c r="E19">
        <f t="shared" ca="1" si="3"/>
        <v>118</v>
      </c>
      <c r="F19" s="11">
        <f t="shared" ca="1" si="4"/>
        <v>0</v>
      </c>
      <c r="G19" s="11">
        <f t="shared" ca="1" si="5"/>
        <v>118</v>
      </c>
      <c r="L19" s="3"/>
      <c r="N19" s="16">
        <v>44349</v>
      </c>
      <c r="O19">
        <v>93043</v>
      </c>
      <c r="P19">
        <v>118</v>
      </c>
      <c r="Q19" s="16">
        <v>44349</v>
      </c>
      <c r="R19">
        <v>93043</v>
      </c>
      <c r="S19">
        <v>118</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v>44280</v>
      </c>
      <c r="RU19">
        <v>75304</v>
      </c>
      <c r="RV19">
        <v>606</v>
      </c>
      <c r="RW19">
        <v>44281</v>
      </c>
      <c r="RX19">
        <v>75989</v>
      </c>
      <c r="RY19">
        <v>685</v>
      </c>
      <c r="RZ19">
        <v>44282</v>
      </c>
      <c r="SA19">
        <v>76340</v>
      </c>
      <c r="SB19">
        <v>350</v>
      </c>
      <c r="SC19">
        <v>44283</v>
      </c>
      <c r="SD19">
        <v>76711</v>
      </c>
      <c r="SE19">
        <v>371</v>
      </c>
      <c r="SF19">
        <v>44284</v>
      </c>
      <c r="SG19">
        <v>77367</v>
      </c>
      <c r="SH19">
        <v>655</v>
      </c>
      <c r="SI19">
        <v>44285</v>
      </c>
      <c r="SJ19">
        <v>77934</v>
      </c>
      <c r="SK19">
        <v>566</v>
      </c>
      <c r="SL19">
        <v>44287</v>
      </c>
      <c r="SM19">
        <v>78969</v>
      </c>
      <c r="SN19">
        <v>487</v>
      </c>
      <c r="SO19">
        <v>44288</v>
      </c>
      <c r="SP19">
        <v>79349</v>
      </c>
      <c r="SQ19">
        <v>361</v>
      </c>
      <c r="SR19">
        <v>44289</v>
      </c>
      <c r="SS19">
        <v>79670</v>
      </c>
      <c r="ST19">
        <v>317</v>
      </c>
      <c r="SU19">
        <v>44290</v>
      </c>
      <c r="SV19">
        <v>79989</v>
      </c>
      <c r="SW19">
        <v>319</v>
      </c>
      <c r="SX19">
        <v>44292</v>
      </c>
      <c r="SY19">
        <v>80887</v>
      </c>
      <c r="SZ19">
        <v>538</v>
      </c>
      <c r="TA19">
        <v>44293</v>
      </c>
      <c r="TB19">
        <v>81321</v>
      </c>
      <c r="TC19">
        <v>424</v>
      </c>
      <c r="TD19">
        <v>44295</v>
      </c>
      <c r="TE19">
        <v>82074</v>
      </c>
      <c r="TF19">
        <v>348</v>
      </c>
      <c r="TG19">
        <v>44296</v>
      </c>
      <c r="TH19">
        <v>82302</v>
      </c>
      <c r="TI19">
        <v>224</v>
      </c>
      <c r="TJ19">
        <v>44297</v>
      </c>
      <c r="TK19">
        <v>82543</v>
      </c>
      <c r="TL19">
        <v>239</v>
      </c>
      <c r="TM19">
        <v>44298</v>
      </c>
      <c r="TN19">
        <v>82941</v>
      </c>
      <c r="TO19">
        <v>398</v>
      </c>
      <c r="TP19">
        <v>44300</v>
      </c>
      <c r="TQ19">
        <v>83613</v>
      </c>
      <c r="TR19">
        <v>345</v>
      </c>
      <c r="TS19">
        <v>44301</v>
      </c>
      <c r="TT19">
        <v>83892</v>
      </c>
      <c r="TU19">
        <v>275</v>
      </c>
      <c r="TV19">
        <v>44301</v>
      </c>
      <c r="TW19">
        <v>83898</v>
      </c>
      <c r="TX19">
        <v>275</v>
      </c>
      <c r="TY19">
        <v>44302</v>
      </c>
      <c r="TZ19">
        <v>84162</v>
      </c>
      <c r="UA19">
        <v>264</v>
      </c>
      <c r="UB19">
        <v>44304</v>
      </c>
      <c r="UC19">
        <v>84486</v>
      </c>
      <c r="UD19">
        <v>155</v>
      </c>
      <c r="UE19">
        <v>44304</v>
      </c>
      <c r="UF19">
        <v>84487</v>
      </c>
      <c r="UG19">
        <v>155</v>
      </c>
      <c r="UH19">
        <v>44305</v>
      </c>
      <c r="UI19">
        <v>84774</v>
      </c>
      <c r="UJ19">
        <v>284</v>
      </c>
      <c r="UK19">
        <v>44306</v>
      </c>
      <c r="UL19">
        <v>85060</v>
      </c>
      <c r="UM19">
        <v>285</v>
      </c>
      <c r="UN19">
        <v>44310</v>
      </c>
      <c r="UO19">
        <v>85979</v>
      </c>
      <c r="UP19">
        <v>154</v>
      </c>
      <c r="UQ19">
        <v>44311</v>
      </c>
      <c r="UR19">
        <v>86123</v>
      </c>
      <c r="US19">
        <v>141</v>
      </c>
      <c r="UT19">
        <v>44312</v>
      </c>
      <c r="UU19">
        <v>86362</v>
      </c>
      <c r="UV19">
        <v>243</v>
      </c>
      <c r="UW19">
        <v>44313</v>
      </c>
      <c r="UX19">
        <v>86589</v>
      </c>
      <c r="UY19">
        <v>228</v>
      </c>
      <c r="UZ19">
        <v>44315</v>
      </c>
      <c r="VA19">
        <v>87064</v>
      </c>
      <c r="VB19">
        <v>200</v>
      </c>
      <c r="VC19">
        <v>44315</v>
      </c>
      <c r="VD19">
        <v>87059</v>
      </c>
      <c r="VE19">
        <v>200</v>
      </c>
      <c r="VF19">
        <v>44316</v>
      </c>
      <c r="VG19">
        <v>87256</v>
      </c>
      <c r="VH19">
        <v>195</v>
      </c>
      <c r="VI19">
        <v>44318</v>
      </c>
      <c r="VJ19">
        <v>87496</v>
      </c>
      <c r="VK19">
        <v>135</v>
      </c>
      <c r="VL19">
        <v>44318</v>
      </c>
      <c r="VM19">
        <v>87496</v>
      </c>
      <c r="VN19">
        <v>135</v>
      </c>
      <c r="VO19">
        <v>44319</v>
      </c>
      <c r="VP19">
        <v>87813</v>
      </c>
      <c r="VQ19">
        <v>318</v>
      </c>
      <c r="VR19">
        <v>44320</v>
      </c>
      <c r="VS19">
        <v>88018</v>
      </c>
      <c r="VT19">
        <v>204</v>
      </c>
      <c r="VU19">
        <v>44322</v>
      </c>
      <c r="VV19">
        <v>88523</v>
      </c>
      <c r="VW19">
        <v>235</v>
      </c>
      <c r="VX19">
        <v>44322</v>
      </c>
      <c r="VY19">
        <v>88526</v>
      </c>
      <c r="VZ19">
        <v>234</v>
      </c>
      <c r="WA19">
        <v>44323</v>
      </c>
      <c r="WB19">
        <v>88743</v>
      </c>
      <c r="WC19">
        <v>214</v>
      </c>
      <c r="WD19">
        <v>44324</v>
      </c>
      <c r="WE19">
        <v>88872</v>
      </c>
      <c r="WF19">
        <v>129</v>
      </c>
      <c r="WG19">
        <v>44325</v>
      </c>
      <c r="WH19">
        <v>89001</v>
      </c>
      <c r="WI19">
        <v>129</v>
      </c>
      <c r="WJ19">
        <v>44327</v>
      </c>
      <c r="WK19">
        <v>89474</v>
      </c>
      <c r="WL19">
        <v>214</v>
      </c>
      <c r="WM19">
        <v>44327</v>
      </c>
      <c r="WN19">
        <v>89476</v>
      </c>
      <c r="WO19">
        <v>214</v>
      </c>
      <c r="WP19">
        <v>44330</v>
      </c>
      <c r="WQ19">
        <v>90131</v>
      </c>
      <c r="WR19">
        <v>243</v>
      </c>
      <c r="WS19">
        <v>44331</v>
      </c>
      <c r="WT19">
        <v>90292</v>
      </c>
      <c r="WU19">
        <v>159</v>
      </c>
      <c r="WV19">
        <v>44332</v>
      </c>
      <c r="WW19">
        <v>90428</v>
      </c>
      <c r="WX19">
        <v>133</v>
      </c>
      <c r="WY19">
        <v>44333</v>
      </c>
      <c r="WZ19">
        <v>90715</v>
      </c>
      <c r="XA19">
        <v>284</v>
      </c>
      <c r="XB19">
        <v>44334</v>
      </c>
      <c r="XC19">
        <v>90932</v>
      </c>
      <c r="XD19">
        <v>216</v>
      </c>
      <c r="XE19">
        <v>44336</v>
      </c>
      <c r="XF19">
        <v>91377</v>
      </c>
      <c r="XG19">
        <v>215</v>
      </c>
      <c r="XH19">
        <v>44336</v>
      </c>
      <c r="XI19">
        <v>91383</v>
      </c>
      <c r="XJ19">
        <v>214</v>
      </c>
      <c r="XK19">
        <v>44337</v>
      </c>
      <c r="XL19">
        <v>91553</v>
      </c>
      <c r="XM19">
        <v>169</v>
      </c>
      <c r="XN19">
        <v>44338</v>
      </c>
      <c r="XO19">
        <v>91660</v>
      </c>
      <c r="XP19">
        <v>107</v>
      </c>
      <c r="XQ19">
        <v>44339</v>
      </c>
      <c r="XR19">
        <v>91753</v>
      </c>
      <c r="XS19">
        <v>92</v>
      </c>
      <c r="XT19">
        <v>44340</v>
      </c>
      <c r="XU19">
        <v>91945</v>
      </c>
      <c r="XV19">
        <v>188</v>
      </c>
      <c r="XW19">
        <v>44341</v>
      </c>
      <c r="XX19">
        <v>92100</v>
      </c>
      <c r="XY19">
        <v>152</v>
      </c>
      <c r="XZ19">
        <v>44342</v>
      </c>
      <c r="YA19">
        <v>92243</v>
      </c>
      <c r="YB19">
        <v>142</v>
      </c>
      <c r="YC19">
        <v>44344</v>
      </c>
      <c r="YD19">
        <v>92508</v>
      </c>
      <c r="YE19">
        <v>136</v>
      </c>
      <c r="YF19">
        <v>44345</v>
      </c>
      <c r="YG19">
        <v>92574</v>
      </c>
      <c r="YH19">
        <v>64</v>
      </c>
      <c r="YI19">
        <v>44346</v>
      </c>
      <c r="YJ19">
        <v>92655</v>
      </c>
      <c r="YK19">
        <v>79</v>
      </c>
      <c r="YL19">
        <v>44347</v>
      </c>
      <c r="YM19">
        <v>92799</v>
      </c>
      <c r="YN19">
        <v>144</v>
      </c>
      <c r="YO19">
        <v>44348</v>
      </c>
      <c r="YP19">
        <v>92924</v>
      </c>
      <c r="YQ19">
        <v>121</v>
      </c>
      <c r="YR19">
        <v>44349</v>
      </c>
      <c r="YS19">
        <v>93043</v>
      </c>
      <c r="YT19">
        <v>118</v>
      </c>
    </row>
    <row r="20" spans="2:670">
      <c r="B20" t="str">
        <f t="shared" ca="1" si="2"/>
        <v>3.6</v>
      </c>
      <c r="C20" s="4">
        <f t="shared" ca="1" si="0"/>
        <v>44350</v>
      </c>
      <c r="D20" s="11">
        <f t="shared" ca="1" si="1"/>
        <v>93162</v>
      </c>
      <c r="E20">
        <f t="shared" ca="1" si="3"/>
        <v>111</v>
      </c>
      <c r="F20" s="11">
        <f t="shared" ca="1" si="4"/>
        <v>0</v>
      </c>
      <c r="G20" s="11">
        <f t="shared" ca="1" si="5"/>
        <v>111</v>
      </c>
      <c r="L20" s="3"/>
      <c r="N20" s="16">
        <v>44350</v>
      </c>
      <c r="O20">
        <v>93154</v>
      </c>
      <c r="P20" s="10">
        <v>111</v>
      </c>
      <c r="Q20" s="16">
        <v>44350</v>
      </c>
      <c r="R20">
        <v>93154</v>
      </c>
      <c r="S20">
        <v>111</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v>44281</v>
      </c>
      <c r="RU20">
        <v>75988</v>
      </c>
      <c r="RV20">
        <v>684</v>
      </c>
      <c r="RW20">
        <v>44282</v>
      </c>
      <c r="RX20">
        <v>76339</v>
      </c>
      <c r="RY20">
        <v>350</v>
      </c>
      <c r="RZ20">
        <v>44283</v>
      </c>
      <c r="SA20">
        <v>76711</v>
      </c>
      <c r="SB20">
        <v>371</v>
      </c>
      <c r="SC20">
        <v>44284</v>
      </c>
      <c r="SD20">
        <v>77366</v>
      </c>
      <c r="SE20">
        <v>655</v>
      </c>
      <c r="SF20">
        <v>44285</v>
      </c>
      <c r="SG20">
        <v>77933</v>
      </c>
      <c r="SH20">
        <v>566</v>
      </c>
      <c r="SI20">
        <v>44286</v>
      </c>
      <c r="SJ20">
        <v>78482</v>
      </c>
      <c r="SK20">
        <v>548</v>
      </c>
      <c r="SL20">
        <v>44288</v>
      </c>
      <c r="SM20">
        <v>79330</v>
      </c>
      <c r="SN20">
        <v>361</v>
      </c>
      <c r="SO20">
        <v>44289</v>
      </c>
      <c r="SP20">
        <v>79664</v>
      </c>
      <c r="SQ20">
        <v>315</v>
      </c>
      <c r="SR20">
        <v>44290</v>
      </c>
      <c r="SS20">
        <v>79989</v>
      </c>
      <c r="ST20">
        <v>319</v>
      </c>
      <c r="SU20">
        <v>44291</v>
      </c>
      <c r="SV20">
        <v>80348</v>
      </c>
      <c r="SW20">
        <v>359</v>
      </c>
      <c r="SX20">
        <v>44293</v>
      </c>
      <c r="SY20">
        <v>81313</v>
      </c>
      <c r="SZ20">
        <v>426</v>
      </c>
      <c r="TA20">
        <v>44294</v>
      </c>
      <c r="TB20">
        <v>81724</v>
      </c>
      <c r="TC20">
        <v>403</v>
      </c>
      <c r="TD20">
        <v>44296</v>
      </c>
      <c r="TE20">
        <v>82298</v>
      </c>
      <c r="TF20">
        <v>224</v>
      </c>
      <c r="TG20">
        <v>44297</v>
      </c>
      <c r="TH20">
        <v>82541</v>
      </c>
      <c r="TI20">
        <v>239</v>
      </c>
      <c r="TJ20">
        <v>44298</v>
      </c>
      <c r="TK20">
        <v>82940</v>
      </c>
      <c r="TL20">
        <v>397</v>
      </c>
      <c r="TM20">
        <v>44299</v>
      </c>
      <c r="TN20">
        <v>83265</v>
      </c>
      <c r="TO20">
        <v>324</v>
      </c>
      <c r="TP20">
        <v>44301</v>
      </c>
      <c r="TQ20">
        <v>83888</v>
      </c>
      <c r="TR20">
        <v>275</v>
      </c>
      <c r="TS20">
        <v>44302</v>
      </c>
      <c r="TT20">
        <v>84156</v>
      </c>
      <c r="TU20">
        <v>264</v>
      </c>
      <c r="TV20">
        <v>44302</v>
      </c>
      <c r="TW20">
        <v>84162</v>
      </c>
      <c r="TX20">
        <v>264</v>
      </c>
      <c r="TY20">
        <v>44303</v>
      </c>
      <c r="TZ20">
        <v>84331</v>
      </c>
      <c r="UA20">
        <v>169</v>
      </c>
      <c r="UB20">
        <v>44305</v>
      </c>
      <c r="UC20">
        <v>84770</v>
      </c>
      <c r="UD20">
        <v>284</v>
      </c>
      <c r="UE20">
        <v>44305</v>
      </c>
      <c r="UF20">
        <v>84771</v>
      </c>
      <c r="UG20">
        <v>284</v>
      </c>
      <c r="UH20">
        <v>44306</v>
      </c>
      <c r="UI20">
        <v>85059</v>
      </c>
      <c r="UJ20">
        <v>285</v>
      </c>
      <c r="UK20">
        <v>44307</v>
      </c>
      <c r="UL20">
        <v>85300</v>
      </c>
      <c r="UM20">
        <v>240</v>
      </c>
      <c r="UN20">
        <v>44311</v>
      </c>
      <c r="UO20">
        <v>86120</v>
      </c>
      <c r="UP20">
        <v>141</v>
      </c>
      <c r="UQ20">
        <v>44312</v>
      </c>
      <c r="UR20">
        <v>86366</v>
      </c>
      <c r="US20">
        <v>243</v>
      </c>
      <c r="UT20">
        <v>44313</v>
      </c>
      <c r="UU20">
        <v>86590</v>
      </c>
      <c r="UV20">
        <v>228</v>
      </c>
      <c r="UW20">
        <v>44314</v>
      </c>
      <c r="UX20">
        <v>86862</v>
      </c>
      <c r="UY20">
        <v>273</v>
      </c>
      <c r="UZ20">
        <v>44316</v>
      </c>
      <c r="VA20">
        <v>87259</v>
      </c>
      <c r="VB20">
        <v>195</v>
      </c>
      <c r="VC20">
        <v>44316</v>
      </c>
      <c r="VD20">
        <v>87254</v>
      </c>
      <c r="VE20">
        <v>195</v>
      </c>
      <c r="VF20">
        <v>44317</v>
      </c>
      <c r="VG20">
        <v>87361</v>
      </c>
      <c r="VH20">
        <v>105</v>
      </c>
      <c r="VI20">
        <v>44319</v>
      </c>
      <c r="VJ20">
        <v>87814</v>
      </c>
      <c r="VK20">
        <v>318</v>
      </c>
      <c r="VL20">
        <v>44319</v>
      </c>
      <c r="VM20">
        <v>87814</v>
      </c>
      <c r="VN20">
        <v>318</v>
      </c>
      <c r="VO20">
        <v>44320</v>
      </c>
      <c r="VP20">
        <v>88017</v>
      </c>
      <c r="VQ20">
        <v>204</v>
      </c>
      <c r="VR20">
        <v>44321</v>
      </c>
      <c r="VS20">
        <v>88285</v>
      </c>
      <c r="VT20">
        <v>267</v>
      </c>
      <c r="VU20">
        <v>44323</v>
      </c>
      <c r="VV20">
        <v>88738</v>
      </c>
      <c r="VW20">
        <v>215</v>
      </c>
      <c r="VX20">
        <v>44323</v>
      </c>
      <c r="VY20">
        <v>88741</v>
      </c>
      <c r="VZ20">
        <v>215</v>
      </c>
      <c r="WA20">
        <v>44324</v>
      </c>
      <c r="WB20">
        <v>88872</v>
      </c>
      <c r="WC20">
        <v>129</v>
      </c>
      <c r="WD20">
        <v>44325</v>
      </c>
      <c r="WE20">
        <v>89001</v>
      </c>
      <c r="WF20">
        <v>129</v>
      </c>
      <c r="WG20">
        <v>44326</v>
      </c>
      <c r="WH20">
        <v>89259</v>
      </c>
      <c r="WI20">
        <v>258</v>
      </c>
      <c r="WJ20">
        <v>44328</v>
      </c>
      <c r="WK20">
        <v>89729</v>
      </c>
      <c r="WL20">
        <v>255</v>
      </c>
      <c r="WM20">
        <v>44328</v>
      </c>
      <c r="WN20">
        <v>89731</v>
      </c>
      <c r="WO20">
        <v>255</v>
      </c>
      <c r="WP20">
        <v>44331</v>
      </c>
      <c r="WQ20">
        <v>90290</v>
      </c>
      <c r="WR20">
        <v>159</v>
      </c>
      <c r="WS20">
        <v>44332</v>
      </c>
      <c r="WT20">
        <v>90425</v>
      </c>
      <c r="WU20">
        <v>133</v>
      </c>
      <c r="WV20">
        <v>44333</v>
      </c>
      <c r="WW20">
        <v>90712</v>
      </c>
      <c r="WX20">
        <v>284</v>
      </c>
      <c r="WY20">
        <v>44334</v>
      </c>
      <c r="WZ20">
        <v>90932</v>
      </c>
      <c r="XA20">
        <v>217</v>
      </c>
      <c r="XB20">
        <v>44335</v>
      </c>
      <c r="XC20">
        <v>91161</v>
      </c>
      <c r="XD20">
        <v>229</v>
      </c>
      <c r="XE20">
        <v>44337</v>
      </c>
      <c r="XF20">
        <v>91546</v>
      </c>
      <c r="XG20">
        <v>169</v>
      </c>
      <c r="XH20">
        <v>44337</v>
      </c>
      <c r="XI20">
        <v>91552</v>
      </c>
      <c r="XJ20">
        <v>169</v>
      </c>
      <c r="XK20">
        <v>44338</v>
      </c>
      <c r="XL20">
        <v>91659</v>
      </c>
      <c r="XM20">
        <v>106</v>
      </c>
      <c r="XN20">
        <v>44339</v>
      </c>
      <c r="XO20">
        <v>91752</v>
      </c>
      <c r="XP20">
        <v>92</v>
      </c>
      <c r="XQ20">
        <v>44340</v>
      </c>
      <c r="XR20">
        <v>91941</v>
      </c>
      <c r="XS20">
        <v>188</v>
      </c>
      <c r="XT20">
        <v>44341</v>
      </c>
      <c r="XU20">
        <v>92097</v>
      </c>
      <c r="XV20">
        <v>152</v>
      </c>
      <c r="XW20">
        <v>44342</v>
      </c>
      <c r="XX20">
        <v>92242</v>
      </c>
      <c r="XY20">
        <v>142</v>
      </c>
      <c r="XZ20">
        <v>44343</v>
      </c>
      <c r="YA20">
        <v>92370</v>
      </c>
      <c r="YB20">
        <v>127</v>
      </c>
      <c r="YC20">
        <v>44345</v>
      </c>
      <c r="YD20">
        <v>92572</v>
      </c>
      <c r="YE20">
        <v>64</v>
      </c>
      <c r="YF20">
        <v>44346</v>
      </c>
      <c r="YG20">
        <v>92653</v>
      </c>
      <c r="YH20">
        <v>79</v>
      </c>
      <c r="YI20">
        <v>44347</v>
      </c>
      <c r="YJ20">
        <v>92799</v>
      </c>
      <c r="YK20">
        <v>144</v>
      </c>
      <c r="YL20">
        <v>44348</v>
      </c>
      <c r="YM20">
        <v>92921</v>
      </c>
      <c r="YN20">
        <v>122</v>
      </c>
      <c r="YO20">
        <v>44349</v>
      </c>
      <c r="YP20">
        <v>93042</v>
      </c>
      <c r="YQ20">
        <v>118</v>
      </c>
      <c r="YR20">
        <v>44350</v>
      </c>
      <c r="YS20">
        <v>93154</v>
      </c>
      <c r="YT20">
        <v>111</v>
      </c>
    </row>
    <row r="21" spans="2:670" s="10" customFormat="1">
      <c r="B21" t="str">
        <f t="shared" ca="1" si="2"/>
        <v>4.6</v>
      </c>
      <c r="C21" s="9">
        <f t="shared" ca="1" si="0"/>
        <v>44351</v>
      </c>
      <c r="D21" s="10">
        <f t="shared" ca="1" si="1"/>
        <v>93263</v>
      </c>
      <c r="E21" s="10">
        <f t="shared" ca="1" si="3"/>
        <v>101</v>
      </c>
      <c r="F21" s="10">
        <f t="shared" ca="1" si="4"/>
        <v>0</v>
      </c>
      <c r="G21" s="10">
        <f t="shared" ca="1" si="5"/>
        <v>101</v>
      </c>
      <c r="H21" s="10">
        <f ca="1">SUM(E21:E27)</f>
        <v>624</v>
      </c>
      <c r="I21" s="10" t="str">
        <f ca="1">TEXT(H21/H14-1,"0 %")</f>
        <v>-19 %</v>
      </c>
      <c r="J21" s="10">
        <f ca="1">SUM(E21:E34)</f>
        <v>992</v>
      </c>
      <c r="L21" s="14"/>
      <c r="M21"/>
      <c r="N21" s="17">
        <v>44351</v>
      </c>
      <c r="O21" s="10">
        <v>93255</v>
      </c>
      <c r="P21">
        <v>101</v>
      </c>
      <c r="Q21" s="17">
        <v>44351</v>
      </c>
      <c r="R21" s="10">
        <v>93255</v>
      </c>
      <c r="S21" s="10">
        <v>101</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0">
        <v>44282</v>
      </c>
      <c r="RU21" s="10">
        <v>76338</v>
      </c>
      <c r="RV21" s="10">
        <v>350</v>
      </c>
      <c r="RW21" s="10">
        <v>44283</v>
      </c>
      <c r="RX21" s="10">
        <v>76710</v>
      </c>
      <c r="RY21" s="10">
        <v>371</v>
      </c>
      <c r="RZ21" s="10">
        <v>44284</v>
      </c>
      <c r="SA21" s="10">
        <v>77366</v>
      </c>
      <c r="SB21" s="10">
        <v>655</v>
      </c>
      <c r="SC21" s="10">
        <v>44285</v>
      </c>
      <c r="SD21" s="10">
        <v>77932</v>
      </c>
      <c r="SE21" s="10">
        <v>566</v>
      </c>
      <c r="SF21" s="10">
        <v>44286</v>
      </c>
      <c r="SG21" s="10">
        <v>78481</v>
      </c>
      <c r="SH21" s="10">
        <v>548</v>
      </c>
      <c r="SI21" s="10">
        <v>44287</v>
      </c>
      <c r="SJ21" s="10">
        <v>78970</v>
      </c>
      <c r="SK21" s="10">
        <v>488</v>
      </c>
      <c r="SL21" s="10">
        <v>44289</v>
      </c>
      <c r="SM21" s="10">
        <v>79645</v>
      </c>
      <c r="SN21" s="10">
        <v>315</v>
      </c>
      <c r="SO21" s="10">
        <v>44290</v>
      </c>
      <c r="SP21" s="10">
        <v>79983</v>
      </c>
      <c r="SQ21" s="10">
        <v>319</v>
      </c>
      <c r="SR21" s="10">
        <v>44291</v>
      </c>
      <c r="SS21" s="10">
        <v>80348</v>
      </c>
      <c r="ST21" s="10">
        <v>359</v>
      </c>
      <c r="SU21" s="10">
        <v>44292</v>
      </c>
      <c r="SV21" s="10">
        <v>80888</v>
      </c>
      <c r="SW21" s="10">
        <v>540</v>
      </c>
      <c r="SX21" s="10">
        <v>44294</v>
      </c>
      <c r="SY21" s="10">
        <v>81718</v>
      </c>
      <c r="SZ21" s="10">
        <v>405</v>
      </c>
      <c r="TA21" s="10">
        <v>44295</v>
      </c>
      <c r="TB21" s="10">
        <v>82072</v>
      </c>
      <c r="TC21" s="10">
        <v>348</v>
      </c>
      <c r="TD21" s="10">
        <v>44297</v>
      </c>
      <c r="TE21" s="10">
        <v>82537</v>
      </c>
      <c r="TF21" s="10">
        <v>239</v>
      </c>
      <c r="TG21" s="10">
        <v>44298</v>
      </c>
      <c r="TH21" s="10">
        <v>82938</v>
      </c>
      <c r="TI21" s="10">
        <v>397</v>
      </c>
      <c r="TJ21" s="10">
        <v>44299</v>
      </c>
      <c r="TK21" s="10">
        <v>83264</v>
      </c>
      <c r="TL21" s="10">
        <v>324</v>
      </c>
      <c r="TM21" s="10">
        <v>44300</v>
      </c>
      <c r="TN21" s="10">
        <v>83610</v>
      </c>
      <c r="TO21" s="10">
        <v>345</v>
      </c>
      <c r="TP21" s="10">
        <v>44302</v>
      </c>
      <c r="TQ21" s="10">
        <v>84152</v>
      </c>
      <c r="TR21" s="10">
        <v>264</v>
      </c>
      <c r="TS21" s="10">
        <v>44303</v>
      </c>
      <c r="TT21" s="10">
        <v>84325</v>
      </c>
      <c r="TU21" s="10">
        <v>169</v>
      </c>
      <c r="TV21" s="10">
        <v>44303</v>
      </c>
      <c r="TW21" s="10">
        <v>84331</v>
      </c>
      <c r="TX21" s="10">
        <v>169</v>
      </c>
      <c r="TY21" s="10">
        <v>44304</v>
      </c>
      <c r="TZ21" s="10">
        <v>84486</v>
      </c>
      <c r="UA21" s="10">
        <v>155</v>
      </c>
      <c r="UB21" s="10">
        <v>44306</v>
      </c>
      <c r="UC21" s="10">
        <v>85055</v>
      </c>
      <c r="UD21" s="10">
        <v>285</v>
      </c>
      <c r="UE21" s="10">
        <v>44306</v>
      </c>
      <c r="UF21" s="10">
        <v>85056</v>
      </c>
      <c r="UG21" s="10">
        <v>285</v>
      </c>
      <c r="UH21" s="10">
        <v>44307</v>
      </c>
      <c r="UI21" s="10">
        <v>85299</v>
      </c>
      <c r="UJ21" s="10">
        <v>240</v>
      </c>
      <c r="UK21" s="10">
        <v>44308</v>
      </c>
      <c r="UL21" s="10">
        <v>85561</v>
      </c>
      <c r="UM21" s="10">
        <v>261</v>
      </c>
      <c r="UN21" s="10">
        <v>44312</v>
      </c>
      <c r="UO21" s="10">
        <v>86361</v>
      </c>
      <c r="UP21" s="10">
        <v>241</v>
      </c>
      <c r="UQ21" s="10">
        <v>44313</v>
      </c>
      <c r="UR21" s="10">
        <v>86594</v>
      </c>
      <c r="US21" s="10">
        <v>228</v>
      </c>
      <c r="UT21" s="10">
        <v>44314</v>
      </c>
      <c r="UU21" s="10">
        <v>86863</v>
      </c>
      <c r="UV21" s="10">
        <v>273</v>
      </c>
      <c r="UW21" s="10">
        <v>44315</v>
      </c>
      <c r="UX21" s="10">
        <v>87063</v>
      </c>
      <c r="UY21" s="10">
        <v>201</v>
      </c>
      <c r="UZ21" s="10">
        <v>44317</v>
      </c>
      <c r="VA21" s="10">
        <v>87364</v>
      </c>
      <c r="VB21" s="10">
        <v>105</v>
      </c>
      <c r="VC21" s="10">
        <v>44317</v>
      </c>
      <c r="VD21" s="10">
        <v>87359</v>
      </c>
      <c r="VE21" s="10">
        <v>105</v>
      </c>
      <c r="VF21" s="10">
        <v>44318</v>
      </c>
      <c r="VG21" s="10">
        <v>87496</v>
      </c>
      <c r="VH21" s="10">
        <v>135</v>
      </c>
      <c r="VI21" s="10">
        <v>44320</v>
      </c>
      <c r="VJ21" s="10">
        <v>88020</v>
      </c>
      <c r="VK21" s="10">
        <v>206</v>
      </c>
      <c r="VL21" s="10">
        <v>44320</v>
      </c>
      <c r="VM21" s="10">
        <v>88018</v>
      </c>
      <c r="VN21" s="10">
        <v>204</v>
      </c>
      <c r="VO21" s="10">
        <v>44321</v>
      </c>
      <c r="VP21" s="10">
        <v>88284</v>
      </c>
      <c r="VQ21" s="10">
        <v>267</v>
      </c>
      <c r="VR21" s="10">
        <v>44322</v>
      </c>
      <c r="VS21" s="10">
        <v>88520</v>
      </c>
      <c r="VT21" s="10">
        <v>235</v>
      </c>
      <c r="VU21" s="10">
        <v>44324</v>
      </c>
      <c r="VV21" s="10">
        <v>88867</v>
      </c>
      <c r="VW21" s="10">
        <v>129</v>
      </c>
      <c r="VX21" s="10">
        <v>44324</v>
      </c>
      <c r="VY21" s="10">
        <v>88870</v>
      </c>
      <c r="VZ21" s="10">
        <v>129</v>
      </c>
      <c r="WA21" s="10">
        <v>44325</v>
      </c>
      <c r="WB21" s="10">
        <v>89001</v>
      </c>
      <c r="WC21" s="10">
        <v>129</v>
      </c>
      <c r="WD21" s="10">
        <v>44326</v>
      </c>
      <c r="WE21" s="10">
        <v>89259</v>
      </c>
      <c r="WF21" s="10">
        <v>258</v>
      </c>
      <c r="WG21" s="10">
        <v>44327</v>
      </c>
      <c r="WH21" s="10">
        <v>89473</v>
      </c>
      <c r="WI21" s="10">
        <v>214</v>
      </c>
      <c r="WJ21" s="10">
        <v>44329</v>
      </c>
      <c r="WK21" s="10">
        <v>89884</v>
      </c>
      <c r="WL21" s="10">
        <v>155</v>
      </c>
      <c r="WM21" s="10">
        <v>44329</v>
      </c>
      <c r="WN21" s="10">
        <v>89886</v>
      </c>
      <c r="WO21" s="10">
        <v>155</v>
      </c>
      <c r="WP21" s="10">
        <v>44332</v>
      </c>
      <c r="WQ21" s="10">
        <v>90423</v>
      </c>
      <c r="WR21" s="10">
        <v>133</v>
      </c>
      <c r="WS21" s="10">
        <v>44333</v>
      </c>
      <c r="WT21" s="10">
        <v>90709</v>
      </c>
      <c r="WU21" s="10">
        <v>284</v>
      </c>
      <c r="WV21" s="10">
        <v>44334</v>
      </c>
      <c r="WW21" s="10">
        <v>90929</v>
      </c>
      <c r="WX21" s="10">
        <v>217</v>
      </c>
      <c r="WY21" s="10">
        <v>44335</v>
      </c>
      <c r="WZ21" s="10">
        <v>91161</v>
      </c>
      <c r="XA21" s="10">
        <v>229</v>
      </c>
      <c r="XB21" s="10">
        <v>44336</v>
      </c>
      <c r="XC21" s="10">
        <v>91376</v>
      </c>
      <c r="XD21" s="10">
        <v>215</v>
      </c>
      <c r="XE21" s="10">
        <v>44338</v>
      </c>
      <c r="XF21" s="10">
        <v>91652</v>
      </c>
      <c r="XG21" s="10">
        <v>106</v>
      </c>
      <c r="XH21" s="10">
        <v>44338</v>
      </c>
      <c r="XI21" s="10">
        <v>91658</v>
      </c>
      <c r="XJ21" s="10">
        <v>106</v>
      </c>
      <c r="XK21" s="10">
        <v>44339</v>
      </c>
      <c r="XL21" s="10">
        <v>91751</v>
      </c>
      <c r="XM21" s="10">
        <v>92</v>
      </c>
      <c r="XN21" s="10">
        <v>44340</v>
      </c>
      <c r="XO21" s="10">
        <v>91940</v>
      </c>
      <c r="XP21" s="10">
        <v>188</v>
      </c>
      <c r="XQ21" s="10">
        <v>44341</v>
      </c>
      <c r="XR21" s="10">
        <v>92093</v>
      </c>
      <c r="XS21" s="10">
        <v>152</v>
      </c>
      <c r="XT21" s="10">
        <v>44342</v>
      </c>
      <c r="XU21" s="10">
        <v>92239</v>
      </c>
      <c r="XV21" s="10">
        <v>142</v>
      </c>
      <c r="XW21" s="10">
        <v>44343</v>
      </c>
      <c r="XX21" s="10">
        <v>92369</v>
      </c>
      <c r="XY21" s="10">
        <v>127</v>
      </c>
      <c r="XZ21" s="10">
        <v>44344</v>
      </c>
      <c r="YA21" s="10">
        <v>92506</v>
      </c>
      <c r="YB21" s="10">
        <v>136</v>
      </c>
      <c r="YC21" s="10">
        <v>44346</v>
      </c>
      <c r="YD21" s="10">
        <v>92651</v>
      </c>
      <c r="YE21" s="10">
        <v>79</v>
      </c>
      <c r="YF21" s="10">
        <v>44347</v>
      </c>
      <c r="YG21" s="10">
        <v>92797</v>
      </c>
      <c r="YH21" s="10">
        <v>144</v>
      </c>
      <c r="YI21" s="10">
        <v>44348</v>
      </c>
      <c r="YJ21" s="10">
        <v>92921</v>
      </c>
      <c r="YK21" s="10">
        <v>122</v>
      </c>
      <c r="YL21" s="10">
        <v>44349</v>
      </c>
      <c r="YM21" s="10">
        <v>93039</v>
      </c>
      <c r="YN21" s="10">
        <v>118</v>
      </c>
      <c r="YO21" s="10">
        <v>44350</v>
      </c>
      <c r="YP21" s="10">
        <v>93152</v>
      </c>
      <c r="YQ21" s="10">
        <v>110</v>
      </c>
      <c r="YR21" s="10">
        <v>44351</v>
      </c>
      <c r="YS21" s="10">
        <v>93255</v>
      </c>
      <c r="YT21" s="10">
        <v>101</v>
      </c>
    </row>
    <row r="22" spans="2:670">
      <c r="B22" t="str">
        <f t="shared" ca="1" si="2"/>
        <v>5.6</v>
      </c>
      <c r="C22" s="4">
        <f t="shared" ca="1" si="0"/>
        <v>44352</v>
      </c>
      <c r="D22" s="11">
        <f t="shared" ca="1" si="1"/>
        <v>93328</v>
      </c>
      <c r="E22">
        <f t="shared" ca="1" si="3"/>
        <v>65</v>
      </c>
      <c r="F22" s="11">
        <f t="shared" ca="1" si="4"/>
        <v>0</v>
      </c>
      <c r="G22" s="11">
        <f t="shared" ca="1" si="5"/>
        <v>65</v>
      </c>
      <c r="H22" s="10"/>
      <c r="L22" s="3"/>
      <c r="N22" s="16">
        <v>44352</v>
      </c>
      <c r="O22">
        <v>93320</v>
      </c>
      <c r="P22">
        <v>65</v>
      </c>
      <c r="Q22" s="16">
        <v>44352</v>
      </c>
      <c r="R22">
        <v>93320</v>
      </c>
      <c r="S22">
        <v>65</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v>44283</v>
      </c>
      <c r="RU22">
        <v>76707</v>
      </c>
      <c r="RV22">
        <v>369</v>
      </c>
      <c r="RW22">
        <v>44284</v>
      </c>
      <c r="RX22">
        <v>77365</v>
      </c>
      <c r="RY22">
        <v>655</v>
      </c>
      <c r="RZ22">
        <v>44285</v>
      </c>
      <c r="SA22">
        <v>77932</v>
      </c>
      <c r="SB22">
        <v>566</v>
      </c>
      <c r="SC22">
        <v>44286</v>
      </c>
      <c r="SD22">
        <v>78480</v>
      </c>
      <c r="SE22">
        <v>548</v>
      </c>
      <c r="SF22">
        <v>44287</v>
      </c>
      <c r="SG22">
        <v>78969</v>
      </c>
      <c r="SH22">
        <v>488</v>
      </c>
      <c r="SI22">
        <v>44288</v>
      </c>
      <c r="SJ22">
        <v>79331</v>
      </c>
      <c r="SK22">
        <v>361</v>
      </c>
      <c r="SL22">
        <v>44290</v>
      </c>
      <c r="SM22">
        <v>79964</v>
      </c>
      <c r="SN22">
        <v>319</v>
      </c>
      <c r="SO22">
        <v>44291</v>
      </c>
      <c r="SP22">
        <v>80343</v>
      </c>
      <c r="SQ22">
        <v>360</v>
      </c>
      <c r="SR22">
        <v>44292</v>
      </c>
      <c r="SS22">
        <v>80888</v>
      </c>
      <c r="ST22">
        <v>540</v>
      </c>
      <c r="SU22">
        <v>44293</v>
      </c>
      <c r="SV22">
        <v>81314</v>
      </c>
      <c r="SW22">
        <v>426</v>
      </c>
      <c r="SX22">
        <v>44295</v>
      </c>
      <c r="SY22">
        <v>82066</v>
      </c>
      <c r="SZ22">
        <v>348</v>
      </c>
      <c r="TA22">
        <v>44296</v>
      </c>
      <c r="TB22">
        <v>82296</v>
      </c>
      <c r="TC22">
        <v>224</v>
      </c>
      <c r="TD22">
        <v>44298</v>
      </c>
      <c r="TE22">
        <v>82934</v>
      </c>
      <c r="TF22">
        <v>397</v>
      </c>
      <c r="TG22">
        <v>44299</v>
      </c>
      <c r="TH22">
        <v>83262</v>
      </c>
      <c r="TI22">
        <v>324</v>
      </c>
      <c r="TJ22">
        <v>44300</v>
      </c>
      <c r="TK22">
        <v>83609</v>
      </c>
      <c r="TL22">
        <v>345</v>
      </c>
      <c r="TM22">
        <v>44301</v>
      </c>
      <c r="TN22">
        <v>83884</v>
      </c>
      <c r="TO22">
        <v>274</v>
      </c>
      <c r="TP22">
        <v>44303</v>
      </c>
      <c r="TQ22">
        <v>84321</v>
      </c>
      <c r="TR22">
        <v>169</v>
      </c>
      <c r="TS22">
        <v>44304</v>
      </c>
      <c r="TT22">
        <v>84480</v>
      </c>
      <c r="TU22">
        <v>155</v>
      </c>
      <c r="TV22">
        <v>44304</v>
      </c>
      <c r="TW22">
        <v>84486</v>
      </c>
      <c r="TX22">
        <v>155</v>
      </c>
      <c r="TY22">
        <v>44305</v>
      </c>
      <c r="TZ22">
        <v>84770</v>
      </c>
      <c r="UA22">
        <v>284</v>
      </c>
      <c r="UB22">
        <v>44307</v>
      </c>
      <c r="UC22">
        <v>85297</v>
      </c>
      <c r="UD22">
        <v>242</v>
      </c>
      <c r="UE22">
        <v>44307</v>
      </c>
      <c r="UF22">
        <v>85296</v>
      </c>
      <c r="UG22">
        <v>240</v>
      </c>
      <c r="UH22">
        <v>44308</v>
      </c>
      <c r="UI22">
        <v>85559</v>
      </c>
      <c r="UJ22">
        <v>260</v>
      </c>
      <c r="UK22">
        <v>44309</v>
      </c>
      <c r="UL22">
        <v>85818</v>
      </c>
      <c r="UM22">
        <v>257</v>
      </c>
      <c r="UN22">
        <v>44313</v>
      </c>
      <c r="UO22">
        <v>86589</v>
      </c>
      <c r="UP22">
        <v>228</v>
      </c>
      <c r="UQ22">
        <v>44314</v>
      </c>
      <c r="UR22">
        <v>86867</v>
      </c>
      <c r="US22">
        <v>273</v>
      </c>
      <c r="UT22">
        <v>44315</v>
      </c>
      <c r="UU22">
        <v>87064</v>
      </c>
      <c r="UV22">
        <v>201</v>
      </c>
      <c r="UW22">
        <v>44316</v>
      </c>
      <c r="UX22">
        <v>87258</v>
      </c>
      <c r="UY22">
        <v>195</v>
      </c>
      <c r="UZ22">
        <v>44318</v>
      </c>
      <c r="VA22">
        <v>87500</v>
      </c>
      <c r="VB22">
        <v>136</v>
      </c>
      <c r="VC22">
        <v>44318</v>
      </c>
      <c r="VD22">
        <v>87495</v>
      </c>
      <c r="VE22">
        <v>136</v>
      </c>
      <c r="VF22">
        <v>44319</v>
      </c>
      <c r="VG22">
        <v>87815</v>
      </c>
      <c r="VH22">
        <v>319</v>
      </c>
      <c r="VI22">
        <v>44321</v>
      </c>
      <c r="VJ22">
        <v>88288</v>
      </c>
      <c r="VK22">
        <v>268</v>
      </c>
      <c r="VL22">
        <v>44321</v>
      </c>
      <c r="VM22">
        <v>88285</v>
      </c>
      <c r="VN22">
        <v>267</v>
      </c>
      <c r="VO22">
        <v>44322</v>
      </c>
      <c r="VP22">
        <v>88519</v>
      </c>
      <c r="VQ22">
        <v>235</v>
      </c>
      <c r="VR22">
        <v>44323</v>
      </c>
      <c r="VS22">
        <v>88734</v>
      </c>
      <c r="VT22">
        <v>214</v>
      </c>
      <c r="VU22">
        <v>44325</v>
      </c>
      <c r="VV22">
        <v>88996</v>
      </c>
      <c r="VW22">
        <v>129</v>
      </c>
      <c r="VX22">
        <v>44325</v>
      </c>
      <c r="VY22">
        <v>88999</v>
      </c>
      <c r="VZ22">
        <v>129</v>
      </c>
      <c r="WA22">
        <v>44326</v>
      </c>
      <c r="WB22">
        <v>89259</v>
      </c>
      <c r="WC22">
        <v>258</v>
      </c>
      <c r="WD22">
        <v>44327</v>
      </c>
      <c r="WE22">
        <v>89473</v>
      </c>
      <c r="WF22">
        <v>214</v>
      </c>
      <c r="WG22">
        <v>44328</v>
      </c>
      <c r="WH22">
        <v>89728</v>
      </c>
      <c r="WI22">
        <v>255</v>
      </c>
      <c r="WJ22">
        <v>44330</v>
      </c>
      <c r="WK22">
        <v>90128</v>
      </c>
      <c r="WL22">
        <v>244</v>
      </c>
      <c r="WM22">
        <v>44330</v>
      </c>
      <c r="WN22">
        <v>90129</v>
      </c>
      <c r="WO22">
        <v>243</v>
      </c>
      <c r="WP22">
        <v>44333</v>
      </c>
      <c r="WQ22">
        <v>90705</v>
      </c>
      <c r="WR22">
        <v>282</v>
      </c>
      <c r="WS22">
        <v>44334</v>
      </c>
      <c r="WT22">
        <v>90926</v>
      </c>
      <c r="WU22">
        <v>217</v>
      </c>
      <c r="WV22">
        <v>44335</v>
      </c>
      <c r="WW22">
        <v>91159</v>
      </c>
      <c r="WX22">
        <v>230</v>
      </c>
      <c r="WY22">
        <v>44336</v>
      </c>
      <c r="WZ22">
        <v>91377</v>
      </c>
      <c r="XA22">
        <v>216</v>
      </c>
      <c r="XB22">
        <v>44337</v>
      </c>
      <c r="XC22">
        <v>91546</v>
      </c>
      <c r="XD22">
        <v>170</v>
      </c>
      <c r="XE22">
        <v>44339</v>
      </c>
      <c r="XF22">
        <v>91744</v>
      </c>
      <c r="XG22">
        <v>92</v>
      </c>
      <c r="XH22">
        <v>44339</v>
      </c>
      <c r="XI22">
        <v>91750</v>
      </c>
      <c r="XJ22">
        <v>92</v>
      </c>
      <c r="XK22">
        <v>44340</v>
      </c>
      <c r="XL22">
        <v>91939</v>
      </c>
      <c r="XM22">
        <v>188</v>
      </c>
      <c r="XN22">
        <v>44341</v>
      </c>
      <c r="XO22">
        <v>92092</v>
      </c>
      <c r="XP22">
        <v>152</v>
      </c>
      <c r="XQ22">
        <v>44342</v>
      </c>
      <c r="XR22">
        <v>92236</v>
      </c>
      <c r="XS22">
        <v>143</v>
      </c>
      <c r="XT22">
        <v>44343</v>
      </c>
      <c r="XU22">
        <v>92366</v>
      </c>
      <c r="XV22">
        <v>127</v>
      </c>
      <c r="XW22">
        <v>44344</v>
      </c>
      <c r="XX22">
        <v>92505</v>
      </c>
      <c r="XY22">
        <v>136</v>
      </c>
      <c r="XZ22">
        <v>44345</v>
      </c>
      <c r="YA22">
        <v>92570</v>
      </c>
      <c r="YB22">
        <v>64</v>
      </c>
      <c r="YC22">
        <v>44347</v>
      </c>
      <c r="YD22">
        <v>92795</v>
      </c>
      <c r="YE22">
        <v>144</v>
      </c>
      <c r="YF22">
        <v>44348</v>
      </c>
      <c r="YG22">
        <v>92919</v>
      </c>
      <c r="YH22">
        <v>122</v>
      </c>
      <c r="YI22">
        <v>44349</v>
      </c>
      <c r="YJ22">
        <v>93039</v>
      </c>
      <c r="YK22">
        <v>118</v>
      </c>
      <c r="YL22">
        <v>44350</v>
      </c>
      <c r="YM22">
        <v>93149</v>
      </c>
      <c r="YN22">
        <v>110</v>
      </c>
      <c r="YO22">
        <v>44351</v>
      </c>
      <c r="YP22">
        <v>93251</v>
      </c>
      <c r="YQ22">
        <v>99</v>
      </c>
      <c r="YR22">
        <v>44352</v>
      </c>
      <c r="YS22">
        <v>93320</v>
      </c>
      <c r="YT22">
        <v>65</v>
      </c>
    </row>
    <row r="23" spans="2:670">
      <c r="B23" t="str">
        <f t="shared" ca="1" si="2"/>
        <v>6.6</v>
      </c>
      <c r="C23" s="4">
        <f t="shared" ca="1" si="0"/>
        <v>44353</v>
      </c>
      <c r="D23" s="11">
        <f t="shared" ca="1" si="1"/>
        <v>93388</v>
      </c>
      <c r="E23">
        <f t="shared" ca="1" si="3"/>
        <v>60</v>
      </c>
      <c r="F23" s="11">
        <f t="shared" ca="1" si="4"/>
        <v>0</v>
      </c>
      <c r="G23" s="11">
        <f t="shared" ca="1" si="5"/>
        <v>60</v>
      </c>
      <c r="K23" s="13"/>
      <c r="L23" s="3"/>
      <c r="N23" s="16">
        <v>44353</v>
      </c>
      <c r="O23">
        <v>93380</v>
      </c>
      <c r="P23">
        <v>60</v>
      </c>
      <c r="Q23" s="16">
        <v>44353</v>
      </c>
      <c r="R23">
        <v>93380</v>
      </c>
      <c r="S23">
        <v>60</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v>44284</v>
      </c>
      <c r="RU23">
        <v>77362</v>
      </c>
      <c r="RV23">
        <v>655</v>
      </c>
      <c r="RW23">
        <v>44285</v>
      </c>
      <c r="RX23">
        <v>77931</v>
      </c>
      <c r="RY23">
        <v>566</v>
      </c>
      <c r="RZ23">
        <v>44286</v>
      </c>
      <c r="SA23">
        <v>78480</v>
      </c>
      <c r="SB23">
        <v>548</v>
      </c>
      <c r="SC23">
        <v>44287</v>
      </c>
      <c r="SD23">
        <v>78968</v>
      </c>
      <c r="SE23">
        <v>488</v>
      </c>
      <c r="SF23">
        <v>44288</v>
      </c>
      <c r="SG23">
        <v>79330</v>
      </c>
      <c r="SH23">
        <v>361</v>
      </c>
      <c r="SI23">
        <v>44289</v>
      </c>
      <c r="SJ23">
        <v>79646</v>
      </c>
      <c r="SK23">
        <v>315</v>
      </c>
      <c r="SL23">
        <v>44291</v>
      </c>
      <c r="SM23">
        <v>80324</v>
      </c>
      <c r="SN23">
        <v>360</v>
      </c>
      <c r="SO23">
        <v>44292</v>
      </c>
      <c r="SP23">
        <v>80880</v>
      </c>
      <c r="SQ23">
        <v>537</v>
      </c>
      <c r="SR23">
        <v>44293</v>
      </c>
      <c r="SS23">
        <v>81314</v>
      </c>
      <c r="ST23">
        <v>426</v>
      </c>
      <c r="SU23">
        <v>44294</v>
      </c>
      <c r="SV23">
        <v>81714</v>
      </c>
      <c r="SW23">
        <v>400</v>
      </c>
      <c r="SX23">
        <v>44296</v>
      </c>
      <c r="SY23">
        <v>82292</v>
      </c>
      <c r="SZ23">
        <v>226</v>
      </c>
      <c r="TA23">
        <v>44297</v>
      </c>
      <c r="TB23">
        <v>82535</v>
      </c>
      <c r="TC23">
        <v>239</v>
      </c>
      <c r="TD23">
        <v>44299</v>
      </c>
      <c r="TE23">
        <v>83259</v>
      </c>
      <c r="TF23">
        <v>325</v>
      </c>
      <c r="TG23">
        <v>44300</v>
      </c>
      <c r="TH23">
        <v>83607</v>
      </c>
      <c r="TI23">
        <v>345</v>
      </c>
      <c r="TJ23">
        <v>44301</v>
      </c>
      <c r="TK23">
        <v>83883</v>
      </c>
      <c r="TL23">
        <v>274</v>
      </c>
      <c r="TM23">
        <v>44302</v>
      </c>
      <c r="TN23">
        <v>84148</v>
      </c>
      <c r="TO23">
        <v>264</v>
      </c>
      <c r="TP23">
        <v>44304</v>
      </c>
      <c r="TQ23">
        <v>84476</v>
      </c>
      <c r="TR23">
        <v>155</v>
      </c>
      <c r="TS23">
        <v>44305</v>
      </c>
      <c r="TT23">
        <v>84764</v>
      </c>
      <c r="TU23">
        <v>284</v>
      </c>
      <c r="TV23">
        <v>44305</v>
      </c>
      <c r="TW23">
        <v>84770</v>
      </c>
      <c r="TX23">
        <v>284</v>
      </c>
      <c r="TY23">
        <v>44306</v>
      </c>
      <c r="TZ23">
        <v>85055</v>
      </c>
      <c r="UA23">
        <v>285</v>
      </c>
      <c r="UB23">
        <v>44308</v>
      </c>
      <c r="UC23">
        <v>85557</v>
      </c>
      <c r="UD23">
        <v>260</v>
      </c>
      <c r="UE23">
        <v>44308</v>
      </c>
      <c r="UF23">
        <v>85556</v>
      </c>
      <c r="UG23">
        <v>260</v>
      </c>
      <c r="UH23">
        <v>44309</v>
      </c>
      <c r="UI23">
        <v>85816</v>
      </c>
      <c r="UJ23">
        <v>257</v>
      </c>
      <c r="UK23">
        <v>44310</v>
      </c>
      <c r="UL23">
        <v>85972</v>
      </c>
      <c r="UM23">
        <v>154</v>
      </c>
      <c r="UN23">
        <v>44314</v>
      </c>
      <c r="UO23">
        <v>86863</v>
      </c>
      <c r="UP23">
        <v>274</v>
      </c>
      <c r="UQ23">
        <v>44315</v>
      </c>
      <c r="UR23">
        <v>87068</v>
      </c>
      <c r="US23">
        <v>201</v>
      </c>
      <c r="UT23">
        <v>44316</v>
      </c>
      <c r="UU23">
        <v>87259</v>
      </c>
      <c r="UV23">
        <v>195</v>
      </c>
      <c r="UW23">
        <v>44317</v>
      </c>
      <c r="UX23">
        <v>87363</v>
      </c>
      <c r="UY23">
        <v>105</v>
      </c>
      <c r="UZ23">
        <v>44319</v>
      </c>
      <c r="VA23">
        <v>87819</v>
      </c>
      <c r="VB23">
        <v>319</v>
      </c>
      <c r="VC23">
        <v>44319</v>
      </c>
      <c r="VD23">
        <v>87814</v>
      </c>
      <c r="VE23">
        <v>319</v>
      </c>
      <c r="VF23">
        <v>44320</v>
      </c>
      <c r="VG23">
        <v>88021</v>
      </c>
      <c r="VH23">
        <v>206</v>
      </c>
      <c r="VI23">
        <v>44322</v>
      </c>
      <c r="VJ23">
        <v>88526</v>
      </c>
      <c r="VK23">
        <v>238</v>
      </c>
      <c r="VL23">
        <v>44322</v>
      </c>
      <c r="VM23">
        <v>88522</v>
      </c>
      <c r="VN23">
        <v>237</v>
      </c>
      <c r="VO23">
        <v>44323</v>
      </c>
      <c r="VP23">
        <v>88733</v>
      </c>
      <c r="VQ23">
        <v>214</v>
      </c>
      <c r="VR23">
        <v>44324</v>
      </c>
      <c r="VS23">
        <v>88863</v>
      </c>
      <c r="VT23">
        <v>129</v>
      </c>
      <c r="VU23">
        <v>44326</v>
      </c>
      <c r="VV23">
        <v>89254</v>
      </c>
      <c r="VW23">
        <v>258</v>
      </c>
      <c r="VX23">
        <v>44326</v>
      </c>
      <c r="VY23">
        <v>89256</v>
      </c>
      <c r="VZ23">
        <v>257</v>
      </c>
      <c r="WA23">
        <v>44327</v>
      </c>
      <c r="WB23">
        <v>89473</v>
      </c>
      <c r="WC23">
        <v>214</v>
      </c>
      <c r="WD23">
        <v>44328</v>
      </c>
      <c r="WE23">
        <v>89728</v>
      </c>
      <c r="WF23">
        <v>255</v>
      </c>
      <c r="WG23">
        <v>44329</v>
      </c>
      <c r="WH23">
        <v>89883</v>
      </c>
      <c r="WI23">
        <v>155</v>
      </c>
      <c r="WJ23">
        <v>44331</v>
      </c>
      <c r="WK23">
        <v>90286</v>
      </c>
      <c r="WL23">
        <v>158</v>
      </c>
      <c r="WM23">
        <v>44331</v>
      </c>
      <c r="WN23">
        <v>90288</v>
      </c>
      <c r="WO23">
        <v>159</v>
      </c>
      <c r="WP23">
        <v>44334</v>
      </c>
      <c r="WQ23">
        <v>90922</v>
      </c>
      <c r="WR23">
        <v>217</v>
      </c>
      <c r="WS23">
        <v>44335</v>
      </c>
      <c r="WT23">
        <v>91156</v>
      </c>
      <c r="WU23">
        <v>230</v>
      </c>
      <c r="WV23">
        <v>44336</v>
      </c>
      <c r="WW23">
        <v>91374</v>
      </c>
      <c r="WX23">
        <v>215</v>
      </c>
      <c r="WY23">
        <v>44337</v>
      </c>
      <c r="WZ23">
        <v>91547</v>
      </c>
      <c r="XA23">
        <v>170</v>
      </c>
      <c r="XB23">
        <v>44338</v>
      </c>
      <c r="XC23">
        <v>91652</v>
      </c>
      <c r="XD23">
        <v>106</v>
      </c>
      <c r="XE23">
        <v>44340</v>
      </c>
      <c r="XF23">
        <v>91933</v>
      </c>
      <c r="XG23">
        <v>189</v>
      </c>
      <c r="XH23">
        <v>44340</v>
      </c>
      <c r="XI23">
        <v>91939</v>
      </c>
      <c r="XJ23">
        <v>189</v>
      </c>
      <c r="XK23">
        <v>44341</v>
      </c>
      <c r="XL23">
        <v>92091</v>
      </c>
      <c r="XM23">
        <v>152</v>
      </c>
      <c r="XN23">
        <v>44342</v>
      </c>
      <c r="XO23">
        <v>92235</v>
      </c>
      <c r="XP23">
        <v>143</v>
      </c>
      <c r="XQ23">
        <v>44343</v>
      </c>
      <c r="XR23">
        <v>92363</v>
      </c>
      <c r="XS23">
        <v>127</v>
      </c>
      <c r="XT23">
        <v>44344</v>
      </c>
      <c r="XU23">
        <v>92502</v>
      </c>
      <c r="XV23">
        <v>136</v>
      </c>
      <c r="XW23">
        <v>44345</v>
      </c>
      <c r="XX23">
        <v>92569</v>
      </c>
      <c r="XY23">
        <v>64</v>
      </c>
      <c r="XZ23">
        <v>44346</v>
      </c>
      <c r="YA23">
        <v>92649</v>
      </c>
      <c r="YB23">
        <v>79</v>
      </c>
      <c r="YC23">
        <v>44348</v>
      </c>
      <c r="YD23">
        <v>92917</v>
      </c>
      <c r="YE23">
        <v>122</v>
      </c>
      <c r="YF23">
        <v>44349</v>
      </c>
      <c r="YG23">
        <v>93037</v>
      </c>
      <c r="YH23">
        <v>118</v>
      </c>
      <c r="YI23">
        <v>44350</v>
      </c>
      <c r="YJ23">
        <v>93150</v>
      </c>
      <c r="YK23">
        <v>111</v>
      </c>
      <c r="YL23">
        <v>44351</v>
      </c>
      <c r="YM23">
        <v>93248</v>
      </c>
      <c r="YN23">
        <v>99</v>
      </c>
      <c r="YO23">
        <v>44352</v>
      </c>
      <c r="YP23">
        <v>93316</v>
      </c>
      <c r="YQ23">
        <v>65</v>
      </c>
      <c r="YR23">
        <v>44353</v>
      </c>
      <c r="YS23">
        <v>93380</v>
      </c>
      <c r="YT23">
        <v>60</v>
      </c>
    </row>
    <row r="24" spans="2:670">
      <c r="B24" t="str">
        <f t="shared" ca="1" si="2"/>
        <v>Ma 7</v>
      </c>
      <c r="C24" s="4">
        <f t="shared" ca="1" si="0"/>
        <v>44354</v>
      </c>
      <c r="D24" s="11">
        <f t="shared" ca="1" si="1"/>
        <v>93524</v>
      </c>
      <c r="E24">
        <f t="shared" ca="1" si="3"/>
        <v>136</v>
      </c>
      <c r="F24" s="11">
        <f t="shared" ca="1" si="4"/>
        <v>0</v>
      </c>
      <c r="G24" s="11">
        <f t="shared" ca="1" si="5"/>
        <v>136</v>
      </c>
      <c r="N24" s="16">
        <v>44354</v>
      </c>
      <c r="O24">
        <v>93516</v>
      </c>
      <c r="P24">
        <v>136</v>
      </c>
      <c r="Q24" s="16">
        <v>44354</v>
      </c>
      <c r="R24">
        <v>93516</v>
      </c>
      <c r="S24">
        <v>136</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v>44285</v>
      </c>
      <c r="RU24">
        <v>77929</v>
      </c>
      <c r="RV24">
        <v>567</v>
      </c>
      <c r="RW24">
        <v>44286</v>
      </c>
      <c r="RX24">
        <v>78479</v>
      </c>
      <c r="RY24">
        <v>548</v>
      </c>
      <c r="RZ24">
        <v>44287</v>
      </c>
      <c r="SA24">
        <v>78967</v>
      </c>
      <c r="SB24">
        <v>487</v>
      </c>
      <c r="SC24">
        <v>44288</v>
      </c>
      <c r="SD24">
        <v>79329</v>
      </c>
      <c r="SE24">
        <v>361</v>
      </c>
      <c r="SF24">
        <v>44289</v>
      </c>
      <c r="SG24">
        <v>79645</v>
      </c>
      <c r="SH24">
        <v>315</v>
      </c>
      <c r="SI24">
        <v>44290</v>
      </c>
      <c r="SJ24">
        <v>79965</v>
      </c>
      <c r="SK24">
        <v>319</v>
      </c>
      <c r="SL24">
        <v>44292</v>
      </c>
      <c r="SM24">
        <v>80861</v>
      </c>
      <c r="SN24">
        <v>537</v>
      </c>
      <c r="SO24">
        <v>44293</v>
      </c>
      <c r="SP24">
        <v>81307</v>
      </c>
      <c r="SQ24">
        <v>427</v>
      </c>
      <c r="SR24">
        <v>44294</v>
      </c>
      <c r="SS24">
        <v>81714</v>
      </c>
      <c r="ST24">
        <v>400</v>
      </c>
      <c r="SU24">
        <v>44295</v>
      </c>
      <c r="SV24">
        <v>82061</v>
      </c>
      <c r="SW24">
        <v>347</v>
      </c>
      <c r="SX24">
        <v>44297</v>
      </c>
      <c r="SY24">
        <v>82530</v>
      </c>
      <c r="SZ24">
        <v>238</v>
      </c>
      <c r="TA24">
        <v>44298</v>
      </c>
      <c r="TB24">
        <v>82932</v>
      </c>
      <c r="TC24">
        <v>397</v>
      </c>
      <c r="TD24">
        <v>44300</v>
      </c>
      <c r="TE24">
        <v>83604</v>
      </c>
      <c r="TF24">
        <v>345</v>
      </c>
      <c r="TG24">
        <v>44301</v>
      </c>
      <c r="TH24">
        <v>83881</v>
      </c>
      <c r="TI24">
        <v>274</v>
      </c>
      <c r="TJ24">
        <v>44302</v>
      </c>
      <c r="TK24">
        <v>84147</v>
      </c>
      <c r="TL24">
        <v>264</v>
      </c>
      <c r="TM24">
        <v>44303</v>
      </c>
      <c r="TN24">
        <v>84317</v>
      </c>
      <c r="TO24">
        <v>169</v>
      </c>
      <c r="TP24">
        <v>44305</v>
      </c>
      <c r="TQ24">
        <v>84760</v>
      </c>
      <c r="TR24">
        <v>284</v>
      </c>
      <c r="TS24">
        <v>44306</v>
      </c>
      <c r="TT24">
        <v>85050</v>
      </c>
      <c r="TU24">
        <v>286</v>
      </c>
      <c r="TV24">
        <v>44306</v>
      </c>
      <c r="TW24">
        <v>85056</v>
      </c>
      <c r="TX24">
        <v>286</v>
      </c>
      <c r="TY24">
        <v>44307</v>
      </c>
      <c r="TZ24">
        <v>85298</v>
      </c>
      <c r="UA24">
        <v>243</v>
      </c>
      <c r="UB24">
        <v>44309</v>
      </c>
      <c r="UC24">
        <v>85814</v>
      </c>
      <c r="UD24">
        <v>257</v>
      </c>
      <c r="UE24">
        <v>44309</v>
      </c>
      <c r="UF24">
        <v>85813</v>
      </c>
      <c r="UG24">
        <v>257</v>
      </c>
      <c r="UH24">
        <v>44310</v>
      </c>
      <c r="UI24">
        <v>85969</v>
      </c>
      <c r="UJ24">
        <v>153</v>
      </c>
      <c r="UK24">
        <v>44311</v>
      </c>
      <c r="UL24">
        <v>86114</v>
      </c>
      <c r="UM24">
        <v>142</v>
      </c>
      <c r="UN24">
        <v>44315</v>
      </c>
      <c r="UO24">
        <v>87062</v>
      </c>
      <c r="UP24">
        <v>199</v>
      </c>
      <c r="UQ24">
        <v>44316</v>
      </c>
      <c r="UR24">
        <v>87263</v>
      </c>
      <c r="US24">
        <v>195</v>
      </c>
      <c r="UT24">
        <v>44317</v>
      </c>
      <c r="UU24">
        <v>87364</v>
      </c>
      <c r="UV24">
        <v>105</v>
      </c>
      <c r="UW24">
        <v>44318</v>
      </c>
      <c r="UX24">
        <v>87499</v>
      </c>
      <c r="UY24">
        <v>136</v>
      </c>
      <c r="UZ24">
        <v>44320</v>
      </c>
      <c r="VA24">
        <v>88023</v>
      </c>
      <c r="VB24">
        <v>204</v>
      </c>
      <c r="VC24">
        <v>44320</v>
      </c>
      <c r="VD24">
        <v>88018</v>
      </c>
      <c r="VE24">
        <v>204</v>
      </c>
      <c r="VF24">
        <v>44321</v>
      </c>
      <c r="VG24">
        <v>88291</v>
      </c>
      <c r="VH24">
        <v>270</v>
      </c>
      <c r="VI24">
        <v>44323</v>
      </c>
      <c r="VJ24">
        <v>88742</v>
      </c>
      <c r="VK24">
        <v>216</v>
      </c>
      <c r="VL24">
        <v>44323</v>
      </c>
      <c r="VM24">
        <v>88738</v>
      </c>
      <c r="VN24">
        <v>216</v>
      </c>
      <c r="VO24">
        <v>44324</v>
      </c>
      <c r="VP24">
        <v>88862</v>
      </c>
      <c r="VQ24">
        <v>129</v>
      </c>
      <c r="VR24">
        <v>44325</v>
      </c>
      <c r="VS24">
        <v>88991</v>
      </c>
      <c r="VT24">
        <v>128</v>
      </c>
      <c r="VU24">
        <v>44327</v>
      </c>
      <c r="VV24">
        <v>89468</v>
      </c>
      <c r="VW24">
        <v>214</v>
      </c>
      <c r="VX24">
        <v>44327</v>
      </c>
      <c r="VY24">
        <v>89470</v>
      </c>
      <c r="VZ24">
        <v>214</v>
      </c>
      <c r="WA24">
        <v>44328</v>
      </c>
      <c r="WB24">
        <v>89729</v>
      </c>
      <c r="WC24">
        <v>256</v>
      </c>
      <c r="WD24">
        <v>44329</v>
      </c>
      <c r="WE24">
        <v>89883</v>
      </c>
      <c r="WF24">
        <v>155</v>
      </c>
      <c r="WG24">
        <v>44330</v>
      </c>
      <c r="WH24">
        <v>90128</v>
      </c>
      <c r="WI24">
        <v>245</v>
      </c>
      <c r="WJ24">
        <v>44332</v>
      </c>
      <c r="WK24">
        <v>90418</v>
      </c>
      <c r="WL24">
        <v>132</v>
      </c>
      <c r="WM24">
        <v>44332</v>
      </c>
      <c r="WN24">
        <v>90421</v>
      </c>
      <c r="WO24">
        <v>133</v>
      </c>
      <c r="WP24">
        <v>44335</v>
      </c>
      <c r="WQ24">
        <v>91153</v>
      </c>
      <c r="WR24">
        <v>231</v>
      </c>
      <c r="WS24">
        <v>44336</v>
      </c>
      <c r="WT24">
        <v>91371</v>
      </c>
      <c r="WU24">
        <v>215</v>
      </c>
      <c r="WV24">
        <v>44337</v>
      </c>
      <c r="WW24">
        <v>91543</v>
      </c>
      <c r="WX24">
        <v>169</v>
      </c>
      <c r="WY24">
        <v>44338</v>
      </c>
      <c r="WZ24">
        <v>91653</v>
      </c>
      <c r="XA24">
        <v>106</v>
      </c>
      <c r="XB24">
        <v>44339</v>
      </c>
      <c r="XC24">
        <v>91744</v>
      </c>
      <c r="XD24">
        <v>92</v>
      </c>
      <c r="XE24">
        <v>44341</v>
      </c>
      <c r="XF24">
        <v>92085</v>
      </c>
      <c r="XG24">
        <v>152</v>
      </c>
      <c r="XH24">
        <v>44341</v>
      </c>
      <c r="XI24">
        <v>92091</v>
      </c>
      <c r="XJ24">
        <v>152</v>
      </c>
      <c r="XK24">
        <v>44342</v>
      </c>
      <c r="XL24">
        <v>92234</v>
      </c>
      <c r="XM24">
        <v>143</v>
      </c>
      <c r="XN24">
        <v>44343</v>
      </c>
      <c r="XO24">
        <v>92362</v>
      </c>
      <c r="XP24">
        <v>127</v>
      </c>
      <c r="XQ24">
        <v>44344</v>
      </c>
      <c r="XR24">
        <v>92499</v>
      </c>
      <c r="XS24">
        <v>136</v>
      </c>
      <c r="XT24">
        <v>44345</v>
      </c>
      <c r="XU24">
        <v>92566</v>
      </c>
      <c r="XV24">
        <v>64</v>
      </c>
      <c r="XW24">
        <v>44346</v>
      </c>
      <c r="XX24">
        <v>92648</v>
      </c>
      <c r="XY24">
        <v>79</v>
      </c>
      <c r="XZ24">
        <v>44347</v>
      </c>
      <c r="YA24">
        <v>92793</v>
      </c>
      <c r="YB24">
        <v>144</v>
      </c>
      <c r="YC24">
        <v>44349</v>
      </c>
      <c r="YD24">
        <v>93036</v>
      </c>
      <c r="YE24">
        <v>119</v>
      </c>
      <c r="YF24">
        <v>44350</v>
      </c>
      <c r="YG24">
        <v>93147</v>
      </c>
      <c r="YH24">
        <v>110</v>
      </c>
      <c r="YI24">
        <v>44351</v>
      </c>
      <c r="YJ24">
        <v>93249</v>
      </c>
      <c r="YK24">
        <v>99</v>
      </c>
      <c r="YL24">
        <v>44352</v>
      </c>
      <c r="YM24">
        <v>93313</v>
      </c>
      <c r="YN24">
        <v>65</v>
      </c>
      <c r="YO24">
        <v>44353</v>
      </c>
      <c r="YP24">
        <v>93376</v>
      </c>
      <c r="YQ24">
        <v>60</v>
      </c>
      <c r="YR24">
        <v>44354</v>
      </c>
      <c r="YS24">
        <v>93516</v>
      </c>
      <c r="YT24">
        <v>136</v>
      </c>
    </row>
    <row r="25" spans="2:670">
      <c r="B25" t="str">
        <f t="shared" ca="1" si="2"/>
        <v>8.6</v>
      </c>
      <c r="C25" s="4">
        <f t="shared" ca="1" si="0"/>
        <v>44355</v>
      </c>
      <c r="D25" s="11">
        <f t="shared" ca="1" si="1"/>
        <v>93626</v>
      </c>
      <c r="E25">
        <f t="shared" ca="1" si="3"/>
        <v>102</v>
      </c>
      <c r="F25" s="11">
        <f t="shared" ca="1" si="4"/>
        <v>0</v>
      </c>
      <c r="G25" s="11">
        <f t="shared" ca="1" si="5"/>
        <v>102</v>
      </c>
      <c r="J25" s="10"/>
      <c r="K25" s="10">
        <f ca="1">SUM(E25:E31)</f>
        <v>499</v>
      </c>
      <c r="L25" s="10" t="str">
        <f ca="1">TEXT(K25/K18-1,"0 %")</f>
        <v>-30 %</v>
      </c>
      <c r="N25" s="16">
        <v>44355</v>
      </c>
      <c r="O25">
        <v>93618</v>
      </c>
      <c r="P25">
        <v>102</v>
      </c>
      <c r="Q25" s="16">
        <v>44355</v>
      </c>
      <c r="R25">
        <v>93618</v>
      </c>
      <c r="S25">
        <v>102</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v>44286</v>
      </c>
      <c r="RU25">
        <v>78477</v>
      </c>
      <c r="RV25">
        <v>548</v>
      </c>
      <c r="RW25">
        <v>44287</v>
      </c>
      <c r="RX25">
        <v>78966</v>
      </c>
      <c r="RY25">
        <v>487</v>
      </c>
      <c r="RZ25">
        <v>44288</v>
      </c>
      <c r="SA25">
        <v>79328</v>
      </c>
      <c r="SB25">
        <v>361</v>
      </c>
      <c r="SC25">
        <v>44289</v>
      </c>
      <c r="SD25">
        <v>79644</v>
      </c>
      <c r="SE25">
        <v>315</v>
      </c>
      <c r="SF25">
        <v>44290</v>
      </c>
      <c r="SG25">
        <v>79966</v>
      </c>
      <c r="SH25">
        <v>321</v>
      </c>
      <c r="SI25">
        <v>44291</v>
      </c>
      <c r="SJ25">
        <v>80325</v>
      </c>
      <c r="SK25">
        <v>360</v>
      </c>
      <c r="SL25">
        <v>44293</v>
      </c>
      <c r="SM25">
        <v>81288</v>
      </c>
      <c r="SN25">
        <v>427</v>
      </c>
      <c r="SO25">
        <v>44294</v>
      </c>
      <c r="SP25">
        <v>81707</v>
      </c>
      <c r="SQ25">
        <v>400</v>
      </c>
      <c r="SR25">
        <v>44295</v>
      </c>
      <c r="SS25">
        <v>82060</v>
      </c>
      <c r="ST25">
        <v>346</v>
      </c>
      <c r="SU25">
        <v>44296</v>
      </c>
      <c r="SV25">
        <v>82288</v>
      </c>
      <c r="SW25">
        <v>227</v>
      </c>
      <c r="SX25">
        <v>44298</v>
      </c>
      <c r="SY25">
        <v>82929</v>
      </c>
      <c r="SZ25">
        <v>399</v>
      </c>
      <c r="TA25">
        <v>44299</v>
      </c>
      <c r="TB25">
        <v>83257</v>
      </c>
      <c r="TC25">
        <v>325</v>
      </c>
      <c r="TD25">
        <v>44301</v>
      </c>
      <c r="TE25">
        <v>83877</v>
      </c>
      <c r="TF25">
        <v>273</v>
      </c>
      <c r="TG25">
        <v>44302</v>
      </c>
      <c r="TH25">
        <v>84145</v>
      </c>
      <c r="TI25">
        <v>264</v>
      </c>
      <c r="TJ25">
        <v>44303</v>
      </c>
      <c r="TK25">
        <v>84316</v>
      </c>
      <c r="TL25">
        <v>169</v>
      </c>
      <c r="TM25">
        <v>44304</v>
      </c>
      <c r="TN25">
        <v>84473</v>
      </c>
      <c r="TO25">
        <v>156</v>
      </c>
      <c r="TP25">
        <v>44306</v>
      </c>
      <c r="TQ25">
        <v>85046</v>
      </c>
      <c r="TR25">
        <v>286</v>
      </c>
      <c r="TS25">
        <v>44307</v>
      </c>
      <c r="TT25">
        <v>85293</v>
      </c>
      <c r="TU25">
        <v>243</v>
      </c>
      <c r="TV25">
        <v>44307</v>
      </c>
      <c r="TW25">
        <v>85299</v>
      </c>
      <c r="TX25">
        <v>243</v>
      </c>
      <c r="TY25">
        <v>44308</v>
      </c>
      <c r="TZ25">
        <v>85558</v>
      </c>
      <c r="UA25">
        <v>260</v>
      </c>
      <c r="UB25">
        <v>44310</v>
      </c>
      <c r="UC25">
        <v>85966</v>
      </c>
      <c r="UD25">
        <v>152</v>
      </c>
      <c r="UE25">
        <v>44310</v>
      </c>
      <c r="UF25">
        <v>85965</v>
      </c>
      <c r="UG25">
        <v>152</v>
      </c>
      <c r="UH25">
        <v>44311</v>
      </c>
      <c r="UI25">
        <v>86111</v>
      </c>
      <c r="UJ25">
        <v>142</v>
      </c>
      <c r="UK25">
        <v>44312</v>
      </c>
      <c r="UL25">
        <v>86356</v>
      </c>
      <c r="UM25">
        <v>242</v>
      </c>
      <c r="UN25">
        <v>44316</v>
      </c>
      <c r="UO25">
        <v>87260</v>
      </c>
      <c r="UP25">
        <v>198</v>
      </c>
      <c r="UQ25">
        <v>44317</v>
      </c>
      <c r="UR25">
        <v>87368</v>
      </c>
      <c r="US25">
        <v>105</v>
      </c>
      <c r="UT25">
        <v>44318</v>
      </c>
      <c r="UU25">
        <v>87500</v>
      </c>
      <c r="UV25">
        <v>136</v>
      </c>
      <c r="UW25">
        <v>44319</v>
      </c>
      <c r="UX25">
        <v>87818</v>
      </c>
      <c r="UY25">
        <v>319</v>
      </c>
      <c r="UZ25">
        <v>44321</v>
      </c>
      <c r="VA25">
        <v>88293</v>
      </c>
      <c r="VB25">
        <v>270</v>
      </c>
      <c r="VC25">
        <v>44321</v>
      </c>
      <c r="VD25">
        <v>88288</v>
      </c>
      <c r="VE25">
        <v>270</v>
      </c>
      <c r="VF25">
        <v>44322</v>
      </c>
      <c r="VG25">
        <v>88529</v>
      </c>
      <c r="VH25">
        <v>238</v>
      </c>
      <c r="VI25">
        <v>44324</v>
      </c>
      <c r="VJ25">
        <v>88872</v>
      </c>
      <c r="VK25">
        <v>130</v>
      </c>
      <c r="VL25">
        <v>44324</v>
      </c>
      <c r="VM25">
        <v>88868</v>
      </c>
      <c r="VN25">
        <v>130</v>
      </c>
      <c r="VO25">
        <v>44325</v>
      </c>
      <c r="VP25">
        <v>88991</v>
      </c>
      <c r="VQ25">
        <v>129</v>
      </c>
      <c r="VR25">
        <v>44326</v>
      </c>
      <c r="VS25">
        <v>89246</v>
      </c>
      <c r="VT25">
        <v>255</v>
      </c>
      <c r="VU25">
        <v>44328</v>
      </c>
      <c r="VV25">
        <v>89723</v>
      </c>
      <c r="VW25">
        <v>255</v>
      </c>
      <c r="VX25">
        <v>44328</v>
      </c>
      <c r="VY25">
        <v>89725</v>
      </c>
      <c r="VZ25">
        <v>255</v>
      </c>
      <c r="WA25">
        <v>44329</v>
      </c>
      <c r="WB25">
        <v>89884</v>
      </c>
      <c r="WC25">
        <v>155</v>
      </c>
      <c r="WD25">
        <v>44330</v>
      </c>
      <c r="WE25">
        <v>90127</v>
      </c>
      <c r="WF25">
        <v>244</v>
      </c>
      <c r="WG25">
        <v>44331</v>
      </c>
      <c r="WH25">
        <v>90286</v>
      </c>
      <c r="WI25">
        <v>158</v>
      </c>
      <c r="WJ25">
        <v>44333</v>
      </c>
      <c r="WK25">
        <v>90700</v>
      </c>
      <c r="WL25">
        <v>282</v>
      </c>
      <c r="WM25">
        <v>44333</v>
      </c>
      <c r="WN25">
        <v>90704</v>
      </c>
      <c r="WO25">
        <v>283</v>
      </c>
      <c r="WP25">
        <v>44336</v>
      </c>
      <c r="WQ25">
        <v>91367</v>
      </c>
      <c r="WR25">
        <v>214</v>
      </c>
      <c r="WS25">
        <v>44337</v>
      </c>
      <c r="WT25">
        <v>91539</v>
      </c>
      <c r="WU25">
        <v>168</v>
      </c>
      <c r="WV25">
        <v>44338</v>
      </c>
      <c r="WW25">
        <v>91649</v>
      </c>
      <c r="WX25">
        <v>106</v>
      </c>
      <c r="WY25">
        <v>44339</v>
      </c>
      <c r="WZ25">
        <v>91745</v>
      </c>
      <c r="XA25">
        <v>92</v>
      </c>
      <c r="XB25">
        <v>44340</v>
      </c>
      <c r="XC25">
        <v>91933</v>
      </c>
      <c r="XD25">
        <v>189</v>
      </c>
      <c r="XE25">
        <v>44342</v>
      </c>
      <c r="XF25">
        <v>92227</v>
      </c>
      <c r="XG25">
        <v>142</v>
      </c>
      <c r="XH25">
        <v>44342</v>
      </c>
      <c r="XI25">
        <v>92233</v>
      </c>
      <c r="XJ25">
        <v>142</v>
      </c>
      <c r="XK25">
        <v>44343</v>
      </c>
      <c r="XL25">
        <v>92360</v>
      </c>
      <c r="XM25">
        <v>126</v>
      </c>
      <c r="XN25">
        <v>44344</v>
      </c>
      <c r="XO25">
        <v>92498</v>
      </c>
      <c r="XP25">
        <v>136</v>
      </c>
      <c r="XQ25">
        <v>44345</v>
      </c>
      <c r="XR25">
        <v>92564</v>
      </c>
      <c r="XS25">
        <v>65</v>
      </c>
      <c r="XT25">
        <v>44346</v>
      </c>
      <c r="XU25">
        <v>92644</v>
      </c>
      <c r="XV25">
        <v>78</v>
      </c>
      <c r="XW25">
        <v>44347</v>
      </c>
      <c r="XX25">
        <v>92792</v>
      </c>
      <c r="XY25">
        <v>144</v>
      </c>
      <c r="XZ25">
        <v>44348</v>
      </c>
      <c r="YA25">
        <v>92915</v>
      </c>
      <c r="YB25">
        <v>122</v>
      </c>
      <c r="YC25">
        <v>44350</v>
      </c>
      <c r="YD25">
        <v>93146</v>
      </c>
      <c r="YE25">
        <v>110</v>
      </c>
      <c r="YF25">
        <v>44351</v>
      </c>
      <c r="YG25">
        <v>93246</v>
      </c>
      <c r="YH25">
        <v>99</v>
      </c>
      <c r="YI25">
        <v>44352</v>
      </c>
      <c r="YJ25">
        <v>93314</v>
      </c>
      <c r="YK25">
        <v>65</v>
      </c>
      <c r="YL25">
        <v>44353</v>
      </c>
      <c r="YM25">
        <v>93374</v>
      </c>
      <c r="YN25">
        <v>61</v>
      </c>
      <c r="YO25">
        <v>44354</v>
      </c>
      <c r="YP25">
        <v>93513</v>
      </c>
      <c r="YQ25">
        <v>137</v>
      </c>
      <c r="YR25">
        <v>44355</v>
      </c>
      <c r="YS25">
        <v>93618</v>
      </c>
      <c r="YT25">
        <v>102</v>
      </c>
    </row>
    <row r="26" spans="2:670">
      <c r="B26" t="str">
        <f t="shared" ca="1" si="2"/>
        <v>9.6</v>
      </c>
      <c r="C26" s="4">
        <f t="shared" ca="1" si="0"/>
        <v>44356</v>
      </c>
      <c r="D26" s="11">
        <f t="shared" ca="1" si="1"/>
        <v>93708</v>
      </c>
      <c r="E26">
        <f t="shared" ca="1" si="3"/>
        <v>82</v>
      </c>
      <c r="F26" s="11">
        <f t="shared" ca="1" si="4"/>
        <v>0</v>
      </c>
      <c r="G26" s="11">
        <f t="shared" ca="1" si="5"/>
        <v>82</v>
      </c>
      <c r="L26" s="3"/>
      <c r="N26" s="16">
        <v>44356</v>
      </c>
      <c r="O26">
        <v>93700</v>
      </c>
      <c r="P26">
        <v>82</v>
      </c>
      <c r="Q26" s="16">
        <v>44356</v>
      </c>
      <c r="R26">
        <v>93700</v>
      </c>
      <c r="S26">
        <v>82</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v>44287</v>
      </c>
      <c r="RU26">
        <v>78966</v>
      </c>
      <c r="RV26">
        <v>489</v>
      </c>
      <c r="RW26">
        <v>44288</v>
      </c>
      <c r="RX26">
        <v>79327</v>
      </c>
      <c r="RY26">
        <v>361</v>
      </c>
      <c r="RZ26">
        <v>44289</v>
      </c>
      <c r="SA26">
        <v>79643</v>
      </c>
      <c r="SB26">
        <v>315</v>
      </c>
      <c r="SC26">
        <v>44290</v>
      </c>
      <c r="SD26">
        <v>79964</v>
      </c>
      <c r="SE26">
        <v>320</v>
      </c>
      <c r="SF26">
        <v>44291</v>
      </c>
      <c r="SG26">
        <v>80326</v>
      </c>
      <c r="SH26">
        <v>360</v>
      </c>
      <c r="SI26">
        <v>44292</v>
      </c>
      <c r="SJ26">
        <v>80861</v>
      </c>
      <c r="SK26">
        <v>536</v>
      </c>
      <c r="SL26">
        <v>44294</v>
      </c>
      <c r="SM26">
        <v>81689</v>
      </c>
      <c r="SN26">
        <v>401</v>
      </c>
      <c r="SO26">
        <v>44295</v>
      </c>
      <c r="SP26">
        <v>82054</v>
      </c>
      <c r="SQ26">
        <v>347</v>
      </c>
      <c r="SR26">
        <v>44296</v>
      </c>
      <c r="SS26">
        <v>82286</v>
      </c>
      <c r="ST26">
        <v>226</v>
      </c>
      <c r="SU26">
        <v>44297</v>
      </c>
      <c r="SV26">
        <v>82526</v>
      </c>
      <c r="SW26">
        <v>238</v>
      </c>
      <c r="SX26">
        <v>44299</v>
      </c>
      <c r="SY26">
        <v>83257</v>
      </c>
      <c r="SZ26">
        <v>328</v>
      </c>
      <c r="TA26">
        <v>44300</v>
      </c>
      <c r="TB26">
        <v>83602</v>
      </c>
      <c r="TC26">
        <v>345</v>
      </c>
      <c r="TD26">
        <v>44302</v>
      </c>
      <c r="TE26">
        <v>84141</v>
      </c>
      <c r="TF26">
        <v>264</v>
      </c>
      <c r="TG26">
        <v>44303</v>
      </c>
      <c r="TH26">
        <v>84314</v>
      </c>
      <c r="TI26">
        <v>169</v>
      </c>
      <c r="TJ26">
        <v>44304</v>
      </c>
      <c r="TK26">
        <v>84472</v>
      </c>
      <c r="TL26">
        <v>156</v>
      </c>
      <c r="TM26">
        <v>44305</v>
      </c>
      <c r="TN26">
        <v>84756</v>
      </c>
      <c r="TO26">
        <v>283</v>
      </c>
      <c r="TP26">
        <v>44307</v>
      </c>
      <c r="TQ26">
        <v>85289</v>
      </c>
      <c r="TR26">
        <v>243</v>
      </c>
      <c r="TS26">
        <v>44308</v>
      </c>
      <c r="TT26">
        <v>85554</v>
      </c>
      <c r="TU26">
        <v>261</v>
      </c>
      <c r="TV26">
        <v>44308</v>
      </c>
      <c r="TW26">
        <v>85559</v>
      </c>
      <c r="TX26">
        <v>260</v>
      </c>
      <c r="TY26">
        <v>44309</v>
      </c>
      <c r="TZ26">
        <v>85815</v>
      </c>
      <c r="UA26">
        <v>257</v>
      </c>
      <c r="UB26">
        <v>44311</v>
      </c>
      <c r="UC26">
        <v>86106</v>
      </c>
      <c r="UD26">
        <v>140</v>
      </c>
      <c r="UE26">
        <v>44311</v>
      </c>
      <c r="UF26">
        <v>86106</v>
      </c>
      <c r="UG26">
        <v>141</v>
      </c>
      <c r="UH26">
        <v>44312</v>
      </c>
      <c r="UI26">
        <v>86352</v>
      </c>
      <c r="UJ26">
        <v>241</v>
      </c>
      <c r="UK26">
        <v>44313</v>
      </c>
      <c r="UL26">
        <v>86586</v>
      </c>
      <c r="UM26">
        <v>230</v>
      </c>
      <c r="UN26">
        <v>44317</v>
      </c>
      <c r="UO26">
        <v>87365</v>
      </c>
      <c r="UP26">
        <v>105</v>
      </c>
      <c r="UQ26">
        <v>44318</v>
      </c>
      <c r="UR26">
        <v>87506</v>
      </c>
      <c r="US26">
        <v>138</v>
      </c>
      <c r="UT26">
        <v>44319</v>
      </c>
      <c r="UU26">
        <v>87819</v>
      </c>
      <c r="UV26">
        <v>319</v>
      </c>
      <c r="UW26">
        <v>44320</v>
      </c>
      <c r="UX26">
        <v>88022</v>
      </c>
      <c r="UY26">
        <v>204</v>
      </c>
      <c r="UZ26">
        <v>44322</v>
      </c>
      <c r="VA26">
        <v>88531</v>
      </c>
      <c r="VB26">
        <v>238</v>
      </c>
      <c r="VC26">
        <v>44322</v>
      </c>
      <c r="VD26">
        <v>88526</v>
      </c>
      <c r="VE26">
        <v>238</v>
      </c>
      <c r="VF26">
        <v>44323</v>
      </c>
      <c r="VG26">
        <v>88745</v>
      </c>
      <c r="VH26">
        <v>216</v>
      </c>
      <c r="VI26">
        <v>44325</v>
      </c>
      <c r="VJ26">
        <v>89002</v>
      </c>
      <c r="VK26">
        <v>130</v>
      </c>
      <c r="VL26">
        <v>44325</v>
      </c>
      <c r="VM26">
        <v>88999</v>
      </c>
      <c r="VN26">
        <v>131</v>
      </c>
      <c r="VO26">
        <v>44326</v>
      </c>
      <c r="VP26">
        <v>89245</v>
      </c>
      <c r="VQ26">
        <v>254</v>
      </c>
      <c r="VR26">
        <v>44327</v>
      </c>
      <c r="VS26">
        <v>89460</v>
      </c>
      <c r="VT26">
        <v>214</v>
      </c>
      <c r="VU26">
        <v>44329</v>
      </c>
      <c r="VV26">
        <v>89878</v>
      </c>
      <c r="VW26">
        <v>155</v>
      </c>
      <c r="VX26">
        <v>44329</v>
      </c>
      <c r="VY26">
        <v>89880</v>
      </c>
      <c r="VZ26">
        <v>155</v>
      </c>
      <c r="WA26">
        <v>44330</v>
      </c>
      <c r="WB26">
        <v>90128</v>
      </c>
      <c r="WC26">
        <v>244</v>
      </c>
      <c r="WD26">
        <v>44331</v>
      </c>
      <c r="WE26">
        <v>90285</v>
      </c>
      <c r="WF26">
        <v>158</v>
      </c>
      <c r="WG26">
        <v>44332</v>
      </c>
      <c r="WH26">
        <v>90418</v>
      </c>
      <c r="WI26">
        <v>132</v>
      </c>
      <c r="WJ26">
        <v>44334</v>
      </c>
      <c r="WK26">
        <v>90917</v>
      </c>
      <c r="WL26">
        <v>217</v>
      </c>
      <c r="WM26">
        <v>44334</v>
      </c>
      <c r="WN26">
        <v>90921</v>
      </c>
      <c r="WO26">
        <v>217</v>
      </c>
      <c r="WP26">
        <v>44337</v>
      </c>
      <c r="WQ26">
        <v>91535</v>
      </c>
      <c r="WR26">
        <v>168</v>
      </c>
      <c r="WS26">
        <v>44338</v>
      </c>
      <c r="WT26">
        <v>91645</v>
      </c>
      <c r="WU26">
        <v>106</v>
      </c>
      <c r="WV26">
        <v>44339</v>
      </c>
      <c r="WW26">
        <v>91741</v>
      </c>
      <c r="WX26">
        <v>92</v>
      </c>
      <c r="WY26">
        <v>44340</v>
      </c>
      <c r="WZ26">
        <v>91934</v>
      </c>
      <c r="XA26">
        <v>189</v>
      </c>
      <c r="XB26">
        <v>44341</v>
      </c>
      <c r="XC26">
        <v>92085</v>
      </c>
      <c r="XD26">
        <v>152</v>
      </c>
      <c r="XE26">
        <v>44343</v>
      </c>
      <c r="XF26">
        <v>92353</v>
      </c>
      <c r="XG26">
        <v>126</v>
      </c>
      <c r="XH26">
        <v>44343</v>
      </c>
      <c r="XI26">
        <v>92359</v>
      </c>
      <c r="XJ26">
        <v>126</v>
      </c>
      <c r="XK26">
        <v>44344</v>
      </c>
      <c r="XL26">
        <v>92496</v>
      </c>
      <c r="XM26">
        <v>136</v>
      </c>
      <c r="XN26">
        <v>44345</v>
      </c>
      <c r="XO26">
        <v>92563</v>
      </c>
      <c r="XP26">
        <v>65</v>
      </c>
      <c r="XQ26">
        <v>44346</v>
      </c>
      <c r="XR26">
        <v>92643</v>
      </c>
      <c r="XS26">
        <v>79</v>
      </c>
      <c r="XT26">
        <v>44347</v>
      </c>
      <c r="XU26">
        <v>92789</v>
      </c>
      <c r="XV26">
        <v>145</v>
      </c>
      <c r="XW26">
        <v>44348</v>
      </c>
      <c r="XX26">
        <v>92914</v>
      </c>
      <c r="XY26">
        <v>122</v>
      </c>
      <c r="XZ26">
        <v>44349</v>
      </c>
      <c r="YA26">
        <v>93034</v>
      </c>
      <c r="YB26">
        <v>119</v>
      </c>
      <c r="YC26">
        <v>44351</v>
      </c>
      <c r="YD26">
        <v>93245</v>
      </c>
      <c r="YE26">
        <v>99</v>
      </c>
      <c r="YF26">
        <v>44352</v>
      </c>
      <c r="YG26">
        <v>93311</v>
      </c>
      <c r="YH26">
        <v>65</v>
      </c>
      <c r="YI26">
        <v>44353</v>
      </c>
      <c r="YJ26">
        <v>93374</v>
      </c>
      <c r="YK26">
        <v>60</v>
      </c>
      <c r="YL26">
        <v>44354</v>
      </c>
      <c r="YM26">
        <v>93514</v>
      </c>
      <c r="YN26">
        <v>140</v>
      </c>
      <c r="YO26">
        <v>44355</v>
      </c>
      <c r="YP26">
        <v>93614</v>
      </c>
      <c r="YQ26">
        <v>101</v>
      </c>
      <c r="YR26">
        <v>44356</v>
      </c>
      <c r="YS26">
        <v>93700</v>
      </c>
      <c r="YT26">
        <v>82</v>
      </c>
    </row>
    <row r="27" spans="2:670">
      <c r="B27" t="str">
        <f t="shared" ca="1" si="2"/>
        <v>10.6</v>
      </c>
      <c r="C27" s="4">
        <f t="shared" ca="1" si="0"/>
        <v>44357</v>
      </c>
      <c r="D27" s="11">
        <f t="shared" ca="1" si="1"/>
        <v>93786</v>
      </c>
      <c r="E27">
        <f t="shared" ca="1" si="3"/>
        <v>78</v>
      </c>
      <c r="F27" s="11">
        <f t="shared" ca="1" si="4"/>
        <v>1</v>
      </c>
      <c r="G27" s="11">
        <f t="shared" ca="1" si="5"/>
        <v>77</v>
      </c>
      <c r="K27" s="13"/>
      <c r="L27" s="3"/>
      <c r="N27" s="16">
        <v>44357</v>
      </c>
      <c r="O27">
        <v>93777</v>
      </c>
      <c r="P27" s="10">
        <v>77</v>
      </c>
      <c r="Q27" s="16">
        <v>44357</v>
      </c>
      <c r="R27">
        <v>93777</v>
      </c>
      <c r="S27">
        <v>77</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v>44288</v>
      </c>
      <c r="RU27">
        <v>79327</v>
      </c>
      <c r="RV27">
        <v>361</v>
      </c>
      <c r="RW27">
        <v>44289</v>
      </c>
      <c r="RX27">
        <v>79642</v>
      </c>
      <c r="RY27">
        <v>315</v>
      </c>
      <c r="RZ27">
        <v>44290</v>
      </c>
      <c r="SA27">
        <v>79963</v>
      </c>
      <c r="SB27">
        <v>320</v>
      </c>
      <c r="SC27">
        <v>44291</v>
      </c>
      <c r="SD27">
        <v>80326</v>
      </c>
      <c r="SE27">
        <v>362</v>
      </c>
      <c r="SF27">
        <v>44292</v>
      </c>
      <c r="SG27">
        <v>80862</v>
      </c>
      <c r="SH27">
        <v>536</v>
      </c>
      <c r="SI27">
        <v>44293</v>
      </c>
      <c r="SJ27">
        <v>81285</v>
      </c>
      <c r="SK27">
        <v>424</v>
      </c>
      <c r="SL27">
        <v>44295</v>
      </c>
      <c r="SM27">
        <v>82035</v>
      </c>
      <c r="SN27">
        <v>346</v>
      </c>
      <c r="SO27">
        <v>44296</v>
      </c>
      <c r="SP27">
        <v>82278</v>
      </c>
      <c r="SQ27">
        <v>224</v>
      </c>
      <c r="SR27">
        <v>44297</v>
      </c>
      <c r="SS27">
        <v>82524</v>
      </c>
      <c r="ST27">
        <v>238</v>
      </c>
      <c r="SU27">
        <v>44298</v>
      </c>
      <c r="SV27">
        <v>82925</v>
      </c>
      <c r="SW27">
        <v>399</v>
      </c>
      <c r="SX27">
        <v>44300</v>
      </c>
      <c r="SY27">
        <v>83601</v>
      </c>
      <c r="SZ27">
        <v>344</v>
      </c>
      <c r="TA27">
        <v>44301</v>
      </c>
      <c r="TB27">
        <v>83875</v>
      </c>
      <c r="TC27">
        <v>273</v>
      </c>
      <c r="TD27">
        <v>44303</v>
      </c>
      <c r="TE27">
        <v>84312</v>
      </c>
      <c r="TF27">
        <v>171</v>
      </c>
      <c r="TG27">
        <v>44304</v>
      </c>
      <c r="TH27">
        <v>84470</v>
      </c>
      <c r="TI27">
        <v>156</v>
      </c>
      <c r="TJ27">
        <v>44305</v>
      </c>
      <c r="TK27">
        <v>84754</v>
      </c>
      <c r="TL27">
        <v>282</v>
      </c>
      <c r="TM27">
        <v>44306</v>
      </c>
      <c r="TN27">
        <v>85043</v>
      </c>
      <c r="TO27">
        <v>287</v>
      </c>
      <c r="TP27">
        <v>44308</v>
      </c>
      <c r="TQ27">
        <v>85550</v>
      </c>
      <c r="TR27">
        <v>261</v>
      </c>
      <c r="TS27">
        <v>44309</v>
      </c>
      <c r="TT27">
        <v>85812</v>
      </c>
      <c r="TU27">
        <v>258</v>
      </c>
      <c r="TV27">
        <v>44309</v>
      </c>
      <c r="TW27">
        <v>85817</v>
      </c>
      <c r="TX27">
        <v>258</v>
      </c>
      <c r="TY27">
        <v>44310</v>
      </c>
      <c r="TZ27">
        <v>85967</v>
      </c>
      <c r="UA27">
        <v>152</v>
      </c>
      <c r="UB27">
        <v>44312</v>
      </c>
      <c r="UC27">
        <v>86347</v>
      </c>
      <c r="UD27">
        <v>241</v>
      </c>
      <c r="UE27">
        <v>44312</v>
      </c>
      <c r="UF27">
        <v>86347</v>
      </c>
      <c r="UG27">
        <v>241</v>
      </c>
      <c r="UH27">
        <v>44313</v>
      </c>
      <c r="UI27">
        <v>86581</v>
      </c>
      <c r="UJ27">
        <v>229</v>
      </c>
      <c r="UK27">
        <v>44314</v>
      </c>
      <c r="UL27">
        <v>86861</v>
      </c>
      <c r="UM27">
        <v>275</v>
      </c>
      <c r="UN27">
        <v>44318</v>
      </c>
      <c r="UO27">
        <v>87502</v>
      </c>
      <c r="UP27">
        <v>137</v>
      </c>
      <c r="UQ27">
        <v>44319</v>
      </c>
      <c r="UR27">
        <v>87827</v>
      </c>
      <c r="US27">
        <v>321</v>
      </c>
      <c r="UT27">
        <v>44320</v>
      </c>
      <c r="UU27">
        <v>88023</v>
      </c>
      <c r="UV27">
        <v>204</v>
      </c>
      <c r="UW27">
        <v>44321</v>
      </c>
      <c r="UX27">
        <v>88292</v>
      </c>
      <c r="UY27">
        <v>270</v>
      </c>
      <c r="UZ27">
        <v>44323</v>
      </c>
      <c r="VA27">
        <v>88746</v>
      </c>
      <c r="VB27">
        <v>215</v>
      </c>
      <c r="VC27">
        <v>44323</v>
      </c>
      <c r="VD27">
        <v>88741</v>
      </c>
      <c r="VE27">
        <v>215</v>
      </c>
      <c r="VF27">
        <v>44324</v>
      </c>
      <c r="VG27">
        <v>88875</v>
      </c>
      <c r="VH27">
        <v>130</v>
      </c>
      <c r="VI27">
        <v>44326</v>
      </c>
      <c r="VJ27">
        <v>89257</v>
      </c>
      <c r="VK27">
        <v>255</v>
      </c>
      <c r="VL27">
        <v>44326</v>
      </c>
      <c r="VM27">
        <v>89253</v>
      </c>
      <c r="VN27">
        <v>254</v>
      </c>
      <c r="VO27">
        <v>44327</v>
      </c>
      <c r="VP27">
        <v>89460</v>
      </c>
      <c r="VQ27">
        <v>215</v>
      </c>
      <c r="VR27">
        <v>44328</v>
      </c>
      <c r="VS27">
        <v>89715</v>
      </c>
      <c r="VT27">
        <v>255</v>
      </c>
      <c r="VU27">
        <v>44330</v>
      </c>
      <c r="VV27">
        <v>90121</v>
      </c>
      <c r="VW27">
        <v>243</v>
      </c>
      <c r="VX27">
        <v>44330</v>
      </c>
      <c r="VY27">
        <v>90124</v>
      </c>
      <c r="VZ27">
        <v>244</v>
      </c>
      <c r="WA27">
        <v>44331</v>
      </c>
      <c r="WB27">
        <v>90285</v>
      </c>
      <c r="WC27">
        <v>157</v>
      </c>
      <c r="WD27">
        <v>44332</v>
      </c>
      <c r="WE27">
        <v>90417</v>
      </c>
      <c r="WF27">
        <v>132</v>
      </c>
      <c r="WG27">
        <v>44333</v>
      </c>
      <c r="WH27">
        <v>90703</v>
      </c>
      <c r="WI27">
        <v>285</v>
      </c>
      <c r="WJ27">
        <v>44335</v>
      </c>
      <c r="WK27">
        <v>91146</v>
      </c>
      <c r="WL27">
        <v>229</v>
      </c>
      <c r="WM27">
        <v>44335</v>
      </c>
      <c r="WN27">
        <v>91151</v>
      </c>
      <c r="WO27">
        <v>230</v>
      </c>
      <c r="WP27">
        <v>44338</v>
      </c>
      <c r="WQ27">
        <v>91641</v>
      </c>
      <c r="WR27">
        <v>106</v>
      </c>
      <c r="WS27">
        <v>44339</v>
      </c>
      <c r="WT27">
        <v>91737</v>
      </c>
      <c r="WU27">
        <v>92</v>
      </c>
      <c r="WV27">
        <v>44340</v>
      </c>
      <c r="WW27">
        <v>91930</v>
      </c>
      <c r="WX27">
        <v>189</v>
      </c>
      <c r="WY27">
        <v>44341</v>
      </c>
      <c r="WZ27">
        <v>92086</v>
      </c>
      <c r="XA27">
        <v>152</v>
      </c>
      <c r="XB27">
        <v>44342</v>
      </c>
      <c r="XC27">
        <v>92227</v>
      </c>
      <c r="XD27">
        <v>142</v>
      </c>
      <c r="XE27">
        <v>44344</v>
      </c>
      <c r="XF27">
        <v>92489</v>
      </c>
      <c r="XG27">
        <v>136</v>
      </c>
      <c r="XH27">
        <v>44344</v>
      </c>
      <c r="XI27">
        <v>92495</v>
      </c>
      <c r="XJ27">
        <v>136</v>
      </c>
      <c r="XK27">
        <v>44345</v>
      </c>
      <c r="XL27">
        <v>92561</v>
      </c>
      <c r="XM27">
        <v>65</v>
      </c>
      <c r="XN27">
        <v>44346</v>
      </c>
      <c r="XO27">
        <v>92642</v>
      </c>
      <c r="XP27">
        <v>79</v>
      </c>
      <c r="XQ27">
        <v>44347</v>
      </c>
      <c r="XR27">
        <v>92787</v>
      </c>
      <c r="XS27">
        <v>144</v>
      </c>
      <c r="XT27">
        <v>44348</v>
      </c>
      <c r="XU27">
        <v>92912</v>
      </c>
      <c r="XV27">
        <v>123</v>
      </c>
      <c r="XW27">
        <v>44349</v>
      </c>
      <c r="XX27">
        <v>93033</v>
      </c>
      <c r="XY27">
        <v>119</v>
      </c>
      <c r="XZ27">
        <v>44350</v>
      </c>
      <c r="YA27">
        <v>93144</v>
      </c>
      <c r="YB27">
        <v>110</v>
      </c>
      <c r="YC27">
        <v>44352</v>
      </c>
      <c r="YD27">
        <v>93310</v>
      </c>
      <c r="YE27">
        <v>65</v>
      </c>
      <c r="YF27">
        <v>44353</v>
      </c>
      <c r="YG27">
        <v>93371</v>
      </c>
      <c r="YH27">
        <v>60</v>
      </c>
      <c r="YI27">
        <v>44354</v>
      </c>
      <c r="YJ27">
        <v>93515</v>
      </c>
      <c r="YK27">
        <v>141</v>
      </c>
      <c r="YL27">
        <v>44355</v>
      </c>
      <c r="YM27">
        <v>93616</v>
      </c>
      <c r="YN27">
        <v>102</v>
      </c>
      <c r="YO27">
        <v>44356</v>
      </c>
      <c r="YP27">
        <v>93696</v>
      </c>
      <c r="YQ27">
        <v>82</v>
      </c>
      <c r="YR27">
        <v>44357</v>
      </c>
      <c r="YS27">
        <v>93777</v>
      </c>
      <c r="YT27">
        <v>77</v>
      </c>
    </row>
    <row r="28" spans="2:670" s="10" customFormat="1">
      <c r="B28" t="str">
        <f t="shared" ca="1" si="2"/>
        <v>11.6</v>
      </c>
      <c r="C28" s="9">
        <f t="shared" ca="1" si="0"/>
        <v>44358</v>
      </c>
      <c r="D28" s="10">
        <f t="shared" ca="1" si="1"/>
        <v>93856</v>
      </c>
      <c r="E28" s="10">
        <f t="shared" ca="1" si="3"/>
        <v>70</v>
      </c>
      <c r="F28" s="10">
        <f t="shared" ca="1" si="4"/>
        <v>-2</v>
      </c>
      <c r="G28" s="10">
        <f t="shared" ca="1" si="5"/>
        <v>72</v>
      </c>
      <c r="H28" s="10">
        <f ca="1">SUM(E28:E34)</f>
        <v>368</v>
      </c>
      <c r="I28" s="10" t="str">
        <f ca="1">TEXT(H28/H21-1,"0 %")</f>
        <v>-41 %</v>
      </c>
      <c r="L28" s="14"/>
      <c r="M28"/>
      <c r="N28" s="17">
        <v>44358</v>
      </c>
      <c r="O28" s="10">
        <v>93849</v>
      </c>
      <c r="P28">
        <v>72</v>
      </c>
      <c r="Q28" s="17">
        <v>44358</v>
      </c>
      <c r="R28" s="10">
        <v>93849</v>
      </c>
      <c r="S28" s="10">
        <v>72</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0">
        <v>44289</v>
      </c>
      <c r="RU28" s="10">
        <v>79643</v>
      </c>
      <c r="RV28" s="10">
        <v>316</v>
      </c>
      <c r="RW28" s="10">
        <v>44290</v>
      </c>
      <c r="RX28" s="10">
        <v>79962</v>
      </c>
      <c r="RY28" s="10">
        <v>320</v>
      </c>
      <c r="RZ28" s="10">
        <v>44291</v>
      </c>
      <c r="SA28" s="10">
        <v>80325</v>
      </c>
      <c r="SB28" s="10">
        <v>362</v>
      </c>
      <c r="SC28" s="10">
        <v>44292</v>
      </c>
      <c r="SD28" s="10">
        <v>80862</v>
      </c>
      <c r="SE28" s="10">
        <v>536</v>
      </c>
      <c r="SF28" s="10">
        <v>44293</v>
      </c>
      <c r="SG28" s="10">
        <v>81283</v>
      </c>
      <c r="SH28" s="10">
        <v>421</v>
      </c>
      <c r="SI28" s="10">
        <v>44294</v>
      </c>
      <c r="SJ28" s="10">
        <v>81685</v>
      </c>
      <c r="SK28" s="10">
        <v>400</v>
      </c>
      <c r="SL28" s="10">
        <v>44296</v>
      </c>
      <c r="SM28" s="10">
        <v>82259</v>
      </c>
      <c r="SN28" s="10">
        <v>224</v>
      </c>
      <c r="SO28" s="10">
        <v>44297</v>
      </c>
      <c r="SP28" s="10">
        <v>82515</v>
      </c>
      <c r="SQ28" s="10">
        <v>237</v>
      </c>
      <c r="SR28" s="10">
        <v>44298</v>
      </c>
      <c r="SS28" s="10">
        <v>82923</v>
      </c>
      <c r="ST28" s="10">
        <v>399</v>
      </c>
      <c r="SU28" s="10">
        <v>44299</v>
      </c>
      <c r="SV28" s="10">
        <v>83253</v>
      </c>
      <c r="SW28" s="10">
        <v>328</v>
      </c>
      <c r="SX28" s="10">
        <v>44301</v>
      </c>
      <c r="SY28" s="10">
        <v>83871</v>
      </c>
      <c r="SZ28" s="10">
        <v>270</v>
      </c>
      <c r="TA28" s="10">
        <v>44302</v>
      </c>
      <c r="TB28" s="10">
        <v>84139</v>
      </c>
      <c r="TC28" s="10">
        <v>264</v>
      </c>
      <c r="TD28" s="10">
        <v>44304</v>
      </c>
      <c r="TE28" s="10">
        <v>84472</v>
      </c>
      <c r="TF28" s="10">
        <v>160</v>
      </c>
      <c r="TG28" s="10">
        <v>44305</v>
      </c>
      <c r="TH28" s="10">
        <v>84752</v>
      </c>
      <c r="TI28" s="10">
        <v>282</v>
      </c>
      <c r="TJ28" s="10">
        <v>44306</v>
      </c>
      <c r="TK28" s="10">
        <v>85044</v>
      </c>
      <c r="TL28" s="10">
        <v>290</v>
      </c>
      <c r="TM28" s="10">
        <v>44307</v>
      </c>
      <c r="TN28" s="10">
        <v>85288</v>
      </c>
      <c r="TO28" s="10">
        <v>245</v>
      </c>
      <c r="TP28" s="10">
        <v>44309</v>
      </c>
      <c r="TQ28" s="10">
        <v>85807</v>
      </c>
      <c r="TR28" s="10">
        <v>257</v>
      </c>
      <c r="TS28" s="10">
        <v>44310</v>
      </c>
      <c r="TT28" s="10">
        <v>85965</v>
      </c>
      <c r="TU28" s="10">
        <v>153</v>
      </c>
      <c r="TV28" s="10">
        <v>44310</v>
      </c>
      <c r="TW28" s="10">
        <v>85969</v>
      </c>
      <c r="TX28" s="10">
        <v>152</v>
      </c>
      <c r="TY28" s="10">
        <v>44311</v>
      </c>
      <c r="TZ28" s="10">
        <v>86106</v>
      </c>
      <c r="UA28" s="10">
        <v>139</v>
      </c>
      <c r="UB28" s="10">
        <v>44313</v>
      </c>
      <c r="UC28" s="10">
        <v>86577</v>
      </c>
      <c r="UD28" s="10">
        <v>230</v>
      </c>
      <c r="UE28" s="10">
        <v>44313</v>
      </c>
      <c r="UF28" s="10">
        <v>86578</v>
      </c>
      <c r="UG28" s="10">
        <v>231</v>
      </c>
      <c r="UH28" s="10">
        <v>44314</v>
      </c>
      <c r="UI28" s="10">
        <v>86856</v>
      </c>
      <c r="UJ28" s="10">
        <v>275</v>
      </c>
      <c r="UK28" s="10">
        <v>44315</v>
      </c>
      <c r="UL28" s="10">
        <v>87059</v>
      </c>
      <c r="UM28" s="10">
        <v>198</v>
      </c>
      <c r="UN28" s="10">
        <v>44319</v>
      </c>
      <c r="UO28" s="10">
        <v>87803</v>
      </c>
      <c r="UP28" s="10">
        <v>301</v>
      </c>
      <c r="UQ28" s="10">
        <v>44320</v>
      </c>
      <c r="UR28" s="10">
        <v>88033</v>
      </c>
      <c r="US28" s="10">
        <v>206</v>
      </c>
      <c r="UT28" s="10">
        <v>44321</v>
      </c>
      <c r="UU28" s="10">
        <v>88294</v>
      </c>
      <c r="UV28" s="10">
        <v>271</v>
      </c>
      <c r="UW28" s="10">
        <v>44322</v>
      </c>
      <c r="UX28" s="10">
        <v>88528</v>
      </c>
      <c r="UY28" s="10">
        <v>236</v>
      </c>
      <c r="UZ28" s="10">
        <v>44324</v>
      </c>
      <c r="VA28" s="10">
        <v>88875</v>
      </c>
      <c r="VB28" s="10">
        <v>129</v>
      </c>
      <c r="VC28" s="10">
        <v>44324</v>
      </c>
      <c r="VD28" s="10">
        <v>88871</v>
      </c>
      <c r="VE28" s="10">
        <v>130</v>
      </c>
      <c r="VF28" s="10">
        <v>44325</v>
      </c>
      <c r="VG28" s="10">
        <v>89005</v>
      </c>
      <c r="VH28" s="10">
        <v>130</v>
      </c>
      <c r="VI28" s="10">
        <v>44327</v>
      </c>
      <c r="VJ28" s="10">
        <v>89467</v>
      </c>
      <c r="VK28" s="10">
        <v>210</v>
      </c>
      <c r="VL28" s="10">
        <v>44327</v>
      </c>
      <c r="VM28" s="10">
        <v>89463</v>
      </c>
      <c r="VN28" s="10">
        <v>210</v>
      </c>
      <c r="VO28" s="10">
        <v>44328</v>
      </c>
      <c r="VP28" s="10">
        <v>89717</v>
      </c>
      <c r="VQ28" s="10">
        <v>257</v>
      </c>
      <c r="VR28" s="10">
        <v>44329</v>
      </c>
      <c r="VS28" s="10">
        <v>89870</v>
      </c>
      <c r="VT28" s="10">
        <v>155</v>
      </c>
      <c r="VU28" s="10">
        <v>44331</v>
      </c>
      <c r="VV28" s="10">
        <v>90278</v>
      </c>
      <c r="VW28" s="10">
        <v>157</v>
      </c>
      <c r="VX28" s="10">
        <v>44331</v>
      </c>
      <c r="VY28" s="10">
        <v>90281</v>
      </c>
      <c r="VZ28" s="10">
        <v>157</v>
      </c>
      <c r="WA28" s="10">
        <v>44332</v>
      </c>
      <c r="WB28" s="10">
        <v>90416</v>
      </c>
      <c r="WC28" s="10">
        <v>131</v>
      </c>
      <c r="WD28" s="10">
        <v>44333</v>
      </c>
      <c r="WE28" s="10">
        <v>90702</v>
      </c>
      <c r="WF28" s="10">
        <v>285</v>
      </c>
      <c r="WG28" s="10">
        <v>44334</v>
      </c>
      <c r="WH28" s="10">
        <v>90920</v>
      </c>
      <c r="WI28" s="10">
        <v>217</v>
      </c>
      <c r="WJ28" s="10">
        <v>44336</v>
      </c>
      <c r="WK28" s="10">
        <v>91345</v>
      </c>
      <c r="WL28" s="10">
        <v>199</v>
      </c>
      <c r="WM28" s="10">
        <v>44336</v>
      </c>
      <c r="WN28" s="10">
        <v>91365</v>
      </c>
      <c r="WO28" s="10">
        <v>214</v>
      </c>
      <c r="WP28" s="10">
        <v>44339</v>
      </c>
      <c r="WQ28" s="10">
        <v>91733</v>
      </c>
      <c r="WR28" s="10">
        <v>92</v>
      </c>
      <c r="WS28" s="10">
        <v>44340</v>
      </c>
      <c r="WT28" s="10">
        <v>91926</v>
      </c>
      <c r="WU28" s="10">
        <v>189</v>
      </c>
      <c r="WV28" s="10">
        <v>44341</v>
      </c>
      <c r="WW28" s="10">
        <v>92080</v>
      </c>
      <c r="WX28" s="10">
        <v>150</v>
      </c>
      <c r="WY28" s="10">
        <v>44342</v>
      </c>
      <c r="WZ28" s="10">
        <v>92228</v>
      </c>
      <c r="XA28" s="10">
        <v>142</v>
      </c>
      <c r="XB28" s="10">
        <v>44343</v>
      </c>
      <c r="XC28" s="10">
        <v>92353</v>
      </c>
      <c r="XD28" s="10">
        <v>126</v>
      </c>
      <c r="XE28" s="10">
        <v>44345</v>
      </c>
      <c r="XF28" s="10">
        <v>92554</v>
      </c>
      <c r="XG28" s="10">
        <v>65</v>
      </c>
      <c r="XH28" s="10">
        <v>44345</v>
      </c>
      <c r="XI28" s="10">
        <v>92560</v>
      </c>
      <c r="XJ28" s="10">
        <v>65</v>
      </c>
      <c r="XK28" s="10">
        <v>44346</v>
      </c>
      <c r="XL28" s="10">
        <v>92640</v>
      </c>
      <c r="XM28" s="10">
        <v>79</v>
      </c>
      <c r="XN28" s="10">
        <v>44347</v>
      </c>
      <c r="XO28" s="10">
        <v>92785</v>
      </c>
      <c r="XP28" s="10">
        <v>143</v>
      </c>
      <c r="XQ28" s="10">
        <v>44348</v>
      </c>
      <c r="XR28" s="10">
        <v>92910</v>
      </c>
      <c r="XS28" s="10">
        <v>123</v>
      </c>
      <c r="XT28" s="10">
        <v>44349</v>
      </c>
      <c r="XU28" s="10">
        <v>93031</v>
      </c>
      <c r="XV28" s="10">
        <v>119</v>
      </c>
      <c r="XW28" s="10">
        <v>44350</v>
      </c>
      <c r="XX28" s="10">
        <v>93143</v>
      </c>
      <c r="XY28" s="10">
        <v>110</v>
      </c>
      <c r="XZ28" s="10">
        <v>44351</v>
      </c>
      <c r="YA28" s="10">
        <v>93242</v>
      </c>
      <c r="YB28" s="10">
        <v>98</v>
      </c>
      <c r="YC28" s="10">
        <v>44353</v>
      </c>
      <c r="YD28" s="10">
        <v>93370</v>
      </c>
      <c r="YE28" s="10">
        <v>60</v>
      </c>
      <c r="YF28" s="10">
        <v>44354</v>
      </c>
      <c r="YG28" s="10">
        <v>93512</v>
      </c>
      <c r="YH28" s="10">
        <v>141</v>
      </c>
      <c r="YI28" s="10">
        <v>44355</v>
      </c>
      <c r="YJ28" s="10">
        <v>93617</v>
      </c>
      <c r="YK28" s="10">
        <v>102</v>
      </c>
      <c r="YL28" s="10">
        <v>44356</v>
      </c>
      <c r="YM28" s="10">
        <v>93699</v>
      </c>
      <c r="YN28" s="10">
        <v>83</v>
      </c>
      <c r="YO28" s="10">
        <v>44357</v>
      </c>
      <c r="YP28" s="10">
        <v>93772</v>
      </c>
      <c r="YQ28" s="10">
        <v>76</v>
      </c>
      <c r="YR28" s="10">
        <v>44358</v>
      </c>
      <c r="YS28" s="10">
        <v>93849</v>
      </c>
      <c r="YT28" s="10">
        <v>72</v>
      </c>
    </row>
    <row r="29" spans="2:670">
      <c r="B29" t="str">
        <f t="shared" ca="1" si="2"/>
        <v>12.6</v>
      </c>
      <c r="C29" s="4">
        <f t="shared" ca="1" si="0"/>
        <v>44359</v>
      </c>
      <c r="D29" s="11">
        <f t="shared" ca="1" si="1"/>
        <v>93899</v>
      </c>
      <c r="E29">
        <f t="shared" ca="1" si="3"/>
        <v>43</v>
      </c>
      <c r="F29" s="11">
        <f t="shared" ca="1" si="4"/>
        <v>1</v>
      </c>
      <c r="G29" s="11">
        <f t="shared" ca="1" si="5"/>
        <v>42</v>
      </c>
      <c r="I29" s="10"/>
      <c r="K29" s="13"/>
      <c r="L29" s="3"/>
      <c r="N29" s="16">
        <v>44359</v>
      </c>
      <c r="O29">
        <v>93891</v>
      </c>
      <c r="P29">
        <v>42</v>
      </c>
      <c r="Q29" s="16">
        <v>44359</v>
      </c>
      <c r="R29">
        <v>93891</v>
      </c>
      <c r="S29">
        <v>42</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v>44290</v>
      </c>
      <c r="RU29">
        <v>79963</v>
      </c>
      <c r="RV29">
        <v>320</v>
      </c>
      <c r="RW29">
        <v>44291</v>
      </c>
      <c r="RX29">
        <v>80323</v>
      </c>
      <c r="RY29">
        <v>361</v>
      </c>
      <c r="RZ29">
        <v>44292</v>
      </c>
      <c r="SA29">
        <v>80860</v>
      </c>
      <c r="SB29">
        <v>535</v>
      </c>
      <c r="SC29">
        <v>44293</v>
      </c>
      <c r="SD29">
        <v>81263</v>
      </c>
      <c r="SE29">
        <v>401</v>
      </c>
      <c r="SF29">
        <v>44294</v>
      </c>
      <c r="SG29">
        <v>81662</v>
      </c>
      <c r="SH29">
        <v>379</v>
      </c>
      <c r="SI29">
        <v>44295</v>
      </c>
      <c r="SJ29">
        <v>82029</v>
      </c>
      <c r="SK29">
        <v>344</v>
      </c>
      <c r="SL29">
        <v>44297</v>
      </c>
      <c r="SM29">
        <v>82488</v>
      </c>
      <c r="SN29">
        <v>229</v>
      </c>
      <c r="SO29">
        <v>44298</v>
      </c>
      <c r="SP29">
        <v>82913</v>
      </c>
      <c r="SQ29">
        <v>398</v>
      </c>
      <c r="SR29">
        <v>44299</v>
      </c>
      <c r="SS29">
        <v>83249</v>
      </c>
      <c r="ST29">
        <v>326</v>
      </c>
      <c r="SU29">
        <v>44300</v>
      </c>
      <c r="SV29">
        <v>83572</v>
      </c>
      <c r="SW29">
        <v>319</v>
      </c>
      <c r="SX29">
        <v>44302</v>
      </c>
      <c r="SY29">
        <v>84113</v>
      </c>
      <c r="SZ29">
        <v>242</v>
      </c>
      <c r="TA29">
        <v>44303</v>
      </c>
      <c r="TB29">
        <v>84309</v>
      </c>
      <c r="TC29">
        <v>170</v>
      </c>
      <c r="TD29">
        <v>44305</v>
      </c>
      <c r="TE29">
        <v>84755</v>
      </c>
      <c r="TF29">
        <v>283</v>
      </c>
      <c r="TG29">
        <v>44306</v>
      </c>
      <c r="TH29">
        <v>85042</v>
      </c>
      <c r="TI29">
        <v>290</v>
      </c>
      <c r="TJ29">
        <v>44307</v>
      </c>
      <c r="TK29">
        <v>85259</v>
      </c>
      <c r="TL29">
        <v>215</v>
      </c>
      <c r="TM29">
        <v>44308</v>
      </c>
      <c r="TN29">
        <v>85538</v>
      </c>
      <c r="TO29">
        <v>250</v>
      </c>
      <c r="TP29">
        <v>44310</v>
      </c>
      <c r="TQ29">
        <v>85960</v>
      </c>
      <c r="TR29">
        <v>153</v>
      </c>
      <c r="TS29">
        <v>44311</v>
      </c>
      <c r="TT29">
        <v>86103</v>
      </c>
      <c r="TU29">
        <v>138</v>
      </c>
      <c r="TV29">
        <v>44311</v>
      </c>
      <c r="TW29">
        <v>86108</v>
      </c>
      <c r="TX29">
        <v>139</v>
      </c>
      <c r="TY29">
        <v>44312</v>
      </c>
      <c r="TZ29">
        <v>86347</v>
      </c>
      <c r="UA29">
        <v>241</v>
      </c>
      <c r="UB29">
        <v>44314</v>
      </c>
      <c r="UC29">
        <v>86825</v>
      </c>
      <c r="UD29">
        <v>248</v>
      </c>
      <c r="UE29">
        <v>44314</v>
      </c>
      <c r="UF29">
        <v>86827</v>
      </c>
      <c r="UG29">
        <v>249</v>
      </c>
      <c r="UH29">
        <v>44315</v>
      </c>
      <c r="UI29">
        <v>87040</v>
      </c>
      <c r="UJ29">
        <v>184</v>
      </c>
      <c r="UK29">
        <v>44316</v>
      </c>
      <c r="UL29">
        <v>87258</v>
      </c>
      <c r="UM29">
        <v>199</v>
      </c>
      <c r="UN29">
        <v>44320</v>
      </c>
      <c r="UO29">
        <v>87972</v>
      </c>
      <c r="UP29">
        <v>169</v>
      </c>
      <c r="UQ29">
        <v>44321</v>
      </c>
      <c r="UR29">
        <v>88270</v>
      </c>
      <c r="US29">
        <v>237</v>
      </c>
      <c r="UT29">
        <v>44322</v>
      </c>
      <c r="UU29">
        <v>88514</v>
      </c>
      <c r="UV29">
        <v>220</v>
      </c>
      <c r="UW29">
        <v>44323</v>
      </c>
      <c r="UX29">
        <v>88743</v>
      </c>
      <c r="UY29">
        <v>215</v>
      </c>
      <c r="UZ29">
        <v>44325</v>
      </c>
      <c r="VA29">
        <v>89004</v>
      </c>
      <c r="VB29">
        <v>129</v>
      </c>
      <c r="VC29">
        <v>44325</v>
      </c>
      <c r="VD29">
        <v>89000</v>
      </c>
      <c r="VE29">
        <v>129</v>
      </c>
      <c r="VF29">
        <v>44326</v>
      </c>
      <c r="VG29">
        <v>89260</v>
      </c>
      <c r="VH29">
        <v>255</v>
      </c>
      <c r="VI29">
        <v>44328</v>
      </c>
      <c r="VJ29">
        <v>89687</v>
      </c>
      <c r="VK29">
        <v>220</v>
      </c>
      <c r="VL29">
        <v>44328</v>
      </c>
      <c r="VM29">
        <v>89683</v>
      </c>
      <c r="VN29">
        <v>220</v>
      </c>
      <c r="VO29">
        <v>44329</v>
      </c>
      <c r="VP29">
        <v>89866</v>
      </c>
      <c r="VQ29">
        <v>149</v>
      </c>
      <c r="VR29">
        <v>44330</v>
      </c>
      <c r="VS29">
        <v>90111</v>
      </c>
      <c r="VT29">
        <v>241</v>
      </c>
      <c r="VU29">
        <v>44332</v>
      </c>
      <c r="VV29">
        <v>90407</v>
      </c>
      <c r="VW29">
        <v>129</v>
      </c>
      <c r="VX29">
        <v>44332</v>
      </c>
      <c r="VY29">
        <v>90411</v>
      </c>
      <c r="VZ29">
        <v>130</v>
      </c>
      <c r="WA29">
        <v>44333</v>
      </c>
      <c r="WB29">
        <v>90702</v>
      </c>
      <c r="WC29">
        <v>286</v>
      </c>
      <c r="WD29">
        <v>44334</v>
      </c>
      <c r="WE29">
        <v>90919</v>
      </c>
      <c r="WF29">
        <v>217</v>
      </c>
      <c r="WG29">
        <v>44335</v>
      </c>
      <c r="WH29">
        <v>91129</v>
      </c>
      <c r="WI29">
        <v>209</v>
      </c>
      <c r="WJ29">
        <v>44337</v>
      </c>
      <c r="WK29">
        <v>91486</v>
      </c>
      <c r="WL29">
        <v>141</v>
      </c>
      <c r="WM29">
        <v>44337</v>
      </c>
      <c r="WN29">
        <v>91533</v>
      </c>
      <c r="WO29">
        <v>168</v>
      </c>
      <c r="WP29">
        <v>44340</v>
      </c>
      <c r="WQ29">
        <v>91889</v>
      </c>
      <c r="WR29">
        <v>156</v>
      </c>
      <c r="WS29">
        <v>44341</v>
      </c>
      <c r="WT29">
        <v>92077</v>
      </c>
      <c r="WU29">
        <v>151</v>
      </c>
      <c r="WV29">
        <v>44342</v>
      </c>
      <c r="WW29">
        <v>92204</v>
      </c>
      <c r="WX29">
        <v>124</v>
      </c>
      <c r="WY29">
        <v>44343</v>
      </c>
      <c r="WZ29">
        <v>92351</v>
      </c>
      <c r="XA29">
        <v>123</v>
      </c>
      <c r="XB29">
        <v>44344</v>
      </c>
      <c r="XC29">
        <v>92488</v>
      </c>
      <c r="XD29">
        <v>135</v>
      </c>
      <c r="XE29">
        <v>44346</v>
      </c>
      <c r="XF29">
        <v>92634</v>
      </c>
      <c r="XG29">
        <v>80</v>
      </c>
      <c r="XH29">
        <v>44346</v>
      </c>
      <c r="XI29">
        <v>92641</v>
      </c>
      <c r="XJ29">
        <v>81</v>
      </c>
      <c r="XK29">
        <v>44347</v>
      </c>
      <c r="XL29">
        <v>92783</v>
      </c>
      <c r="XM29">
        <v>143</v>
      </c>
      <c r="XN29">
        <v>44348</v>
      </c>
      <c r="XO29">
        <v>92908</v>
      </c>
      <c r="XP29">
        <v>123</v>
      </c>
      <c r="XQ29">
        <v>44349</v>
      </c>
      <c r="XR29">
        <v>93016</v>
      </c>
      <c r="XS29">
        <v>106</v>
      </c>
      <c r="XT29">
        <v>44350</v>
      </c>
      <c r="XU29">
        <v>93136</v>
      </c>
      <c r="XV29">
        <v>105</v>
      </c>
      <c r="XW29">
        <v>44351</v>
      </c>
      <c r="XX29">
        <v>93241</v>
      </c>
      <c r="XY29">
        <v>98</v>
      </c>
      <c r="XZ29">
        <v>44352</v>
      </c>
      <c r="YA29">
        <v>93307</v>
      </c>
      <c r="YB29">
        <v>65</v>
      </c>
      <c r="YC29">
        <v>44354</v>
      </c>
      <c r="YD29">
        <v>93504</v>
      </c>
      <c r="YE29">
        <v>134</v>
      </c>
      <c r="YF29">
        <v>44355</v>
      </c>
      <c r="YG29">
        <v>93616</v>
      </c>
      <c r="YH29">
        <v>104</v>
      </c>
      <c r="YI29">
        <v>44356</v>
      </c>
      <c r="YJ29">
        <v>93688</v>
      </c>
      <c r="YK29">
        <v>71</v>
      </c>
      <c r="YL29">
        <v>44357</v>
      </c>
      <c r="YM29">
        <v>93766</v>
      </c>
      <c r="YN29">
        <v>67</v>
      </c>
      <c r="YO29">
        <v>44358</v>
      </c>
      <c r="YP29">
        <v>93843</v>
      </c>
      <c r="YQ29">
        <v>71</v>
      </c>
      <c r="YR29">
        <v>44359</v>
      </c>
      <c r="YS29">
        <v>93891</v>
      </c>
      <c r="YT29">
        <v>42</v>
      </c>
    </row>
    <row r="30" spans="2:670">
      <c r="B30" t="str">
        <f t="shared" ca="1" si="2"/>
        <v>13.6</v>
      </c>
      <c r="C30" s="4">
        <f t="shared" ca="1" si="0"/>
        <v>44360</v>
      </c>
      <c r="D30" s="11">
        <f t="shared" ca="1" si="1"/>
        <v>93945</v>
      </c>
      <c r="E30">
        <f t="shared" ca="1" si="3"/>
        <v>46</v>
      </c>
      <c r="F30" s="11">
        <f t="shared" ca="1" si="4"/>
        <v>10</v>
      </c>
      <c r="G30" s="11">
        <f t="shared" ca="1" si="5"/>
        <v>36</v>
      </c>
      <c r="K30" s="4"/>
      <c r="L30" s="3"/>
      <c r="N30" s="16">
        <v>44360</v>
      </c>
      <c r="O30">
        <v>93927</v>
      </c>
      <c r="P30">
        <v>36</v>
      </c>
      <c r="Q30" s="16">
        <v>44360</v>
      </c>
      <c r="R30">
        <v>93927</v>
      </c>
      <c r="S30">
        <v>36</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v>44291</v>
      </c>
      <c r="RU30">
        <v>80322</v>
      </c>
      <c r="RV30">
        <v>359</v>
      </c>
      <c r="RW30">
        <v>44292</v>
      </c>
      <c r="RX30">
        <v>80857</v>
      </c>
      <c r="RY30">
        <v>534</v>
      </c>
      <c r="RZ30">
        <v>44293</v>
      </c>
      <c r="SA30">
        <v>81260</v>
      </c>
      <c r="SB30">
        <v>400</v>
      </c>
      <c r="SC30">
        <v>44294</v>
      </c>
      <c r="SD30">
        <v>81641</v>
      </c>
      <c r="SE30">
        <v>378</v>
      </c>
      <c r="SF30">
        <v>44295</v>
      </c>
      <c r="SG30">
        <v>81990</v>
      </c>
      <c r="SH30">
        <v>328</v>
      </c>
      <c r="SI30">
        <v>44296</v>
      </c>
      <c r="SJ30">
        <v>82254</v>
      </c>
      <c r="SK30">
        <v>225</v>
      </c>
      <c r="SL30">
        <v>44298</v>
      </c>
      <c r="SM30">
        <v>82829</v>
      </c>
      <c r="SN30">
        <v>341</v>
      </c>
      <c r="SO30">
        <v>44299</v>
      </c>
      <c r="SP30">
        <v>83222</v>
      </c>
      <c r="SQ30">
        <v>309</v>
      </c>
      <c r="SR30">
        <v>44300</v>
      </c>
      <c r="SS30">
        <v>83568</v>
      </c>
      <c r="ST30">
        <v>319</v>
      </c>
      <c r="SU30">
        <v>44301</v>
      </c>
      <c r="SV30">
        <v>83842</v>
      </c>
      <c r="SW30">
        <v>270</v>
      </c>
      <c r="SX30">
        <v>44303</v>
      </c>
      <c r="SY30">
        <v>84272</v>
      </c>
      <c r="SZ30">
        <v>159</v>
      </c>
      <c r="TA30">
        <v>44304</v>
      </c>
      <c r="TB30">
        <v>84468</v>
      </c>
      <c r="TC30">
        <v>159</v>
      </c>
      <c r="TD30">
        <v>44306</v>
      </c>
      <c r="TE30">
        <v>85020</v>
      </c>
      <c r="TF30">
        <v>265</v>
      </c>
      <c r="TG30">
        <v>44307</v>
      </c>
      <c r="TH30">
        <v>85257</v>
      </c>
      <c r="TI30">
        <v>215</v>
      </c>
      <c r="TJ30">
        <v>44308</v>
      </c>
      <c r="TK30">
        <v>85501</v>
      </c>
      <c r="TL30">
        <v>242</v>
      </c>
      <c r="TM30">
        <v>44309</v>
      </c>
      <c r="TN30">
        <v>85769</v>
      </c>
      <c r="TO30">
        <v>231</v>
      </c>
      <c r="TP30">
        <v>44311</v>
      </c>
      <c r="TQ30">
        <v>86091</v>
      </c>
      <c r="TR30">
        <v>131</v>
      </c>
      <c r="TS30">
        <v>44312</v>
      </c>
      <c r="TT30">
        <v>86311</v>
      </c>
      <c r="TU30">
        <v>208</v>
      </c>
      <c r="TV30">
        <v>44312</v>
      </c>
      <c r="TW30">
        <v>86331</v>
      </c>
      <c r="TX30">
        <v>223</v>
      </c>
      <c r="TY30">
        <v>44313</v>
      </c>
      <c r="TZ30">
        <v>86577</v>
      </c>
      <c r="UA30">
        <v>230</v>
      </c>
      <c r="UB30">
        <v>44315</v>
      </c>
      <c r="UC30">
        <v>87011</v>
      </c>
      <c r="UD30">
        <v>186</v>
      </c>
      <c r="UE30">
        <v>44315</v>
      </c>
      <c r="UF30">
        <v>87013</v>
      </c>
      <c r="UG30">
        <v>186</v>
      </c>
      <c r="UH30">
        <v>44316</v>
      </c>
      <c r="UI30">
        <v>87223</v>
      </c>
      <c r="UJ30">
        <v>183</v>
      </c>
      <c r="UK30">
        <v>44317</v>
      </c>
      <c r="UL30">
        <v>87362</v>
      </c>
      <c r="UM30">
        <v>104</v>
      </c>
      <c r="UN30">
        <v>44321</v>
      </c>
      <c r="UO30">
        <v>88078</v>
      </c>
      <c r="UP30">
        <v>106</v>
      </c>
      <c r="UQ30">
        <v>44322</v>
      </c>
      <c r="UR30">
        <v>88494</v>
      </c>
      <c r="US30">
        <v>224</v>
      </c>
      <c r="UT30">
        <v>44323</v>
      </c>
      <c r="UU30">
        <v>88706</v>
      </c>
      <c r="UV30">
        <v>192</v>
      </c>
      <c r="UW30">
        <v>44324</v>
      </c>
      <c r="UX30">
        <v>88869</v>
      </c>
      <c r="UY30">
        <v>126</v>
      </c>
      <c r="UZ30">
        <v>44326</v>
      </c>
      <c r="VA30">
        <v>89248</v>
      </c>
      <c r="VB30">
        <v>244</v>
      </c>
      <c r="VC30">
        <v>44326</v>
      </c>
      <c r="VD30">
        <v>89256</v>
      </c>
      <c r="VE30">
        <v>256</v>
      </c>
      <c r="VF30">
        <v>44327</v>
      </c>
      <c r="VG30">
        <v>89470</v>
      </c>
      <c r="VH30">
        <v>210</v>
      </c>
      <c r="VI30">
        <v>44329</v>
      </c>
      <c r="VJ30">
        <v>89830</v>
      </c>
      <c r="VK30">
        <v>143</v>
      </c>
      <c r="VL30">
        <v>44329</v>
      </c>
      <c r="VM30">
        <v>89827</v>
      </c>
      <c r="VN30">
        <v>144</v>
      </c>
      <c r="VO30">
        <v>44330</v>
      </c>
      <c r="VP30">
        <v>90086</v>
      </c>
      <c r="VQ30">
        <v>220</v>
      </c>
      <c r="VR30">
        <v>44331</v>
      </c>
      <c r="VS30">
        <v>90268</v>
      </c>
      <c r="VT30">
        <v>157</v>
      </c>
      <c r="VU30">
        <v>44333</v>
      </c>
      <c r="VV30">
        <v>90683</v>
      </c>
      <c r="VW30">
        <v>276</v>
      </c>
      <c r="VX30">
        <v>44333</v>
      </c>
      <c r="VY30">
        <v>90696</v>
      </c>
      <c r="VZ30">
        <v>285</v>
      </c>
      <c r="WA30">
        <v>44334</v>
      </c>
      <c r="WB30">
        <v>90919</v>
      </c>
      <c r="WC30">
        <v>217</v>
      </c>
      <c r="WD30">
        <v>44335</v>
      </c>
      <c r="WE30">
        <v>91128</v>
      </c>
      <c r="WF30">
        <v>209</v>
      </c>
      <c r="WG30">
        <v>44336</v>
      </c>
      <c r="WH30">
        <v>91329</v>
      </c>
      <c r="WI30">
        <v>200</v>
      </c>
      <c r="WJ30">
        <v>44338</v>
      </c>
      <c r="WK30">
        <v>91588</v>
      </c>
      <c r="WL30">
        <v>102</v>
      </c>
      <c r="WM30">
        <v>44338</v>
      </c>
      <c r="WN30">
        <v>91638</v>
      </c>
      <c r="WO30">
        <v>105</v>
      </c>
      <c r="WP30">
        <v>44341</v>
      </c>
      <c r="WQ30">
        <v>91996</v>
      </c>
      <c r="WR30">
        <v>107</v>
      </c>
      <c r="WS30">
        <v>44342</v>
      </c>
      <c r="WT30">
        <v>92201</v>
      </c>
      <c r="WU30">
        <v>124</v>
      </c>
      <c r="WV30">
        <v>44343</v>
      </c>
      <c r="WW30">
        <v>92311</v>
      </c>
      <c r="WX30">
        <v>107</v>
      </c>
      <c r="WY30">
        <v>44344</v>
      </c>
      <c r="WZ30">
        <v>92474</v>
      </c>
      <c r="XA30">
        <v>123</v>
      </c>
      <c r="XB30">
        <v>44345</v>
      </c>
      <c r="XC30">
        <v>92552</v>
      </c>
      <c r="XD30">
        <v>64</v>
      </c>
      <c r="XE30">
        <v>44347</v>
      </c>
      <c r="XF30">
        <v>92745</v>
      </c>
      <c r="XG30">
        <v>111</v>
      </c>
      <c r="XH30">
        <v>44347</v>
      </c>
      <c r="XI30">
        <v>92783</v>
      </c>
      <c r="XJ30">
        <v>142</v>
      </c>
      <c r="XK30">
        <v>44348</v>
      </c>
      <c r="XL30">
        <v>92905</v>
      </c>
      <c r="XM30">
        <v>122</v>
      </c>
      <c r="XN30">
        <v>44349</v>
      </c>
      <c r="XO30">
        <v>93012</v>
      </c>
      <c r="XP30">
        <v>104</v>
      </c>
      <c r="XQ30">
        <v>44350</v>
      </c>
      <c r="XR30">
        <v>93122</v>
      </c>
      <c r="XS30">
        <v>106</v>
      </c>
      <c r="XT30">
        <v>44351</v>
      </c>
      <c r="XU30">
        <v>93216</v>
      </c>
      <c r="XV30">
        <v>80</v>
      </c>
      <c r="XW30">
        <v>44352</v>
      </c>
      <c r="XX30">
        <v>93307</v>
      </c>
      <c r="XY30">
        <v>66</v>
      </c>
      <c r="XZ30">
        <v>44353</v>
      </c>
      <c r="YA30">
        <v>93369</v>
      </c>
      <c r="YB30">
        <v>62</v>
      </c>
      <c r="YC30">
        <v>44355</v>
      </c>
      <c r="YD30">
        <v>93595</v>
      </c>
      <c r="YE30">
        <v>91</v>
      </c>
      <c r="YF30">
        <v>44356</v>
      </c>
      <c r="YG30">
        <v>93687</v>
      </c>
      <c r="YH30">
        <v>71</v>
      </c>
      <c r="YI30">
        <v>44357</v>
      </c>
      <c r="YJ30">
        <v>93755</v>
      </c>
      <c r="YK30">
        <v>67</v>
      </c>
      <c r="YL30">
        <v>44358</v>
      </c>
      <c r="YM30">
        <v>93822</v>
      </c>
      <c r="YN30">
        <v>56</v>
      </c>
      <c r="YO30">
        <v>44359</v>
      </c>
      <c r="YP30">
        <v>93887</v>
      </c>
      <c r="YQ30">
        <v>44</v>
      </c>
      <c r="YR30">
        <v>44360</v>
      </c>
      <c r="YS30">
        <v>93927</v>
      </c>
      <c r="YT30">
        <v>36</v>
      </c>
    </row>
    <row r="31" spans="2:670">
      <c r="B31" t="str">
        <f t="shared" ca="1" si="2"/>
        <v>Ma 14</v>
      </c>
      <c r="C31" s="4">
        <f t="shared" ca="1" si="0"/>
        <v>44361</v>
      </c>
      <c r="D31" s="11">
        <f t="shared" ca="1" si="1"/>
        <v>94023</v>
      </c>
      <c r="E31">
        <f t="shared" ca="1" si="3"/>
        <v>78</v>
      </c>
      <c r="F31" s="11">
        <f t="shared" ca="1" si="4"/>
        <v>11</v>
      </c>
      <c r="G31" s="11">
        <f t="shared" ca="1" si="5"/>
        <v>67</v>
      </c>
      <c r="K31" s="4"/>
      <c r="L31" s="3"/>
      <c r="N31" s="16">
        <v>44361</v>
      </c>
      <c r="O31">
        <v>93994</v>
      </c>
      <c r="P31">
        <v>67</v>
      </c>
      <c r="Q31" s="16">
        <v>44361</v>
      </c>
      <c r="R31">
        <v>93994</v>
      </c>
      <c r="S31">
        <v>67</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v>44292</v>
      </c>
      <c r="RU31">
        <v>80813</v>
      </c>
      <c r="RV31">
        <v>491</v>
      </c>
      <c r="RW31">
        <v>44293</v>
      </c>
      <c r="RX31">
        <v>81255</v>
      </c>
      <c r="RY31">
        <v>398</v>
      </c>
      <c r="RZ31">
        <v>44294</v>
      </c>
      <c r="SA31">
        <v>81635</v>
      </c>
      <c r="SB31">
        <v>375</v>
      </c>
      <c r="SC31">
        <v>44295</v>
      </c>
      <c r="SD31">
        <v>81963</v>
      </c>
      <c r="SE31">
        <v>322</v>
      </c>
      <c r="SF31">
        <v>44296</v>
      </c>
      <c r="SG31">
        <v>82201</v>
      </c>
      <c r="SH31">
        <v>211</v>
      </c>
      <c r="SI31">
        <v>44297</v>
      </c>
      <c r="SJ31">
        <v>82471</v>
      </c>
      <c r="SK31">
        <v>217</v>
      </c>
      <c r="SL31">
        <v>44299</v>
      </c>
      <c r="SM31">
        <v>83084</v>
      </c>
      <c r="SN31">
        <v>255</v>
      </c>
      <c r="SO31">
        <v>44300</v>
      </c>
      <c r="SP31">
        <v>83495</v>
      </c>
      <c r="SQ31">
        <v>273</v>
      </c>
      <c r="SR31">
        <v>44301</v>
      </c>
      <c r="SS31">
        <v>83836</v>
      </c>
      <c r="ST31">
        <v>268</v>
      </c>
      <c r="SU31">
        <v>44302</v>
      </c>
      <c r="SV31">
        <v>84081</v>
      </c>
      <c r="SW31">
        <v>239</v>
      </c>
      <c r="SX31">
        <v>44304</v>
      </c>
      <c r="SY31">
        <v>84395</v>
      </c>
      <c r="SZ31">
        <v>123</v>
      </c>
      <c r="TA31">
        <v>44305</v>
      </c>
      <c r="TB31">
        <v>84741</v>
      </c>
      <c r="TC31">
        <v>273</v>
      </c>
      <c r="TD31">
        <v>44307</v>
      </c>
      <c r="TE31">
        <v>85210</v>
      </c>
      <c r="TF31">
        <v>190</v>
      </c>
      <c r="TG31">
        <v>44308</v>
      </c>
      <c r="TH31">
        <v>85496</v>
      </c>
      <c r="TI31">
        <v>239</v>
      </c>
      <c r="TJ31">
        <v>44309</v>
      </c>
      <c r="TK31">
        <v>85730</v>
      </c>
      <c r="TL31">
        <v>229</v>
      </c>
      <c r="TM31">
        <v>44310</v>
      </c>
      <c r="TN31">
        <v>85917</v>
      </c>
      <c r="TO31">
        <v>148</v>
      </c>
      <c r="TP31">
        <v>44312</v>
      </c>
      <c r="TQ31">
        <v>86298</v>
      </c>
      <c r="TR31">
        <v>207</v>
      </c>
      <c r="TS31">
        <v>44313</v>
      </c>
      <c r="TT31">
        <v>86504</v>
      </c>
      <c r="TU31">
        <v>193</v>
      </c>
      <c r="TV31">
        <v>44313</v>
      </c>
      <c r="TW31">
        <v>86535</v>
      </c>
      <c r="TX31">
        <v>204</v>
      </c>
      <c r="TY31">
        <v>44314</v>
      </c>
      <c r="TZ31">
        <v>86824</v>
      </c>
      <c r="UA31">
        <v>247</v>
      </c>
      <c r="UB31">
        <v>44316</v>
      </c>
      <c r="UC31">
        <v>87179</v>
      </c>
      <c r="UD31">
        <v>168</v>
      </c>
      <c r="UE31">
        <v>44316</v>
      </c>
      <c r="UF31">
        <v>87195</v>
      </c>
      <c r="UG31">
        <v>182</v>
      </c>
      <c r="UH31">
        <v>44317</v>
      </c>
      <c r="UI31">
        <v>87319</v>
      </c>
      <c r="UJ31">
        <v>96</v>
      </c>
      <c r="UK31">
        <v>44318</v>
      </c>
      <c r="UL31">
        <v>87471</v>
      </c>
      <c r="UM31">
        <v>109</v>
      </c>
      <c r="UN31">
        <v>44322</v>
      </c>
      <c r="UO31">
        <v>88078</v>
      </c>
      <c r="UP31">
        <v>0</v>
      </c>
      <c r="UQ31">
        <v>44323</v>
      </c>
      <c r="UR31">
        <v>88681</v>
      </c>
      <c r="US31">
        <v>187</v>
      </c>
      <c r="UT31">
        <v>44324</v>
      </c>
      <c r="UU31">
        <v>88826</v>
      </c>
      <c r="UV31">
        <v>120</v>
      </c>
      <c r="UW31">
        <v>44325</v>
      </c>
      <c r="UX31">
        <v>88994</v>
      </c>
      <c r="UY31">
        <v>125</v>
      </c>
      <c r="UZ31">
        <v>44327</v>
      </c>
      <c r="VA31">
        <v>89423</v>
      </c>
      <c r="VB31">
        <v>175</v>
      </c>
      <c r="VC31">
        <v>44327</v>
      </c>
      <c r="VD31">
        <v>89438</v>
      </c>
      <c r="VE31">
        <v>182</v>
      </c>
      <c r="VF31">
        <v>44328</v>
      </c>
      <c r="VG31">
        <v>89689</v>
      </c>
      <c r="VH31">
        <v>219</v>
      </c>
      <c r="VI31">
        <v>44330</v>
      </c>
      <c r="VJ31">
        <v>90015</v>
      </c>
      <c r="VK31">
        <v>185</v>
      </c>
      <c r="VL31">
        <v>44330</v>
      </c>
      <c r="VM31">
        <v>90047</v>
      </c>
      <c r="VN31">
        <v>220</v>
      </c>
      <c r="VO31">
        <v>44331</v>
      </c>
      <c r="VP31">
        <v>90239</v>
      </c>
      <c r="VQ31">
        <v>153</v>
      </c>
      <c r="VR31">
        <v>44332</v>
      </c>
      <c r="VS31">
        <v>90392</v>
      </c>
      <c r="VT31">
        <v>124</v>
      </c>
      <c r="VU31">
        <v>44334</v>
      </c>
      <c r="VV31">
        <v>90843</v>
      </c>
      <c r="VW31">
        <v>160</v>
      </c>
      <c r="VX31">
        <v>44334</v>
      </c>
      <c r="VY31">
        <v>90902</v>
      </c>
      <c r="VZ31">
        <v>206</v>
      </c>
      <c r="WA31">
        <v>44335</v>
      </c>
      <c r="WB31">
        <v>91125</v>
      </c>
      <c r="WC31">
        <v>206</v>
      </c>
      <c r="WD31">
        <v>44336</v>
      </c>
      <c r="WE31">
        <v>91328</v>
      </c>
      <c r="WF31">
        <v>200</v>
      </c>
      <c r="WG31">
        <v>44337</v>
      </c>
      <c r="WH31">
        <v>91469</v>
      </c>
      <c r="WI31">
        <v>140</v>
      </c>
      <c r="WJ31">
        <v>44339</v>
      </c>
      <c r="WK31">
        <v>91670</v>
      </c>
      <c r="WL31">
        <v>82</v>
      </c>
      <c r="WM31">
        <v>44339</v>
      </c>
      <c r="WN31">
        <v>91723</v>
      </c>
      <c r="WO31">
        <v>85</v>
      </c>
      <c r="WP31">
        <v>44342</v>
      </c>
      <c r="WQ31">
        <v>92062</v>
      </c>
      <c r="WR31">
        <v>66</v>
      </c>
      <c r="WS31">
        <v>44343</v>
      </c>
      <c r="WT31">
        <v>92307</v>
      </c>
      <c r="WU31">
        <v>106</v>
      </c>
      <c r="WV31">
        <v>44344</v>
      </c>
      <c r="WW31">
        <v>92413</v>
      </c>
      <c r="WX31">
        <v>102</v>
      </c>
      <c r="WY31">
        <v>44345</v>
      </c>
      <c r="WZ31">
        <v>92527</v>
      </c>
      <c r="XA31">
        <v>53</v>
      </c>
      <c r="XB31">
        <v>44346</v>
      </c>
      <c r="XC31">
        <v>92621</v>
      </c>
      <c r="XD31">
        <v>69</v>
      </c>
      <c r="XE31">
        <v>44348</v>
      </c>
      <c r="XF31">
        <v>92843</v>
      </c>
      <c r="XG31">
        <v>98</v>
      </c>
      <c r="XH31">
        <v>44348</v>
      </c>
      <c r="XI31">
        <v>92890</v>
      </c>
      <c r="XJ31">
        <v>107</v>
      </c>
      <c r="XK31">
        <v>44349</v>
      </c>
      <c r="XL31">
        <v>93009</v>
      </c>
      <c r="XM31">
        <v>104</v>
      </c>
      <c r="XN31">
        <v>44350</v>
      </c>
      <c r="XO31">
        <v>93118</v>
      </c>
      <c r="XP31">
        <v>106</v>
      </c>
      <c r="XQ31">
        <v>44351</v>
      </c>
      <c r="XR31">
        <v>93198</v>
      </c>
      <c r="XS31">
        <v>76</v>
      </c>
      <c r="XT31">
        <v>44352</v>
      </c>
      <c r="XU31">
        <v>93273</v>
      </c>
      <c r="XV31">
        <v>57</v>
      </c>
      <c r="XW31">
        <v>44353</v>
      </c>
      <c r="XX31">
        <v>93364</v>
      </c>
      <c r="XY31">
        <v>57</v>
      </c>
      <c r="XZ31">
        <v>44354</v>
      </c>
      <c r="YA31">
        <v>93487</v>
      </c>
      <c r="YB31">
        <v>118</v>
      </c>
      <c r="YC31">
        <v>44356</v>
      </c>
      <c r="YD31">
        <v>93648</v>
      </c>
      <c r="YE31">
        <v>53</v>
      </c>
      <c r="YF31">
        <v>44357</v>
      </c>
      <c r="YG31">
        <v>93751</v>
      </c>
      <c r="YH31">
        <v>64</v>
      </c>
      <c r="YI31">
        <v>44358</v>
      </c>
      <c r="YJ31">
        <v>93809</v>
      </c>
      <c r="YK31">
        <v>54</v>
      </c>
      <c r="YL31">
        <v>44359</v>
      </c>
      <c r="YM31">
        <v>93856</v>
      </c>
      <c r="YN31">
        <v>34</v>
      </c>
      <c r="YO31">
        <v>44360</v>
      </c>
      <c r="YP31">
        <v>93919</v>
      </c>
      <c r="YQ31">
        <v>32</v>
      </c>
      <c r="YR31">
        <v>44361</v>
      </c>
      <c r="YS31">
        <v>93994</v>
      </c>
      <c r="YT31">
        <v>67</v>
      </c>
    </row>
    <row r="32" spans="2:670">
      <c r="B32" t="str">
        <f t="shared" ca="1" si="2"/>
        <v>15.6</v>
      </c>
      <c r="C32" s="4">
        <f t="shared" ca="1" si="0"/>
        <v>44362</v>
      </c>
      <c r="D32" s="11">
        <f t="shared" ca="1" si="1"/>
        <v>94079</v>
      </c>
      <c r="E32">
        <f t="shared" ca="1" si="3"/>
        <v>56</v>
      </c>
      <c r="F32" s="11">
        <f t="shared" ca="1" si="4"/>
        <v>0</v>
      </c>
      <c r="G32" s="11">
        <f t="shared" ca="1" si="5"/>
        <v>56</v>
      </c>
      <c r="K32" s="4"/>
      <c r="L32" s="3"/>
      <c r="N32" s="16">
        <v>44362</v>
      </c>
      <c r="O32">
        <v>94050</v>
      </c>
      <c r="P32">
        <v>56</v>
      </c>
      <c r="Q32" s="16">
        <v>44362</v>
      </c>
      <c r="R32">
        <v>94050</v>
      </c>
      <c r="S32">
        <v>56</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v>44293</v>
      </c>
      <c r="RU32">
        <v>81146</v>
      </c>
      <c r="RV32">
        <v>333</v>
      </c>
      <c r="RW32">
        <v>44294</v>
      </c>
      <c r="RX32">
        <v>81565</v>
      </c>
      <c r="RY32">
        <v>310</v>
      </c>
      <c r="RZ32">
        <v>44295</v>
      </c>
      <c r="SA32">
        <v>81914</v>
      </c>
      <c r="SB32">
        <v>279</v>
      </c>
      <c r="SC32">
        <v>44296</v>
      </c>
      <c r="SD32">
        <v>82147</v>
      </c>
      <c r="SE32">
        <v>184</v>
      </c>
      <c r="SF32">
        <v>44297</v>
      </c>
      <c r="SG32">
        <v>82381</v>
      </c>
      <c r="SH32">
        <v>180</v>
      </c>
      <c r="SI32">
        <v>44298</v>
      </c>
      <c r="SJ32">
        <v>82795</v>
      </c>
      <c r="SK32">
        <v>324</v>
      </c>
      <c r="SL32">
        <v>44300</v>
      </c>
      <c r="SM32">
        <v>83253</v>
      </c>
      <c r="SN32">
        <v>169</v>
      </c>
      <c r="SO32">
        <v>44301</v>
      </c>
      <c r="SP32">
        <v>83633</v>
      </c>
      <c r="SQ32">
        <v>138</v>
      </c>
      <c r="SR32">
        <v>44302</v>
      </c>
      <c r="SS32">
        <v>84022</v>
      </c>
      <c r="ST32">
        <v>186</v>
      </c>
      <c r="SU32">
        <v>44303</v>
      </c>
      <c r="SV32">
        <v>84216</v>
      </c>
      <c r="SW32">
        <v>135</v>
      </c>
      <c r="SX32">
        <v>44305</v>
      </c>
      <c r="SY32">
        <v>84501</v>
      </c>
      <c r="SZ32">
        <v>106</v>
      </c>
      <c r="TA32">
        <v>44306</v>
      </c>
      <c r="TB32">
        <v>84977</v>
      </c>
      <c r="TC32">
        <v>236</v>
      </c>
      <c r="TD32">
        <v>44308</v>
      </c>
      <c r="TE32">
        <v>85344</v>
      </c>
      <c r="TF32">
        <v>134</v>
      </c>
      <c r="TG32">
        <v>44309</v>
      </c>
      <c r="TH32">
        <v>85717</v>
      </c>
      <c r="TI32">
        <v>221</v>
      </c>
      <c r="TJ32">
        <v>44310</v>
      </c>
      <c r="TK32">
        <v>85860</v>
      </c>
      <c r="TL32">
        <v>130</v>
      </c>
      <c r="TM32">
        <v>44311</v>
      </c>
      <c r="TN32">
        <v>86038</v>
      </c>
      <c r="TO32">
        <v>121</v>
      </c>
      <c r="TP32">
        <v>44313</v>
      </c>
      <c r="TQ32">
        <v>86405</v>
      </c>
      <c r="TR32">
        <v>107</v>
      </c>
      <c r="TS32">
        <v>44314</v>
      </c>
      <c r="TT32">
        <v>86613</v>
      </c>
      <c r="TU32">
        <v>109</v>
      </c>
      <c r="TV32">
        <v>44314</v>
      </c>
      <c r="TW32">
        <v>86741</v>
      </c>
      <c r="TX32">
        <v>206</v>
      </c>
      <c r="TY32">
        <v>44315</v>
      </c>
      <c r="TZ32">
        <v>87001</v>
      </c>
      <c r="UA32">
        <v>177</v>
      </c>
      <c r="UB32">
        <v>44317</v>
      </c>
      <c r="UC32">
        <v>87228</v>
      </c>
      <c r="UD32">
        <v>49</v>
      </c>
      <c r="UE32">
        <v>44317</v>
      </c>
      <c r="UF32">
        <v>87289</v>
      </c>
      <c r="UG32">
        <v>94</v>
      </c>
      <c r="UH32">
        <v>44318</v>
      </c>
      <c r="UI32">
        <v>87421</v>
      </c>
      <c r="UJ32">
        <v>102</v>
      </c>
      <c r="UK32">
        <v>44319</v>
      </c>
      <c r="UL32">
        <v>87703</v>
      </c>
      <c r="UM32">
        <v>232</v>
      </c>
      <c r="UN32">
        <v>44323</v>
      </c>
      <c r="UO32">
        <v>88078</v>
      </c>
      <c r="UP32">
        <v>0</v>
      </c>
      <c r="UQ32">
        <v>44324</v>
      </c>
      <c r="UR32">
        <v>88796</v>
      </c>
      <c r="US32">
        <v>115</v>
      </c>
      <c r="UT32">
        <v>44325</v>
      </c>
      <c r="UU32">
        <v>88927</v>
      </c>
      <c r="UV32">
        <v>101</v>
      </c>
      <c r="UW32">
        <v>44326</v>
      </c>
      <c r="UX32">
        <v>89195</v>
      </c>
      <c r="UY32">
        <v>201</v>
      </c>
      <c r="UZ32">
        <v>44328</v>
      </c>
      <c r="VA32">
        <v>89532</v>
      </c>
      <c r="VB32">
        <v>109</v>
      </c>
      <c r="VC32">
        <v>44328</v>
      </c>
      <c r="VD32">
        <v>89618</v>
      </c>
      <c r="VE32">
        <v>180</v>
      </c>
      <c r="VF32">
        <v>44329</v>
      </c>
      <c r="VG32">
        <v>89813</v>
      </c>
      <c r="VH32">
        <v>124</v>
      </c>
      <c r="VI32">
        <v>44331</v>
      </c>
      <c r="VJ32">
        <v>90105</v>
      </c>
      <c r="VK32">
        <v>90</v>
      </c>
      <c r="VL32">
        <v>44331</v>
      </c>
      <c r="VM32">
        <v>90176</v>
      </c>
      <c r="VN32">
        <v>129</v>
      </c>
      <c r="VO32">
        <v>44332</v>
      </c>
      <c r="VP32">
        <v>90353</v>
      </c>
      <c r="VQ32">
        <v>114</v>
      </c>
      <c r="VR32">
        <v>44333</v>
      </c>
      <c r="VS32">
        <v>90601</v>
      </c>
      <c r="VT32">
        <v>209</v>
      </c>
      <c r="VU32">
        <v>44335</v>
      </c>
      <c r="VV32">
        <v>90946</v>
      </c>
      <c r="VW32">
        <v>103</v>
      </c>
      <c r="VX32">
        <v>44335</v>
      </c>
      <c r="VY32">
        <v>91081</v>
      </c>
      <c r="VZ32">
        <v>179</v>
      </c>
      <c r="WA32">
        <v>44336</v>
      </c>
      <c r="WB32">
        <v>91323</v>
      </c>
      <c r="WC32">
        <v>198</v>
      </c>
      <c r="WD32">
        <v>44337</v>
      </c>
      <c r="WE32">
        <v>91463</v>
      </c>
      <c r="WF32">
        <v>135</v>
      </c>
      <c r="WG32">
        <v>44338</v>
      </c>
      <c r="WH32">
        <v>91562</v>
      </c>
      <c r="WI32">
        <v>93</v>
      </c>
      <c r="WJ32">
        <v>44340</v>
      </c>
      <c r="WK32">
        <v>91744</v>
      </c>
      <c r="WL32">
        <v>74</v>
      </c>
      <c r="WM32">
        <v>44340</v>
      </c>
      <c r="WN32">
        <v>91879</v>
      </c>
      <c r="WO32">
        <v>156</v>
      </c>
      <c r="WP32">
        <v>44343</v>
      </c>
      <c r="WQ32">
        <v>92062</v>
      </c>
      <c r="WR32">
        <v>0</v>
      </c>
      <c r="WS32">
        <v>44344</v>
      </c>
      <c r="WT32">
        <v>92405</v>
      </c>
      <c r="WU32">
        <v>98</v>
      </c>
      <c r="WV32">
        <v>44345</v>
      </c>
      <c r="WW32">
        <v>92445</v>
      </c>
      <c r="WX32">
        <v>32</v>
      </c>
      <c r="WY32">
        <v>44346</v>
      </c>
      <c r="WZ32">
        <v>92591</v>
      </c>
      <c r="XA32">
        <v>64</v>
      </c>
      <c r="XB32">
        <v>44347</v>
      </c>
      <c r="XC32">
        <v>92711</v>
      </c>
      <c r="XD32">
        <v>90</v>
      </c>
      <c r="XE32">
        <v>44349</v>
      </c>
      <c r="XF32">
        <v>92913</v>
      </c>
      <c r="XG32">
        <v>70</v>
      </c>
      <c r="XH32">
        <v>44349</v>
      </c>
      <c r="XI32">
        <v>92980</v>
      </c>
      <c r="XJ32">
        <v>90</v>
      </c>
      <c r="XK32">
        <v>44350</v>
      </c>
      <c r="XL32">
        <v>93108</v>
      </c>
      <c r="XM32">
        <v>99</v>
      </c>
      <c r="XN32">
        <v>44351</v>
      </c>
      <c r="XO32">
        <v>93191</v>
      </c>
      <c r="XP32">
        <v>73</v>
      </c>
      <c r="XQ32">
        <v>44352</v>
      </c>
      <c r="XR32">
        <v>93242</v>
      </c>
      <c r="XS32">
        <v>44</v>
      </c>
      <c r="XT32">
        <v>44353</v>
      </c>
      <c r="XU32">
        <v>93320</v>
      </c>
      <c r="XV32">
        <v>47</v>
      </c>
      <c r="XW32">
        <v>44354</v>
      </c>
      <c r="XX32">
        <v>93470</v>
      </c>
      <c r="XY32">
        <v>106</v>
      </c>
      <c r="XZ32">
        <v>44355</v>
      </c>
      <c r="YA32">
        <v>93572</v>
      </c>
      <c r="YB32">
        <v>85</v>
      </c>
      <c r="YC32">
        <v>44357</v>
      </c>
      <c r="YD32">
        <v>93660</v>
      </c>
      <c r="YE32">
        <v>12</v>
      </c>
      <c r="YF32">
        <v>44358</v>
      </c>
      <c r="YG32">
        <v>93804</v>
      </c>
      <c r="YH32">
        <v>53</v>
      </c>
      <c r="YI32">
        <v>44359</v>
      </c>
      <c r="YJ32">
        <v>93831</v>
      </c>
      <c r="YK32">
        <v>22</v>
      </c>
      <c r="YL32">
        <v>44360</v>
      </c>
      <c r="YM32">
        <v>93888</v>
      </c>
      <c r="YN32">
        <v>32</v>
      </c>
      <c r="YO32">
        <v>44361</v>
      </c>
      <c r="YP32">
        <v>93985</v>
      </c>
      <c r="YQ32">
        <v>66</v>
      </c>
      <c r="YR32">
        <v>44362</v>
      </c>
      <c r="YS32">
        <v>94050</v>
      </c>
      <c r="YT32">
        <v>56</v>
      </c>
    </row>
    <row r="33" spans="2:670">
      <c r="B33" t="str">
        <f t="shared" ca="1" si="2"/>
        <v>16.6</v>
      </c>
      <c r="C33" s="4">
        <f t="shared" ca="1" si="0"/>
        <v>44363</v>
      </c>
      <c r="D33" s="11">
        <f t="shared" ca="1" si="1"/>
        <v>94119</v>
      </c>
      <c r="E33">
        <f t="shared" ca="1" si="3"/>
        <v>40</v>
      </c>
      <c r="F33" s="11">
        <f t="shared" ca="1" si="4"/>
        <v>9</v>
      </c>
      <c r="G33" s="11">
        <f t="shared" ca="1" si="5"/>
        <v>31</v>
      </c>
      <c r="K33" s="4"/>
      <c r="L33" s="3"/>
      <c r="N33" s="16">
        <v>44363</v>
      </c>
      <c r="O33">
        <v>94081</v>
      </c>
      <c r="P33">
        <v>31</v>
      </c>
      <c r="Q33" s="16">
        <v>44363</v>
      </c>
      <c r="R33">
        <v>94081</v>
      </c>
      <c r="S33">
        <v>31</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v>44294</v>
      </c>
      <c r="RU33">
        <v>81261</v>
      </c>
      <c r="RV33">
        <v>115</v>
      </c>
      <c r="RW33">
        <v>44295</v>
      </c>
      <c r="RX33">
        <v>81707</v>
      </c>
      <c r="RY33">
        <v>142</v>
      </c>
      <c r="RZ33">
        <v>44296</v>
      </c>
      <c r="SA33">
        <v>82053</v>
      </c>
      <c r="SB33">
        <v>139</v>
      </c>
      <c r="SC33">
        <v>44297</v>
      </c>
      <c r="SD33">
        <v>82278</v>
      </c>
      <c r="SE33">
        <v>131</v>
      </c>
      <c r="SF33">
        <v>44298</v>
      </c>
      <c r="SG33">
        <v>82564</v>
      </c>
      <c r="SH33">
        <v>183</v>
      </c>
      <c r="SI33">
        <v>44299</v>
      </c>
      <c r="SJ33">
        <v>82964</v>
      </c>
      <c r="SK33">
        <v>169</v>
      </c>
      <c r="SL33">
        <v>44301</v>
      </c>
      <c r="SM33">
        <v>83253</v>
      </c>
      <c r="SN33">
        <v>0</v>
      </c>
      <c r="SO33">
        <v>44302</v>
      </c>
      <c r="SP33">
        <v>83633</v>
      </c>
      <c r="SQ33">
        <v>0</v>
      </c>
      <c r="SR33">
        <v>44303</v>
      </c>
      <c r="SS33">
        <v>84131</v>
      </c>
      <c r="ST33">
        <v>109</v>
      </c>
      <c r="SU33">
        <v>44304</v>
      </c>
      <c r="SV33">
        <v>84287</v>
      </c>
      <c r="SW33">
        <v>71</v>
      </c>
      <c r="SX33">
        <v>44306</v>
      </c>
      <c r="SY33">
        <v>84501</v>
      </c>
      <c r="SZ33">
        <v>0</v>
      </c>
      <c r="TA33">
        <v>44307</v>
      </c>
      <c r="TB33">
        <v>85077</v>
      </c>
      <c r="TC33">
        <v>100</v>
      </c>
      <c r="TD33">
        <v>44309</v>
      </c>
      <c r="TE33">
        <v>85344</v>
      </c>
      <c r="TF33">
        <v>0</v>
      </c>
      <c r="TG33">
        <v>44310</v>
      </c>
      <c r="TH33">
        <v>85804</v>
      </c>
      <c r="TI33">
        <v>87</v>
      </c>
      <c r="TJ33">
        <v>44311</v>
      </c>
      <c r="TK33">
        <v>85937</v>
      </c>
      <c r="TL33">
        <v>77</v>
      </c>
      <c r="TM33">
        <v>44312</v>
      </c>
      <c r="TN33">
        <v>86161</v>
      </c>
      <c r="TO33">
        <v>123</v>
      </c>
      <c r="TP33">
        <v>44314</v>
      </c>
      <c r="TQ33">
        <v>86405</v>
      </c>
      <c r="TR33">
        <v>0</v>
      </c>
      <c r="TS33">
        <v>44315</v>
      </c>
      <c r="TT33">
        <v>86613</v>
      </c>
      <c r="TU33">
        <v>0</v>
      </c>
      <c r="TV33">
        <v>44315</v>
      </c>
      <c r="TW33">
        <v>86808</v>
      </c>
      <c r="TX33">
        <v>67</v>
      </c>
      <c r="TY33">
        <v>44316</v>
      </c>
      <c r="TZ33">
        <v>87096</v>
      </c>
      <c r="UA33">
        <v>95</v>
      </c>
      <c r="UB33">
        <v>44318</v>
      </c>
      <c r="UC33">
        <v>87228</v>
      </c>
      <c r="UD33">
        <v>0</v>
      </c>
      <c r="UE33">
        <v>44318</v>
      </c>
      <c r="UF33">
        <v>87345</v>
      </c>
      <c r="UG33">
        <v>56</v>
      </c>
      <c r="UH33">
        <v>44319</v>
      </c>
      <c r="UI33">
        <v>87529</v>
      </c>
      <c r="UJ33">
        <v>108</v>
      </c>
      <c r="UK33">
        <v>44320</v>
      </c>
      <c r="UL33">
        <v>87798</v>
      </c>
      <c r="UM33">
        <v>95</v>
      </c>
      <c r="UN33">
        <v>44324</v>
      </c>
      <c r="UO33">
        <v>88078</v>
      </c>
      <c r="UP33">
        <v>0</v>
      </c>
      <c r="UQ33">
        <v>44325</v>
      </c>
      <c r="UR33">
        <v>88866</v>
      </c>
      <c r="US33">
        <v>70</v>
      </c>
      <c r="UT33">
        <v>44326</v>
      </c>
      <c r="UU33">
        <v>88990</v>
      </c>
      <c r="UV33">
        <v>63</v>
      </c>
      <c r="UW33">
        <v>44327</v>
      </c>
      <c r="UX33">
        <v>89270</v>
      </c>
      <c r="UY33">
        <v>75</v>
      </c>
      <c r="UZ33">
        <v>44329</v>
      </c>
      <c r="VA33">
        <v>89532</v>
      </c>
      <c r="VB33">
        <v>0</v>
      </c>
      <c r="VC33">
        <v>44329</v>
      </c>
      <c r="VD33">
        <v>89686</v>
      </c>
      <c r="VE33">
        <v>68</v>
      </c>
      <c r="VF33">
        <v>44330</v>
      </c>
      <c r="VG33">
        <v>89878</v>
      </c>
      <c r="VH33">
        <v>65</v>
      </c>
      <c r="VI33">
        <v>44332</v>
      </c>
      <c r="VJ33">
        <v>90105</v>
      </c>
      <c r="VK33">
        <v>0</v>
      </c>
      <c r="VL33">
        <v>44332</v>
      </c>
      <c r="VM33">
        <v>90249</v>
      </c>
      <c r="VN33">
        <v>73</v>
      </c>
      <c r="VO33">
        <v>44333</v>
      </c>
      <c r="VP33">
        <v>90398</v>
      </c>
      <c r="VQ33">
        <v>45</v>
      </c>
      <c r="VR33">
        <v>44334</v>
      </c>
      <c r="VS33">
        <v>90687</v>
      </c>
      <c r="VT33">
        <v>86</v>
      </c>
      <c r="VU33">
        <v>44336</v>
      </c>
      <c r="VV33">
        <v>90946</v>
      </c>
      <c r="VW33">
        <v>0</v>
      </c>
      <c r="VX33">
        <v>44336</v>
      </c>
      <c r="VY33">
        <v>91157</v>
      </c>
      <c r="VZ33">
        <v>76</v>
      </c>
      <c r="WA33">
        <v>44337</v>
      </c>
      <c r="WB33">
        <v>91405</v>
      </c>
      <c r="WC33">
        <v>82</v>
      </c>
      <c r="WD33">
        <v>44338</v>
      </c>
      <c r="WE33">
        <v>91526</v>
      </c>
      <c r="WF33">
        <v>63</v>
      </c>
      <c r="WG33">
        <v>44339</v>
      </c>
      <c r="WH33">
        <v>91619</v>
      </c>
      <c r="WI33">
        <v>57</v>
      </c>
      <c r="WJ33">
        <v>44341</v>
      </c>
      <c r="WK33">
        <v>91744</v>
      </c>
      <c r="WL33">
        <v>0</v>
      </c>
      <c r="WM33">
        <v>44341</v>
      </c>
      <c r="WN33">
        <v>91964</v>
      </c>
      <c r="WO33">
        <v>85</v>
      </c>
      <c r="WP33">
        <v>44344</v>
      </c>
      <c r="WQ33">
        <v>92062</v>
      </c>
      <c r="WR33">
        <v>0</v>
      </c>
      <c r="WS33">
        <v>44345</v>
      </c>
      <c r="WT33">
        <v>92432</v>
      </c>
      <c r="WU33">
        <v>27</v>
      </c>
      <c r="WV33">
        <v>44346</v>
      </c>
      <c r="WW33">
        <v>92488</v>
      </c>
      <c r="WX33">
        <v>43</v>
      </c>
      <c r="WY33">
        <v>44347</v>
      </c>
      <c r="WZ33">
        <v>92642</v>
      </c>
      <c r="XA33">
        <v>51</v>
      </c>
      <c r="XB33">
        <v>44348</v>
      </c>
      <c r="XC33">
        <v>92770</v>
      </c>
      <c r="XD33">
        <v>59</v>
      </c>
      <c r="XE33">
        <v>44350</v>
      </c>
      <c r="XF33">
        <v>92913</v>
      </c>
      <c r="XG33">
        <v>0</v>
      </c>
      <c r="XH33">
        <v>44350</v>
      </c>
      <c r="XI33">
        <v>93038</v>
      </c>
      <c r="XJ33">
        <v>58</v>
      </c>
      <c r="XK33">
        <v>44351</v>
      </c>
      <c r="XL33">
        <v>93158</v>
      </c>
      <c r="XM33">
        <v>50</v>
      </c>
      <c r="XN33">
        <v>44352</v>
      </c>
      <c r="XO33">
        <v>93226</v>
      </c>
      <c r="XP33">
        <v>35</v>
      </c>
      <c r="XQ33">
        <v>44353</v>
      </c>
      <c r="XR33">
        <v>93281</v>
      </c>
      <c r="XS33">
        <v>39</v>
      </c>
      <c r="XT33">
        <v>44354</v>
      </c>
      <c r="XU33">
        <v>93394</v>
      </c>
      <c r="XV33">
        <v>74</v>
      </c>
      <c r="XW33">
        <v>44355</v>
      </c>
      <c r="XX33">
        <v>93520</v>
      </c>
      <c r="XY33">
        <v>50</v>
      </c>
      <c r="XZ33">
        <v>44356</v>
      </c>
      <c r="YA33">
        <v>93613</v>
      </c>
      <c r="YB33">
        <v>41</v>
      </c>
      <c r="YC33">
        <v>44358</v>
      </c>
      <c r="YD33">
        <v>93660</v>
      </c>
      <c r="YE33">
        <v>0</v>
      </c>
      <c r="YF33">
        <v>44359</v>
      </c>
      <c r="YG33">
        <v>93821</v>
      </c>
      <c r="YH33">
        <v>17</v>
      </c>
      <c r="YI33">
        <v>44360</v>
      </c>
      <c r="YJ33">
        <v>93850</v>
      </c>
      <c r="YK33">
        <v>19</v>
      </c>
      <c r="YL33">
        <v>44361</v>
      </c>
      <c r="YM33">
        <v>93923</v>
      </c>
      <c r="YN33">
        <v>35</v>
      </c>
      <c r="YO33">
        <v>44362</v>
      </c>
      <c r="YP33">
        <v>94026</v>
      </c>
      <c r="YQ33">
        <v>41</v>
      </c>
      <c r="YR33">
        <v>44363</v>
      </c>
      <c r="YS33">
        <v>94081</v>
      </c>
      <c r="YT33">
        <v>31</v>
      </c>
    </row>
    <row r="34" spans="2:670" s="10" customFormat="1">
      <c r="B34" t="str">
        <f t="shared" ca="1" si="2"/>
        <v>17.6</v>
      </c>
      <c r="C34" s="9">
        <f t="shared" ca="1" si="0"/>
        <v>44364</v>
      </c>
      <c r="D34" s="10">
        <f t="shared" ca="1" si="1"/>
        <v>94154</v>
      </c>
      <c r="E34" s="10">
        <f t="shared" ca="1" si="3"/>
        <v>35</v>
      </c>
      <c r="F34" s="10">
        <f t="shared" ca="1" si="4"/>
        <v>35</v>
      </c>
      <c r="G34" s="10">
        <f t="shared" ca="1" si="5"/>
        <v>0</v>
      </c>
      <c r="K34" s="9"/>
      <c r="L34" s="14"/>
      <c r="N34" s="17">
        <v>44364</v>
      </c>
      <c r="O34" s="10">
        <v>94081</v>
      </c>
      <c r="P34" s="10">
        <v>0</v>
      </c>
      <c r="Q34" s="17">
        <v>44364</v>
      </c>
      <c r="R34" s="10">
        <v>94081</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0">
        <v>44295</v>
      </c>
      <c r="RU34" s="10">
        <v>81261</v>
      </c>
      <c r="RV34" s="10">
        <v>0</v>
      </c>
      <c r="RW34" s="10">
        <v>44296</v>
      </c>
      <c r="RX34" s="10">
        <v>81707</v>
      </c>
      <c r="RY34" s="10">
        <v>0</v>
      </c>
      <c r="RZ34" s="10">
        <v>44297</v>
      </c>
      <c r="SA34" s="10">
        <v>82053</v>
      </c>
      <c r="SB34" s="10">
        <v>0</v>
      </c>
      <c r="SC34" s="10">
        <v>44298</v>
      </c>
      <c r="SD34" s="10">
        <v>82278</v>
      </c>
      <c r="SE34" s="10">
        <v>0</v>
      </c>
      <c r="SF34" s="10">
        <v>44299</v>
      </c>
      <c r="SG34" s="10">
        <v>82564</v>
      </c>
      <c r="SH34" s="10">
        <v>0</v>
      </c>
      <c r="SI34" s="10">
        <v>44300</v>
      </c>
      <c r="SJ34" s="10">
        <v>82964</v>
      </c>
      <c r="SK34" s="10">
        <v>0</v>
      </c>
      <c r="SL34" s="10">
        <v>44302</v>
      </c>
      <c r="SM34" s="10">
        <v>83253</v>
      </c>
      <c r="SN34" s="10">
        <v>0</v>
      </c>
      <c r="SO34" s="10">
        <v>44303</v>
      </c>
      <c r="SP34" s="10">
        <v>83633</v>
      </c>
      <c r="SQ34" s="10">
        <v>0</v>
      </c>
      <c r="SR34" s="10">
        <v>44304</v>
      </c>
      <c r="SS34" s="10">
        <v>84131</v>
      </c>
      <c r="ST34" s="10">
        <v>0</v>
      </c>
      <c r="SU34" s="10">
        <v>44305</v>
      </c>
      <c r="SV34" s="10">
        <v>84287</v>
      </c>
      <c r="SW34" s="10">
        <v>0</v>
      </c>
      <c r="SX34" s="10">
        <v>44307</v>
      </c>
      <c r="SY34" s="10">
        <v>84501</v>
      </c>
      <c r="SZ34" s="10">
        <v>0</v>
      </c>
      <c r="TA34" s="10">
        <v>44308</v>
      </c>
      <c r="TB34" s="10">
        <v>85077</v>
      </c>
      <c r="TC34" s="10">
        <v>0</v>
      </c>
      <c r="TD34" s="10">
        <v>44310</v>
      </c>
      <c r="TE34" s="10">
        <v>85344</v>
      </c>
      <c r="TF34" s="10">
        <v>0</v>
      </c>
      <c r="TG34" s="10">
        <v>44311</v>
      </c>
      <c r="TH34" s="10">
        <v>85804</v>
      </c>
      <c r="TI34" s="10">
        <v>0</v>
      </c>
      <c r="TJ34" s="10">
        <v>44312</v>
      </c>
      <c r="TK34" s="10">
        <v>85937</v>
      </c>
      <c r="TL34" s="10">
        <v>0</v>
      </c>
      <c r="TM34" s="10">
        <v>44313</v>
      </c>
      <c r="TN34" s="10">
        <v>86161</v>
      </c>
      <c r="TO34" s="10">
        <v>0</v>
      </c>
      <c r="TP34" s="10">
        <v>44315</v>
      </c>
      <c r="TQ34" s="10">
        <v>86405</v>
      </c>
      <c r="TR34" s="10">
        <v>0</v>
      </c>
      <c r="TS34" s="10">
        <v>44316</v>
      </c>
      <c r="TT34" s="10">
        <v>86613</v>
      </c>
      <c r="TU34" s="10">
        <v>0</v>
      </c>
      <c r="TV34" s="10">
        <v>44316</v>
      </c>
      <c r="TW34" s="10">
        <v>86808</v>
      </c>
      <c r="TX34" s="10">
        <v>0</v>
      </c>
      <c r="TY34" s="10">
        <v>44317</v>
      </c>
      <c r="TZ34" s="10">
        <v>87096</v>
      </c>
      <c r="UA34" s="10">
        <v>0</v>
      </c>
      <c r="UB34" s="10">
        <v>44319</v>
      </c>
      <c r="UC34" s="10">
        <v>87228</v>
      </c>
      <c r="UD34" s="10">
        <v>0</v>
      </c>
      <c r="UE34" s="10">
        <v>44319</v>
      </c>
      <c r="UF34" s="10">
        <v>87345</v>
      </c>
      <c r="UG34" s="10">
        <v>0</v>
      </c>
      <c r="UH34" s="10">
        <v>44320</v>
      </c>
      <c r="UI34" s="10">
        <v>87529</v>
      </c>
      <c r="UJ34" s="10">
        <v>0</v>
      </c>
      <c r="UK34" s="10">
        <v>44321</v>
      </c>
      <c r="UL34" s="10">
        <v>87798</v>
      </c>
      <c r="UM34" s="10">
        <v>0</v>
      </c>
      <c r="UN34" s="10">
        <v>44325</v>
      </c>
      <c r="UO34" s="10">
        <v>88078</v>
      </c>
      <c r="UP34" s="10">
        <v>0</v>
      </c>
      <c r="UQ34" s="10">
        <v>44326</v>
      </c>
      <c r="UR34" s="10">
        <v>88866</v>
      </c>
      <c r="US34" s="10">
        <v>0</v>
      </c>
      <c r="UT34" s="10">
        <v>44327</v>
      </c>
      <c r="UU34" s="10">
        <v>88990</v>
      </c>
      <c r="UV34" s="10">
        <v>0</v>
      </c>
      <c r="UW34" s="10">
        <v>44328</v>
      </c>
      <c r="UX34" s="10">
        <v>89270</v>
      </c>
      <c r="UY34" s="10">
        <v>0</v>
      </c>
      <c r="UZ34" s="10">
        <v>44330</v>
      </c>
      <c r="VA34" s="10">
        <v>89532</v>
      </c>
      <c r="VB34" s="10">
        <v>0</v>
      </c>
      <c r="VC34" s="10">
        <v>44330</v>
      </c>
      <c r="VD34" s="10">
        <v>89686</v>
      </c>
      <c r="VE34" s="10">
        <v>0</v>
      </c>
      <c r="VF34" s="10">
        <v>44331</v>
      </c>
      <c r="VG34" s="10">
        <v>89878</v>
      </c>
      <c r="VH34" s="10">
        <v>0</v>
      </c>
      <c r="VI34" s="10">
        <v>44333</v>
      </c>
      <c r="VJ34" s="10">
        <v>90105</v>
      </c>
      <c r="VK34" s="10">
        <v>0</v>
      </c>
      <c r="VL34" s="10">
        <v>44333</v>
      </c>
      <c r="VM34" s="10">
        <v>90249</v>
      </c>
      <c r="VN34" s="10">
        <v>0</v>
      </c>
      <c r="VO34" s="10">
        <v>44334</v>
      </c>
      <c r="VP34" s="10">
        <v>90398</v>
      </c>
      <c r="VQ34" s="10">
        <v>0</v>
      </c>
      <c r="VR34" s="10">
        <v>44335</v>
      </c>
      <c r="VS34" s="10">
        <v>90687</v>
      </c>
      <c r="VT34" s="10">
        <v>0</v>
      </c>
      <c r="VU34" s="10">
        <v>44337</v>
      </c>
      <c r="VV34" s="10">
        <v>90946</v>
      </c>
      <c r="VW34" s="10">
        <v>0</v>
      </c>
      <c r="VX34" s="10">
        <v>44337</v>
      </c>
      <c r="VY34" s="10">
        <v>91157</v>
      </c>
      <c r="VZ34" s="10">
        <v>0</v>
      </c>
      <c r="WA34" s="10">
        <v>44338</v>
      </c>
      <c r="WB34" s="10">
        <v>91405</v>
      </c>
      <c r="WC34" s="10">
        <v>0</v>
      </c>
      <c r="WD34" s="10">
        <v>44339</v>
      </c>
      <c r="WE34" s="10">
        <v>91526</v>
      </c>
      <c r="WF34" s="10">
        <v>0</v>
      </c>
      <c r="WG34" s="10">
        <v>44340</v>
      </c>
      <c r="WH34" s="10">
        <v>91619</v>
      </c>
      <c r="WI34" s="10">
        <v>0</v>
      </c>
      <c r="WJ34" s="10">
        <v>44342</v>
      </c>
      <c r="WK34" s="10">
        <v>91744</v>
      </c>
      <c r="WL34" s="10">
        <v>0</v>
      </c>
      <c r="WM34" s="10">
        <v>44342</v>
      </c>
      <c r="WN34" s="10">
        <v>91964</v>
      </c>
      <c r="WO34" s="10">
        <v>0</v>
      </c>
      <c r="WP34" s="10">
        <v>44345</v>
      </c>
      <c r="WQ34" s="10">
        <v>92062</v>
      </c>
      <c r="WR34" s="10">
        <v>0</v>
      </c>
      <c r="WS34" s="10">
        <v>44346</v>
      </c>
      <c r="WT34" s="10">
        <v>92432</v>
      </c>
      <c r="WU34" s="10">
        <v>0</v>
      </c>
      <c r="WV34" s="10">
        <v>44347</v>
      </c>
      <c r="WW34" s="10">
        <v>92488</v>
      </c>
      <c r="WX34" s="10">
        <v>0</v>
      </c>
      <c r="WY34" s="10">
        <v>44348</v>
      </c>
      <c r="WZ34" s="10">
        <v>92642</v>
      </c>
      <c r="XA34" s="10">
        <v>0</v>
      </c>
      <c r="XB34" s="10">
        <v>44349</v>
      </c>
      <c r="XC34" s="10">
        <v>92770</v>
      </c>
      <c r="XD34" s="10">
        <v>0</v>
      </c>
      <c r="XE34" s="10">
        <v>44351</v>
      </c>
      <c r="XF34" s="10">
        <v>92913</v>
      </c>
      <c r="XG34" s="10">
        <v>0</v>
      </c>
      <c r="XH34" s="10">
        <v>44351</v>
      </c>
      <c r="XI34" s="10">
        <v>93038</v>
      </c>
      <c r="XJ34" s="10">
        <v>0</v>
      </c>
      <c r="XK34" s="10">
        <v>44352</v>
      </c>
      <c r="XL34" s="10">
        <v>93158</v>
      </c>
      <c r="XM34" s="10">
        <v>0</v>
      </c>
      <c r="XN34" s="10">
        <v>44353</v>
      </c>
      <c r="XO34" s="10">
        <v>93226</v>
      </c>
      <c r="XP34" s="10">
        <v>0</v>
      </c>
      <c r="XQ34" s="10">
        <v>44354</v>
      </c>
      <c r="XR34" s="10">
        <v>93281</v>
      </c>
      <c r="XS34" s="10">
        <v>0</v>
      </c>
      <c r="XT34" s="10">
        <v>44355</v>
      </c>
      <c r="XU34" s="10">
        <v>93394</v>
      </c>
      <c r="XV34" s="10">
        <v>0</v>
      </c>
      <c r="XW34" s="10">
        <v>44356</v>
      </c>
      <c r="XX34" s="10">
        <v>93520</v>
      </c>
      <c r="XY34" s="10">
        <v>0</v>
      </c>
      <c r="XZ34" s="10">
        <v>44357</v>
      </c>
      <c r="YA34" s="10">
        <v>93613</v>
      </c>
      <c r="YB34" s="10">
        <v>0</v>
      </c>
      <c r="YC34" s="10">
        <v>44359</v>
      </c>
      <c r="YD34" s="10">
        <v>93660</v>
      </c>
      <c r="YE34" s="10">
        <v>0</v>
      </c>
      <c r="YF34" s="10">
        <v>44360</v>
      </c>
      <c r="YG34" s="10">
        <v>93821</v>
      </c>
      <c r="YH34" s="10">
        <v>0</v>
      </c>
      <c r="YI34" s="10">
        <v>44361</v>
      </c>
      <c r="YJ34" s="10">
        <v>93850</v>
      </c>
      <c r="YK34" s="10">
        <v>0</v>
      </c>
      <c r="YL34" s="10">
        <v>44362</v>
      </c>
      <c r="YM34" s="10">
        <v>93923</v>
      </c>
      <c r="YN34" s="10">
        <v>0</v>
      </c>
      <c r="YO34" s="10">
        <v>44363</v>
      </c>
      <c r="YP34" s="10">
        <v>94026</v>
      </c>
      <c r="YQ34" s="10">
        <v>0</v>
      </c>
      <c r="YR34" s="10">
        <v>44364</v>
      </c>
      <c r="YS34" s="10">
        <v>94081</v>
      </c>
      <c r="YT34" s="10">
        <v>0</v>
      </c>
    </row>
    <row r="35" spans="2:670">
      <c r="B35" t="str">
        <f t="shared" ca="1" si="2"/>
        <v>18.6</v>
      </c>
      <c r="C35" s="12">
        <f ca="1">FLOOR(NOW(),1)</f>
        <v>44365</v>
      </c>
      <c r="D35" s="11">
        <f t="shared" ca="1" si="1"/>
        <v>94154</v>
      </c>
      <c r="E35" s="11">
        <f t="shared" ca="1" si="3"/>
        <v>0</v>
      </c>
      <c r="F35" s="11">
        <f t="shared" ca="1" si="4"/>
        <v>0</v>
      </c>
      <c r="G35" s="11">
        <f t="shared" ca="1" si="5"/>
        <v>0</v>
      </c>
      <c r="N35" s="16">
        <v>44365</v>
      </c>
      <c r="O35">
        <v>94081</v>
      </c>
      <c r="P35" s="11">
        <v>0</v>
      </c>
      <c r="Q35" s="16">
        <v>44365</v>
      </c>
      <c r="R35">
        <v>94081</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v>44296</v>
      </c>
      <c r="RU35">
        <v>81261</v>
      </c>
      <c r="RV35">
        <v>0</v>
      </c>
      <c r="RW35">
        <v>44297</v>
      </c>
      <c r="RX35">
        <v>81707</v>
      </c>
      <c r="RY35">
        <v>0</v>
      </c>
      <c r="RZ35">
        <v>44298</v>
      </c>
      <c r="SA35">
        <v>82053</v>
      </c>
      <c r="SB35">
        <v>0</v>
      </c>
      <c r="SC35">
        <v>44299</v>
      </c>
      <c r="SD35">
        <v>82278</v>
      </c>
      <c r="SE35">
        <v>0</v>
      </c>
      <c r="SF35">
        <v>44300</v>
      </c>
      <c r="SG35">
        <v>82564</v>
      </c>
      <c r="SH35">
        <v>0</v>
      </c>
      <c r="SI35">
        <v>44301</v>
      </c>
      <c r="SJ35">
        <v>82964</v>
      </c>
      <c r="SK35">
        <v>0</v>
      </c>
      <c r="SL35">
        <v>44303</v>
      </c>
      <c r="SM35">
        <v>83253</v>
      </c>
      <c r="SN35">
        <v>0</v>
      </c>
      <c r="SO35">
        <v>44304</v>
      </c>
      <c r="SP35">
        <v>83633</v>
      </c>
      <c r="SQ35">
        <v>0</v>
      </c>
      <c r="SR35">
        <v>44305</v>
      </c>
      <c r="SS35">
        <v>84131</v>
      </c>
      <c r="ST35">
        <v>0</v>
      </c>
      <c r="SU35">
        <v>44306</v>
      </c>
      <c r="SV35">
        <v>84287</v>
      </c>
      <c r="SW35">
        <v>0</v>
      </c>
      <c r="SX35">
        <v>44308</v>
      </c>
      <c r="SY35">
        <v>84501</v>
      </c>
      <c r="SZ35">
        <v>0</v>
      </c>
      <c r="TA35">
        <v>44309</v>
      </c>
      <c r="TB35">
        <v>85077</v>
      </c>
      <c r="TC35">
        <v>0</v>
      </c>
      <c r="TD35">
        <v>44311</v>
      </c>
      <c r="TE35">
        <v>85344</v>
      </c>
      <c r="TF35">
        <v>0</v>
      </c>
      <c r="TG35">
        <v>44312</v>
      </c>
      <c r="TH35">
        <v>85804</v>
      </c>
      <c r="TI35">
        <v>0</v>
      </c>
      <c r="TJ35">
        <v>44313</v>
      </c>
      <c r="TK35">
        <v>85937</v>
      </c>
      <c r="TL35">
        <v>0</v>
      </c>
      <c r="TM35">
        <v>44314</v>
      </c>
      <c r="TN35">
        <v>86161</v>
      </c>
      <c r="TO35">
        <v>0</v>
      </c>
      <c r="TP35">
        <v>44316</v>
      </c>
      <c r="TQ35">
        <v>86405</v>
      </c>
      <c r="TR35">
        <v>0</v>
      </c>
      <c r="TS35">
        <v>44317</v>
      </c>
      <c r="TT35">
        <v>86613</v>
      </c>
      <c r="TU35">
        <v>0</v>
      </c>
      <c r="TV35">
        <v>44317</v>
      </c>
      <c r="TW35">
        <v>86808</v>
      </c>
      <c r="TX35">
        <v>0</v>
      </c>
      <c r="TY35">
        <v>44318</v>
      </c>
      <c r="TZ35">
        <v>87096</v>
      </c>
      <c r="UA35">
        <v>0</v>
      </c>
      <c r="UB35">
        <v>44320</v>
      </c>
      <c r="UC35">
        <v>87228</v>
      </c>
      <c r="UD35">
        <v>0</v>
      </c>
      <c r="UE35">
        <v>44320</v>
      </c>
      <c r="UF35">
        <v>87345</v>
      </c>
      <c r="UG35">
        <v>0</v>
      </c>
      <c r="UH35">
        <v>44321</v>
      </c>
      <c r="UI35">
        <v>87529</v>
      </c>
      <c r="UJ35">
        <v>0</v>
      </c>
      <c r="UK35">
        <v>44322</v>
      </c>
      <c r="UL35">
        <v>87798</v>
      </c>
      <c r="UM35">
        <v>0</v>
      </c>
      <c r="UN35">
        <v>44326</v>
      </c>
      <c r="UO35">
        <v>88078</v>
      </c>
      <c r="UP35">
        <v>0</v>
      </c>
      <c r="UQ35">
        <v>44327</v>
      </c>
      <c r="UR35">
        <v>88866</v>
      </c>
      <c r="US35">
        <v>0</v>
      </c>
      <c r="UT35">
        <v>44328</v>
      </c>
      <c r="UU35">
        <v>88990</v>
      </c>
      <c r="UV35">
        <v>0</v>
      </c>
      <c r="UW35">
        <v>44329</v>
      </c>
      <c r="UX35">
        <v>89270</v>
      </c>
      <c r="UY35">
        <v>0</v>
      </c>
      <c r="UZ35">
        <v>44331</v>
      </c>
      <c r="VA35">
        <v>89532</v>
      </c>
      <c r="VB35">
        <v>0</v>
      </c>
      <c r="VC35">
        <v>44331</v>
      </c>
      <c r="VD35">
        <v>89686</v>
      </c>
      <c r="VE35">
        <v>0</v>
      </c>
      <c r="VF35">
        <v>44332</v>
      </c>
      <c r="VG35">
        <v>89878</v>
      </c>
      <c r="VH35">
        <v>0</v>
      </c>
      <c r="VI35">
        <v>44334</v>
      </c>
      <c r="VJ35">
        <v>90105</v>
      </c>
      <c r="VK35">
        <v>0</v>
      </c>
      <c r="VL35">
        <v>44334</v>
      </c>
      <c r="VM35">
        <v>90249</v>
      </c>
      <c r="VN35">
        <v>0</v>
      </c>
      <c r="VO35">
        <v>44335</v>
      </c>
      <c r="VP35">
        <v>90398</v>
      </c>
      <c r="VQ35">
        <v>0</v>
      </c>
      <c r="VR35">
        <v>44336</v>
      </c>
      <c r="VS35">
        <v>90687</v>
      </c>
      <c r="VT35">
        <v>0</v>
      </c>
      <c r="VU35">
        <v>44338</v>
      </c>
      <c r="VV35">
        <v>90946</v>
      </c>
      <c r="VW35">
        <v>0</v>
      </c>
      <c r="VX35">
        <v>44338</v>
      </c>
      <c r="VY35">
        <v>91157</v>
      </c>
      <c r="VZ35">
        <v>0</v>
      </c>
      <c r="WA35">
        <v>44339</v>
      </c>
      <c r="WB35">
        <v>91405</v>
      </c>
      <c r="WC35">
        <v>0</v>
      </c>
      <c r="WD35">
        <v>44340</v>
      </c>
      <c r="WE35">
        <v>91526</v>
      </c>
      <c r="WF35">
        <v>0</v>
      </c>
      <c r="WG35">
        <v>44341</v>
      </c>
      <c r="WH35">
        <v>91619</v>
      </c>
      <c r="WI35">
        <v>0</v>
      </c>
      <c r="WJ35">
        <v>44343</v>
      </c>
      <c r="WK35">
        <v>91744</v>
      </c>
      <c r="WL35">
        <v>0</v>
      </c>
      <c r="WM35">
        <v>44343</v>
      </c>
      <c r="WN35">
        <v>91964</v>
      </c>
      <c r="WO35">
        <v>0</v>
      </c>
      <c r="WP35">
        <v>44346</v>
      </c>
      <c r="WQ35">
        <v>92062</v>
      </c>
      <c r="WR35">
        <v>0</v>
      </c>
      <c r="WS35">
        <v>44347</v>
      </c>
      <c r="WT35">
        <v>92432</v>
      </c>
      <c r="WU35">
        <v>0</v>
      </c>
      <c r="WV35">
        <v>44348</v>
      </c>
      <c r="WW35">
        <v>92488</v>
      </c>
      <c r="WX35">
        <v>0</v>
      </c>
      <c r="WY35">
        <v>44349</v>
      </c>
      <c r="WZ35">
        <v>92642</v>
      </c>
      <c r="XA35">
        <v>0</v>
      </c>
      <c r="XB35">
        <v>44350</v>
      </c>
      <c r="XC35">
        <v>92770</v>
      </c>
      <c r="XD35">
        <v>0</v>
      </c>
      <c r="XE35">
        <v>44352</v>
      </c>
      <c r="XF35">
        <v>92913</v>
      </c>
      <c r="XG35">
        <v>0</v>
      </c>
      <c r="XH35">
        <v>44352</v>
      </c>
      <c r="XI35">
        <v>93038</v>
      </c>
      <c r="XJ35">
        <v>0</v>
      </c>
      <c r="XK35">
        <v>44353</v>
      </c>
      <c r="XL35">
        <v>93158</v>
      </c>
      <c r="XM35">
        <v>0</v>
      </c>
      <c r="XN35">
        <v>44354</v>
      </c>
      <c r="XO35">
        <v>93226</v>
      </c>
      <c r="XP35">
        <v>0</v>
      </c>
      <c r="XQ35">
        <v>44355</v>
      </c>
      <c r="XR35">
        <v>93281</v>
      </c>
      <c r="XS35">
        <v>0</v>
      </c>
      <c r="XT35">
        <v>44356</v>
      </c>
      <c r="XU35">
        <v>93394</v>
      </c>
      <c r="XV35">
        <v>0</v>
      </c>
      <c r="XW35">
        <v>44357</v>
      </c>
      <c r="XX35">
        <v>93520</v>
      </c>
      <c r="XY35">
        <v>0</v>
      </c>
      <c r="XZ35">
        <v>44358</v>
      </c>
      <c r="YA35">
        <v>93613</v>
      </c>
      <c r="YB35">
        <v>0</v>
      </c>
      <c r="YC35">
        <v>44360</v>
      </c>
      <c r="YD35">
        <v>93660</v>
      </c>
      <c r="YE35">
        <v>0</v>
      </c>
      <c r="YF35">
        <v>44361</v>
      </c>
      <c r="YG35">
        <v>93821</v>
      </c>
      <c r="YH35">
        <v>0</v>
      </c>
      <c r="YI35">
        <v>44362</v>
      </c>
      <c r="YJ35">
        <v>93850</v>
      </c>
      <c r="YK35">
        <v>0</v>
      </c>
      <c r="YL35">
        <v>44363</v>
      </c>
      <c r="YM35">
        <v>93923</v>
      </c>
      <c r="YN35">
        <v>0</v>
      </c>
      <c r="YO35">
        <v>44364</v>
      </c>
      <c r="YP35">
        <v>94026</v>
      </c>
      <c r="YQ35">
        <v>0</v>
      </c>
      <c r="YR35">
        <v>44365</v>
      </c>
      <c r="YS35">
        <v>94081</v>
      </c>
      <c r="YT35">
        <v>0</v>
      </c>
    </row>
    <row r="36" spans="2:670" s="24" customFormat="1">
      <c r="Q36" s="24">
        <f>Q35</f>
        <v>44365</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c r="UE36" s="24">
        <f>UE35</f>
        <v>44320</v>
      </c>
      <c r="UH36" s="24">
        <f>UH35</f>
        <v>44321</v>
      </c>
      <c r="UK36" s="24">
        <f>UK35</f>
        <v>44322</v>
      </c>
      <c r="UN36" s="24">
        <f>UN35</f>
        <v>44326</v>
      </c>
      <c r="UQ36" s="24">
        <f>UQ35</f>
        <v>44327</v>
      </c>
      <c r="UT36" s="24">
        <f>UT35</f>
        <v>44328</v>
      </c>
      <c r="UW36" s="24">
        <f>UW35</f>
        <v>44329</v>
      </c>
      <c r="UZ36" s="24">
        <f>UZ35</f>
        <v>44331</v>
      </c>
      <c r="VC36" s="24">
        <f>VC35</f>
        <v>44331</v>
      </c>
      <c r="VF36" s="24">
        <f>VF35</f>
        <v>44332</v>
      </c>
      <c r="VI36" s="24">
        <f>VI35</f>
        <v>44334</v>
      </c>
      <c r="VL36" s="24">
        <f>VL35</f>
        <v>44334</v>
      </c>
      <c r="VO36" s="24">
        <f>VO35</f>
        <v>44335</v>
      </c>
      <c r="VR36" s="24">
        <f>VR35</f>
        <v>44336</v>
      </c>
      <c r="VU36" s="24">
        <f>VU35</f>
        <v>44338</v>
      </c>
      <c r="VX36" s="24">
        <f>VX35</f>
        <v>44338</v>
      </c>
      <c r="WA36" s="24">
        <f>WA35</f>
        <v>44339</v>
      </c>
      <c r="WD36" s="24">
        <f>WD35</f>
        <v>44340</v>
      </c>
      <c r="WG36" s="24">
        <f>WG35</f>
        <v>44341</v>
      </c>
      <c r="WJ36" s="24">
        <f>WJ35</f>
        <v>44343</v>
      </c>
      <c r="WM36" s="24">
        <f>WM35</f>
        <v>44343</v>
      </c>
      <c r="WP36" s="24">
        <f>WP35</f>
        <v>44346</v>
      </c>
      <c r="WS36" s="24">
        <f>WS35</f>
        <v>44347</v>
      </c>
      <c r="WV36" s="24">
        <f>WV35</f>
        <v>44348</v>
      </c>
      <c r="WY36" s="24">
        <f>WY35</f>
        <v>44349</v>
      </c>
      <c r="XB36" s="24">
        <f>XB35</f>
        <v>44350</v>
      </c>
      <c r="XE36" s="24">
        <f>XE35</f>
        <v>44352</v>
      </c>
      <c r="XH36" s="24">
        <f>XH35</f>
        <v>44352</v>
      </c>
      <c r="XK36" s="24">
        <f>XK35</f>
        <v>44353</v>
      </c>
    </row>
    <row r="37" spans="2:670" s="25" customFormat="1">
      <c r="B37" s="25">
        <v>1</v>
      </c>
      <c r="C37" s="25">
        <v>2</v>
      </c>
      <c r="D37" s="25">
        <v>3</v>
      </c>
      <c r="E37" s="25">
        <v>4</v>
      </c>
      <c r="F37" s="25">
        <v>5</v>
      </c>
      <c r="G37" s="25">
        <v>6</v>
      </c>
      <c r="H37" s="25">
        <v>7</v>
      </c>
      <c r="I37" s="25">
        <v>8</v>
      </c>
      <c r="J37" s="25">
        <v>9</v>
      </c>
      <c r="K37" s="25">
        <v>10</v>
      </c>
      <c r="L37" s="25">
        <v>11</v>
      </c>
      <c r="M37" s="25">
        <v>12</v>
      </c>
      <c r="O37" s="25" t="s">
        <v>352</v>
      </c>
      <c r="Q37" s="25">
        <f ca="1">D35-O35</f>
        <v>73</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c r="UE37" s="25">
        <f>UI35-UF35</f>
        <v>184</v>
      </c>
      <c r="UH37" s="25">
        <f>UL35-UI35</f>
        <v>269</v>
      </c>
      <c r="UK37" s="25">
        <f>UO35-UL35</f>
        <v>280</v>
      </c>
      <c r="UN37" s="25">
        <f>UR35-UO35</f>
        <v>788</v>
      </c>
      <c r="UQ37" s="25">
        <f>UU35-UR35</f>
        <v>124</v>
      </c>
      <c r="UT37" s="25">
        <f>UX35-UU35</f>
        <v>280</v>
      </c>
      <c r="UW37" s="25">
        <f>VA35-UX35</f>
        <v>262</v>
      </c>
      <c r="UZ37" s="25">
        <f>VD35-VA35</f>
        <v>154</v>
      </c>
      <c r="VC37" s="25">
        <f>VG35-VD35</f>
        <v>192</v>
      </c>
      <c r="VF37" s="25">
        <f>VJ35-VG35</f>
        <v>227</v>
      </c>
      <c r="VI37" s="25">
        <f>VM35-VJ35</f>
        <v>144</v>
      </c>
      <c r="VL37" s="25">
        <f>VP35-VM35</f>
        <v>149</v>
      </c>
      <c r="VO37" s="25">
        <f>VS35-VP35</f>
        <v>289</v>
      </c>
      <c r="VR37" s="25">
        <f>VV35-VS35</f>
        <v>259</v>
      </c>
      <c r="VU37" s="25">
        <f>VY35-VV35</f>
        <v>211</v>
      </c>
      <c r="VX37" s="25">
        <f>WB35-VY35</f>
        <v>248</v>
      </c>
      <c r="WA37" s="25">
        <f>WE35-WB35</f>
        <v>121</v>
      </c>
      <c r="WD37" s="25">
        <f>WH35-WE35</f>
        <v>93</v>
      </c>
      <c r="WG37" s="25">
        <f>WK35-WH35</f>
        <v>125</v>
      </c>
      <c r="WJ37" s="25">
        <f>WN35-WK35</f>
        <v>220</v>
      </c>
      <c r="WM37" s="25">
        <f>WQ35-WN35</f>
        <v>98</v>
      </c>
      <c r="WP37" s="25">
        <f>WT35-WQ35</f>
        <v>370</v>
      </c>
      <c r="WS37" s="25">
        <f>WW35-WT35</f>
        <v>56</v>
      </c>
      <c r="WV37" s="25">
        <f>WZ35-WW35</f>
        <v>154</v>
      </c>
      <c r="WY37" s="25">
        <f>XC35-WZ35</f>
        <v>128</v>
      </c>
      <c r="XB37" s="25">
        <f>XF35-XC35</f>
        <v>143</v>
      </c>
      <c r="XE37" s="25">
        <f>XI35-XF35</f>
        <v>125</v>
      </c>
      <c r="XH37" s="25">
        <f>XL35-XI35</f>
        <v>120</v>
      </c>
      <c r="XK37" s="25">
        <f>XO35-XL35</f>
        <v>68</v>
      </c>
    </row>
    <row r="38" spans="2:670"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row>
    <row r="39" spans="2:670">
      <c r="Q39" s="20"/>
      <c r="T39" s="20"/>
    </row>
    <row r="40" spans="2:670">
      <c r="B40" s="21">
        <f>Q36</f>
        <v>44365</v>
      </c>
      <c r="C40">
        <f t="shared" ref="C40:C47" ca="1" si="6">HLOOKUP(B40,$36:$37,2,FALSE)</f>
        <v>73</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670">
      <c r="B41" s="21">
        <f>B40-7</f>
        <v>44358</v>
      </c>
      <c r="C41" t="e">
        <f t="shared" si="6"/>
        <v>#N/A</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670">
      <c r="B42" s="21">
        <f t="shared" ref="B42:B47" si="7">B41-7</f>
        <v>44351</v>
      </c>
      <c r="C42" t="e">
        <f t="shared" si="6"/>
        <v>#N/A</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670">
      <c r="B43" s="21">
        <f t="shared" si="7"/>
        <v>44344</v>
      </c>
      <c r="C43" t="e">
        <f t="shared" si="6"/>
        <v>#N/A</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670">
      <c r="B44" s="21">
        <f t="shared" si="7"/>
        <v>44337</v>
      </c>
      <c r="C44" t="e">
        <f t="shared" si="6"/>
        <v>#N/A</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670">
      <c r="B45" s="21">
        <f t="shared" si="7"/>
        <v>44330</v>
      </c>
      <c r="C45" t="e">
        <f t="shared" si="6"/>
        <v>#N/A</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670">
      <c r="B46" s="21">
        <f t="shared" si="7"/>
        <v>44323</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670">
      <c r="B47" s="21">
        <f t="shared" si="7"/>
        <v>44316</v>
      </c>
      <c r="C47">
        <f t="shared" si="6"/>
        <v>208</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670">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44361.625</v>
      </c>
      <c r="C50">
        <f>DMAX(_xlnm.Database,"n",B49:B50)</f>
        <v>78</v>
      </c>
      <c r="D50" s="21">
        <f>B50</f>
        <v>44361.625</v>
      </c>
      <c r="E50">
        <f>C50</f>
        <v>78</v>
      </c>
      <c r="F50" s="13">
        <f>B50-1</f>
        <v>44360.625</v>
      </c>
      <c r="G50">
        <f>DMAX(_xlnm.Database,"n",F49:F50)</f>
        <v>46</v>
      </c>
      <c r="H50" s="21">
        <f>F50</f>
        <v>44360.625</v>
      </c>
      <c r="I50">
        <f>G50</f>
        <v>46</v>
      </c>
      <c r="J50" s="13">
        <f>F50-1</f>
        <v>44359.625</v>
      </c>
      <c r="K50">
        <f>DMAX(_xlnm.Database,"n",J49:J50)</f>
        <v>43</v>
      </c>
      <c r="L50" s="21">
        <f>J50</f>
        <v>44359.625</v>
      </c>
      <c r="M50">
        <f>K50</f>
        <v>43</v>
      </c>
      <c r="N50" s="22">
        <f>J50-1</f>
        <v>44358.625</v>
      </c>
      <c r="O50">
        <f>DMAX(_xlnm.Database,"n",N49:N50)</f>
        <v>70</v>
      </c>
      <c r="P50" s="21">
        <f>N50</f>
        <v>44358.625</v>
      </c>
      <c r="Q50">
        <f>O50</f>
        <v>70</v>
      </c>
      <c r="R50" s="22">
        <f>N50-1</f>
        <v>44357.625</v>
      </c>
      <c r="S50">
        <f>DMAX(_xlnm.Database,"n",R49:R50)</f>
        <v>78</v>
      </c>
      <c r="T50" s="21">
        <f>R50</f>
        <v>44357.625</v>
      </c>
      <c r="U50">
        <f>S50</f>
        <v>78</v>
      </c>
      <c r="V50" s="22">
        <f>R50-1</f>
        <v>44356.625</v>
      </c>
      <c r="W50">
        <f>DMAX(_xlnm.Database,"n",V49:V50)</f>
        <v>82</v>
      </c>
      <c r="X50" s="21">
        <f>V50</f>
        <v>44356.625</v>
      </c>
      <c r="Y50">
        <f>W50</f>
        <v>82</v>
      </c>
      <c r="Z50" s="22">
        <f>V50-1</f>
        <v>44355.625</v>
      </c>
      <c r="AA50">
        <f>DMAX(_xlnm.Database,"n",Z49:Z50)</f>
        <v>102</v>
      </c>
      <c r="AB50" s="21">
        <f>Z50</f>
        <v>44355.625</v>
      </c>
      <c r="AC50">
        <f>AA50</f>
        <v>102</v>
      </c>
      <c r="AD50" s="22">
        <f>Z50-1</f>
        <v>44354.625</v>
      </c>
      <c r="AE50">
        <f>DMAX(_xlnm.Database,"n",AD49:AD50)</f>
        <v>136</v>
      </c>
      <c r="AF50" s="21">
        <f>AD50</f>
        <v>44354.625</v>
      </c>
      <c r="AG50">
        <f>AE50</f>
        <v>136</v>
      </c>
      <c r="AH50" s="16"/>
      <c r="AI50"/>
      <c r="AK50" s="16"/>
      <c r="AL50"/>
      <c r="AN50" s="16"/>
      <c r="AO50"/>
      <c r="AQ50" s="16"/>
      <c r="AR50"/>
      <c r="AT50" s="16"/>
    </row>
    <row r="51" spans="2:46">
      <c r="B51" s="13" t="s">
        <v>7</v>
      </c>
      <c r="D51" s="16">
        <f>D50-7</f>
        <v>44354.625</v>
      </c>
      <c r="E51">
        <f>C52</f>
        <v>136</v>
      </c>
      <c r="F51" s="13" t="s">
        <v>7</v>
      </c>
      <c r="H51" s="16">
        <f>H50-7</f>
        <v>44353.625</v>
      </c>
      <c r="I51">
        <f>G52</f>
        <v>60</v>
      </c>
      <c r="J51" s="13" t="s">
        <v>7</v>
      </c>
      <c r="L51" s="16">
        <f>L50-7</f>
        <v>44352.625</v>
      </c>
      <c r="M51">
        <f>K52</f>
        <v>65</v>
      </c>
      <c r="N51" t="s">
        <v>7</v>
      </c>
      <c r="P51" s="16">
        <f>P50-7</f>
        <v>44351.625</v>
      </c>
      <c r="Q51">
        <f>O52</f>
        <v>101</v>
      </c>
      <c r="R51" t="s">
        <v>7</v>
      </c>
      <c r="T51" s="16">
        <f>T50-7</f>
        <v>44350.625</v>
      </c>
      <c r="U51">
        <f>S52</f>
        <v>111</v>
      </c>
      <c r="V51" t="s">
        <v>7</v>
      </c>
      <c r="W51"/>
      <c r="X51" s="16">
        <f>X50-7</f>
        <v>44349.625</v>
      </c>
      <c r="Y51">
        <f>W52</f>
        <v>118</v>
      </c>
      <c r="Z51" t="s">
        <v>7</v>
      </c>
      <c r="AB51" s="16">
        <f>AB50-7</f>
        <v>44348.625</v>
      </c>
      <c r="AC51">
        <f>AA52</f>
        <v>121</v>
      </c>
      <c r="AD51" t="s">
        <v>7</v>
      </c>
      <c r="AF51" s="16">
        <f>AF50-7</f>
        <v>44347.625</v>
      </c>
      <c r="AG51">
        <f>AE52</f>
        <v>145</v>
      </c>
      <c r="AH51" s="16"/>
      <c r="AI51"/>
      <c r="AK51" s="16"/>
      <c r="AL51"/>
      <c r="AN51" s="16"/>
      <c r="AO51"/>
      <c r="AQ51" s="16"/>
      <c r="AR51"/>
      <c r="AT51" s="16"/>
    </row>
    <row r="52" spans="2:46">
      <c r="B52" s="13">
        <f>B50-7</f>
        <v>44354.625</v>
      </c>
      <c r="C52">
        <f>DMAX(_xlnm.Database,"n",B51:B52)</f>
        <v>136</v>
      </c>
      <c r="D52" s="16">
        <f t="shared" ref="D52:D59" si="8">D51-7</f>
        <v>44347.625</v>
      </c>
      <c r="E52">
        <f>C54</f>
        <v>145</v>
      </c>
      <c r="F52" s="13">
        <f>F50-7</f>
        <v>44353.625</v>
      </c>
      <c r="G52">
        <f>DMAX(_xlnm.Database,"n",F51:F52)</f>
        <v>60</v>
      </c>
      <c r="H52" s="16">
        <f t="shared" ref="H52:H59" si="9">H51-7</f>
        <v>44346.625</v>
      </c>
      <c r="I52">
        <f>G54</f>
        <v>79</v>
      </c>
      <c r="J52" s="13">
        <f>J50-7</f>
        <v>44352.625</v>
      </c>
      <c r="K52">
        <f>DMAX(_xlnm.Database,"n",J51:J52)</f>
        <v>65</v>
      </c>
      <c r="L52" s="16">
        <f t="shared" ref="L52:L59" si="10">L51-7</f>
        <v>44345.625</v>
      </c>
      <c r="M52">
        <f>K54</f>
        <v>64</v>
      </c>
      <c r="N52" s="22">
        <f>N50-7</f>
        <v>44351.625</v>
      </c>
      <c r="O52">
        <f>DMAX(_xlnm.Database,"n",N51:N52)</f>
        <v>101</v>
      </c>
      <c r="P52" s="16">
        <f t="shared" ref="P52:P59" si="11">P51-7</f>
        <v>44344.625</v>
      </c>
      <c r="Q52">
        <f>O54</f>
        <v>136</v>
      </c>
      <c r="R52" s="22">
        <f>R50-7</f>
        <v>44350.625</v>
      </c>
      <c r="S52">
        <f>DMAX(_xlnm.Database,"n",R51:R52)</f>
        <v>111</v>
      </c>
      <c r="T52" s="16">
        <f t="shared" ref="T52:T59" si="12">T51-7</f>
        <v>44343.625</v>
      </c>
      <c r="U52">
        <f>S54</f>
        <v>127</v>
      </c>
      <c r="V52" s="22">
        <f>V50-7</f>
        <v>44349.625</v>
      </c>
      <c r="W52">
        <f>DMAX(_xlnm.Database,"n",V51:V52)</f>
        <v>118</v>
      </c>
      <c r="X52" s="16">
        <f t="shared" ref="X52:X59" si="13">X51-7</f>
        <v>44342.625</v>
      </c>
      <c r="Y52">
        <f>W54</f>
        <v>142</v>
      </c>
      <c r="Z52" s="22">
        <f>Z50-7</f>
        <v>44348.625</v>
      </c>
      <c r="AA52">
        <f>DMAX(_xlnm.Database,"n",Z51:Z52)</f>
        <v>121</v>
      </c>
      <c r="AB52" s="16">
        <f t="shared" ref="AB52:AB59" si="14">AB51-7</f>
        <v>44341.625</v>
      </c>
      <c r="AC52">
        <f>AA54</f>
        <v>152</v>
      </c>
      <c r="AD52" s="22">
        <f>AD50-7</f>
        <v>44347.625</v>
      </c>
      <c r="AE52">
        <f>DMAX(_xlnm.Database,"n",AD51:AD52)</f>
        <v>145</v>
      </c>
      <c r="AF52" s="16">
        <f t="shared" ref="AF52:AF59" si="15">AF51-7</f>
        <v>44340.625</v>
      </c>
      <c r="AG52">
        <f>AE54</f>
        <v>188</v>
      </c>
      <c r="AH52" s="16"/>
      <c r="AI52"/>
      <c r="AK52" s="16"/>
      <c r="AL52"/>
      <c r="AN52" s="16"/>
      <c r="AO52"/>
      <c r="AQ52" s="16"/>
      <c r="AR52"/>
      <c r="AT52" s="16"/>
    </row>
    <row r="53" spans="2:46">
      <c r="B53" s="13" t="s">
        <v>7</v>
      </c>
      <c r="D53" s="16">
        <f t="shared" si="8"/>
        <v>44340.625</v>
      </c>
      <c r="E53">
        <f>C56</f>
        <v>188</v>
      </c>
      <c r="F53" s="13" t="s">
        <v>7</v>
      </c>
      <c r="H53" s="16">
        <f t="shared" si="9"/>
        <v>44339.625</v>
      </c>
      <c r="I53">
        <f>G56</f>
        <v>93</v>
      </c>
      <c r="J53" s="13" t="s">
        <v>7</v>
      </c>
      <c r="L53" s="16">
        <f t="shared" si="10"/>
        <v>44338.625</v>
      </c>
      <c r="M53">
        <f>K56</f>
        <v>108</v>
      </c>
      <c r="N53" t="s">
        <v>7</v>
      </c>
      <c r="P53" s="16">
        <f t="shared" si="11"/>
        <v>44337.625</v>
      </c>
      <c r="Q53">
        <f>O56</f>
        <v>169</v>
      </c>
      <c r="R53" t="s">
        <v>7</v>
      </c>
      <c r="T53" s="16">
        <f t="shared" si="12"/>
        <v>44336.625</v>
      </c>
      <c r="U53">
        <f>S56</f>
        <v>215</v>
      </c>
      <c r="V53" t="s">
        <v>7</v>
      </c>
      <c r="W53"/>
      <c r="X53" s="16">
        <f t="shared" si="13"/>
        <v>44335.625</v>
      </c>
      <c r="Y53">
        <f>W56</f>
        <v>230</v>
      </c>
      <c r="Z53" t="s">
        <v>7</v>
      </c>
      <c r="AB53" s="16">
        <f t="shared" si="14"/>
        <v>44334.625</v>
      </c>
      <c r="AC53">
        <f>AA56</f>
        <v>217</v>
      </c>
      <c r="AD53" t="s">
        <v>7</v>
      </c>
      <c r="AF53" s="16">
        <f t="shared" si="15"/>
        <v>44333.625</v>
      </c>
      <c r="AG53">
        <f>AE56</f>
        <v>284</v>
      </c>
      <c r="AH53" s="16"/>
      <c r="AI53"/>
      <c r="AK53" s="16"/>
      <c r="AL53"/>
      <c r="AN53" s="16"/>
      <c r="AO53"/>
      <c r="AQ53" s="16"/>
      <c r="AR53"/>
      <c r="AT53" s="16"/>
    </row>
    <row r="54" spans="2:46">
      <c r="B54" s="13">
        <f>B52-7</f>
        <v>44347.625</v>
      </c>
      <c r="C54">
        <f>DMAX(_xlnm.Database,"n",B53:B54)</f>
        <v>145</v>
      </c>
      <c r="D54" s="16">
        <f t="shared" si="8"/>
        <v>44333.625</v>
      </c>
      <c r="E54">
        <f>C58</f>
        <v>284</v>
      </c>
      <c r="F54" s="13">
        <f>F52-7</f>
        <v>44346.625</v>
      </c>
      <c r="G54">
        <f>DMAX(_xlnm.Database,"n",F53:F54)</f>
        <v>79</v>
      </c>
      <c r="H54" s="16">
        <f t="shared" si="9"/>
        <v>44332.625</v>
      </c>
      <c r="I54">
        <f>G58</f>
        <v>133</v>
      </c>
      <c r="J54" s="13">
        <f>J52-7</f>
        <v>44345.625</v>
      </c>
      <c r="K54">
        <f>DMAX(_xlnm.Database,"n",J53:J54)</f>
        <v>64</v>
      </c>
      <c r="L54" s="16">
        <f t="shared" si="10"/>
        <v>44331.625</v>
      </c>
      <c r="M54">
        <f>K58</f>
        <v>160</v>
      </c>
      <c r="N54" s="22">
        <f>N52-7</f>
        <v>44344.625</v>
      </c>
      <c r="O54">
        <f>DMAX(_xlnm.Database,"n",N53:N54)</f>
        <v>136</v>
      </c>
      <c r="P54" s="16">
        <f t="shared" si="11"/>
        <v>44330.625</v>
      </c>
      <c r="Q54">
        <f>O58</f>
        <v>245</v>
      </c>
      <c r="R54" s="22">
        <f>R52-7</f>
        <v>44343.625</v>
      </c>
      <c r="S54">
        <f>DMAX(_xlnm.Database,"n",R53:R54)</f>
        <v>127</v>
      </c>
      <c r="T54" s="16">
        <f t="shared" si="12"/>
        <v>44329.625</v>
      </c>
      <c r="U54">
        <f>S58</f>
        <v>156</v>
      </c>
      <c r="V54" s="22">
        <f>V52-7</f>
        <v>44342.625</v>
      </c>
      <c r="W54">
        <f>DMAX(_xlnm.Database,"n",V53:V54)</f>
        <v>142</v>
      </c>
      <c r="X54" s="16">
        <f t="shared" si="13"/>
        <v>44328.625</v>
      </c>
      <c r="Y54">
        <f>W58</f>
        <v>256</v>
      </c>
      <c r="Z54" s="22">
        <f>Z52-7</f>
        <v>44341.625</v>
      </c>
      <c r="AA54">
        <f>DMAX(_xlnm.Database,"n",Z53:Z54)</f>
        <v>152</v>
      </c>
      <c r="AB54" s="16">
        <f t="shared" si="14"/>
        <v>44327.625</v>
      </c>
      <c r="AC54">
        <f>AA58</f>
        <v>215</v>
      </c>
      <c r="AD54" s="22">
        <f>AD52-7</f>
        <v>44340.625</v>
      </c>
      <c r="AE54">
        <f>DMAX(_xlnm.Database,"n",AD53:AD54)</f>
        <v>188</v>
      </c>
      <c r="AF54" s="16">
        <f t="shared" si="15"/>
        <v>44326.625</v>
      </c>
      <c r="AG54">
        <f>AE58</f>
        <v>257</v>
      </c>
      <c r="AH54" s="16"/>
      <c r="AI54"/>
      <c r="AK54" s="16"/>
      <c r="AL54"/>
      <c r="AN54" s="16"/>
      <c r="AO54"/>
      <c r="AQ54" s="16"/>
      <c r="AR54"/>
      <c r="AT54" s="16"/>
    </row>
    <row r="55" spans="2:46">
      <c r="B55" s="13" t="s">
        <v>7</v>
      </c>
      <c r="D55" s="16">
        <f t="shared" si="8"/>
        <v>44326.625</v>
      </c>
      <c r="E55">
        <f>C60</f>
        <v>257</v>
      </c>
      <c r="F55" s="13" t="s">
        <v>7</v>
      </c>
      <c r="H55" s="16">
        <f t="shared" si="9"/>
        <v>44325.625</v>
      </c>
      <c r="I55">
        <f>G60</f>
        <v>130</v>
      </c>
      <c r="J55" s="13" t="s">
        <v>7</v>
      </c>
      <c r="L55" s="16">
        <f t="shared" si="10"/>
        <v>44324.625</v>
      </c>
      <c r="M55">
        <f>K60</f>
        <v>131</v>
      </c>
      <c r="N55" t="s">
        <v>7</v>
      </c>
      <c r="P55" s="16">
        <f t="shared" si="11"/>
        <v>44323.625</v>
      </c>
      <c r="Q55">
        <f>O60</f>
        <v>214</v>
      </c>
      <c r="R55" t="s">
        <v>7</v>
      </c>
      <c r="T55" s="16">
        <f t="shared" si="12"/>
        <v>44322.625</v>
      </c>
      <c r="U55">
        <f>S60</f>
        <v>239</v>
      </c>
      <c r="V55" t="s">
        <v>7</v>
      </c>
      <c r="W55"/>
      <c r="X55" s="16">
        <f t="shared" si="13"/>
        <v>44321.625</v>
      </c>
      <c r="Y55">
        <f>W60</f>
        <v>266</v>
      </c>
      <c r="Z55" t="s">
        <v>7</v>
      </c>
      <c r="AB55" s="16">
        <f t="shared" si="14"/>
        <v>44320.625</v>
      </c>
      <c r="AC55">
        <f>AA60</f>
        <v>205</v>
      </c>
      <c r="AD55" t="s">
        <v>7</v>
      </c>
      <c r="AF55" s="16">
        <f t="shared" si="15"/>
        <v>44319.625</v>
      </c>
      <c r="AG55">
        <f>AE60</f>
        <v>318</v>
      </c>
      <c r="AH55" s="16"/>
      <c r="AI55"/>
      <c r="AK55" s="16"/>
      <c r="AL55"/>
      <c r="AN55" s="16"/>
      <c r="AO55"/>
      <c r="AQ55" s="16"/>
      <c r="AR55"/>
      <c r="AT55" s="16"/>
    </row>
    <row r="56" spans="2:46">
      <c r="B56" s="13">
        <f>B54-7</f>
        <v>44340.625</v>
      </c>
      <c r="C56">
        <f>DMAX(_xlnm.Database,"n",B55:B56)</f>
        <v>188</v>
      </c>
      <c r="D56" s="16">
        <f t="shared" si="8"/>
        <v>44319.625</v>
      </c>
      <c r="E56">
        <f>C62</f>
        <v>318</v>
      </c>
      <c r="F56" s="13">
        <f>F54-7</f>
        <v>44339.625</v>
      </c>
      <c r="G56">
        <f>DMAX(_xlnm.Database,"n",F55:F56)</f>
        <v>93</v>
      </c>
      <c r="H56" s="16">
        <f t="shared" si="9"/>
        <v>44318.625</v>
      </c>
      <c r="I56">
        <f>G62</f>
        <v>135</v>
      </c>
      <c r="J56" s="13">
        <f>J54-7</f>
        <v>44338.625</v>
      </c>
      <c r="K56">
        <f>DMAX(_xlnm.Database,"n",J55:J56)</f>
        <v>108</v>
      </c>
      <c r="L56" s="16">
        <f t="shared" si="10"/>
        <v>44317.625</v>
      </c>
      <c r="M56">
        <f>K62</f>
        <v>108</v>
      </c>
      <c r="N56" s="22">
        <f>N54-7</f>
        <v>44337.625</v>
      </c>
      <c r="O56">
        <f>DMAX(_xlnm.Database,"n",N55:N56)</f>
        <v>169</v>
      </c>
      <c r="P56" s="16">
        <f t="shared" si="11"/>
        <v>44316.625</v>
      </c>
      <c r="Q56">
        <f>O62</f>
        <v>197</v>
      </c>
      <c r="R56" s="22">
        <f>R54-7</f>
        <v>44336.625</v>
      </c>
      <c r="S56">
        <f>DMAX(_xlnm.Database,"n",R55:R56)</f>
        <v>215</v>
      </c>
      <c r="T56" s="16">
        <f t="shared" si="12"/>
        <v>44315.625</v>
      </c>
      <c r="U56">
        <f>S62</f>
        <v>201</v>
      </c>
      <c r="V56" s="22">
        <f>V54-7</f>
        <v>44335.625</v>
      </c>
      <c r="W56">
        <f>DMAX(_xlnm.Database,"n",V55:V56)</f>
        <v>230</v>
      </c>
      <c r="X56" s="16">
        <f t="shared" si="13"/>
        <v>44314.625</v>
      </c>
      <c r="Y56">
        <f>W62</f>
        <v>274</v>
      </c>
      <c r="Z56" s="22">
        <f>Z54-7</f>
        <v>44334.625</v>
      </c>
      <c r="AA56">
        <f>DMAX(_xlnm.Database,"n",Z55:Z56)</f>
        <v>217</v>
      </c>
      <c r="AB56" s="16">
        <f t="shared" si="14"/>
        <v>44313.625</v>
      </c>
      <c r="AC56">
        <f>AA62</f>
        <v>228</v>
      </c>
      <c r="AD56" s="22">
        <f>AD54-7</f>
        <v>44333.625</v>
      </c>
      <c r="AE56">
        <f>DMAX(_xlnm.Database,"n",AD55:AD56)</f>
        <v>284</v>
      </c>
      <c r="AF56" s="16">
        <f t="shared" si="15"/>
        <v>44312.625</v>
      </c>
      <c r="AG56">
        <f>AE62</f>
        <v>243</v>
      </c>
      <c r="AH56" s="16"/>
      <c r="AI56"/>
      <c r="AK56" s="16"/>
      <c r="AL56"/>
      <c r="AN56" s="16"/>
      <c r="AO56"/>
      <c r="AQ56" s="16"/>
      <c r="AR56"/>
      <c r="AT56" s="16"/>
    </row>
    <row r="57" spans="2:46">
      <c r="B57" s="13" t="s">
        <v>7</v>
      </c>
      <c r="D57" s="16">
        <f t="shared" si="8"/>
        <v>44312.625</v>
      </c>
      <c r="E57">
        <f>C64</f>
        <v>243</v>
      </c>
      <c r="F57" s="13" t="s">
        <v>7</v>
      </c>
      <c r="H57" s="16">
        <f t="shared" si="9"/>
        <v>44311.625</v>
      </c>
      <c r="I57">
        <f>G64</f>
        <v>140</v>
      </c>
      <c r="J57" s="13" t="s">
        <v>7</v>
      </c>
      <c r="L57" s="16">
        <f t="shared" si="10"/>
        <v>44310.625</v>
      </c>
      <c r="M57">
        <f>K64</f>
        <v>155</v>
      </c>
      <c r="N57" t="s">
        <v>7</v>
      </c>
      <c r="P57" s="16">
        <f t="shared" si="11"/>
        <v>44309.625</v>
      </c>
      <c r="Q57">
        <f>O64</f>
        <v>255</v>
      </c>
      <c r="R57" t="s">
        <v>7</v>
      </c>
      <c r="T57" s="16">
        <f t="shared" si="12"/>
        <v>44308.625</v>
      </c>
      <c r="U57">
        <f>S64</f>
        <v>258</v>
      </c>
      <c r="V57" t="s">
        <v>7</v>
      </c>
      <c r="W57"/>
      <c r="X57" s="16">
        <f t="shared" si="13"/>
        <v>44307.625</v>
      </c>
      <c r="Y57">
        <f>W64</f>
        <v>233</v>
      </c>
      <c r="Z57" t="s">
        <v>7</v>
      </c>
      <c r="AB57" s="16">
        <f t="shared" si="14"/>
        <v>44306.625</v>
      </c>
      <c r="AC57">
        <f>AA64</f>
        <v>285</v>
      </c>
      <c r="AD57" t="s">
        <v>7</v>
      </c>
      <c r="AF57" s="16">
        <f t="shared" si="15"/>
        <v>44305.625</v>
      </c>
      <c r="AG57">
        <f>AE64</f>
        <v>284</v>
      </c>
      <c r="AH57" s="16"/>
      <c r="AI57"/>
      <c r="AK57" s="16"/>
      <c r="AL57"/>
      <c r="AN57" s="16"/>
      <c r="AO57"/>
      <c r="AQ57" s="16"/>
      <c r="AR57"/>
      <c r="AT57" s="16"/>
    </row>
    <row r="58" spans="2:46">
      <c r="B58" s="13">
        <f>B56-7</f>
        <v>44333.625</v>
      </c>
      <c r="C58">
        <f>DMAX(_xlnm.Database,"n",B57:B58)</f>
        <v>284</v>
      </c>
      <c r="D58" s="16">
        <f>D57-7</f>
        <v>44305.625</v>
      </c>
      <c r="E58">
        <f>C66</f>
        <v>284</v>
      </c>
      <c r="F58" s="13">
        <f>F56-7</f>
        <v>44332.625</v>
      </c>
      <c r="G58">
        <f>DMAX(_xlnm.Database,"n",F57:F58)</f>
        <v>133</v>
      </c>
      <c r="H58" s="16">
        <f>H57-7</f>
        <v>44304.625</v>
      </c>
      <c r="I58">
        <f>G66</f>
        <v>156</v>
      </c>
      <c r="J58" s="13">
        <f>J56-7</f>
        <v>44331.625</v>
      </c>
      <c r="K58">
        <f>DMAX(_xlnm.Database,"n",J57:J58)</f>
        <v>160</v>
      </c>
      <c r="L58" s="16">
        <f>L57-7</f>
        <v>44303.625</v>
      </c>
      <c r="M58">
        <f>K66</f>
        <v>171</v>
      </c>
      <c r="N58" s="22">
        <f>N56-7</f>
        <v>44330.625</v>
      </c>
      <c r="O58">
        <f>DMAX(_xlnm.Database,"n",N57:N58)</f>
        <v>245</v>
      </c>
      <c r="P58" s="16">
        <f>P57-7</f>
        <v>44302.625</v>
      </c>
      <c r="Q58">
        <f>O66</f>
        <v>264</v>
      </c>
      <c r="R58" s="22">
        <f>R56-7</f>
        <v>44329.625</v>
      </c>
      <c r="S58">
        <f>DMAX(_xlnm.Database,"n",R57:R58)</f>
        <v>156</v>
      </c>
      <c r="T58" s="16">
        <f>T57-7</f>
        <v>44301.625</v>
      </c>
      <c r="U58">
        <f>S66</f>
        <v>274</v>
      </c>
      <c r="V58" s="22">
        <f>V56-7</f>
        <v>44328.625</v>
      </c>
      <c r="W58">
        <f>DMAX(_xlnm.Database,"n",V57:V58)</f>
        <v>256</v>
      </c>
      <c r="X58" s="16">
        <f>X57-7</f>
        <v>44300.625</v>
      </c>
      <c r="Y58">
        <f>W66</f>
        <v>345</v>
      </c>
      <c r="Z58" s="22">
        <f>Z56-7</f>
        <v>44327.625</v>
      </c>
      <c r="AA58">
        <f>DMAX(_xlnm.Database,"n",Z57:Z58)</f>
        <v>215</v>
      </c>
      <c r="AB58" s="16">
        <f>AB57-7</f>
        <v>44299.625</v>
      </c>
      <c r="AC58">
        <f>AA66</f>
        <v>325</v>
      </c>
      <c r="AD58" s="22">
        <f>AD56-7</f>
        <v>44326.625</v>
      </c>
      <c r="AE58">
        <f>DMAX(_xlnm.Database,"n",AD57:AD58)</f>
        <v>257</v>
      </c>
      <c r="AF58" s="16">
        <f>AF57-7</f>
        <v>44298.625</v>
      </c>
      <c r="AG58">
        <f>AE66</f>
        <v>398</v>
      </c>
      <c r="AH58" s="16"/>
      <c r="AI58"/>
      <c r="AK58" s="16"/>
      <c r="AL58"/>
      <c r="AN58" s="16"/>
      <c r="AO58"/>
      <c r="AQ58" s="16"/>
      <c r="AR58"/>
      <c r="AT58" s="16"/>
    </row>
    <row r="59" spans="2:46">
      <c r="B59" s="13" t="s">
        <v>7</v>
      </c>
      <c r="D59" s="16">
        <f t="shared" si="8"/>
        <v>44298.625</v>
      </c>
      <c r="E59">
        <f>C68</f>
        <v>398</v>
      </c>
      <c r="F59" s="13" t="s">
        <v>7</v>
      </c>
      <c r="H59" s="16">
        <f t="shared" si="9"/>
        <v>44297.625</v>
      </c>
      <c r="I59">
        <f>G68</f>
        <v>239</v>
      </c>
      <c r="J59" s="13" t="s">
        <v>7</v>
      </c>
      <c r="L59" s="16">
        <f t="shared" si="10"/>
        <v>44296.625</v>
      </c>
      <c r="M59">
        <f>K68</f>
        <v>226</v>
      </c>
      <c r="N59" t="s">
        <v>7</v>
      </c>
      <c r="P59" s="16">
        <f t="shared" si="11"/>
        <v>44295.625</v>
      </c>
      <c r="Q59">
        <f>O68</f>
        <v>351</v>
      </c>
      <c r="R59" t="s">
        <v>7</v>
      </c>
      <c r="T59" s="16">
        <f t="shared" si="12"/>
        <v>44294.625</v>
      </c>
      <c r="U59">
        <f>S68</f>
        <v>407</v>
      </c>
      <c r="V59" t="s">
        <v>7</v>
      </c>
      <c r="W59"/>
      <c r="X59" s="16">
        <f t="shared" si="13"/>
        <v>44293.625</v>
      </c>
      <c r="Y59">
        <f>W68</f>
        <v>426</v>
      </c>
      <c r="Z59" t="s">
        <v>7</v>
      </c>
      <c r="AB59" s="16">
        <f t="shared" si="14"/>
        <v>44292.625</v>
      </c>
      <c r="AC59">
        <f>AA68</f>
        <v>545</v>
      </c>
      <c r="AD59" t="s">
        <v>7</v>
      </c>
      <c r="AF59" s="16">
        <f t="shared" si="15"/>
        <v>44291.625</v>
      </c>
      <c r="AG59">
        <f>AE68</f>
        <v>359</v>
      </c>
      <c r="AH59" s="16"/>
      <c r="AI59"/>
      <c r="AK59" s="16"/>
      <c r="AL59"/>
      <c r="AN59" s="16"/>
      <c r="AO59"/>
      <c r="AQ59" s="16"/>
      <c r="AR59"/>
      <c r="AT59" s="16"/>
    </row>
    <row r="60" spans="2:46">
      <c r="B60" s="13">
        <f>B58-7</f>
        <v>44326.625</v>
      </c>
      <c r="C60">
        <f>DMAX(_xlnm.Database,"n",B59:B60)</f>
        <v>257</v>
      </c>
      <c r="D60" s="16"/>
      <c r="F60" s="13">
        <f>F58-7</f>
        <v>44325.625</v>
      </c>
      <c r="G60">
        <f>DMAX(_xlnm.Database,"n",F59:F60)</f>
        <v>130</v>
      </c>
      <c r="H60" s="16"/>
      <c r="J60" s="13">
        <f>J58-7</f>
        <v>44324.625</v>
      </c>
      <c r="K60">
        <f>DMAX(_xlnm.Database,"n",J59:J60)</f>
        <v>131</v>
      </c>
      <c r="L60" s="16"/>
      <c r="N60" s="22">
        <f>N58-7</f>
        <v>44323.625</v>
      </c>
      <c r="O60">
        <f>DMAX(_xlnm.Database,"n",N59:N60)</f>
        <v>214</v>
      </c>
      <c r="P60" s="16"/>
      <c r="Q60"/>
      <c r="R60" s="22">
        <f>R58-7</f>
        <v>44322.625</v>
      </c>
      <c r="S60">
        <f>DMAX(_xlnm.Database,"n",R59:R60)</f>
        <v>239</v>
      </c>
      <c r="V60" s="22">
        <f>V58-7</f>
        <v>44321.625</v>
      </c>
      <c r="W60">
        <f>DMAX(_xlnm.Database,"n",V59:V60)</f>
        <v>266</v>
      </c>
      <c r="X60" s="16"/>
      <c r="Z60" s="22">
        <f>Z58-7</f>
        <v>44320.625</v>
      </c>
      <c r="AA60">
        <f>DMAX(_xlnm.Database,"n",Z59:Z60)</f>
        <v>205</v>
      </c>
      <c r="AB60" s="16"/>
      <c r="AC60"/>
      <c r="AD60" s="22">
        <f>AD58-7</f>
        <v>44319.625</v>
      </c>
      <c r="AE60">
        <f>DMAX(_xlnm.Database,"n",AD59:AD60)</f>
        <v>318</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44319.625</v>
      </c>
      <c r="C62">
        <f>DMAX(_xlnm.Database,"n",B61:B62)</f>
        <v>318</v>
      </c>
      <c r="D62" s="16"/>
      <c r="F62" s="13">
        <f>F60-7</f>
        <v>44318.625</v>
      </c>
      <c r="G62">
        <f>DMAX(_xlnm.Database,"n",F61:F62)</f>
        <v>135</v>
      </c>
      <c r="H62" s="16"/>
      <c r="J62" s="13">
        <f>J60-7</f>
        <v>44317.625</v>
      </c>
      <c r="K62">
        <f>DMAX(_xlnm.Database,"n",J61:J62)</f>
        <v>108</v>
      </c>
      <c r="L62" s="16"/>
      <c r="N62" s="22">
        <f>N60-7</f>
        <v>44316.625</v>
      </c>
      <c r="O62">
        <f>DMAX(_xlnm.Database,"n",N61:N62)</f>
        <v>197</v>
      </c>
      <c r="P62" s="16"/>
      <c r="Q62"/>
      <c r="R62" s="22">
        <f>R60-7</f>
        <v>44315.625</v>
      </c>
      <c r="S62">
        <f>DMAX(_xlnm.Database,"n",R61:R62)</f>
        <v>201</v>
      </c>
      <c r="V62" s="22">
        <f>V60-7</f>
        <v>44314.625</v>
      </c>
      <c r="W62">
        <f>DMAX(_xlnm.Database,"n",V61:V62)</f>
        <v>274</v>
      </c>
      <c r="X62" s="16"/>
      <c r="Z62" s="22">
        <f>Z60-7</f>
        <v>44313.625</v>
      </c>
      <c r="AA62">
        <f>DMAX(_xlnm.Database,"n",Z61:Z62)</f>
        <v>228</v>
      </c>
      <c r="AB62" s="16"/>
      <c r="AC62"/>
      <c r="AD62" s="22">
        <f>AD60-7</f>
        <v>44312.625</v>
      </c>
      <c r="AE62">
        <f>DMAX(_xlnm.Database,"n",AD61:AD62)</f>
        <v>243</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44312.625</v>
      </c>
      <c r="C64">
        <f>DMAX(_xlnm.Database,"n",B63:B64)</f>
        <v>243</v>
      </c>
      <c r="D64" s="16"/>
      <c r="F64" s="13">
        <f>F62-7</f>
        <v>44311.625</v>
      </c>
      <c r="G64">
        <f>DMAX(_xlnm.Database,"n",F63:F64)</f>
        <v>140</v>
      </c>
      <c r="H64" s="16"/>
      <c r="J64" s="13">
        <f>J62-7</f>
        <v>44310.625</v>
      </c>
      <c r="K64">
        <f>DMAX(_xlnm.Database,"n",J63:J64)</f>
        <v>155</v>
      </c>
      <c r="L64" s="16"/>
      <c r="N64" s="22">
        <f>N62-7</f>
        <v>44309.625</v>
      </c>
      <c r="O64">
        <f>DMAX(_xlnm.Database,"n",N63:N64)</f>
        <v>255</v>
      </c>
      <c r="P64" s="16"/>
      <c r="Q64"/>
      <c r="R64" s="22">
        <f>R62-7</f>
        <v>44308.625</v>
      </c>
      <c r="S64">
        <f>DMAX(_xlnm.Database,"n",R63:R64)</f>
        <v>258</v>
      </c>
      <c r="V64" s="22">
        <f>V62-7</f>
        <v>44307.625</v>
      </c>
      <c r="W64">
        <f>DMAX(_xlnm.Database,"n",V63:V64)</f>
        <v>233</v>
      </c>
      <c r="X64" s="16"/>
      <c r="Z64" s="22">
        <f>Z62-7</f>
        <v>44306.625</v>
      </c>
      <c r="AA64">
        <f>DMAX(_xlnm.Database,"n",Z63:Z64)</f>
        <v>285</v>
      </c>
      <c r="AB64" s="16"/>
      <c r="AC64"/>
      <c r="AD64" s="22">
        <f>AD62-7</f>
        <v>44305.625</v>
      </c>
      <c r="AE64">
        <f>DMAX(_xlnm.Database,"n",AD63:AD64)</f>
        <v>284</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44305.625</v>
      </c>
      <c r="C66">
        <f>DMAX(_xlnm.Database,"n",B65:B66)</f>
        <v>284</v>
      </c>
      <c r="D66" s="16"/>
      <c r="F66" s="13">
        <f>F64-7</f>
        <v>44304.625</v>
      </c>
      <c r="G66">
        <f>DMAX(_xlnm.Database,"n",F65:F66)</f>
        <v>156</v>
      </c>
      <c r="H66" s="16"/>
      <c r="J66" s="13">
        <f>J64-7</f>
        <v>44303.625</v>
      </c>
      <c r="K66">
        <f>DMAX(_xlnm.Database,"n",J65:J66)</f>
        <v>171</v>
      </c>
      <c r="L66" s="16"/>
      <c r="N66" s="22">
        <f>N64-7</f>
        <v>44302.625</v>
      </c>
      <c r="O66">
        <f>DMAX(_xlnm.Database,"n",N65:N66)</f>
        <v>264</v>
      </c>
      <c r="P66" s="16"/>
      <c r="Q66"/>
      <c r="R66" s="22">
        <f>R64-7</f>
        <v>44301.625</v>
      </c>
      <c r="S66">
        <f>DMAX(_xlnm.Database,"n",R65:R66)</f>
        <v>274</v>
      </c>
      <c r="V66" s="22">
        <f>V64-7</f>
        <v>44300.625</v>
      </c>
      <c r="W66">
        <f>DMAX(_xlnm.Database,"n",V65:V66)</f>
        <v>345</v>
      </c>
      <c r="X66" s="16"/>
      <c r="Z66" s="22">
        <f>Z64-7</f>
        <v>44299.625</v>
      </c>
      <c r="AA66">
        <f>DMAX(_xlnm.Database,"n",Z65:Z66)</f>
        <v>325</v>
      </c>
      <c r="AB66" s="16"/>
      <c r="AC66"/>
      <c r="AD66" s="22">
        <f>AD64-7</f>
        <v>44298.625</v>
      </c>
      <c r="AE66">
        <f>DMAX(_xlnm.Database,"n",AD65:AD66)</f>
        <v>398</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44298.625</v>
      </c>
      <c r="C68">
        <f>DMAX(_xlnm.Database,"n",B67:B68)</f>
        <v>398</v>
      </c>
      <c r="D68" s="16"/>
      <c r="F68" s="13">
        <f>F66-7</f>
        <v>44297.625</v>
      </c>
      <c r="G68">
        <f>DMAX(_xlnm.Database,"n",F67:F68)</f>
        <v>239</v>
      </c>
      <c r="H68" s="16"/>
      <c r="J68" s="13">
        <f>J66-7</f>
        <v>44296.625</v>
      </c>
      <c r="K68">
        <f>DMAX(_xlnm.Database,"n",J67:J68)</f>
        <v>226</v>
      </c>
      <c r="L68" s="16"/>
      <c r="N68" s="22">
        <f>N66-7</f>
        <v>44295.625</v>
      </c>
      <c r="O68">
        <f>DMAX(_xlnm.Database,"n",N67:N68)</f>
        <v>351</v>
      </c>
      <c r="P68" s="16"/>
      <c r="Q68"/>
      <c r="R68" s="22">
        <f>R66-7</f>
        <v>44294.625</v>
      </c>
      <c r="S68">
        <f>DMAX(_xlnm.Database,"n",R67:R68)</f>
        <v>407</v>
      </c>
      <c r="V68" s="22">
        <f>V66-7</f>
        <v>44293.625</v>
      </c>
      <c r="W68">
        <f>DMAX(_xlnm.Database,"n",V67:V68)</f>
        <v>426</v>
      </c>
      <c r="X68" s="16"/>
      <c r="Z68" s="22">
        <f>Z66-7</f>
        <v>44292.625</v>
      </c>
      <c r="AA68">
        <f>DMAX(_xlnm.Database,"n",Z67:Z68)</f>
        <v>545</v>
      </c>
      <c r="AB68" s="16"/>
      <c r="AC68"/>
      <c r="AD68" s="22">
        <f>AD66-7</f>
        <v>44291.625</v>
      </c>
      <c r="AE68">
        <f>DMAX(_xlnm.Database,"n",AD67:AD68)</f>
        <v>359</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44361.625</v>
      </c>
      <c r="C73">
        <f>DMAX(_xlnm.Database,"n",B72:B73)</f>
        <v>78</v>
      </c>
      <c r="D73" s="21">
        <f>B73</f>
        <v>44361.625</v>
      </c>
      <c r="E73">
        <f>C73</f>
        <v>78</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44360.625</v>
      </c>
      <c r="E74">
        <f>C75</f>
        <v>46</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44360.625</v>
      </c>
      <c r="C75">
        <f>DMAX(_xlnm.Database,"n",B74:B75)</f>
        <v>46</v>
      </c>
      <c r="D75" s="16">
        <f t="shared" ref="D75:D109" si="16">D74-1</f>
        <v>44359.625</v>
      </c>
      <c r="E75">
        <f>C77</f>
        <v>43</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44358.625</v>
      </c>
      <c r="E76">
        <f>C79</f>
        <v>70</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44359.625</v>
      </c>
      <c r="C77">
        <f>DMAX(_xlnm.Database,"n",B76:B77)</f>
        <v>43</v>
      </c>
      <c r="D77" s="16">
        <f t="shared" si="16"/>
        <v>44357.625</v>
      </c>
      <c r="E77">
        <f>C81</f>
        <v>78</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44356.625</v>
      </c>
      <c r="E78">
        <f>C83</f>
        <v>82</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44358.625</v>
      </c>
      <c r="C79">
        <f>DMAX(_xlnm.Database,"n",B78:B79)</f>
        <v>70</v>
      </c>
      <c r="D79" s="16">
        <f t="shared" si="16"/>
        <v>44355.625</v>
      </c>
      <c r="E79">
        <f>C85</f>
        <v>102</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44354.625</v>
      </c>
      <c r="E80">
        <f>C87</f>
        <v>136</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44357.625</v>
      </c>
      <c r="C81">
        <f>DMAX(_xlnm.Database,"n",B80:B81)</f>
        <v>78</v>
      </c>
      <c r="D81" s="16">
        <f t="shared" si="16"/>
        <v>44353.625</v>
      </c>
      <c r="E81">
        <f>C89</f>
        <v>60</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44352.625</v>
      </c>
      <c r="E82">
        <f>C91</f>
        <v>65</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44356.625</v>
      </c>
      <c r="C83">
        <f>DMAX(_xlnm.Database,"n",B82:B83)</f>
        <v>82</v>
      </c>
      <c r="D83" s="16">
        <f t="shared" si="16"/>
        <v>44351.625</v>
      </c>
      <c r="E83">
        <f>C93</f>
        <v>101</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44350.625</v>
      </c>
      <c r="E84">
        <f>C95</f>
        <v>111</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44355.625</v>
      </c>
      <c r="C85">
        <f>DMAX(_xlnm.Database,"n",B84:B85)</f>
        <v>102</v>
      </c>
      <c r="D85" s="16">
        <f t="shared" si="16"/>
        <v>44349.625</v>
      </c>
      <c r="E85">
        <f>C97</f>
        <v>118</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44348.625</v>
      </c>
      <c r="E86">
        <f>C99</f>
        <v>121</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44354.625</v>
      </c>
      <c r="C87">
        <f>DMAX(_xlnm.Database,"n",B86:B87)</f>
        <v>136</v>
      </c>
      <c r="D87" s="16">
        <f t="shared" si="16"/>
        <v>44347.625</v>
      </c>
      <c r="E87">
        <f>C101</f>
        <v>145</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44346.625</v>
      </c>
      <c r="E88">
        <f>C103</f>
        <v>79</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44353.625</v>
      </c>
      <c r="C89">
        <f>DMAX(_xlnm.Database,"n",B88:B89)</f>
        <v>60</v>
      </c>
      <c r="D89" s="16">
        <f t="shared" si="16"/>
        <v>44345.625</v>
      </c>
      <c r="E89">
        <f>C105</f>
        <v>64</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44344.625</v>
      </c>
      <c r="E90">
        <f>C107</f>
        <v>136</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44352.625</v>
      </c>
      <c r="C91">
        <f>DMAX(_xlnm.Database,"n",B90:B91)</f>
        <v>65</v>
      </c>
      <c r="D91" s="16">
        <f t="shared" si="16"/>
        <v>44343.625</v>
      </c>
      <c r="E91">
        <f>C109</f>
        <v>127</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44342.625</v>
      </c>
      <c r="E92">
        <f>C111</f>
        <v>142</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44351.625</v>
      </c>
      <c r="C93">
        <f>DMAX(_xlnm.Database,"n",B92:B93)</f>
        <v>101</v>
      </c>
      <c r="D93" s="16">
        <f t="shared" si="16"/>
        <v>44341.625</v>
      </c>
      <c r="E93">
        <f>C113</f>
        <v>152</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44340.625</v>
      </c>
      <c r="E94">
        <f>C115</f>
        <v>188</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44350.625</v>
      </c>
      <c r="C95">
        <f>DMAX(_xlnm.Database,"n",B94:B95)</f>
        <v>111</v>
      </c>
      <c r="D95" s="16">
        <f t="shared" si="16"/>
        <v>44339.625</v>
      </c>
      <c r="E95">
        <f>C117</f>
        <v>93</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44338.625</v>
      </c>
      <c r="E96">
        <f>C119</f>
        <v>108</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44349.625</v>
      </c>
      <c r="C97">
        <f>DMAX(_xlnm.Database,"n",B96:B97)</f>
        <v>118</v>
      </c>
      <c r="D97" s="16">
        <f t="shared" si="16"/>
        <v>44337.625</v>
      </c>
      <c r="E97">
        <f>C121</f>
        <v>169</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44336.625</v>
      </c>
      <c r="E98">
        <f>C123</f>
        <v>215</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44348.625</v>
      </c>
      <c r="C99">
        <f>DMAX(_xlnm.Database,"n",B98:B99)</f>
        <v>121</v>
      </c>
      <c r="D99" s="16">
        <f t="shared" si="16"/>
        <v>44335.625</v>
      </c>
      <c r="E99">
        <f>C125</f>
        <v>230</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44334.625</v>
      </c>
      <c r="E100">
        <f>C127</f>
        <v>217</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44347.625</v>
      </c>
      <c r="C101">
        <f>DMAX(_xlnm.Database,"n",B100:B101)</f>
        <v>145</v>
      </c>
      <c r="D101" s="16">
        <f t="shared" si="16"/>
        <v>44333.625</v>
      </c>
      <c r="E101">
        <f>C129</f>
        <v>284</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44332.625</v>
      </c>
      <c r="E102">
        <f>C131</f>
        <v>133</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44346.625</v>
      </c>
      <c r="C103">
        <f>DMAX(_xlnm.Database,"n",B102:B103)</f>
        <v>79</v>
      </c>
      <c r="D103" s="16">
        <f t="shared" si="16"/>
        <v>44331.625</v>
      </c>
      <c r="E103">
        <f>C133</f>
        <v>160</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44330.625</v>
      </c>
      <c r="E104">
        <f>C135</f>
        <v>245</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44345.625</v>
      </c>
      <c r="C105">
        <f>DMAX(_xlnm.Database,"n",B104:B105)</f>
        <v>64</v>
      </c>
      <c r="D105" s="16">
        <f t="shared" si="16"/>
        <v>44329.625</v>
      </c>
      <c r="E105">
        <f>C137</f>
        <v>156</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44328.625</v>
      </c>
      <c r="E106">
        <f>C139</f>
        <v>256</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44344.625</v>
      </c>
      <c r="C107">
        <f>DMAX(_xlnm.Database,"n",B106:B107)</f>
        <v>136</v>
      </c>
      <c r="D107" s="16">
        <f t="shared" si="16"/>
        <v>44327.625</v>
      </c>
      <c r="E107">
        <f>C141</f>
        <v>215</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44326.625</v>
      </c>
      <c r="E108">
        <f>C143</f>
        <v>257</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44343.625</v>
      </c>
      <c r="C109">
        <f>DMAX(_xlnm.Database,"n",B108:B109)</f>
        <v>127</v>
      </c>
      <c r="D109" s="16">
        <f t="shared" si="16"/>
        <v>44325.625</v>
      </c>
      <c r="E109">
        <f>C145</f>
        <v>130</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44342.625</v>
      </c>
      <c r="C111">
        <f>DMAX(_xlnm.Database,"n",B110:B111)</f>
        <v>142</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44341.625</v>
      </c>
      <c r="C113">
        <f>DMAX(_xlnm.Database,"n",B112:B113)</f>
        <v>152</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44340.625</v>
      </c>
      <c r="C115">
        <f>DMAX(_xlnm.Database,"n",B114:B115)</f>
        <v>188</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44339.625</v>
      </c>
      <c r="C117">
        <f>DMAX(_xlnm.Database,"n",B116:B117)</f>
        <v>93</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44338.625</v>
      </c>
      <c r="C119">
        <f>DMAX(_xlnm.Database,"n",B118:B119)</f>
        <v>108</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44337.625</v>
      </c>
      <c r="C121">
        <f>DMAX(_xlnm.Database,"n",B120:B121)</f>
        <v>169</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44336.625</v>
      </c>
      <c r="C123">
        <f>DMAX(_xlnm.Database,"n",B122:B123)</f>
        <v>215</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44335.625</v>
      </c>
      <c r="C125">
        <f>DMAX(_xlnm.Database,"n",B124:B125)</f>
        <v>230</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44334.625</v>
      </c>
      <c r="C127">
        <f>DMAX(_xlnm.Database,"n",B126:B127)</f>
        <v>217</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44333.625</v>
      </c>
      <c r="C129">
        <f>DMAX(_xlnm.Database,"n",B128:B129)</f>
        <v>284</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44332.625</v>
      </c>
      <c r="C131">
        <f>DMAX(_xlnm.Database,"n",B130:B131)</f>
        <v>133</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44331.625</v>
      </c>
      <c r="C133">
        <f>DMAX(_xlnm.Database,"n",B132:B133)</f>
        <v>160</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44330.625</v>
      </c>
      <c r="C135">
        <f>DMAX(_xlnm.Database,"n",B134:B135)</f>
        <v>245</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44329.625</v>
      </c>
      <c r="C137">
        <f>DMAX(_xlnm.Database,"n",B136:B137)</f>
        <v>156</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44328.625</v>
      </c>
      <c r="C139">
        <f>DMAX(_xlnm.Database,"n",B138:B139)</f>
        <v>256</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44327.625</v>
      </c>
      <c r="C141">
        <f>DMAX(_xlnm.Database,"n",B140:B141)</f>
        <v>215</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44326.625</v>
      </c>
      <c r="C143">
        <f>DMAX(_xlnm.Database,"n",B142:B143)</f>
        <v>257</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44325.625</v>
      </c>
      <c r="C145">
        <f>DMAX(_xlnm.Database,"n",B144:B145)</f>
        <v>130</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opLeftCell="A59" workbookViewId="0">
      <selection activeCell="A59" sqref="A59"/>
    </sheetView>
  </sheetViews>
  <sheetFormatPr defaultRowHeight="15"/>
  <cols>
    <col min="1" max="1" width="6.140625" customWidth="1"/>
    <col min="16" max="17" width="10.140625" bestFit="1" customWidth="1"/>
    <col min="18" max="18" width="9.85546875" customWidth="1"/>
    <col min="19" max="19" width="10.14062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230.56578947368422</v>
      </c>
      <c r="O25" s="32">
        <f>T25</f>
        <v>892</v>
      </c>
      <c r="P25" s="13">
        <f>S25</f>
        <v>44270.625</v>
      </c>
      <c r="R25" s="13"/>
      <c r="S25" s="30">
        <f>DMAX(_xlnm.Database,"aika",T24:U25)</f>
        <v>44270.625</v>
      </c>
      <c r="T25" s="3">
        <f>DMAX(_xlnm.Database,"n",U24:U25)</f>
        <v>892</v>
      </c>
      <c r="U25">
        <v>1</v>
      </c>
      <c r="V25" s="3"/>
    </row>
    <row r="26" spans="2:22">
      <c r="L26">
        <v>2</v>
      </c>
      <c r="M26" t="s">
        <v>431</v>
      </c>
      <c r="N26" s="29">
        <f>AVERAGEIF(Kaikki!E:E,L26,DataN)</f>
        <v>198.22368421052633</v>
      </c>
      <c r="O26" s="32">
        <f>T27</f>
        <v>773</v>
      </c>
      <c r="P26" s="13">
        <f>S27</f>
        <v>44264.625</v>
      </c>
      <c r="R26" s="13"/>
      <c r="T26" s="3" t="s">
        <v>290</v>
      </c>
      <c r="U26" t="s">
        <v>299</v>
      </c>
    </row>
    <row r="27" spans="2:22">
      <c r="L27">
        <v>3</v>
      </c>
      <c r="M27" t="s">
        <v>432</v>
      </c>
      <c r="N27" s="29">
        <f>AVERAGEIF(Kaikki!E:E,L27,DataN)</f>
        <v>198.12987012987014</v>
      </c>
      <c r="O27" s="32">
        <f>T29</f>
        <v>822</v>
      </c>
      <c r="P27" s="13">
        <f>S29</f>
        <v>44265.625</v>
      </c>
      <c r="R27" s="13"/>
      <c r="S27" s="30">
        <f>DMAX(_xlnm.Database,"aika",T26:U27)</f>
        <v>44264.625</v>
      </c>
      <c r="T27" s="3">
        <f>DMAX(_xlnm.Database,"n",U26:U27)</f>
        <v>773</v>
      </c>
      <c r="U27">
        <v>2</v>
      </c>
      <c r="V27" s="3"/>
    </row>
    <row r="28" spans="2:22">
      <c r="L28">
        <v>4</v>
      </c>
      <c r="M28" t="s">
        <v>433</v>
      </c>
      <c r="N28" s="29">
        <f>AVERAGEIF(Kaikki!E:E,L28,DataN)</f>
        <v>188</v>
      </c>
      <c r="O28" s="32">
        <f>T31</f>
        <v>779</v>
      </c>
      <c r="P28" s="13">
        <f>S31</f>
        <v>44266.625</v>
      </c>
      <c r="R28" s="13"/>
      <c r="T28" s="3" t="s">
        <v>290</v>
      </c>
      <c r="U28" t="s">
        <v>299</v>
      </c>
    </row>
    <row r="29" spans="2:22">
      <c r="L29">
        <v>5</v>
      </c>
      <c r="M29" t="s">
        <v>434</v>
      </c>
      <c r="N29" s="29">
        <f>AVERAGEIF(Kaikki!E:E,L29,DataN)</f>
        <v>180.92207792207793</v>
      </c>
      <c r="O29" s="32">
        <f>T33</f>
        <v>808</v>
      </c>
      <c r="P29" s="13">
        <f>S33</f>
        <v>44267.625</v>
      </c>
      <c r="R29" s="13"/>
      <c r="S29" s="30">
        <f>DMAX(_xlnm.Database,"aika",T28:U29)</f>
        <v>44265.625</v>
      </c>
      <c r="T29" s="3">
        <f>DMAX(_xlnm.Database,"n",U28:U29)</f>
        <v>822</v>
      </c>
      <c r="U29">
        <v>3</v>
      </c>
      <c r="V29" s="3"/>
    </row>
    <row r="30" spans="2:22">
      <c r="L30">
        <v>6</v>
      </c>
      <c r="M30" t="s">
        <v>435</v>
      </c>
      <c r="N30" s="29">
        <f>AVERAGEIF(Kaikki!E:E,L30,DataN)</f>
        <v>114.60526315789474</v>
      </c>
      <c r="O30" s="32">
        <f>T35</f>
        <v>491</v>
      </c>
      <c r="P30" s="13">
        <f>S35</f>
        <v>44268.625</v>
      </c>
      <c r="R30" s="13"/>
      <c r="T30" s="3" t="s">
        <v>290</v>
      </c>
      <c r="U30" t="s">
        <v>299</v>
      </c>
    </row>
    <row r="31" spans="2:22">
      <c r="L31">
        <v>7</v>
      </c>
      <c r="M31" t="s">
        <v>436</v>
      </c>
      <c r="N31" s="29">
        <f>AVERAGEIF(Kaikki!E:E,L31,DataN)</f>
        <v>120.96052631578948</v>
      </c>
      <c r="O31" s="32">
        <f>T37</f>
        <v>434</v>
      </c>
      <c r="P31" s="13">
        <f>S37</f>
        <v>44269.625</v>
      </c>
      <c r="R31" s="13"/>
      <c r="S31" s="30">
        <f>DMAX(_xlnm.Database,"aika",T30:U31)</f>
        <v>44266.625</v>
      </c>
      <c r="T31" s="3">
        <f>DMAX(_xlnm.Database,"n",U30:U31)</f>
        <v>779</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491</v>
      </c>
      <c r="U35">
        <v>6</v>
      </c>
    </row>
    <row r="36" spans="2:21">
      <c r="M36" s="33">
        <f>MAX(Kaikki!H$2:H10000)</f>
        <v>4941</v>
      </c>
      <c r="N36" s="30">
        <f>DMAX(_xlnm.Database,"aika",M35:M36)</f>
        <v>44263.625</v>
      </c>
      <c r="O36" s="37"/>
      <c r="R36" s="13"/>
      <c r="T36" s="3" t="s">
        <v>290</v>
      </c>
      <c r="U36" t="s">
        <v>299</v>
      </c>
    </row>
    <row r="37" spans="2:21">
      <c r="R37" s="13"/>
      <c r="S37" s="30">
        <f>DMAX(_xlnm.Database,"aika",T36:U37)</f>
        <v>44269.625</v>
      </c>
      <c r="T37" s="3">
        <f>DMAX(_xlnm.Database,"n",U36:U37)</f>
        <v>434</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8)</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18.6 n=73 (joista vanhoja yli 28 päivän takaisia kirjauksia 8). Yhteensä N=94154. Edelliset 7 päivää 368 (päivittyy), 624 (muutos -19 %), 774 (-21 %) ja 979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N=94154. Uusimmat 18.6.2021 lisäykset 73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18.6.2021 n=73 (joista vanhoja yli 28 päivän takaisia kirjauksia 8). Yhteensä N=94154. Melko pysyvät 7 päivää 8.6-14.6 yhteensä 499 (muutos -30 %), aiemmat 7 päivää 712 (-16 %) ja 845 https://github.com/jussivirkkala/excel/tree/master/hs-koronavirus-avoindata</v>
      </c>
    </row>
    <row r="80" spans="2:2" ht="18.75">
      <c r="B80" s="23" t="str">
        <f>" COVID-19 tapauksia 7 päivän välein "&amp;TEXT(Lisäys!B73,"p.k.vvvv")&amp;" saakka (- uusin ... vanhin)."</f>
        <v xml:space="preserve"> COVID-19 tapauksia 7 päivän välein 14.6.2021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104775</xdr:colOff>
                    <xdr:row>1</xdr:row>
                    <xdr:rowOff>76200</xdr:rowOff>
                  </from>
                  <to>
                    <xdr:col>2</xdr:col>
                    <xdr:colOff>447675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2021-06-18T15:43:40Z</dcterms:modified>
</cp:coreProperties>
</file>