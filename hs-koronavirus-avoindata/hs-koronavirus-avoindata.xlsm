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4B9BCA0A-CDD1-400E-94A2-A707EA7360D4}"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 name="Sheet1" sheetId="4" r:id="rId4"/>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<sst xmlns="http://schemas.openxmlformats.org/spreadsheetml/2006/main" count="663" uniqueCount="347">
  <si>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</si>
  <si>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</si>
  <si>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</si>
  <si>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</si>
  <si>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</si>
  <si>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</si>
  <si>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</si>
  <si>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</si>
  <si>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</si>
  <si>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</si>
  <si>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</si>
  <si>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</si>
  <si>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</si>
  <si>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</si>
  <si>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</si>
  <si>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</si>
  <si>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</si>
  <si>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</si>
  <si>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</si>
  <si>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</si>
  <si>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</si>
  <si>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</si>
  <si>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</si>
  <si>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</si>
  <si>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</si>
  <si>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</si>
  <si>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</si>
  <si>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</si>
  <si>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</si>
  <si>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</si>
  <si>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</si>
  <si>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</si>
  <si>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</si>
  <si>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</si>
  <si>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</si>
  <si>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</si>
  <si>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</si>
  <si>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</si>
  <si>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</si>
  <si>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</si>
  <si>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</si>
  <si>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</si>
  <si>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</si>
  <si>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</si>
  <si>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</si>
  <si>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</si>
  <si>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</si>
  <si>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</si>
  <si>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</si>
  <si>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</si>
  <si>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</si>
  <si>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</si>
  <si>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</si>
  <si>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</si>
  <si>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</si>
  <si>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</si>
  <si>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</si>
  <si>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</si>
  <si>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</si>
  <si>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</si>
  <si>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</si>
  <si>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</si>
  <si>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</si>
  <si>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</si>
  <si>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</si>
  <si>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</si>
  <si>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</si>
  <si>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</si>
  <si>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</si>
  <si>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</si>
  <si>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</si>
  <si>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</si>
  <si>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</si>
  <si>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</si>
  <si>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</si>
  <si>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</si>
  <si>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</si>
  <si>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</si>
  <si>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</si>
  <si>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</si>
  <si>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</si>
  <si>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</si>
  <si>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</si>
  <si>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</si>
  <si>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</si>
  <si>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</si>
  <si>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</si>
  <si>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</si>
  <si>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</si>
  <si>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</si>
  <si>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</si>
  <si>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</si>
  <si>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</si>
  <si>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</si>
  <si>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</si>
  <si>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</si>
  <si>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</si>
  <si>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</si>
  <si>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</si>
  <si>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</si>
  <si>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</si>
  <si>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</si>
  <si>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</si>
  <si>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</si>
  <si>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</si>
  <si>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</si>
  <si>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</si>
  <si>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</si>
  <si>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</si>
  <si>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</si>
  <si>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</si>
  <si>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</si>
  <si>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</si>
  <si>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</si>
  <si>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</si>
  <si>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</si>
  <si>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</si>
  <si>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</si>
  <si>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</si>
  <si>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</si>
  <si>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</si>
  <si>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</si>
  <si>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</si>
  <si>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</si>
  <si>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</si>
  <si>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</si>
  <si>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</si>
  <si>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</si>
  <si>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</si>
  <si>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</si>
  <si>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</si>
  <si>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</si>
  <si>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</si>
  <si>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</si>
  <si>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</si>
  <si>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</si>
  <si>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</si>
  <si>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</si>
  <si>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</si>
  <si>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</si>
  <si>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</si>
  <si>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</si>
  <si>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</si>
  <si>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</si>
  <si>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</si>
  <si>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</si>
  <si>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</si>
  <si>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</si>
  <si>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</si>
  <si>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</si>
  <si>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</si>
  <si>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</si>
  <si>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</si>
  <si>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</si>
  <si>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</si>
  <si>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</si>
  <si>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</si>
  <si>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</si>
  <si>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</si>
  <si>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</si>
  <si>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</si>
  <si>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</si>
  <si>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</si>
  <si>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</si>
  <si>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</si>
  <si>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</si>
  <si>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</si>
  <si>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</si>
  <si>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</si>
  <si>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</si>
  <si>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</si>
  <si>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</si>
  <si>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</si>
  <si>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</si>
  <si>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</si>
  <si>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</si>
  <si>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</si>
  <si>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</si>
  <si>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</si>
  <si>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</si>
  <si>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</si>
  <si>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</si>
  <si>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</si>
  <si>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</si>
  <si>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</si>
  <si>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</si>
  <si>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</si>
  <si>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</si>
  <si>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</si>
  <si>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</si>
  <si>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</si>
  <si>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</si>
  <si>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</si>
  <si>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</si>
  <si>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</si>
  <si>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</si>
  <si>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</si>
  <si>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</si>
  <si>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</si>
  <si>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</si>
  <si>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</si>
  <si>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</si>
  <si>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</si>
  <si>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</si>
  <si>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</si>
  <si>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</si>
  <si>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</si>
  <si>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</si>
  <si>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</si>
  <si>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</si>
  <si>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</si>
  <si>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</si>
  <si>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</si>
  <si>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</si>
  <si>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</si>
  <si>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</si>
  <si>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</si>
  <si>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</si>
  <si>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</si>
  <si>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</si>
  <si>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</si>
  <si>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</si>
  <si>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</si>
  <si>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</si>
  <si>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</si>
  <si>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</si>
  <si>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</si>
  <si>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</si>
  <si>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</si>
  <si>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</si>
  <si>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</si>
  <si>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</si>
  <si>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</si>
  <si>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</si>
  <si>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</si>
  <si>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</si>
  <si>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</si>
  <si>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</si>
  <si>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</si>
  <si>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</si>
  <si>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</si>
  <si>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</si>
  <si>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</si>
  <si>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</si>
  <si>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</si>
  <si>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</si>
  <si>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</si>
  <si>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</si>
  <si>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</si>
  <si>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</si>
  <si>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</si>
  <si>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</si>
  <si>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</si>
  <si>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</si>
  <si>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</si>
  <si>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</si>
  <si>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</si>
  <si>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</si>
  <si>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</si>
  <si>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</si>
  <si>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</si>
  <si>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</si>
  <si>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</si>
  <si>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</si>
  <si>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</si>
  <si>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</si>
  <si>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</si>
  <si>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</si>
  <si>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</si>
  <si>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</si>
  <si>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</si>
  <si>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</si>
  <si>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</si>
  <si>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</si>
  <si>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</si>
  <si>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</si>
  <si>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</si>
  <si>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</si>
  <si>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</si>
  <si>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</si>
  <si>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</si>
  <si>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</si>
  <si>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</si>
  <si>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</si>
  <si>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</si>
  <si>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</si>
  <si>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</si>
  <si>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</si>
  <si>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</si>
  <si>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</si>
  <si>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</si>
  <si>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</si>
  <si>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</si>
  <si>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</si>
  <si>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</si>
  <si>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</si>
  <si>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</si>
  <si>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</si>
  <si>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</si>
  <si>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</si>
  <si>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</si>
  <si>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</si>
  <si>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</si>
  <si>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</si>
  <si>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</si>
  <si>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</si>
  <si>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</si>
  <si>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</si>
  <si>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</si>
  <si>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</si>
  <si>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</si>
  <si>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</si>
  <si>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</si>
  <si>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</si>
  <si>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</si>
  <si>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</si>
  <si>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</si>
  <si>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</si>
  <si>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</si>
  <si>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</si>
  <si>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</si>
  <si>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</si>
  <si>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</si>
  <si>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</si>
  <si>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</si>
  <si>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</si>
  <si>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</si>
  <si>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</si>
  <si>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</si>
  <si>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</si>
  <si>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</si>
  <si>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</si>
  <si>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</si>
  <si>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</si>
  <si>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</si>
  <si>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</si>
  <si>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</si>
  <si>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</si>
  <si>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</si>
  <si>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</si>
  <si>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</si>
  <si>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</si>
  <si>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</si>
  <si>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</si>
  <si>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</si>
  <si>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</si>
  <si>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2020-11-11T10:23:10.358Z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</si>
</sst>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7.11 saakka. Suurin arvo 306, joka 7.10. Uusimpien 4 päivien arvot tulevat viiveellä, joten ne jätetty pois 11.11.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190</c:v>
                </c:pt>
                <c:pt idx="276">
                  <c:v>170</c:v>
                </c:pt>
                <c:pt idx="277">
                  <c:v>147</c:v>
                </c:pt>
                <c:pt idx="278">
                  <c:v>290</c:v>
                </c:pt>
                <c:pt idx="279">
                  <c:v>303</c:v>
                </c:pt>
                <c:pt idx="280">
                  <c:v>306</c:v>
                </c:pt>
                <c:pt idx="281">
                  <c:v>260</c:v>
                </c:pt>
                <c:pt idx="282">
                  <c:v>226</c:v>
                </c:pt>
                <c:pt idx="283">
                  <c:v>109</c:v>
                </c:pt>
                <c:pt idx="284">
                  <c:v>130</c:v>
                </c:pt>
                <c:pt idx="285">
                  <c:v>254</c:v>
                </c:pt>
                <c:pt idx="286">
                  <c:v>197</c:v>
                </c:pt>
                <c:pt idx="287">
                  <c:v>201</c:v>
                </c:pt>
                <c:pt idx="288">
                  <c:v>191</c:v>
                </c:pt>
                <c:pt idx="289">
                  <c:v>192</c:v>
                </c:pt>
                <c:pt idx="290">
                  <c:v>100</c:v>
                </c:pt>
                <c:pt idx="291">
                  <c:v>129</c:v>
                </c:pt>
                <c:pt idx="292">
                  <c:v>244</c:v>
                </c:pt>
                <c:pt idx="293">
                  <c:v>163</c:v>
                </c:pt>
                <c:pt idx="294">
                  <c:v>189</c:v>
                </c:pt>
                <c:pt idx="295">
                  <c:v>216</c:v>
                </c:pt>
                <c:pt idx="296">
                  <c:v>192</c:v>
                </c:pt>
                <c:pt idx="297">
                  <c:v>108</c:v>
                </c:pt>
                <c:pt idx="298">
                  <c:v>123</c:v>
                </c:pt>
                <c:pt idx="299">
                  <c:v>255</c:v>
                </c:pt>
                <c:pt idx="300">
                  <c:v>230</c:v>
                </c:pt>
                <c:pt idx="301">
                  <c:v>240</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3105</c:v>
                </c:pt>
                <c:pt idx="1">
                  <c:v>2911</c:v>
                </c:pt>
                <c:pt idx="2">
                  <c:v>2924</c:v>
                </c:pt>
                <c:pt idx="3">
                  <c:v>2887</c:v>
                </c:pt>
                <c:pt idx="4">
                  <c:v>2444</c:v>
                </c:pt>
                <c:pt idx="5">
                  <c:v>1554</c:v>
                </c:pt>
                <c:pt idx="6">
                  <c:v>1768</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44118</c:v>
                </c:pt>
                <c:pt idx="1">
                  <c:v>44119</c:v>
                </c:pt>
                <c:pt idx="2">
                  <c:v>44120</c:v>
                </c:pt>
                <c:pt idx="3">
                  <c:v>44121</c:v>
                </c:pt>
                <c:pt idx="4">
                  <c:v>44122</c:v>
                </c:pt>
                <c:pt idx="5">
                  <c:v>44123</c:v>
                </c:pt>
                <c:pt idx="6">
                  <c:v>44124</c:v>
                </c:pt>
                <c:pt idx="7">
                  <c:v>44125</c:v>
                </c:pt>
                <c:pt idx="8">
                  <c:v>44126</c:v>
                </c:pt>
                <c:pt idx="9">
                  <c:v>44127</c:v>
                </c:pt>
                <c:pt idx="10">
                  <c:v>44128</c:v>
                </c:pt>
                <c:pt idx="11">
                  <c:v>44129</c:v>
                </c:pt>
                <c:pt idx="12">
                  <c:v>44130</c:v>
                </c:pt>
                <c:pt idx="13">
                  <c:v>44131</c:v>
                </c:pt>
                <c:pt idx="14">
                  <c:v>44132</c:v>
                </c:pt>
                <c:pt idx="15">
                  <c:v>44133</c:v>
                </c:pt>
                <c:pt idx="16">
                  <c:v>44134</c:v>
                </c:pt>
                <c:pt idx="17">
                  <c:v>44135</c:v>
                </c:pt>
                <c:pt idx="18">
                  <c:v>44136</c:v>
                </c:pt>
                <c:pt idx="19">
                  <c:v>44137</c:v>
                </c:pt>
                <c:pt idx="20">
                  <c:v>44138</c:v>
                </c:pt>
                <c:pt idx="21">
                  <c:v>44139</c:v>
                </c:pt>
                <c:pt idx="22">
                  <c:v>44140</c:v>
                </c:pt>
                <c:pt idx="23">
                  <c:v>44141</c:v>
                </c:pt>
                <c:pt idx="24">
                  <c:v>44142</c:v>
                </c:pt>
                <c:pt idx="25">
                  <c:v>44143</c:v>
                </c:pt>
                <c:pt idx="26">
                  <c:v>44144</c:v>
                </c:pt>
                <c:pt idx="27">
                  <c:v>44145</c:v>
                </c:pt>
              </c:numCache>
            </c:numRef>
          </c:cat>
          <c:val>
            <c:numRef>
              <c:f>Kuvaajat!$D$37:$D$64</c:f>
              <c:numCache>
                <c:formatCode>General</c:formatCode>
                <c:ptCount val="28"/>
                <c:pt idx="0">
                  <c:v>201</c:v>
                </c:pt>
                <c:pt idx="1">
                  <c:v>191</c:v>
                </c:pt>
                <c:pt idx="2">
                  <c:v>192</c:v>
                </c:pt>
                <c:pt idx="3">
                  <c:v>100</c:v>
                </c:pt>
                <c:pt idx="4">
                  <c:v>129</c:v>
                </c:pt>
                <c:pt idx="5">
                  <c:v>244</c:v>
                </c:pt>
                <c:pt idx="6">
                  <c:v>163</c:v>
                </c:pt>
                <c:pt idx="7">
                  <c:v>189</c:v>
                </c:pt>
                <c:pt idx="8">
                  <c:v>216</c:v>
                </c:pt>
                <c:pt idx="9">
                  <c:v>192</c:v>
                </c:pt>
                <c:pt idx="10">
                  <c:v>108</c:v>
                </c:pt>
                <c:pt idx="11">
                  <c:v>123</c:v>
                </c:pt>
                <c:pt idx="12">
                  <c:v>255</c:v>
                </c:pt>
                <c:pt idx="13">
                  <c:v>230</c:v>
                </c:pt>
                <c:pt idx="14">
                  <c:v>240</c:v>
                </c:pt>
                <c:pt idx="15">
                  <c:v>237</c:v>
                </c:pt>
                <c:pt idx="16">
                  <c:v>219</c:v>
                </c:pt>
                <c:pt idx="17">
                  <c:v>121</c:v>
                </c:pt>
                <c:pt idx="18">
                  <c:v>150</c:v>
                </c:pt>
                <c:pt idx="19">
                  <c:v>281</c:v>
                </c:pt>
                <c:pt idx="20">
                  <c:v>239</c:v>
                </c:pt>
                <c:pt idx="21">
                  <c:v>206</c:v>
                </c:pt>
                <c:pt idx="22">
                  <c:v>217</c:v>
                </c:pt>
                <c:pt idx="23">
                  <c:v>194</c:v>
                </c:pt>
                <c:pt idx="24">
                  <c:v>127</c:v>
                </c:pt>
                <c:pt idx="25">
                  <c:v>133</c:v>
                </c:pt>
                <c:pt idx="26">
                  <c:v>238</c:v>
                </c:pt>
                <c:pt idx="27">
                  <c:v>60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N=18345. Uusimmat 11.11 lisäykset punaisella n=238.</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44118</c:v>
                </c:pt>
                <c:pt idx="1">
                  <c:v>44119</c:v>
                </c:pt>
                <c:pt idx="2">
                  <c:v>44120</c:v>
                </c:pt>
                <c:pt idx="3">
                  <c:v>44121</c:v>
                </c:pt>
                <c:pt idx="4">
                  <c:v>44122</c:v>
                </c:pt>
                <c:pt idx="5">
                  <c:v>44123</c:v>
                </c:pt>
                <c:pt idx="6">
                  <c:v>44124</c:v>
                </c:pt>
                <c:pt idx="7">
                  <c:v>44125</c:v>
                </c:pt>
                <c:pt idx="8">
                  <c:v>44126</c:v>
                </c:pt>
                <c:pt idx="9">
                  <c:v>44127</c:v>
                </c:pt>
                <c:pt idx="10">
                  <c:v>44128</c:v>
                </c:pt>
                <c:pt idx="11">
                  <c:v>44129</c:v>
                </c:pt>
                <c:pt idx="12">
                  <c:v>44130</c:v>
                </c:pt>
                <c:pt idx="13">
                  <c:v>44131</c:v>
                </c:pt>
                <c:pt idx="14">
                  <c:v>44132</c:v>
                </c:pt>
                <c:pt idx="15">
                  <c:v>44133</c:v>
                </c:pt>
                <c:pt idx="16">
                  <c:v>44134</c:v>
                </c:pt>
                <c:pt idx="17">
                  <c:v>44135</c:v>
                </c:pt>
                <c:pt idx="18">
                  <c:v>44136</c:v>
                </c:pt>
                <c:pt idx="19">
                  <c:v>44137</c:v>
                </c:pt>
                <c:pt idx="20">
                  <c:v>44138</c:v>
                </c:pt>
                <c:pt idx="21">
                  <c:v>44139</c:v>
                </c:pt>
                <c:pt idx="22">
                  <c:v>44140</c:v>
                </c:pt>
                <c:pt idx="23">
                  <c:v>44141</c:v>
                </c:pt>
                <c:pt idx="24">
                  <c:v>44142</c:v>
                </c:pt>
                <c:pt idx="25">
                  <c:v>44143</c:v>
                </c:pt>
                <c:pt idx="26">
                  <c:v>44144</c:v>
                </c:pt>
                <c:pt idx="27">
                  <c:v>44145</c:v>
                </c:pt>
              </c:numCache>
            </c:numRef>
          </c:cat>
          <c:val>
            <c:numRef>
              <c:f>Kuvaajat!$D$37:$D$64</c:f>
              <c:numCache>
                <c:formatCode>General</c:formatCode>
                <c:ptCount val="28"/>
                <c:pt idx="0">
                  <c:v>201</c:v>
                </c:pt>
                <c:pt idx="1">
                  <c:v>191</c:v>
                </c:pt>
                <c:pt idx="2">
                  <c:v>192</c:v>
                </c:pt>
                <c:pt idx="3">
                  <c:v>100</c:v>
                </c:pt>
                <c:pt idx="4">
                  <c:v>129</c:v>
                </c:pt>
                <c:pt idx="5">
                  <c:v>244</c:v>
                </c:pt>
                <c:pt idx="6">
                  <c:v>163</c:v>
                </c:pt>
                <c:pt idx="7">
                  <c:v>189</c:v>
                </c:pt>
                <c:pt idx="8">
                  <c:v>216</c:v>
                </c:pt>
                <c:pt idx="9">
                  <c:v>192</c:v>
                </c:pt>
                <c:pt idx="10">
                  <c:v>108</c:v>
                </c:pt>
                <c:pt idx="11">
                  <c:v>123</c:v>
                </c:pt>
                <c:pt idx="12">
                  <c:v>255</c:v>
                </c:pt>
                <c:pt idx="13">
                  <c:v>230</c:v>
                </c:pt>
                <c:pt idx="14">
                  <c:v>240</c:v>
                </c:pt>
                <c:pt idx="15">
                  <c:v>237</c:v>
                </c:pt>
                <c:pt idx="16">
                  <c:v>219</c:v>
                </c:pt>
                <c:pt idx="17">
                  <c:v>121</c:v>
                </c:pt>
                <c:pt idx="18">
                  <c:v>150</c:v>
                </c:pt>
                <c:pt idx="19">
                  <c:v>281</c:v>
                </c:pt>
                <c:pt idx="20">
                  <c:v>239</c:v>
                </c:pt>
                <c:pt idx="21">
                  <c:v>206</c:v>
                </c:pt>
                <c:pt idx="22">
                  <c:v>217</c:v>
                </c:pt>
                <c:pt idx="23">
                  <c:v>194</c:v>
                </c:pt>
                <c:pt idx="24">
                  <c:v>127</c:v>
                </c:pt>
                <c:pt idx="25">
                  <c:v>133</c:v>
                </c:pt>
                <c:pt idx="26">
                  <c:v>238</c:v>
                </c:pt>
                <c:pt idx="27">
                  <c:v>60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44118</c:v>
                </c:pt>
                <c:pt idx="1">
                  <c:v>44119</c:v>
                </c:pt>
                <c:pt idx="2">
                  <c:v>44120</c:v>
                </c:pt>
                <c:pt idx="3">
                  <c:v>44121</c:v>
                </c:pt>
                <c:pt idx="4">
                  <c:v>44122</c:v>
                </c:pt>
                <c:pt idx="5">
                  <c:v>44123</c:v>
                </c:pt>
                <c:pt idx="6">
                  <c:v>44124</c:v>
                </c:pt>
                <c:pt idx="7">
                  <c:v>44125</c:v>
                </c:pt>
                <c:pt idx="8">
                  <c:v>44126</c:v>
                </c:pt>
                <c:pt idx="9">
                  <c:v>44127</c:v>
                </c:pt>
                <c:pt idx="10">
                  <c:v>44128</c:v>
                </c:pt>
                <c:pt idx="11">
                  <c:v>44129</c:v>
                </c:pt>
                <c:pt idx="12">
                  <c:v>44130</c:v>
                </c:pt>
                <c:pt idx="13">
                  <c:v>44131</c:v>
                </c:pt>
                <c:pt idx="14">
                  <c:v>44132</c:v>
                </c:pt>
                <c:pt idx="15">
                  <c:v>44133</c:v>
                </c:pt>
                <c:pt idx="16">
                  <c:v>44134</c:v>
                </c:pt>
                <c:pt idx="17">
                  <c:v>44135</c:v>
                </c:pt>
                <c:pt idx="18">
                  <c:v>44136</c:v>
                </c:pt>
                <c:pt idx="19">
                  <c:v>44137</c:v>
                </c:pt>
                <c:pt idx="20">
                  <c:v>44138</c:v>
                </c:pt>
                <c:pt idx="21">
                  <c:v>44139</c:v>
                </c:pt>
                <c:pt idx="22">
                  <c:v>44140</c:v>
                </c:pt>
                <c:pt idx="23">
                  <c:v>44141</c:v>
                </c:pt>
                <c:pt idx="24">
                  <c:v>44142</c:v>
                </c:pt>
                <c:pt idx="25">
                  <c:v>44143</c:v>
                </c:pt>
                <c:pt idx="26">
                  <c:v>44144</c:v>
                </c:pt>
                <c:pt idx="27">
                  <c:v>44145</c:v>
                </c:pt>
              </c:numCache>
            </c:numRef>
          </c:cat>
          <c:val>
            <c:numRef>
              <c:f>Kuvaajat!$E$37:$E$64</c:f>
              <c:numCache>
                <c:formatCode>General</c:formatCode>
                <c:ptCount val="28"/>
                <c:pt idx="0">
                  <c:v>1</c:v>
                </c:pt>
                <c:pt idx="1">
                  <c:v>0</c:v>
                </c:pt>
                <c:pt idx="2">
                  <c:v>-1</c:v>
                </c:pt>
                <c:pt idx="3">
                  <c:v>0</c:v>
                </c:pt>
                <c:pt idx="4">
                  <c:v>1</c:v>
                </c:pt>
                <c:pt idx="5">
                  <c:v>0</c:v>
                </c:pt>
                <c:pt idx="6">
                  <c:v>1</c:v>
                </c:pt>
                <c:pt idx="7">
                  <c:v>0</c:v>
                </c:pt>
                <c:pt idx="8">
                  <c:v>1</c:v>
                </c:pt>
                <c:pt idx="9">
                  <c:v>0</c:v>
                </c:pt>
                <c:pt idx="10">
                  <c:v>0</c:v>
                </c:pt>
                <c:pt idx="11">
                  <c:v>0</c:v>
                </c:pt>
                <c:pt idx="12">
                  <c:v>0</c:v>
                </c:pt>
                <c:pt idx="13">
                  <c:v>1</c:v>
                </c:pt>
                <c:pt idx="14">
                  <c:v>0</c:v>
                </c:pt>
                <c:pt idx="15">
                  <c:v>0</c:v>
                </c:pt>
                <c:pt idx="16">
                  <c:v>0</c:v>
                </c:pt>
                <c:pt idx="17">
                  <c:v>0</c:v>
                </c:pt>
                <c:pt idx="18">
                  <c:v>0</c:v>
                </c:pt>
                <c:pt idx="19">
                  <c:v>0</c:v>
                </c:pt>
                <c:pt idx="20">
                  <c:v>0</c:v>
                </c:pt>
                <c:pt idx="21">
                  <c:v>1</c:v>
                </c:pt>
                <c:pt idx="22">
                  <c:v>0</c:v>
                </c:pt>
                <c:pt idx="23">
                  <c:v>3</c:v>
                </c:pt>
                <c:pt idx="24">
                  <c:v>2</c:v>
                </c:pt>
                <c:pt idx="25">
                  <c:v>12</c:v>
                </c:pt>
                <c:pt idx="26">
                  <c:v>154</c:v>
                </c:pt>
                <c:pt idx="27">
                  <c:v>60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17"/>
  <sheetViews>
    <sheetView workbookViewId="0">
      <pane ySplit="1" topLeftCell="A2" activePane="bottomLeft" state="frozen"/>
      <selection pane="bottomLeft" activeCell="J3" sqref="J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18345</v>
      </c>
      <c r="I1" s="8">
        <v>44146.517418981479</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7.11 saakka. Suurin arvo 306, joka 7.10. Uusimpien 4 päivien arvot tulevat viiveellä, joten ne jätetty pois 11.11.</v>
      </c>
      <c r="M1" s="7">
        <f>COUNTA(Id)-2-5</f>
        <v>310</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3105</v>
      </c>
    </row>
    <row r="31" spans="1:11">
      <c r="A31">
        <v>0</v>
      </c>
      <c r="B31" t="s">
        <v>263</v>
      </c>
      <c r="C31" t="s">
        <v>8</v>
      </c>
      <c r="E31" s="3">
        <f t="shared" si="0"/>
        <v>4</v>
      </c>
      <c r="F31" s="5">
        <v>43860.625</v>
      </c>
      <c r="I31">
        <v>2</v>
      </c>
      <c r="J31" t="s">
        <v>303</v>
      </c>
      <c r="K31">
        <f t="shared" si="1"/>
        <v>2911</v>
      </c>
    </row>
    <row r="32" spans="1:11">
      <c r="A32">
        <v>0</v>
      </c>
      <c r="B32" t="s">
        <v>264</v>
      </c>
      <c r="C32" t="s">
        <v>8</v>
      </c>
      <c r="E32" s="3">
        <f t="shared" si="0"/>
        <v>5</v>
      </c>
      <c r="F32" s="5">
        <v>43861.625</v>
      </c>
      <c r="I32">
        <v>3</v>
      </c>
      <c r="J32" t="s">
        <v>304</v>
      </c>
      <c r="K32">
        <f t="shared" si="1"/>
        <v>2924</v>
      </c>
    </row>
    <row r="33" spans="1:11">
      <c r="A33">
        <v>0</v>
      </c>
      <c r="B33" t="s">
        <v>265</v>
      </c>
      <c r="C33" t="s">
        <v>8</v>
      </c>
      <c r="E33" s="3">
        <f t="shared" si="0"/>
        <v>6</v>
      </c>
      <c r="F33" s="5">
        <v>43862.625</v>
      </c>
      <c r="I33">
        <v>4</v>
      </c>
      <c r="J33" t="s">
        <v>305</v>
      </c>
      <c r="K33">
        <f t="shared" si="1"/>
        <v>2887</v>
      </c>
    </row>
    <row r="34" spans="1:11">
      <c r="A34">
        <v>0</v>
      </c>
      <c r="B34" t="s">
        <v>266</v>
      </c>
      <c r="C34" t="s">
        <v>8</v>
      </c>
      <c r="E34" s="3">
        <f t="shared" si="0"/>
        <v>7</v>
      </c>
      <c r="F34" s="5">
        <v>43863.625</v>
      </c>
      <c r="I34">
        <v>5</v>
      </c>
      <c r="J34" t="s">
        <v>306</v>
      </c>
      <c r="K34">
        <f t="shared" si="1"/>
        <v>2444</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1768</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108</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134</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303</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201</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192</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129</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189</v>
      </c>
      <c r="B296" t="s">
        <v>324</v>
      </c>
      <c r="C296" t="s">
        <v>8</v>
      </c>
      <c r="E296" s="3">
        <f t="shared" si="7"/>
        <v>3</v>
      </c>
      <c r="F296" s="5">
        <v>44125.625</v>
      </c>
      <c r="G296" t="str">
        <f t="shared" si="6"/>
        <v/>
      </c>
    </row>
    <row r="297" spans="1:8">
      <c r="A297">
        <v>216</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123</v>
      </c>
      <c r="B300" t="s">
        <v>328</v>
      </c>
      <c r="C300" t="s">
        <v>8</v>
      </c>
      <c r="E300" s="3">
        <f t="shared" si="7"/>
        <v>7</v>
      </c>
      <c r="F300" s="5">
        <v>44129.625</v>
      </c>
      <c r="G300" t="str">
        <f t="shared" si="6"/>
        <v/>
      </c>
    </row>
    <row r="301" spans="1:8" s="10" customFormat="1">
      <c r="A301" s="10">
        <v>255</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240</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219</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150</v>
      </c>
      <c r="B307" t="s">
        <v>336</v>
      </c>
      <c r="C307" t="s">
        <v>8</v>
      </c>
      <c r="E307" s="3">
        <f t="shared" si="7"/>
        <v>7</v>
      </c>
      <c r="F307" s="5">
        <v>44136.625</v>
      </c>
      <c r="G307" t="str">
        <f t="shared" si="6"/>
        <v/>
      </c>
    </row>
    <row r="308" spans="1:8" s="10" customFormat="1">
      <c r="A308" s="10">
        <v>281</v>
      </c>
      <c r="B308" s="10" t="s">
        <v>337</v>
      </c>
      <c r="C308" s="10" t="s">
        <v>8</v>
      </c>
      <c r="E308" s="14">
        <f t="shared" si="7"/>
        <v>1</v>
      </c>
      <c r="F308" s="18">
        <v>44137.625</v>
      </c>
      <c r="G308" s="10" t="str">
        <f>IF(WEEKDAY(F308,2)=1,"Maanantai","")</f>
        <v>Maanantai</v>
      </c>
      <c r="H308" s="9"/>
    </row>
    <row r="309" spans="1:8">
      <c r="A309">
        <v>239</v>
      </c>
      <c r="B309" t="s">
        <v>338</v>
      </c>
      <c r="C309" t="s">
        <v>8</v>
      </c>
      <c r="E309" s="3">
        <f t="shared" si="7"/>
        <v>2</v>
      </c>
      <c r="F309" s="5">
        <v>44138.625</v>
      </c>
      <c r="G309" t="str">
        <f t="shared" ref="G309:G310" si="8">IF(WEEKDAY(F309,2)=1,"Maanantai","")</f>
        <v/>
      </c>
    </row>
    <row r="310" spans="1:8">
      <c r="A310">
        <v>206</v>
      </c>
      <c r="B310" t="s">
        <v>339</v>
      </c>
      <c r="C310" t="s">
        <v>8</v>
      </c>
      <c r="E310" s="3">
        <f t="shared" si="7"/>
        <v>3</v>
      </c>
      <c r="F310" s="5">
        <v>44139.625</v>
      </c>
      <c r="G310" t="str">
        <f t="shared" si="8"/>
        <v/>
      </c>
    </row>
    <row r="311" spans="1:8">
      <c r="A311">
        <v>217</v>
      </c>
      <c r="B311" t="s">
        <v>340</v>
      </c>
      <c r="C311" t="s">
        <v>8</v>
      </c>
      <c r="E311" s="3">
        <f t="shared" si="7"/>
        <v>4</v>
      </c>
      <c r="F311" s="5">
        <v>44140.625</v>
      </c>
      <c r="G311" t="str">
        <f>IF(WEEKDAY(F311,2)=1,"Maanantai","")</f>
        <v/>
      </c>
    </row>
    <row r="312" spans="1:8">
      <c r="A312">
        <v>194</v>
      </c>
      <c r="B312" t="s">
        <v>341</v>
      </c>
      <c r="C312" t="s">
        <v>8</v>
      </c>
      <c r="F312" s="5">
        <v>44141.625</v>
      </c>
    </row>
    <row r="313" spans="1:8">
      <c r="A313">
        <v>127</v>
      </c>
      <c r="B313" t="s">
        <v>342</v>
      </c>
      <c r="C313" t="s">
        <v>8</v>
      </c>
      <c r="F313" s="5">
        <v>44142.625</v>
      </c>
    </row>
    <row r="314" spans="1:8">
      <c r="A314">
        <v>133</v>
      </c>
      <c r="B314" t="s">
        <v>343</v>
      </c>
      <c r="C314" t="s">
        <v>8</v>
      </c>
      <c r="F314" s="5">
        <v>44143.625</v>
      </c>
    </row>
    <row r="315" spans="1:8">
      <c r="A315">
        <v>238</v>
      </c>
      <c r="B315" t="s">
        <v>344</v>
      </c>
      <c r="C315" t="s">
        <v>8</v>
      </c>
      <c r="F315" s="5">
        <v>44144.625</v>
      </c>
    </row>
    <row r="316" spans="1:8">
      <c r="A316">
        <v>60</v>
      </c>
      <c r="B316" t="s">
        <v>345</v>
      </c>
      <c r="C316" t="s">
        <v>8</v>
      </c>
      <c r="F316" s="5">
        <v>44145.625</v>
      </c>
    </row>
    <row r="317" spans="1:8">
      <c r="A317">
        <v>0</v>
      </c>
      <c r="B317" t="s">
        <v>346</v>
      </c>
      <c r="C317" t="s">
        <v>8</v>
      </c>
      <c r="F317" s="5">
        <v>44146.432754629626</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J67"/>
  <sheetViews>
    <sheetView tabSelected="1"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2)</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11.11 n=238 (joista vanhoja yli 28 päivän takaisia kirjauksia 2). Yhteensä N=18345. Edelliset 7 päivää 1175 (päivittyy), 1487 (muutos 13 %), 1313 (8 %) ja 1220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11.11 n=238 (joista vanhoja yli 28 päivän takaisia kirjauksia 2). Yhteensä N=18345. Melko pysyvät 7 päivää 1.11-7.11 yhteensä 1414 (muutos -1 %), aiemmat 7 päivää 1425 (15 %) ja 1241 https://github.com/jussivirkkala/excel/tree/master/hs-koronavirus-avoindata</v>
      </c>
      <c r="B32" s="4"/>
    </row>
    <row r="33" spans="1:114">
      <c r="B33" s="4"/>
    </row>
    <row r="34" spans="1:114">
      <c r="A34" t="str">
        <f ca="1">"Kirjattuja COVID-19 tapauksia N="&amp;C65&amp;"."&amp;CHAR(32)&amp;"Uusimmat "&amp;TEXT(MAX(M:M),"p.kk")&amp;" lisäykset punaisella n="&amp;L65&amp;"."</f>
        <v>Kirjattuja COVID-19 tapauksia N=18345. Uusimmat 11.11 lisäykset punaisella n=238.</v>
      </c>
      <c r="B34" s="4"/>
    </row>
    <row r="35" spans="1:114">
      <c r="B35" s="4" t="s">
        <v>5</v>
      </c>
      <c r="C35" t="s">
        <v>0</v>
      </c>
      <c r="D35" t="s">
        <v>6</v>
      </c>
      <c r="E35">
        <f ca="1">SUM(E37:E65)</f>
        <v>236</v>
      </c>
      <c r="F35" t="s">
        <v>228</v>
      </c>
      <c r="M35" s="16" t="s">
        <v>312</v>
      </c>
      <c r="P35" s="16" t="s">
        <v>313</v>
      </c>
      <c r="S35" s="16" t="s">
        <v>314</v>
      </c>
    </row>
    <row r="36" spans="1:114">
      <c r="A36" t="str">
        <f ca="1">IF(WEEKDAY(B36,2)=1,"Ma","")</f>
        <v/>
      </c>
      <c r="B36" s="4">
        <f ca="1">B37-1</f>
        <v>44117</v>
      </c>
      <c r="C36" s="11">
        <f t="shared" ref="C36:C65" ca="1" si="0">SUMIF(aika,"&lt;"&amp;(B36+1),Id)</f>
        <v>13150</v>
      </c>
    </row>
    <row r="37" spans="1:114" s="10" customFormat="1">
      <c r="A37" t="str">
        <f t="shared" ref="A37:A60" ca="1" si="1">IF(WEEKDAY(B37,2)=1,"Ma","")</f>
        <v/>
      </c>
      <c r="B37" s="9">
        <f t="shared" ref="B37:B62" ca="1" si="2">B38-1</f>
        <v>44118</v>
      </c>
      <c r="C37" s="10">
        <f t="shared" ca="1" si="0"/>
        <v>13351</v>
      </c>
      <c r="D37" s="10">
        <f t="shared" ref="D37" ca="1" si="3">C37-C36</f>
        <v>201</v>
      </c>
      <c r="E37" s="10">
        <f t="shared" ref="E37:E64" ca="1" si="4">_xlfn.IFNA(D37-F37,"")</f>
        <v>1</v>
      </c>
      <c r="F37" s="10">
        <f ca="1">VLOOKUP(B37,Previous,3,FALSE)</f>
        <v>200</v>
      </c>
      <c r="G37" s="10">
        <f ca="1">SUM(D37:D43)</f>
        <v>1220</v>
      </c>
      <c r="I37" s="10">
        <f ca="1">SUM(D37:D50)</f>
        <v>2533</v>
      </c>
      <c r="K37" s="14"/>
      <c r="M37" s="17">
        <v>44118</v>
      </c>
      <c r="N37" s="10">
        <v>13348</v>
      </c>
      <c r="O37" s="10">
        <v>200</v>
      </c>
      <c r="P37" s="17">
        <v>44118</v>
      </c>
      <c r="Q37" s="10">
        <v>13348</v>
      </c>
      <c r="R37" s="10">
        <v>200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row>
    <row r="38" spans="1:114">
      <c r="A38" t="str">
        <f t="shared" ca="1" si="1"/>
        <v/>
      </c>
      <c r="B38" s="4">
        <f t="shared" ca="1" si="2"/>
        <v>44119</v>
      </c>
      <c r="C38" s="11">
        <f t="shared" ca="1" si="0"/>
        <v>13542</v>
      </c>
      <c r="D38">
        <f t="shared" ref="D38" ca="1" si="5">C38-C37</f>
        <v>191</v>
      </c>
      <c r="E38" s="11">
        <f t="shared" ca="1" si="4"/>
        <v>0</v>
      </c>
      <c r="F38" s="11">
        <f t="shared" ref="F38:F65" ca="1" si="6">VLOOKUP(B38,Previous,3,FALSE)</f>
        <v>191</v>
      </c>
      <c r="K38" s="3"/>
      <c r="M38" s="16">
        <v>44119</v>
      </c>
      <c r="N38">
        <v>13539</v>
      </c>
      <c r="O38">
        <v>191</v>
      </c>
      <c r="P38" s="16">
        <v>44119</v>
      </c>
      <c r="Q38">
        <v>13539</v>
      </c>
      <c r="R38">
        <v>191</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row>
    <row r="39" spans="1:114">
      <c r="A39" t="str">
        <f t="shared" ca="1" si="1"/>
        <v/>
      </c>
      <c r="B39" s="4">
        <f t="shared" ca="1" si="2"/>
        <v>44120</v>
      </c>
      <c r="C39" s="11">
        <f t="shared" ca="1" si="0"/>
        <v>13734</v>
      </c>
      <c r="D39">
        <f t="shared" ref="D39" ca="1" si="7">C39-C38</f>
        <v>192</v>
      </c>
      <c r="E39" s="11">
        <f t="shared" ca="1" si="4"/>
        <v>-1</v>
      </c>
      <c r="F39" s="11">
        <f t="shared" ca="1" si="6"/>
        <v>193</v>
      </c>
      <c r="K39" s="3"/>
      <c r="M39" s="16">
        <v>44120</v>
      </c>
      <c r="N39">
        <v>13732</v>
      </c>
      <c r="O39">
        <v>193</v>
      </c>
      <c r="P39" s="16">
        <v>44120</v>
      </c>
      <c r="Q39">
        <v>13732</v>
      </c>
      <c r="R39">
        <v>193</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row>
    <row r="40" spans="1:114">
      <c r="A40" t="str">
        <f t="shared" ca="1" si="1"/>
        <v/>
      </c>
      <c r="B40" s="4">
        <f t="shared" ca="1" si="2"/>
        <v>44121</v>
      </c>
      <c r="C40" s="11">
        <f t="shared" ca="1" si="0"/>
        <v>13834</v>
      </c>
      <c r="D40">
        <f t="shared" ref="D40" ca="1" si="8">C40-C39</f>
        <v>100</v>
      </c>
      <c r="E40" s="11">
        <f t="shared" ca="1" si="4"/>
        <v>0</v>
      </c>
      <c r="F40" s="11">
        <f t="shared" ca="1" si="6"/>
        <v>100</v>
      </c>
      <c r="J40" s="10">
        <f ca="1">SUM(D41:D47)</f>
        <v>1241</v>
      </c>
      <c r="K40" s="3"/>
      <c r="M40" s="16">
        <v>44121</v>
      </c>
      <c r="N40">
        <v>13832</v>
      </c>
      <c r="O40">
        <v>100</v>
      </c>
      <c r="P40" s="16">
        <v>44121</v>
      </c>
      <c r="Q40">
        <v>13832</v>
      </c>
      <c r="R40">
        <v>100</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row>
    <row r="41" spans="1:114">
      <c r="A41" t="str">
        <f t="shared" ca="1" si="1"/>
        <v/>
      </c>
      <c r="B41" s="4">
        <f t="shared" ca="1" si="2"/>
        <v>44122</v>
      </c>
      <c r="C41" s="11">
        <f t="shared" ca="1" si="0"/>
        <v>13963</v>
      </c>
      <c r="D41">
        <f t="shared" ref="D41" ca="1" si="9">C41-C40</f>
        <v>129</v>
      </c>
      <c r="E41" s="11">
        <f t="shared" ca="1" si="4"/>
        <v>1</v>
      </c>
      <c r="F41" s="11">
        <f t="shared" ca="1" si="6"/>
        <v>128</v>
      </c>
      <c r="K41" s="3"/>
      <c r="M41" s="16">
        <v>44122</v>
      </c>
      <c r="N41">
        <v>13960</v>
      </c>
      <c r="O41">
        <v>128</v>
      </c>
      <c r="P41" s="16">
        <v>44122</v>
      </c>
      <c r="Q41">
        <v>13960</v>
      </c>
      <c r="R41">
        <v>128</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row>
    <row r="42" spans="1:114">
      <c r="A42" t="str">
        <f t="shared" ca="1" si="1"/>
        <v>Ma</v>
      </c>
      <c r="B42" s="4">
        <f t="shared" ca="1" si="2"/>
        <v>44123</v>
      </c>
      <c r="C42" s="11">
        <f t="shared" ca="1" si="0"/>
        <v>14207</v>
      </c>
      <c r="D42">
        <f t="shared" ref="D42" ca="1" si="10">C42-C41</f>
        <v>244</v>
      </c>
      <c r="E42" s="11">
        <f t="shared" ca="1" si="4"/>
        <v>0</v>
      </c>
      <c r="F42" s="11">
        <f t="shared" ca="1" si="6"/>
        <v>244</v>
      </c>
      <c r="K42" s="3"/>
      <c r="M42" s="16">
        <v>44123</v>
      </c>
      <c r="N42">
        <v>14204</v>
      </c>
      <c r="O42">
        <v>244</v>
      </c>
      <c r="P42" s="16">
        <v>44123</v>
      </c>
      <c r="Q42">
        <v>14204</v>
      </c>
      <c r="R42">
        <v>244</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row>
    <row r="43" spans="1:114">
      <c r="A43" t="str">
        <f t="shared" ca="1" si="1"/>
        <v/>
      </c>
      <c r="B43" s="4">
        <f t="shared" ca="1" si="2"/>
        <v>44124</v>
      </c>
      <c r="C43" s="11">
        <f t="shared" ca="1" si="0"/>
        <v>14370</v>
      </c>
      <c r="D43">
        <f t="shared" ref="D43" ca="1" si="11">C43-C42</f>
        <v>163</v>
      </c>
      <c r="E43" s="11">
        <f t="shared" ca="1" si="4"/>
        <v>1</v>
      </c>
      <c r="F43" s="11">
        <f t="shared" ca="1" si="6"/>
        <v>162</v>
      </c>
      <c r="G43" s="10"/>
      <c r="K43" s="3"/>
      <c r="M43" s="16">
        <v>44124</v>
      </c>
      <c r="N43">
        <v>14366</v>
      </c>
      <c r="O43">
        <v>162</v>
      </c>
      <c r="P43" s="16">
        <v>44124</v>
      </c>
      <c r="Q43">
        <v>14366</v>
      </c>
      <c r="R43">
        <v>162</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row>
    <row r="44" spans="1:114" s="10" customFormat="1">
      <c r="A44" t="str">
        <f t="shared" ca="1" si="1"/>
        <v/>
      </c>
      <c r="B44" s="9">
        <f t="shared" ca="1" si="2"/>
        <v>44125</v>
      </c>
      <c r="C44" s="10">
        <f t="shared" ca="1" si="0"/>
        <v>14559</v>
      </c>
      <c r="D44" s="10">
        <f t="shared" ref="D44" ca="1" si="12">C44-C43</f>
        <v>189</v>
      </c>
      <c r="E44" s="10">
        <f t="shared" ca="1" si="4"/>
        <v>0</v>
      </c>
      <c r="F44" s="10">
        <f t="shared" ca="1" si="6"/>
        <v>189</v>
      </c>
      <c r="G44" s="10">
        <f ca="1">SUM(D44:D50)</f>
        <v>1313</v>
      </c>
      <c r="H44" s="10" t="str">
        <f ca="1">TEXT(G44/G37-1,"0 %")</f>
        <v>8 %</v>
      </c>
      <c r="I44" s="10">
        <f ca="1">SUM(D44:D57)</f>
        <v>2800</v>
      </c>
      <c r="K44" s="14"/>
      <c r="L44"/>
      <c r="M44" s="17">
        <v>44125</v>
      </c>
      <c r="N44" s="10">
        <v>14555</v>
      </c>
      <c r="O44" s="10">
        <v>189</v>
      </c>
      <c r="P44" s="17">
        <v>44125</v>
      </c>
      <c r="Q44" s="10">
        <v>14555</v>
      </c>
      <c r="R44" s="10">
        <v>189</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row>
    <row r="45" spans="1:114">
      <c r="A45" t="str">
        <f t="shared" ca="1" si="1"/>
        <v/>
      </c>
      <c r="B45" s="4">
        <f t="shared" ca="1" si="2"/>
        <v>44126</v>
      </c>
      <c r="C45" s="11">
        <f t="shared" ca="1" si="0"/>
        <v>14775</v>
      </c>
      <c r="D45">
        <f t="shared" ref="D45" ca="1" si="13">C45-C44</f>
        <v>216</v>
      </c>
      <c r="E45" s="11">
        <f t="shared" ca="1" si="4"/>
        <v>1</v>
      </c>
      <c r="F45" s="11">
        <f t="shared" ca="1" si="6"/>
        <v>215</v>
      </c>
      <c r="K45" s="3"/>
      <c r="M45" s="16">
        <v>44126</v>
      </c>
      <c r="N45">
        <v>14770</v>
      </c>
      <c r="O45">
        <v>215</v>
      </c>
      <c r="P45" s="16">
        <v>44126</v>
      </c>
      <c r="Q45">
        <v>14770</v>
      </c>
      <c r="R45">
        <v>215</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row>
    <row r="46" spans="1:114">
      <c r="A46" t="str">
        <f t="shared" ca="1" si="1"/>
        <v/>
      </c>
      <c r="B46" s="4">
        <f t="shared" ca="1" si="2"/>
        <v>44127</v>
      </c>
      <c r="C46" s="11">
        <f t="shared" ca="1" si="0"/>
        <v>14967</v>
      </c>
      <c r="D46">
        <f t="shared" ref="D46" ca="1" si="14">C46-C45</f>
        <v>192</v>
      </c>
      <c r="E46" s="11">
        <f t="shared" ca="1" si="4"/>
        <v>0</v>
      </c>
      <c r="F46" s="11">
        <f t="shared" ca="1" si="6"/>
        <v>192</v>
      </c>
      <c r="K46" s="3"/>
      <c r="M46" s="16">
        <v>44127</v>
      </c>
      <c r="N46">
        <v>14962</v>
      </c>
      <c r="O46">
        <v>192</v>
      </c>
      <c r="P46" s="16">
        <v>44127</v>
      </c>
      <c r="Q46">
        <v>14962</v>
      </c>
      <c r="R46">
        <v>192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row>
    <row r="47" spans="1:114">
      <c r="A47" t="str">
        <f t="shared" ca="1" si="1"/>
        <v/>
      </c>
      <c r="B47" s="4">
        <f t="shared" ca="1" si="2"/>
        <v>44128</v>
      </c>
      <c r="C47" s="11">
        <f t="shared" ca="1" si="0"/>
        <v>15075</v>
      </c>
      <c r="D47">
        <f t="shared" ref="D47" ca="1" si="15">C47-C46</f>
        <v>108</v>
      </c>
      <c r="E47" s="11">
        <f t="shared" ca="1" si="4"/>
        <v>0</v>
      </c>
      <c r="F47" s="11">
        <f t="shared" ca="1" si="6"/>
        <v>108</v>
      </c>
      <c r="J47" s="10">
        <f ca="1">SUM(D48:D54)</f>
        <v>1425</v>
      </c>
      <c r="K47" s="10" t="str">
        <f ca="1">TEXT(J47/J40-1,"0 %")</f>
        <v>15 %</v>
      </c>
      <c r="M47" s="16">
        <v>44128</v>
      </c>
      <c r="N47">
        <v>15070</v>
      </c>
      <c r="O47">
        <v>108</v>
      </c>
      <c r="P47" s="16">
        <v>44128</v>
      </c>
      <c r="Q47">
        <v>15070</v>
      </c>
      <c r="R47">
        <v>108</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row>
    <row r="48" spans="1:114">
      <c r="A48" t="str">
        <f t="shared" ca="1" si="1"/>
        <v/>
      </c>
      <c r="B48" s="4">
        <f t="shared" ca="1" si="2"/>
        <v>44129</v>
      </c>
      <c r="C48" s="11">
        <f t="shared" ca="1" si="0"/>
        <v>15198</v>
      </c>
      <c r="D48">
        <f t="shared" ref="D48" ca="1" si="16">C48-C47</f>
        <v>123</v>
      </c>
      <c r="E48" s="11">
        <f t="shared" ca="1" si="4"/>
        <v>0</v>
      </c>
      <c r="F48" s="11">
        <f t="shared" ca="1" si="6"/>
        <v>123</v>
      </c>
      <c r="K48" s="3"/>
      <c r="M48" s="16">
        <v>44129</v>
      </c>
      <c r="N48">
        <v>15193</v>
      </c>
      <c r="O48">
        <v>123</v>
      </c>
      <c r="P48" s="16">
        <v>44129</v>
      </c>
      <c r="Q48">
        <v>15193</v>
      </c>
      <c r="R48">
        <v>123</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row>
    <row r="49" spans="1:114">
      <c r="A49" t="str">
        <f t="shared" ca="1" si="1"/>
        <v>Ma</v>
      </c>
      <c r="B49" s="4">
        <f t="shared" ca="1" si="2"/>
        <v>44130</v>
      </c>
      <c r="C49" s="11">
        <f t="shared" ca="1" si="0"/>
        <v>15453</v>
      </c>
      <c r="D49">
        <f t="shared" ref="D49" ca="1" si="17">C49-C48</f>
        <v>255</v>
      </c>
      <c r="E49" s="11">
        <f t="shared" ca="1" si="4"/>
        <v>0</v>
      </c>
      <c r="F49" s="11">
        <f t="shared" ca="1" si="6"/>
        <v>255</v>
      </c>
      <c r="K49" s="3"/>
      <c r="M49" s="16">
        <v>44130</v>
      </c>
      <c r="N49">
        <v>15448</v>
      </c>
      <c r="O49">
        <v>255</v>
      </c>
      <c r="P49" s="16">
        <v>44130</v>
      </c>
      <c r="Q49">
        <v>15448</v>
      </c>
      <c r="R49">
        <v>255</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row>
    <row r="50" spans="1:114">
      <c r="A50" t="str">
        <f t="shared" ca="1" si="1"/>
        <v/>
      </c>
      <c r="B50" s="4">
        <f t="shared" ca="1" si="2"/>
        <v>44131</v>
      </c>
      <c r="C50" s="11">
        <f t="shared" ca="1" si="0"/>
        <v>15683</v>
      </c>
      <c r="D50">
        <f t="shared" ref="D50" ca="1" si="18">C50-C49</f>
        <v>230</v>
      </c>
      <c r="E50" s="11">
        <f t="shared" ca="1" si="4"/>
        <v>1</v>
      </c>
      <c r="F50" s="11">
        <f ca="1">VLOOKUP(B50,Previous,3,FALSE)</f>
        <v>229</v>
      </c>
      <c r="K50" s="3"/>
      <c r="M50" s="16">
        <v>44131</v>
      </c>
      <c r="N50">
        <v>15677</v>
      </c>
      <c r="O50">
        <v>229</v>
      </c>
      <c r="P50" s="16">
        <v>44131</v>
      </c>
      <c r="Q50">
        <v>15677</v>
      </c>
      <c r="R50">
        <v>229</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row>
    <row r="51" spans="1:114" s="10" customFormat="1">
      <c r="A51" t="str">
        <f t="shared" ca="1" si="1"/>
        <v/>
      </c>
      <c r="B51" s="9">
        <f t="shared" ca="1" si="2"/>
        <v>44132</v>
      </c>
      <c r="C51" s="10">
        <f t="shared" ca="1" si="0"/>
        <v>15923</v>
      </c>
      <c r="D51" s="10">
        <f t="shared" ref="D51" ca="1" si="19">C51-C50</f>
        <v>240</v>
      </c>
      <c r="E51" s="10">
        <f t="shared" ca="1" si="4"/>
        <v>0</v>
      </c>
      <c r="F51" s="10">
        <f t="shared" ca="1" si="6"/>
        <v>240</v>
      </c>
      <c r="G51" s="10">
        <f ca="1">SUM(D51:D57)</f>
        <v>1487</v>
      </c>
      <c r="H51" s="10" t="str">
        <f ca="1">TEXT(G51/G44-1,"0 %")</f>
        <v>13 %</v>
      </c>
      <c r="I51" s="10">
        <f ca="1">SUM(D51:D64)</f>
        <v>2662</v>
      </c>
      <c r="K51" s="14"/>
      <c r="L51"/>
      <c r="M51" s="17">
        <v>44132</v>
      </c>
      <c r="N51" s="10">
        <v>15917</v>
      </c>
      <c r="O51" s="10">
        <v>240</v>
      </c>
      <c r="P51" s="17">
        <v>44132</v>
      </c>
      <c r="Q51" s="10">
        <v>15917</v>
      </c>
      <c r="R51" s="10">
        <v>240</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row>
    <row r="52" spans="1:114">
      <c r="A52" t="str">
        <f t="shared" ca="1" si="1"/>
        <v/>
      </c>
      <c r="B52" s="4">
        <f t="shared" ca="1" si="2"/>
        <v>44133</v>
      </c>
      <c r="C52" s="11">
        <f t="shared" ca="1" si="0"/>
        <v>16160</v>
      </c>
      <c r="D52">
        <f t="shared" ref="D52:D63" ca="1" si="20">C52-C51</f>
        <v>237</v>
      </c>
      <c r="E52" s="11">
        <f t="shared" ca="1" si="4"/>
        <v>0</v>
      </c>
      <c r="F52" s="11">
        <f t="shared" ca="1" si="6"/>
        <v>237</v>
      </c>
      <c r="G52" s="10"/>
      <c r="K52" s="3"/>
      <c r="M52" s="16">
        <v>44133</v>
      </c>
      <c r="N52">
        <v>16154</v>
      </c>
      <c r="O52">
        <v>237</v>
      </c>
      <c r="P52" s="16">
        <v>44133</v>
      </c>
      <c r="Q52">
        <v>16154</v>
      </c>
      <c r="R52">
        <v>237</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row>
    <row r="53" spans="1:114">
      <c r="A53" t="str">
        <f t="shared" ca="1" si="1"/>
        <v/>
      </c>
      <c r="B53" s="4">
        <f t="shared" ca="1" si="2"/>
        <v>44134</v>
      </c>
      <c r="C53" s="11">
        <f t="shared" ca="1" si="0"/>
        <v>16379</v>
      </c>
      <c r="D53">
        <f t="shared" ca="1" si="20"/>
        <v>219</v>
      </c>
      <c r="E53" s="11">
        <f t="shared" ca="1" si="4"/>
        <v>0</v>
      </c>
      <c r="F53" s="11">
        <f t="shared" ca="1" si="6"/>
        <v>219</v>
      </c>
      <c r="J53" s="13"/>
      <c r="K53" s="3"/>
      <c r="M53" s="16">
        <v>44134</v>
      </c>
      <c r="N53">
        <v>16373</v>
      </c>
      <c r="O53">
        <v>219</v>
      </c>
      <c r="P53" s="16">
        <v>44134</v>
      </c>
      <c r="Q53">
        <v>16373</v>
      </c>
      <c r="R53">
        <v>219</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row>
    <row r="54" spans="1:114">
      <c r="A54" t="str">
        <f t="shared" ca="1" si="1"/>
        <v/>
      </c>
      <c r="B54" s="4">
        <f t="shared" ca="1" si="2"/>
        <v>44135</v>
      </c>
      <c r="C54" s="11">
        <f t="shared" ca="1" si="0"/>
        <v>16500</v>
      </c>
      <c r="D54">
        <f t="shared" ca="1" si="20"/>
        <v>121</v>
      </c>
      <c r="E54" s="11">
        <f t="shared" ca="1" si="4"/>
        <v>0</v>
      </c>
      <c r="F54" s="11">
        <f t="shared" ca="1" si="6"/>
        <v>121</v>
      </c>
      <c r="J54" s="10">
        <f ca="1">SUM(D55:D61)</f>
        <v>1414</v>
      </c>
      <c r="K54" s="10" t="str">
        <f ca="1">TEXT(J54/J47-1,"0 %")</f>
        <v>-1 %</v>
      </c>
      <c r="M54" s="16">
        <v>44135</v>
      </c>
      <c r="N54">
        <v>16494</v>
      </c>
      <c r="O54">
        <v>121</v>
      </c>
      <c r="P54" s="16">
        <v>44135</v>
      </c>
      <c r="Q54">
        <v>16494</v>
      </c>
      <c r="R54">
        <v>121</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row>
    <row r="55" spans="1:114">
      <c r="A55" t="str">
        <f t="shared" ca="1" si="1"/>
        <v/>
      </c>
      <c r="B55" s="4">
        <f t="shared" ca="1" si="2"/>
        <v>44136</v>
      </c>
      <c r="C55" s="11">
        <f t="shared" ca="1" si="0"/>
        <v>16650</v>
      </c>
      <c r="D55">
        <f t="shared" ca="1" si="20"/>
        <v>150</v>
      </c>
      <c r="E55" s="11">
        <f t="shared" ca="1" si="4"/>
        <v>0</v>
      </c>
      <c r="F55" s="11">
        <f t="shared" ca="1" si="6"/>
        <v>150</v>
      </c>
      <c r="I55" s="10"/>
      <c r="J55" s="10"/>
      <c r="K55" s="3"/>
      <c r="M55" s="16">
        <v>44136</v>
      </c>
      <c r="N55">
        <v>16644</v>
      </c>
      <c r="O55">
        <v>150</v>
      </c>
      <c r="P55" s="16">
        <v>44136</v>
      </c>
      <c r="Q55">
        <v>16644</v>
      </c>
      <c r="R55">
        <v>150</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row>
    <row r="56" spans="1:114">
      <c r="A56" t="str">
        <f t="shared" ca="1" si="1"/>
        <v>Ma</v>
      </c>
      <c r="B56" s="4">
        <f t="shared" ca="1" si="2"/>
        <v>44137</v>
      </c>
      <c r="C56" s="11">
        <f t="shared" ca="1" si="0"/>
        <v>16931</v>
      </c>
      <c r="D56">
        <f t="shared" ca="1" si="20"/>
        <v>281</v>
      </c>
      <c r="E56" s="11">
        <f t="shared" ca="1" si="4"/>
        <v>0</v>
      </c>
      <c r="F56" s="11">
        <f t="shared" ca="1" si="6"/>
        <v>281</v>
      </c>
      <c r="K56" s="3"/>
      <c r="M56" s="16">
        <v>44137</v>
      </c>
      <c r="N56">
        <v>16925</v>
      </c>
      <c r="O56">
        <v>281</v>
      </c>
      <c r="P56" s="16">
        <v>44137</v>
      </c>
      <c r="Q56">
        <v>16925</v>
      </c>
      <c r="R56">
        <v>281</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row>
    <row r="57" spans="1:114">
      <c r="A57" t="str">
        <f ca="1">IF(WEEKDAY(B57,2)=1,"Ma","")</f>
        <v/>
      </c>
      <c r="B57" s="4">
        <f t="shared" ca="1" si="2"/>
        <v>44138</v>
      </c>
      <c r="C57" s="11">
        <f t="shared" ca="1" si="0"/>
        <v>17170</v>
      </c>
      <c r="D57">
        <f t="shared" ca="1" si="20"/>
        <v>239</v>
      </c>
      <c r="E57" s="11">
        <f t="shared" ca="1" si="4"/>
        <v>0</v>
      </c>
      <c r="F57" s="11">
        <f t="shared" ca="1" si="6"/>
        <v>239</v>
      </c>
      <c r="J57" s="13"/>
      <c r="K57" s="3"/>
      <c r="M57" s="16">
        <v>44138</v>
      </c>
      <c r="N57">
        <v>17164</v>
      </c>
      <c r="O57">
        <v>239</v>
      </c>
      <c r="P57" s="16">
        <v>44138</v>
      </c>
      <c r="Q57">
        <v>17164</v>
      </c>
      <c r="R57">
        <v>239</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row>
    <row r="58" spans="1:114" s="10" customFormat="1">
      <c r="A58" t="str">
        <f t="shared" ca="1" si="1"/>
        <v/>
      </c>
      <c r="B58" s="9">
        <f t="shared" ca="1" si="2"/>
        <v>44139</v>
      </c>
      <c r="C58" s="10">
        <f t="shared" ca="1" si="0"/>
        <v>17376</v>
      </c>
      <c r="D58" s="10">
        <f t="shared" ca="1" si="20"/>
        <v>206</v>
      </c>
      <c r="E58" s="10">
        <f t="shared" ca="1" si="4"/>
        <v>1</v>
      </c>
      <c r="F58" s="10">
        <f t="shared" ca="1" si="6"/>
        <v>205</v>
      </c>
      <c r="G58" s="10">
        <f ca="1">SUM(D58:D64)</f>
        <v>1175</v>
      </c>
      <c r="K58" s="14"/>
      <c r="L58"/>
      <c r="M58" s="17">
        <v>44139</v>
      </c>
      <c r="N58" s="10">
        <v>17369</v>
      </c>
      <c r="O58" s="10">
        <v>205</v>
      </c>
      <c r="P58" s="17">
        <v>44139</v>
      </c>
      <c r="Q58" s="10">
        <v>17369</v>
      </c>
      <c r="R58" s="10">
        <v>205</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row>
    <row r="59" spans="1:114">
      <c r="A59" t="str">
        <f t="shared" ca="1" si="1"/>
        <v/>
      </c>
      <c r="B59" s="4">
        <f t="shared" ca="1" si="2"/>
        <v>44140</v>
      </c>
      <c r="C59" s="11">
        <f t="shared" ca="1" si="0"/>
        <v>17593</v>
      </c>
      <c r="D59">
        <f t="shared" ca="1" si="20"/>
        <v>217</v>
      </c>
      <c r="E59" s="11">
        <f t="shared" ca="1" si="4"/>
        <v>0</v>
      </c>
      <c r="F59" s="11">
        <f t="shared" ca="1" si="6"/>
        <v>217</v>
      </c>
      <c r="H59" s="10"/>
      <c r="J59" s="13"/>
      <c r="K59" s="3"/>
      <c r="M59" s="16">
        <v>44140</v>
      </c>
      <c r="N59">
        <v>17586</v>
      </c>
      <c r="O59">
        <v>217</v>
      </c>
      <c r="P59" s="16">
        <v>44140</v>
      </c>
      <c r="Q59">
        <v>17586</v>
      </c>
      <c r="R59">
        <v>217</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row>
    <row r="60" spans="1:114">
      <c r="A60" t="str">
        <f t="shared" ca="1" si="1"/>
        <v/>
      </c>
      <c r="B60" s="4">
        <f t="shared" ca="1" si="2"/>
        <v>44141</v>
      </c>
      <c r="C60" s="11">
        <f t="shared" ca="1" si="0"/>
        <v>17787</v>
      </c>
      <c r="D60">
        <f t="shared" ca="1" si="20"/>
        <v>194</v>
      </c>
      <c r="E60" s="11">
        <f t="shared" ca="1" si="4"/>
        <v>3</v>
      </c>
      <c r="F60" s="11">
        <f t="shared" ca="1" si="6"/>
        <v>191</v>
      </c>
      <c r="J60" s="4"/>
      <c r="K60" s="3"/>
      <c r="M60" s="16">
        <v>44141</v>
      </c>
      <c r="N60">
        <v>17777</v>
      </c>
      <c r="O60">
        <v>191</v>
      </c>
      <c r="P60" s="16">
        <v>44141</v>
      </c>
      <c r="Q60">
        <v>17777</v>
      </c>
      <c r="R60">
        <v>191</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row>
    <row r="61" spans="1:114">
      <c r="A61" t="str">
        <f t="shared" ref="A61:A64" ca="1" si="21">IF(WEEKDAY(B61,2)=1,"Ma","")</f>
        <v/>
      </c>
      <c r="B61" s="4">
        <f t="shared" ca="1" si="2"/>
        <v>44142</v>
      </c>
      <c r="C61" s="11">
        <f t="shared" ca="1" si="0"/>
        <v>17914</v>
      </c>
      <c r="D61">
        <f t="shared" ca="1" si="20"/>
        <v>127</v>
      </c>
      <c r="E61" s="11">
        <f t="shared" ca="1" si="4"/>
        <v>2</v>
      </c>
      <c r="F61" s="11">
        <f t="shared" ca="1" si="6"/>
        <v>125</v>
      </c>
      <c r="J61" s="4"/>
      <c r="K61" s="3"/>
      <c r="M61" s="16">
        <v>44142</v>
      </c>
      <c r="N61">
        <v>17902</v>
      </c>
      <c r="O61">
        <v>125</v>
      </c>
      <c r="P61" s="16">
        <v>44142</v>
      </c>
      <c r="Q61">
        <v>17902</v>
      </c>
      <c r="R61">
        <v>125</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row>
    <row r="62" spans="1:114">
      <c r="A62" t="str">
        <f t="shared" ca="1" si="21"/>
        <v/>
      </c>
      <c r="B62" s="4">
        <f t="shared" ca="1" si="2"/>
        <v>44143</v>
      </c>
      <c r="C62" s="11">
        <f t="shared" ca="1" si="0"/>
        <v>18047</v>
      </c>
      <c r="D62">
        <f t="shared" ca="1" si="20"/>
        <v>133</v>
      </c>
      <c r="E62" s="11">
        <f t="shared" ca="1" si="4"/>
        <v>12</v>
      </c>
      <c r="F62" s="11">
        <f t="shared" ca="1" si="6"/>
        <v>121</v>
      </c>
      <c r="J62" s="4"/>
      <c r="K62" s="3"/>
      <c r="M62" s="16">
        <v>44143</v>
      </c>
      <c r="N62">
        <v>18023</v>
      </c>
      <c r="O62">
        <v>121</v>
      </c>
      <c r="P62" s="16">
        <v>44143</v>
      </c>
      <c r="Q62">
        <v>18023</v>
      </c>
      <c r="R62">
        <v>121</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row>
    <row r="63" spans="1:114">
      <c r="A63" t="str">
        <f t="shared" ca="1" si="21"/>
        <v>Ma</v>
      </c>
      <c r="B63" s="4">
        <f ca="1">B64-1</f>
        <v>44144</v>
      </c>
      <c r="C63" s="11">
        <f t="shared" ca="1" si="0"/>
        <v>18285</v>
      </c>
      <c r="D63">
        <f t="shared" ca="1" si="20"/>
        <v>238</v>
      </c>
      <c r="E63" s="11">
        <f t="shared" ca="1" si="4"/>
        <v>154</v>
      </c>
      <c r="F63" s="11">
        <f t="shared" ca="1" si="6"/>
        <v>84</v>
      </c>
      <c r="J63" s="4"/>
      <c r="K63" s="3"/>
      <c r="M63" s="16">
        <v>44144</v>
      </c>
      <c r="N63">
        <v>18107</v>
      </c>
      <c r="O63">
        <v>84</v>
      </c>
      <c r="P63" s="16">
        <v>44144</v>
      </c>
      <c r="Q63">
        <v>18107</v>
      </c>
      <c r="R63">
        <v>84</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row>
    <row r="64" spans="1:114" s="10" customFormat="1">
      <c r="A64" t="str">
        <f t="shared" ca="1" si="21"/>
        <v/>
      </c>
      <c r="B64" s="9">
        <f ca="1">B65-1</f>
        <v>44145</v>
      </c>
      <c r="C64" s="10">
        <f t="shared" ca="1" si="0"/>
        <v>18345</v>
      </c>
      <c r="D64" s="10">
        <f ca="1">C64-C63</f>
        <v>60</v>
      </c>
      <c r="E64" s="10">
        <f t="shared" ca="1" si="4"/>
        <v>60</v>
      </c>
      <c r="F64" s="10">
        <f t="shared" ca="1" si="6"/>
        <v>0</v>
      </c>
      <c r="J64" s="9"/>
      <c r="K64" s="14"/>
      <c r="M64" s="17">
        <v>44145</v>
      </c>
      <c r="N64" s="10">
        <v>18107</v>
      </c>
      <c r="O64" s="10">
        <v>0</v>
      </c>
      <c r="P64" s="17">
        <v>44145</v>
      </c>
      <c r="Q64" s="10">
        <v>18107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row>
    <row r="65" spans="1:114">
      <c r="A65" t="str">
        <f ca="1">IF(WEEKDAY(B65,2)=1,"Ma","")</f>
        <v/>
      </c>
      <c r="B65" s="12">
        <f ca="1">FLOOR(NOW(),1)</f>
        <v>44146</v>
      </c>
      <c r="C65" s="11">
        <f t="shared" ca="1" si="0"/>
        <v>18345</v>
      </c>
      <c r="D65" s="11">
        <f ca="1">C65-C64</f>
        <v>0</v>
      </c>
      <c r="E65" s="11">
        <f ca="1">_xlfn.IFNA(D65-F65,"")</f>
        <v>0</v>
      </c>
      <c r="F65" s="11">
        <f t="shared" ca="1" si="6"/>
        <v>0</v>
      </c>
      <c r="K65" t="s">
        <v>309</v>
      </c>
      <c r="L65">
        <f ca="1">C65-N65</f>
        <v>238</v>
      </c>
      <c r="M65" s="16">
        <v>44146</v>
      </c>
      <c r="N65">
        <v>18107</v>
      </c>
      <c r="O65">
        <v>0</v>
      </c>
      <c r="P65" s="16">
        <v>44146</v>
      </c>
      <c r="Q65">
        <v>18107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row>
    <row r="67" spans="1:114">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475A-5A8A-4EE4-91F2-23E053B67710}">
  <dimension ref="A3:AB3"/>
  <sheetViews>
    <sheetView workbookViewId="0">
      <selection activeCell="A3" sqref="A3:AB13"/>
    </sheetView>
  </sheetViews>
  <sheetFormatPr defaultColWidth="2.69140625" defaultRowHeight="14.6"/>
  <sheetData>
    <row r="3" spans="1:28">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v>25</v>
      </c>
      <c r="Z3">
        <v>26</v>
      </c>
      <c r="AA3">
        <v>27</v>
      </c>
      <c r="AB3">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Kuvaajat</vt:lpstr>
      <vt:lpstr>Sheet1</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2020-11-11T10:29:12Z</dcterms:modified>
</cp:coreProperties>
</file>