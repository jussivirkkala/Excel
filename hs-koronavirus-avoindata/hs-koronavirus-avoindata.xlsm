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A7EFD80-7647-4B30-B9B9-E0C873BE5D97}"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5"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l="1"/>
  <c r="B63" i="2" l="1"/>
  <c r="A63" i="2" s="1"/>
  <c r="C63" i="2" l="1"/>
  <c r="F63" i="2"/>
  <c r="L63" i="2" l="1"/>
  <c r="H33" i="2"/>
  <c r="B62" i="2"/>
  <c r="A62" i="2" s="1"/>
  <c r="C62" i="2" l="1"/>
  <c r="F62" i="2"/>
  <c r="B61" i="2"/>
  <c r="A61" i="2" s="1"/>
  <c r="F61" i="2" l="1"/>
  <c r="C61" i="2"/>
  <c r="B60" i="2"/>
  <c r="A60" i="2" s="1"/>
  <c r="F60" i="2" l="1"/>
  <c r="C60" i="2"/>
  <c r="B59" i="2"/>
  <c r="A59" i="2" s="1"/>
  <c r="F59" i="2" l="1"/>
  <c r="C59" i="2"/>
  <c r="B58" i="2"/>
  <c r="A58" i="2" s="1"/>
  <c r="F58" i="2" l="1"/>
  <c r="C58" i="2"/>
  <c r="B57" i="2"/>
  <c r="A57" i="2" s="1"/>
  <c r="F57" i="2" l="1"/>
  <c r="C57" i="2"/>
  <c r="B56" i="2"/>
  <c r="A56" i="2" s="1"/>
  <c r="F56" i="2" l="1"/>
  <c r="C56" i="2"/>
  <c r="B55" i="2"/>
  <c r="A55" i="2" s="1"/>
  <c r="D61" i="2"/>
  <c r="E61" i="2" s="1"/>
  <c r="F55" i="2" l="1"/>
  <c r="C55" i="2"/>
  <c r="D56" i="2" s="1"/>
  <c r="B54" i="2"/>
  <c r="A54" i="2" s="1"/>
  <c r="D58" i="2"/>
  <c r="E58" i="2" s="1"/>
  <c r="D59" i="2"/>
  <c r="E59" i="2" s="1"/>
  <c r="D57" i="2"/>
  <c r="E57" i="2" s="1"/>
  <c r="D62" i="2"/>
  <c r="E62" i="2" s="1"/>
  <c r="D60" i="2"/>
  <c r="E60" i="2" s="1"/>
  <c r="D63" i="2"/>
  <c r="E63" i="2" s="1"/>
  <c r="E56" i="2" l="1"/>
  <c r="G56" i="2"/>
  <c r="F54" i="2"/>
  <c r="C54" i="2"/>
  <c r="D55" i="2" s="1"/>
  <c r="E55" i="2" s="1"/>
  <c r="B53" i="2"/>
  <c r="A53" i="2" s="1"/>
  <c r="F53" i="2" l="1"/>
  <c r="C53" i="2"/>
  <c r="D54" i="2" s="1"/>
  <c r="E54" i="2" s="1"/>
  <c r="B52" i="2"/>
  <c r="A52" i="2" s="1"/>
  <c r="F52" i="2" l="1"/>
  <c r="C52" i="2"/>
  <c r="D53" i="2" s="1"/>
  <c r="E53" i="2" s="1"/>
  <c r="B51" i="2"/>
  <c r="A51" i="2" s="1"/>
  <c r="F51" i="2" l="1"/>
  <c r="C51" i="2"/>
  <c r="D52" i="2" s="1"/>
  <c r="E52" i="2" s="1"/>
  <c r="B50" i="2"/>
  <c r="A50" i="2" s="1"/>
  <c r="F50" i="2" l="1"/>
  <c r="C50" i="2"/>
  <c r="D51" i="2" s="1"/>
  <c r="E51" i="2" s="1"/>
  <c r="B49" i="2"/>
  <c r="A49" i="2" s="1"/>
  <c r="F49" i="2" l="1"/>
  <c r="C49" i="2"/>
  <c r="D50" i="2" s="1"/>
  <c r="E50" i="2" s="1"/>
  <c r="B48" i="2"/>
  <c r="A48" i="2" s="1"/>
  <c r="F48" i="2" l="1"/>
  <c r="C48" i="2"/>
  <c r="D49" i="2" s="1"/>
  <c r="B47" i="2"/>
  <c r="A47" i="2" s="1"/>
  <c r="E49" i="2" l="1"/>
  <c r="I49" i="2"/>
  <c r="F47" i="2"/>
  <c r="C47" i="2"/>
  <c r="D48" i="2" s="1"/>
  <c r="E48" i="2" s="1"/>
  <c r="B46" i="2"/>
  <c r="A46" i="2" s="1"/>
  <c r="G49" i="2"/>
  <c r="F46" i="2" l="1"/>
  <c r="C46" i="2"/>
  <c r="D47" i="2" s="1"/>
  <c r="E47" i="2" s="1"/>
  <c r="B45" i="2"/>
  <c r="A45" i="2" s="1"/>
  <c r="F45" i="2" l="1"/>
  <c r="C45" i="2"/>
  <c r="D46" i="2" s="1"/>
  <c r="E46" i="2" s="1"/>
  <c r="B44" i="2"/>
  <c r="A44" i="2" s="1"/>
  <c r="F44" i="2" l="1"/>
  <c r="C44" i="2"/>
  <c r="D45" i="2" s="1"/>
  <c r="E45" i="2" s="1"/>
  <c r="B43" i="2"/>
  <c r="A43" i="2" s="1"/>
  <c r="F43" i="2" l="1"/>
  <c r="C43" i="2"/>
  <c r="D44" i="2" s="1"/>
  <c r="E44" i="2" s="1"/>
  <c r="B42" i="2"/>
  <c r="A42" i="2" s="1"/>
  <c r="F42" i="2" l="1"/>
  <c r="C42" i="2"/>
  <c r="D43" i="2" s="1"/>
  <c r="E43" i="2" s="1"/>
  <c r="B41" i="2"/>
  <c r="A41" i="2" s="1"/>
  <c r="F41" i="2" l="1"/>
  <c r="C41" i="2"/>
  <c r="D42" i="2" s="1"/>
  <c r="B40" i="2"/>
  <c r="A40" i="2" s="1"/>
  <c r="E42" i="2" l="1"/>
  <c r="I42" i="2"/>
  <c r="F40" i="2"/>
  <c r="C40" i="2"/>
  <c r="D41" i="2" s="1"/>
  <c r="E41" i="2" s="1"/>
  <c r="B39" i="2"/>
  <c r="A39" i="2" s="1"/>
  <c r="G42" i="2"/>
  <c r="H49" i="2" l="1"/>
  <c r="F39" i="2"/>
  <c r="C39" i="2"/>
  <c r="D40" i="2" s="1"/>
  <c r="E40" i="2" s="1"/>
  <c r="B38" i="2"/>
  <c r="A38" i="2" s="1"/>
  <c r="F38" i="2" l="1"/>
  <c r="C38" i="2"/>
  <c r="D39" i="2" s="1"/>
  <c r="E39" i="2" s="1"/>
  <c r="B37" i="2"/>
  <c r="A37" i="2" s="1"/>
  <c r="F37" i="2" l="1"/>
  <c r="C37" i="2"/>
  <c r="D38" i="2" s="1"/>
  <c r="E38" i="2" s="1"/>
  <c r="B36" i="2"/>
  <c r="A36" i="2" s="1"/>
  <c r="F36" i="2" l="1"/>
  <c r="C36" i="2"/>
  <c r="D37" i="2" s="1"/>
  <c r="E37" i="2" s="1"/>
  <c r="B35" i="2"/>
  <c r="A35" i="2" s="1"/>
  <c r="F35" i="2" l="1"/>
  <c r="C35" i="2"/>
  <c r="D36" i="2" s="1"/>
  <c r="E36" i="2" s="1"/>
  <c r="B34" i="2"/>
  <c r="C34" i="2" l="1"/>
  <c r="D35" i="2" s="1"/>
  <c r="I35" i="2" s="1"/>
  <c r="A34" i="2"/>
  <c r="G35" i="2" l="1"/>
  <c r="H42" i="2" s="1"/>
  <c r="E35" i="2"/>
  <c r="E33" i="2" s="1"/>
  <c r="A32" i="2" l="1"/>
</calcChain>
</file>

<file path=xl/sharedStrings.xml><?xml version="1.0" encoding="utf-8"?>
<sst xmlns="http://schemas.openxmlformats.org/spreadsheetml/2006/main" count="595" uniqueCount="311">
  <si>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</si>
  <si>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</si>
  <si>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</si>
  <si>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</si>
  <si>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</si>
  <si>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</si>
  <si>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</si>
  <si>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</si>
  <si>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</si>
  <si>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</si>
  <si>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</si>
  <si>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</si>
  <si>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</si>
  <si>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</si>
  <si>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</si>
  <si>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</si>
  <si>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</si>
  <si>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</si>
  <si>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</si>
  <si>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</si>
  <si>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</si>
  <si>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</si>
  <si>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</si>
  <si>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</si>
  <si>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</si>
  <si>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</si>
  <si>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</si>
  <si>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</si>
  <si>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</si>
  <si>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</si>
  <si>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</si>
  <si>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</si>
  <si>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</si>
  <si>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</si>
  <si>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</si>
  <si>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</si>
  <si>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</si>
  <si>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</si>
  <si>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</si>
  <si>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</si>
  <si>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</si>
  <si>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</si>
  <si>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</si>
  <si>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</si>
  <si>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</si>
  <si>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</si>
  <si>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</si>
  <si>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</si>
  <si>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</si>
  <si>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</si>
  <si>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</si>
  <si>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</si>
  <si>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</si>
  <si>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</si>
  <si>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</si>
  <si>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</si>
  <si>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</si>
  <si>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</si>
  <si>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</si>
  <si>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</si>
  <si>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</si>
  <si>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</si>
  <si>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</si>
  <si>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</si>
  <si>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</si>
  <si>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</si>
  <si>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</si>
  <si>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</si>
  <si>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</si>
  <si>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</si>
  <si>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</si>
  <si>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</si>
  <si>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</si>
  <si>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</si>
  <si>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</si>
  <si>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</si>
  <si>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</si>
  <si>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</si>
  <si>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</si>
  <si>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</si>
  <si>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</si>
  <si>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</si>
  <si>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</si>
  <si>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</si>
  <si>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</si>
  <si>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</si>
  <si>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</si>
  <si>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</si>
  <si>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</si>
  <si>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</si>
  <si>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</si>
  <si>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</si>
  <si>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</si>
  <si>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</si>
  <si>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</si>
  <si>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</si>
  <si>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</si>
  <si>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</si>
  <si>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</si>
  <si>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</si>
  <si>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</si>
  <si>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</si>
  <si>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</si>
  <si>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</si>
  <si>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</si>
  <si>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</si>
  <si>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</si>
  <si>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</si>
  <si>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</si>
  <si>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</si>
  <si>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</si>
  <si>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</si>
  <si>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</si>
  <si>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</si>
  <si>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</si>
  <si>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</si>
  <si>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</si>
  <si>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</si>
  <si>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</si>
  <si>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</si>
  <si>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</si>
  <si>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</si>
  <si>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</si>
  <si>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</si>
  <si>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</si>
  <si>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</si>
  <si>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</si>
  <si>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</si>
  <si>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</si>
  <si>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</si>
  <si>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</si>
  <si>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</si>
  <si>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</si>
  <si>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</si>
  <si>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</si>
  <si>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</si>
  <si>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</si>
  <si>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</si>
  <si>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</si>
  <si>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</si>
  <si>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</si>
  <si>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</si>
  <si>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</si>
  <si>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</si>
  <si>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</si>
  <si>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</si>
  <si>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</si>
  <si>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</si>
  <si>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</si>
  <si>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</si>
  <si>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</si>
  <si>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</si>
  <si>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</si>
  <si>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</si>
  <si>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</si>
  <si>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</si>
  <si>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</si>
  <si>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</si>
  <si>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</si>
  <si>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</si>
  <si>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</si>
  <si>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</si>
  <si>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</si>
  <si>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</si>
  <si>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</si>
  <si>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</si>
  <si>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</si>
  <si>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</si>
  <si>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</si>
  <si>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</si>
  <si>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</si>
  <si>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</si>
  <si>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</si>
  <si>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</si>
  <si>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</si>
  <si>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</si>
  <si>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</si>
  <si>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</si>
  <si>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</si>
  <si>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</si>
  <si>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</si>
  <si>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</si>
  <si>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</si>
  <si>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</si>
  <si>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</si>
  <si>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</si>
  <si>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</si>
  <si>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</si>
  <si>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</si>
  <si>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</si>
  <si>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</si>
  <si>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</si>
  <si>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</si>
  <si>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</si>
  <si>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</si>
  <si>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</si>
  <si>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</si>
  <si>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</si>
  <si>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</si>
  <si>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</si>
  <si>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</si>
  <si>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</si>
  <si>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</si>
  <si>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</si>
  <si>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</si>
  <si>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</si>
  <si>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</si>
  <si>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</si>
  <si>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</si>
  <si>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</si>
  <si>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</si>
  <si>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</si>
  <si>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</si>
  <si>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</si>
  <si>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</si>
  <si>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</si>
  <si>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</si>
  <si>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</si>
  <si>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</si>
  <si>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</si>
  <si>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</si>
  <si>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</si>
  <si>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</si>
  <si>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</si>
  <si>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</si>
  <si>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</si>
  <si>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</si>
  <si>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</si>
  <si>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</si>
  <si>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</si>
  <si>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</si>
  <si>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</si>
  <si>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</si>
  <si>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</si>
  <si>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</si>
  <si>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</si>
  <si>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</si>
  <si>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</si>
  <si>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</si>
  <si>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</si>
  <si>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</si>
  <si>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</si>
  <si>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</si>
  <si>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</si>
  <si>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</si>
  <si>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</si>
  <si>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</si>
  <si>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</si>
  <si>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</si>
  <si>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</si>
  <si>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</si>
  <si>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</si>
  <si>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</si>
  <si>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</si>
  <si>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</si>
  <si>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</si>
  <si>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</si>
  <si>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</si>
  <si>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</si>
  <si>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</si>
  <si>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</si>
  <si>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</si>
  <si>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</si>
  <si>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</si>
  <si>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</si>
  <si>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</si>
  <si>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</si>
  <si>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</si>
  <si>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</si>
  <si>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</si>
  <si>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</si>
  <si>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</si>
  <si>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</si>
  <si>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</si>
  <si>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</si>
  <si>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</si>
  <si>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</si>
  <si>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</si>
  <si>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</si>
  <si>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</si>
  <si>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</si>
  <si>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</si>
  <si>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</si>
  <si>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</si>
  <si>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</si>
  <si>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</si>
  <si>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</si>
  <si>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</si>
  <si>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</si>
  <si>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</si>
  <si>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</si>
  <si>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</si>
  <si>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</si>
  <si>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</si>
  <si>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</si>
  <si>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</si>
  <si>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</si>
  <si>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</si>
  <si>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</si>
  <si>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</si>
  <si>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</si>
  <si>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</si>
  <si>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</si>
  <si>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</si>
  <si>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</si>
  <si>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</si>
  <si>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</si>
  <si>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</si>
  <si>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</si>
  <si>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2020-10-10T08:57:35.877Z</t>
  </si>
  <si>
    <t>Lisäys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</si>
</sst>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10.10 saakka. Suurin arvo 272, joka 2020-10-05.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28</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168</c:v>
                </c:pt>
                <c:pt idx="274">
                  <c:v>191</c:v>
                </c:pt>
                <c:pt idx="275">
                  <c:v>192</c:v>
                </c:pt>
                <c:pt idx="276">
                  <c:v>178</c:v>
                </c:pt>
                <c:pt idx="277">
                  <c:v>152</c:v>
                </c:pt>
                <c:pt idx="278">
                  <c:v>272</c:v>
                </c:pt>
                <c:pt idx="279">
                  <c:v>242</c:v>
                </c:pt>
                <c:pt idx="280">
                  <c:v>174</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2055</c:v>
                </c:pt>
                <c:pt idx="1">
                  <c:v>2018</c:v>
                </c:pt>
                <c:pt idx="2">
                  <c:v>1959</c:v>
                </c:pt>
                <c:pt idx="3">
                  <c:v>1822</c:v>
                </c:pt>
                <c:pt idx="4">
                  <c:v>1634</c:v>
                </c:pt>
                <c:pt idx="5">
                  <c:v>1123</c:v>
                </c:pt>
                <c:pt idx="6">
                  <c:v>1238</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Kuvaajat!$D$35:$D$62</c:f>
              <c:numCache>
                <c:formatCode>General</c:formatCode>
                <c:ptCount val="28"/>
                <c:pt idx="0">
                  <c:v>41</c:v>
                </c:pt>
                <c:pt idx="1">
                  <c:v>46</c:v>
                </c:pt>
                <c:pt idx="2">
                  <c:v>59</c:v>
                </c:pt>
                <c:pt idx="3">
                  <c:v>53</c:v>
                </c:pt>
                <c:pt idx="4">
                  <c:v>57</c:v>
                </c:pt>
                <c:pt idx="5">
                  <c:v>85</c:v>
                </c:pt>
                <c:pt idx="6">
                  <c:v>76</c:v>
                </c:pt>
                <c:pt idx="7">
                  <c:v>61</c:v>
                </c:pt>
                <c:pt idx="8">
                  <c:v>73</c:v>
                </c:pt>
                <c:pt idx="9">
                  <c:v>119</c:v>
                </c:pt>
                <c:pt idx="10">
                  <c:v>105</c:v>
                </c:pt>
                <c:pt idx="11">
                  <c:v>118</c:v>
                </c:pt>
                <c:pt idx="12">
                  <c:v>98</c:v>
                </c:pt>
                <c:pt idx="13">
                  <c:v>127</c:v>
                </c:pt>
                <c:pt idx="14">
                  <c:v>73</c:v>
                </c:pt>
                <c:pt idx="15">
                  <c:v>70</c:v>
                </c:pt>
                <c:pt idx="16">
                  <c:v>124</c:v>
                </c:pt>
                <c:pt idx="17">
                  <c:v>135</c:v>
                </c:pt>
                <c:pt idx="18">
                  <c:v>168</c:v>
                </c:pt>
                <c:pt idx="19">
                  <c:v>191</c:v>
                </c:pt>
                <c:pt idx="20">
                  <c:v>192</c:v>
                </c:pt>
                <c:pt idx="21">
                  <c:v>178</c:v>
                </c:pt>
                <c:pt idx="22">
                  <c:v>152</c:v>
                </c:pt>
                <c:pt idx="23">
                  <c:v>272</c:v>
                </c:pt>
                <c:pt idx="24">
                  <c:v>242</c:v>
                </c:pt>
                <c:pt idx="25">
                  <c:v>174</c:v>
                </c:pt>
                <c:pt idx="26">
                  <c:v>52</c:v>
                </c:pt>
                <c:pt idx="27">
                  <c:v>18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Kuvaajat!$H$33</c:f>
          <c:strCache>
            <c:ptCount val="1"/>
            <c:pt idx="0">
              <c:v>Kirjattuja COVID-19 tapauksia 11849._x000d_Punaisella uusimmat lisäykset 269.</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Kuvaajat!$D$35:$D$62</c:f>
              <c:numCache>
                <c:formatCode>General</c:formatCode>
                <c:ptCount val="28"/>
                <c:pt idx="0">
                  <c:v>41</c:v>
                </c:pt>
                <c:pt idx="1">
                  <c:v>46</c:v>
                </c:pt>
                <c:pt idx="2">
                  <c:v>59</c:v>
                </c:pt>
                <c:pt idx="3">
                  <c:v>53</c:v>
                </c:pt>
                <c:pt idx="4">
                  <c:v>57</c:v>
                </c:pt>
                <c:pt idx="5">
                  <c:v>85</c:v>
                </c:pt>
                <c:pt idx="6">
                  <c:v>76</c:v>
                </c:pt>
                <c:pt idx="7">
                  <c:v>61</c:v>
                </c:pt>
                <c:pt idx="8">
                  <c:v>73</c:v>
                </c:pt>
                <c:pt idx="9">
                  <c:v>119</c:v>
                </c:pt>
                <c:pt idx="10">
                  <c:v>105</c:v>
                </c:pt>
                <c:pt idx="11">
                  <c:v>118</c:v>
                </c:pt>
                <c:pt idx="12">
                  <c:v>98</c:v>
                </c:pt>
                <c:pt idx="13">
                  <c:v>127</c:v>
                </c:pt>
                <c:pt idx="14">
                  <c:v>73</c:v>
                </c:pt>
                <c:pt idx="15">
                  <c:v>70</c:v>
                </c:pt>
                <c:pt idx="16">
                  <c:v>124</c:v>
                </c:pt>
                <c:pt idx="17">
                  <c:v>135</c:v>
                </c:pt>
                <c:pt idx="18">
                  <c:v>168</c:v>
                </c:pt>
                <c:pt idx="19">
                  <c:v>191</c:v>
                </c:pt>
                <c:pt idx="20">
                  <c:v>192</c:v>
                </c:pt>
                <c:pt idx="21">
                  <c:v>178</c:v>
                </c:pt>
                <c:pt idx="22">
                  <c:v>152</c:v>
                </c:pt>
                <c:pt idx="23">
                  <c:v>272</c:v>
                </c:pt>
                <c:pt idx="24">
                  <c:v>242</c:v>
                </c:pt>
                <c:pt idx="25">
                  <c:v>174</c:v>
                </c:pt>
                <c:pt idx="26">
                  <c:v>52</c:v>
                </c:pt>
                <c:pt idx="27">
                  <c:v>18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2</c:v>
                </c:pt>
                <c:pt idx="14">
                  <c:v>0</c:v>
                </c:pt>
                <c:pt idx="15">
                  <c:v>1</c:v>
                </c:pt>
                <c:pt idx="16">
                  <c:v>1</c:v>
                </c:pt>
                <c:pt idx="17">
                  <c:v>0</c:v>
                </c:pt>
                <c:pt idx="18">
                  <c:v>1</c:v>
                </c:pt>
                <c:pt idx="19">
                  <c:v>3</c:v>
                </c:pt>
                <c:pt idx="20">
                  <c:v>4</c:v>
                </c:pt>
                <c:pt idx="21">
                  <c:v>6</c:v>
                </c:pt>
                <c:pt idx="22">
                  <c:v>5</c:v>
                </c:pt>
                <c:pt idx="23">
                  <c:v>31</c:v>
                </c:pt>
                <c:pt idx="24">
                  <c:v>51</c:v>
                </c:pt>
                <c:pt idx="25">
                  <c:v>99</c:v>
                </c:pt>
                <c:pt idx="26">
                  <c:v>46</c:v>
                </c:pt>
                <c:pt idx="27">
                  <c:v>18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2</xdr:col>
      <xdr:colOff>92528</xdr:colOff>
      <xdr:row>7</xdr:row>
      <xdr:rowOff>48985</xdr:rowOff>
    </xdr:from>
    <xdr:to>
      <xdr:col>13</xdr:col>
      <xdr:colOff>141514</xdr:colOff>
      <xdr:row>25</xdr:row>
      <xdr:rowOff>2721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6" t="s">
        <v>10</v>
      </c>
      <c r="B2" s="17"/>
      <c r="C2" s="17"/>
      <c r="D2" s="17"/>
      <c r="E2" s="17"/>
      <c r="F2" s="17"/>
      <c r="G2" s="17"/>
    </row>
    <row r="3" spans="1:7">
      <c r="A3" s="17"/>
      <c r="B3" s="17"/>
      <c r="C3" s="17"/>
      <c r="D3" s="17"/>
      <c r="E3" s="17"/>
      <c r="F3" s="17"/>
      <c r="G3" s="17"/>
    </row>
    <row r="4" spans="1:7">
      <c r="A4" s="17"/>
      <c r="B4" s="17"/>
      <c r="C4" s="17"/>
      <c r="D4" s="17"/>
      <c r="E4" s="17"/>
      <c r="F4" s="17"/>
      <c r="G4" s="17"/>
    </row>
    <row r="5" spans="1:7">
      <c r="A5" s="17"/>
      <c r="B5" s="17"/>
      <c r="C5" s="17"/>
      <c r="D5" s="17"/>
      <c r="E5" s="17"/>
      <c r="F5" s="17"/>
      <c r="G5" s="17"/>
    </row>
    <row r="6" spans="1:7">
      <c r="A6" s="17"/>
      <c r="B6" s="17"/>
      <c r="C6" s="17"/>
      <c r="D6" s="17"/>
      <c r="E6" s="17"/>
      <c r="F6" s="17"/>
      <c r="G6" s="17"/>
    </row>
    <row r="7" spans="1:7">
      <c r="A7" s="17"/>
      <c r="B7" s="17"/>
      <c r="C7" s="17"/>
      <c r="D7" s="17"/>
      <c r="E7" s="17"/>
      <c r="F7" s="17"/>
      <c r="G7" s="17"/>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5"/>
  <sheetViews>
    <sheetView workbookViewId="0">
      <pane ySplit="1" topLeftCell="A16" activePane="bottomLeft" state="frozen"/>
      <selection pane="bottomLeft"/>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11849</v>
      </c>
      <c r="I1" s="8">
        <v>44114.494120370371</v>
      </c>
      <c r="J1" s="7">
        <f>MAX(Id)</f>
        <v>272</v>
      </c>
      <c r="K1" s="7" t="str">
        <f>VLOOKUP(J1,A:B,2,)</f>
        <v>2020-10-05T15:00:00.000Z</v>
      </c>
      <c r="L1" s="7" t="str">
        <f ca="1">"Päivittäisiä Korona tapauksia vuoden 2020 alusta lähtien "&amp;TEXT(NOW(),"pp.kk")&amp;" saakka. Suurin arvo "&amp;J1&amp;", joka "&amp;LEFT(K1,10)&amp;". Uusimpien 4-5 päivien arvot tulevat viiveellä."</f>
        <v>Päivittäisiä Korona tapauksia vuoden 2020 alusta lähtien 10.10 saakka. Suurin arvo 272, joka 2020-10-05.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2055</v>
      </c>
    </row>
    <row r="31" spans="1:11">
      <c r="A31">
        <v>0</v>
      </c>
      <c r="B31" t="s">
        <v>263</v>
      </c>
      <c r="C31" t="s">
        <v>8</v>
      </c>
      <c r="E31" s="3">
        <f t="shared" si="0"/>
        <v>4</v>
      </c>
      <c r="F31" s="5">
        <v>43860.625</v>
      </c>
      <c r="I31">
        <v>2</v>
      </c>
      <c r="J31" t="s">
        <v>303</v>
      </c>
      <c r="K31">
        <f t="shared" si="1"/>
        <v>2018</v>
      </c>
    </row>
    <row r="32" spans="1:11">
      <c r="A32">
        <v>0</v>
      </c>
      <c r="B32" t="s">
        <v>264</v>
      </c>
      <c r="C32" t="s">
        <v>8</v>
      </c>
      <c r="E32" s="3">
        <f t="shared" si="0"/>
        <v>5</v>
      </c>
      <c r="F32" s="5">
        <v>43861.625</v>
      </c>
      <c r="I32">
        <v>3</v>
      </c>
      <c r="J32" t="s">
        <v>304</v>
      </c>
      <c r="K32">
        <f t="shared" si="1"/>
        <v>1959</v>
      </c>
    </row>
    <row r="33" spans="1:11">
      <c r="A33">
        <v>0</v>
      </c>
      <c r="B33" t="s">
        <v>265</v>
      </c>
      <c r="C33" t="s">
        <v>8</v>
      </c>
      <c r="E33" s="3">
        <f t="shared" si="0"/>
        <v>6</v>
      </c>
      <c r="F33" s="5">
        <v>43862.625</v>
      </c>
      <c r="I33">
        <v>4</v>
      </c>
      <c r="J33" t="s">
        <v>305</v>
      </c>
      <c r="K33">
        <f t="shared" si="1"/>
        <v>1822</v>
      </c>
    </row>
    <row r="34" spans="1:11">
      <c r="A34">
        <v>0</v>
      </c>
      <c r="B34" t="s">
        <v>266</v>
      </c>
      <c r="C34" t="s">
        <v>8</v>
      </c>
      <c r="E34" s="3">
        <f t="shared" si="0"/>
        <v>7</v>
      </c>
      <c r="F34" s="5">
        <v>43863.625</v>
      </c>
      <c r="I34">
        <v>5</v>
      </c>
      <c r="J34" t="s">
        <v>306</v>
      </c>
      <c r="K34">
        <f t="shared" si="1"/>
        <v>1634</v>
      </c>
    </row>
    <row r="35" spans="1:11">
      <c r="A35">
        <v>0</v>
      </c>
      <c r="B35" t="s">
        <v>267</v>
      </c>
      <c r="C35" t="s">
        <v>8</v>
      </c>
      <c r="E35" s="3">
        <f t="shared" si="0"/>
        <v>1</v>
      </c>
      <c r="F35" s="5">
        <v>43864.625</v>
      </c>
      <c r="I35">
        <v>6</v>
      </c>
      <c r="J35" t="s">
        <v>307</v>
      </c>
      <c r="K35">
        <f t="shared" si="1"/>
        <v>1123</v>
      </c>
    </row>
    <row r="36" spans="1:11">
      <c r="A36">
        <v>0</v>
      </c>
      <c r="B36" t="s">
        <v>268</v>
      </c>
      <c r="C36" t="s">
        <v>8</v>
      </c>
      <c r="E36" s="3">
        <f t="shared" si="0"/>
        <v>2</v>
      </c>
      <c r="F36" s="5">
        <v>43865.625</v>
      </c>
      <c r="I36">
        <v>7</v>
      </c>
      <c r="J36" t="s">
        <v>308</v>
      </c>
      <c r="K36">
        <f t="shared" si="1"/>
        <v>1238</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168</v>
      </c>
      <c r="B275" t="s">
        <v>229</v>
      </c>
      <c r="C275" t="s">
        <v>8</v>
      </c>
      <c r="E275" s="3">
        <f t="shared" si="5"/>
        <v>3</v>
      </c>
      <c r="F275" s="5">
        <v>44104.625</v>
      </c>
    </row>
    <row r="276" spans="1:6">
      <c r="A276">
        <v>191</v>
      </c>
      <c r="B276" t="s">
        <v>231</v>
      </c>
      <c r="C276" t="s">
        <v>8</v>
      </c>
      <c r="E276" s="3">
        <f t="shared" si="5"/>
        <v>4</v>
      </c>
      <c r="F276" s="5">
        <v>44105.625</v>
      </c>
    </row>
    <row r="277" spans="1:6">
      <c r="A277">
        <v>192</v>
      </c>
      <c r="B277" t="s">
        <v>232</v>
      </c>
      <c r="C277" t="s">
        <v>8</v>
      </c>
      <c r="E277" s="3">
        <f t="shared" si="5"/>
        <v>5</v>
      </c>
      <c r="F277" s="5">
        <v>44106.625</v>
      </c>
    </row>
    <row r="278" spans="1:6">
      <c r="A278">
        <v>178</v>
      </c>
      <c r="B278" t="s">
        <v>234</v>
      </c>
      <c r="C278" t="s">
        <v>8</v>
      </c>
      <c r="E278" s="3">
        <f t="shared" si="5"/>
        <v>6</v>
      </c>
      <c r="F278" s="5">
        <v>44107.625</v>
      </c>
    </row>
    <row r="279" spans="1:6">
      <c r="A279">
        <v>152</v>
      </c>
      <c r="B279" t="s">
        <v>293</v>
      </c>
      <c r="C279" t="s">
        <v>8</v>
      </c>
      <c r="E279" s="3">
        <f t="shared" si="5"/>
        <v>7</v>
      </c>
      <c r="F279" s="5">
        <v>44108.625</v>
      </c>
    </row>
    <row r="280" spans="1:6">
      <c r="A280">
        <v>272</v>
      </c>
      <c r="B280" t="s">
        <v>294</v>
      </c>
      <c r="C280" t="s">
        <v>8</v>
      </c>
      <c r="E280" s="3">
        <f t="shared" si="5"/>
        <v>1</v>
      </c>
      <c r="F280" s="5">
        <v>44109.625</v>
      </c>
    </row>
    <row r="281" spans="1:6">
      <c r="A281">
        <v>242</v>
      </c>
      <c r="B281" t="s">
        <v>295</v>
      </c>
      <c r="C281" t="s">
        <v>8</v>
      </c>
      <c r="E281" s="3">
        <f t="shared" si="5"/>
        <v>2</v>
      </c>
      <c r="F281" s="5">
        <v>44110.625</v>
      </c>
    </row>
    <row r="282" spans="1:6">
      <c r="A282">
        <v>174</v>
      </c>
      <c r="B282" t="s">
        <v>296</v>
      </c>
      <c r="C282" t="s">
        <v>8</v>
      </c>
      <c r="E282" s="3">
        <f t="shared" si="5"/>
        <v>3</v>
      </c>
      <c r="F282" s="5">
        <v>44111.625</v>
      </c>
    </row>
    <row r="283" spans="1:6">
      <c r="A283">
        <v>52</v>
      </c>
      <c r="B283" t="s">
        <v>297</v>
      </c>
      <c r="C283" t="s">
        <v>8</v>
      </c>
      <c r="E283" s="3">
        <f t="shared" si="5"/>
        <v>4</v>
      </c>
      <c r="F283" s="5">
        <v>44112.625</v>
      </c>
    </row>
    <row r="284" spans="1:6">
      <c r="A284">
        <v>18</v>
      </c>
      <c r="B284" t="s">
        <v>298</v>
      </c>
      <c r="C284" t="s">
        <v>8</v>
      </c>
      <c r="E284" s="3">
        <f t="shared" si="5"/>
        <v>5</v>
      </c>
      <c r="F284" s="5">
        <v>44113.625</v>
      </c>
    </row>
    <row r="285" spans="1:6">
      <c r="A285">
        <v>0</v>
      </c>
      <c r="B285" t="s">
        <v>309</v>
      </c>
      <c r="C285" t="s">
        <v>8</v>
      </c>
      <c r="E285" s="3">
        <f t="shared" si="5"/>
        <v>6</v>
      </c>
      <c r="F285" s="5">
        <v>44114.37332175926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X65"/>
  <sheetViews>
    <sheetView tabSelected="1" topLeftCell="A7" zoomScale="85" zoomScaleNormal="85" workbookViewId="0">
      <selection activeCell="K10" sqref="K10"/>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B31" s="4"/>
    </row>
    <row r="32" spans="1:2">
      <c r="A32" t="str">
        <f ca="1">"Uusia COVID-19 tapauksia "&amp;(C63-N63)&amp;" (joista vanhoja yli 28 päivän takaisia kirjauksia "&amp;(C63-N63-E33)&amp;"). Yhteensä "&amp;C62&amp;". Edelliset 7 päivää "&amp;G56&amp;" (päivittyy), "&amp;G49&amp;" (muutos "&amp;H49&amp;"), "&amp;G42&amp;" ("&amp;H42&amp;") ja "&amp;G35&amp;" https://github.com/jussivirkkala/excel"</f>
        <v>Uusia COVID-19 tapauksia 269 (joista vanhoja yli 28 päivän takaisia kirjauksia 1). Yhteensä 11849. Edelliset 7 päivää 1088 (päivittyy), 953 (muutos 36 %), 701 (68 %) ja 417 https://github.com/jussivirkkala/excel</v>
      </c>
      <c r="B32" s="4"/>
    </row>
    <row r="33" spans="1:24">
      <c r="B33" s="4" t="s">
        <v>5</v>
      </c>
      <c r="C33" t="s">
        <v>0</v>
      </c>
      <c r="D33" t="s">
        <v>6</v>
      </c>
      <c r="E33">
        <f ca="1">SUM(E35:E63)</f>
        <v>268</v>
      </c>
      <c r="F33" t="s">
        <v>228</v>
      </c>
      <c r="H33" t="str">
        <f ca="1">"Kirjattuja COVID-19 tapauksia "&amp;C63&amp;"."&amp;CHAR(13)&amp;"Punaisella uusimmat lisäykset "&amp;L63&amp;"."</f>
        <v>Kirjattuja COVID-19 tapauksia 11849._x000D_Punaisella uusimmat lisäykset 269.</v>
      </c>
    </row>
    <row r="34" spans="1:24">
      <c r="A34" t="str">
        <f ca="1">IF(WEEKDAY(B34,2)=1,"Ma","")</f>
        <v/>
      </c>
      <c r="B34" s="4">
        <f ca="1">B35-1</f>
        <v>44085</v>
      </c>
      <c r="C34" s="11">
        <f t="shared" ref="C34:C63" ca="1" si="0">SUMIF(aika,"&lt;"&amp;(B34+1),Id)</f>
        <v>8690</v>
      </c>
    </row>
    <row r="35" spans="1:24" s="10" customFormat="1">
      <c r="A35" t="str">
        <f t="shared" ref="A35:A58" ca="1" si="1">IF(WEEKDAY(B35,2)=1,"Ma","")</f>
        <v/>
      </c>
      <c r="B35" s="9">
        <f t="shared" ref="B35:B60" ca="1" si="2">B36-1</f>
        <v>44086</v>
      </c>
      <c r="C35" s="10">
        <f t="shared" ca="1" si="0"/>
        <v>8731</v>
      </c>
      <c r="D35" s="10">
        <f t="shared" ref="D35" ca="1" si="3">C35-C34</f>
        <v>41</v>
      </c>
      <c r="E35" s="10">
        <f t="shared" ref="E35:E62" ca="1" si="4">_xlfn.IFNA(D35-F35,"")</f>
        <v>0</v>
      </c>
      <c r="F35" s="10">
        <f t="shared" ref="F35:F63" ca="1" si="5">VLOOKUP(B35,Previous,3,FALSE)</f>
        <v>41</v>
      </c>
      <c r="G35" s="10">
        <f ca="1">SUM(D35:D41)</f>
        <v>417</v>
      </c>
      <c r="I35" s="10">
        <f ca="1">SUM(D35:D48)</f>
        <v>1118</v>
      </c>
      <c r="K35" s="14"/>
      <c r="M35" s="9">
        <v>44086</v>
      </c>
      <c r="N35" s="10">
        <v>8730</v>
      </c>
      <c r="O35" s="10">
        <v>41</v>
      </c>
      <c r="P35" s="15">
        <v>44086</v>
      </c>
      <c r="Q35" s="10">
        <v>8731</v>
      </c>
      <c r="R35" s="10">
        <v>41</v>
      </c>
      <c r="S35" s="15">
        <v>44085</v>
      </c>
      <c r="T35" s="10">
        <v>8688</v>
      </c>
      <c r="U35" s="10">
        <v>57</v>
      </c>
      <c r="V35" s="9">
        <v>44086</v>
      </c>
      <c r="W35" s="10">
        <v>8730</v>
      </c>
      <c r="X35" s="10">
        <v>41</v>
      </c>
    </row>
    <row r="36" spans="1:24">
      <c r="A36" t="str">
        <f t="shared" ca="1" si="1"/>
        <v/>
      </c>
      <c r="B36" s="4">
        <f t="shared" ca="1" si="2"/>
        <v>44087</v>
      </c>
      <c r="C36" s="11">
        <f t="shared" ca="1" si="0"/>
        <v>8777</v>
      </c>
      <c r="D36">
        <f t="shared" ref="D36" ca="1" si="6">C36-C35</f>
        <v>46</v>
      </c>
      <c r="E36" s="11">
        <f t="shared" ca="1" si="4"/>
        <v>0</v>
      </c>
      <c r="F36" s="11">
        <f t="shared" ca="1" si="5"/>
        <v>46</v>
      </c>
      <c r="K36" s="3"/>
      <c r="M36" s="4">
        <v>44087</v>
      </c>
      <c r="N36">
        <v>8776</v>
      </c>
      <c r="O36">
        <v>46</v>
      </c>
      <c r="P36" s="13">
        <v>44087</v>
      </c>
      <c r="Q36">
        <v>8777</v>
      </c>
      <c r="R36">
        <v>46</v>
      </c>
      <c r="S36" s="13">
        <v>44086</v>
      </c>
      <c r="T36">
        <v>8729</v>
      </c>
      <c r="U36">
        <v>41</v>
      </c>
      <c r="V36" s="4">
        <v>44087</v>
      </c>
      <c r="W36">
        <v>8776</v>
      </c>
      <c r="X36">
        <v>46</v>
      </c>
    </row>
    <row r="37" spans="1:24">
      <c r="A37" t="str">
        <f t="shared" ca="1" si="1"/>
        <v>Ma</v>
      </c>
      <c r="B37" s="4">
        <f t="shared" ca="1" si="2"/>
        <v>44088</v>
      </c>
      <c r="C37" s="11">
        <f t="shared" ca="1" si="0"/>
        <v>8836</v>
      </c>
      <c r="D37">
        <f t="shared" ref="D37" ca="1" si="7">C37-C36</f>
        <v>59</v>
      </c>
      <c r="E37" s="11">
        <f t="shared" ca="1" si="4"/>
        <v>0</v>
      </c>
      <c r="F37" s="11">
        <f t="shared" ca="1" si="5"/>
        <v>59</v>
      </c>
      <c r="K37" s="3"/>
      <c r="M37" s="13">
        <v>44088</v>
      </c>
      <c r="N37">
        <v>8835</v>
      </c>
      <c r="O37">
        <v>59</v>
      </c>
      <c r="P37" s="13">
        <v>44088</v>
      </c>
      <c r="Q37">
        <v>8836</v>
      </c>
      <c r="R37">
        <v>59</v>
      </c>
      <c r="S37" s="13">
        <v>44087</v>
      </c>
      <c r="T37">
        <v>8775</v>
      </c>
      <c r="U37">
        <v>46</v>
      </c>
      <c r="V37" s="13">
        <v>44088</v>
      </c>
      <c r="W37">
        <v>8835</v>
      </c>
      <c r="X37">
        <v>59</v>
      </c>
    </row>
    <row r="38" spans="1:24">
      <c r="A38" t="str">
        <f t="shared" ca="1" si="1"/>
        <v/>
      </c>
      <c r="B38" s="4">
        <f t="shared" ca="1" si="2"/>
        <v>44089</v>
      </c>
      <c r="C38" s="11">
        <f t="shared" ca="1" si="0"/>
        <v>8889</v>
      </c>
      <c r="D38">
        <f t="shared" ref="D38" ca="1" si="8">C38-C37</f>
        <v>53</v>
      </c>
      <c r="E38" s="11">
        <f t="shared" ca="1" si="4"/>
        <v>0</v>
      </c>
      <c r="F38" s="11">
        <f t="shared" ca="1" si="5"/>
        <v>53</v>
      </c>
      <c r="K38" s="3"/>
      <c r="M38" s="13">
        <v>44089</v>
      </c>
      <c r="N38">
        <v>8888</v>
      </c>
      <c r="O38">
        <v>53</v>
      </c>
      <c r="P38" s="13">
        <v>44089</v>
      </c>
      <c r="Q38">
        <v>8889</v>
      </c>
      <c r="R38">
        <v>53</v>
      </c>
      <c r="S38" s="13">
        <v>44088</v>
      </c>
      <c r="T38">
        <v>8834</v>
      </c>
      <c r="U38">
        <v>59</v>
      </c>
      <c r="V38" s="13">
        <v>44089</v>
      </c>
      <c r="W38">
        <v>8888</v>
      </c>
      <c r="X38">
        <v>53</v>
      </c>
    </row>
    <row r="39" spans="1:24">
      <c r="A39" t="str">
        <f t="shared" ca="1" si="1"/>
        <v/>
      </c>
      <c r="B39" s="4">
        <f t="shared" ca="1" si="2"/>
        <v>44090</v>
      </c>
      <c r="C39" s="11">
        <f t="shared" ca="1" si="0"/>
        <v>8946</v>
      </c>
      <c r="D39">
        <f t="shared" ref="D39" ca="1" si="9">C39-C38</f>
        <v>57</v>
      </c>
      <c r="E39" s="11">
        <f t="shared" ca="1" si="4"/>
        <v>0</v>
      </c>
      <c r="F39" s="11">
        <f t="shared" ca="1" si="5"/>
        <v>57</v>
      </c>
      <c r="K39" s="3"/>
      <c r="M39" s="13">
        <v>44090</v>
      </c>
      <c r="N39">
        <v>8945</v>
      </c>
      <c r="O39">
        <v>57</v>
      </c>
      <c r="P39" s="13">
        <v>44090</v>
      </c>
      <c r="Q39">
        <v>8946</v>
      </c>
      <c r="R39">
        <v>57</v>
      </c>
      <c r="S39" s="13">
        <v>44089</v>
      </c>
      <c r="T39">
        <v>8887</v>
      </c>
      <c r="U39">
        <v>53</v>
      </c>
      <c r="V39" s="13">
        <v>44090</v>
      </c>
      <c r="W39">
        <v>8945</v>
      </c>
      <c r="X39">
        <v>57</v>
      </c>
    </row>
    <row r="40" spans="1:24">
      <c r="A40" t="str">
        <f t="shared" ca="1" si="1"/>
        <v/>
      </c>
      <c r="B40" s="4">
        <f t="shared" ca="1" si="2"/>
        <v>44091</v>
      </c>
      <c r="C40" s="11">
        <f t="shared" ca="1" si="0"/>
        <v>9031</v>
      </c>
      <c r="D40">
        <f t="shared" ref="D40" ca="1" si="10">C40-C39</f>
        <v>85</v>
      </c>
      <c r="E40" s="11">
        <f t="shared" ca="1" si="4"/>
        <v>0</v>
      </c>
      <c r="F40" s="11">
        <f t="shared" ca="1" si="5"/>
        <v>85</v>
      </c>
      <c r="K40" s="3"/>
      <c r="M40" s="13">
        <v>44091</v>
      </c>
      <c r="N40">
        <v>9030</v>
      </c>
      <c r="O40">
        <v>85</v>
      </c>
      <c r="P40" s="13">
        <v>44091</v>
      </c>
      <c r="Q40">
        <v>9031</v>
      </c>
      <c r="R40">
        <v>85</v>
      </c>
      <c r="S40" s="13">
        <v>44090</v>
      </c>
      <c r="T40">
        <v>8944</v>
      </c>
      <c r="U40">
        <v>57</v>
      </c>
      <c r="V40" s="13">
        <v>44091</v>
      </c>
      <c r="W40">
        <v>9030</v>
      </c>
      <c r="X40">
        <v>85</v>
      </c>
    </row>
    <row r="41" spans="1:24">
      <c r="A41" t="str">
        <f t="shared" ca="1" si="1"/>
        <v/>
      </c>
      <c r="B41" s="4">
        <f t="shared" ca="1" si="2"/>
        <v>44092</v>
      </c>
      <c r="C41" s="11">
        <f t="shared" ca="1" si="0"/>
        <v>9107</v>
      </c>
      <c r="D41">
        <f t="shared" ref="D41" ca="1" si="11">C41-C40</f>
        <v>76</v>
      </c>
      <c r="E41" s="11">
        <f t="shared" ca="1" si="4"/>
        <v>0</v>
      </c>
      <c r="F41" s="11">
        <f t="shared" ca="1" si="5"/>
        <v>76</v>
      </c>
      <c r="G41" s="10"/>
      <c r="K41" s="3"/>
      <c r="M41" s="13">
        <v>44092</v>
      </c>
      <c r="N41">
        <v>9106</v>
      </c>
      <c r="O41">
        <v>76</v>
      </c>
      <c r="P41" s="13">
        <v>44092</v>
      </c>
      <c r="Q41">
        <v>9107</v>
      </c>
      <c r="R41">
        <v>76</v>
      </c>
      <c r="S41" s="13">
        <v>44091</v>
      </c>
      <c r="T41">
        <v>9029</v>
      </c>
      <c r="U41">
        <v>85</v>
      </c>
      <c r="V41" s="13">
        <v>44092</v>
      </c>
      <c r="W41">
        <v>9106</v>
      </c>
      <c r="X41">
        <v>76</v>
      </c>
    </row>
    <row r="42" spans="1:24" s="10" customFormat="1">
      <c r="A42" t="str">
        <f t="shared" ca="1" si="1"/>
        <v/>
      </c>
      <c r="B42" s="9">
        <f t="shared" ca="1" si="2"/>
        <v>44093</v>
      </c>
      <c r="C42" s="10">
        <f t="shared" ca="1" si="0"/>
        <v>9168</v>
      </c>
      <c r="D42" s="10">
        <f t="shared" ref="D42" ca="1" si="12">C42-C41</f>
        <v>61</v>
      </c>
      <c r="E42" s="10">
        <f t="shared" ca="1" si="4"/>
        <v>0</v>
      </c>
      <c r="F42" s="10">
        <f t="shared" ca="1" si="5"/>
        <v>61</v>
      </c>
      <c r="G42" s="10">
        <f ca="1">SUM(D42:D48)</f>
        <v>701</v>
      </c>
      <c r="H42" s="10" t="str">
        <f ca="1">TEXT(G42/G35-1,"0 %")</f>
        <v>68 %</v>
      </c>
      <c r="I42" s="10">
        <f ca="1">SUM(D42:D55)</f>
        <v>1654</v>
      </c>
      <c r="K42" s="14"/>
      <c r="L42"/>
      <c r="M42" s="15">
        <v>44093</v>
      </c>
      <c r="N42" s="10">
        <v>9167</v>
      </c>
      <c r="O42" s="10">
        <v>61</v>
      </c>
      <c r="P42" s="15">
        <v>44093</v>
      </c>
      <c r="Q42" s="10">
        <v>9168</v>
      </c>
      <c r="R42" s="10">
        <v>61</v>
      </c>
      <c r="S42" s="15">
        <v>44092</v>
      </c>
      <c r="T42" s="10">
        <v>9105</v>
      </c>
      <c r="U42" s="10">
        <v>76</v>
      </c>
      <c r="V42" s="15">
        <v>44093</v>
      </c>
      <c r="W42" s="10">
        <v>9167</v>
      </c>
      <c r="X42" s="10">
        <v>61</v>
      </c>
    </row>
    <row r="43" spans="1:24">
      <c r="A43" t="str">
        <f t="shared" ca="1" si="1"/>
        <v/>
      </c>
      <c r="B43" s="4">
        <f t="shared" ca="1" si="2"/>
        <v>44094</v>
      </c>
      <c r="C43" s="11">
        <f t="shared" ca="1" si="0"/>
        <v>9241</v>
      </c>
      <c r="D43">
        <f t="shared" ref="D43" ca="1" si="13">C43-C42</f>
        <v>73</v>
      </c>
      <c r="E43" s="11">
        <f t="shared" ca="1" si="4"/>
        <v>0</v>
      </c>
      <c r="F43" s="11">
        <f t="shared" ca="1" si="5"/>
        <v>73</v>
      </c>
      <c r="K43" s="3"/>
      <c r="M43" s="13">
        <v>44094</v>
      </c>
      <c r="N43">
        <v>9240</v>
      </c>
      <c r="O43">
        <v>73</v>
      </c>
      <c r="P43" s="13">
        <v>44094</v>
      </c>
      <c r="Q43">
        <v>9241</v>
      </c>
      <c r="R43">
        <v>73</v>
      </c>
      <c r="S43" s="13">
        <v>44093</v>
      </c>
      <c r="T43">
        <v>9166</v>
      </c>
      <c r="U43">
        <v>61</v>
      </c>
      <c r="V43" s="13">
        <v>44094</v>
      </c>
      <c r="W43">
        <v>9240</v>
      </c>
      <c r="X43">
        <v>73</v>
      </c>
    </row>
    <row r="44" spans="1:24">
      <c r="A44" t="str">
        <f t="shared" ca="1" si="1"/>
        <v>Ma</v>
      </c>
      <c r="B44" s="4">
        <f t="shared" ca="1" si="2"/>
        <v>44095</v>
      </c>
      <c r="C44" s="11">
        <f t="shared" ca="1" si="0"/>
        <v>9360</v>
      </c>
      <c r="D44">
        <f t="shared" ref="D44" ca="1" si="14">C44-C43</f>
        <v>119</v>
      </c>
      <c r="E44" s="11">
        <f t="shared" ca="1" si="4"/>
        <v>0</v>
      </c>
      <c r="F44" s="11">
        <f t="shared" ca="1" si="5"/>
        <v>119</v>
      </c>
      <c r="K44" s="3"/>
      <c r="M44" s="13">
        <v>44095</v>
      </c>
      <c r="N44">
        <v>9359</v>
      </c>
      <c r="O44">
        <v>119</v>
      </c>
      <c r="P44" s="13">
        <v>44095</v>
      </c>
      <c r="Q44">
        <v>9360</v>
      </c>
      <c r="R44">
        <v>119</v>
      </c>
      <c r="S44" s="13">
        <v>44094</v>
      </c>
      <c r="T44">
        <v>9239</v>
      </c>
      <c r="U44">
        <v>73</v>
      </c>
      <c r="V44" s="13">
        <v>44095</v>
      </c>
      <c r="W44">
        <v>9359</v>
      </c>
      <c r="X44">
        <v>119</v>
      </c>
    </row>
    <row r="45" spans="1:24">
      <c r="A45" t="str">
        <f t="shared" ca="1" si="1"/>
        <v/>
      </c>
      <c r="B45" s="4">
        <f t="shared" ca="1" si="2"/>
        <v>44096</v>
      </c>
      <c r="C45" s="11">
        <f t="shared" ca="1" si="0"/>
        <v>9465</v>
      </c>
      <c r="D45">
        <f t="shared" ref="D45" ca="1" si="15">C45-C44</f>
        <v>105</v>
      </c>
      <c r="E45" s="11">
        <f t="shared" ca="1" si="4"/>
        <v>0</v>
      </c>
      <c r="F45" s="11">
        <f t="shared" ca="1" si="5"/>
        <v>105</v>
      </c>
      <c r="K45" s="3"/>
      <c r="M45" s="13">
        <v>44096</v>
      </c>
      <c r="N45">
        <v>9464</v>
      </c>
      <c r="O45">
        <v>105</v>
      </c>
      <c r="P45" s="13">
        <v>44096</v>
      </c>
      <c r="Q45">
        <v>9465</v>
      </c>
      <c r="R45">
        <v>105</v>
      </c>
      <c r="S45" s="13">
        <v>44095</v>
      </c>
      <c r="T45">
        <v>9358</v>
      </c>
      <c r="U45">
        <v>119</v>
      </c>
      <c r="V45" s="13">
        <v>44096</v>
      </c>
      <c r="W45">
        <v>9464</v>
      </c>
      <c r="X45">
        <v>105</v>
      </c>
    </row>
    <row r="46" spans="1:24">
      <c r="A46" t="str">
        <f t="shared" ca="1" si="1"/>
        <v/>
      </c>
      <c r="B46" s="4">
        <f t="shared" ca="1" si="2"/>
        <v>44097</v>
      </c>
      <c r="C46" s="11">
        <f t="shared" ca="1" si="0"/>
        <v>9583</v>
      </c>
      <c r="D46">
        <f t="shared" ref="D46" ca="1" si="16">C46-C45</f>
        <v>118</v>
      </c>
      <c r="E46" s="11">
        <f t="shared" ca="1" si="4"/>
        <v>0</v>
      </c>
      <c r="F46" s="11">
        <f t="shared" ca="1" si="5"/>
        <v>118</v>
      </c>
      <c r="K46" s="3"/>
      <c r="M46" s="13">
        <v>44097</v>
      </c>
      <c r="N46">
        <v>9582</v>
      </c>
      <c r="O46">
        <v>118</v>
      </c>
      <c r="P46" s="13">
        <v>44097</v>
      </c>
      <c r="Q46">
        <v>9583</v>
      </c>
      <c r="R46">
        <v>118</v>
      </c>
      <c r="S46" s="13">
        <v>44096</v>
      </c>
      <c r="T46">
        <v>9463</v>
      </c>
      <c r="U46">
        <v>105</v>
      </c>
      <c r="V46" s="13">
        <v>44097</v>
      </c>
      <c r="W46">
        <v>9582</v>
      </c>
      <c r="X46">
        <v>118</v>
      </c>
    </row>
    <row r="47" spans="1:24">
      <c r="A47" t="str">
        <f t="shared" ca="1" si="1"/>
        <v/>
      </c>
      <c r="B47" s="4">
        <f t="shared" ca="1" si="2"/>
        <v>44098</v>
      </c>
      <c r="C47" s="11">
        <f t="shared" ca="1" si="0"/>
        <v>9681</v>
      </c>
      <c r="D47">
        <f t="shared" ref="D47" ca="1" si="17">C47-C46</f>
        <v>98</v>
      </c>
      <c r="E47" s="11">
        <f t="shared" ca="1" si="4"/>
        <v>0</v>
      </c>
      <c r="F47" s="11">
        <f t="shared" ca="1" si="5"/>
        <v>98</v>
      </c>
      <c r="K47" s="3"/>
      <c r="M47" s="13">
        <v>44098</v>
      </c>
      <c r="N47">
        <v>9680</v>
      </c>
      <c r="O47">
        <v>98</v>
      </c>
      <c r="P47" s="13">
        <v>44098</v>
      </c>
      <c r="Q47">
        <v>9681</v>
      </c>
      <c r="R47">
        <v>98</v>
      </c>
      <c r="S47" s="13">
        <v>44097</v>
      </c>
      <c r="T47">
        <v>9581</v>
      </c>
      <c r="U47">
        <v>118</v>
      </c>
      <c r="V47" s="13">
        <v>44098</v>
      </c>
      <c r="W47">
        <v>9680</v>
      </c>
      <c r="X47">
        <v>98</v>
      </c>
    </row>
    <row r="48" spans="1:24">
      <c r="A48" t="str">
        <f t="shared" ca="1" si="1"/>
        <v/>
      </c>
      <c r="B48" s="4">
        <f t="shared" ca="1" si="2"/>
        <v>44099</v>
      </c>
      <c r="C48" s="11">
        <f t="shared" ca="1" si="0"/>
        <v>9808</v>
      </c>
      <c r="D48">
        <f t="shared" ref="D48" ca="1" si="18">C48-C47</f>
        <v>127</v>
      </c>
      <c r="E48" s="11">
        <f t="shared" ca="1" si="4"/>
        <v>2</v>
      </c>
      <c r="F48" s="11">
        <f t="shared" ca="1" si="5"/>
        <v>125</v>
      </c>
      <c r="K48" s="3"/>
      <c r="M48" s="13">
        <v>44099</v>
      </c>
      <c r="N48">
        <v>9805</v>
      </c>
      <c r="O48">
        <v>125</v>
      </c>
      <c r="P48" s="13">
        <v>44099</v>
      </c>
      <c r="Q48">
        <v>9808</v>
      </c>
      <c r="R48">
        <v>127</v>
      </c>
      <c r="S48" s="13">
        <v>44098</v>
      </c>
      <c r="T48">
        <v>9679</v>
      </c>
      <c r="U48">
        <v>98</v>
      </c>
      <c r="V48" s="13">
        <v>44099</v>
      </c>
      <c r="W48">
        <v>9805</v>
      </c>
      <c r="X48">
        <v>125</v>
      </c>
    </row>
    <row r="49" spans="1:24" s="10" customFormat="1">
      <c r="A49" t="str">
        <f t="shared" ca="1" si="1"/>
        <v/>
      </c>
      <c r="B49" s="9">
        <f t="shared" ca="1" si="2"/>
        <v>44100</v>
      </c>
      <c r="C49" s="10">
        <f t="shared" ca="1" si="0"/>
        <v>9881</v>
      </c>
      <c r="D49" s="10">
        <f t="shared" ref="D49" ca="1" si="19">C49-C48</f>
        <v>73</v>
      </c>
      <c r="E49" s="10">
        <f t="shared" ca="1" si="4"/>
        <v>0</v>
      </c>
      <c r="F49" s="10">
        <f t="shared" ca="1" si="5"/>
        <v>73</v>
      </c>
      <c r="G49" s="10">
        <f ca="1">SUM(D49:D55)</f>
        <v>953</v>
      </c>
      <c r="H49" s="10" t="str">
        <f ca="1">TEXT(G49/G42-1,"0 %")</f>
        <v>36 %</v>
      </c>
      <c r="I49" s="10">
        <f ca="1">SUM(D49:D62)</f>
        <v>2041</v>
      </c>
      <c r="K49" s="14"/>
      <c r="L49"/>
      <c r="M49" s="15">
        <v>44100</v>
      </c>
      <c r="N49" s="10">
        <v>9878</v>
      </c>
      <c r="O49" s="10">
        <v>73</v>
      </c>
      <c r="P49" s="15">
        <v>44100</v>
      </c>
      <c r="Q49" s="10">
        <v>9881</v>
      </c>
      <c r="R49" s="10">
        <v>73</v>
      </c>
      <c r="S49" s="15">
        <v>44099</v>
      </c>
      <c r="T49" s="10">
        <v>9804</v>
      </c>
      <c r="U49" s="10">
        <v>125</v>
      </c>
      <c r="V49" s="15">
        <v>44100</v>
      </c>
      <c r="W49" s="10">
        <v>9878</v>
      </c>
      <c r="X49" s="10">
        <v>73</v>
      </c>
    </row>
    <row r="50" spans="1:24">
      <c r="A50" t="str">
        <f t="shared" ca="1" si="1"/>
        <v/>
      </c>
      <c r="B50" s="4">
        <f t="shared" ca="1" si="2"/>
        <v>44101</v>
      </c>
      <c r="C50" s="11">
        <f t="shared" ca="1" si="0"/>
        <v>9951</v>
      </c>
      <c r="D50">
        <f t="shared" ref="D50:D61" ca="1" si="20">C50-C49</f>
        <v>70</v>
      </c>
      <c r="E50" s="11">
        <f t="shared" ca="1" si="4"/>
        <v>1</v>
      </c>
      <c r="F50" s="11">
        <f t="shared" ca="1" si="5"/>
        <v>69</v>
      </c>
      <c r="G50" s="10"/>
      <c r="K50" s="3"/>
      <c r="M50" s="13">
        <v>44101</v>
      </c>
      <c r="N50">
        <v>9947</v>
      </c>
      <c r="O50">
        <v>69</v>
      </c>
      <c r="P50" s="13">
        <v>44101</v>
      </c>
      <c r="Q50">
        <v>9951</v>
      </c>
      <c r="R50">
        <v>70</v>
      </c>
      <c r="S50" s="13">
        <v>44100</v>
      </c>
      <c r="T50">
        <v>9877</v>
      </c>
      <c r="U50">
        <v>73</v>
      </c>
      <c r="V50" s="13">
        <v>44101</v>
      </c>
      <c r="W50">
        <v>9947</v>
      </c>
      <c r="X50">
        <v>69</v>
      </c>
    </row>
    <row r="51" spans="1:24">
      <c r="A51" t="str">
        <f t="shared" ca="1" si="1"/>
        <v>Ma</v>
      </c>
      <c r="B51" s="4">
        <f t="shared" ca="1" si="2"/>
        <v>44102</v>
      </c>
      <c r="C51" s="11">
        <f t="shared" ca="1" si="0"/>
        <v>10075</v>
      </c>
      <c r="D51">
        <f t="shared" ca="1" si="20"/>
        <v>124</v>
      </c>
      <c r="E51" s="11">
        <f t="shared" ca="1" si="4"/>
        <v>1</v>
      </c>
      <c r="F51" s="11">
        <f t="shared" ca="1" si="5"/>
        <v>123</v>
      </c>
      <c r="J51" s="13"/>
      <c r="K51" s="3"/>
      <c r="M51" s="13">
        <v>44102</v>
      </c>
      <c r="N51">
        <v>10070</v>
      </c>
      <c r="O51">
        <v>123</v>
      </c>
      <c r="P51" s="13">
        <v>44102</v>
      </c>
      <c r="Q51">
        <v>10075</v>
      </c>
      <c r="R51">
        <v>124</v>
      </c>
      <c r="S51" s="13">
        <v>44101</v>
      </c>
      <c r="T51">
        <v>9946</v>
      </c>
      <c r="U51">
        <v>69</v>
      </c>
      <c r="V51" s="13">
        <v>44102</v>
      </c>
      <c r="W51">
        <v>10070</v>
      </c>
      <c r="X51">
        <v>123</v>
      </c>
    </row>
    <row r="52" spans="1:24">
      <c r="A52" t="str">
        <f t="shared" ca="1" si="1"/>
        <v/>
      </c>
      <c r="B52" s="4">
        <f t="shared" ca="1" si="2"/>
        <v>44103</v>
      </c>
      <c r="C52" s="11">
        <f t="shared" ca="1" si="0"/>
        <v>10210</v>
      </c>
      <c r="D52">
        <f t="shared" ca="1" si="20"/>
        <v>135</v>
      </c>
      <c r="E52" s="11">
        <f t="shared" ca="1" si="4"/>
        <v>0</v>
      </c>
      <c r="F52" s="11">
        <f t="shared" ca="1" si="5"/>
        <v>135</v>
      </c>
      <c r="J52" s="13"/>
      <c r="K52" s="3"/>
      <c r="M52" s="13">
        <v>44103</v>
      </c>
      <c r="N52">
        <v>10205</v>
      </c>
      <c r="O52">
        <v>135</v>
      </c>
      <c r="P52" s="13">
        <v>44103</v>
      </c>
      <c r="Q52">
        <v>10210</v>
      </c>
      <c r="R52">
        <v>135</v>
      </c>
      <c r="S52" s="13">
        <v>44102</v>
      </c>
      <c r="T52">
        <v>10069</v>
      </c>
      <c r="U52">
        <v>123</v>
      </c>
      <c r="V52" s="13">
        <v>44103</v>
      </c>
      <c r="W52">
        <v>10205</v>
      </c>
      <c r="X52">
        <v>135</v>
      </c>
    </row>
    <row r="53" spans="1:24">
      <c r="A53" t="str">
        <f t="shared" ca="1" si="1"/>
        <v/>
      </c>
      <c r="B53" s="4">
        <f t="shared" ca="1" si="2"/>
        <v>44104</v>
      </c>
      <c r="C53" s="11">
        <f t="shared" ca="1" si="0"/>
        <v>10378</v>
      </c>
      <c r="D53">
        <f t="shared" ca="1" si="20"/>
        <v>168</v>
      </c>
      <c r="E53" s="11">
        <f t="shared" ca="1" si="4"/>
        <v>1</v>
      </c>
      <c r="F53" s="11">
        <f t="shared" ca="1" si="5"/>
        <v>167</v>
      </c>
      <c r="J53" s="13"/>
      <c r="K53" s="3"/>
      <c r="M53" s="13">
        <v>44104</v>
      </c>
      <c r="N53">
        <v>10372</v>
      </c>
      <c r="O53">
        <v>167</v>
      </c>
      <c r="P53" s="13">
        <v>44104</v>
      </c>
      <c r="Q53">
        <v>10378</v>
      </c>
      <c r="R53">
        <v>168</v>
      </c>
      <c r="S53" s="13">
        <v>44103</v>
      </c>
      <c r="T53">
        <v>10205</v>
      </c>
      <c r="U53">
        <v>136</v>
      </c>
      <c r="V53" s="13">
        <v>44104</v>
      </c>
      <c r="W53">
        <v>10372</v>
      </c>
      <c r="X53">
        <v>167</v>
      </c>
    </row>
    <row r="54" spans="1:24">
      <c r="A54" t="str">
        <f t="shared" ca="1" si="1"/>
        <v/>
      </c>
      <c r="B54" s="4">
        <f t="shared" ca="1" si="2"/>
        <v>44105</v>
      </c>
      <c r="C54" s="11">
        <f t="shared" ca="1" si="0"/>
        <v>10569</v>
      </c>
      <c r="D54">
        <f t="shared" ca="1" si="20"/>
        <v>191</v>
      </c>
      <c r="E54" s="11">
        <f t="shared" ca="1" si="4"/>
        <v>3</v>
      </c>
      <c r="F54" s="11">
        <f t="shared" ca="1" si="5"/>
        <v>188</v>
      </c>
      <c r="J54" s="13"/>
      <c r="K54" s="3"/>
      <c r="M54" s="13">
        <v>44105</v>
      </c>
      <c r="N54">
        <v>10560</v>
      </c>
      <c r="O54">
        <v>188</v>
      </c>
      <c r="P54" s="13">
        <v>44105</v>
      </c>
      <c r="Q54">
        <v>10569</v>
      </c>
      <c r="R54">
        <v>191</v>
      </c>
      <c r="S54" s="13">
        <v>44104</v>
      </c>
      <c r="T54">
        <v>10371</v>
      </c>
      <c r="U54">
        <v>166</v>
      </c>
      <c r="V54" s="13">
        <v>44105</v>
      </c>
      <c r="W54">
        <v>10560</v>
      </c>
      <c r="X54">
        <v>188</v>
      </c>
    </row>
    <row r="55" spans="1:24">
      <c r="A55" t="str">
        <f ca="1">IF(WEEKDAY(B55,2)=1,"Ma","")</f>
        <v/>
      </c>
      <c r="B55" s="4">
        <f t="shared" ca="1" si="2"/>
        <v>44106</v>
      </c>
      <c r="C55" s="11">
        <f t="shared" ca="1" si="0"/>
        <v>10761</v>
      </c>
      <c r="D55">
        <f t="shared" ca="1" si="20"/>
        <v>192</v>
      </c>
      <c r="E55" s="11">
        <f t="shared" ca="1" si="4"/>
        <v>4</v>
      </c>
      <c r="F55" s="11">
        <f t="shared" ca="1" si="5"/>
        <v>188</v>
      </c>
      <c r="J55" s="13"/>
      <c r="K55" s="3"/>
      <c r="M55" s="13">
        <v>44106</v>
      </c>
      <c r="N55">
        <v>10748</v>
      </c>
      <c r="O55">
        <v>188</v>
      </c>
      <c r="P55" s="13">
        <v>44106</v>
      </c>
      <c r="Q55">
        <v>10761</v>
      </c>
      <c r="R55">
        <v>192</v>
      </c>
      <c r="S55" s="13">
        <v>44105</v>
      </c>
      <c r="T55">
        <v>10558</v>
      </c>
      <c r="U55">
        <v>187</v>
      </c>
      <c r="V55" s="13">
        <v>44106</v>
      </c>
      <c r="W55">
        <v>10748</v>
      </c>
      <c r="X55">
        <v>188</v>
      </c>
    </row>
    <row r="56" spans="1:24" s="10" customFormat="1">
      <c r="A56" t="str">
        <f t="shared" ca="1" si="1"/>
        <v/>
      </c>
      <c r="B56" s="9">
        <f t="shared" ca="1" si="2"/>
        <v>44107</v>
      </c>
      <c r="C56" s="10">
        <f t="shared" ca="1" si="0"/>
        <v>10939</v>
      </c>
      <c r="D56" s="10">
        <f t="shared" ca="1" si="20"/>
        <v>178</v>
      </c>
      <c r="E56" s="10">
        <f t="shared" ca="1" si="4"/>
        <v>6</v>
      </c>
      <c r="F56" s="10">
        <f t="shared" ca="1" si="5"/>
        <v>172</v>
      </c>
      <c r="G56" s="10">
        <f ca="1">SUM(D56:D62)</f>
        <v>1088</v>
      </c>
      <c r="J56" s="15"/>
      <c r="K56" s="14"/>
      <c r="L56"/>
      <c r="M56" s="15">
        <v>44107</v>
      </c>
      <c r="N56" s="10">
        <v>10920</v>
      </c>
      <c r="O56" s="10">
        <v>172</v>
      </c>
      <c r="P56" s="15">
        <v>44107</v>
      </c>
      <c r="Q56" s="10">
        <v>10939</v>
      </c>
      <c r="R56" s="10">
        <v>178</v>
      </c>
      <c r="S56" s="15">
        <v>44106</v>
      </c>
      <c r="T56" s="10">
        <v>10747</v>
      </c>
      <c r="U56" s="10">
        <v>189</v>
      </c>
      <c r="V56" s="15">
        <v>44107</v>
      </c>
      <c r="W56" s="10">
        <v>10920</v>
      </c>
      <c r="X56" s="10">
        <v>172</v>
      </c>
    </row>
    <row r="57" spans="1:24">
      <c r="A57" t="str">
        <f t="shared" ca="1" si="1"/>
        <v/>
      </c>
      <c r="B57" s="4">
        <f t="shared" ca="1" si="2"/>
        <v>44108</v>
      </c>
      <c r="C57" s="11">
        <f t="shared" ca="1" si="0"/>
        <v>11091</v>
      </c>
      <c r="D57">
        <f t="shared" ca="1" si="20"/>
        <v>152</v>
      </c>
      <c r="E57" s="11">
        <f t="shared" ca="1" si="4"/>
        <v>5</v>
      </c>
      <c r="F57" s="11">
        <f t="shared" ca="1" si="5"/>
        <v>147</v>
      </c>
      <c r="H57" s="10"/>
      <c r="J57" s="13"/>
      <c r="K57" s="3"/>
      <c r="M57" s="13">
        <v>44108</v>
      </c>
      <c r="N57">
        <v>11067</v>
      </c>
      <c r="O57">
        <v>147</v>
      </c>
      <c r="P57" s="13">
        <v>44108</v>
      </c>
      <c r="Q57">
        <v>11091</v>
      </c>
      <c r="R57">
        <v>152</v>
      </c>
      <c r="S57" s="13">
        <v>44107</v>
      </c>
      <c r="T57">
        <v>10917</v>
      </c>
      <c r="U57">
        <v>170</v>
      </c>
      <c r="V57" s="13">
        <v>44108</v>
      </c>
      <c r="W57">
        <v>11067</v>
      </c>
      <c r="X57">
        <v>147</v>
      </c>
    </row>
    <row r="58" spans="1:24">
      <c r="A58" t="str">
        <f t="shared" ca="1" si="1"/>
        <v>Ma</v>
      </c>
      <c r="B58" s="4">
        <f t="shared" ca="1" si="2"/>
        <v>44109</v>
      </c>
      <c r="C58" s="11">
        <f t="shared" ca="1" si="0"/>
        <v>11363</v>
      </c>
      <c r="D58">
        <f t="shared" ca="1" si="20"/>
        <v>272</v>
      </c>
      <c r="E58" s="11">
        <f t="shared" ca="1" si="4"/>
        <v>31</v>
      </c>
      <c r="F58" s="11">
        <f t="shared" ca="1" si="5"/>
        <v>241</v>
      </c>
      <c r="J58" s="4"/>
      <c r="K58" s="3"/>
      <c r="M58" s="13">
        <v>44109</v>
      </c>
      <c r="N58">
        <v>11308</v>
      </c>
      <c r="O58">
        <v>241</v>
      </c>
      <c r="P58" s="13">
        <v>44109</v>
      </c>
      <c r="Q58">
        <v>11363</v>
      </c>
      <c r="R58">
        <v>272</v>
      </c>
      <c r="S58" s="13">
        <v>44108</v>
      </c>
      <c r="T58">
        <v>11061</v>
      </c>
      <c r="U58">
        <v>144</v>
      </c>
      <c r="V58" s="13">
        <v>44109</v>
      </c>
      <c r="W58">
        <v>11308</v>
      </c>
      <c r="X58">
        <v>241</v>
      </c>
    </row>
    <row r="59" spans="1:24">
      <c r="A59" t="str">
        <f t="shared" ref="A59:A62" ca="1" si="21">IF(WEEKDAY(B59,2)=1,"Ma","")</f>
        <v/>
      </c>
      <c r="B59" s="4">
        <f t="shared" ca="1" si="2"/>
        <v>44110</v>
      </c>
      <c r="C59" s="11">
        <f t="shared" ca="1" si="0"/>
        <v>11605</v>
      </c>
      <c r="D59">
        <f t="shared" ca="1" si="20"/>
        <v>242</v>
      </c>
      <c r="E59" s="11">
        <f t="shared" ca="1" si="4"/>
        <v>51</v>
      </c>
      <c r="F59" s="11">
        <f t="shared" ca="1" si="5"/>
        <v>191</v>
      </c>
      <c r="J59" s="4"/>
      <c r="K59" s="3"/>
      <c r="M59" s="13">
        <v>44110</v>
      </c>
      <c r="N59">
        <v>11499</v>
      </c>
      <c r="O59">
        <v>191</v>
      </c>
      <c r="P59" s="13">
        <v>44110</v>
      </c>
      <c r="Q59">
        <v>11605</v>
      </c>
      <c r="R59">
        <v>242</v>
      </c>
      <c r="S59" s="13">
        <v>44109</v>
      </c>
      <c r="T59">
        <v>11250</v>
      </c>
      <c r="U59">
        <v>189</v>
      </c>
      <c r="V59" s="13">
        <v>44110</v>
      </c>
      <c r="W59">
        <v>11499</v>
      </c>
      <c r="X59">
        <v>191</v>
      </c>
    </row>
    <row r="60" spans="1:24">
      <c r="A60" t="str">
        <f t="shared" ca="1" si="21"/>
        <v/>
      </c>
      <c r="B60" s="4">
        <f t="shared" ca="1" si="2"/>
        <v>44111</v>
      </c>
      <c r="C60" s="11">
        <f t="shared" ca="1" si="0"/>
        <v>11779</v>
      </c>
      <c r="D60">
        <f t="shared" ca="1" si="20"/>
        <v>174</v>
      </c>
      <c r="E60" s="11">
        <f t="shared" ca="1" si="4"/>
        <v>99</v>
      </c>
      <c r="F60" s="11">
        <f t="shared" ca="1" si="5"/>
        <v>75</v>
      </c>
      <c r="J60" s="4"/>
      <c r="K60" s="3"/>
      <c r="M60" s="13">
        <v>44111</v>
      </c>
      <c r="N60">
        <v>11574</v>
      </c>
      <c r="O60">
        <v>75</v>
      </c>
      <c r="P60" s="13">
        <v>44111</v>
      </c>
      <c r="Q60">
        <v>11779</v>
      </c>
      <c r="R60">
        <v>174</v>
      </c>
      <c r="S60" s="13">
        <v>44110</v>
      </c>
      <c r="T60">
        <v>11340</v>
      </c>
      <c r="U60">
        <v>90</v>
      </c>
      <c r="V60" s="13">
        <v>44111</v>
      </c>
      <c r="W60">
        <v>11574</v>
      </c>
      <c r="X60">
        <v>75</v>
      </c>
    </row>
    <row r="61" spans="1:24">
      <c r="A61" t="str">
        <f t="shared" ca="1" si="21"/>
        <v/>
      </c>
      <c r="B61" s="4">
        <f ca="1">B62-1</f>
        <v>44112</v>
      </c>
      <c r="C61" s="11">
        <f t="shared" ca="1" si="0"/>
        <v>11831</v>
      </c>
      <c r="D61">
        <f t="shared" ca="1" si="20"/>
        <v>52</v>
      </c>
      <c r="E61" s="11">
        <f t="shared" ca="1" si="4"/>
        <v>46</v>
      </c>
      <c r="F61" s="11">
        <f t="shared" ca="1" si="5"/>
        <v>6</v>
      </c>
      <c r="J61" s="4"/>
      <c r="K61" s="3"/>
      <c r="M61" s="13">
        <v>44112</v>
      </c>
      <c r="N61">
        <v>11580</v>
      </c>
      <c r="O61">
        <v>6</v>
      </c>
      <c r="P61" s="13">
        <v>44112</v>
      </c>
      <c r="Q61">
        <v>11831</v>
      </c>
      <c r="R61">
        <v>52</v>
      </c>
      <c r="S61" s="13">
        <v>44111</v>
      </c>
      <c r="T61">
        <v>11345</v>
      </c>
      <c r="U61">
        <v>5</v>
      </c>
      <c r="V61" s="13">
        <v>44112</v>
      </c>
      <c r="W61">
        <v>11580</v>
      </c>
      <c r="X61">
        <v>6</v>
      </c>
    </row>
    <row r="62" spans="1:24" s="10" customFormat="1">
      <c r="A62" t="str">
        <f t="shared" ca="1" si="21"/>
        <v/>
      </c>
      <c r="B62" s="9">
        <f ca="1">B63-1</f>
        <v>44113</v>
      </c>
      <c r="C62" s="10">
        <f t="shared" ca="1" si="0"/>
        <v>11849</v>
      </c>
      <c r="D62" s="10">
        <f ca="1">C62-C61</f>
        <v>18</v>
      </c>
      <c r="E62" s="10">
        <f t="shared" ca="1" si="4"/>
        <v>18</v>
      </c>
      <c r="F62" s="10">
        <f t="shared" ca="1" si="5"/>
        <v>0</v>
      </c>
      <c r="J62" s="9"/>
      <c r="K62" s="14"/>
      <c r="M62" s="9">
        <v>44113</v>
      </c>
      <c r="N62" s="10">
        <v>11580</v>
      </c>
      <c r="O62" s="10">
        <v>0</v>
      </c>
      <c r="P62" s="15">
        <v>44113</v>
      </c>
      <c r="Q62" s="10">
        <v>11849</v>
      </c>
      <c r="R62" s="10">
        <v>18</v>
      </c>
      <c r="S62" s="15">
        <v>44112</v>
      </c>
      <c r="T62" s="10">
        <v>11345</v>
      </c>
      <c r="U62" s="10">
        <v>0</v>
      </c>
      <c r="V62" s="9">
        <v>44113</v>
      </c>
      <c r="W62" s="10">
        <v>11580</v>
      </c>
      <c r="X62" s="10">
        <v>0</v>
      </c>
    </row>
    <row r="63" spans="1:24">
      <c r="A63" t="str">
        <f ca="1">IF(WEEKDAY(B63,2)=1,"Ma","")</f>
        <v/>
      </c>
      <c r="B63" s="12">
        <f ca="1">FLOOR(NOW(),1)</f>
        <v>44114</v>
      </c>
      <c r="C63" s="11">
        <f t="shared" ca="1" si="0"/>
        <v>11849</v>
      </c>
      <c r="D63" s="11">
        <f ca="1">C63-C62</f>
        <v>0</v>
      </c>
      <c r="E63" s="11">
        <f ca="1">_xlfn.IFNA(D63-F63,"")</f>
        <v>0</v>
      </c>
      <c r="F63" s="11">
        <f t="shared" ca="1" si="5"/>
        <v>0</v>
      </c>
      <c r="K63" t="s">
        <v>310</v>
      </c>
      <c r="L63">
        <f ca="1">C63-N63</f>
        <v>269</v>
      </c>
      <c r="M63" s="4">
        <v>44114</v>
      </c>
      <c r="N63">
        <v>11580</v>
      </c>
      <c r="O63">
        <v>0</v>
      </c>
      <c r="P63" s="13">
        <v>44114</v>
      </c>
      <c r="Q63">
        <v>11849</v>
      </c>
      <c r="R63">
        <v>0</v>
      </c>
      <c r="S63" s="13">
        <v>44113</v>
      </c>
      <c r="T63">
        <v>11345</v>
      </c>
      <c r="U63">
        <v>0</v>
      </c>
      <c r="V63" s="4">
        <v>44114</v>
      </c>
      <c r="W63">
        <v>11580</v>
      </c>
      <c r="X63">
        <v>0</v>
      </c>
    </row>
    <row r="65" spans="1:23">
      <c r="A65">
        <v>1</v>
      </c>
      <c r="B65">
        <v>2</v>
      </c>
      <c r="C65">
        <v>3</v>
      </c>
      <c r="D65">
        <v>4</v>
      </c>
      <c r="E65">
        <v>5</v>
      </c>
      <c r="F65">
        <v>6</v>
      </c>
      <c r="G65">
        <v>7</v>
      </c>
      <c r="H65">
        <v>8</v>
      </c>
      <c r="I65">
        <v>9</v>
      </c>
      <c r="J65">
        <v>10</v>
      </c>
      <c r="K65">
        <v>11</v>
      </c>
      <c r="L65">
        <v>12</v>
      </c>
      <c r="W65">
        <f>W63-T63</f>
        <v>235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2020-10-10T14:48:32Z</dcterms:modified>
</cp:coreProperties>
</file>