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9FAF7D1D-1531-49DA-A2EA-CBF3F68D9B7A}"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G67" i="2" l="1"/>
  <c r="CD67" i="2"/>
  <c r="CA67" i="2"/>
  <c r="BX67" i="2"/>
  <c r="BU67" i="2"/>
  <c r="BR67" i="2"/>
  <c r="BO67" i="2"/>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<sst xmlns="http://schemas.openxmlformats.org/spreadsheetml/2006/main" count="649" uniqueCount="340">
  <si>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</si>
  <si>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</si>
  <si>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</si>
  <si>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</si>
  <si>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</si>
  <si>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</si>
  <si>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</si>
  <si>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</si>
  <si>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</si>
  <si>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</si>
  <si>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</si>
  <si>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</si>
  <si>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</si>
  <si>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</si>
  <si>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</si>
  <si>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</si>
  <si>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</si>
  <si>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</si>
  <si>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</si>
  <si>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</si>
  <si>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</si>
  <si>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</si>
  <si>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</si>
  <si>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</si>
  <si>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</si>
  <si>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</si>
  <si>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</si>
  <si>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</si>
  <si>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</si>
  <si>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</si>
  <si>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</si>
  <si>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</si>
  <si>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</si>
  <si>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</si>
  <si>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</si>
  <si>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</si>
  <si>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</si>
  <si>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</si>
  <si>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</si>
  <si>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</si>
  <si>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</si>
  <si>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</si>
  <si>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</si>
  <si>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</si>
  <si>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</si>
  <si>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</si>
  <si>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</si>
  <si>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</si>
  <si>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</si>
  <si>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</si>
  <si>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</si>
  <si>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</si>
  <si>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</si>
  <si>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</si>
  <si>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</si>
  <si>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</si>
  <si>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</si>
  <si>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</si>
  <si>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</si>
  <si>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</si>
  <si>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</si>
  <si>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</si>
  <si>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</si>
  <si>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</si>
  <si>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</si>
  <si>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</si>
  <si>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</si>
  <si>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</si>
  <si>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</si>
  <si>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</si>
  <si>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</si>
  <si>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</si>
  <si>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</si>
  <si>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</si>
  <si>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</si>
  <si>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</si>
  <si>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</si>
  <si>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</si>
  <si>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</si>
  <si>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</si>
  <si>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</si>
  <si>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</si>
  <si>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</si>
  <si>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</si>
  <si>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</si>
  <si>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</si>
  <si>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</si>
  <si>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</si>
  <si>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</si>
  <si>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</si>
  <si>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</si>
  <si>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</si>
  <si>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</si>
  <si>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</si>
  <si>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</si>
  <si>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</si>
  <si>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</si>
  <si>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</si>
  <si>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</si>
  <si>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</si>
  <si>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</si>
  <si>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</si>
  <si>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</si>
  <si>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</si>
  <si>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</si>
  <si>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</si>
  <si>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</si>
  <si>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</si>
  <si>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</si>
  <si>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</si>
  <si>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</si>
  <si>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</si>
  <si>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</si>
  <si>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</si>
  <si>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</si>
  <si>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</si>
  <si>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</si>
  <si>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</si>
  <si>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</si>
  <si>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</si>
  <si>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</si>
  <si>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</si>
  <si>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</si>
  <si>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</si>
  <si>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</si>
  <si>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</si>
  <si>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</si>
  <si>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</si>
  <si>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</si>
  <si>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</si>
  <si>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</si>
  <si>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</si>
  <si>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</si>
  <si>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</si>
  <si>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</si>
  <si>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</si>
  <si>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</si>
  <si>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</si>
  <si>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</si>
  <si>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</si>
  <si>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</si>
  <si>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</si>
  <si>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</si>
  <si>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</si>
  <si>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</si>
  <si>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</si>
  <si>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</si>
  <si>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</si>
  <si>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</si>
  <si>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</si>
  <si>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</si>
  <si>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</si>
  <si>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</si>
  <si>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</si>
  <si>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</si>
  <si>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</si>
  <si>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</si>
  <si>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</si>
  <si>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</si>
  <si>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</si>
  <si>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</si>
  <si>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</si>
  <si>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</si>
  <si>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</si>
  <si>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</si>
  <si>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</si>
  <si>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</si>
  <si>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</si>
  <si>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</si>
  <si>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</si>
  <si>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</si>
  <si>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</si>
  <si>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</si>
  <si>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</si>
  <si>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</si>
  <si>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</si>
  <si>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</si>
  <si>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</si>
  <si>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</si>
  <si>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</si>
  <si>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</si>
  <si>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</si>
  <si>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</si>
  <si>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</si>
  <si>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</si>
  <si>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</si>
  <si>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</si>
  <si>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</si>
  <si>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</si>
  <si>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</si>
  <si>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</si>
  <si>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</si>
  <si>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</si>
  <si>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</si>
  <si>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</si>
  <si>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</si>
  <si>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</si>
  <si>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</si>
  <si>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</si>
  <si>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</si>
  <si>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</si>
  <si>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</si>
  <si>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</si>
  <si>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</si>
  <si>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</si>
  <si>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</si>
  <si>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</si>
  <si>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</si>
  <si>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</si>
  <si>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</si>
  <si>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</si>
  <si>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</si>
  <si>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</si>
  <si>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</si>
  <si>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</si>
  <si>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</si>
  <si>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</si>
  <si>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</si>
  <si>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</si>
  <si>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</si>
  <si>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</si>
  <si>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</si>
  <si>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</si>
  <si>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</si>
  <si>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</si>
  <si>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</si>
  <si>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</si>
  <si>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</si>
  <si>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</si>
  <si>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</si>
  <si>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</si>
  <si>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</si>
  <si>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</si>
  <si>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</si>
  <si>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</si>
  <si>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</si>
  <si>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</si>
  <si>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</si>
  <si>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</si>
  <si>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</si>
  <si>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</si>
  <si>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</si>
  <si>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</si>
  <si>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</si>
  <si>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</si>
  <si>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</si>
  <si>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</si>
  <si>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</si>
  <si>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</si>
  <si>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</si>
  <si>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</si>
  <si>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</si>
  <si>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</si>
  <si>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</si>
  <si>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</si>
  <si>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</si>
  <si>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</si>
  <si>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</si>
  <si>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</si>
  <si>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</si>
  <si>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</si>
  <si>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</si>
  <si>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</si>
  <si>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</si>
  <si>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</si>
  <si>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</si>
  <si>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</si>
  <si>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</si>
  <si>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</si>
  <si>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</si>
  <si>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</si>
  <si>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</si>
  <si>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</si>
  <si>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</si>
  <si>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</si>
  <si>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</si>
  <si>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</si>
  <si>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</si>
  <si>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</si>
  <si>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</si>
  <si>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</si>
  <si>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</si>
  <si>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</si>
  <si>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</si>
  <si>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</si>
  <si>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</si>
  <si>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</si>
  <si>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</si>
  <si>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</si>
  <si>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</si>
  <si>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</si>
  <si>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</si>
  <si>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</si>
  <si>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</si>
  <si>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</si>
  <si>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</si>
  <si>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</si>
  <si>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</si>
  <si>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</si>
  <si>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</si>
  <si>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</si>
  <si>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</si>
  <si>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</si>
  <si>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</si>
  <si>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</si>
  <si>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</si>
  <si>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</si>
  <si>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</si>
  <si>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</si>
  <si>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</si>
  <si>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</si>
  <si>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</si>
  <si>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</si>
  <si>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</si>
  <si>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</si>
  <si>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</si>
  <si>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</si>
  <si>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</si>
  <si>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</si>
  <si>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</si>
  <si>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</si>
  <si>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</si>
  <si>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</si>
  <si>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</si>
  <si>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</si>
  <si>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</si>
  <si>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</si>
  <si>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</si>
  <si>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</si>
  <si>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</si>
  <si>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</si>
  <si>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</si>
  <si>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</si>
  <si>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</si>
  <si>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</si>
  <si>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</si>
  <si>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</si>
  <si>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</si>
  <si>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</si>
  <si>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2020-11-04T14:16:25.860Z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</si>
</sst>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31.10 saakka. Suurin arvo 306, joka 7.10. Uusimpien 4 päivien arvot tulevat viiveellä, joten ne jätetty pois 4.11.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Data!$A$2:$A$304</c:f>
              <c:numCache>
                <c:formatCode>General</c:formatCode>
                <c:ptCount val="3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106</c:v>
                </c:pt>
                <c:pt idx="266">
                  <c:v>117</c:v>
                </c:pt>
                <c:pt idx="267">
                  <c:v>97</c:v>
                </c:pt>
                <c:pt idx="268">
                  <c:v>127</c:v>
                </c:pt>
                <c:pt idx="269">
                  <c:v>74</c:v>
                </c:pt>
                <c:pt idx="270">
                  <c:v>71</c:v>
                </c:pt>
                <c:pt idx="271">
                  <c:v>122</c:v>
                </c:pt>
                <c:pt idx="272">
                  <c:v>135</c:v>
                </c:pt>
                <c:pt idx="273">
                  <c:v>165</c:v>
                </c:pt>
                <c:pt idx="274">
                  <c:v>188</c:v>
                </c:pt>
                <c:pt idx="275">
                  <c:v>190</c:v>
                </c:pt>
                <c:pt idx="276">
                  <c:v>170</c:v>
                </c:pt>
                <c:pt idx="277">
                  <c:v>147</c:v>
                </c:pt>
                <c:pt idx="278">
                  <c:v>290</c:v>
                </c:pt>
                <c:pt idx="279">
                  <c:v>302</c:v>
                </c:pt>
                <c:pt idx="280">
                  <c:v>306</c:v>
                </c:pt>
                <c:pt idx="281">
                  <c:v>260</c:v>
                </c:pt>
                <c:pt idx="282">
                  <c:v>226</c:v>
                </c:pt>
                <c:pt idx="283">
                  <c:v>109</c:v>
                </c:pt>
                <c:pt idx="284">
                  <c:v>130</c:v>
                </c:pt>
                <c:pt idx="285">
                  <c:v>254</c:v>
                </c:pt>
                <c:pt idx="286">
                  <c:v>197</c:v>
                </c:pt>
                <c:pt idx="287">
                  <c:v>200</c:v>
                </c:pt>
                <c:pt idx="288">
                  <c:v>191</c:v>
                </c:pt>
                <c:pt idx="289">
                  <c:v>193</c:v>
                </c:pt>
                <c:pt idx="290">
                  <c:v>100</c:v>
                </c:pt>
                <c:pt idx="291">
                  <c:v>127</c:v>
                </c:pt>
                <c:pt idx="292">
                  <c:v>244</c:v>
                </c:pt>
                <c:pt idx="293">
                  <c:v>162</c:v>
                </c:pt>
                <c:pt idx="294">
                  <c:v>189</c:v>
                </c:pt>
                <c:pt idx="295">
                  <c:v>212</c:v>
                </c:pt>
                <c:pt idx="296">
                  <c:v>192</c:v>
                </c:pt>
                <c:pt idx="297">
                  <c:v>108</c:v>
                </c:pt>
                <c:pt idx="298">
                  <c:v>123</c:v>
                </c:pt>
                <c:pt idx="299">
                  <c:v>254</c:v>
                </c:pt>
                <c:pt idx="300">
                  <c:v>229</c:v>
                </c:pt>
                <c:pt idx="301">
                  <c:v>241</c:v>
                </c:pt>
                <c:pt idx="302">
                  <c:v>234</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2071</c:v>
                </c:pt>
                <c:pt idx="1">
                  <c:v>2080</c:v>
                </c:pt>
                <c:pt idx="2">
                  <c:v>2088</c:v>
                </c:pt>
                <c:pt idx="3">
                  <c:v>2026</c:v>
                </c:pt>
                <c:pt idx="4">
                  <c:v>1841</c:v>
                </c:pt>
                <c:pt idx="5">
                  <c:v>1225</c:v>
                </c:pt>
                <c:pt idx="6">
                  <c:v>1236</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44111</c:v>
                </c:pt>
                <c:pt idx="1">
                  <c:v>44112</c:v>
                </c:pt>
                <c:pt idx="2">
                  <c:v>44113</c:v>
                </c:pt>
                <c:pt idx="3">
                  <c:v>44114</c:v>
                </c:pt>
                <c:pt idx="4">
                  <c:v>44115</c:v>
                </c:pt>
                <c:pt idx="5">
                  <c:v>44116</c:v>
                </c:pt>
                <c:pt idx="6">
                  <c:v>44117</c:v>
                </c:pt>
                <c:pt idx="7">
                  <c:v>44118</c:v>
                </c:pt>
                <c:pt idx="8">
                  <c:v>44119</c:v>
                </c:pt>
                <c:pt idx="9">
                  <c:v>44120</c:v>
                </c:pt>
                <c:pt idx="10">
                  <c:v>44121</c:v>
                </c:pt>
                <c:pt idx="11">
                  <c:v>44122</c:v>
                </c:pt>
                <c:pt idx="12">
                  <c:v>44123</c:v>
                </c:pt>
                <c:pt idx="13">
                  <c:v>44124</c:v>
                </c:pt>
                <c:pt idx="14">
                  <c:v>44125</c:v>
                </c:pt>
                <c:pt idx="15">
                  <c:v>44126</c:v>
                </c:pt>
                <c:pt idx="16">
                  <c:v>44127</c:v>
                </c:pt>
                <c:pt idx="17">
                  <c:v>44128</c:v>
                </c:pt>
                <c:pt idx="18">
                  <c:v>44129</c:v>
                </c:pt>
                <c:pt idx="19">
                  <c:v>44130</c:v>
                </c:pt>
                <c:pt idx="20">
                  <c:v>44131</c:v>
                </c:pt>
                <c:pt idx="21">
                  <c:v>44132</c:v>
                </c:pt>
                <c:pt idx="22">
                  <c:v>44133</c:v>
                </c:pt>
                <c:pt idx="23">
                  <c:v>44134</c:v>
                </c:pt>
                <c:pt idx="24">
                  <c:v>44135</c:v>
                </c:pt>
                <c:pt idx="25">
                  <c:v>44136</c:v>
                </c:pt>
                <c:pt idx="26">
                  <c:v>44137</c:v>
                </c:pt>
                <c:pt idx="27">
                  <c:v>44138</c:v>
                </c:pt>
              </c:numCache>
            </c:numRef>
          </c:cat>
          <c:val>
            <c:numRef>
              <c:f>Kuvaajat!$D$37:$D$64</c:f>
              <c:numCache>
                <c:formatCode>General</c:formatCode>
                <c:ptCount val="28"/>
                <c:pt idx="0">
                  <c:v>306</c:v>
                </c:pt>
                <c:pt idx="1">
                  <c:v>260</c:v>
                </c:pt>
                <c:pt idx="2">
                  <c:v>226</c:v>
                </c:pt>
                <c:pt idx="3">
                  <c:v>109</c:v>
                </c:pt>
                <c:pt idx="4">
                  <c:v>130</c:v>
                </c:pt>
                <c:pt idx="5">
                  <c:v>254</c:v>
                </c:pt>
                <c:pt idx="6">
                  <c:v>197</c:v>
                </c:pt>
                <c:pt idx="7">
                  <c:v>200</c:v>
                </c:pt>
                <c:pt idx="8">
                  <c:v>191</c:v>
                </c:pt>
                <c:pt idx="9">
                  <c:v>193</c:v>
                </c:pt>
                <c:pt idx="10">
                  <c:v>100</c:v>
                </c:pt>
                <c:pt idx="11">
                  <c:v>127</c:v>
                </c:pt>
                <c:pt idx="12">
                  <c:v>244</c:v>
                </c:pt>
                <c:pt idx="13">
                  <c:v>162</c:v>
                </c:pt>
                <c:pt idx="14">
                  <c:v>189</c:v>
                </c:pt>
                <c:pt idx="15">
                  <c:v>212</c:v>
                </c:pt>
                <c:pt idx="16">
                  <c:v>192</c:v>
                </c:pt>
                <c:pt idx="17">
                  <c:v>108</c:v>
                </c:pt>
                <c:pt idx="18">
                  <c:v>123</c:v>
                </c:pt>
                <c:pt idx="19">
                  <c:v>254</c:v>
                </c:pt>
                <c:pt idx="20">
                  <c:v>229</c:v>
                </c:pt>
                <c:pt idx="21">
                  <c:v>241</c:v>
                </c:pt>
                <c:pt idx="22">
                  <c:v>234</c:v>
                </c:pt>
                <c:pt idx="23">
                  <c:v>212</c:v>
                </c:pt>
                <c:pt idx="24">
                  <c:v>119</c:v>
                </c:pt>
                <c:pt idx="25">
                  <c:v>140</c:v>
                </c:pt>
                <c:pt idx="26">
                  <c:v>232</c:v>
                </c:pt>
                <c:pt idx="27">
                  <c:v>79</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N=16930._x000d_Uusimmat 4.11 lisäykset punaisella n=293.</c:v>
            </c:pt>
          </c:strCache>
        </c:strRef>
      </c:tx>
      <c:layout>
        <c:manualLayout>
          <c:xMode val="edge"/>
          <c:yMode val="edge"/>
          <c:x val="0.65203273159325326"/>
          <c:y val="1.63495686799621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44111</c:v>
                </c:pt>
                <c:pt idx="1">
                  <c:v>44112</c:v>
                </c:pt>
                <c:pt idx="2">
                  <c:v>44113</c:v>
                </c:pt>
                <c:pt idx="3">
                  <c:v>44114</c:v>
                </c:pt>
                <c:pt idx="4">
                  <c:v>44115</c:v>
                </c:pt>
                <c:pt idx="5">
                  <c:v>44116</c:v>
                </c:pt>
                <c:pt idx="6">
                  <c:v>44117</c:v>
                </c:pt>
                <c:pt idx="7">
                  <c:v>44118</c:v>
                </c:pt>
                <c:pt idx="8">
                  <c:v>44119</c:v>
                </c:pt>
                <c:pt idx="9">
                  <c:v>44120</c:v>
                </c:pt>
                <c:pt idx="10">
                  <c:v>44121</c:v>
                </c:pt>
                <c:pt idx="11">
                  <c:v>44122</c:v>
                </c:pt>
                <c:pt idx="12">
                  <c:v>44123</c:v>
                </c:pt>
                <c:pt idx="13">
                  <c:v>44124</c:v>
                </c:pt>
                <c:pt idx="14">
                  <c:v>44125</c:v>
                </c:pt>
                <c:pt idx="15">
                  <c:v>44126</c:v>
                </c:pt>
                <c:pt idx="16">
                  <c:v>44127</c:v>
                </c:pt>
                <c:pt idx="17">
                  <c:v>44128</c:v>
                </c:pt>
                <c:pt idx="18">
                  <c:v>44129</c:v>
                </c:pt>
                <c:pt idx="19">
                  <c:v>44130</c:v>
                </c:pt>
                <c:pt idx="20">
                  <c:v>44131</c:v>
                </c:pt>
                <c:pt idx="21">
                  <c:v>44132</c:v>
                </c:pt>
                <c:pt idx="22">
                  <c:v>44133</c:v>
                </c:pt>
                <c:pt idx="23">
                  <c:v>44134</c:v>
                </c:pt>
                <c:pt idx="24">
                  <c:v>44135</c:v>
                </c:pt>
                <c:pt idx="25">
                  <c:v>44136</c:v>
                </c:pt>
                <c:pt idx="26">
                  <c:v>44137</c:v>
                </c:pt>
                <c:pt idx="27">
                  <c:v>44138</c:v>
                </c:pt>
              </c:numCache>
            </c:numRef>
          </c:cat>
          <c:val>
            <c:numRef>
              <c:f>Kuvaajat!$D$37:$D$64</c:f>
              <c:numCache>
                <c:formatCode>General</c:formatCode>
                <c:ptCount val="28"/>
                <c:pt idx="0">
                  <c:v>306</c:v>
                </c:pt>
                <c:pt idx="1">
                  <c:v>260</c:v>
                </c:pt>
                <c:pt idx="2">
                  <c:v>226</c:v>
                </c:pt>
                <c:pt idx="3">
                  <c:v>109</c:v>
                </c:pt>
                <c:pt idx="4">
                  <c:v>130</c:v>
                </c:pt>
                <c:pt idx="5">
                  <c:v>254</c:v>
                </c:pt>
                <c:pt idx="6">
                  <c:v>197</c:v>
                </c:pt>
                <c:pt idx="7">
                  <c:v>200</c:v>
                </c:pt>
                <c:pt idx="8">
                  <c:v>191</c:v>
                </c:pt>
                <c:pt idx="9">
                  <c:v>193</c:v>
                </c:pt>
                <c:pt idx="10">
                  <c:v>100</c:v>
                </c:pt>
                <c:pt idx="11">
                  <c:v>127</c:v>
                </c:pt>
                <c:pt idx="12">
                  <c:v>244</c:v>
                </c:pt>
                <c:pt idx="13">
                  <c:v>162</c:v>
                </c:pt>
                <c:pt idx="14">
                  <c:v>189</c:v>
                </c:pt>
                <c:pt idx="15">
                  <c:v>212</c:v>
                </c:pt>
                <c:pt idx="16">
                  <c:v>192</c:v>
                </c:pt>
                <c:pt idx="17">
                  <c:v>108</c:v>
                </c:pt>
                <c:pt idx="18">
                  <c:v>123</c:v>
                </c:pt>
                <c:pt idx="19">
                  <c:v>254</c:v>
                </c:pt>
                <c:pt idx="20">
                  <c:v>229</c:v>
                </c:pt>
                <c:pt idx="21">
                  <c:v>241</c:v>
                </c:pt>
                <c:pt idx="22">
                  <c:v>234</c:v>
                </c:pt>
                <c:pt idx="23">
                  <c:v>212</c:v>
                </c:pt>
                <c:pt idx="24">
                  <c:v>119</c:v>
                </c:pt>
                <c:pt idx="25">
                  <c:v>140</c:v>
                </c:pt>
                <c:pt idx="26">
                  <c:v>232</c:v>
                </c:pt>
                <c:pt idx="27">
                  <c:v>79</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44111</c:v>
                </c:pt>
                <c:pt idx="1">
                  <c:v>44112</c:v>
                </c:pt>
                <c:pt idx="2">
                  <c:v>44113</c:v>
                </c:pt>
                <c:pt idx="3">
                  <c:v>44114</c:v>
                </c:pt>
                <c:pt idx="4">
                  <c:v>44115</c:v>
                </c:pt>
                <c:pt idx="5">
                  <c:v>44116</c:v>
                </c:pt>
                <c:pt idx="6">
                  <c:v>44117</c:v>
                </c:pt>
                <c:pt idx="7">
                  <c:v>44118</c:v>
                </c:pt>
                <c:pt idx="8">
                  <c:v>44119</c:v>
                </c:pt>
                <c:pt idx="9">
                  <c:v>44120</c:v>
                </c:pt>
                <c:pt idx="10">
                  <c:v>44121</c:v>
                </c:pt>
                <c:pt idx="11">
                  <c:v>44122</c:v>
                </c:pt>
                <c:pt idx="12">
                  <c:v>44123</c:v>
                </c:pt>
                <c:pt idx="13">
                  <c:v>44124</c:v>
                </c:pt>
                <c:pt idx="14">
                  <c:v>44125</c:v>
                </c:pt>
                <c:pt idx="15">
                  <c:v>44126</c:v>
                </c:pt>
                <c:pt idx="16">
                  <c:v>44127</c:v>
                </c:pt>
                <c:pt idx="17">
                  <c:v>44128</c:v>
                </c:pt>
                <c:pt idx="18">
                  <c:v>44129</c:v>
                </c:pt>
                <c:pt idx="19">
                  <c:v>44130</c:v>
                </c:pt>
                <c:pt idx="20">
                  <c:v>44131</c:v>
                </c:pt>
                <c:pt idx="21">
                  <c:v>44132</c:v>
                </c:pt>
                <c:pt idx="22">
                  <c:v>44133</c:v>
                </c:pt>
                <c:pt idx="23">
                  <c:v>44134</c:v>
                </c:pt>
                <c:pt idx="24">
                  <c:v>44135</c:v>
                </c:pt>
                <c:pt idx="25">
                  <c:v>44136</c:v>
                </c:pt>
                <c:pt idx="26">
                  <c:v>44137</c:v>
                </c:pt>
                <c:pt idx="27">
                  <c:v>44138</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1</c:v>
                </c:pt>
                <c:pt idx="9">
                  <c:v>1</c:v>
                </c:pt>
                <c:pt idx="10">
                  <c:v>0</c:v>
                </c:pt>
                <c:pt idx="11">
                  <c:v>0</c:v>
                </c:pt>
                <c:pt idx="12">
                  <c:v>0</c:v>
                </c:pt>
                <c:pt idx="13">
                  <c:v>0</c:v>
                </c:pt>
                <c:pt idx="14">
                  <c:v>0</c:v>
                </c:pt>
                <c:pt idx="15">
                  <c:v>0</c:v>
                </c:pt>
                <c:pt idx="16">
                  <c:v>0</c:v>
                </c:pt>
                <c:pt idx="17">
                  <c:v>1</c:v>
                </c:pt>
                <c:pt idx="18">
                  <c:v>0</c:v>
                </c:pt>
                <c:pt idx="19">
                  <c:v>0</c:v>
                </c:pt>
                <c:pt idx="20">
                  <c:v>0</c:v>
                </c:pt>
                <c:pt idx="21">
                  <c:v>0</c:v>
                </c:pt>
                <c:pt idx="22">
                  <c:v>0</c:v>
                </c:pt>
                <c:pt idx="23">
                  <c:v>3</c:v>
                </c:pt>
                <c:pt idx="24">
                  <c:v>3</c:v>
                </c:pt>
                <c:pt idx="25">
                  <c:v>19</c:v>
                </c:pt>
                <c:pt idx="26">
                  <c:v>183</c:v>
                </c:pt>
                <c:pt idx="27">
                  <c:v>79</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8" t="s">
        <v>10</v>
      </c>
      <c r="B2" s="19"/>
      <c r="C2" s="19"/>
      <c r="D2" s="19"/>
      <c r="E2" s="19"/>
      <c r="F2" s="19"/>
      <c r="G2" s="19"/>
    </row>
    <row r="3" spans="1:7">
      <c r="A3" s="19"/>
      <c r="B3" s="19"/>
      <c r="C3" s="19"/>
      <c r="D3" s="19"/>
      <c r="E3" s="19"/>
      <c r="F3" s="19"/>
      <c r="G3" s="19"/>
    </row>
    <row r="4" spans="1:7">
      <c r="A4" s="19"/>
      <c r="B4" s="19"/>
      <c r="C4" s="19"/>
      <c r="D4" s="19"/>
      <c r="E4" s="19"/>
      <c r="F4" s="19"/>
      <c r="G4" s="19"/>
    </row>
    <row r="5" spans="1:7">
      <c r="A5" s="19"/>
      <c r="B5" s="19"/>
      <c r="C5" s="19"/>
      <c r="D5" s="19"/>
      <c r="E5" s="19"/>
      <c r="F5" s="19"/>
      <c r="G5" s="19"/>
    </row>
    <row r="6" spans="1:7">
      <c r="A6" s="19"/>
      <c r="B6" s="19"/>
      <c r="C6" s="19"/>
      <c r="D6" s="19"/>
      <c r="E6" s="19"/>
      <c r="F6" s="19"/>
      <c r="G6" s="19"/>
    </row>
    <row r="7" spans="1:7">
      <c r="A7" s="19"/>
      <c r="B7" s="19"/>
      <c r="C7" s="19"/>
      <c r="D7" s="19"/>
      <c r="E7" s="19"/>
      <c r="F7" s="19"/>
      <c r="G7" s="1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10"/>
  <sheetViews>
    <sheetView workbookViewId="0">
      <pane ySplit="1" topLeftCell="A2" activePane="bottomLeft" state="frozen"/>
      <selection pane="bottomLeft" activeCell="L2" sqref="L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16930</v>
      </c>
      <c r="I1" s="8">
        <v>44139.683692129627</v>
      </c>
      <c r="J1" s="7">
        <f>MAX(Id)</f>
        <v>306</v>
      </c>
      <c r="K1" s="15">
        <f>VLOOKUP(J1,A:F,6,FALSE)</f>
        <v>44111.625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31.10 saakka. Suurin arvo 306, joka 7.10. Uusimpien 4 päivien arvot tulevat viiveellä, joten ne jätetty pois 4.11.</v>
      </c>
      <c r="M1" s="7">
        <f>COUNTA(Id)-2-5</f>
        <v>303</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2071</v>
      </c>
    </row>
    <row r="31" spans="1:11">
      <c r="A31">
        <v>0</v>
      </c>
      <c r="B31" t="s">
        <v>263</v>
      </c>
      <c r="C31" t="s">
        <v>8</v>
      </c>
      <c r="E31" s="3">
        <f t="shared" si="0"/>
        <v>4</v>
      </c>
      <c r="F31" s="5">
        <v>43860.625</v>
      </c>
      <c r="I31">
        <v>2</v>
      </c>
      <c r="J31" t="s">
        <v>303</v>
      </c>
      <c r="K31">
        <f t="shared" si="1"/>
        <v>2080</v>
      </c>
    </row>
    <row r="32" spans="1:11">
      <c r="A32">
        <v>0</v>
      </c>
      <c r="B32" t="s">
        <v>264</v>
      </c>
      <c r="C32" t="s">
        <v>8</v>
      </c>
      <c r="E32" s="3">
        <f t="shared" si="0"/>
        <v>5</v>
      </c>
      <c r="F32" s="5">
        <v>43861.625</v>
      </c>
      <c r="I32">
        <v>3</v>
      </c>
      <c r="J32" t="s">
        <v>304</v>
      </c>
      <c r="K32">
        <f t="shared" si="1"/>
        <v>2088</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1841</v>
      </c>
    </row>
    <row r="35" spans="1:11">
      <c r="A35">
        <v>0</v>
      </c>
      <c r="B35" t="s">
        <v>267</v>
      </c>
      <c r="C35" t="s">
        <v>8</v>
      </c>
      <c r="E35" s="3">
        <f t="shared" si="0"/>
        <v>1</v>
      </c>
      <c r="F35" s="5">
        <v>43864.625</v>
      </c>
      <c r="I35">
        <v>6</v>
      </c>
      <c r="J35" t="s">
        <v>307</v>
      </c>
      <c r="K35">
        <f t="shared" si="1"/>
        <v>1225</v>
      </c>
    </row>
    <row r="36" spans="1:11">
      <c r="A36">
        <v>0</v>
      </c>
      <c r="B36" t="s">
        <v>268</v>
      </c>
      <c r="C36" t="s">
        <v>8</v>
      </c>
      <c r="E36" s="3">
        <f t="shared" si="0"/>
        <v>2</v>
      </c>
      <c r="F36" s="5">
        <v>43865.625</v>
      </c>
      <c r="I36">
        <v>7</v>
      </c>
      <c r="J36" t="s">
        <v>308</v>
      </c>
      <c r="K36">
        <f t="shared" si="1"/>
        <v>1236</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74</v>
      </c>
      <c r="B265" t="s">
        <v>218</v>
      </c>
      <c r="C265" t="s">
        <v>8</v>
      </c>
      <c r="E265" s="3">
        <f t="shared" si="5"/>
        <v>7</v>
      </c>
      <c r="F265" s="5">
        <v>44094.625</v>
      </c>
    </row>
    <row r="266" spans="1:6">
      <c r="A266">
        <v>120</v>
      </c>
      <c r="B266" t="s">
        <v>219</v>
      </c>
      <c r="C266" t="s">
        <v>8</v>
      </c>
      <c r="E266" s="3">
        <f t="shared" si="5"/>
        <v>1</v>
      </c>
      <c r="F266" s="5">
        <v>44095.625</v>
      </c>
    </row>
    <row r="267" spans="1:6">
      <c r="A267">
        <v>106</v>
      </c>
      <c r="B267" t="s">
        <v>220</v>
      </c>
      <c r="C267" t="s">
        <v>8</v>
      </c>
      <c r="E267" s="3">
        <f t="shared" si="5"/>
        <v>2</v>
      </c>
      <c r="F267" s="5">
        <v>44096.625</v>
      </c>
    </row>
    <row r="268" spans="1:6">
      <c r="A268">
        <v>117</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74</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135</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190</v>
      </c>
      <c r="B277" t="s">
        <v>232</v>
      </c>
      <c r="C277" t="s">
        <v>8</v>
      </c>
      <c r="E277" s="3">
        <f t="shared" si="5"/>
        <v>5</v>
      </c>
      <c r="F277" s="5">
        <v>44106.625</v>
      </c>
    </row>
    <row r="278" spans="1:6">
      <c r="A278">
        <v>170</v>
      </c>
      <c r="B278" t="s">
        <v>234</v>
      </c>
      <c r="C278" t="s">
        <v>8</v>
      </c>
      <c r="E278" s="3">
        <f t="shared" si="5"/>
        <v>6</v>
      </c>
      <c r="F278" s="5">
        <v>44107.625</v>
      </c>
    </row>
    <row r="279" spans="1:6">
      <c r="A279">
        <v>147</v>
      </c>
      <c r="B279" t="s">
        <v>293</v>
      </c>
      <c r="C279" t="s">
        <v>8</v>
      </c>
      <c r="E279" s="3">
        <f t="shared" si="5"/>
        <v>7</v>
      </c>
      <c r="F279" s="5">
        <v>44108.625</v>
      </c>
    </row>
    <row r="280" spans="1:6">
      <c r="A280">
        <v>290</v>
      </c>
      <c r="B280" t="s">
        <v>294</v>
      </c>
      <c r="C280" t="s">
        <v>8</v>
      </c>
      <c r="E280" s="3">
        <f t="shared" si="5"/>
        <v>1</v>
      </c>
      <c r="F280" s="5">
        <v>44109.625</v>
      </c>
    </row>
    <row r="281" spans="1:6">
      <c r="A281">
        <v>302</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254</v>
      </c>
      <c r="B287" t="s">
        <v>315</v>
      </c>
      <c r="C287" t="s">
        <v>8</v>
      </c>
      <c r="F287" s="5">
        <v>44116.625</v>
      </c>
    </row>
    <row r="288" spans="1:6">
      <c r="A288">
        <v>197</v>
      </c>
      <c r="B288" t="s">
        <v>316</v>
      </c>
      <c r="C288" t="s">
        <v>8</v>
      </c>
      <c r="F288" s="5">
        <v>44117.625</v>
      </c>
    </row>
    <row r="289" spans="1:6">
      <c r="A289">
        <v>200</v>
      </c>
      <c r="B289" t="s">
        <v>317</v>
      </c>
      <c r="C289" t="s">
        <v>8</v>
      </c>
      <c r="F289" s="5">
        <v>44118.625</v>
      </c>
    </row>
    <row r="290" spans="1:6">
      <c r="A290">
        <v>191</v>
      </c>
      <c r="B290" t="s">
        <v>318</v>
      </c>
      <c r="C290" t="s">
        <v>8</v>
      </c>
      <c r="F290" s="5">
        <v>44119.625</v>
      </c>
    </row>
    <row r="291" spans="1:6">
      <c r="A291">
        <v>193</v>
      </c>
      <c r="B291" t="s">
        <v>319</v>
      </c>
      <c r="C291" t="s">
        <v>8</v>
      </c>
      <c r="F291" s="5">
        <v>44120.625</v>
      </c>
    </row>
    <row r="292" spans="1:6">
      <c r="A292">
        <v>100</v>
      </c>
      <c r="B292" t="s">
        <v>320</v>
      </c>
      <c r="C292" t="s">
        <v>8</v>
      </c>
      <c r="F292" s="5">
        <v>44121.625</v>
      </c>
    </row>
    <row r="293" spans="1:6">
      <c r="A293">
        <v>127</v>
      </c>
      <c r="B293" t="s">
        <v>321</v>
      </c>
      <c r="C293" t="s">
        <v>8</v>
      </c>
      <c r="F293" s="5">
        <v>44122.625</v>
      </c>
    </row>
    <row r="294" spans="1:6">
      <c r="A294">
        <v>244</v>
      </c>
      <c r="B294" t="s">
        <v>322</v>
      </c>
      <c r="C294" t="s">
        <v>8</v>
      </c>
      <c r="F294" s="5">
        <v>44123.625</v>
      </c>
    </row>
    <row r="295" spans="1:6">
      <c r="A295">
        <v>162</v>
      </c>
      <c r="B295" t="s">
        <v>323</v>
      </c>
      <c r="C295" t="s">
        <v>8</v>
      </c>
      <c r="F295" s="5">
        <v>44124.625</v>
      </c>
    </row>
    <row r="296" spans="1:6">
      <c r="A296">
        <v>189</v>
      </c>
      <c r="B296" t="s">
        <v>324</v>
      </c>
      <c r="C296" t="s">
        <v>8</v>
      </c>
      <c r="F296" s="5">
        <v>44125.625</v>
      </c>
    </row>
    <row r="297" spans="1:6">
      <c r="A297">
        <v>212</v>
      </c>
      <c r="B297" t="s">
        <v>325</v>
      </c>
      <c r="C297" t="s">
        <v>8</v>
      </c>
      <c r="F297" s="5">
        <v>44126.625</v>
      </c>
    </row>
    <row r="298" spans="1:6">
      <c r="A298">
        <v>192</v>
      </c>
      <c r="B298" t="s">
        <v>326</v>
      </c>
      <c r="C298" t="s">
        <v>8</v>
      </c>
      <c r="F298" s="5">
        <v>44127.625</v>
      </c>
    </row>
    <row r="299" spans="1:6">
      <c r="A299">
        <v>108</v>
      </c>
      <c r="B299" t="s">
        <v>327</v>
      </c>
      <c r="C299" t="s">
        <v>8</v>
      </c>
      <c r="F299" s="5">
        <v>44128.625</v>
      </c>
    </row>
    <row r="300" spans="1:6">
      <c r="A300">
        <v>123</v>
      </c>
      <c r="B300" t="s">
        <v>328</v>
      </c>
      <c r="C300" t="s">
        <v>8</v>
      </c>
      <c r="F300" s="5">
        <v>44129.625</v>
      </c>
    </row>
    <row r="301" spans="1:6">
      <c r="A301">
        <v>254</v>
      </c>
      <c r="B301" t="s">
        <v>330</v>
      </c>
      <c r="C301" t="s">
        <v>8</v>
      </c>
      <c r="F301" s="5">
        <v>44130.625</v>
      </c>
    </row>
    <row r="302" spans="1:6">
      <c r="A302">
        <v>229</v>
      </c>
      <c r="B302" t="s">
        <v>331</v>
      </c>
      <c r="C302" t="s">
        <v>8</v>
      </c>
      <c r="F302" s="5">
        <v>44131.625</v>
      </c>
    </row>
    <row r="303" spans="1:6">
      <c r="A303">
        <v>241</v>
      </c>
      <c r="B303" t="s">
        <v>332</v>
      </c>
      <c r="C303" t="s">
        <v>8</v>
      </c>
      <c r="F303" s="5">
        <v>44132.625</v>
      </c>
    </row>
    <row r="304" spans="1:6">
      <c r="A304">
        <v>234</v>
      </c>
      <c r="B304" t="s">
        <v>333</v>
      </c>
      <c r="C304" t="s">
        <v>8</v>
      </c>
      <c r="F304" s="5">
        <v>44133.625</v>
      </c>
    </row>
    <row r="305" spans="1:6">
      <c r="A305">
        <v>212</v>
      </c>
      <c r="B305" t="s">
        <v>334</v>
      </c>
      <c r="C305" t="s">
        <v>8</v>
      </c>
      <c r="F305" s="5">
        <v>44134.625</v>
      </c>
    </row>
    <row r="306" spans="1:6">
      <c r="A306">
        <v>119</v>
      </c>
      <c r="B306" t="s">
        <v>335</v>
      </c>
      <c r="C306" t="s">
        <v>8</v>
      </c>
      <c r="F306" s="5">
        <v>44135.625</v>
      </c>
    </row>
    <row r="307" spans="1:6">
      <c r="A307">
        <v>140</v>
      </c>
      <c r="B307" t="s">
        <v>336</v>
      </c>
      <c r="C307" t="s">
        <v>8</v>
      </c>
      <c r="F307" s="5">
        <v>44136.625</v>
      </c>
    </row>
    <row r="308" spans="1:6">
      <c r="A308">
        <v>232</v>
      </c>
      <c r="B308" t="s">
        <v>337</v>
      </c>
      <c r="C308" t="s">
        <v>8</v>
      </c>
      <c r="F308" s="5">
        <v>44137.625</v>
      </c>
    </row>
    <row r="309" spans="1:6">
      <c r="A309">
        <v>79</v>
      </c>
      <c r="B309" t="s">
        <v>338</v>
      </c>
      <c r="C309" t="s">
        <v>8</v>
      </c>
      <c r="F309" s="5">
        <v>44138.625</v>
      </c>
    </row>
    <row r="310" spans="1:6">
      <c r="A310">
        <v>1</v>
      </c>
      <c r="B310" t="s">
        <v>339</v>
      </c>
      <c r="C310" t="s">
        <v>8</v>
      </c>
      <c r="F310" s="5">
        <v>44139.594733796293</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CR67"/>
  <sheetViews>
    <sheetView tabSelected="1" zoomScale="85" zoomScaleNormal="85" workbookViewId="0">
      <selection activeCell="J38" sqref="J38"/>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2)</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4.11 n=293 (joista vanhoja yli 28 päivän takaisia kirjauksia 2). Yhteensä N=16929. Edelliset 7 päivää 1257 (päivittyy), 1307 (muutos 7 %), 1217 (-18 %) ja 1482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4.11 n=293 (joista vanhoja yli 28 päivän takaisia kirjauksia 2). Yhteensä N=16929. Melko pysyvät 7 päivää 25.10-31.10 yhteensä 1412 (muutos 14 %), aiemmat 7 päivää 1234 (-2 %) ja 1265 https://github.com/jussivirkkala/excel/tree/master/hs-koronavirus-avoindata</v>
      </c>
      <c r="B32" s="4"/>
    </row>
    <row r="33" spans="1:96">
      <c r="B33" s="4"/>
    </row>
    <row r="34" spans="1:96">
      <c r="A34" t="str">
        <f ca="1">"Kirjattuja COVID-19 tapauksia N="&amp;C65&amp;"."&amp;CHAR(13)&amp;"Uusimmat "&amp;TEXT(MAX(M:M),"p.kk")&amp;" lisäykset punaisella n="&amp;L65&amp;"."</f>
        <v>Kirjattuja COVID-19 tapauksia N=16930._x000D_Uusimmat 4.11 lisäykset punaisella n=293.</v>
      </c>
      <c r="B34" s="4"/>
    </row>
    <row r="35" spans="1:96">
      <c r="B35" s="4" t="s">
        <v>5</v>
      </c>
      <c r="C35" t="s">
        <v>0</v>
      </c>
      <c r="D35" t="s">
        <v>6</v>
      </c>
      <c r="E35">
        <f ca="1">SUM(E37:E65)</f>
        <v>291</v>
      </c>
      <c r="F35" t="s">
        <v>228</v>
      </c>
      <c r="M35" s="16" t="s">
        <v>312</v>
      </c>
      <c r="P35" s="16" t="s">
        <v>313</v>
      </c>
      <c r="S35" s="16" t="s">
        <v>314</v>
      </c>
    </row>
    <row r="36" spans="1:96">
      <c r="A36" t="str">
        <f ca="1">IF(WEEKDAY(B36,2)=1,"Ma","")</f>
        <v/>
      </c>
      <c r="B36" s="4">
        <f ca="1">B37-1</f>
        <v>44110</v>
      </c>
      <c r="C36" s="11">
        <f t="shared" ref="C36:C65" ca="1" si="0">SUMIF(aika,"&lt;"&amp;(B36+1),Id)</f>
        <v>11666</v>
      </c>
    </row>
    <row r="37" spans="1:96" s="10" customFormat="1">
      <c r="A37" t="str">
        <f t="shared" ref="A37:A60" ca="1" si="1">IF(WEEKDAY(B37,2)=1,"Ma","")</f>
        <v/>
      </c>
      <c r="B37" s="9">
        <f t="shared" ref="B37:B62" ca="1" si="2">B38-1</f>
        <v>44111</v>
      </c>
      <c r="C37" s="10">
        <f t="shared" ca="1" si="0"/>
        <v>11972</v>
      </c>
      <c r="D37" s="10">
        <f t="shared" ref="D37" ca="1" si="3">C37-C36</f>
        <v>306</v>
      </c>
      <c r="E37" s="10">
        <f t="shared" ref="E37:E64" ca="1" si="4">_xlfn.IFNA(D37-F37,"")</f>
        <v>0</v>
      </c>
      <c r="F37" s="10">
        <f ca="1">VLOOKUP(B37,Previous,3,FALSE)</f>
        <v>306</v>
      </c>
      <c r="G37" s="10">
        <f ca="1">SUM(D37:D43)</f>
        <v>1482</v>
      </c>
      <c r="I37" s="10">
        <f ca="1">SUM(D37:D50)</f>
        <v>2699</v>
      </c>
      <c r="K37" s="14"/>
      <c r="M37" s="17">
        <v>44111</v>
      </c>
      <c r="N37" s="10">
        <v>11970</v>
      </c>
      <c r="O37" s="10">
        <v>306</v>
      </c>
      <c r="P37" s="17">
        <v>44111</v>
      </c>
      <c r="Q37" s="10">
        <v>11970</v>
      </c>
      <c r="R37" s="10">
        <v>306</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c r="CP37" s="10">
        <v>44111</v>
      </c>
      <c r="CQ37" s="10">
        <v>11970</v>
      </c>
      <c r="CR37" s="10">
        <v>306</v>
      </c>
    </row>
    <row r="38" spans="1:96">
      <c r="A38" t="str">
        <f t="shared" ca="1" si="1"/>
        <v/>
      </c>
      <c r="B38" s="4">
        <f t="shared" ca="1" si="2"/>
        <v>44112</v>
      </c>
      <c r="C38" s="11">
        <f t="shared" ca="1" si="0"/>
        <v>12232</v>
      </c>
      <c r="D38">
        <f t="shared" ref="D38" ca="1" si="5">C38-C37</f>
        <v>260</v>
      </c>
      <c r="E38" s="11">
        <f t="shared" ca="1" si="4"/>
        <v>0</v>
      </c>
      <c r="F38" s="11">
        <f t="shared" ref="F38:F65" ca="1" si="6">VLOOKUP(B38,Previous,3,FALSE)</f>
        <v>260</v>
      </c>
      <c r="K38" s="3"/>
      <c r="M38" s="16">
        <v>44112</v>
      </c>
      <c r="N38">
        <v>12230</v>
      </c>
      <c r="O38">
        <v>260</v>
      </c>
      <c r="P38" s="16">
        <v>44112</v>
      </c>
      <c r="Q38">
        <v>12230</v>
      </c>
      <c r="R38">
        <v>260</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c r="CP38">
        <v>44112</v>
      </c>
      <c r="CQ38">
        <v>12230</v>
      </c>
      <c r="CR38">
        <v>260</v>
      </c>
    </row>
    <row r="39" spans="1:96">
      <c r="A39" t="str">
        <f t="shared" ca="1" si="1"/>
        <v/>
      </c>
      <c r="B39" s="4">
        <f t="shared" ca="1" si="2"/>
        <v>44113</v>
      </c>
      <c r="C39" s="11">
        <f t="shared" ca="1" si="0"/>
        <v>12458</v>
      </c>
      <c r="D39">
        <f t="shared" ref="D39" ca="1" si="7">C39-C38</f>
        <v>226</v>
      </c>
      <c r="E39" s="11">
        <f t="shared" ca="1" si="4"/>
        <v>0</v>
      </c>
      <c r="F39" s="11">
        <f t="shared" ca="1" si="6"/>
        <v>226</v>
      </c>
      <c r="K39" s="3"/>
      <c r="M39" s="16">
        <v>44113</v>
      </c>
      <c r="N39">
        <v>12456</v>
      </c>
      <c r="O39">
        <v>226</v>
      </c>
      <c r="P39" s="16">
        <v>44113</v>
      </c>
      <c r="Q39">
        <v>12456</v>
      </c>
      <c r="R39">
        <v>226</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c r="CP39">
        <v>44113</v>
      </c>
      <c r="CQ39">
        <v>12456</v>
      </c>
      <c r="CR39">
        <v>226</v>
      </c>
    </row>
    <row r="40" spans="1:96">
      <c r="A40" t="str">
        <f t="shared" ca="1" si="1"/>
        <v/>
      </c>
      <c r="B40" s="4">
        <f t="shared" ca="1" si="2"/>
        <v>44114</v>
      </c>
      <c r="C40" s="11">
        <f t="shared" ca="1" si="0"/>
        <v>12567</v>
      </c>
      <c r="D40">
        <f t="shared" ref="D40" ca="1" si="8">C40-C39</f>
        <v>109</v>
      </c>
      <c r="E40" s="11">
        <f t="shared" ca="1" si="4"/>
        <v>0</v>
      </c>
      <c r="F40" s="11">
        <f t="shared" ca="1" si="6"/>
        <v>109</v>
      </c>
      <c r="J40" s="10">
        <f ca="1">SUM(D41:D47)</f>
        <v>1265</v>
      </c>
      <c r="K40" s="3"/>
      <c r="M40" s="16">
        <v>44114</v>
      </c>
      <c r="N40">
        <v>12565</v>
      </c>
      <c r="O40">
        <v>109</v>
      </c>
      <c r="P40" s="16">
        <v>44114</v>
      </c>
      <c r="Q40">
        <v>12565</v>
      </c>
      <c r="R40">
        <v>109</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c r="CP40">
        <v>44114</v>
      </c>
      <c r="CQ40">
        <v>12565</v>
      </c>
      <c r="CR40">
        <v>109</v>
      </c>
    </row>
    <row r="41" spans="1:96">
      <c r="A41" t="str">
        <f t="shared" ca="1" si="1"/>
        <v/>
      </c>
      <c r="B41" s="4">
        <f t="shared" ca="1" si="2"/>
        <v>44115</v>
      </c>
      <c r="C41" s="11">
        <f t="shared" ca="1" si="0"/>
        <v>12697</v>
      </c>
      <c r="D41">
        <f t="shared" ref="D41" ca="1" si="9">C41-C40</f>
        <v>130</v>
      </c>
      <c r="E41" s="11">
        <f t="shared" ca="1" si="4"/>
        <v>0</v>
      </c>
      <c r="F41" s="11">
        <f t="shared" ca="1" si="6"/>
        <v>130</v>
      </c>
      <c r="K41" s="3"/>
      <c r="M41" s="16">
        <v>44115</v>
      </c>
      <c r="N41">
        <v>12695</v>
      </c>
      <c r="O41">
        <v>130</v>
      </c>
      <c r="P41" s="16">
        <v>44115</v>
      </c>
      <c r="Q41">
        <v>12695</v>
      </c>
      <c r="R41">
        <v>130</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c r="CP41">
        <v>44115</v>
      </c>
      <c r="CQ41">
        <v>12695</v>
      </c>
      <c r="CR41">
        <v>130</v>
      </c>
    </row>
    <row r="42" spans="1:96">
      <c r="A42" t="str">
        <f t="shared" ca="1" si="1"/>
        <v>Ma</v>
      </c>
      <c r="B42" s="4">
        <f t="shared" ca="1" si="2"/>
        <v>44116</v>
      </c>
      <c r="C42" s="11">
        <f t="shared" ca="1" si="0"/>
        <v>12951</v>
      </c>
      <c r="D42">
        <f t="shared" ref="D42" ca="1" si="10">C42-C41</f>
        <v>254</v>
      </c>
      <c r="E42" s="11">
        <f t="shared" ca="1" si="4"/>
        <v>0</v>
      </c>
      <c r="F42" s="11">
        <f t="shared" ca="1" si="6"/>
        <v>254</v>
      </c>
      <c r="K42" s="3"/>
      <c r="M42" s="16">
        <v>44116</v>
      </c>
      <c r="N42">
        <v>12949</v>
      </c>
      <c r="O42">
        <v>254</v>
      </c>
      <c r="P42" s="16">
        <v>44116</v>
      </c>
      <c r="Q42">
        <v>12949</v>
      </c>
      <c r="R42">
        <v>254</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c r="CP42">
        <v>44116</v>
      </c>
      <c r="CQ42">
        <v>12949</v>
      </c>
      <c r="CR42">
        <v>254</v>
      </c>
    </row>
    <row r="43" spans="1:96">
      <c r="A43" t="str">
        <f t="shared" ca="1" si="1"/>
        <v/>
      </c>
      <c r="B43" s="4">
        <f t="shared" ca="1" si="2"/>
        <v>44117</v>
      </c>
      <c r="C43" s="11">
        <f t="shared" ca="1" si="0"/>
        <v>13148</v>
      </c>
      <c r="D43">
        <f t="shared" ref="D43" ca="1" si="11">C43-C42</f>
        <v>197</v>
      </c>
      <c r="E43" s="11">
        <f t="shared" ca="1" si="4"/>
        <v>0</v>
      </c>
      <c r="F43" s="11">
        <f t="shared" ca="1" si="6"/>
        <v>197</v>
      </c>
      <c r="G43" s="10"/>
      <c r="K43" s="3"/>
      <c r="M43" s="16">
        <v>44117</v>
      </c>
      <c r="N43">
        <v>13146</v>
      </c>
      <c r="O43">
        <v>197</v>
      </c>
      <c r="P43" s="16">
        <v>44117</v>
      </c>
      <c r="Q43">
        <v>13146</v>
      </c>
      <c r="R43">
        <v>197</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c r="CP43">
        <v>44117</v>
      </c>
      <c r="CQ43">
        <v>13146</v>
      </c>
      <c r="CR43">
        <v>197</v>
      </c>
    </row>
    <row r="44" spans="1:96" s="10" customFormat="1">
      <c r="A44" t="str">
        <f t="shared" ca="1" si="1"/>
        <v/>
      </c>
      <c r="B44" s="9">
        <f t="shared" ca="1" si="2"/>
        <v>44118</v>
      </c>
      <c r="C44" s="10">
        <f t="shared" ca="1" si="0"/>
        <v>13348</v>
      </c>
      <c r="D44" s="10">
        <f t="shared" ref="D44" ca="1" si="12">C44-C43</f>
        <v>200</v>
      </c>
      <c r="E44" s="10">
        <f t="shared" ca="1" si="4"/>
        <v>0</v>
      </c>
      <c r="F44" s="10">
        <f t="shared" ca="1" si="6"/>
        <v>200</v>
      </c>
      <c r="G44" s="10">
        <f ca="1">SUM(D44:D50)</f>
        <v>1217</v>
      </c>
      <c r="H44" s="10" t="str">
        <f ca="1">TEXT(G44/G37-1,"0 %")</f>
        <v>-18 %</v>
      </c>
      <c r="I44" s="10">
        <f ca="1">SUM(D44:D57)</f>
        <v>2524</v>
      </c>
      <c r="K44" s="14"/>
      <c r="L44"/>
      <c r="M44" s="17">
        <v>44118</v>
      </c>
      <c r="N44" s="10">
        <v>13346</v>
      </c>
      <c r="O44" s="10">
        <v>200</v>
      </c>
      <c r="P44" s="17">
        <v>44118</v>
      </c>
      <c r="Q44" s="10">
        <v>13346</v>
      </c>
      <c r="R44" s="10">
        <v>200</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c r="CP44" s="10">
        <v>44118</v>
      </c>
      <c r="CQ44" s="10">
        <v>13346</v>
      </c>
      <c r="CR44" s="10">
        <v>200</v>
      </c>
    </row>
    <row r="45" spans="1:96">
      <c r="A45" t="str">
        <f t="shared" ca="1" si="1"/>
        <v/>
      </c>
      <c r="B45" s="4">
        <f t="shared" ca="1" si="2"/>
        <v>44119</v>
      </c>
      <c r="C45" s="11">
        <f t="shared" ca="1" si="0"/>
        <v>13539</v>
      </c>
      <c r="D45">
        <f t="shared" ref="D45" ca="1" si="13">C45-C44</f>
        <v>191</v>
      </c>
      <c r="E45" s="11">
        <f t="shared" ca="1" si="4"/>
        <v>1</v>
      </c>
      <c r="F45" s="11">
        <f t="shared" ca="1" si="6"/>
        <v>190</v>
      </c>
      <c r="K45" s="3"/>
      <c r="M45" s="16">
        <v>44119</v>
      </c>
      <c r="N45">
        <v>13536</v>
      </c>
      <c r="O45">
        <v>190</v>
      </c>
      <c r="P45" s="16">
        <v>44119</v>
      </c>
      <c r="Q45">
        <v>13536</v>
      </c>
      <c r="R45">
        <v>190</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c r="CP45">
        <v>44119</v>
      </c>
      <c r="CQ45">
        <v>13536</v>
      </c>
      <c r="CR45">
        <v>190</v>
      </c>
    </row>
    <row r="46" spans="1:96">
      <c r="A46" t="str">
        <f t="shared" ca="1" si="1"/>
        <v/>
      </c>
      <c r="B46" s="4">
        <f t="shared" ca="1" si="2"/>
        <v>44120</v>
      </c>
      <c r="C46" s="11">
        <f t="shared" ca="1" si="0"/>
        <v>13732</v>
      </c>
      <c r="D46">
        <f t="shared" ref="D46" ca="1" si="14">C46-C45</f>
        <v>193</v>
      </c>
      <c r="E46" s="11">
        <f t="shared" ca="1" si="4"/>
        <v>1</v>
      </c>
      <c r="F46" s="11">
        <f t="shared" ca="1" si="6"/>
        <v>192</v>
      </c>
      <c r="K46" s="3"/>
      <c r="M46" s="16">
        <v>44120</v>
      </c>
      <c r="N46">
        <v>13728</v>
      </c>
      <c r="O46">
        <v>192</v>
      </c>
      <c r="P46" s="16">
        <v>44120</v>
      </c>
      <c r="Q46">
        <v>13728</v>
      </c>
      <c r="R46">
        <v>192</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c r="CP46">
        <v>44120</v>
      </c>
      <c r="CQ46">
        <v>13728</v>
      </c>
      <c r="CR46">
        <v>192</v>
      </c>
    </row>
    <row r="47" spans="1:96">
      <c r="A47" t="str">
        <f t="shared" ca="1" si="1"/>
        <v/>
      </c>
      <c r="B47" s="4">
        <f t="shared" ca="1" si="2"/>
        <v>44121</v>
      </c>
      <c r="C47" s="11">
        <f t="shared" ca="1" si="0"/>
        <v>13832</v>
      </c>
      <c r="D47">
        <f t="shared" ref="D47" ca="1" si="15">C47-C46</f>
        <v>100</v>
      </c>
      <c r="E47" s="11">
        <f t="shared" ca="1" si="4"/>
        <v>0</v>
      </c>
      <c r="F47" s="11">
        <f t="shared" ca="1" si="6"/>
        <v>100</v>
      </c>
      <c r="J47" s="10">
        <f ca="1">SUM(D48:D54)</f>
        <v>1234</v>
      </c>
      <c r="K47" s="10" t="str">
        <f ca="1">TEXT(J47/J40-1,"0 %")</f>
        <v>-2 %</v>
      </c>
      <c r="M47" s="16">
        <v>44121</v>
      </c>
      <c r="N47">
        <v>13828</v>
      </c>
      <c r="O47">
        <v>100</v>
      </c>
      <c r="P47" s="16">
        <v>44121</v>
      </c>
      <c r="Q47">
        <v>13828</v>
      </c>
      <c r="R47">
        <v>100</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c r="CP47">
        <v>44121</v>
      </c>
      <c r="CQ47">
        <v>13828</v>
      </c>
      <c r="CR47">
        <v>100</v>
      </c>
    </row>
    <row r="48" spans="1:96">
      <c r="A48" t="str">
        <f t="shared" ca="1" si="1"/>
        <v/>
      </c>
      <c r="B48" s="4">
        <f t="shared" ca="1" si="2"/>
        <v>44122</v>
      </c>
      <c r="C48" s="11">
        <f t="shared" ca="1" si="0"/>
        <v>13959</v>
      </c>
      <c r="D48">
        <f t="shared" ref="D48" ca="1" si="16">C48-C47</f>
        <v>127</v>
      </c>
      <c r="E48" s="11">
        <f t="shared" ca="1" si="4"/>
        <v>0</v>
      </c>
      <c r="F48" s="11">
        <f t="shared" ca="1" si="6"/>
        <v>127</v>
      </c>
      <c r="K48" s="3"/>
      <c r="M48" s="16">
        <v>44122</v>
      </c>
      <c r="N48">
        <v>13955</v>
      </c>
      <c r="O48">
        <v>127</v>
      </c>
      <c r="P48" s="16">
        <v>44122</v>
      </c>
      <c r="Q48">
        <v>13955</v>
      </c>
      <c r="R48">
        <v>127</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c r="CP48">
        <v>44122</v>
      </c>
      <c r="CQ48">
        <v>13955</v>
      </c>
      <c r="CR48">
        <v>127</v>
      </c>
    </row>
    <row r="49" spans="1:96">
      <c r="A49" t="str">
        <f t="shared" ca="1" si="1"/>
        <v>Ma</v>
      </c>
      <c r="B49" s="4">
        <f t="shared" ca="1" si="2"/>
        <v>44123</v>
      </c>
      <c r="C49" s="11">
        <f t="shared" ca="1" si="0"/>
        <v>14203</v>
      </c>
      <c r="D49">
        <f t="shared" ref="D49" ca="1" si="17">C49-C48</f>
        <v>244</v>
      </c>
      <c r="E49" s="11">
        <f t="shared" ca="1" si="4"/>
        <v>0</v>
      </c>
      <c r="F49" s="11">
        <f t="shared" ca="1" si="6"/>
        <v>244</v>
      </c>
      <c r="K49" s="3"/>
      <c r="M49" s="16">
        <v>44123</v>
      </c>
      <c r="N49">
        <v>14199</v>
      </c>
      <c r="O49">
        <v>244</v>
      </c>
      <c r="P49" s="16">
        <v>44123</v>
      </c>
      <c r="Q49">
        <v>14199</v>
      </c>
      <c r="R49">
        <v>244</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c r="CP49">
        <v>44123</v>
      </c>
      <c r="CQ49">
        <v>14199</v>
      </c>
      <c r="CR49">
        <v>244</v>
      </c>
    </row>
    <row r="50" spans="1:96">
      <c r="A50" t="str">
        <f t="shared" ca="1" si="1"/>
        <v/>
      </c>
      <c r="B50" s="4">
        <f t="shared" ca="1" si="2"/>
        <v>44124</v>
      </c>
      <c r="C50" s="11">
        <f t="shared" ca="1" si="0"/>
        <v>14365</v>
      </c>
      <c r="D50">
        <f t="shared" ref="D50" ca="1" si="18">C50-C49</f>
        <v>162</v>
      </c>
      <c r="E50" s="11">
        <f t="shared" ca="1" si="4"/>
        <v>0</v>
      </c>
      <c r="F50" s="11">
        <f ca="1">VLOOKUP(B50,Previous,3,FALSE)</f>
        <v>162</v>
      </c>
      <c r="K50" s="3"/>
      <c r="M50" s="16">
        <v>44124</v>
      </c>
      <c r="N50">
        <v>14361</v>
      </c>
      <c r="O50">
        <v>162</v>
      </c>
      <c r="P50" s="16">
        <v>44124</v>
      </c>
      <c r="Q50">
        <v>14361</v>
      </c>
      <c r="R50">
        <v>162</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c r="CP50">
        <v>44124</v>
      </c>
      <c r="CQ50">
        <v>14361</v>
      </c>
      <c r="CR50">
        <v>162</v>
      </c>
    </row>
    <row r="51" spans="1:96" s="10" customFormat="1">
      <c r="A51" t="str">
        <f t="shared" ca="1" si="1"/>
        <v/>
      </c>
      <c r="B51" s="9">
        <f t="shared" ca="1" si="2"/>
        <v>44125</v>
      </c>
      <c r="C51" s="10">
        <f t="shared" ca="1" si="0"/>
        <v>14554</v>
      </c>
      <c r="D51" s="10">
        <f t="shared" ref="D51" ca="1" si="19">C51-C50</f>
        <v>189</v>
      </c>
      <c r="E51" s="10">
        <f t="shared" ca="1" si="4"/>
        <v>0</v>
      </c>
      <c r="F51" s="10">
        <f t="shared" ca="1" si="6"/>
        <v>189</v>
      </c>
      <c r="G51" s="10">
        <f ca="1">SUM(D51:D57)</f>
        <v>1307</v>
      </c>
      <c r="H51" s="10" t="str">
        <f ca="1">TEXT(G51/G44-1,"0 %")</f>
        <v>7 %</v>
      </c>
      <c r="I51" s="10">
        <f ca="1">SUM(D51:D64)</f>
        <v>2564</v>
      </c>
      <c r="K51" s="14"/>
      <c r="L51"/>
      <c r="M51" s="17">
        <v>44125</v>
      </c>
      <c r="N51" s="10">
        <v>14550</v>
      </c>
      <c r="O51" s="10">
        <v>189</v>
      </c>
      <c r="P51" s="17">
        <v>44125</v>
      </c>
      <c r="Q51" s="10">
        <v>14550</v>
      </c>
      <c r="R51" s="10">
        <v>189</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c r="CP51" s="10">
        <v>44125</v>
      </c>
      <c r="CQ51" s="10">
        <v>14550</v>
      </c>
      <c r="CR51" s="10">
        <v>189</v>
      </c>
    </row>
    <row r="52" spans="1:96">
      <c r="A52" t="str">
        <f t="shared" ca="1" si="1"/>
        <v/>
      </c>
      <c r="B52" s="4">
        <f t="shared" ca="1" si="2"/>
        <v>44126</v>
      </c>
      <c r="C52" s="11">
        <f t="shared" ca="1" si="0"/>
        <v>14766</v>
      </c>
      <c r="D52">
        <f t="shared" ref="D52:D63" ca="1" si="20">C52-C51</f>
        <v>212</v>
      </c>
      <c r="E52" s="11">
        <f t="shared" ca="1" si="4"/>
        <v>0</v>
      </c>
      <c r="F52" s="11">
        <f t="shared" ca="1" si="6"/>
        <v>212</v>
      </c>
      <c r="G52" s="10"/>
      <c r="K52" s="3"/>
      <c r="M52" s="16">
        <v>44126</v>
      </c>
      <c r="N52">
        <v>14762</v>
      </c>
      <c r="O52">
        <v>212</v>
      </c>
      <c r="P52" s="16">
        <v>44126</v>
      </c>
      <c r="Q52">
        <v>14762</v>
      </c>
      <c r="R52">
        <v>212</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c r="CP52">
        <v>44126</v>
      </c>
      <c r="CQ52">
        <v>14762</v>
      </c>
      <c r="CR52">
        <v>212</v>
      </c>
    </row>
    <row r="53" spans="1:96">
      <c r="A53" t="str">
        <f t="shared" ca="1" si="1"/>
        <v/>
      </c>
      <c r="B53" s="4">
        <f t="shared" ca="1" si="2"/>
        <v>44127</v>
      </c>
      <c r="C53" s="11">
        <f t="shared" ca="1" si="0"/>
        <v>14958</v>
      </c>
      <c r="D53">
        <f t="shared" ca="1" si="20"/>
        <v>192</v>
      </c>
      <c r="E53" s="11">
        <f t="shared" ca="1" si="4"/>
        <v>0</v>
      </c>
      <c r="F53" s="11">
        <f t="shared" ca="1" si="6"/>
        <v>192</v>
      </c>
      <c r="J53" s="13"/>
      <c r="K53" s="3"/>
      <c r="M53" s="16">
        <v>44127</v>
      </c>
      <c r="N53">
        <v>14954</v>
      </c>
      <c r="O53">
        <v>192</v>
      </c>
      <c r="P53" s="16">
        <v>44127</v>
      </c>
      <c r="Q53">
        <v>14954</v>
      </c>
      <c r="R53">
        <v>192</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c r="CP53">
        <v>44127</v>
      </c>
      <c r="CQ53">
        <v>14954</v>
      </c>
      <c r="CR53">
        <v>192</v>
      </c>
    </row>
    <row r="54" spans="1:96">
      <c r="A54" t="str">
        <f t="shared" ca="1" si="1"/>
        <v/>
      </c>
      <c r="B54" s="4">
        <f t="shared" ca="1" si="2"/>
        <v>44128</v>
      </c>
      <c r="C54" s="11">
        <f t="shared" ca="1" si="0"/>
        <v>15066</v>
      </c>
      <c r="D54">
        <f t="shared" ca="1" si="20"/>
        <v>108</v>
      </c>
      <c r="E54" s="11">
        <f t="shared" ca="1" si="4"/>
        <v>1</v>
      </c>
      <c r="F54" s="11">
        <f t="shared" ca="1" si="6"/>
        <v>107</v>
      </c>
      <c r="J54" s="10">
        <f ca="1">SUM(D55:D61)</f>
        <v>1412</v>
      </c>
      <c r="K54" s="10" t="str">
        <f ca="1">TEXT(J54/J47-1,"0 %")</f>
        <v>14 %</v>
      </c>
      <c r="M54" s="16">
        <v>44128</v>
      </c>
      <c r="N54">
        <v>15061</v>
      </c>
      <c r="O54">
        <v>107</v>
      </c>
      <c r="P54" s="16">
        <v>44128</v>
      </c>
      <c r="Q54">
        <v>15061</v>
      </c>
      <c r="R54">
        <v>107</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c r="CP54">
        <v>44128</v>
      </c>
      <c r="CQ54">
        <v>15061</v>
      </c>
      <c r="CR54">
        <v>107</v>
      </c>
    </row>
    <row r="55" spans="1:96">
      <c r="A55" t="str">
        <f t="shared" ca="1" si="1"/>
        <v/>
      </c>
      <c r="B55" s="4">
        <f t="shared" ca="1" si="2"/>
        <v>44129</v>
      </c>
      <c r="C55" s="11">
        <f t="shared" ca="1" si="0"/>
        <v>15189</v>
      </c>
      <c r="D55">
        <f t="shared" ca="1" si="20"/>
        <v>123</v>
      </c>
      <c r="E55" s="11">
        <f t="shared" ca="1" si="4"/>
        <v>0</v>
      </c>
      <c r="F55" s="11">
        <f t="shared" ca="1" si="6"/>
        <v>123</v>
      </c>
      <c r="I55" s="10"/>
      <c r="J55" s="10"/>
      <c r="K55" s="3"/>
      <c r="M55" s="16">
        <v>44129</v>
      </c>
      <c r="N55">
        <v>15184</v>
      </c>
      <c r="O55">
        <v>123</v>
      </c>
      <c r="P55" s="16">
        <v>44129</v>
      </c>
      <c r="Q55">
        <v>15184</v>
      </c>
      <c r="R55">
        <v>123</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c r="CP55">
        <v>44129</v>
      </c>
      <c r="CQ55">
        <v>15184</v>
      </c>
      <c r="CR55">
        <v>123</v>
      </c>
    </row>
    <row r="56" spans="1:96">
      <c r="A56" t="str">
        <f t="shared" ca="1" si="1"/>
        <v>Ma</v>
      </c>
      <c r="B56" s="4">
        <f t="shared" ca="1" si="2"/>
        <v>44130</v>
      </c>
      <c r="C56" s="11">
        <f t="shared" ca="1" si="0"/>
        <v>15443</v>
      </c>
      <c r="D56">
        <f t="shared" ca="1" si="20"/>
        <v>254</v>
      </c>
      <c r="E56" s="11">
        <f t="shared" ca="1" si="4"/>
        <v>0</v>
      </c>
      <c r="F56" s="11">
        <f t="shared" ca="1" si="6"/>
        <v>254</v>
      </c>
      <c r="K56" s="3"/>
      <c r="M56" s="16">
        <v>44130</v>
      </c>
      <c r="N56">
        <v>15438</v>
      </c>
      <c r="O56">
        <v>254</v>
      </c>
      <c r="P56" s="16">
        <v>44130</v>
      </c>
      <c r="Q56">
        <v>15438</v>
      </c>
      <c r="R56">
        <v>254</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c r="CP56">
        <v>44130</v>
      </c>
      <c r="CQ56">
        <v>15438</v>
      </c>
      <c r="CR56">
        <v>254</v>
      </c>
    </row>
    <row r="57" spans="1:96">
      <c r="A57" t="str">
        <f ca="1">IF(WEEKDAY(B57,2)=1,"Ma","")</f>
        <v/>
      </c>
      <c r="B57" s="4">
        <f t="shared" ca="1" si="2"/>
        <v>44131</v>
      </c>
      <c r="C57" s="11">
        <f t="shared" ca="1" si="0"/>
        <v>15672</v>
      </c>
      <c r="D57">
        <f t="shared" ca="1" si="20"/>
        <v>229</v>
      </c>
      <c r="E57" s="11">
        <f t="shared" ca="1" si="4"/>
        <v>0</v>
      </c>
      <c r="F57" s="11">
        <f t="shared" ca="1" si="6"/>
        <v>229</v>
      </c>
      <c r="J57" s="13"/>
      <c r="K57" s="3"/>
      <c r="M57" s="16">
        <v>44131</v>
      </c>
      <c r="N57">
        <v>15667</v>
      </c>
      <c r="O57">
        <v>229</v>
      </c>
      <c r="P57" s="16">
        <v>44131</v>
      </c>
      <c r="Q57">
        <v>15667</v>
      </c>
      <c r="R57">
        <v>229</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c r="CP57">
        <v>44131</v>
      </c>
      <c r="CQ57">
        <v>15667</v>
      </c>
      <c r="CR57">
        <v>229</v>
      </c>
    </row>
    <row r="58" spans="1:96" s="10" customFormat="1">
      <c r="A58" t="str">
        <f t="shared" ca="1" si="1"/>
        <v/>
      </c>
      <c r="B58" s="9">
        <f t="shared" ca="1" si="2"/>
        <v>44132</v>
      </c>
      <c r="C58" s="10">
        <f t="shared" ca="1" si="0"/>
        <v>15913</v>
      </c>
      <c r="D58" s="10">
        <f t="shared" ca="1" si="20"/>
        <v>241</v>
      </c>
      <c r="E58" s="10">
        <f t="shared" ca="1" si="4"/>
        <v>0</v>
      </c>
      <c r="F58" s="10">
        <f t="shared" ca="1" si="6"/>
        <v>241</v>
      </c>
      <c r="G58" s="10">
        <f ca="1">SUM(D58:D64)</f>
        <v>1257</v>
      </c>
      <c r="K58" s="14"/>
      <c r="L58"/>
      <c r="M58" s="17">
        <v>44132</v>
      </c>
      <c r="N58" s="10">
        <v>15908</v>
      </c>
      <c r="O58" s="10">
        <v>241</v>
      </c>
      <c r="P58" s="17">
        <v>44132</v>
      </c>
      <c r="Q58" s="10">
        <v>15908</v>
      </c>
      <c r="R58" s="10">
        <v>241</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c r="CP58" s="10">
        <v>44132</v>
      </c>
      <c r="CQ58" s="10">
        <v>15908</v>
      </c>
      <c r="CR58" s="10">
        <v>241</v>
      </c>
    </row>
    <row r="59" spans="1:96">
      <c r="A59" t="str">
        <f t="shared" ca="1" si="1"/>
        <v/>
      </c>
      <c r="B59" s="4">
        <f t="shared" ca="1" si="2"/>
        <v>44133</v>
      </c>
      <c r="C59" s="11">
        <f t="shared" ca="1" si="0"/>
        <v>16147</v>
      </c>
      <c r="D59">
        <f t="shared" ca="1" si="20"/>
        <v>234</v>
      </c>
      <c r="E59" s="11">
        <f t="shared" ca="1" si="4"/>
        <v>0</v>
      </c>
      <c r="F59" s="11">
        <f t="shared" ca="1" si="6"/>
        <v>234</v>
      </c>
      <c r="H59" s="10"/>
      <c r="J59" s="13"/>
      <c r="K59" s="3"/>
      <c r="M59" s="16">
        <v>44133</v>
      </c>
      <c r="N59">
        <v>16142</v>
      </c>
      <c r="O59">
        <v>234</v>
      </c>
      <c r="P59" s="16">
        <v>44133</v>
      </c>
      <c r="Q59">
        <v>16142</v>
      </c>
      <c r="R59">
        <v>234</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c r="CP59">
        <v>44133</v>
      </c>
      <c r="CQ59">
        <v>16142</v>
      </c>
      <c r="CR59">
        <v>234</v>
      </c>
    </row>
    <row r="60" spans="1:96">
      <c r="A60" t="str">
        <f t="shared" ca="1" si="1"/>
        <v/>
      </c>
      <c r="B60" s="4">
        <f t="shared" ca="1" si="2"/>
        <v>44134</v>
      </c>
      <c r="C60" s="11">
        <f t="shared" ca="1" si="0"/>
        <v>16359</v>
      </c>
      <c r="D60">
        <f t="shared" ca="1" si="20"/>
        <v>212</v>
      </c>
      <c r="E60" s="11">
        <f t="shared" ca="1" si="4"/>
        <v>3</v>
      </c>
      <c r="F60" s="11">
        <f t="shared" ca="1" si="6"/>
        <v>209</v>
      </c>
      <c r="J60" s="4"/>
      <c r="K60" s="3"/>
      <c r="M60" s="16">
        <v>44134</v>
      </c>
      <c r="N60">
        <v>16351</v>
      </c>
      <c r="O60">
        <v>209</v>
      </c>
      <c r="P60" s="16">
        <v>44134</v>
      </c>
      <c r="Q60">
        <v>16351</v>
      </c>
      <c r="R60">
        <v>209</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c r="CP60">
        <v>44134</v>
      </c>
      <c r="CQ60">
        <v>16351</v>
      </c>
      <c r="CR60">
        <v>209</v>
      </c>
    </row>
    <row r="61" spans="1:96">
      <c r="A61" t="str">
        <f t="shared" ref="A61:A64" ca="1" si="21">IF(WEEKDAY(B61,2)=1,"Ma","")</f>
        <v/>
      </c>
      <c r="B61" s="4">
        <f t="shared" ca="1" si="2"/>
        <v>44135</v>
      </c>
      <c r="C61" s="11">
        <f t="shared" ca="1" si="0"/>
        <v>16478</v>
      </c>
      <c r="D61">
        <f t="shared" ca="1" si="20"/>
        <v>119</v>
      </c>
      <c r="E61" s="11">
        <f t="shared" ca="1" si="4"/>
        <v>3</v>
      </c>
      <c r="F61" s="11">
        <f t="shared" ca="1" si="6"/>
        <v>116</v>
      </c>
      <c r="J61" s="4"/>
      <c r="K61" s="3"/>
      <c r="M61" s="16">
        <v>44135</v>
      </c>
      <c r="N61">
        <v>16467</v>
      </c>
      <c r="O61">
        <v>116</v>
      </c>
      <c r="P61" s="16">
        <v>44135</v>
      </c>
      <c r="Q61">
        <v>16467</v>
      </c>
      <c r="R61">
        <v>116</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c r="CP61">
        <v>44135</v>
      </c>
      <c r="CQ61">
        <v>16467</v>
      </c>
      <c r="CR61">
        <v>116</v>
      </c>
    </row>
    <row r="62" spans="1:96">
      <c r="A62" t="str">
        <f t="shared" ca="1" si="21"/>
        <v/>
      </c>
      <c r="B62" s="4">
        <f t="shared" ca="1" si="2"/>
        <v>44136</v>
      </c>
      <c r="C62" s="11">
        <f t="shared" ca="1" si="0"/>
        <v>16618</v>
      </c>
      <c r="D62">
        <f t="shared" ca="1" si="20"/>
        <v>140</v>
      </c>
      <c r="E62" s="11">
        <f t="shared" ca="1" si="4"/>
        <v>19</v>
      </c>
      <c r="F62" s="11">
        <f t="shared" ca="1" si="6"/>
        <v>121</v>
      </c>
      <c r="J62" s="4"/>
      <c r="K62" s="3"/>
      <c r="M62" s="16">
        <v>44136</v>
      </c>
      <c r="N62">
        <v>16588</v>
      </c>
      <c r="O62">
        <v>121</v>
      </c>
      <c r="P62" s="16">
        <v>44136</v>
      </c>
      <c r="Q62">
        <v>16588</v>
      </c>
      <c r="R62">
        <v>121</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c r="CP62">
        <v>44136</v>
      </c>
      <c r="CQ62">
        <v>16588</v>
      </c>
      <c r="CR62">
        <v>121</v>
      </c>
    </row>
    <row r="63" spans="1:96">
      <c r="A63" t="str">
        <f t="shared" ca="1" si="21"/>
        <v>Ma</v>
      </c>
      <c r="B63" s="4">
        <f ca="1">B64-1</f>
        <v>44137</v>
      </c>
      <c r="C63" s="11">
        <f t="shared" ca="1" si="0"/>
        <v>16850</v>
      </c>
      <c r="D63">
        <f t="shared" ca="1" si="20"/>
        <v>232</v>
      </c>
      <c r="E63" s="11">
        <f t="shared" ca="1" si="4"/>
        <v>183</v>
      </c>
      <c r="F63" s="11">
        <f t="shared" ca="1" si="6"/>
        <v>49</v>
      </c>
      <c r="J63" s="4"/>
      <c r="K63" s="3"/>
      <c r="M63" s="16">
        <v>44137</v>
      </c>
      <c r="N63">
        <v>16637</v>
      </c>
      <c r="O63">
        <v>49</v>
      </c>
      <c r="P63" s="16">
        <v>44137</v>
      </c>
      <c r="Q63">
        <v>16637</v>
      </c>
      <c r="R63">
        <v>49</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c r="CP63">
        <v>44137</v>
      </c>
      <c r="CQ63">
        <v>16637</v>
      </c>
      <c r="CR63">
        <v>49</v>
      </c>
    </row>
    <row r="64" spans="1:96" s="10" customFormat="1">
      <c r="A64" t="str">
        <f t="shared" ca="1" si="21"/>
        <v/>
      </c>
      <c r="B64" s="9">
        <f ca="1">B65-1</f>
        <v>44138</v>
      </c>
      <c r="C64" s="10">
        <f t="shared" ca="1" si="0"/>
        <v>16929</v>
      </c>
      <c r="D64" s="10">
        <f ca="1">C64-C63</f>
        <v>79</v>
      </c>
      <c r="E64" s="10">
        <f t="shared" ca="1" si="4"/>
        <v>79</v>
      </c>
      <c r="F64" s="10">
        <f t="shared" ca="1" si="6"/>
        <v>0</v>
      </c>
      <c r="J64" s="9"/>
      <c r="K64" s="14"/>
      <c r="M64" s="17">
        <v>44138</v>
      </c>
      <c r="N64" s="10">
        <v>16637</v>
      </c>
      <c r="O64" s="10">
        <v>0</v>
      </c>
      <c r="P64" s="17">
        <v>44138</v>
      </c>
      <c r="Q64" s="10">
        <v>16637</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c r="CP64" s="10">
        <v>44138</v>
      </c>
      <c r="CQ64" s="10">
        <v>16637</v>
      </c>
      <c r="CR64" s="10">
        <v>0</v>
      </c>
    </row>
    <row r="65" spans="1:96">
      <c r="A65" t="str">
        <f ca="1">IF(WEEKDAY(B65,2)=1,"Ma","")</f>
        <v/>
      </c>
      <c r="B65" s="12">
        <f ca="1">FLOOR(NOW(),1)</f>
        <v>44139</v>
      </c>
      <c r="C65" s="11">
        <f t="shared" ca="1" si="0"/>
        <v>16930</v>
      </c>
      <c r="D65" s="11">
        <f ca="1">C65-C64</f>
        <v>1</v>
      </c>
      <c r="E65" s="11">
        <f ca="1">_xlfn.IFNA(D65-F65,"")</f>
        <v>1</v>
      </c>
      <c r="F65" s="11">
        <f t="shared" ca="1" si="6"/>
        <v>0</v>
      </c>
      <c r="K65" t="s">
        <v>309</v>
      </c>
      <c r="L65">
        <f ca="1">C65-N65</f>
        <v>293</v>
      </c>
      <c r="M65" s="16">
        <v>44139</v>
      </c>
      <c r="N65">
        <v>16637</v>
      </c>
      <c r="O65">
        <v>0</v>
      </c>
      <c r="P65" s="16">
        <v>44139</v>
      </c>
      <c r="Q65">
        <v>16637</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c r="CP65">
        <v>44139</v>
      </c>
      <c r="CQ65">
        <v>16637</v>
      </c>
      <c r="CR65">
        <v>0</v>
      </c>
    </row>
    <row r="67" spans="1:96">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2020-11-04T14:35:52Z</dcterms:modified>
</cp:coreProperties>
</file>